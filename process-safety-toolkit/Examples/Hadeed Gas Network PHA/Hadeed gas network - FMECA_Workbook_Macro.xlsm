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Reference Docs" sheetId="2" state="visible" r:id="rId2"/>
    <sheet xmlns:r="http://schemas.openxmlformats.org/officeDocument/2006/relationships" name="Systems" sheetId="3" state="visible" r:id="rId3"/>
    <sheet xmlns:r="http://schemas.openxmlformats.org/officeDocument/2006/relationships" name="Equipment Register" sheetId="4" state="visible" r:id="rId4"/>
    <sheet xmlns:r="http://schemas.openxmlformats.org/officeDocument/2006/relationships" name="Lists" sheetId="5" state="visible" r:id="rId5"/>
    <sheet xmlns:r="http://schemas.openxmlformats.org/officeDocument/2006/relationships" name="Rating Scales" sheetId="6" state="visible" r:id="rId6"/>
    <sheet xmlns:r="http://schemas.openxmlformats.org/officeDocument/2006/relationships" name="Summary" sheetId="7" state="visible" r:id="rId7"/>
    <sheet xmlns:r="http://schemas.openxmlformats.org/officeDocument/2006/relationships" name="System 01" sheetId="8" state="visible" r:id="rId8"/>
    <sheet xmlns:r="http://schemas.openxmlformats.org/officeDocument/2006/relationships" name="System 02" sheetId="9" state="visible" r:id="rId9"/>
    <sheet xmlns:r="http://schemas.openxmlformats.org/officeDocument/2006/relationships" name="System 03" sheetId="10" state="visible" r:id="rId10"/>
    <sheet xmlns:r="http://schemas.openxmlformats.org/officeDocument/2006/relationships" name="System 04" sheetId="11" state="visible" r:id="rId11"/>
    <sheet xmlns:r="http://schemas.openxmlformats.org/officeDocument/2006/relationships" name="System 05" sheetId="12" state="visible" r:id="rId12"/>
    <sheet xmlns:r="http://schemas.openxmlformats.org/officeDocument/2006/relationships" name="System 06" sheetId="13" state="visible" r:id="rId13"/>
    <sheet xmlns:r="http://schemas.openxmlformats.org/officeDocument/2006/relationships" name="System 07" sheetId="14" state="visible" r:id="rId14"/>
    <sheet xmlns:r="http://schemas.openxmlformats.org/officeDocument/2006/relationships" name="System 08" sheetId="15" state="visible" r:id="rId15"/>
    <sheet xmlns:r="http://schemas.openxmlformats.org/officeDocument/2006/relationships" name="System 09" sheetId="16" state="visible" r:id="rId16"/>
    <sheet xmlns:r="http://schemas.openxmlformats.org/officeDocument/2006/relationships" name="System 10" sheetId="17" state="visible" r:id="rId17"/>
  </sheets>
  <definedNames>
    <definedName name="SystemList">Systems!$C$5:$C$34</definedName>
    <definedName name="EqSys">'Equipment Register'!$B$5:$B$204</definedName>
    <definedName name="EqTag">'Equipment Register'!$C$5:$C$204</definedName>
    <definedName name="EqTypeCol">'Equipment Register'!$E$5:$E$204</definedName>
    <definedName name="EqTypeList">Lists!$A$5:$A$33</definedName>
    <definedName name="CompType">Lists!$C$5:$C$329</definedName>
    <definedName name="CompStart">Lists!$D$5</definedName>
    <definedName name="FMType">Lists!$F$5:$F$353</definedName>
    <definedName name="FMStart">Lists!$G$5</definedName>
    <definedName name="MechList">Lists!$I$5:$I$62</definedName>
    <definedName name="DetList">Lists!$K$5:$K$25</definedName>
    <definedName name="TaskList">Lists!$M$5:$M$13</definedName>
    <definedName name="DocCategories">Lists!$O$5:$O$11</definedName>
    <definedName name="SevList">'Rating Scales'!$B$5:$B$14</definedName>
    <definedName name="OccList">'Rating Scales'!$B$17:$B$26</definedName>
    <definedName name="DetScaleList">'Rating Scales'!$B$29:$B$38</definedName>
    <definedName name="SThr">'Rating Scales'!$C$41</definedName>
    <definedName name="RPNThr">'Rating Scales'!$C$42</definedName>
    <definedName name="APGrid">'Rating Scales'!$E$50:$H$74</definedName>
    <definedName name="APS">'Rating Scales'!$E$77:$I$77</definedName>
    <definedName name="APO">'Rating Scales'!$E$78:$I$78</definedName>
    <definedName name="APD">'Rating Scales'!$E$79:$H$79</definedName>
    <definedName name="_xlnm._FilterDatabase" localSheetId="1" hidden="1">'Reference Docs'!$A$4:$J$44</definedName>
    <definedName name="_xlnm._FilterDatabase" localSheetId="3" hidden="1">'Equipment Register'!$A$4:$I$204</definedName>
    <definedName name="_xlnm.Print_Titles" localSheetId="7">'System 01'!$12:$13</definedName>
    <definedName name="_xlnm.Print_Area" localSheetId="7">'System 01'!$A$1:$AC$163</definedName>
    <definedName name="_xlnm.Print_Titles" localSheetId="8">'System 02'!$12:$13</definedName>
    <definedName name="_xlnm.Print_Area" localSheetId="8">'System 02'!$A$1:$AC$163</definedName>
    <definedName name="_xlnm.Print_Titles" localSheetId="9">'System 03'!$12:$13</definedName>
    <definedName name="_xlnm.Print_Area" localSheetId="9">'System 03'!$A$1:$AC$163</definedName>
    <definedName name="_xlnm.Print_Titles" localSheetId="10">'System 04'!$12:$13</definedName>
    <definedName name="_xlnm.Print_Area" localSheetId="10">'System 04'!$A$1:$AC$163</definedName>
    <definedName name="_xlnm.Print_Titles" localSheetId="11">'System 05'!$12:$13</definedName>
    <definedName name="_xlnm.Print_Area" localSheetId="11">'System 05'!$A$1:$AC$163</definedName>
    <definedName name="_xlnm.Print_Titles" localSheetId="12">'System 06'!$12:$13</definedName>
    <definedName name="_xlnm.Print_Area" localSheetId="12">'System 06'!$A$1:$AC$163</definedName>
    <definedName name="_xlnm.Print_Titles" localSheetId="13">'System 07'!$12:$13</definedName>
    <definedName name="_xlnm.Print_Area" localSheetId="13">'System 07'!$A$1:$AC$163</definedName>
    <definedName name="_xlnm.Print_Titles" localSheetId="14">'System 08'!$12:$13</definedName>
    <definedName name="_xlnm.Print_Area" localSheetId="14">'System 08'!$A$1:$AC$163</definedName>
    <definedName name="_xlnm.Print_Titles" localSheetId="15">'System 09'!$12:$13</definedName>
    <definedName name="_xlnm.Print_Area" localSheetId="15">'System 09'!$A$1:$AC$163</definedName>
    <definedName name="_xlnm.Print_Titles" localSheetId="16">'System 10'!$12:$13</definedName>
    <definedName name="_xlnm.Print_Area" localSheetId="16">'System 10'!$A$1:$AC$163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4">
    <font>
      <name val="Calibri"/>
      <family val="2"/>
      <color theme="1"/>
      <sz val="11"/>
      <scheme val="minor"/>
    </font>
    <font>
      <name val="Arial"/>
      <b val="1"/>
      <color rgb="001F3864"/>
      <sz val="16"/>
    </font>
    <font>
      <name val="Arial"/>
      <i val="1"/>
      <color rgb="00595959"/>
      <sz val="9"/>
    </font>
    <font>
      <name val="Arial"/>
      <b val="1"/>
      <color rgb="00000000"/>
      <sz val="10"/>
    </font>
    <font>
      <name val="Arial"/>
      <color rgb="00000000"/>
      <sz val="10"/>
    </font>
    <font>
      <name val="Arial"/>
      <b val="1"/>
      <color rgb="00FFFFFF"/>
      <sz val="10"/>
    </font>
    <font>
      <name val="Arial"/>
      <i val="1"/>
      <color rgb="00808080"/>
      <sz val="10"/>
    </font>
    <font>
      <name val="Arial"/>
      <b val="1"/>
      <color rgb="001F3864"/>
      <sz val="12"/>
    </font>
    <font>
      <name val="Arial"/>
      <i val="1"/>
      <color rgb="00808080"/>
      <sz val="9"/>
    </font>
    <font>
      <name val="Arial"/>
      <b val="1"/>
      <color rgb="00C00000"/>
      <sz val="10"/>
    </font>
    <font>
      <name val="Arial"/>
      <b val="1"/>
      <color rgb="001F3864"/>
      <sz val="14"/>
    </font>
    <font>
      <name val="Arial"/>
      <b val="1"/>
      <color rgb="001F3864"/>
      <sz val="11"/>
    </font>
    <font>
      <name val="Arial"/>
      <b val="1"/>
      <color rgb="00000000"/>
      <sz val="12"/>
    </font>
    <font>
      <name val="Arial"/>
      <i val="1"/>
      <color rgb="00C00000"/>
      <sz val="10"/>
    </font>
  </fonts>
  <fills count="6">
    <fill>
      <patternFill/>
    </fill>
    <fill>
      <patternFill patternType="gray125"/>
    </fill>
    <fill>
      <patternFill patternType="solid">
        <fgColor rgb="00FFF2CC"/>
        <bgColor rgb="00FFF2CC"/>
      </patternFill>
    </fill>
    <fill>
      <patternFill patternType="solid">
        <fgColor rgb="00F2F2F2"/>
        <bgColor rgb="00F2F2F2"/>
      </patternFill>
    </fill>
    <fill>
      <patternFill patternType="solid">
        <fgColor rgb="00D9E2F3"/>
        <bgColor rgb="00D9E2F3"/>
      </patternFill>
    </fill>
    <fill>
      <patternFill patternType="solid">
        <fgColor rgb="001F3864"/>
        <bgColor rgb="001F3864"/>
      </patternFill>
    </fill>
  </fills>
  <borders count="6">
    <border>
      <left/>
      <right/>
      <top/>
      <bottom/>
      <diagonal/>
    </border>
    <border>
      <left style="thin">
        <color rgb="008EA9DB"/>
      </left>
      <right style="thin">
        <color rgb="008EA9DB"/>
      </right>
      <top style="thin">
        <color rgb="008EA9DB"/>
      </top>
      <bottom style="thin">
        <color rgb="008EA9DB"/>
      </bottom>
    </border>
    <border>
      <left/>
      <right/>
      <top style="thin">
        <color rgb="008EA9DB"/>
      </top>
      <bottom/>
      <diagonal/>
    </border>
    <border>
      <left/>
      <right style="thin">
        <color rgb="008EA9DB"/>
      </right>
      <top style="thin">
        <color rgb="008EA9DB"/>
      </top>
      <bottom/>
      <diagonal/>
    </border>
    <border>
      <left/>
      <right/>
      <top style="thin">
        <color rgb="008EA9DB"/>
      </top>
      <bottom style="thin">
        <color rgb="008EA9DB"/>
      </bottom>
      <diagonal/>
    </border>
    <border>
      <left/>
      <right style="thin">
        <color rgb="008EA9DB"/>
      </right>
      <top style="thin">
        <color rgb="008EA9DB"/>
      </top>
      <bottom style="thin">
        <color rgb="008EA9DB"/>
      </bottom>
      <diagonal/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vertical="top" wrapText="1"/>
    </xf>
    <xf numFmtId="0" fontId="4" fillId="3" borderId="1" applyAlignment="1" pivotButton="0" quotePrefix="0" xfId="0">
      <alignment vertical="top" wrapText="1"/>
    </xf>
    <xf numFmtId="0" fontId="4" fillId="4" borderId="1" applyAlignment="1" pivotButton="0" quotePrefix="0" xfId="0">
      <alignment vertical="top" wrapText="1"/>
    </xf>
    <xf numFmtId="0" fontId="5" fillId="5" borderId="1" applyAlignment="1" pivotButton="0" quotePrefix="0" xfId="0">
      <alignment horizontal="center" vertical="center" wrapText="1"/>
    </xf>
    <xf numFmtId="0" fontId="0" fillId="0" borderId="4" pivotButton="0" quotePrefix="0" xfId="0"/>
    <xf numFmtId="0" fontId="0" fillId="0" borderId="5" pivotButton="0" quotePrefix="0" xfId="0"/>
    <xf numFmtId="0" fontId="3" fillId="4" borderId="1" applyAlignment="1" pivotButton="0" quotePrefix="0" xfId="0">
      <alignment vertical="top" wrapText="1"/>
    </xf>
    <xf numFmtId="0" fontId="3" fillId="0" borderId="1" applyAlignment="1" pivotButton="0" quotePrefix="0" xfId="0">
      <alignment vertical="top" wrapText="1"/>
    </xf>
    <xf numFmtId="0" fontId="4" fillId="0" borderId="1" applyAlignment="1" pivotButton="0" quotePrefix="0" xfId="0">
      <alignment vertical="top" wrapText="1"/>
    </xf>
    <xf numFmtId="164" fontId="4" fillId="2" borderId="1" applyAlignment="1" pivotButton="0" quotePrefix="0" xfId="0">
      <alignment vertical="top" wrapText="1"/>
    </xf>
    <xf numFmtId="0" fontId="6" fillId="2" borderId="1" applyAlignment="1" pivotButton="0" quotePrefix="0" xfId="0">
      <alignment vertical="top" wrapText="1"/>
    </xf>
    <xf numFmtId="0" fontId="4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7" fillId="0" borderId="0" pivotButton="0" quotePrefix="0" xfId="0"/>
    <xf numFmtId="0" fontId="8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10" fillId="0" borderId="0" pivotButton="0" quotePrefix="0" xfId="0"/>
    <xf numFmtId="0" fontId="11" fillId="0" borderId="0" pivotButton="0" quotePrefix="0" xfId="0"/>
    <xf numFmtId="0" fontId="5" fillId="5" borderId="1" applyAlignment="1" pivotButton="0" quotePrefix="0" xfId="0">
      <alignment vertical="top" wrapText="1"/>
    </xf>
    <xf numFmtId="0" fontId="12" fillId="2" borderId="1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0" fillId="0" borderId="1" pivotButton="0" quotePrefix="0" xfId="0"/>
    <xf numFmtId="164" fontId="4" fillId="2" borderId="1" applyAlignment="1" pivotButton="0" quotePrefix="0" xfId="0">
      <alignment horizontal="center" vertical="center" wrapText="1"/>
    </xf>
    <xf numFmtId="0" fontId="13" fillId="0" borderId="0" pivotButton="0" quotePrefix="0" xfId="0"/>
  </cellXfs>
  <cellStyles count="1">
    <cellStyle name="Normal" xfId="0" builtinId="0" hidden="0"/>
  </cellStyles>
  <dxfs count="5">
    <dxf>
      <fill>
        <patternFill patternType="solid">
          <fgColor rgb="00FF7C80"/>
          <bgColor rgb="00FF7C80"/>
        </patternFill>
      </fill>
    </dxf>
    <dxf>
      <fill>
        <patternFill patternType="solid">
          <fgColor rgb="00FFEB9C"/>
          <bgColor rgb="00FFEB9C"/>
        </patternFill>
      </fill>
    </dxf>
    <dxf>
      <fill>
        <patternFill patternType="solid">
          <fgColor rgb="00C6EFCE"/>
          <bgColor rgb="00C6EFCE"/>
        </patternFill>
      </fill>
    </dxf>
    <dxf>
      <font>
        <b val="1"/>
      </font>
      <fill>
        <patternFill patternType="solid">
          <fgColor rgb="00FF7C80"/>
          <bgColor rgb="00FF7C80"/>
        </patternFill>
      </fill>
    </dxf>
    <dxf>
      <font>
        <b val="1"/>
        <color rgb="00C0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59"/>
  <sheetViews>
    <sheetView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34" customWidth="1" min="2" max="2"/>
    <col width="26" customWidth="1" min="3" max="3"/>
    <col width="26" customWidth="1" min="4" max="4"/>
    <col width="18" customWidth="1" min="5" max="5"/>
  </cols>
  <sheetData>
    <row r="1">
      <c r="A1" s="1" t="inlineStr">
        <is>
          <t>FMECA WORKBOOK</t>
        </is>
      </c>
    </row>
    <row r="2">
      <c r="A2" s="2" t="inlineStr">
        <is>
          <t>Failure Modes, Effects and Criticality Analysis – companion to the HAZOP Study Workbook (IEC 60812 approach)</t>
        </is>
      </c>
    </row>
    <row r="3">
      <c r="A3" s="3" t="inlineStr">
        <is>
          <t>MACRO-ENABLED VERSION – click 'Enable Content' / 'Enable Macros' when opening, otherwise the multi-select cells will not work.</t>
        </is>
      </c>
    </row>
    <row r="4">
      <c r="A4" s="4" t="inlineStr">
        <is>
          <t>Legend:</t>
        </is>
      </c>
      <c r="B4" s="5" t="inlineStr">
        <is>
          <t>Yellow = enter / select data</t>
        </is>
      </c>
      <c r="C4" s="6" t="inlineStr">
        <is>
          <t>Grey = formula (do not overwrite)</t>
        </is>
      </c>
      <c r="D4" s="7" t="inlineStr">
        <is>
          <t>Blue = returned from another sheet</t>
        </is>
      </c>
    </row>
    <row r="5"/>
    <row r="6">
      <c r="A6" s="8" t="inlineStr">
        <is>
          <t>STUDY DETAILS</t>
        </is>
      </c>
      <c r="B6" s="9" t="n"/>
      <c r="C6" s="9" t="n"/>
      <c r="D6" s="9" t="n"/>
      <c r="E6" s="10" t="n"/>
    </row>
    <row r="7">
      <c r="A7" s="11" t="inlineStr">
        <is>
          <t>Study title</t>
        </is>
      </c>
      <c r="B7" s="5" t="inlineStr">
        <is>
          <t>FMECA – Natural gas distribution network (worked example)</t>
        </is>
      </c>
      <c r="C7" s="9" t="n"/>
      <c r="D7" s="9" t="n"/>
      <c r="E7" s="10" t="n"/>
    </row>
    <row r="8">
      <c r="A8" s="11" t="inlineStr">
        <is>
          <t>Company / site</t>
        </is>
      </c>
      <c r="B8" s="5" t="inlineStr">
        <is>
          <t>Hadeed – integrated DRI-EAF steel works (illustrative example)</t>
        </is>
      </c>
      <c r="C8" s="9" t="n"/>
      <c r="D8" s="9" t="n"/>
      <c r="E8" s="10" t="n"/>
    </row>
    <row r="9">
      <c r="A9" s="11" t="inlineStr">
        <is>
          <t>Plant / unit / area</t>
        </is>
      </c>
      <c r="B9" s="5" t="inlineStr">
        <is>
          <t>Utilities – natural gas receiving, pressure reduction and plant distribution</t>
        </is>
      </c>
      <c r="C9" s="9" t="n"/>
      <c r="D9" s="9" t="n"/>
      <c r="E9" s="10" t="n"/>
    </row>
    <row r="10">
      <c r="A10" s="11" t="inlineStr">
        <is>
          <t>Related HAZOP study (document no.)</t>
        </is>
      </c>
      <c r="B10" s="5" t="inlineStr">
        <is>
          <t>HZ-EX-GN-001</t>
        </is>
      </c>
      <c r="C10" s="9" t="n"/>
      <c r="D10" s="9" t="n"/>
      <c r="E10" s="10" t="n"/>
    </row>
    <row r="11">
      <c r="A11" s="11" t="inlineStr">
        <is>
          <t>Study type</t>
        </is>
      </c>
      <c r="B11" s="5" t="inlineStr">
        <is>
          <t>FMECA – existing plant</t>
        </is>
      </c>
      <c r="C11" s="9" t="n"/>
      <c r="D11" s="9" t="n"/>
      <c r="E11" s="10" t="n"/>
    </row>
    <row r="12">
      <c r="A12" s="11" t="inlineStr">
        <is>
          <t>Document number</t>
        </is>
      </c>
      <c r="B12" s="5" t="inlineStr">
        <is>
          <t>FM-EX-GN-001</t>
        </is>
      </c>
      <c r="C12" s="9" t="n"/>
      <c r="D12" s="9" t="n"/>
      <c r="E12" s="10" t="n"/>
    </row>
    <row r="13">
      <c r="A13" s="11" t="inlineStr">
        <is>
          <t>Revision</t>
        </is>
      </c>
      <c r="B13" s="5" t="inlineStr">
        <is>
          <t>A</t>
        </is>
      </c>
      <c r="C13" s="9" t="n"/>
      <c r="D13" s="9" t="n"/>
      <c r="E13" s="10" t="n"/>
    </row>
    <row r="14">
      <c r="A14" s="11" t="inlineStr">
        <is>
          <t>Study start date</t>
        </is>
      </c>
      <c r="B14" s="5" t="inlineStr">
        <is>
          <t>2026-10-15</t>
        </is>
      </c>
      <c r="C14" s="9" t="n"/>
      <c r="D14" s="9" t="n"/>
      <c r="E14" s="10" t="n"/>
    </row>
    <row r="15">
      <c r="A15" s="11" t="inlineStr">
        <is>
          <t>Study end date</t>
        </is>
      </c>
      <c r="B15" s="5" t="inlineStr">
        <is>
          <t>2026-10-16</t>
        </is>
      </c>
      <c r="C15" s="9" t="n"/>
      <c r="D15" s="9" t="n"/>
      <c r="E15" s="10" t="n"/>
    </row>
    <row r="16" ht="45" customHeight="1">
      <c r="A16" s="11" t="inlineStr">
        <is>
          <t>Scope – systems included</t>
        </is>
      </c>
      <c r="B16" s="5" t="inlineStr">
        <is>
          <t>S01–S08 = HAZOP nodes N01–N08: GRMS, heaters + PRS-1, MP ring main, DS-2 (DRI), DS-3 (melt shop), reheat furnace fuel train + BMS, purge / vent, gas detection &amp; ESD</t>
        </is>
      </c>
      <c r="C16" s="9" t="n"/>
      <c r="D16" s="9" t="n"/>
      <c r="E16" s="10" t="n"/>
    </row>
    <row r="17" ht="45" customHeight="1">
      <c r="A17" s="11" t="inlineStr">
        <is>
          <t>Exclusions</t>
        </is>
      </c>
      <c r="B17" s="5" t="inlineStr">
        <is>
          <t>As the HAZOP (supplier pipeline, reformer internals, O2 plant, N2 generation)</t>
        </is>
      </c>
      <c r="C17" s="9" t="n"/>
      <c r="D17" s="9" t="n"/>
      <c r="E17" s="10" t="n"/>
    </row>
    <row r="18">
      <c r="A18" s="11" t="inlineStr">
        <is>
          <t>Level of analysis</t>
        </is>
      </c>
      <c r="B18" s="5" t="inlineStr">
        <is>
          <t>Equipment / maintainable item</t>
        </is>
      </c>
      <c r="C18" s="9" t="n"/>
      <c r="D18" s="9" t="n"/>
      <c r="E18" s="10" t="n"/>
    </row>
    <row r="19" ht="45" customHeight="1">
      <c r="A19" s="11" t="inlineStr">
        <is>
          <t>Operating context</t>
        </is>
      </c>
      <c r="B19" s="5" t="inlineStr">
        <is>
          <t>Continuous utility service; duty / standby filter-separators, heaters and regulator runs; protection systems on demand (proof-tested). Failure data illustrative – see the fault trees FT-GN-01/02/03</t>
        </is>
      </c>
      <c r="C19" s="9" t="n"/>
      <c r="D19" s="9" t="n"/>
      <c r="E19" s="10" t="n"/>
    </row>
    <row r="20">
      <c r="A20" s="11" t="inlineStr">
        <is>
          <t>Facilitator</t>
        </is>
      </c>
      <c r="B20" s="5" t="inlineStr">
        <is>
          <t>A. Facilitator</t>
        </is>
      </c>
      <c r="C20" s="9" t="n"/>
      <c r="D20" s="9" t="n"/>
      <c r="E20" s="10" t="n"/>
    </row>
    <row r="21">
      <c r="A21" s="11" t="inlineStr">
        <is>
          <t>Scribe</t>
        </is>
      </c>
      <c r="B21" s="5" t="inlineStr">
        <is>
          <t>B. Scribe</t>
        </is>
      </c>
      <c r="C21" s="9" t="n"/>
      <c r="D21" s="9" t="n"/>
      <c r="E21" s="10" t="n"/>
    </row>
    <row r="22">
      <c r="A22" s="11" t="inlineStr">
        <is>
          <t>Rating method</t>
        </is>
      </c>
      <c r="B22" s="5" t="inlineStr">
        <is>
          <t>Severity, Occurrence, Detection 1–10; RPN = S x O x D; AIAG-VDA Action Priority (see 'Rating Scales')</t>
        </is>
      </c>
      <c r="C22" s="9" t="n"/>
      <c r="D22" s="9" t="n"/>
      <c r="E22" s="10" t="n"/>
    </row>
    <row r="23">
      <c r="A23" s="11" t="inlineStr">
        <is>
          <t>Number of systems</t>
        </is>
      </c>
      <c r="B23" s="6">
        <f>COUNTA(Systems!B5:B34)</f>
        <v/>
      </c>
      <c r="C23" s="9" t="n"/>
      <c r="D23" s="9" t="n"/>
      <c r="E23" s="10" t="n"/>
    </row>
    <row r="24">
      <c r="A24" s="11" t="inlineStr">
        <is>
          <t>Number of equipment items</t>
        </is>
      </c>
      <c r="B24" s="6">
        <f>COUNTA('Equipment Register'!C5:C204)</f>
        <v/>
      </c>
      <c r="C24" s="9" t="n"/>
      <c r="D24" s="9" t="n"/>
      <c r="E24" s="10" t="n"/>
    </row>
    <row r="25"/>
    <row r="26">
      <c r="A26" s="8" t="inlineStr">
        <is>
          <t>STUDY TEAM</t>
        </is>
      </c>
      <c r="B26" s="9" t="n"/>
      <c r="C26" s="9" t="n"/>
      <c r="D26" s="9" t="n"/>
      <c r="E26" s="10" t="n"/>
    </row>
    <row r="27">
      <c r="A27" s="8" t="inlineStr">
        <is>
          <t>Name</t>
        </is>
      </c>
      <c r="B27" s="8" t="inlineStr">
        <is>
          <t>Company</t>
        </is>
      </c>
      <c r="C27" s="8" t="inlineStr">
        <is>
          <t>Discipline / role</t>
        </is>
      </c>
      <c r="D27" s="8" t="inlineStr">
        <is>
          <t>Sessions / days attended</t>
        </is>
      </c>
      <c r="E27" s="8" t="inlineStr">
        <is>
          <t>Signature</t>
        </is>
      </c>
    </row>
    <row r="28">
      <c r="A28" s="5" t="inlineStr">
        <is>
          <t>A. Facilitator</t>
        </is>
      </c>
      <c r="B28" s="5" t="inlineStr">
        <is>
          <t>Istec</t>
        </is>
      </c>
      <c r="C28" s="5" t="inlineStr">
        <is>
          <t>Facilitator</t>
        </is>
      </c>
      <c r="D28" s="5" t="inlineStr">
        <is>
          <t>Days 1–2</t>
        </is>
      </c>
      <c r="E28" s="5" t="n"/>
    </row>
    <row r="29">
      <c r="A29" s="5" t="inlineStr">
        <is>
          <t>B. Scribe</t>
        </is>
      </c>
      <c r="B29" s="5" t="inlineStr">
        <is>
          <t>Istec</t>
        </is>
      </c>
      <c r="C29" s="5" t="inlineStr">
        <is>
          <t>Scribe</t>
        </is>
      </c>
      <c r="D29" s="5" t="inlineStr">
        <is>
          <t>Days 1–2</t>
        </is>
      </c>
      <c r="E29" s="5" t="n"/>
    </row>
    <row r="30">
      <c r="A30" s="5" t="inlineStr">
        <is>
          <t>E. Instrument</t>
        </is>
      </c>
      <c r="B30" s="5" t="inlineStr">
        <is>
          <t>Maintenance</t>
        </is>
      </c>
      <c r="C30" s="5" t="inlineStr">
        <is>
          <t>Electrical / instrument technician</t>
        </is>
      </c>
      <c r="D30" s="5" t="inlineStr">
        <is>
          <t>Days 1–2</t>
        </is>
      </c>
      <c r="E30" s="5" t="n"/>
    </row>
    <row r="31">
      <c r="A31" s="5" t="inlineStr">
        <is>
          <t>F. Mechanical</t>
        </is>
      </c>
      <c r="B31" s="5" t="inlineStr">
        <is>
          <t>Maintenance</t>
        </is>
      </c>
      <c r="C31" s="5" t="inlineStr">
        <is>
          <t>Maintenance engineer / planner</t>
        </is>
      </c>
      <c r="D31" s="5" t="inlineStr">
        <is>
          <t>Days 1–2</t>
        </is>
      </c>
      <c r="E31" s="5" t="n"/>
    </row>
    <row r="32">
      <c r="A32" s="5" t="inlineStr">
        <is>
          <t>J. Reliability</t>
        </is>
      </c>
      <c r="B32" s="5" t="inlineStr">
        <is>
          <t>Maintenance</t>
        </is>
      </c>
      <c r="C32" s="5" t="inlineStr">
        <is>
          <t>Reliability engineer</t>
        </is>
      </c>
      <c r="D32" s="5" t="inlineStr">
        <is>
          <t>Days 1–2</t>
        </is>
      </c>
      <c r="E32" s="5" t="n"/>
    </row>
    <row r="33">
      <c r="A33" s="5" t="inlineStr">
        <is>
          <t>D. Operator</t>
        </is>
      </c>
      <c r="B33" s="5" t="inlineStr">
        <is>
          <t>Utilities</t>
        </is>
      </c>
      <c r="C33" s="5" t="inlineStr">
        <is>
          <t>Operations representative</t>
        </is>
      </c>
      <c r="D33" s="5" t="inlineStr">
        <is>
          <t>Days 1–2</t>
        </is>
      </c>
      <c r="E33" s="5" t="n"/>
    </row>
    <row r="34">
      <c r="A34" s="5" t="n"/>
      <c r="B34" s="5" t="n"/>
      <c r="C34" s="5" t="n"/>
      <c r="D34" s="5" t="n"/>
      <c r="E34" s="5" t="n"/>
    </row>
    <row r="35">
      <c r="A35" s="5" t="n"/>
      <c r="B35" s="5" t="n"/>
      <c r="C35" s="5" t="n"/>
      <c r="D35" s="5" t="n"/>
      <c r="E35" s="5" t="n"/>
    </row>
    <row r="36">
      <c r="A36" s="5" t="n"/>
      <c r="B36" s="5" t="n"/>
      <c r="C36" s="5" t="n"/>
      <c r="D36" s="5" t="n"/>
      <c r="E36" s="5" t="n"/>
    </row>
    <row r="37">
      <c r="A37" s="5" t="n"/>
      <c r="B37" s="5" t="n"/>
      <c r="C37" s="5" t="n"/>
      <c r="D37" s="5" t="n"/>
      <c r="E37" s="5" t="n"/>
    </row>
    <row r="38">
      <c r="A38" s="5" t="n"/>
      <c r="B38" s="5" t="n"/>
      <c r="C38" s="5" t="n"/>
      <c r="D38" s="5" t="n"/>
      <c r="E38" s="5" t="n"/>
    </row>
    <row r="39">
      <c r="A39" s="5" t="n"/>
      <c r="B39" s="5" t="n"/>
      <c r="C39" s="5" t="n"/>
      <c r="D39" s="5" t="n"/>
      <c r="E39" s="5" t="n"/>
    </row>
    <row r="40"/>
    <row r="41">
      <c r="A41" s="8" t="inlineStr">
        <is>
          <t>APPROVAL</t>
        </is>
      </c>
      <c r="B41" s="9" t="n"/>
      <c r="C41" s="9" t="n"/>
      <c r="D41" s="9" t="n"/>
      <c r="E41" s="10" t="n"/>
    </row>
    <row r="42">
      <c r="A42" s="8" t="inlineStr"/>
      <c r="B42" s="8" t="inlineStr">
        <is>
          <t>Name</t>
        </is>
      </c>
      <c r="C42" s="8" t="inlineStr">
        <is>
          <t>Position</t>
        </is>
      </c>
      <c r="D42" s="8" t="inlineStr">
        <is>
          <t>Signature</t>
        </is>
      </c>
      <c r="E42" s="8" t="inlineStr">
        <is>
          <t>Date</t>
        </is>
      </c>
    </row>
    <row r="43">
      <c r="A43" s="11" t="inlineStr">
        <is>
          <t>Prepared by</t>
        </is>
      </c>
      <c r="B43" s="5" t="n"/>
      <c r="C43" s="5" t="n"/>
      <c r="D43" s="5" t="n"/>
      <c r="E43" s="5" t="n"/>
    </row>
    <row r="44">
      <c r="A44" s="11" t="inlineStr">
        <is>
          <t>Reviewed by</t>
        </is>
      </c>
      <c r="B44" s="5" t="n"/>
      <c r="C44" s="5" t="n"/>
      <c r="D44" s="5" t="n"/>
      <c r="E44" s="5" t="n"/>
    </row>
    <row r="45">
      <c r="A45" s="11" t="inlineStr">
        <is>
          <t>Approved by</t>
        </is>
      </c>
      <c r="B45" s="5" t="n"/>
      <c r="C45" s="5" t="n"/>
      <c r="D45" s="5" t="n"/>
      <c r="E45" s="5" t="n"/>
    </row>
    <row r="46"/>
    <row r="47">
      <c r="A47" s="8" t="inlineStr">
        <is>
          <t>WORKBOOK CONTENTS</t>
        </is>
      </c>
      <c r="B47" s="9" t="n"/>
      <c r="C47" s="9" t="n"/>
      <c r="D47" s="9" t="n"/>
      <c r="E47" s="10" t="n"/>
    </row>
    <row r="48">
      <c r="A48" s="12" t="inlineStr">
        <is>
          <t>Cover</t>
        </is>
      </c>
      <c r="B48" s="13" t="inlineStr">
        <is>
          <t>Study details, team, approval</t>
        </is>
      </c>
      <c r="C48" s="9" t="n"/>
      <c r="D48" s="9" t="n"/>
      <c r="E48" s="10" t="n"/>
    </row>
    <row r="49">
      <c r="A49" s="12" t="inlineStr">
        <is>
          <t>Reference Docs</t>
        </is>
      </c>
      <c r="B49" s="13" t="inlineStr">
        <is>
          <t>Drawings, equipment data, maintenance history and reliability data used in the study</t>
        </is>
      </c>
      <c r="C49" s="9" t="n"/>
      <c r="D49" s="9" t="n"/>
      <c r="E49" s="10" t="n"/>
    </row>
    <row r="50">
      <c r="A50" s="12" t="inlineStr">
        <is>
          <t>Systems</t>
        </is>
      </c>
      <c r="B50" s="13" t="inlineStr">
        <is>
          <t>System list: function, operating context, boundaries, drawings, related HAZOP nodes</t>
        </is>
      </c>
      <c r="C50" s="9" t="n"/>
      <c r="D50" s="9" t="n"/>
      <c r="E50" s="10" t="n"/>
    </row>
    <row r="51">
      <c r="A51" s="12" t="inlineStr">
        <is>
          <t>Equipment Register</t>
        </is>
      </c>
      <c r="B51" s="13" t="inlineStr">
        <is>
          <t>Equipment tags per system with equipment type (drives the drop-downs on the system sheets)</t>
        </is>
      </c>
      <c r="C51" s="9" t="n"/>
      <c r="D51" s="9" t="n"/>
      <c r="E51" s="10" t="n"/>
    </row>
    <row r="52">
      <c r="A52" s="12" t="inlineStr">
        <is>
          <t>Lists</t>
        </is>
      </c>
      <c r="B52" s="13" t="inlineStr">
        <is>
          <t>Drop-down sources: equipment types, components, failure modes, causes / mechanisms, detection methods (editable)</t>
        </is>
      </c>
      <c r="C52" s="9" t="n"/>
      <c r="D52" s="9" t="n"/>
      <c r="E52" s="10" t="n"/>
    </row>
    <row r="53">
      <c r="A53" s="12" t="inlineStr">
        <is>
          <t>Rating Scales</t>
        </is>
      </c>
      <c r="B53" s="13" t="inlineStr">
        <is>
          <t>Severity, Occurrence, Detection 1–10 scales, RPN / severity thresholds and Action Priority table (editable)</t>
        </is>
      </c>
      <c r="C53" s="9" t="n"/>
      <c r="D53" s="9" t="n"/>
      <c r="E53" s="10" t="n"/>
    </row>
    <row r="54">
      <c r="A54" s="12" t="inlineStr">
        <is>
          <t>Summary</t>
        </is>
      </c>
      <c r="B54" s="13" t="inlineStr">
        <is>
          <t>Failure modes, Action Priority counts, highest RPN and open actions per system</t>
        </is>
      </c>
      <c r="C54" s="9" t="n"/>
      <c r="D54" s="9" t="n"/>
      <c r="E54" s="10" t="n"/>
    </row>
    <row r="55">
      <c r="A55" s="12" t="inlineStr">
        <is>
          <t>System 01 … System 10</t>
        </is>
      </c>
      <c r="B55" s="13" t="inlineStr">
        <is>
          <t>One FMECA worksheet per system – one row per failure mode. Macro AddSystemSheet adds a new system sheet and its Summary row.</t>
        </is>
      </c>
      <c r="C55" s="9" t="n"/>
      <c r="D55" s="9" t="n"/>
      <c r="E55" s="10" t="n"/>
    </row>
    <row r="56"/>
    <row r="57"/>
    <row r="58"/>
    <row r="59"/>
  </sheetData>
  <mergeCells count="30">
    <mergeCell ref="B9:E9"/>
    <mergeCell ref="B49:E49"/>
    <mergeCell ref="B15:E15"/>
    <mergeCell ref="B55:E55"/>
    <mergeCell ref="B24:E24"/>
    <mergeCell ref="B51:E51"/>
    <mergeCell ref="B20:E20"/>
    <mergeCell ref="A6:E6"/>
    <mergeCell ref="B50:E50"/>
    <mergeCell ref="A41:E41"/>
    <mergeCell ref="B16:E16"/>
    <mergeCell ref="B54:E54"/>
    <mergeCell ref="B7:E7"/>
    <mergeCell ref="B22:E22"/>
    <mergeCell ref="B18:E18"/>
    <mergeCell ref="A26:E26"/>
    <mergeCell ref="B12:E12"/>
    <mergeCell ref="B52:E52"/>
    <mergeCell ref="B21:E21"/>
    <mergeCell ref="B48:E48"/>
    <mergeCell ref="A47:E47"/>
    <mergeCell ref="B11:E11"/>
    <mergeCell ref="B14:E14"/>
    <mergeCell ref="B17:E17"/>
    <mergeCell ref="B23:E23"/>
    <mergeCell ref="B8:E8"/>
    <mergeCell ref="B53:E53"/>
    <mergeCell ref="B13:E13"/>
    <mergeCell ref="B19:E19"/>
    <mergeCell ref="B10:E10"/>
  </mergeCells>
  <dataValidations count="3">
    <dataValidation sqref="B11" showDropDown="0" showInputMessage="0" showErrorMessage="1" allowBlank="1" errorTitle="Not in list" error="Entry is not in the list – it will be accepted as free text." type="list" errorStyle="information">
      <formula1>"FMECA – new design,FMECA – existing plant,FMECA – modification / MOC,FMECA – RCM input"</formula1>
    </dataValidation>
    <dataValidation sqref="B18" showDropDown="0" showInputMessage="0" showErrorMessage="1" allowBlank="1" errorTitle="Not in list" error="Entry is not in the list – it will be accepted as free text." type="list" errorStyle="information">
      <formula1>"System / functional,Equipment / maintainable item,Component / part"</formula1>
    </dataValidation>
    <dataValidation sqref="C28:C39" showDropDown="0" showInputMessage="0" showErrorMessage="1" allowBlank="1" errorTitle="Not in list" error="Entry is not in the list – it will be accepted as free text." type="list" errorStyle="information">
      <formula1>"Facilitator,Scribe,Reliability engineer,Maintenance engineer / planner,Mechanical technician,Electrical / instrument technician,Operations representative,Process engineer,Inspection / integrity engineer,HSE / process safety,Vendor specialist,Other"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59"/>
  <sheetViews>
    <sheetView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8" customWidth="1" min="1" max="1"/>
    <col width="22" customWidth="1" min="2" max="2"/>
    <col width="20" customWidth="1" min="3" max="3"/>
    <col width="50" customWidth="1" min="4" max="4"/>
    <col width="9" customWidth="1" min="5" max="5"/>
    <col width="12" customWidth="1" min="6" max="6"/>
    <col width="18" customWidth="1" min="7" max="7"/>
    <col width="14" customWidth="1" min="8" max="8"/>
    <col width="18" customWidth="1" min="9" max="9"/>
    <col width="34" customWidth="1" min="10" max="10"/>
  </cols>
  <sheetData>
    <row r="1">
      <c r="A1" s="1" t="inlineStr">
        <is>
          <t>REFERENCE DOCUMENT REGISTER</t>
        </is>
      </c>
    </row>
    <row r="2">
      <c r="A2" s="2" t="inlineStr">
        <is>
          <t>Pre-filled with a typical FMECA checklist – delete or add rows as required.</t>
        </is>
      </c>
    </row>
    <row r="4">
      <c r="A4" s="8" t="inlineStr">
        <is>
          <t>Ref</t>
        </is>
      </c>
      <c r="B4" s="8" t="inlineStr">
        <is>
          <t>Category</t>
        </is>
      </c>
      <c r="C4" s="8" t="inlineStr">
        <is>
          <t>Document number</t>
        </is>
      </c>
      <c r="D4" s="8" t="inlineStr">
        <is>
          <t>Title / description</t>
        </is>
      </c>
      <c r="E4" s="8" t="inlineStr">
        <is>
          <t>Revision</t>
        </is>
      </c>
      <c r="F4" s="8" t="inlineStr">
        <is>
          <t>Date</t>
        </is>
      </c>
      <c r="G4" s="8" t="inlineStr">
        <is>
          <t>Owner / custodian</t>
        </is>
      </c>
      <c r="H4" s="8" t="inlineStr">
        <is>
          <t>Status</t>
        </is>
      </c>
      <c r="I4" s="8" t="inlineStr">
        <is>
          <t>Applicable systems</t>
        </is>
      </c>
      <c r="J4" s="8" t="inlineStr">
        <is>
          <t>Comments</t>
        </is>
      </c>
    </row>
    <row r="5">
      <c r="A5" s="13" t="inlineStr">
        <is>
          <t>REF-01</t>
        </is>
      </c>
      <c r="B5" s="5" t="inlineStr">
        <is>
          <t>Drawings</t>
        </is>
      </c>
      <c r="C5" s="5" t="inlineStr">
        <is>
          <t>P&amp;ID-GN-1001</t>
        </is>
      </c>
      <c r="D5" s="5" t="inlineStr">
        <is>
          <t>Gas receiving &amp; metering station (GRMS) P&amp;ID</t>
        </is>
      </c>
      <c r="E5" s="5" t="inlineStr">
        <is>
          <t>A</t>
        </is>
      </c>
      <c r="F5" s="14" t="n"/>
      <c r="G5" s="5" t="inlineStr">
        <is>
          <t>Utilities</t>
        </is>
      </c>
      <c r="H5" s="5" t="inlineStr">
        <is>
          <t>Available</t>
        </is>
      </c>
      <c r="I5" s="5" t="inlineStr">
        <is>
          <t>S01</t>
        </is>
      </c>
      <c r="J5" s="5" t="inlineStr"/>
    </row>
    <row r="6">
      <c r="A6" s="13" t="inlineStr">
        <is>
          <t>REF-02</t>
        </is>
      </c>
      <c r="B6" s="5" t="inlineStr">
        <is>
          <t>Drawings</t>
        </is>
      </c>
      <c r="C6" s="5" t="inlineStr">
        <is>
          <t>P&amp;ID-GN-1101</t>
        </is>
      </c>
      <c r="D6" s="5" t="inlineStr">
        <is>
          <t>Gas heaters and pressure reduction station PRS-1 P&amp;ID</t>
        </is>
      </c>
      <c r="E6" s="5" t="inlineStr">
        <is>
          <t>A</t>
        </is>
      </c>
      <c r="F6" s="14" t="n"/>
      <c r="G6" s="5" t="inlineStr">
        <is>
          <t>Utilities</t>
        </is>
      </c>
      <c r="H6" s="5" t="inlineStr">
        <is>
          <t>Available</t>
        </is>
      </c>
      <c r="I6" s="5" t="inlineStr">
        <is>
          <t>S02</t>
        </is>
      </c>
      <c r="J6" s="5" t="inlineStr"/>
    </row>
    <row r="7">
      <c r="A7" s="13" t="inlineStr">
        <is>
          <t>REF-03</t>
        </is>
      </c>
      <c r="B7" s="5" t="inlineStr">
        <is>
          <t>Drawings</t>
        </is>
      </c>
      <c r="C7" s="5" t="inlineStr">
        <is>
          <t>P&amp;ID-GN-1201/1202</t>
        </is>
      </c>
      <c r="D7" s="5" t="inlineStr">
        <is>
          <t>MP ring main and pipe-rack routing</t>
        </is>
      </c>
      <c r="E7" s="5" t="inlineStr">
        <is>
          <t>A</t>
        </is>
      </c>
      <c r="F7" s="14" t="n"/>
      <c r="G7" s="5" t="inlineStr">
        <is>
          <t>Utilities</t>
        </is>
      </c>
      <c r="H7" s="5" t="inlineStr">
        <is>
          <t>Available</t>
        </is>
      </c>
      <c r="I7" s="5" t="inlineStr">
        <is>
          <t>S03</t>
        </is>
      </c>
      <c r="J7" s="5" t="inlineStr"/>
    </row>
    <row r="8">
      <c r="A8" s="13" t="inlineStr">
        <is>
          <t>REF-04</t>
        </is>
      </c>
      <c r="B8" s="5" t="inlineStr">
        <is>
          <t>Drawings</t>
        </is>
      </c>
      <c r="C8" s="5" t="inlineStr">
        <is>
          <t>P&amp;ID-GN-2001</t>
        </is>
      </c>
      <c r="D8" s="5" t="inlineStr">
        <is>
          <t>DRI plant district station DS-2</t>
        </is>
      </c>
      <c r="E8" s="5" t="inlineStr">
        <is>
          <t>A</t>
        </is>
      </c>
      <c r="F8" s="14" t="n"/>
      <c r="G8" s="5" t="inlineStr">
        <is>
          <t>Utilities</t>
        </is>
      </c>
      <c r="H8" s="5" t="inlineStr">
        <is>
          <t>Available</t>
        </is>
      </c>
      <c r="I8" s="5" t="inlineStr">
        <is>
          <t>S04</t>
        </is>
      </c>
      <c r="J8" s="5" t="inlineStr"/>
    </row>
    <row r="9">
      <c r="A9" s="13" t="inlineStr">
        <is>
          <t>REF-05</t>
        </is>
      </c>
      <c r="B9" s="5" t="inlineStr">
        <is>
          <t>Drawings</t>
        </is>
      </c>
      <c r="C9" s="5" t="inlineStr">
        <is>
          <t>P&amp;ID-GN-3001</t>
        </is>
      </c>
      <c r="D9" s="5" t="inlineStr">
        <is>
          <t>Melt shop district station DS-3, oxy-fuel burners and ladle preheaters</t>
        </is>
      </c>
      <c r="E9" s="5" t="inlineStr">
        <is>
          <t>A</t>
        </is>
      </c>
      <c r="F9" s="14" t="n"/>
      <c r="G9" s="5" t="inlineStr">
        <is>
          <t>Utilities</t>
        </is>
      </c>
      <c r="H9" s="5" t="inlineStr">
        <is>
          <t>Available</t>
        </is>
      </c>
      <c r="I9" s="5" t="inlineStr">
        <is>
          <t>S05</t>
        </is>
      </c>
      <c r="J9" s="5" t="inlineStr"/>
    </row>
    <row r="10">
      <c r="A10" s="13" t="inlineStr">
        <is>
          <t>REF-06</t>
        </is>
      </c>
      <c r="B10" s="5" t="inlineStr">
        <is>
          <t>Drawings</t>
        </is>
      </c>
      <c r="C10" s="5" t="inlineStr">
        <is>
          <t>P&amp;ID-GN-4001</t>
        </is>
      </c>
      <c r="D10" s="5" t="inlineStr">
        <is>
          <t>Rolling-mill reheat furnace fuel gas train and BMS</t>
        </is>
      </c>
      <c r="E10" s="5" t="inlineStr">
        <is>
          <t>A</t>
        </is>
      </c>
      <c r="F10" s="14" t="n"/>
      <c r="G10" s="5" t="inlineStr">
        <is>
          <t>Utilities</t>
        </is>
      </c>
      <c r="H10" s="5" t="inlineStr">
        <is>
          <t>Available</t>
        </is>
      </c>
      <c r="I10" s="5" t="inlineStr">
        <is>
          <t>S06</t>
        </is>
      </c>
      <c r="J10" s="5" t="inlineStr"/>
    </row>
    <row r="11">
      <c r="A11" s="13" t="inlineStr">
        <is>
          <t>REF-07</t>
        </is>
      </c>
      <c r="B11" s="5" t="inlineStr">
        <is>
          <t>Drawings</t>
        </is>
      </c>
      <c r="C11" s="5" t="inlineStr">
        <is>
          <t>P&amp;ID-GN-1301</t>
        </is>
      </c>
      <c r="D11" s="5" t="inlineStr">
        <is>
          <t>Vent stack, blowdown and N2 purge connections</t>
        </is>
      </c>
      <c r="E11" s="5" t="inlineStr">
        <is>
          <t>A</t>
        </is>
      </c>
      <c r="F11" s="14" t="n"/>
      <c r="G11" s="5" t="inlineStr">
        <is>
          <t>Utilities</t>
        </is>
      </c>
      <c r="H11" s="5" t="inlineStr">
        <is>
          <t>Available</t>
        </is>
      </c>
      <c r="I11" s="5" t="inlineStr">
        <is>
          <t>S07</t>
        </is>
      </c>
      <c r="J11" s="5" t="inlineStr"/>
    </row>
    <row r="12">
      <c r="A12" s="13" t="inlineStr">
        <is>
          <t>REF-08</t>
        </is>
      </c>
      <c r="B12" s="5" t="inlineStr">
        <is>
          <t>Drawings</t>
        </is>
      </c>
      <c r="C12" s="5" t="inlineStr">
        <is>
          <t>C&amp;E-GN-1000</t>
        </is>
      </c>
      <c r="D12" s="5" t="inlineStr">
        <is>
          <t>ESD / F&amp;G cause-and-effect charts</t>
        </is>
      </c>
      <c r="E12" s="5" t="inlineStr">
        <is>
          <t>A</t>
        </is>
      </c>
      <c r="F12" s="14" t="n"/>
      <c r="G12" s="5" t="inlineStr">
        <is>
          <t>Utilities</t>
        </is>
      </c>
      <c r="H12" s="5" t="inlineStr">
        <is>
          <t>Available</t>
        </is>
      </c>
      <c r="I12" s="5" t="inlineStr">
        <is>
          <t>S01, S02, S08</t>
        </is>
      </c>
      <c r="J12" s="5" t="inlineStr"/>
    </row>
    <row r="13">
      <c r="A13" s="13" t="inlineStr">
        <is>
          <t>REF-09</t>
        </is>
      </c>
      <c r="B13" s="5" t="inlineStr">
        <is>
          <t>Drawings</t>
        </is>
      </c>
      <c r="C13" s="5" t="inlineStr">
        <is>
          <t>HAC-GN-001</t>
        </is>
      </c>
      <c r="D13" s="5" t="inlineStr">
        <is>
          <t>Hazardous area classification – gas network</t>
        </is>
      </c>
      <c r="E13" s="5" t="inlineStr">
        <is>
          <t>A</t>
        </is>
      </c>
      <c r="F13" s="14" t="n"/>
      <c r="G13" s="5" t="inlineStr">
        <is>
          <t>Utilities</t>
        </is>
      </c>
      <c r="H13" s="5" t="inlineStr">
        <is>
          <t>Available</t>
        </is>
      </c>
      <c r="I13" s="5" t="inlineStr">
        <is>
          <t>S01, S02, S03, S07</t>
        </is>
      </c>
      <c r="J13" s="5" t="inlineStr"/>
    </row>
    <row r="14">
      <c r="A14" s="13" t="inlineStr">
        <is>
          <t>REF-10</t>
        </is>
      </c>
      <c r="B14" s="5" t="inlineStr">
        <is>
          <t>Other</t>
        </is>
      </c>
      <c r="C14" s="5" t="inlineStr">
        <is>
          <t>DB-GN-001</t>
        </is>
      </c>
      <c r="D14" s="5" t="inlineStr">
        <is>
          <t>Gas network design basis (pressures, set points, MDMT)</t>
        </is>
      </c>
      <c r="E14" s="5" t="inlineStr">
        <is>
          <t>A</t>
        </is>
      </c>
      <c r="F14" s="14" t="n"/>
      <c r="G14" s="5" t="inlineStr">
        <is>
          <t>Utilities</t>
        </is>
      </c>
      <c r="H14" s="5" t="inlineStr">
        <is>
          <t>Available</t>
        </is>
      </c>
      <c r="I14" s="5" t="inlineStr">
        <is>
          <t>S01, S02, S03</t>
        </is>
      </c>
      <c r="J14" s="5" t="inlineStr"/>
    </row>
    <row r="15">
      <c r="A15" s="13" t="inlineStr">
        <is>
          <t>REF-11</t>
        </is>
      </c>
      <c r="B15" s="5" t="inlineStr">
        <is>
          <t>Other</t>
        </is>
      </c>
      <c r="C15" s="5" t="inlineStr">
        <is>
          <t>RS-GN-001</t>
        </is>
      </c>
      <c r="D15" s="5" t="inlineStr">
        <is>
          <t>Relief and overpressure protection study</t>
        </is>
      </c>
      <c r="E15" s="5" t="inlineStr">
        <is>
          <t>A</t>
        </is>
      </c>
      <c r="F15" s="14" t="n"/>
      <c r="G15" s="5" t="inlineStr">
        <is>
          <t>Utilities</t>
        </is>
      </c>
      <c r="H15" s="5" t="inlineStr">
        <is>
          <t>Available</t>
        </is>
      </c>
      <c r="I15" s="5" t="inlineStr">
        <is>
          <t>S01, S02, S07</t>
        </is>
      </c>
      <c r="J15" s="5" t="inlineStr"/>
    </row>
    <row r="16">
      <c r="A16" s="13" t="inlineStr">
        <is>
          <t>REF-12</t>
        </is>
      </c>
      <c r="B16" s="5" t="inlineStr">
        <is>
          <t>Other</t>
        </is>
      </c>
      <c r="C16" s="5" t="inlineStr">
        <is>
          <t>SRS-GN-001</t>
        </is>
      </c>
      <c r="D16" s="5" t="inlineStr">
        <is>
          <t>Safety requirements specification – gas ESD and furnace BMS</t>
        </is>
      </c>
      <c r="E16" s="5" t="inlineStr">
        <is>
          <t>A</t>
        </is>
      </c>
      <c r="F16" s="14" t="n"/>
      <c r="G16" s="5" t="inlineStr">
        <is>
          <t>Utilities</t>
        </is>
      </c>
      <c r="H16" s="5" t="inlineStr">
        <is>
          <t>Available</t>
        </is>
      </c>
      <c r="I16" s="5" t="inlineStr">
        <is>
          <t>S06, S08</t>
        </is>
      </c>
      <c r="J16" s="5" t="inlineStr"/>
    </row>
    <row r="17">
      <c r="A17" s="13" t="inlineStr">
        <is>
          <t>REF-13</t>
        </is>
      </c>
      <c r="B17" s="5" t="inlineStr">
        <is>
          <t>Other</t>
        </is>
      </c>
      <c r="C17" s="5" t="inlineStr">
        <is>
          <t>SDS-NG-001</t>
        </is>
      </c>
      <c r="D17" s="5" t="inlineStr">
        <is>
          <t>Natural gas safety data sheet; gas supply quality specification</t>
        </is>
      </c>
      <c r="E17" s="5" t="inlineStr">
        <is>
          <t>A</t>
        </is>
      </c>
      <c r="F17" s="14" t="n"/>
      <c r="G17" s="5" t="inlineStr">
        <is>
          <t>Utilities</t>
        </is>
      </c>
      <c r="H17" s="5" t="inlineStr">
        <is>
          <t>Available</t>
        </is>
      </c>
      <c r="I17" s="5" t="inlineStr">
        <is>
          <t>S01</t>
        </is>
      </c>
      <c r="J17" s="5" t="inlineStr"/>
    </row>
    <row r="18">
      <c r="A18" s="13" t="inlineStr">
        <is>
          <t>REF-14</t>
        </is>
      </c>
      <c r="B18" s="5" t="inlineStr">
        <is>
          <t>Other</t>
        </is>
      </c>
      <c r="C18" s="5" t="inlineStr">
        <is>
          <t>OP-GN-010</t>
        </is>
      </c>
      <c r="D18" s="5" t="inlineStr">
        <is>
          <t>Pigging procedure (pig receiver PR-1001)</t>
        </is>
      </c>
      <c r="E18" s="5" t="inlineStr">
        <is>
          <t>A</t>
        </is>
      </c>
      <c r="F18" s="14" t="n"/>
      <c r="G18" s="5" t="inlineStr">
        <is>
          <t>Utilities</t>
        </is>
      </c>
      <c r="H18" s="5" t="inlineStr">
        <is>
          <t>Available</t>
        </is>
      </c>
      <c r="I18" s="5" t="inlineStr">
        <is>
          <t>S01, S07</t>
        </is>
      </c>
      <c r="J18" s="5" t="inlineStr"/>
    </row>
    <row r="19">
      <c r="A19" s="13" t="inlineStr">
        <is>
          <t>REF-15</t>
        </is>
      </c>
      <c r="B19" s="5" t="inlineStr">
        <is>
          <t>Other</t>
        </is>
      </c>
      <c r="C19" s="5" t="inlineStr">
        <is>
          <t>OP-GN-020</t>
        </is>
      </c>
      <c r="D19" s="5" t="inlineStr">
        <is>
          <t>Purging and gas-in / gas-out procedure</t>
        </is>
      </c>
      <c r="E19" s="5" t="inlineStr">
        <is>
          <t>A</t>
        </is>
      </c>
      <c r="F19" s="14" t="n"/>
      <c r="G19" s="5" t="inlineStr">
        <is>
          <t>Utilities</t>
        </is>
      </c>
      <c r="H19" s="5" t="inlineStr">
        <is>
          <t>Available</t>
        </is>
      </c>
      <c r="I19" s="5" t="inlineStr">
        <is>
          <t>S03, S07</t>
        </is>
      </c>
      <c r="J19" s="5" t="inlineStr"/>
    </row>
    <row r="20">
      <c r="A20" s="13" t="inlineStr">
        <is>
          <t>REF-16</t>
        </is>
      </c>
      <c r="B20" s="5" t="inlineStr">
        <is>
          <t>Other</t>
        </is>
      </c>
      <c r="C20" s="5" t="inlineStr">
        <is>
          <t>OP-RM-040</t>
        </is>
      </c>
      <c r="D20" s="5" t="inlineStr">
        <is>
          <t>Reheat furnace light-off and shutdown procedure</t>
        </is>
      </c>
      <c r="E20" s="5" t="inlineStr">
        <is>
          <t>A</t>
        </is>
      </c>
      <c r="F20" s="14" t="n"/>
      <c r="G20" s="5" t="inlineStr">
        <is>
          <t>Utilities</t>
        </is>
      </c>
      <c r="H20" s="5" t="inlineStr">
        <is>
          <t>Available</t>
        </is>
      </c>
      <c r="I20" s="5" t="inlineStr">
        <is>
          <t>S06</t>
        </is>
      </c>
      <c r="J20" s="5" t="inlineStr"/>
    </row>
    <row r="21">
      <c r="A21" s="13" t="inlineStr">
        <is>
          <t>REF-17</t>
        </is>
      </c>
      <c r="B21" s="5" t="inlineStr">
        <is>
          <t>Other</t>
        </is>
      </c>
      <c r="C21" s="5" t="inlineStr">
        <is>
          <t>HZ-GN-2019</t>
        </is>
      </c>
      <c r="D21" s="5" t="inlineStr">
        <is>
          <t>Previous gas network HAZOP (2019) and close-out status</t>
        </is>
      </c>
      <c r="E21" s="5" t="inlineStr">
        <is>
          <t>A</t>
        </is>
      </c>
      <c r="F21" s="14" t="n"/>
      <c r="G21" s="5" t="inlineStr">
        <is>
          <t>Utilities</t>
        </is>
      </c>
      <c r="H21" s="5" t="inlineStr">
        <is>
          <t>Available</t>
        </is>
      </c>
      <c r="I21" s="5" t="inlineStr">
        <is>
          <t>S01, S02, S03</t>
        </is>
      </c>
      <c r="J21" s="5" t="inlineStr"/>
    </row>
    <row r="22">
      <c r="A22" s="13" t="inlineStr">
        <is>
          <t>REF-18</t>
        </is>
      </c>
      <c r="B22" s="5" t="inlineStr">
        <is>
          <t>Other</t>
        </is>
      </c>
      <c r="C22" s="5" t="inlineStr">
        <is>
          <t>INC-GN-LOG</t>
        </is>
      </c>
      <c r="D22" s="5" t="inlineStr">
        <is>
          <t>Gas incident / near-miss log (last 5 years)</t>
        </is>
      </c>
      <c r="E22" s="5" t="inlineStr">
        <is>
          <t>A</t>
        </is>
      </c>
      <c r="F22" s="14" t="n"/>
      <c r="G22" s="5" t="inlineStr">
        <is>
          <t>Utilities</t>
        </is>
      </c>
      <c r="H22" s="5" t="inlineStr">
        <is>
          <t>Available</t>
        </is>
      </c>
      <c r="I22" s="5" t="inlineStr">
        <is>
          <t>S03, S05, S06</t>
        </is>
      </c>
      <c r="J22" s="5" t="inlineStr"/>
    </row>
    <row r="23">
      <c r="A23" s="13" t="inlineStr">
        <is>
          <t>REF-19</t>
        </is>
      </c>
      <c r="B23" s="5" t="inlineStr">
        <is>
          <t>Other</t>
        </is>
      </c>
      <c r="C23" s="5" t="inlineStr">
        <is>
          <t>HZ-EX-GN-001</t>
        </is>
      </c>
      <c r="D23" s="5" t="inlineStr">
        <is>
          <t>HAZOP study (this example) – HAZOP Study Manager file and workbook</t>
        </is>
      </c>
      <c r="E23" s="5" t="inlineStr">
        <is>
          <t>A</t>
        </is>
      </c>
      <c r="F23" s="14" t="n"/>
      <c r="G23" s="5" t="inlineStr">
        <is>
          <t>Utilities</t>
        </is>
      </c>
      <c r="H23" s="5" t="inlineStr">
        <is>
          <t>Available</t>
        </is>
      </c>
      <c r="I23" s="5" t="inlineStr">
        <is>
          <t>S01–S08</t>
        </is>
      </c>
      <c r="J23" s="5" t="inlineStr"/>
    </row>
    <row r="24">
      <c r="A24" s="13" t="inlineStr">
        <is>
          <t>REF-20</t>
        </is>
      </c>
      <c r="B24" s="5" t="inlineStr">
        <is>
          <t>Other</t>
        </is>
      </c>
      <c r="C24" s="5" t="inlineStr">
        <is>
          <t>FT-GN-01/02/03</t>
        </is>
      </c>
      <c r="D24" s="5" t="inlineStr">
        <is>
          <t>Fault trees – PRS overpressure, gas detection &amp; ESD, reheat furnace BMS</t>
        </is>
      </c>
      <c r="E24" s="5" t="inlineStr">
        <is>
          <t>A</t>
        </is>
      </c>
      <c r="F24" s="14" t="n"/>
      <c r="G24" s="5" t="inlineStr">
        <is>
          <t>Utilities</t>
        </is>
      </c>
      <c r="H24" s="5" t="inlineStr">
        <is>
          <t>Available</t>
        </is>
      </c>
      <c r="I24" s="5" t="inlineStr">
        <is>
          <t>S02, S08, S06</t>
        </is>
      </c>
      <c r="J24" s="5" t="inlineStr"/>
    </row>
    <row r="25">
      <c r="A25" s="13" t="inlineStr">
        <is>
          <t>REF-21</t>
        </is>
      </c>
      <c r="B25" s="5" t="inlineStr">
        <is>
          <t>Other</t>
        </is>
      </c>
      <c r="C25" s="5" t="inlineStr">
        <is>
          <t>OREDA / CCPS</t>
        </is>
      </c>
      <c r="D25" s="5" t="inlineStr">
        <is>
          <t>Generic reliability data used for the illustrative failure rates</t>
        </is>
      </c>
      <c r="E25" s="5" t="inlineStr">
        <is>
          <t>A</t>
        </is>
      </c>
      <c r="F25" s="14" t="n"/>
      <c r="G25" s="5" t="inlineStr">
        <is>
          <t>Utilities</t>
        </is>
      </c>
      <c r="H25" s="5" t="inlineStr">
        <is>
          <t>Available</t>
        </is>
      </c>
      <c r="I25" s="5" t="inlineStr"/>
      <c r="J25" s="5" t="inlineStr"/>
    </row>
    <row r="26">
      <c r="A26" s="13" t="inlineStr">
        <is>
          <t>REF-22</t>
        </is>
      </c>
      <c r="B26" s="5" t="n"/>
      <c r="C26" s="5" t="n"/>
      <c r="D26" s="5" t="n"/>
      <c r="E26" s="5" t="n"/>
      <c r="F26" s="14" t="n"/>
      <c r="G26" s="5" t="n"/>
      <c r="H26" s="5" t="n"/>
      <c r="I26" s="5" t="n"/>
      <c r="J26" s="5" t="n"/>
    </row>
    <row r="27">
      <c r="A27" s="13" t="inlineStr">
        <is>
          <t>REF-23</t>
        </is>
      </c>
      <c r="B27" s="5" t="n"/>
      <c r="C27" s="5" t="n"/>
      <c r="D27" s="5" t="n"/>
      <c r="E27" s="5" t="n"/>
      <c r="F27" s="14" t="n"/>
      <c r="G27" s="5" t="n"/>
      <c r="H27" s="5" t="n"/>
      <c r="I27" s="5" t="n"/>
      <c r="J27" s="5" t="n"/>
    </row>
    <row r="28">
      <c r="A28" s="13" t="inlineStr">
        <is>
          <t>REF-24</t>
        </is>
      </c>
      <c r="B28" s="5" t="n"/>
      <c r="C28" s="5" t="n"/>
      <c r="D28" s="5" t="n"/>
      <c r="E28" s="5" t="n"/>
      <c r="F28" s="14" t="n"/>
      <c r="G28" s="5" t="n"/>
      <c r="H28" s="5" t="n"/>
      <c r="I28" s="5" t="n"/>
      <c r="J28" s="5" t="n"/>
    </row>
    <row r="29">
      <c r="A29" s="13" t="inlineStr">
        <is>
          <t>REF-25</t>
        </is>
      </c>
      <c r="B29" s="5" t="n"/>
      <c r="C29" s="5" t="n"/>
      <c r="D29" s="5" t="n"/>
      <c r="E29" s="5" t="n"/>
      <c r="F29" s="14" t="n"/>
      <c r="G29" s="5" t="n"/>
      <c r="H29" s="5" t="n"/>
      <c r="I29" s="5" t="n"/>
      <c r="J29" s="5" t="n"/>
    </row>
    <row r="30">
      <c r="A30" s="13" t="inlineStr">
        <is>
          <t>REF-26</t>
        </is>
      </c>
      <c r="B30" s="5" t="n"/>
      <c r="C30" s="5" t="n"/>
      <c r="D30" s="5" t="n"/>
      <c r="E30" s="5" t="n"/>
      <c r="F30" s="14" t="n"/>
      <c r="G30" s="5" t="n"/>
      <c r="H30" s="5" t="n"/>
      <c r="I30" s="5" t="n"/>
      <c r="J30" s="5" t="n"/>
    </row>
    <row r="31">
      <c r="A31" s="13" t="inlineStr">
        <is>
          <t>REF-27</t>
        </is>
      </c>
      <c r="B31" s="5" t="n"/>
      <c r="C31" s="5" t="n"/>
      <c r="D31" s="5" t="n"/>
      <c r="E31" s="5" t="n"/>
      <c r="F31" s="14" t="n"/>
      <c r="G31" s="5" t="n"/>
      <c r="H31" s="5" t="n"/>
      <c r="I31" s="5" t="n"/>
      <c r="J31" s="5" t="n"/>
    </row>
    <row r="32">
      <c r="A32" s="13" t="inlineStr">
        <is>
          <t>REF-28</t>
        </is>
      </c>
      <c r="B32" s="5" t="n"/>
      <c r="C32" s="5" t="n"/>
      <c r="D32" s="5" t="n"/>
      <c r="E32" s="5" t="n"/>
      <c r="F32" s="14" t="n"/>
      <c r="G32" s="5" t="n"/>
      <c r="H32" s="5" t="n"/>
      <c r="I32" s="5" t="n"/>
      <c r="J32" s="5" t="n"/>
    </row>
    <row r="33">
      <c r="A33" s="13" t="inlineStr">
        <is>
          <t>REF-29</t>
        </is>
      </c>
      <c r="B33" s="5" t="n"/>
      <c r="C33" s="5" t="n"/>
      <c r="D33" s="5" t="n"/>
      <c r="E33" s="5" t="n"/>
      <c r="F33" s="14" t="n"/>
      <c r="G33" s="5" t="n"/>
      <c r="H33" s="5" t="n"/>
      <c r="I33" s="5" t="n"/>
      <c r="J33" s="5" t="n"/>
    </row>
    <row r="34">
      <c r="A34" s="13" t="inlineStr">
        <is>
          <t>REF-30</t>
        </is>
      </c>
      <c r="B34" s="5" t="n"/>
      <c r="C34" s="5" t="n"/>
      <c r="D34" s="5" t="n"/>
      <c r="E34" s="5" t="n"/>
      <c r="F34" s="14" t="n"/>
      <c r="G34" s="5" t="n"/>
      <c r="H34" s="5" t="n"/>
      <c r="I34" s="5" t="n"/>
      <c r="J34" s="5" t="n"/>
    </row>
    <row r="35">
      <c r="A35" s="13" t="inlineStr">
        <is>
          <t>REF-31</t>
        </is>
      </c>
      <c r="B35" s="5" t="n"/>
      <c r="C35" s="5" t="n"/>
      <c r="D35" s="5" t="n"/>
      <c r="E35" s="5" t="n"/>
      <c r="F35" s="14" t="n"/>
      <c r="G35" s="5" t="n"/>
      <c r="H35" s="5" t="n"/>
      <c r="I35" s="5" t="n"/>
      <c r="J35" s="5" t="n"/>
    </row>
    <row r="36">
      <c r="A36" s="13" t="inlineStr">
        <is>
          <t>REF-32</t>
        </is>
      </c>
      <c r="B36" s="5" t="n"/>
      <c r="C36" s="5" t="n"/>
      <c r="D36" s="5" t="n"/>
      <c r="E36" s="5" t="n"/>
      <c r="F36" s="14" t="n"/>
      <c r="G36" s="5" t="n"/>
      <c r="H36" s="5" t="n"/>
      <c r="I36" s="5" t="n"/>
      <c r="J36" s="5" t="n"/>
    </row>
    <row r="37">
      <c r="A37" s="13" t="inlineStr">
        <is>
          <t>REF-33</t>
        </is>
      </c>
      <c r="B37" s="5" t="n"/>
      <c r="C37" s="5" t="n"/>
      <c r="D37" s="5" t="n"/>
      <c r="E37" s="5" t="n"/>
      <c r="F37" s="14" t="n"/>
      <c r="G37" s="5" t="n"/>
      <c r="H37" s="5" t="n"/>
      <c r="I37" s="5" t="n"/>
      <c r="J37" s="5" t="n"/>
    </row>
    <row r="38">
      <c r="A38" s="13" t="inlineStr">
        <is>
          <t>REF-34</t>
        </is>
      </c>
      <c r="B38" s="5" t="n"/>
      <c r="C38" s="5" t="n"/>
      <c r="D38" s="5" t="n"/>
      <c r="E38" s="5" t="n"/>
      <c r="F38" s="14" t="n"/>
      <c r="G38" s="5" t="n"/>
      <c r="H38" s="5" t="n"/>
      <c r="I38" s="5" t="n"/>
      <c r="J38" s="5" t="n"/>
    </row>
    <row r="39">
      <c r="A39" s="13" t="inlineStr">
        <is>
          <t>REF-35</t>
        </is>
      </c>
      <c r="B39" s="5" t="n"/>
      <c r="C39" s="5" t="n"/>
      <c r="D39" s="5" t="n"/>
      <c r="E39" s="5" t="n"/>
      <c r="F39" s="14" t="n"/>
      <c r="G39" s="5" t="n"/>
      <c r="H39" s="5" t="n"/>
      <c r="I39" s="5" t="n"/>
      <c r="J39" s="5" t="n"/>
    </row>
    <row r="40">
      <c r="A40" s="13" t="inlineStr">
        <is>
          <t>REF-36</t>
        </is>
      </c>
      <c r="B40" s="5" t="n"/>
      <c r="C40" s="5" t="n"/>
      <c r="D40" s="5" t="n"/>
      <c r="E40" s="5" t="n"/>
      <c r="F40" s="14" t="n"/>
      <c r="G40" s="5" t="n"/>
      <c r="H40" s="5" t="n"/>
      <c r="I40" s="5" t="n"/>
      <c r="J40" s="5" t="n"/>
    </row>
    <row r="41">
      <c r="A41" s="13" t="inlineStr">
        <is>
          <t>REF-37</t>
        </is>
      </c>
      <c r="B41" s="5" t="n"/>
      <c r="C41" s="5" t="n"/>
      <c r="D41" s="5" t="n"/>
      <c r="E41" s="5" t="n"/>
      <c r="F41" s="14" t="n"/>
      <c r="G41" s="5" t="n"/>
      <c r="H41" s="5" t="n"/>
      <c r="I41" s="5" t="n"/>
      <c r="J41" s="5" t="n"/>
    </row>
    <row r="42">
      <c r="A42" s="13" t="inlineStr">
        <is>
          <t>REF-38</t>
        </is>
      </c>
      <c r="B42" s="5" t="n"/>
      <c r="C42" s="5" t="n"/>
      <c r="D42" s="5" t="n"/>
      <c r="E42" s="5" t="n"/>
      <c r="F42" s="14" t="n"/>
      <c r="G42" s="5" t="n"/>
      <c r="H42" s="5" t="n"/>
      <c r="I42" s="5" t="n"/>
      <c r="J42" s="5" t="n"/>
    </row>
    <row r="43">
      <c r="A43" s="13" t="inlineStr">
        <is>
          <t>REF-39</t>
        </is>
      </c>
      <c r="B43" s="5" t="n"/>
      <c r="C43" s="5" t="n"/>
      <c r="D43" s="5" t="n"/>
      <c r="E43" s="5" t="n"/>
      <c r="F43" s="14" t="n"/>
      <c r="G43" s="5" t="n"/>
      <c r="H43" s="5" t="n"/>
      <c r="I43" s="5" t="n"/>
      <c r="J43" s="5" t="n"/>
    </row>
    <row r="44">
      <c r="A44" s="13" t="inlineStr">
        <is>
          <t>REF-40</t>
        </is>
      </c>
      <c r="B44" s="5" t="n"/>
      <c r="C44" s="5" t="n"/>
      <c r="D44" s="5" t="n"/>
      <c r="E44" s="5" t="n"/>
      <c r="F44" s="14" t="n"/>
      <c r="G44" s="5" t="n"/>
      <c r="H44" s="5" t="n"/>
      <c r="I44" s="5" t="n"/>
      <c r="J44" s="5" t="n"/>
    </row>
    <row r="45"/>
    <row r="46"/>
    <row r="47"/>
    <row r="48"/>
    <row r="49"/>
    <row r="50"/>
    <row r="51"/>
    <row r="52"/>
    <row r="53"/>
    <row r="54"/>
    <row r="55"/>
    <row r="56"/>
    <row r="57"/>
    <row r="58"/>
    <row r="59"/>
  </sheetData>
  <autoFilter ref="A4:J44"/>
  <dataValidations count="2">
    <dataValidation sqref="B5:B44" showDropDown="0" showInputMessage="0" showErrorMessage="1" allowBlank="1" errorTitle="Not in list" error="Entry is not in the list – it will be accepted as free text." type="list" errorStyle="information">
      <formula1>=DocCategories</formula1>
    </dataValidation>
    <dataValidation sqref="H5:H44" showDropDown="0" showInputMessage="0" showErrorMessage="1" allowBlank="1" type="list">
      <formula1>"Available,Outstanding,Superseded,Not applicable"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34"/>
  <sheetViews>
    <sheetView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10" customWidth="1" min="1" max="1"/>
    <col width="30" customWidth="1" min="2" max="2"/>
    <col width="36" customWidth="1" min="3" max="3"/>
    <col width="44" customWidth="1" min="4" max="4"/>
    <col width="40" customWidth="1" min="5" max="5"/>
    <col width="36" customWidth="1" min="6" max="6"/>
    <col width="20" customWidth="1" min="7" max="7"/>
    <col width="18" customWidth="1" min="8" max="8"/>
    <col width="24" customWidth="1" min="9" max="9"/>
  </cols>
  <sheetData>
    <row r="1">
      <c r="A1" s="1" t="inlineStr">
        <is>
          <t>SYSTEM LIST</t>
        </is>
      </c>
    </row>
    <row r="2">
      <c r="A2" s="2" t="inlineStr">
        <is>
          <t>One row per system. System title (column C) feeds the drop-down at the top of each FMECA worksheet and the Equipment Register.</t>
        </is>
      </c>
    </row>
    <row r="4">
      <c r="A4" s="8" t="inlineStr">
        <is>
          <t>System No.</t>
        </is>
      </c>
      <c r="B4" s="8" t="inlineStr">
        <is>
          <t>System name</t>
        </is>
      </c>
      <c r="C4" s="8" t="inlineStr">
        <is>
          <t>System title (auto)</t>
        </is>
      </c>
      <c r="D4" s="8" t="inlineStr">
        <is>
          <t>Function / performance standard</t>
        </is>
      </c>
      <c r="E4" s="8" t="inlineStr">
        <is>
          <t>Operating context (duty, redundancy, environment)</t>
        </is>
      </c>
      <c r="F4" s="8" t="inlineStr">
        <is>
          <t>System boundaries</t>
        </is>
      </c>
      <c r="G4" s="8" t="inlineStr">
        <is>
          <t>P&amp;IDs / drawings</t>
        </is>
      </c>
      <c r="H4" s="8" t="inlineStr">
        <is>
          <t>Related HAZOP node(s)</t>
        </is>
      </c>
      <c r="I4" s="8" t="inlineStr">
        <is>
          <t>Comments</t>
        </is>
      </c>
    </row>
    <row r="5" ht="45" customHeight="1">
      <c r="A5" s="12" t="inlineStr">
        <is>
          <t>S01</t>
        </is>
      </c>
      <c r="B5" s="5" t="inlineStr">
        <is>
          <t>Gas receiving &amp; metering station (GRMS)</t>
        </is>
      </c>
      <c r="C5" s="6">
        <f>IF(B5="","",A5&amp;" – "&amp;B5)</f>
        <v/>
      </c>
      <c r="D5" s="5" t="inlineStr">
        <is>
          <t>Receive, filter and meter up to 120 000 Sm3/h at 35–42 barg; isolate on ESD within 30 s</t>
        </is>
      </c>
      <c r="E5" s="5" t="inlineStr">
        <is>
          <t>Continuous; 2 x 100 % filter-separators and meter runs; outdoor, hot / dusty</t>
        </is>
      </c>
      <c r="F5" s="5" t="inlineStr">
        <is>
          <t>IJ-1001 to heater inlet</t>
        </is>
      </c>
      <c r="G5" s="5" t="inlineStr">
        <is>
          <t>P&amp;ID-GN-1001</t>
        </is>
      </c>
      <c r="H5" s="5" t="inlineStr">
        <is>
          <t>HAZOP N01</t>
        </is>
      </c>
      <c r="I5" s="15" t="inlineStr"/>
    </row>
    <row r="6" ht="45" customHeight="1">
      <c r="A6" s="12" t="inlineStr">
        <is>
          <t>S02</t>
        </is>
      </c>
      <c r="B6" s="5" t="inlineStr">
        <is>
          <t>Gas heaters H-1101A/B and pressure reduction station PRS-1</t>
        </is>
      </c>
      <c r="C6" s="6">
        <f>IF(B6="","",A6&amp;" – "&amp;B6)</f>
        <v/>
      </c>
      <c r="D6" s="5" t="inlineStr">
        <is>
          <t>Heat gas to keep outlet ≥ 5 °C; hold 7.0 barg; never exceed 10 barg downstream</t>
        </is>
      </c>
      <c r="E6" s="5" t="inlineStr">
        <is>
          <t>Continuous; 2 x 100 % heaters and regulator runs (A duty, B standby); monitor + slam-shut protection proof-tested</t>
        </is>
      </c>
      <c r="F6" s="5" t="inlineStr">
        <is>
          <t>Heater inlet to ESDV-1107</t>
        </is>
      </c>
      <c r="G6" s="5" t="inlineStr">
        <is>
          <t>P&amp;ID-GN-1101</t>
        </is>
      </c>
      <c r="H6" s="5" t="inlineStr">
        <is>
          <t>HAZOP N02</t>
        </is>
      </c>
      <c r="I6" s="5" t="inlineStr"/>
    </row>
    <row r="7" ht="45" customHeight="1">
      <c r="A7" s="12" t="inlineStr">
        <is>
          <t>S03</t>
        </is>
      </c>
      <c r="B7" s="5" t="inlineStr">
        <is>
          <t>MP ring main (7 barg) and pipe racks</t>
        </is>
      </c>
      <c r="C7" s="6">
        <f>IF(B7="","",A7&amp;" – "&amp;B7)</f>
        <v/>
      </c>
      <c r="D7" s="5" t="inlineStr">
        <is>
          <t>Distribute 7 barg gas without loss of containment</t>
        </is>
      </c>
      <c r="E7" s="5" t="inlineStr">
        <is>
          <t>Continuous; buried crossings with impressed-current CP; racks crossing roads and crane areas</t>
        </is>
      </c>
      <c r="F7" s="5" t="inlineStr">
        <is>
          <t>ESDV-1107 to district-station inlets</t>
        </is>
      </c>
      <c r="G7" s="5" t="inlineStr">
        <is>
          <t>P&amp;ID-GN-1201/1202</t>
        </is>
      </c>
      <c r="H7" s="5" t="inlineStr">
        <is>
          <t>HAZOP N03</t>
        </is>
      </c>
      <c r="I7" s="5" t="inlineStr"/>
    </row>
    <row r="8" ht="45" customHeight="1">
      <c r="A8" s="12" t="inlineStr">
        <is>
          <t>S04</t>
        </is>
      </c>
      <c r="B8" s="5" t="inlineStr">
        <is>
          <t>DRI plant gas supply – district station DS-2</t>
        </is>
      </c>
      <c r="C8" s="6">
        <f>IF(B8="","",A8&amp;" – "&amp;B8)</f>
        <v/>
      </c>
      <c r="D8" s="5" t="inlineStr">
        <is>
          <t>Supply reformer fuel and process-gas make-up at 4.5 barg; prevent reverse flow of process gas</t>
        </is>
      </c>
      <c r="E8" s="5" t="inlineStr">
        <is>
          <t>Continuous; 2 x 100 % regulators</t>
        </is>
      </c>
      <c r="F8" s="5" t="inlineStr">
        <is>
          <t>ESDV-2001 to FCV-2004 / XV-2008</t>
        </is>
      </c>
      <c r="G8" s="5" t="inlineStr">
        <is>
          <t>P&amp;ID-GN-2001</t>
        </is>
      </c>
      <c r="H8" s="5" t="inlineStr">
        <is>
          <t>HAZOP N04</t>
        </is>
      </c>
      <c r="I8" s="5" t="inlineStr"/>
    </row>
    <row r="9" ht="45" customHeight="1">
      <c r="A9" s="12" t="inlineStr">
        <is>
          <t>S05</t>
        </is>
      </c>
      <c r="B9" s="5" t="inlineStr">
        <is>
          <t>Melt shop gas supply – DS-3, EAF oxy-fuel burners and ladle preheaters</t>
        </is>
      </c>
      <c r="C9" s="6">
        <f>IF(B9="","",A9&amp;" – "&amp;B9)</f>
        <v/>
      </c>
      <c r="D9" s="5" t="inlineStr">
        <is>
          <t>Supply NG at 2 barg; prevent O2 back-flow; shut off on flame failure</t>
        </is>
      </c>
      <c r="E9" s="5" t="inlineStr">
        <is>
          <t>Intermittent; hot, dusty, molten-metal splash zone</t>
        </is>
      </c>
      <c r="F9" s="5" t="inlineStr">
        <is>
          <t>ESDV-3001 to burners</t>
        </is>
      </c>
      <c r="G9" s="5" t="inlineStr">
        <is>
          <t>P&amp;ID-GN-3001</t>
        </is>
      </c>
      <c r="H9" s="5" t="inlineStr">
        <is>
          <t>HAZOP N05</t>
        </is>
      </c>
      <c r="I9" s="5" t="inlineStr"/>
    </row>
    <row r="10" ht="45" customHeight="1">
      <c r="A10" s="12" t="inlineStr">
        <is>
          <t>S06</t>
        </is>
      </c>
      <c r="B10" s="5" t="inlineStr">
        <is>
          <t>Rolling-mill reheat furnace fuel gas train and burner management</t>
        </is>
      </c>
      <c r="C10" s="6">
        <f>IF(B10="","",A10&amp;" – "&amp;B10)</f>
        <v/>
      </c>
      <c r="D10" s="5" t="inlineStr">
        <is>
          <t>Fire only when safe; shut off fuel within 1 s on flame failure (target SIL 2 – see R-010)</t>
        </is>
      </c>
      <c r="E10" s="5" t="inlineStr">
        <is>
          <t>Continuous firing with cold light-offs after outages; BMS proof-tested annually</t>
        </is>
      </c>
      <c r="F10" s="5" t="inlineStr">
        <is>
          <t>PCV-4001 to burners B-4020</t>
        </is>
      </c>
      <c r="G10" s="5" t="inlineStr">
        <is>
          <t>P&amp;ID-GN-4001</t>
        </is>
      </c>
      <c r="H10" s="5" t="inlineStr">
        <is>
          <t>HAZOP N06</t>
        </is>
      </c>
      <c r="I10" s="5" t="inlineStr"/>
    </row>
    <row r="11" ht="45" customHeight="1">
      <c r="A11" s="12" t="inlineStr">
        <is>
          <t>S07</t>
        </is>
      </c>
      <c r="B11" s="5" t="inlineStr">
        <is>
          <t>Purge, vent, blowdown and maintenance isolation</t>
        </is>
      </c>
      <c r="C11" s="6">
        <f>IF(B11="","",A11&amp;" – "&amp;B11)</f>
        <v/>
      </c>
      <c r="D11" s="5" t="inlineStr">
        <is>
          <t>Depressurise, purge and isolate safely</t>
        </is>
      </c>
      <c r="E11" s="5" t="inlineStr">
        <is>
          <t>Used during maintenance, pigging and gas-in / gas-out</t>
        </is>
      </c>
      <c r="F11" s="5" t="inlineStr">
        <is>
          <t>VS-1301, BDV-1302, SB-1303, N2-1304</t>
        </is>
      </c>
      <c r="G11" s="5" t="inlineStr">
        <is>
          <t>P&amp;ID-GN-1301</t>
        </is>
      </c>
      <c r="H11" s="5" t="inlineStr">
        <is>
          <t>HAZOP N07</t>
        </is>
      </c>
      <c r="I11" s="5" t="inlineStr"/>
    </row>
    <row r="12" ht="45" customHeight="1">
      <c r="A12" s="12" t="inlineStr">
        <is>
          <t>S08</t>
        </is>
      </c>
      <c r="B12" s="5" t="inlineStr">
        <is>
          <t>Gas detection, F&amp;G and ESD system</t>
        </is>
      </c>
      <c r="C12" s="6">
        <f>IF(B12="","",A12&amp;" – "&amp;B12)</f>
        <v/>
      </c>
      <c r="D12" s="5" t="inlineStr">
        <is>
          <t>Detect a release and close ESDV-1001 / ESDV-1107 (PFDavg per FT-GN-02)</t>
        </is>
      </c>
      <c r="E12" s="5" t="inlineStr">
        <is>
          <t>Standby protection; 2oo3 detectors; UPS 30 min; proof-tested</t>
        </is>
      </c>
      <c r="F12" s="5" t="inlineStr">
        <is>
          <t>Detectors, HS-1000, UCP-1000, UPS-1000</t>
        </is>
      </c>
      <c r="G12" s="5" t="inlineStr">
        <is>
          <t>C&amp;E-GN-1000</t>
        </is>
      </c>
      <c r="H12" s="5" t="inlineStr">
        <is>
          <t>HAZOP N08</t>
        </is>
      </c>
      <c r="I12" s="5" t="inlineStr"/>
    </row>
    <row r="13" ht="45" customHeight="1">
      <c r="A13" s="12" t="inlineStr">
        <is>
          <t>S09</t>
        </is>
      </c>
      <c r="B13" s="5" t="n"/>
      <c r="C13" s="6">
        <f>IF(B13="","",A13&amp;" – "&amp;B13)</f>
        <v/>
      </c>
      <c r="D13" s="5" t="n"/>
      <c r="E13" s="5" t="n"/>
      <c r="F13" s="5" t="n"/>
      <c r="G13" s="5" t="n"/>
      <c r="H13" s="5" t="n"/>
      <c r="I13" s="5" t="n"/>
    </row>
    <row r="14" ht="45" customHeight="1">
      <c r="A14" s="12" t="inlineStr">
        <is>
          <t>S10</t>
        </is>
      </c>
      <c r="B14" s="5" t="n"/>
      <c r="C14" s="6">
        <f>IF(B14="","",A14&amp;" – "&amp;B14)</f>
        <v/>
      </c>
      <c r="D14" s="5" t="n"/>
      <c r="E14" s="5" t="n"/>
      <c r="F14" s="5" t="n"/>
      <c r="G14" s="5" t="n"/>
      <c r="H14" s="5" t="n"/>
      <c r="I14" s="5" t="n"/>
    </row>
    <row r="15" ht="45" customHeight="1">
      <c r="A15" s="12" t="inlineStr">
        <is>
          <t>S11</t>
        </is>
      </c>
      <c r="B15" s="5" t="n"/>
      <c r="C15" s="6">
        <f>IF(B15="","",A15&amp;" – "&amp;B15)</f>
        <v/>
      </c>
      <c r="D15" s="5" t="n"/>
      <c r="E15" s="5" t="n"/>
      <c r="F15" s="5" t="n"/>
      <c r="G15" s="5" t="n"/>
      <c r="H15" s="5" t="n"/>
      <c r="I15" s="5" t="n"/>
    </row>
    <row r="16" ht="45" customHeight="1">
      <c r="A16" s="12" t="inlineStr">
        <is>
          <t>S12</t>
        </is>
      </c>
      <c r="B16" s="5" t="n"/>
      <c r="C16" s="6">
        <f>IF(B16="","",A16&amp;" – "&amp;B16)</f>
        <v/>
      </c>
      <c r="D16" s="5" t="n"/>
      <c r="E16" s="5" t="n"/>
      <c r="F16" s="5" t="n"/>
      <c r="G16" s="5" t="n"/>
      <c r="H16" s="5" t="n"/>
      <c r="I16" s="5" t="n"/>
    </row>
    <row r="17" ht="45" customHeight="1">
      <c r="A17" s="12" t="inlineStr">
        <is>
          <t>S13</t>
        </is>
      </c>
      <c r="B17" s="5" t="n"/>
      <c r="C17" s="6">
        <f>IF(B17="","",A17&amp;" – "&amp;B17)</f>
        <v/>
      </c>
      <c r="D17" s="5" t="n"/>
      <c r="E17" s="5" t="n"/>
      <c r="F17" s="5" t="n"/>
      <c r="G17" s="5" t="n"/>
      <c r="H17" s="5" t="n"/>
      <c r="I17" s="5" t="n"/>
    </row>
    <row r="18" ht="45" customHeight="1">
      <c r="A18" s="12" t="inlineStr">
        <is>
          <t>S14</t>
        </is>
      </c>
      <c r="B18" s="5" t="n"/>
      <c r="C18" s="6">
        <f>IF(B18="","",A18&amp;" – "&amp;B18)</f>
        <v/>
      </c>
      <c r="D18" s="5" t="n"/>
      <c r="E18" s="5" t="n"/>
      <c r="F18" s="5" t="n"/>
      <c r="G18" s="5" t="n"/>
      <c r="H18" s="5" t="n"/>
      <c r="I18" s="5" t="n"/>
    </row>
    <row r="19" ht="45" customHeight="1">
      <c r="A19" s="12" t="inlineStr">
        <is>
          <t>S15</t>
        </is>
      </c>
      <c r="B19" s="5" t="n"/>
      <c r="C19" s="6">
        <f>IF(B19="","",A19&amp;" – "&amp;B19)</f>
        <v/>
      </c>
      <c r="D19" s="5" t="n"/>
      <c r="E19" s="5" t="n"/>
      <c r="F19" s="5" t="n"/>
      <c r="G19" s="5" t="n"/>
      <c r="H19" s="5" t="n"/>
      <c r="I19" s="5" t="n"/>
    </row>
    <row r="20" ht="45" customHeight="1">
      <c r="A20" s="12" t="inlineStr">
        <is>
          <t>S16</t>
        </is>
      </c>
      <c r="B20" s="5" t="n"/>
      <c r="C20" s="6">
        <f>IF(B20="","",A20&amp;" – "&amp;B20)</f>
        <v/>
      </c>
      <c r="D20" s="5" t="n"/>
      <c r="E20" s="5" t="n"/>
      <c r="F20" s="5" t="n"/>
      <c r="G20" s="5" t="n"/>
      <c r="H20" s="5" t="n"/>
      <c r="I20" s="5" t="n"/>
    </row>
    <row r="21" ht="45" customHeight="1">
      <c r="A21" s="12" t="inlineStr">
        <is>
          <t>S17</t>
        </is>
      </c>
      <c r="B21" s="5" t="n"/>
      <c r="C21" s="6">
        <f>IF(B21="","",A21&amp;" – "&amp;B21)</f>
        <v/>
      </c>
      <c r="D21" s="5" t="n"/>
      <c r="E21" s="5" t="n"/>
      <c r="F21" s="5" t="n"/>
      <c r="G21" s="5" t="n"/>
      <c r="H21" s="5" t="n"/>
      <c r="I21" s="5" t="n"/>
    </row>
    <row r="22" ht="45" customHeight="1">
      <c r="A22" s="12" t="inlineStr">
        <is>
          <t>S18</t>
        </is>
      </c>
      <c r="B22" s="5" t="n"/>
      <c r="C22" s="6">
        <f>IF(B22="","",A22&amp;" – "&amp;B22)</f>
        <v/>
      </c>
      <c r="D22" s="5" t="n"/>
      <c r="E22" s="5" t="n"/>
      <c r="F22" s="5" t="n"/>
      <c r="G22" s="5" t="n"/>
      <c r="H22" s="5" t="n"/>
      <c r="I22" s="5" t="n"/>
    </row>
    <row r="23" ht="45" customHeight="1">
      <c r="A23" s="12" t="inlineStr">
        <is>
          <t>S19</t>
        </is>
      </c>
      <c r="B23" s="5" t="n"/>
      <c r="C23" s="6">
        <f>IF(B23="","",A23&amp;" – "&amp;B23)</f>
        <v/>
      </c>
      <c r="D23" s="5" t="n"/>
      <c r="E23" s="5" t="n"/>
      <c r="F23" s="5" t="n"/>
      <c r="G23" s="5" t="n"/>
      <c r="H23" s="5" t="n"/>
      <c r="I23" s="5" t="n"/>
    </row>
    <row r="24" ht="45" customHeight="1">
      <c r="A24" s="12" t="inlineStr">
        <is>
          <t>S20</t>
        </is>
      </c>
      <c r="B24" s="5" t="n"/>
      <c r="C24" s="6">
        <f>IF(B24="","",A24&amp;" – "&amp;B24)</f>
        <v/>
      </c>
      <c r="D24" s="5" t="n"/>
      <c r="E24" s="5" t="n"/>
      <c r="F24" s="5" t="n"/>
      <c r="G24" s="5" t="n"/>
      <c r="H24" s="5" t="n"/>
      <c r="I24" s="5" t="n"/>
    </row>
    <row r="25" ht="45" customHeight="1">
      <c r="A25" s="12" t="inlineStr">
        <is>
          <t>S21</t>
        </is>
      </c>
      <c r="B25" s="5" t="n"/>
      <c r="C25" s="6">
        <f>IF(B25="","",A25&amp;" – "&amp;B25)</f>
        <v/>
      </c>
      <c r="D25" s="5" t="n"/>
      <c r="E25" s="5" t="n"/>
      <c r="F25" s="5" t="n"/>
      <c r="G25" s="5" t="n"/>
      <c r="H25" s="5" t="n"/>
      <c r="I25" s="5" t="n"/>
    </row>
    <row r="26" ht="45" customHeight="1">
      <c r="A26" s="12" t="inlineStr">
        <is>
          <t>S22</t>
        </is>
      </c>
      <c r="B26" s="5" t="n"/>
      <c r="C26" s="6">
        <f>IF(B26="","",A26&amp;" – "&amp;B26)</f>
        <v/>
      </c>
      <c r="D26" s="5" t="n"/>
      <c r="E26" s="5" t="n"/>
      <c r="F26" s="5" t="n"/>
      <c r="G26" s="5" t="n"/>
      <c r="H26" s="5" t="n"/>
      <c r="I26" s="5" t="n"/>
    </row>
    <row r="27" ht="45" customHeight="1">
      <c r="A27" s="12" t="inlineStr">
        <is>
          <t>S23</t>
        </is>
      </c>
      <c r="B27" s="5" t="n"/>
      <c r="C27" s="6">
        <f>IF(B27="","",A27&amp;" – "&amp;B27)</f>
        <v/>
      </c>
      <c r="D27" s="5" t="n"/>
      <c r="E27" s="5" t="n"/>
      <c r="F27" s="5" t="n"/>
      <c r="G27" s="5" t="n"/>
      <c r="H27" s="5" t="n"/>
      <c r="I27" s="5" t="n"/>
    </row>
    <row r="28" ht="45" customHeight="1">
      <c r="A28" s="12" t="inlineStr">
        <is>
          <t>S24</t>
        </is>
      </c>
      <c r="B28" s="5" t="n"/>
      <c r="C28" s="6">
        <f>IF(B28="","",A28&amp;" – "&amp;B28)</f>
        <v/>
      </c>
      <c r="D28" s="5" t="n"/>
      <c r="E28" s="5" t="n"/>
      <c r="F28" s="5" t="n"/>
      <c r="G28" s="5" t="n"/>
      <c r="H28" s="5" t="n"/>
      <c r="I28" s="5" t="n"/>
    </row>
    <row r="29" ht="45" customHeight="1">
      <c r="A29" s="12" t="inlineStr">
        <is>
          <t>S25</t>
        </is>
      </c>
      <c r="B29" s="5" t="n"/>
      <c r="C29" s="6">
        <f>IF(B29="","",A29&amp;" – "&amp;B29)</f>
        <v/>
      </c>
      <c r="D29" s="5" t="n"/>
      <c r="E29" s="5" t="n"/>
      <c r="F29" s="5" t="n"/>
      <c r="G29" s="5" t="n"/>
      <c r="H29" s="5" t="n"/>
      <c r="I29" s="5" t="n"/>
    </row>
    <row r="30" ht="45" customHeight="1">
      <c r="A30" s="12" t="inlineStr">
        <is>
          <t>S26</t>
        </is>
      </c>
      <c r="B30" s="5" t="n"/>
      <c r="C30" s="6">
        <f>IF(B30="","",A30&amp;" – "&amp;B30)</f>
        <v/>
      </c>
      <c r="D30" s="5" t="n"/>
      <c r="E30" s="5" t="n"/>
      <c r="F30" s="5" t="n"/>
      <c r="G30" s="5" t="n"/>
      <c r="H30" s="5" t="n"/>
      <c r="I30" s="5" t="n"/>
    </row>
    <row r="31" ht="45" customHeight="1">
      <c r="A31" s="12" t="inlineStr">
        <is>
          <t>S27</t>
        </is>
      </c>
      <c r="B31" s="5" t="n"/>
      <c r="C31" s="6">
        <f>IF(B31="","",A31&amp;" – "&amp;B31)</f>
        <v/>
      </c>
      <c r="D31" s="5" t="n"/>
      <c r="E31" s="5" t="n"/>
      <c r="F31" s="5" t="n"/>
      <c r="G31" s="5" t="n"/>
      <c r="H31" s="5" t="n"/>
      <c r="I31" s="5" t="n"/>
    </row>
    <row r="32" ht="45" customHeight="1">
      <c r="A32" s="12" t="inlineStr">
        <is>
          <t>S28</t>
        </is>
      </c>
      <c r="B32" s="5" t="n"/>
      <c r="C32" s="6">
        <f>IF(B32="","",A32&amp;" – "&amp;B32)</f>
        <v/>
      </c>
      <c r="D32" s="5" t="n"/>
      <c r="E32" s="5" t="n"/>
      <c r="F32" s="5" t="n"/>
      <c r="G32" s="5" t="n"/>
      <c r="H32" s="5" t="n"/>
      <c r="I32" s="5" t="n"/>
    </row>
    <row r="33" ht="45" customHeight="1">
      <c r="A33" s="12" t="inlineStr">
        <is>
          <t>S29</t>
        </is>
      </c>
      <c r="B33" s="5" t="n"/>
      <c r="C33" s="6">
        <f>IF(B33="","",A33&amp;" – "&amp;B33)</f>
        <v/>
      </c>
      <c r="D33" s="5" t="n"/>
      <c r="E33" s="5" t="n"/>
      <c r="F33" s="5" t="n"/>
      <c r="G33" s="5" t="n"/>
      <c r="H33" s="5" t="n"/>
      <c r="I33" s="5" t="n"/>
    </row>
    <row r="34" ht="45" customHeight="1">
      <c r="A34" s="12" t="inlineStr">
        <is>
          <t>S30</t>
        </is>
      </c>
      <c r="B34" s="5" t="n"/>
      <c r="C34" s="6">
        <f>IF(B34="","",A34&amp;" – "&amp;B34)</f>
        <v/>
      </c>
      <c r="D34" s="5" t="n"/>
      <c r="E34" s="5" t="n"/>
      <c r="F34" s="5" t="n"/>
      <c r="G34" s="5" t="n"/>
      <c r="H34" s="5" t="n"/>
      <c r="I34" s="5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I204"/>
  <sheetViews>
    <sheetView workbookViewId="0">
      <pane xSplit="3" ySplit="4" topLeftCell="D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36" customWidth="1" min="2" max="2"/>
    <col width="16" customWidth="1" min="3" max="3"/>
    <col width="36" customWidth="1" min="4" max="4"/>
    <col width="38" customWidth="1" min="5" max="5"/>
    <col width="22" customWidth="1" min="6" max="6"/>
    <col width="14" customWidth="1" min="7" max="7"/>
    <col width="40" customWidth="1" min="8" max="8"/>
    <col width="24" customWidth="1" min="9" max="9"/>
  </cols>
  <sheetData>
    <row r="1">
      <c r="A1" s="1" t="inlineStr">
        <is>
          <t>EQUIPMENT REGISTER</t>
        </is>
      </c>
    </row>
    <row r="2">
      <c r="A2" s="2" t="inlineStr">
        <is>
          <t>List every equipment item in scope against its system. Equipment type selects the component and failure-mode lists on the FMECA sheets.</t>
        </is>
      </c>
    </row>
    <row r="4">
      <c r="A4" s="8" t="inlineStr">
        <is>
          <t>Item</t>
        </is>
      </c>
      <c r="B4" s="8" t="inlineStr">
        <is>
          <t>System</t>
        </is>
      </c>
      <c r="C4" s="8" t="inlineStr">
        <is>
          <t>Equipment tag</t>
        </is>
      </c>
      <c r="D4" s="8" t="inlineStr">
        <is>
          <t>Equipment description</t>
        </is>
      </c>
      <c r="E4" s="8" t="inlineStr">
        <is>
          <t>Equipment type</t>
        </is>
      </c>
      <c r="F4" s="8" t="inlineStr">
        <is>
          <t>Manufacturer / model</t>
        </is>
      </c>
      <c r="G4" s="8" t="inlineStr">
        <is>
          <t>Configuration</t>
        </is>
      </c>
      <c r="H4" s="8" t="inlineStr">
        <is>
          <t>Function</t>
        </is>
      </c>
      <c r="I4" s="8" t="inlineStr">
        <is>
          <t>Comments</t>
        </is>
      </c>
    </row>
    <row r="5">
      <c r="A5" s="13" t="n">
        <v>1</v>
      </c>
      <c r="B5" s="5" t="inlineStr">
        <is>
          <t>S01 – Gas receiving &amp; metering station (GRMS)</t>
        </is>
      </c>
      <c r="C5" s="5" t="inlineStr">
        <is>
          <t>IJ-1001</t>
        </is>
      </c>
      <c r="D5" s="5" t="inlineStr">
        <is>
          <t>Inlet insulating joint and buried inlet piping</t>
        </is>
      </c>
      <c r="E5" s="5" t="inlineStr">
        <is>
          <t>Piping, flanges &amp; hoses</t>
        </is>
      </c>
      <c r="F5" s="5" t="inlineStr"/>
      <c r="G5" s="5" t="inlineStr">
        <is>
          <t>Single</t>
        </is>
      </c>
      <c r="H5" s="5" t="inlineStr">
        <is>
          <t>Electrically isolate the plant from the supplier pipeline CP</t>
        </is>
      </c>
      <c r="I5" s="15" t="inlineStr"/>
    </row>
    <row r="6">
      <c r="A6" s="13" t="n">
        <v>2</v>
      </c>
      <c r="B6" s="5" t="inlineStr">
        <is>
          <t>S01 – Gas receiving &amp; metering station (GRMS)</t>
        </is>
      </c>
      <c r="C6" s="5" t="inlineStr">
        <is>
          <t>ESDV-1001</t>
        </is>
      </c>
      <c r="D6" s="5" t="inlineStr">
        <is>
          <t>GRMS inlet ESD valve</t>
        </is>
      </c>
      <c r="E6" s="5" t="inlineStr">
        <is>
          <t>Isolation / ESD valve</t>
        </is>
      </c>
      <c r="F6" s="5" t="inlineStr"/>
      <c r="G6" s="5" t="inlineStr">
        <is>
          <t>Single</t>
        </is>
      </c>
      <c r="H6" s="5" t="inlineStr">
        <is>
          <t>Isolate the supplier pipeline on ESD (fail closed)</t>
        </is>
      </c>
      <c r="I6" s="5" t="inlineStr"/>
    </row>
    <row r="7">
      <c r="A7" s="13" t="n">
        <v>3</v>
      </c>
      <c r="B7" s="5" t="inlineStr">
        <is>
          <t>S01 – Gas receiving &amp; metering station (GRMS)</t>
        </is>
      </c>
      <c r="C7" s="5" t="inlineStr">
        <is>
          <t>PR-1001</t>
        </is>
      </c>
      <c r="D7" s="5" t="inlineStr">
        <is>
          <t>Pig receiver with quick-opening closure</t>
        </is>
      </c>
      <c r="E7" s="5" t="inlineStr">
        <is>
          <t>Pressure vessel / separator / column</t>
        </is>
      </c>
      <c r="F7" s="5" t="inlineStr"/>
      <c r="G7" s="5" t="inlineStr">
        <is>
          <t>Single</t>
        </is>
      </c>
      <c r="H7" s="5" t="inlineStr">
        <is>
          <t>Receive pigs from the supplier pipeline</t>
        </is>
      </c>
      <c r="I7" s="5" t="inlineStr"/>
    </row>
    <row r="8">
      <c r="A8" s="13" t="n">
        <v>4</v>
      </c>
      <c r="B8" s="5" t="inlineStr">
        <is>
          <t>S01 – Gas receiving &amp; metering station (GRMS)</t>
        </is>
      </c>
      <c r="C8" s="5" t="inlineStr">
        <is>
          <t>F-1002A</t>
        </is>
      </c>
      <c r="D8" s="5" t="inlineStr">
        <is>
          <t>Filter-separator A</t>
        </is>
      </c>
      <c r="E8" s="5" t="inlineStr">
        <is>
          <t>Pressure vessel / separator / column</t>
        </is>
      </c>
      <c r="F8" s="5" t="inlineStr"/>
      <c r="G8" s="5" t="inlineStr">
        <is>
          <t>Duty</t>
        </is>
      </c>
      <c r="H8" s="5" t="inlineStr">
        <is>
          <t>Remove liquids and solids</t>
        </is>
      </c>
      <c r="I8" s="5" t="inlineStr"/>
    </row>
    <row r="9">
      <c r="A9" s="13" t="n">
        <v>5</v>
      </c>
      <c r="B9" s="5" t="inlineStr">
        <is>
          <t>S01 – Gas receiving &amp; metering station (GRMS)</t>
        </is>
      </c>
      <c r="C9" s="5" t="inlineStr">
        <is>
          <t>F-1002B</t>
        </is>
      </c>
      <c r="D9" s="5" t="inlineStr">
        <is>
          <t>Filter-separator B</t>
        </is>
      </c>
      <c r="E9" s="5" t="inlineStr">
        <is>
          <t>Pressure vessel / separator / column</t>
        </is>
      </c>
      <c r="F9" s="5" t="inlineStr"/>
      <c r="G9" s="5" t="inlineStr">
        <is>
          <t>Standby</t>
        </is>
      </c>
      <c r="H9" s="5" t="inlineStr">
        <is>
          <t>Remove liquids and solids</t>
        </is>
      </c>
      <c r="I9" s="5" t="inlineStr"/>
    </row>
    <row r="10">
      <c r="A10" s="13" t="n">
        <v>6</v>
      </c>
      <c r="B10" s="5" t="inlineStr">
        <is>
          <t>S01 – Gas receiving &amp; metering station (GRMS)</t>
        </is>
      </c>
      <c r="C10" s="5" t="inlineStr">
        <is>
          <t>FT-1003A</t>
        </is>
      </c>
      <c r="D10" s="5" t="inlineStr">
        <is>
          <t>Ultrasonic custody meter A</t>
        </is>
      </c>
      <c r="E10" s="5" t="inlineStr">
        <is>
          <t>Instrument – transmitter / switch</t>
        </is>
      </c>
      <c r="F10" s="5" t="inlineStr"/>
      <c r="G10" s="5" t="inlineStr">
        <is>
          <t>Duty</t>
        </is>
      </c>
      <c r="H10" s="5" t="inlineStr">
        <is>
          <t>Custody-transfer metering</t>
        </is>
      </c>
      <c r="I10" s="5" t="inlineStr"/>
    </row>
    <row r="11">
      <c r="A11" s="13" t="n">
        <v>7</v>
      </c>
      <c r="B11" s="5" t="inlineStr">
        <is>
          <t>S01 – Gas receiving &amp; metering station (GRMS)</t>
        </is>
      </c>
      <c r="C11" s="5" t="inlineStr">
        <is>
          <t>AT-1004</t>
        </is>
      </c>
      <c r="D11" s="5" t="inlineStr">
        <is>
          <t>Gas chromatograph</t>
        </is>
      </c>
      <c r="E11" s="5" t="inlineStr">
        <is>
          <t>Analyser / gas detector</t>
        </is>
      </c>
      <c r="F11" s="5" t="inlineStr"/>
      <c r="G11" s="5" t="inlineStr">
        <is>
          <t>Single</t>
        </is>
      </c>
      <c r="H11" s="5" t="inlineStr">
        <is>
          <t>Composition, Wobbe and H2S</t>
        </is>
      </c>
      <c r="I11" s="5" t="inlineStr"/>
    </row>
    <row r="12">
      <c r="A12" s="13" t="n">
        <v>8</v>
      </c>
      <c r="B12" s="5" t="inlineStr">
        <is>
          <t>S01 – Gas receiving &amp; metering station (GRMS)</t>
        </is>
      </c>
      <c r="C12" s="5" t="inlineStr">
        <is>
          <t>PSV-1006A</t>
        </is>
      </c>
      <c r="D12" s="5" t="inlineStr">
        <is>
          <t>Filter-separator A relief valve</t>
        </is>
      </c>
      <c r="E12" s="5" t="inlineStr">
        <is>
          <t>Pressure relief device (PSV / rupture disc)</t>
        </is>
      </c>
      <c r="F12" s="5" t="inlineStr"/>
      <c r="G12" s="5" t="inlineStr">
        <is>
          <t>Single</t>
        </is>
      </c>
      <c r="H12" s="5" t="inlineStr">
        <is>
          <t>Fire-case / thermal relief</t>
        </is>
      </c>
      <c r="I12" s="5" t="inlineStr"/>
    </row>
    <row r="13">
      <c r="A13" s="13" t="n">
        <v>9</v>
      </c>
      <c r="B13" s="5" t="inlineStr">
        <is>
          <t>S02 – Gas heaters H-1101A/B and pressure reduction station PRS-1</t>
        </is>
      </c>
      <c r="C13" s="5" t="inlineStr">
        <is>
          <t>H-1101A</t>
        </is>
      </c>
      <c r="D13" s="5" t="inlineStr">
        <is>
          <t>Water-bath gas heater A</t>
        </is>
      </c>
      <c r="E13" s="5" t="inlineStr">
        <is>
          <t>Burner / combustion system</t>
        </is>
      </c>
      <c r="F13" s="5" t="inlineStr"/>
      <c r="G13" s="5" t="inlineStr">
        <is>
          <t>Duty</t>
        </is>
      </c>
      <c r="H13" s="5" t="inlineStr">
        <is>
          <t>Pre-heat gas against Joule–Thomson cooling</t>
        </is>
      </c>
      <c r="I13" s="5" t="inlineStr"/>
    </row>
    <row r="14">
      <c r="A14" s="13" t="n">
        <v>10</v>
      </c>
      <c r="B14" s="5" t="inlineStr">
        <is>
          <t>S02 – Gas heaters H-1101A/B and pressure reduction station PRS-1</t>
        </is>
      </c>
      <c r="C14" s="5" t="inlineStr">
        <is>
          <t>H-1101B</t>
        </is>
      </c>
      <c r="D14" s="5" t="inlineStr">
        <is>
          <t>Water-bath gas heater B</t>
        </is>
      </c>
      <c r="E14" s="5" t="inlineStr">
        <is>
          <t>Burner / combustion system</t>
        </is>
      </c>
      <c r="F14" s="5" t="inlineStr"/>
      <c r="G14" s="5" t="inlineStr">
        <is>
          <t>Standby</t>
        </is>
      </c>
      <c r="H14" s="5" t="inlineStr">
        <is>
          <t>Pre-heat gas against Joule–Thomson cooling</t>
        </is>
      </c>
      <c r="I14" s="5" t="inlineStr"/>
    </row>
    <row r="15">
      <c r="A15" s="13" t="n">
        <v>11</v>
      </c>
      <c r="B15" s="5" t="inlineStr">
        <is>
          <t>S02 – Gas heaters H-1101A/B and pressure reduction station PRS-1</t>
        </is>
      </c>
      <c r="C15" s="5" t="inlineStr">
        <is>
          <t>TT-1101</t>
        </is>
      </c>
      <c r="D15" s="5" t="inlineStr">
        <is>
          <t>Heater gas outlet temperature transmitter</t>
        </is>
      </c>
      <c r="E15" s="5" t="inlineStr">
        <is>
          <t>Instrument – transmitter / switch</t>
        </is>
      </c>
      <c r="F15" s="5" t="inlineStr"/>
      <c r="G15" s="5" t="inlineStr">
        <is>
          <t>Single</t>
        </is>
      </c>
      <c r="H15" s="5" t="inlineStr">
        <is>
          <t>TIC-1101 control and TSL-1101 alarm</t>
        </is>
      </c>
      <c r="I15" s="5" t="inlineStr"/>
    </row>
    <row r="16">
      <c r="A16" s="13" t="n">
        <v>12</v>
      </c>
      <c r="B16" s="5" t="inlineStr">
        <is>
          <t>S02 – Gas heaters H-1101A/B and pressure reduction station PRS-1</t>
        </is>
      </c>
      <c r="C16" s="5" t="inlineStr">
        <is>
          <t>SSV-1102A</t>
        </is>
      </c>
      <c r="D16" s="5" t="inlineStr">
        <is>
          <t>Slam-shut valve run A (OPSO 8.5 barg)</t>
        </is>
      </c>
      <c r="E16" s="5" t="inlineStr">
        <is>
          <t>Isolation / ESD valve</t>
        </is>
      </c>
      <c r="F16" s="5" t="inlineStr"/>
      <c r="G16" s="5" t="inlineStr">
        <is>
          <t>Duty</t>
        </is>
      </c>
      <c r="H16" s="5" t="inlineStr">
        <is>
          <t>Close run A on overpressure</t>
        </is>
      </c>
      <c r="I16" s="5" t="inlineStr"/>
    </row>
    <row r="17">
      <c r="A17" s="13" t="n">
        <v>13</v>
      </c>
      <c r="B17" s="5" t="inlineStr">
        <is>
          <t>S02 – Gas heaters H-1101A/B and pressure reduction station PRS-1</t>
        </is>
      </c>
      <c r="C17" s="5" t="inlineStr">
        <is>
          <t>PCV-1103A</t>
        </is>
      </c>
      <c r="D17" s="5" t="inlineStr">
        <is>
          <t>Monitor regulator run A (7.5 barg)</t>
        </is>
      </c>
      <c r="E17" s="5" t="inlineStr">
        <is>
          <t>Control valve</t>
        </is>
      </c>
      <c r="F17" s="5" t="inlineStr"/>
      <c r="G17" s="5" t="inlineStr">
        <is>
          <t>Duty</t>
        </is>
      </c>
      <c r="H17" s="5" t="inlineStr">
        <is>
          <t>Take over pressure control if the active regulator fails open</t>
        </is>
      </c>
      <c r="I17" s="5" t="inlineStr"/>
    </row>
    <row r="18">
      <c r="A18" s="13" t="n">
        <v>14</v>
      </c>
      <c r="B18" s="5" t="inlineStr">
        <is>
          <t>S02 – Gas heaters H-1101A/B and pressure reduction station PRS-1</t>
        </is>
      </c>
      <c r="C18" s="5" t="inlineStr">
        <is>
          <t>PCV-1104A</t>
        </is>
      </c>
      <c r="D18" s="5" t="inlineStr">
        <is>
          <t>Active regulator run A (7.0 barg)</t>
        </is>
      </c>
      <c r="E18" s="5" t="inlineStr">
        <is>
          <t>Control valve</t>
        </is>
      </c>
      <c r="F18" s="5" t="inlineStr"/>
      <c r="G18" s="5" t="inlineStr">
        <is>
          <t>Duty</t>
        </is>
      </c>
      <c r="H18" s="5" t="inlineStr">
        <is>
          <t>Control PRS outlet pressure</t>
        </is>
      </c>
      <c r="I18" s="5" t="inlineStr"/>
    </row>
    <row r="19">
      <c r="A19" s="13" t="n">
        <v>15</v>
      </c>
      <c r="B19" s="5" t="inlineStr">
        <is>
          <t>S02 – Gas heaters H-1101A/B and pressure reduction station PRS-1</t>
        </is>
      </c>
      <c r="C19" s="5" t="inlineStr">
        <is>
          <t>PSV-1105</t>
        </is>
      </c>
      <c r="D19" s="5" t="inlineStr">
        <is>
          <t>PRS token relief valve (9.0 barg)</t>
        </is>
      </c>
      <c r="E19" s="5" t="inlineStr">
        <is>
          <t>Pressure relief device (PSV / rupture disc)</t>
        </is>
      </c>
      <c r="F19" s="5" t="inlineStr"/>
      <c r="G19" s="5" t="inlineStr">
        <is>
          <t>Single</t>
        </is>
      </c>
      <c r="H19" s="5" t="inlineStr">
        <is>
          <t>Relieve lock-up creep</t>
        </is>
      </c>
      <c r="I19" s="5" t="inlineStr"/>
    </row>
    <row r="20">
      <c r="A20" s="13" t="n">
        <v>16</v>
      </c>
      <c r="B20" s="5" t="inlineStr">
        <is>
          <t>S02 – Gas heaters H-1101A/B and pressure reduction station PRS-1</t>
        </is>
      </c>
      <c r="C20" s="5" t="inlineStr">
        <is>
          <t>PT-1106</t>
        </is>
      </c>
      <c r="D20" s="5" t="inlineStr">
        <is>
          <t>PRS outlet pressure transmitter</t>
        </is>
      </c>
      <c r="E20" s="5" t="inlineStr">
        <is>
          <t>Instrument – transmitter / switch</t>
        </is>
      </c>
      <c r="F20" s="5" t="inlineStr"/>
      <c r="G20" s="5" t="inlineStr">
        <is>
          <t>Single</t>
        </is>
      </c>
      <c r="H20" s="5" t="inlineStr">
        <is>
          <t>PAH-1106 / PAL alarms</t>
        </is>
      </c>
      <c r="I20" s="5" t="inlineStr"/>
    </row>
    <row r="21">
      <c r="A21" s="13" t="n">
        <v>17</v>
      </c>
      <c r="B21" s="5" t="inlineStr">
        <is>
          <t>S02 – Gas heaters H-1101A/B and pressure reduction station PRS-1</t>
        </is>
      </c>
      <c r="C21" s="5" t="inlineStr">
        <is>
          <t>ESDV-1107</t>
        </is>
      </c>
      <c r="D21" s="5" t="inlineStr">
        <is>
          <t>PRS outlet ESD valve</t>
        </is>
      </c>
      <c r="E21" s="5" t="inlineStr">
        <is>
          <t>Isolation / ESD valve</t>
        </is>
      </c>
      <c r="F21" s="5" t="inlineStr"/>
      <c r="G21" s="5" t="inlineStr">
        <is>
          <t>Single</t>
        </is>
      </c>
      <c r="H21" s="5" t="inlineStr">
        <is>
          <t>Isolate the MP header inventory from the PRS on ESD</t>
        </is>
      </c>
      <c r="I21" s="5" t="inlineStr"/>
    </row>
    <row r="22">
      <c r="A22" s="13" t="n">
        <v>18</v>
      </c>
      <c r="B22" s="5" t="inlineStr">
        <is>
          <t>S03 – MP ring main (7 barg) and pipe racks</t>
        </is>
      </c>
      <c r="C22" s="5" t="inlineStr">
        <is>
          <t>L-1200</t>
        </is>
      </c>
      <c r="D22" s="5" t="inlineStr">
        <is>
          <t>MP ring main 24" (racks and buried crossings)</t>
        </is>
      </c>
      <c r="E22" s="5" t="inlineStr">
        <is>
          <t>Piping, flanges &amp; hoses</t>
        </is>
      </c>
      <c r="F22" s="5" t="inlineStr"/>
      <c r="G22" s="5" t="inlineStr">
        <is>
          <t>Single</t>
        </is>
      </c>
      <c r="H22" s="5" t="inlineStr">
        <is>
          <t>Contain and distribute 7 barg gas</t>
        </is>
      </c>
      <c r="I22" s="5" t="inlineStr"/>
    </row>
    <row r="23">
      <c r="A23" s="13" t="n">
        <v>19</v>
      </c>
      <c r="B23" s="5" t="inlineStr">
        <is>
          <t>S03 – MP ring main (7 barg) and pipe racks</t>
        </is>
      </c>
      <c r="C23" s="5" t="inlineStr">
        <is>
          <t>XV-1201</t>
        </is>
      </c>
      <c r="D23" s="5" t="inlineStr">
        <is>
          <t>Sectionalising valve 1 (remote operated)</t>
        </is>
      </c>
      <c r="E23" s="5" t="inlineStr">
        <is>
          <t>Isolation / ESD valve</t>
        </is>
      </c>
      <c r="F23" s="5" t="inlineStr"/>
      <c r="G23" s="5" t="inlineStr">
        <is>
          <t>Single</t>
        </is>
      </c>
      <c r="H23" s="5" t="inlineStr">
        <is>
          <t>Sectional isolation of the ring main</t>
        </is>
      </c>
      <c r="I23" s="5" t="inlineStr"/>
    </row>
    <row r="24">
      <c r="A24" s="13" t="n">
        <v>20</v>
      </c>
      <c r="B24" s="5" t="inlineStr">
        <is>
          <t>S03 – MP ring main (7 barg) and pipe racks</t>
        </is>
      </c>
      <c r="C24" s="5" t="inlineStr">
        <is>
          <t>PT-1210</t>
        </is>
      </c>
      <c r="D24" s="5" t="inlineStr">
        <is>
          <t>MP header pressure transmitter</t>
        </is>
      </c>
      <c r="E24" s="5" t="inlineStr">
        <is>
          <t>Instrument – transmitter / switch</t>
        </is>
      </c>
      <c r="F24" s="5" t="inlineStr"/>
      <c r="G24" s="5" t="inlineStr">
        <is>
          <t>Single</t>
        </is>
      </c>
      <c r="H24" s="5" t="inlineStr">
        <is>
          <t>PAL-1210 leak / supply-loss alarm</t>
        </is>
      </c>
      <c r="I24" s="5" t="inlineStr"/>
    </row>
    <row r="25">
      <c r="A25" s="13" t="n">
        <v>21</v>
      </c>
      <c r="B25" s="5" t="inlineStr">
        <is>
          <t>S03 – MP ring main (7 barg) and pipe racks</t>
        </is>
      </c>
      <c r="C25" s="5" t="inlineStr">
        <is>
          <t>CP-1200</t>
        </is>
      </c>
      <c r="D25" s="5" t="inlineStr">
        <is>
          <t>CP transformer-rectifier</t>
        </is>
      </c>
      <c r="E25" s="5" t="inlineStr">
        <is>
          <t>Transformer</t>
        </is>
      </c>
      <c r="F25" s="5" t="inlineStr"/>
      <c r="G25" s="5" t="inlineStr">
        <is>
          <t>Single</t>
        </is>
      </c>
      <c r="H25" s="5" t="inlineStr">
        <is>
          <t>Impressed-current cathodic protection</t>
        </is>
      </c>
      <c r="I25" s="5" t="inlineStr"/>
    </row>
    <row r="26">
      <c r="A26" s="13" t="n">
        <v>22</v>
      </c>
      <c r="B26" s="5" t="inlineStr">
        <is>
          <t>S04 – DRI plant gas supply – district station DS-2</t>
        </is>
      </c>
      <c r="C26" s="5" t="inlineStr">
        <is>
          <t>ESDV-2001</t>
        </is>
      </c>
      <c r="D26" s="5" t="inlineStr">
        <is>
          <t>DS-2 inlet ESD valve</t>
        </is>
      </c>
      <c r="E26" s="5" t="inlineStr">
        <is>
          <t>Isolation / ESD valve</t>
        </is>
      </c>
      <c r="F26" s="5" t="inlineStr"/>
      <c r="G26" s="5" t="inlineStr">
        <is>
          <t>Single</t>
        </is>
      </c>
      <c r="H26" s="5" t="inlineStr">
        <is>
          <t>Isolate DRI plant supply</t>
        </is>
      </c>
      <c r="I26" s="5" t="inlineStr"/>
    </row>
    <row r="27">
      <c r="A27" s="13" t="n">
        <v>23</v>
      </c>
      <c r="B27" s="5" t="inlineStr">
        <is>
          <t>S04 – DRI plant gas supply – district station DS-2</t>
        </is>
      </c>
      <c r="C27" s="5" t="inlineStr">
        <is>
          <t>FCV-2004</t>
        </is>
      </c>
      <c r="D27" s="5" t="inlineStr">
        <is>
          <t>Reformer fuel gas flow control valve</t>
        </is>
      </c>
      <c r="E27" s="5" t="inlineStr">
        <is>
          <t>Control valve</t>
        </is>
      </c>
      <c r="F27" s="5" t="inlineStr"/>
      <c r="G27" s="5" t="inlineStr">
        <is>
          <t>Single</t>
        </is>
      </c>
      <c r="H27" s="5" t="inlineStr">
        <is>
          <t>Control reformer firing</t>
        </is>
      </c>
      <c r="I27" s="5" t="inlineStr"/>
    </row>
    <row r="28">
      <c r="A28" s="13" t="n">
        <v>24</v>
      </c>
      <c r="B28" s="5" t="inlineStr">
        <is>
          <t>S04 – DRI plant gas supply – district station DS-2</t>
        </is>
      </c>
      <c r="C28" s="5" t="inlineStr">
        <is>
          <t>XV-2008</t>
        </is>
      </c>
      <c r="D28" s="5" t="inlineStr">
        <is>
          <t>Process-gas NG make-up shut-off valve (with double NRV)</t>
        </is>
      </c>
      <c r="E28" s="5" t="inlineStr">
        <is>
          <t>Isolation / ESD valve</t>
        </is>
      </c>
      <c r="F28" s="5" t="inlineStr"/>
      <c r="G28" s="5" t="inlineStr">
        <is>
          <t>Single</t>
        </is>
      </c>
      <c r="H28" s="5" t="inlineStr">
        <is>
          <t>Prevent reverse flow of process gas into NG</t>
        </is>
      </c>
      <c r="I28" s="5" t="inlineStr"/>
    </row>
    <row r="29">
      <c r="A29" s="13" t="n">
        <v>25</v>
      </c>
      <c r="B29" s="5" t="inlineStr">
        <is>
          <t>S04 – DRI plant gas supply – district station DS-2</t>
        </is>
      </c>
      <c r="C29" s="5" t="inlineStr">
        <is>
          <t>PSLL-2006</t>
        </is>
      </c>
      <c r="D29" s="5" t="inlineStr">
        <is>
          <t>Reformer fuel low-low pressure switch</t>
        </is>
      </c>
      <c r="E29" s="5" t="inlineStr">
        <is>
          <t>Instrument – transmitter / switch</t>
        </is>
      </c>
      <c r="F29" s="5" t="inlineStr"/>
      <c r="G29" s="5" t="inlineStr">
        <is>
          <t>Single</t>
        </is>
      </c>
      <c r="H29" s="5" t="inlineStr">
        <is>
          <t>Trip reformer burners on low gas pressure</t>
        </is>
      </c>
      <c r="I29" s="5" t="inlineStr"/>
    </row>
    <row r="30">
      <c r="A30" s="13" t="n">
        <v>26</v>
      </c>
      <c r="B30" s="5" t="inlineStr">
        <is>
          <t>S05 – Melt shop gas supply – DS-3, EAF oxy-fuel burners and ladle preheaters</t>
        </is>
      </c>
      <c r="C30" s="5" t="inlineStr">
        <is>
          <t>SSV-3003</t>
        </is>
      </c>
      <c r="D30" s="5" t="inlineStr">
        <is>
          <t>DS-3 slam-shut valve</t>
        </is>
      </c>
      <c r="E30" s="5" t="inlineStr">
        <is>
          <t>Isolation / ESD valve</t>
        </is>
      </c>
      <c r="F30" s="5" t="inlineStr"/>
      <c r="G30" s="5" t="inlineStr">
        <is>
          <t>Single</t>
        </is>
      </c>
      <c r="H30" s="5" t="inlineStr">
        <is>
          <t>Overpressure shut-off of DS-3</t>
        </is>
      </c>
      <c r="I30" s="5" t="inlineStr"/>
    </row>
    <row r="31">
      <c r="A31" s="13" t="n">
        <v>27</v>
      </c>
      <c r="B31" s="5" t="inlineStr">
        <is>
          <t>S05 – Melt shop gas supply – DS-3, EAF oxy-fuel burners and ladle preheaters</t>
        </is>
      </c>
      <c r="C31" s="5" t="inlineStr">
        <is>
          <t>NRV-3010</t>
        </is>
      </c>
      <c r="D31" s="5" t="inlineStr">
        <is>
          <t>NG non-return valve + flashback arrestor (oxy-fuel burner)</t>
        </is>
      </c>
      <c r="E31" s="5" t="inlineStr">
        <is>
          <t>Isolation / ESD valve</t>
        </is>
      </c>
      <c r="F31" s="5" t="inlineStr"/>
      <c r="G31" s="5" t="inlineStr">
        <is>
          <t>Single</t>
        </is>
      </c>
      <c r="H31" s="5" t="inlineStr">
        <is>
          <t>Prevent O2 back-flow into the NG line</t>
        </is>
      </c>
      <c r="I31" s="5" t="inlineStr"/>
    </row>
    <row r="32">
      <c r="A32" s="13" t="n">
        <v>28</v>
      </c>
      <c r="B32" s="5" t="inlineStr">
        <is>
          <t>S05 – Melt shop gas supply – DS-3, EAF oxy-fuel burners and ladle preheaters</t>
        </is>
      </c>
      <c r="C32" s="5" t="inlineStr">
        <is>
          <t>XV-3011</t>
        </is>
      </c>
      <c r="D32" s="5" t="inlineStr">
        <is>
          <t>Oxy-fuel burner NG shut-off valve</t>
        </is>
      </c>
      <c r="E32" s="5" t="inlineStr">
        <is>
          <t>Isolation / ESD valve</t>
        </is>
      </c>
      <c r="F32" s="5" t="inlineStr"/>
      <c r="G32" s="5" t="inlineStr">
        <is>
          <t>Single</t>
        </is>
      </c>
      <c r="H32" s="5" t="inlineStr">
        <is>
          <t>Shut off NG on burner trip</t>
        </is>
      </c>
      <c r="I32" s="5" t="inlineStr"/>
    </row>
    <row r="33">
      <c r="A33" s="13" t="n">
        <v>29</v>
      </c>
      <c r="B33" s="5" t="inlineStr">
        <is>
          <t>S05 – Melt shop gas supply – DS-3, EAF oxy-fuel burners and ladle preheaters</t>
        </is>
      </c>
      <c r="C33" s="5" t="inlineStr">
        <is>
          <t>LPH-3020</t>
        </is>
      </c>
      <c r="D33" s="5" t="inlineStr">
        <is>
          <t>Ladle preheater burner system</t>
        </is>
      </c>
      <c r="E33" s="5" t="inlineStr">
        <is>
          <t>Burner / combustion system</t>
        </is>
      </c>
      <c r="F33" s="5" t="inlineStr"/>
      <c r="G33" s="5" t="inlineStr">
        <is>
          <t>Single</t>
        </is>
      </c>
      <c r="H33" s="5" t="inlineStr">
        <is>
          <t>Preheat ladles safely</t>
        </is>
      </c>
      <c r="I33" s="5" t="inlineStr"/>
    </row>
    <row r="34">
      <c r="A34" s="13" t="n">
        <v>30</v>
      </c>
      <c r="B34" s="5" t="inlineStr">
        <is>
          <t>S06 – Rolling-mill reheat furnace fuel gas train and burner management</t>
        </is>
      </c>
      <c r="C34" s="5" t="inlineStr">
        <is>
          <t>XV-4002A</t>
        </is>
      </c>
      <c r="D34" s="5" t="inlineStr">
        <is>
          <t>Reheat furnace safety shut-off valve A</t>
        </is>
      </c>
      <c r="E34" s="5" t="inlineStr">
        <is>
          <t>Isolation / ESD valve</t>
        </is>
      </c>
      <c r="F34" s="5" t="inlineStr"/>
      <c r="G34" s="5" t="inlineStr">
        <is>
          <t>Duty</t>
        </is>
      </c>
      <c r="H34" s="5" t="inlineStr">
        <is>
          <t>Shut off fuel on trip (1oo2 with XV-4002B)</t>
        </is>
      </c>
      <c r="I34" s="5" t="inlineStr"/>
    </row>
    <row r="35">
      <c r="A35" s="13" t="n">
        <v>31</v>
      </c>
      <c r="B35" s="5" t="inlineStr">
        <is>
          <t>S06 – Rolling-mill reheat furnace fuel gas train and burner management</t>
        </is>
      </c>
      <c r="C35" s="5" t="inlineStr">
        <is>
          <t>XV-4002B</t>
        </is>
      </c>
      <c r="D35" s="5" t="inlineStr">
        <is>
          <t>Reheat furnace safety shut-off valve B</t>
        </is>
      </c>
      <c r="E35" s="5" t="inlineStr">
        <is>
          <t>Isolation / ESD valve</t>
        </is>
      </c>
      <c r="F35" s="5" t="inlineStr"/>
      <c r="G35" s="5" t="inlineStr">
        <is>
          <t>Duty</t>
        </is>
      </c>
      <c r="H35" s="5" t="inlineStr">
        <is>
          <t>Shut off fuel on trip (1oo2 with XV-4002A)</t>
        </is>
      </c>
      <c r="I35" s="5" t="inlineStr"/>
    </row>
    <row r="36">
      <c r="A36" s="13" t="n">
        <v>32</v>
      </c>
      <c r="B36" s="5" t="inlineStr">
        <is>
          <t>S06 – Rolling-mill reheat furnace fuel gas train and burner management</t>
        </is>
      </c>
      <c r="C36" s="5" t="inlineStr">
        <is>
          <t>XV-4003</t>
        </is>
      </c>
      <c r="D36" s="5" t="inlineStr">
        <is>
          <t>Vent valve between the SSOVs (DBB)</t>
        </is>
      </c>
      <c r="E36" s="5" t="inlineStr">
        <is>
          <t>Isolation / ESD valve</t>
        </is>
      </c>
      <c r="F36" s="5" t="inlineStr"/>
      <c r="G36" s="5" t="inlineStr">
        <is>
          <t>Single</t>
        </is>
      </c>
      <c r="H36" s="5" t="inlineStr">
        <is>
          <t>Vent the space between the SSOVs</t>
        </is>
      </c>
      <c r="I36" s="5" t="inlineStr"/>
    </row>
    <row r="37">
      <c r="A37" s="13" t="n">
        <v>33</v>
      </c>
      <c r="B37" s="5" t="inlineStr">
        <is>
          <t>S06 – Rolling-mill reheat furnace fuel gas train and burner management</t>
        </is>
      </c>
      <c r="C37" s="5" t="inlineStr">
        <is>
          <t>VPS-4004</t>
        </is>
      </c>
      <c r="D37" s="5" t="inlineStr">
        <is>
          <t>Valve proving system</t>
        </is>
      </c>
      <c r="E37" s="5" t="inlineStr">
        <is>
          <t>Instrument – transmitter / switch</t>
        </is>
      </c>
      <c r="F37" s="5" t="inlineStr"/>
      <c r="G37" s="5" t="inlineStr">
        <is>
          <t>Single</t>
        </is>
      </c>
      <c r="H37" s="5" t="inlineStr">
        <is>
          <t>Prove SSOV tightness before light-off</t>
        </is>
      </c>
      <c r="I37" s="5" t="inlineStr"/>
    </row>
    <row r="38">
      <c r="A38" s="13" t="n">
        <v>34</v>
      </c>
      <c r="B38" s="5" t="inlineStr">
        <is>
          <t>S06 – Rolling-mill reheat furnace fuel gas train and burner management</t>
        </is>
      </c>
      <c r="C38" s="5" t="inlineStr">
        <is>
          <t>PSLL-4005</t>
        </is>
      </c>
      <c r="D38" s="5" t="inlineStr">
        <is>
          <t>Low-low fuel gas pressure switch</t>
        </is>
      </c>
      <c r="E38" s="5" t="inlineStr">
        <is>
          <t>Instrument – transmitter / switch</t>
        </is>
      </c>
      <c r="F38" s="5" t="inlineStr"/>
      <c r="G38" s="5" t="inlineStr">
        <is>
          <t>Single</t>
        </is>
      </c>
      <c r="H38" s="5" t="inlineStr">
        <is>
          <t>Trip on low gas pressure</t>
        </is>
      </c>
      <c r="I38" s="5" t="inlineStr"/>
    </row>
    <row r="39">
      <c r="A39" s="13" t="n">
        <v>35</v>
      </c>
      <c r="B39" s="5" t="inlineStr">
        <is>
          <t>S06 – Rolling-mill reheat furnace fuel gas train and burner management</t>
        </is>
      </c>
      <c r="C39" s="5" t="inlineStr">
        <is>
          <t>PSHH-4006</t>
        </is>
      </c>
      <c r="D39" s="5" t="inlineStr">
        <is>
          <t>High-high fuel gas pressure switch</t>
        </is>
      </c>
      <c r="E39" s="5" t="inlineStr">
        <is>
          <t>Instrument – transmitter / switch</t>
        </is>
      </c>
      <c r="F39" s="5" t="inlineStr"/>
      <c r="G39" s="5" t="inlineStr">
        <is>
          <t>Single</t>
        </is>
      </c>
      <c r="H39" s="5" t="inlineStr">
        <is>
          <t>Trip on high gas pressure</t>
        </is>
      </c>
      <c r="I39" s="5" t="inlineStr"/>
    </row>
    <row r="40">
      <c r="A40" s="13" t="n">
        <v>36</v>
      </c>
      <c r="B40" s="5" t="inlineStr">
        <is>
          <t>S06 – Rolling-mill reheat furnace fuel gas train and burner management</t>
        </is>
      </c>
      <c r="C40" s="5" t="inlineStr">
        <is>
          <t>FN-4007</t>
        </is>
      </c>
      <c r="D40" s="5" t="inlineStr">
        <is>
          <t>Combustion air fan</t>
        </is>
      </c>
      <c r="E40" s="5" t="inlineStr">
        <is>
          <t>Fan / blower (incl. ID fan)</t>
        </is>
      </c>
      <c r="F40" s="5" t="inlineStr"/>
      <c r="G40" s="5" t="inlineStr">
        <is>
          <t>Single</t>
        </is>
      </c>
      <c r="H40" s="5" t="inlineStr">
        <is>
          <t>Supply combustion air</t>
        </is>
      </c>
      <c r="I40" s="5" t="inlineStr"/>
    </row>
    <row r="41">
      <c r="A41" s="13" t="n">
        <v>37</v>
      </c>
      <c r="B41" s="5" t="inlineStr">
        <is>
          <t>S06 – Rolling-mill reheat furnace fuel gas train and burner management</t>
        </is>
      </c>
      <c r="C41" s="5" t="inlineStr">
        <is>
          <t>FSLL-4008</t>
        </is>
      </c>
      <c r="D41" s="5" t="inlineStr">
        <is>
          <t>Low-low combustion air flow switch</t>
        </is>
      </c>
      <c r="E41" s="5" t="inlineStr">
        <is>
          <t>Instrument – transmitter / switch</t>
        </is>
      </c>
      <c r="F41" s="5" t="inlineStr"/>
      <c r="G41" s="5" t="inlineStr">
        <is>
          <t>Single</t>
        </is>
      </c>
      <c r="H41" s="5" t="inlineStr">
        <is>
          <t>Trip on low air flow</t>
        </is>
      </c>
      <c r="I41" s="5" t="inlineStr"/>
    </row>
    <row r="42">
      <c r="A42" s="13" t="n">
        <v>38</v>
      </c>
      <c r="B42" s="5" t="inlineStr">
        <is>
          <t>S06 – Rolling-mill reheat furnace fuel gas train and burner management</t>
        </is>
      </c>
      <c r="C42" s="5" t="inlineStr">
        <is>
          <t>BS-4010</t>
        </is>
      </c>
      <c r="D42" s="5" t="inlineStr">
        <is>
          <t>UV flame scanners (one per burner)</t>
        </is>
      </c>
      <c r="E42" s="5" t="inlineStr">
        <is>
          <t>Instrument – transmitter / switch</t>
        </is>
      </c>
      <c r="F42" s="5" t="inlineStr"/>
      <c r="G42" s="5" t="inlineStr">
        <is>
          <t>Single</t>
        </is>
      </c>
      <c r="H42" s="5" t="inlineStr">
        <is>
          <t>Detect loss of flame</t>
        </is>
      </c>
      <c r="I42" s="5" t="inlineStr"/>
    </row>
    <row r="43">
      <c r="A43" s="13" t="n">
        <v>39</v>
      </c>
      <c r="B43" s="5" t="inlineStr">
        <is>
          <t>S06 – Rolling-mill reheat furnace fuel gas train and burner management</t>
        </is>
      </c>
      <c r="C43" s="5" t="inlineStr">
        <is>
          <t>BMS-4000</t>
        </is>
      </c>
      <c r="D43" s="5" t="inlineStr">
        <is>
          <t>Burner management system logic solver</t>
        </is>
      </c>
      <c r="E43" s="5" t="inlineStr">
        <is>
          <t>Control system / SIS logic solver</t>
        </is>
      </c>
      <c r="F43" s="5" t="inlineStr"/>
      <c r="G43" s="5" t="inlineStr">
        <is>
          <t>Single</t>
        </is>
      </c>
      <c r="H43" s="5" t="inlineStr">
        <is>
          <t>Purge, light-off and flame-failure logic</t>
        </is>
      </c>
      <c r="I43" s="5" t="inlineStr"/>
    </row>
    <row r="44">
      <c r="A44" s="13" t="n">
        <v>40</v>
      </c>
      <c r="B44" s="5" t="inlineStr">
        <is>
          <t>S07 – Purge, vent, blowdown and maintenance isolation</t>
        </is>
      </c>
      <c r="C44" s="5" t="inlineStr">
        <is>
          <t>VS-1301</t>
        </is>
      </c>
      <c r="D44" s="5" t="inlineStr">
        <is>
          <t>PRS vent stack</t>
        </is>
      </c>
      <c r="E44" s="5" t="inlineStr">
        <is>
          <t>Piping, flanges &amp; hoses</t>
        </is>
      </c>
      <c r="F44" s="5" t="inlineStr"/>
      <c r="G44" s="5" t="inlineStr">
        <is>
          <t>Single</t>
        </is>
      </c>
      <c r="H44" s="5" t="inlineStr">
        <is>
          <t>Disperse vented gas safely</t>
        </is>
      </c>
      <c r="I44" s="5" t="inlineStr"/>
    </row>
    <row r="45">
      <c r="A45" s="13" t="n">
        <v>41</v>
      </c>
      <c r="B45" s="5" t="inlineStr">
        <is>
          <t>S07 – Purge, vent, blowdown and maintenance isolation</t>
        </is>
      </c>
      <c r="C45" s="5" t="inlineStr">
        <is>
          <t>BDV-1302</t>
        </is>
      </c>
      <c r="D45" s="5" t="inlineStr">
        <is>
          <t>PRS blowdown valve</t>
        </is>
      </c>
      <c r="E45" s="5" t="inlineStr">
        <is>
          <t>Isolation / ESD valve</t>
        </is>
      </c>
      <c r="F45" s="5" t="inlineStr"/>
      <c r="G45" s="5" t="inlineStr">
        <is>
          <t>Single</t>
        </is>
      </c>
      <c r="H45" s="5" t="inlineStr">
        <is>
          <t>Depressurise the PRS</t>
        </is>
      </c>
      <c r="I45" s="5" t="inlineStr"/>
    </row>
    <row r="46">
      <c r="A46" s="13" t="n">
        <v>42</v>
      </c>
      <c r="B46" s="5" t="inlineStr">
        <is>
          <t>S07 – Purge, vent, blowdown and maintenance isolation</t>
        </is>
      </c>
      <c r="C46" s="5" t="inlineStr">
        <is>
          <t>N2-1304</t>
        </is>
      </c>
      <c r="D46" s="5" t="inlineStr">
        <is>
          <t>N2 purge connection (removable spool / hose)</t>
        </is>
      </c>
      <c r="E46" s="5" t="inlineStr">
        <is>
          <t>Piping, flanges &amp; hoses</t>
        </is>
      </c>
      <c r="F46" s="5" t="inlineStr"/>
      <c r="G46" s="5" t="inlineStr">
        <is>
          <t>Single</t>
        </is>
      </c>
      <c r="H46" s="5" t="inlineStr">
        <is>
          <t>Purge with N2 for gas-in / gas-out</t>
        </is>
      </c>
      <c r="I46" s="5" t="inlineStr"/>
    </row>
    <row r="47">
      <c r="A47" s="13" t="n">
        <v>43</v>
      </c>
      <c r="B47" s="5" t="inlineStr">
        <is>
          <t>S08 – Gas detection, F&amp;G and ESD system</t>
        </is>
      </c>
      <c r="C47" s="5" t="inlineStr">
        <is>
          <t>GD-1110A</t>
        </is>
      </c>
      <c r="D47" s="5" t="inlineStr">
        <is>
          <t>PRS shelter gas detector A (2oo3)</t>
        </is>
      </c>
      <c r="E47" s="5" t="inlineStr">
        <is>
          <t>Analyser / gas detector</t>
        </is>
      </c>
      <c r="F47" s="5" t="inlineStr"/>
      <c r="G47" s="5" t="inlineStr">
        <is>
          <t>Duty</t>
        </is>
      </c>
      <c r="H47" s="5" t="inlineStr">
        <is>
          <t>Detect gas release</t>
        </is>
      </c>
      <c r="I47" s="5" t="inlineStr"/>
    </row>
    <row r="48">
      <c r="A48" s="13" t="n">
        <v>44</v>
      </c>
      <c r="B48" s="5" t="inlineStr">
        <is>
          <t>S08 – Gas detection, F&amp;G and ESD system</t>
        </is>
      </c>
      <c r="C48" s="5" t="inlineStr">
        <is>
          <t>GD-1110B</t>
        </is>
      </c>
      <c r="D48" s="5" t="inlineStr">
        <is>
          <t>PRS shelter gas detector B (2oo3)</t>
        </is>
      </c>
      <c r="E48" s="5" t="inlineStr">
        <is>
          <t>Analyser / gas detector</t>
        </is>
      </c>
      <c r="F48" s="5" t="inlineStr"/>
      <c r="G48" s="5" t="inlineStr">
        <is>
          <t>Duty</t>
        </is>
      </c>
      <c r="H48" s="5" t="inlineStr">
        <is>
          <t>Detect gas release</t>
        </is>
      </c>
      <c r="I48" s="5" t="inlineStr"/>
    </row>
    <row r="49">
      <c r="A49" s="13" t="n">
        <v>45</v>
      </c>
      <c r="B49" s="5" t="inlineStr">
        <is>
          <t>S08 – Gas detection, F&amp;G and ESD system</t>
        </is>
      </c>
      <c r="C49" s="5" t="inlineStr">
        <is>
          <t>GD-1110C</t>
        </is>
      </c>
      <c r="D49" s="5" t="inlineStr">
        <is>
          <t>PRS shelter gas detector C (2oo3)</t>
        </is>
      </c>
      <c r="E49" s="5" t="inlineStr">
        <is>
          <t>Analyser / gas detector</t>
        </is>
      </c>
      <c r="F49" s="5" t="inlineStr"/>
      <c r="G49" s="5" t="inlineStr">
        <is>
          <t>Duty</t>
        </is>
      </c>
      <c r="H49" s="5" t="inlineStr">
        <is>
          <t>Detect gas release</t>
        </is>
      </c>
      <c r="I49" s="5" t="inlineStr"/>
    </row>
    <row r="50">
      <c r="A50" s="13" t="n">
        <v>46</v>
      </c>
      <c r="B50" s="5" t="inlineStr">
        <is>
          <t>S08 – Gas detection, F&amp;G and ESD system</t>
        </is>
      </c>
      <c r="C50" s="5" t="inlineStr">
        <is>
          <t>UCP-1000</t>
        </is>
      </c>
      <c r="D50" s="5" t="inlineStr">
        <is>
          <t>SIS logic solver (gas ESD)</t>
        </is>
      </c>
      <c r="E50" s="5" t="inlineStr">
        <is>
          <t>Control system / SIS logic solver</t>
        </is>
      </c>
      <c r="F50" s="5" t="inlineStr"/>
      <c r="G50" s="5" t="inlineStr">
        <is>
          <t>Single</t>
        </is>
      </c>
      <c r="H50" s="5" t="inlineStr">
        <is>
          <t>Execute the ESD cause &amp; effects</t>
        </is>
      </c>
      <c r="I50" s="5" t="inlineStr"/>
    </row>
    <row r="51">
      <c r="A51" s="13" t="n">
        <v>47</v>
      </c>
      <c r="B51" s="5" t="inlineStr">
        <is>
          <t>S08 – Gas detection, F&amp;G and ESD system</t>
        </is>
      </c>
      <c r="C51" s="5" t="inlineStr">
        <is>
          <t>HS-1000</t>
        </is>
      </c>
      <c r="D51" s="5" t="inlineStr">
        <is>
          <t>Manual ESD push buttons</t>
        </is>
      </c>
      <c r="E51" s="5" t="inlineStr">
        <is>
          <t>Instrument – transmitter / switch</t>
        </is>
      </c>
      <c r="F51" s="5" t="inlineStr"/>
      <c r="G51" s="5" t="inlineStr">
        <is>
          <t>Single</t>
        </is>
      </c>
      <c r="H51" s="5" t="inlineStr">
        <is>
          <t>Manual ESD initiation</t>
        </is>
      </c>
      <c r="I51" s="5" t="inlineStr"/>
    </row>
    <row r="52">
      <c r="A52" s="13" t="n">
        <v>48</v>
      </c>
      <c r="B52" s="5" t="inlineStr">
        <is>
          <t>S08 – Gas detection, F&amp;G and ESD system</t>
        </is>
      </c>
      <c r="C52" s="5" t="inlineStr">
        <is>
          <t>UPS-1000</t>
        </is>
      </c>
      <c r="D52" s="5" t="inlineStr">
        <is>
          <t>UPS for SIS / F&amp;G</t>
        </is>
      </c>
      <c r="E52" s="5" t="inlineStr">
        <is>
          <t>Variable speed drive / UPS</t>
        </is>
      </c>
      <c r="F52" s="5" t="inlineStr"/>
      <c r="G52" s="5" t="inlineStr">
        <is>
          <t>Single</t>
        </is>
      </c>
      <c r="H52" s="5" t="inlineStr">
        <is>
          <t>30 min back-up power</t>
        </is>
      </c>
      <c r="I52" s="5" t="inlineStr"/>
    </row>
    <row r="53">
      <c r="A53" s="13" t="n">
        <v>49</v>
      </c>
      <c r="B53" s="5" t="n"/>
      <c r="C53" s="5" t="n"/>
      <c r="D53" s="5" t="n"/>
      <c r="E53" s="5" t="n"/>
      <c r="F53" s="5" t="n"/>
      <c r="G53" s="5" t="n"/>
      <c r="H53" s="5" t="n"/>
      <c r="I53" s="5" t="n"/>
    </row>
    <row r="54">
      <c r="A54" s="13" t="n">
        <v>50</v>
      </c>
      <c r="B54" s="5" t="n"/>
      <c r="C54" s="5" t="n"/>
      <c r="D54" s="5" t="n"/>
      <c r="E54" s="5" t="n"/>
      <c r="F54" s="5" t="n"/>
      <c r="G54" s="5" t="n"/>
      <c r="H54" s="5" t="n"/>
      <c r="I54" s="5" t="n"/>
    </row>
    <row r="55">
      <c r="A55" s="13" t="n">
        <v>51</v>
      </c>
      <c r="B55" s="5" t="n"/>
      <c r="C55" s="5" t="n"/>
      <c r="D55" s="5" t="n"/>
      <c r="E55" s="5" t="n"/>
      <c r="F55" s="5" t="n"/>
      <c r="G55" s="5" t="n"/>
      <c r="H55" s="5" t="n"/>
      <c r="I55" s="5" t="n"/>
    </row>
    <row r="56">
      <c r="A56" s="13" t="n">
        <v>52</v>
      </c>
      <c r="B56" s="5" t="n"/>
      <c r="C56" s="5" t="n"/>
      <c r="D56" s="5" t="n"/>
      <c r="E56" s="5" t="n"/>
      <c r="F56" s="5" t="n"/>
      <c r="G56" s="5" t="n"/>
      <c r="H56" s="5" t="n"/>
      <c r="I56" s="5" t="n"/>
    </row>
    <row r="57">
      <c r="A57" s="13" t="n">
        <v>53</v>
      </c>
      <c r="B57" s="5" t="n"/>
      <c r="C57" s="5" t="n"/>
      <c r="D57" s="5" t="n"/>
      <c r="E57" s="5" t="n"/>
      <c r="F57" s="5" t="n"/>
      <c r="G57" s="5" t="n"/>
      <c r="H57" s="5" t="n"/>
      <c r="I57" s="5" t="n"/>
    </row>
    <row r="58">
      <c r="A58" s="13" t="n">
        <v>54</v>
      </c>
      <c r="B58" s="5" t="n"/>
      <c r="C58" s="5" t="n"/>
      <c r="D58" s="5" t="n"/>
      <c r="E58" s="5" t="n"/>
      <c r="F58" s="5" t="n"/>
      <c r="G58" s="5" t="n"/>
      <c r="H58" s="5" t="n"/>
      <c r="I58" s="5" t="n"/>
    </row>
    <row r="59">
      <c r="A59" s="13" t="n">
        <v>55</v>
      </c>
      <c r="B59" s="5" t="n"/>
      <c r="C59" s="5" t="n"/>
      <c r="D59" s="5" t="n"/>
      <c r="E59" s="5" t="n"/>
      <c r="F59" s="5" t="n"/>
      <c r="G59" s="5" t="n"/>
      <c r="H59" s="5" t="n"/>
      <c r="I59" s="5" t="n"/>
    </row>
    <row r="60">
      <c r="A60" s="13" t="n">
        <v>56</v>
      </c>
      <c r="B60" s="5" t="n"/>
      <c r="C60" s="5" t="n"/>
      <c r="D60" s="5" t="n"/>
      <c r="E60" s="5" t="n"/>
      <c r="F60" s="5" t="n"/>
      <c r="G60" s="5" t="n"/>
      <c r="H60" s="5" t="n"/>
      <c r="I60" s="5" t="n"/>
    </row>
    <row r="61">
      <c r="A61" s="13" t="n">
        <v>57</v>
      </c>
      <c r="B61" s="5" t="n"/>
      <c r="C61" s="5" t="n"/>
      <c r="D61" s="5" t="n"/>
      <c r="E61" s="5" t="n"/>
      <c r="F61" s="5" t="n"/>
      <c r="G61" s="5" t="n"/>
      <c r="H61" s="5" t="n"/>
      <c r="I61" s="5" t="n"/>
    </row>
    <row r="62">
      <c r="A62" s="13" t="n">
        <v>58</v>
      </c>
      <c r="B62" s="5" t="n"/>
      <c r="C62" s="5" t="n"/>
      <c r="D62" s="5" t="n"/>
      <c r="E62" s="5" t="n"/>
      <c r="F62" s="5" t="n"/>
      <c r="G62" s="5" t="n"/>
      <c r="H62" s="5" t="n"/>
      <c r="I62" s="5" t="n"/>
    </row>
    <row r="63">
      <c r="A63" s="13" t="n">
        <v>59</v>
      </c>
      <c r="B63" s="5" t="n"/>
      <c r="C63" s="5" t="n"/>
      <c r="D63" s="5" t="n"/>
      <c r="E63" s="5" t="n"/>
      <c r="F63" s="5" t="n"/>
      <c r="G63" s="5" t="n"/>
      <c r="H63" s="5" t="n"/>
      <c r="I63" s="5" t="n"/>
    </row>
    <row r="64">
      <c r="A64" s="13" t="n">
        <v>60</v>
      </c>
      <c r="B64" s="5" t="n"/>
      <c r="C64" s="5" t="n"/>
      <c r="D64" s="5" t="n"/>
      <c r="E64" s="5" t="n"/>
      <c r="F64" s="5" t="n"/>
      <c r="G64" s="5" t="n"/>
      <c r="H64" s="5" t="n"/>
      <c r="I64" s="5" t="n"/>
    </row>
    <row r="65">
      <c r="A65" s="13" t="n">
        <v>61</v>
      </c>
      <c r="B65" s="5" t="n"/>
      <c r="C65" s="5" t="n"/>
      <c r="D65" s="5" t="n"/>
      <c r="E65" s="5" t="n"/>
      <c r="F65" s="5" t="n"/>
      <c r="G65" s="5" t="n"/>
      <c r="H65" s="5" t="n"/>
      <c r="I65" s="5" t="n"/>
    </row>
    <row r="66">
      <c r="A66" s="13" t="n">
        <v>62</v>
      </c>
      <c r="B66" s="5" t="n"/>
      <c r="C66" s="5" t="n"/>
      <c r="D66" s="5" t="n"/>
      <c r="E66" s="5" t="n"/>
      <c r="F66" s="5" t="n"/>
      <c r="G66" s="5" t="n"/>
      <c r="H66" s="5" t="n"/>
      <c r="I66" s="5" t="n"/>
    </row>
    <row r="67">
      <c r="A67" s="13" t="n">
        <v>63</v>
      </c>
      <c r="B67" s="5" t="n"/>
      <c r="C67" s="5" t="n"/>
      <c r="D67" s="5" t="n"/>
      <c r="E67" s="5" t="n"/>
      <c r="F67" s="5" t="n"/>
      <c r="G67" s="5" t="n"/>
      <c r="H67" s="5" t="n"/>
      <c r="I67" s="5" t="n"/>
    </row>
    <row r="68">
      <c r="A68" s="13" t="n">
        <v>64</v>
      </c>
      <c r="B68" s="5" t="n"/>
      <c r="C68" s="5" t="n"/>
      <c r="D68" s="5" t="n"/>
      <c r="E68" s="5" t="n"/>
      <c r="F68" s="5" t="n"/>
      <c r="G68" s="5" t="n"/>
      <c r="H68" s="5" t="n"/>
      <c r="I68" s="5" t="n"/>
    </row>
    <row r="69">
      <c r="A69" s="13" t="n">
        <v>65</v>
      </c>
      <c r="B69" s="5" t="n"/>
      <c r="C69" s="5" t="n"/>
      <c r="D69" s="5" t="n"/>
      <c r="E69" s="5" t="n"/>
      <c r="F69" s="5" t="n"/>
      <c r="G69" s="5" t="n"/>
      <c r="H69" s="5" t="n"/>
      <c r="I69" s="5" t="n"/>
    </row>
    <row r="70">
      <c r="A70" s="13" t="n">
        <v>66</v>
      </c>
      <c r="B70" s="5" t="n"/>
      <c r="C70" s="5" t="n"/>
      <c r="D70" s="5" t="n"/>
      <c r="E70" s="5" t="n"/>
      <c r="F70" s="5" t="n"/>
      <c r="G70" s="5" t="n"/>
      <c r="H70" s="5" t="n"/>
      <c r="I70" s="5" t="n"/>
    </row>
    <row r="71">
      <c r="A71" s="13" t="n">
        <v>67</v>
      </c>
      <c r="B71" s="5" t="n"/>
      <c r="C71" s="5" t="n"/>
      <c r="D71" s="5" t="n"/>
      <c r="E71" s="5" t="n"/>
      <c r="F71" s="5" t="n"/>
      <c r="G71" s="5" t="n"/>
      <c r="H71" s="5" t="n"/>
      <c r="I71" s="5" t="n"/>
    </row>
    <row r="72">
      <c r="A72" s="13" t="n">
        <v>68</v>
      </c>
      <c r="B72" s="5" t="n"/>
      <c r="C72" s="5" t="n"/>
      <c r="D72" s="5" t="n"/>
      <c r="E72" s="5" t="n"/>
      <c r="F72" s="5" t="n"/>
      <c r="G72" s="5" t="n"/>
      <c r="H72" s="5" t="n"/>
      <c r="I72" s="5" t="n"/>
    </row>
    <row r="73">
      <c r="A73" s="13" t="n">
        <v>69</v>
      </c>
      <c r="B73" s="5" t="n"/>
      <c r="C73" s="5" t="n"/>
      <c r="D73" s="5" t="n"/>
      <c r="E73" s="5" t="n"/>
      <c r="F73" s="5" t="n"/>
      <c r="G73" s="5" t="n"/>
      <c r="H73" s="5" t="n"/>
      <c r="I73" s="5" t="n"/>
    </row>
    <row r="74">
      <c r="A74" s="13" t="n">
        <v>70</v>
      </c>
      <c r="B74" s="5" t="n"/>
      <c r="C74" s="5" t="n"/>
      <c r="D74" s="5" t="n"/>
      <c r="E74" s="5" t="n"/>
      <c r="F74" s="5" t="n"/>
      <c r="G74" s="5" t="n"/>
      <c r="H74" s="5" t="n"/>
      <c r="I74" s="5" t="n"/>
    </row>
    <row r="75">
      <c r="A75" s="13" t="n">
        <v>71</v>
      </c>
      <c r="B75" s="5" t="n"/>
      <c r="C75" s="5" t="n"/>
      <c r="D75" s="5" t="n"/>
      <c r="E75" s="5" t="n"/>
      <c r="F75" s="5" t="n"/>
      <c r="G75" s="5" t="n"/>
      <c r="H75" s="5" t="n"/>
      <c r="I75" s="5" t="n"/>
    </row>
    <row r="76">
      <c r="A76" s="13" t="n">
        <v>72</v>
      </c>
      <c r="B76" s="5" t="n"/>
      <c r="C76" s="5" t="n"/>
      <c r="D76" s="5" t="n"/>
      <c r="E76" s="5" t="n"/>
      <c r="F76" s="5" t="n"/>
      <c r="G76" s="5" t="n"/>
      <c r="H76" s="5" t="n"/>
      <c r="I76" s="5" t="n"/>
    </row>
    <row r="77">
      <c r="A77" s="13" t="n">
        <v>73</v>
      </c>
      <c r="B77" s="5" t="n"/>
      <c r="C77" s="5" t="n"/>
      <c r="D77" s="5" t="n"/>
      <c r="E77" s="5" t="n"/>
      <c r="F77" s="5" t="n"/>
      <c r="G77" s="5" t="n"/>
      <c r="H77" s="5" t="n"/>
      <c r="I77" s="5" t="n"/>
    </row>
    <row r="78">
      <c r="A78" s="13" t="n">
        <v>74</v>
      </c>
      <c r="B78" s="5" t="n"/>
      <c r="C78" s="5" t="n"/>
      <c r="D78" s="5" t="n"/>
      <c r="E78" s="5" t="n"/>
      <c r="F78" s="5" t="n"/>
      <c r="G78" s="5" t="n"/>
      <c r="H78" s="5" t="n"/>
      <c r="I78" s="5" t="n"/>
    </row>
    <row r="79">
      <c r="A79" s="13" t="n">
        <v>75</v>
      </c>
      <c r="B79" s="5" t="n"/>
      <c r="C79" s="5" t="n"/>
      <c r="D79" s="5" t="n"/>
      <c r="E79" s="5" t="n"/>
      <c r="F79" s="5" t="n"/>
      <c r="G79" s="5" t="n"/>
      <c r="H79" s="5" t="n"/>
      <c r="I79" s="5" t="n"/>
    </row>
    <row r="80">
      <c r="A80" s="13" t="n">
        <v>76</v>
      </c>
      <c r="B80" s="5" t="n"/>
      <c r="C80" s="5" t="n"/>
      <c r="D80" s="5" t="n"/>
      <c r="E80" s="5" t="n"/>
      <c r="F80" s="5" t="n"/>
      <c r="G80" s="5" t="n"/>
      <c r="H80" s="5" t="n"/>
      <c r="I80" s="5" t="n"/>
    </row>
    <row r="81">
      <c r="A81" s="13" t="n">
        <v>77</v>
      </c>
      <c r="B81" s="5" t="n"/>
      <c r="C81" s="5" t="n"/>
      <c r="D81" s="5" t="n"/>
      <c r="E81" s="5" t="n"/>
      <c r="F81" s="5" t="n"/>
      <c r="G81" s="5" t="n"/>
      <c r="H81" s="5" t="n"/>
      <c r="I81" s="5" t="n"/>
    </row>
    <row r="82">
      <c r="A82" s="13" t="n">
        <v>78</v>
      </c>
      <c r="B82" s="5" t="n"/>
      <c r="C82" s="5" t="n"/>
      <c r="D82" s="5" t="n"/>
      <c r="E82" s="5" t="n"/>
      <c r="F82" s="5" t="n"/>
      <c r="G82" s="5" t="n"/>
      <c r="H82" s="5" t="n"/>
      <c r="I82" s="5" t="n"/>
    </row>
    <row r="83">
      <c r="A83" s="13" t="n">
        <v>79</v>
      </c>
      <c r="B83" s="5" t="n"/>
      <c r="C83" s="5" t="n"/>
      <c r="D83" s="5" t="n"/>
      <c r="E83" s="5" t="n"/>
      <c r="F83" s="5" t="n"/>
      <c r="G83" s="5" t="n"/>
      <c r="H83" s="5" t="n"/>
      <c r="I83" s="5" t="n"/>
    </row>
    <row r="84">
      <c r="A84" s="13" t="n">
        <v>80</v>
      </c>
      <c r="B84" s="5" t="n"/>
      <c r="C84" s="5" t="n"/>
      <c r="D84" s="5" t="n"/>
      <c r="E84" s="5" t="n"/>
      <c r="F84" s="5" t="n"/>
      <c r="G84" s="5" t="n"/>
      <c r="H84" s="5" t="n"/>
      <c r="I84" s="5" t="n"/>
    </row>
    <row r="85">
      <c r="A85" s="13" t="n">
        <v>81</v>
      </c>
      <c r="B85" s="5" t="n"/>
      <c r="C85" s="5" t="n"/>
      <c r="D85" s="5" t="n"/>
      <c r="E85" s="5" t="n"/>
      <c r="F85" s="5" t="n"/>
      <c r="G85" s="5" t="n"/>
      <c r="H85" s="5" t="n"/>
      <c r="I85" s="5" t="n"/>
    </row>
    <row r="86">
      <c r="A86" s="13" t="n">
        <v>82</v>
      </c>
      <c r="B86" s="5" t="n"/>
      <c r="C86" s="5" t="n"/>
      <c r="D86" s="5" t="n"/>
      <c r="E86" s="5" t="n"/>
      <c r="F86" s="5" t="n"/>
      <c r="G86" s="5" t="n"/>
      <c r="H86" s="5" t="n"/>
      <c r="I86" s="5" t="n"/>
    </row>
    <row r="87">
      <c r="A87" s="13" t="n">
        <v>83</v>
      </c>
      <c r="B87" s="5" t="n"/>
      <c r="C87" s="5" t="n"/>
      <c r="D87" s="5" t="n"/>
      <c r="E87" s="5" t="n"/>
      <c r="F87" s="5" t="n"/>
      <c r="G87" s="5" t="n"/>
      <c r="H87" s="5" t="n"/>
      <c r="I87" s="5" t="n"/>
    </row>
    <row r="88">
      <c r="A88" s="13" t="n">
        <v>84</v>
      </c>
      <c r="B88" s="5" t="n"/>
      <c r="C88" s="5" t="n"/>
      <c r="D88" s="5" t="n"/>
      <c r="E88" s="5" t="n"/>
      <c r="F88" s="5" t="n"/>
      <c r="G88" s="5" t="n"/>
      <c r="H88" s="5" t="n"/>
      <c r="I88" s="5" t="n"/>
    </row>
    <row r="89">
      <c r="A89" s="13" t="n">
        <v>85</v>
      </c>
      <c r="B89" s="5" t="n"/>
      <c r="C89" s="5" t="n"/>
      <c r="D89" s="5" t="n"/>
      <c r="E89" s="5" t="n"/>
      <c r="F89" s="5" t="n"/>
      <c r="G89" s="5" t="n"/>
      <c r="H89" s="5" t="n"/>
      <c r="I89" s="5" t="n"/>
    </row>
    <row r="90">
      <c r="A90" s="13" t="n">
        <v>86</v>
      </c>
      <c r="B90" s="5" t="n"/>
      <c r="C90" s="5" t="n"/>
      <c r="D90" s="5" t="n"/>
      <c r="E90" s="5" t="n"/>
      <c r="F90" s="5" t="n"/>
      <c r="G90" s="5" t="n"/>
      <c r="H90" s="5" t="n"/>
      <c r="I90" s="5" t="n"/>
    </row>
    <row r="91">
      <c r="A91" s="13" t="n">
        <v>87</v>
      </c>
      <c r="B91" s="5" t="n"/>
      <c r="C91" s="5" t="n"/>
      <c r="D91" s="5" t="n"/>
      <c r="E91" s="5" t="n"/>
      <c r="F91" s="5" t="n"/>
      <c r="G91" s="5" t="n"/>
      <c r="H91" s="5" t="n"/>
      <c r="I91" s="5" t="n"/>
    </row>
    <row r="92">
      <c r="A92" s="13" t="n">
        <v>88</v>
      </c>
      <c r="B92" s="5" t="n"/>
      <c r="C92" s="5" t="n"/>
      <c r="D92" s="5" t="n"/>
      <c r="E92" s="5" t="n"/>
      <c r="F92" s="5" t="n"/>
      <c r="G92" s="5" t="n"/>
      <c r="H92" s="5" t="n"/>
      <c r="I92" s="5" t="n"/>
    </row>
    <row r="93">
      <c r="A93" s="13" t="n">
        <v>89</v>
      </c>
      <c r="B93" s="5" t="n"/>
      <c r="C93" s="5" t="n"/>
      <c r="D93" s="5" t="n"/>
      <c r="E93" s="5" t="n"/>
      <c r="F93" s="5" t="n"/>
      <c r="G93" s="5" t="n"/>
      <c r="H93" s="5" t="n"/>
      <c r="I93" s="5" t="n"/>
    </row>
    <row r="94">
      <c r="A94" s="13" t="n">
        <v>90</v>
      </c>
      <c r="B94" s="5" t="n"/>
      <c r="C94" s="5" t="n"/>
      <c r="D94" s="5" t="n"/>
      <c r="E94" s="5" t="n"/>
      <c r="F94" s="5" t="n"/>
      <c r="G94" s="5" t="n"/>
      <c r="H94" s="5" t="n"/>
      <c r="I94" s="5" t="n"/>
    </row>
    <row r="95">
      <c r="A95" s="13" t="n">
        <v>91</v>
      </c>
      <c r="B95" s="5" t="n"/>
      <c r="C95" s="5" t="n"/>
      <c r="D95" s="5" t="n"/>
      <c r="E95" s="5" t="n"/>
      <c r="F95" s="5" t="n"/>
      <c r="G95" s="5" t="n"/>
      <c r="H95" s="5" t="n"/>
      <c r="I95" s="5" t="n"/>
    </row>
    <row r="96">
      <c r="A96" s="13" t="n">
        <v>92</v>
      </c>
      <c r="B96" s="5" t="n"/>
      <c r="C96" s="5" t="n"/>
      <c r="D96" s="5" t="n"/>
      <c r="E96" s="5" t="n"/>
      <c r="F96" s="5" t="n"/>
      <c r="G96" s="5" t="n"/>
      <c r="H96" s="5" t="n"/>
      <c r="I96" s="5" t="n"/>
    </row>
    <row r="97">
      <c r="A97" s="13" t="n">
        <v>93</v>
      </c>
      <c r="B97" s="5" t="n"/>
      <c r="C97" s="5" t="n"/>
      <c r="D97" s="5" t="n"/>
      <c r="E97" s="5" t="n"/>
      <c r="F97" s="5" t="n"/>
      <c r="G97" s="5" t="n"/>
      <c r="H97" s="5" t="n"/>
      <c r="I97" s="5" t="n"/>
    </row>
    <row r="98">
      <c r="A98" s="13" t="n">
        <v>94</v>
      </c>
      <c r="B98" s="5" t="n"/>
      <c r="C98" s="5" t="n"/>
      <c r="D98" s="5" t="n"/>
      <c r="E98" s="5" t="n"/>
      <c r="F98" s="5" t="n"/>
      <c r="G98" s="5" t="n"/>
      <c r="H98" s="5" t="n"/>
      <c r="I98" s="5" t="n"/>
    </row>
    <row r="99">
      <c r="A99" s="13" t="n">
        <v>95</v>
      </c>
      <c r="B99" s="5" t="n"/>
      <c r="C99" s="5" t="n"/>
      <c r="D99" s="5" t="n"/>
      <c r="E99" s="5" t="n"/>
      <c r="F99" s="5" t="n"/>
      <c r="G99" s="5" t="n"/>
      <c r="H99" s="5" t="n"/>
      <c r="I99" s="5" t="n"/>
    </row>
    <row r="100">
      <c r="A100" s="13" t="n">
        <v>96</v>
      </c>
      <c r="B100" s="5" t="n"/>
      <c r="C100" s="5" t="n"/>
      <c r="D100" s="5" t="n"/>
      <c r="E100" s="5" t="n"/>
      <c r="F100" s="5" t="n"/>
      <c r="G100" s="5" t="n"/>
      <c r="H100" s="5" t="n"/>
      <c r="I100" s="5" t="n"/>
    </row>
    <row r="101">
      <c r="A101" s="13" t="n">
        <v>97</v>
      </c>
      <c r="B101" s="5" t="n"/>
      <c r="C101" s="5" t="n"/>
      <c r="D101" s="5" t="n"/>
      <c r="E101" s="5" t="n"/>
      <c r="F101" s="5" t="n"/>
      <c r="G101" s="5" t="n"/>
      <c r="H101" s="5" t="n"/>
      <c r="I101" s="5" t="n"/>
    </row>
    <row r="102">
      <c r="A102" s="13" t="n">
        <v>98</v>
      </c>
      <c r="B102" s="5" t="n"/>
      <c r="C102" s="5" t="n"/>
      <c r="D102" s="5" t="n"/>
      <c r="E102" s="5" t="n"/>
      <c r="F102" s="5" t="n"/>
      <c r="G102" s="5" t="n"/>
      <c r="H102" s="5" t="n"/>
      <c r="I102" s="5" t="n"/>
    </row>
    <row r="103">
      <c r="A103" s="13" t="n">
        <v>99</v>
      </c>
      <c r="B103" s="5" t="n"/>
      <c r="C103" s="5" t="n"/>
      <c r="D103" s="5" t="n"/>
      <c r="E103" s="5" t="n"/>
      <c r="F103" s="5" t="n"/>
      <c r="G103" s="5" t="n"/>
      <c r="H103" s="5" t="n"/>
      <c r="I103" s="5" t="n"/>
    </row>
    <row r="104">
      <c r="A104" s="13" t="n">
        <v>100</v>
      </c>
      <c r="B104" s="5" t="n"/>
      <c r="C104" s="5" t="n"/>
      <c r="D104" s="5" t="n"/>
      <c r="E104" s="5" t="n"/>
      <c r="F104" s="5" t="n"/>
      <c r="G104" s="5" t="n"/>
      <c r="H104" s="5" t="n"/>
      <c r="I104" s="5" t="n"/>
    </row>
    <row r="105">
      <c r="A105" s="13" t="n">
        <v>101</v>
      </c>
      <c r="B105" s="5" t="n"/>
      <c r="C105" s="5" t="n"/>
      <c r="D105" s="5" t="n"/>
      <c r="E105" s="5" t="n"/>
      <c r="F105" s="5" t="n"/>
      <c r="G105" s="5" t="n"/>
      <c r="H105" s="5" t="n"/>
      <c r="I105" s="5" t="n"/>
    </row>
    <row r="106">
      <c r="A106" s="13" t="n">
        <v>102</v>
      </c>
      <c r="B106" s="5" t="n"/>
      <c r="C106" s="5" t="n"/>
      <c r="D106" s="5" t="n"/>
      <c r="E106" s="5" t="n"/>
      <c r="F106" s="5" t="n"/>
      <c r="G106" s="5" t="n"/>
      <c r="H106" s="5" t="n"/>
      <c r="I106" s="5" t="n"/>
    </row>
    <row r="107">
      <c r="A107" s="13" t="n">
        <v>103</v>
      </c>
      <c r="B107" s="5" t="n"/>
      <c r="C107" s="5" t="n"/>
      <c r="D107" s="5" t="n"/>
      <c r="E107" s="5" t="n"/>
      <c r="F107" s="5" t="n"/>
      <c r="G107" s="5" t="n"/>
      <c r="H107" s="5" t="n"/>
      <c r="I107" s="5" t="n"/>
    </row>
    <row r="108">
      <c r="A108" s="13" t="n">
        <v>104</v>
      </c>
      <c r="B108" s="5" t="n"/>
      <c r="C108" s="5" t="n"/>
      <c r="D108" s="5" t="n"/>
      <c r="E108" s="5" t="n"/>
      <c r="F108" s="5" t="n"/>
      <c r="G108" s="5" t="n"/>
      <c r="H108" s="5" t="n"/>
      <c r="I108" s="5" t="n"/>
    </row>
    <row r="109">
      <c r="A109" s="13" t="n">
        <v>105</v>
      </c>
      <c r="B109" s="5" t="n"/>
      <c r="C109" s="5" t="n"/>
      <c r="D109" s="5" t="n"/>
      <c r="E109" s="5" t="n"/>
      <c r="F109" s="5" t="n"/>
      <c r="G109" s="5" t="n"/>
      <c r="H109" s="5" t="n"/>
      <c r="I109" s="5" t="n"/>
    </row>
    <row r="110">
      <c r="A110" s="13" t="n">
        <v>106</v>
      </c>
      <c r="B110" s="5" t="n"/>
      <c r="C110" s="5" t="n"/>
      <c r="D110" s="5" t="n"/>
      <c r="E110" s="5" t="n"/>
      <c r="F110" s="5" t="n"/>
      <c r="G110" s="5" t="n"/>
      <c r="H110" s="5" t="n"/>
      <c r="I110" s="5" t="n"/>
    </row>
    <row r="111">
      <c r="A111" s="13" t="n">
        <v>107</v>
      </c>
      <c r="B111" s="5" t="n"/>
      <c r="C111" s="5" t="n"/>
      <c r="D111" s="5" t="n"/>
      <c r="E111" s="5" t="n"/>
      <c r="F111" s="5" t="n"/>
      <c r="G111" s="5" t="n"/>
      <c r="H111" s="5" t="n"/>
      <c r="I111" s="5" t="n"/>
    </row>
    <row r="112">
      <c r="A112" s="13" t="n">
        <v>108</v>
      </c>
      <c r="B112" s="5" t="n"/>
      <c r="C112" s="5" t="n"/>
      <c r="D112" s="5" t="n"/>
      <c r="E112" s="5" t="n"/>
      <c r="F112" s="5" t="n"/>
      <c r="G112" s="5" t="n"/>
      <c r="H112" s="5" t="n"/>
      <c r="I112" s="5" t="n"/>
    </row>
    <row r="113">
      <c r="A113" s="13" t="n">
        <v>109</v>
      </c>
      <c r="B113" s="5" t="n"/>
      <c r="C113" s="5" t="n"/>
      <c r="D113" s="5" t="n"/>
      <c r="E113" s="5" t="n"/>
      <c r="F113" s="5" t="n"/>
      <c r="G113" s="5" t="n"/>
      <c r="H113" s="5" t="n"/>
      <c r="I113" s="5" t="n"/>
    </row>
    <row r="114">
      <c r="A114" s="13" t="n">
        <v>110</v>
      </c>
      <c r="B114" s="5" t="n"/>
      <c r="C114" s="5" t="n"/>
      <c r="D114" s="5" t="n"/>
      <c r="E114" s="5" t="n"/>
      <c r="F114" s="5" t="n"/>
      <c r="G114" s="5" t="n"/>
      <c r="H114" s="5" t="n"/>
      <c r="I114" s="5" t="n"/>
    </row>
    <row r="115">
      <c r="A115" s="13" t="n">
        <v>111</v>
      </c>
      <c r="B115" s="5" t="n"/>
      <c r="C115" s="5" t="n"/>
      <c r="D115" s="5" t="n"/>
      <c r="E115" s="5" t="n"/>
      <c r="F115" s="5" t="n"/>
      <c r="G115" s="5" t="n"/>
      <c r="H115" s="5" t="n"/>
      <c r="I115" s="5" t="n"/>
    </row>
    <row r="116">
      <c r="A116" s="13" t="n">
        <v>112</v>
      </c>
      <c r="B116" s="5" t="n"/>
      <c r="C116" s="5" t="n"/>
      <c r="D116" s="5" t="n"/>
      <c r="E116" s="5" t="n"/>
      <c r="F116" s="5" t="n"/>
      <c r="G116" s="5" t="n"/>
      <c r="H116" s="5" t="n"/>
      <c r="I116" s="5" t="n"/>
    </row>
    <row r="117">
      <c r="A117" s="13" t="n">
        <v>113</v>
      </c>
      <c r="B117" s="5" t="n"/>
      <c r="C117" s="5" t="n"/>
      <c r="D117" s="5" t="n"/>
      <c r="E117" s="5" t="n"/>
      <c r="F117" s="5" t="n"/>
      <c r="G117" s="5" t="n"/>
      <c r="H117" s="5" t="n"/>
      <c r="I117" s="5" t="n"/>
    </row>
    <row r="118">
      <c r="A118" s="13" t="n">
        <v>114</v>
      </c>
      <c r="B118" s="5" t="n"/>
      <c r="C118" s="5" t="n"/>
      <c r="D118" s="5" t="n"/>
      <c r="E118" s="5" t="n"/>
      <c r="F118" s="5" t="n"/>
      <c r="G118" s="5" t="n"/>
      <c r="H118" s="5" t="n"/>
      <c r="I118" s="5" t="n"/>
    </row>
    <row r="119">
      <c r="A119" s="13" t="n">
        <v>115</v>
      </c>
      <c r="B119" s="5" t="n"/>
      <c r="C119" s="5" t="n"/>
      <c r="D119" s="5" t="n"/>
      <c r="E119" s="5" t="n"/>
      <c r="F119" s="5" t="n"/>
      <c r="G119" s="5" t="n"/>
      <c r="H119" s="5" t="n"/>
      <c r="I119" s="5" t="n"/>
    </row>
    <row r="120">
      <c r="A120" s="13" t="n">
        <v>116</v>
      </c>
      <c r="B120" s="5" t="n"/>
      <c r="C120" s="5" t="n"/>
      <c r="D120" s="5" t="n"/>
      <c r="E120" s="5" t="n"/>
      <c r="F120" s="5" t="n"/>
      <c r="G120" s="5" t="n"/>
      <c r="H120" s="5" t="n"/>
      <c r="I120" s="5" t="n"/>
    </row>
    <row r="121">
      <c r="A121" s="13" t="n">
        <v>117</v>
      </c>
      <c r="B121" s="5" t="n"/>
      <c r="C121" s="5" t="n"/>
      <c r="D121" s="5" t="n"/>
      <c r="E121" s="5" t="n"/>
      <c r="F121" s="5" t="n"/>
      <c r="G121" s="5" t="n"/>
      <c r="H121" s="5" t="n"/>
      <c r="I121" s="5" t="n"/>
    </row>
    <row r="122">
      <c r="A122" s="13" t="n">
        <v>118</v>
      </c>
      <c r="B122" s="5" t="n"/>
      <c r="C122" s="5" t="n"/>
      <c r="D122" s="5" t="n"/>
      <c r="E122" s="5" t="n"/>
      <c r="F122" s="5" t="n"/>
      <c r="G122" s="5" t="n"/>
      <c r="H122" s="5" t="n"/>
      <c r="I122" s="5" t="n"/>
    </row>
    <row r="123">
      <c r="A123" s="13" t="n">
        <v>119</v>
      </c>
      <c r="B123" s="5" t="n"/>
      <c r="C123" s="5" t="n"/>
      <c r="D123" s="5" t="n"/>
      <c r="E123" s="5" t="n"/>
      <c r="F123" s="5" t="n"/>
      <c r="G123" s="5" t="n"/>
      <c r="H123" s="5" t="n"/>
      <c r="I123" s="5" t="n"/>
    </row>
    <row r="124">
      <c r="A124" s="13" t="n">
        <v>120</v>
      </c>
      <c r="B124" s="5" t="n"/>
      <c r="C124" s="5" t="n"/>
      <c r="D124" s="5" t="n"/>
      <c r="E124" s="5" t="n"/>
      <c r="F124" s="5" t="n"/>
      <c r="G124" s="5" t="n"/>
      <c r="H124" s="5" t="n"/>
      <c r="I124" s="5" t="n"/>
    </row>
    <row r="125">
      <c r="A125" s="13" t="n">
        <v>121</v>
      </c>
      <c r="B125" s="5" t="n"/>
      <c r="C125" s="5" t="n"/>
      <c r="D125" s="5" t="n"/>
      <c r="E125" s="5" t="n"/>
      <c r="F125" s="5" t="n"/>
      <c r="G125" s="5" t="n"/>
      <c r="H125" s="5" t="n"/>
      <c r="I125" s="5" t="n"/>
    </row>
    <row r="126">
      <c r="A126" s="13" t="n">
        <v>122</v>
      </c>
      <c r="B126" s="5" t="n"/>
      <c r="C126" s="5" t="n"/>
      <c r="D126" s="5" t="n"/>
      <c r="E126" s="5" t="n"/>
      <c r="F126" s="5" t="n"/>
      <c r="G126" s="5" t="n"/>
      <c r="H126" s="5" t="n"/>
      <c r="I126" s="5" t="n"/>
    </row>
    <row r="127">
      <c r="A127" s="13" t="n">
        <v>123</v>
      </c>
      <c r="B127" s="5" t="n"/>
      <c r="C127" s="5" t="n"/>
      <c r="D127" s="5" t="n"/>
      <c r="E127" s="5" t="n"/>
      <c r="F127" s="5" t="n"/>
      <c r="G127" s="5" t="n"/>
      <c r="H127" s="5" t="n"/>
      <c r="I127" s="5" t="n"/>
    </row>
    <row r="128">
      <c r="A128" s="13" t="n">
        <v>124</v>
      </c>
      <c r="B128" s="5" t="n"/>
      <c r="C128" s="5" t="n"/>
      <c r="D128" s="5" t="n"/>
      <c r="E128" s="5" t="n"/>
      <c r="F128" s="5" t="n"/>
      <c r="G128" s="5" t="n"/>
      <c r="H128" s="5" t="n"/>
      <c r="I128" s="5" t="n"/>
    </row>
    <row r="129">
      <c r="A129" s="13" t="n">
        <v>125</v>
      </c>
      <c r="B129" s="5" t="n"/>
      <c r="C129" s="5" t="n"/>
      <c r="D129" s="5" t="n"/>
      <c r="E129" s="5" t="n"/>
      <c r="F129" s="5" t="n"/>
      <c r="G129" s="5" t="n"/>
      <c r="H129" s="5" t="n"/>
      <c r="I129" s="5" t="n"/>
    </row>
    <row r="130">
      <c r="A130" s="13" t="n">
        <v>126</v>
      </c>
      <c r="B130" s="5" t="n"/>
      <c r="C130" s="5" t="n"/>
      <c r="D130" s="5" t="n"/>
      <c r="E130" s="5" t="n"/>
      <c r="F130" s="5" t="n"/>
      <c r="G130" s="5" t="n"/>
      <c r="H130" s="5" t="n"/>
      <c r="I130" s="5" t="n"/>
    </row>
    <row r="131">
      <c r="A131" s="13" t="n">
        <v>127</v>
      </c>
      <c r="B131" s="5" t="n"/>
      <c r="C131" s="5" t="n"/>
      <c r="D131" s="5" t="n"/>
      <c r="E131" s="5" t="n"/>
      <c r="F131" s="5" t="n"/>
      <c r="G131" s="5" t="n"/>
      <c r="H131" s="5" t="n"/>
      <c r="I131" s="5" t="n"/>
    </row>
    <row r="132">
      <c r="A132" s="13" t="n">
        <v>128</v>
      </c>
      <c r="B132" s="5" t="n"/>
      <c r="C132" s="5" t="n"/>
      <c r="D132" s="5" t="n"/>
      <c r="E132" s="5" t="n"/>
      <c r="F132" s="5" t="n"/>
      <c r="G132" s="5" t="n"/>
      <c r="H132" s="5" t="n"/>
      <c r="I132" s="5" t="n"/>
    </row>
    <row r="133">
      <c r="A133" s="13" t="n">
        <v>129</v>
      </c>
      <c r="B133" s="5" t="n"/>
      <c r="C133" s="5" t="n"/>
      <c r="D133" s="5" t="n"/>
      <c r="E133" s="5" t="n"/>
      <c r="F133" s="5" t="n"/>
      <c r="G133" s="5" t="n"/>
      <c r="H133" s="5" t="n"/>
      <c r="I133" s="5" t="n"/>
    </row>
    <row r="134">
      <c r="A134" s="13" t="n">
        <v>130</v>
      </c>
      <c r="B134" s="5" t="n"/>
      <c r="C134" s="5" t="n"/>
      <c r="D134" s="5" t="n"/>
      <c r="E134" s="5" t="n"/>
      <c r="F134" s="5" t="n"/>
      <c r="G134" s="5" t="n"/>
      <c r="H134" s="5" t="n"/>
      <c r="I134" s="5" t="n"/>
    </row>
    <row r="135">
      <c r="A135" s="13" t="n">
        <v>131</v>
      </c>
      <c r="B135" s="5" t="n"/>
      <c r="C135" s="5" t="n"/>
      <c r="D135" s="5" t="n"/>
      <c r="E135" s="5" t="n"/>
      <c r="F135" s="5" t="n"/>
      <c r="G135" s="5" t="n"/>
      <c r="H135" s="5" t="n"/>
      <c r="I135" s="5" t="n"/>
    </row>
    <row r="136">
      <c r="A136" s="13" t="n">
        <v>132</v>
      </c>
      <c r="B136" s="5" t="n"/>
      <c r="C136" s="5" t="n"/>
      <c r="D136" s="5" t="n"/>
      <c r="E136" s="5" t="n"/>
      <c r="F136" s="5" t="n"/>
      <c r="G136" s="5" t="n"/>
      <c r="H136" s="5" t="n"/>
      <c r="I136" s="5" t="n"/>
    </row>
    <row r="137">
      <c r="A137" s="13" t="n">
        <v>133</v>
      </c>
      <c r="B137" s="5" t="n"/>
      <c r="C137" s="5" t="n"/>
      <c r="D137" s="5" t="n"/>
      <c r="E137" s="5" t="n"/>
      <c r="F137" s="5" t="n"/>
      <c r="G137" s="5" t="n"/>
      <c r="H137" s="5" t="n"/>
      <c r="I137" s="5" t="n"/>
    </row>
    <row r="138">
      <c r="A138" s="13" t="n">
        <v>134</v>
      </c>
      <c r="B138" s="5" t="n"/>
      <c r="C138" s="5" t="n"/>
      <c r="D138" s="5" t="n"/>
      <c r="E138" s="5" t="n"/>
      <c r="F138" s="5" t="n"/>
      <c r="G138" s="5" t="n"/>
      <c r="H138" s="5" t="n"/>
      <c r="I138" s="5" t="n"/>
    </row>
    <row r="139">
      <c r="A139" s="13" t="n">
        <v>135</v>
      </c>
      <c r="B139" s="5" t="n"/>
      <c r="C139" s="5" t="n"/>
      <c r="D139" s="5" t="n"/>
      <c r="E139" s="5" t="n"/>
      <c r="F139" s="5" t="n"/>
      <c r="G139" s="5" t="n"/>
      <c r="H139" s="5" t="n"/>
      <c r="I139" s="5" t="n"/>
    </row>
    <row r="140">
      <c r="A140" s="13" t="n">
        <v>136</v>
      </c>
      <c r="B140" s="5" t="n"/>
      <c r="C140" s="5" t="n"/>
      <c r="D140" s="5" t="n"/>
      <c r="E140" s="5" t="n"/>
      <c r="F140" s="5" t="n"/>
      <c r="G140" s="5" t="n"/>
      <c r="H140" s="5" t="n"/>
      <c r="I140" s="5" t="n"/>
    </row>
    <row r="141">
      <c r="A141" s="13" t="n">
        <v>137</v>
      </c>
      <c r="B141" s="5" t="n"/>
      <c r="C141" s="5" t="n"/>
      <c r="D141" s="5" t="n"/>
      <c r="E141" s="5" t="n"/>
      <c r="F141" s="5" t="n"/>
      <c r="G141" s="5" t="n"/>
      <c r="H141" s="5" t="n"/>
      <c r="I141" s="5" t="n"/>
    </row>
    <row r="142">
      <c r="A142" s="13" t="n">
        <v>138</v>
      </c>
      <c r="B142" s="5" t="n"/>
      <c r="C142" s="5" t="n"/>
      <c r="D142" s="5" t="n"/>
      <c r="E142" s="5" t="n"/>
      <c r="F142" s="5" t="n"/>
      <c r="G142" s="5" t="n"/>
      <c r="H142" s="5" t="n"/>
      <c r="I142" s="5" t="n"/>
    </row>
    <row r="143">
      <c r="A143" s="13" t="n">
        <v>139</v>
      </c>
      <c r="B143" s="5" t="n"/>
      <c r="C143" s="5" t="n"/>
      <c r="D143" s="5" t="n"/>
      <c r="E143" s="5" t="n"/>
      <c r="F143" s="5" t="n"/>
      <c r="G143" s="5" t="n"/>
      <c r="H143" s="5" t="n"/>
      <c r="I143" s="5" t="n"/>
    </row>
    <row r="144">
      <c r="A144" s="13" t="n">
        <v>140</v>
      </c>
      <c r="B144" s="5" t="n"/>
      <c r="C144" s="5" t="n"/>
      <c r="D144" s="5" t="n"/>
      <c r="E144" s="5" t="n"/>
      <c r="F144" s="5" t="n"/>
      <c r="G144" s="5" t="n"/>
      <c r="H144" s="5" t="n"/>
      <c r="I144" s="5" t="n"/>
    </row>
    <row r="145">
      <c r="A145" s="13" t="n">
        <v>141</v>
      </c>
      <c r="B145" s="5" t="n"/>
      <c r="C145" s="5" t="n"/>
      <c r="D145" s="5" t="n"/>
      <c r="E145" s="5" t="n"/>
      <c r="F145" s="5" t="n"/>
      <c r="G145" s="5" t="n"/>
      <c r="H145" s="5" t="n"/>
      <c r="I145" s="5" t="n"/>
    </row>
    <row r="146">
      <c r="A146" s="13" t="n">
        <v>142</v>
      </c>
      <c r="B146" s="5" t="n"/>
      <c r="C146" s="5" t="n"/>
      <c r="D146" s="5" t="n"/>
      <c r="E146" s="5" t="n"/>
      <c r="F146" s="5" t="n"/>
      <c r="G146" s="5" t="n"/>
      <c r="H146" s="5" t="n"/>
      <c r="I146" s="5" t="n"/>
    </row>
    <row r="147">
      <c r="A147" s="13" t="n">
        <v>143</v>
      </c>
      <c r="B147" s="5" t="n"/>
      <c r="C147" s="5" t="n"/>
      <c r="D147" s="5" t="n"/>
      <c r="E147" s="5" t="n"/>
      <c r="F147" s="5" t="n"/>
      <c r="G147" s="5" t="n"/>
      <c r="H147" s="5" t="n"/>
      <c r="I147" s="5" t="n"/>
    </row>
    <row r="148">
      <c r="A148" s="13" t="n">
        <v>144</v>
      </c>
      <c r="B148" s="5" t="n"/>
      <c r="C148" s="5" t="n"/>
      <c r="D148" s="5" t="n"/>
      <c r="E148" s="5" t="n"/>
      <c r="F148" s="5" t="n"/>
      <c r="G148" s="5" t="n"/>
      <c r="H148" s="5" t="n"/>
      <c r="I148" s="5" t="n"/>
    </row>
    <row r="149">
      <c r="A149" s="13" t="n">
        <v>145</v>
      </c>
      <c r="B149" s="5" t="n"/>
      <c r="C149" s="5" t="n"/>
      <c r="D149" s="5" t="n"/>
      <c r="E149" s="5" t="n"/>
      <c r="F149" s="5" t="n"/>
      <c r="G149" s="5" t="n"/>
      <c r="H149" s="5" t="n"/>
      <c r="I149" s="5" t="n"/>
    </row>
    <row r="150">
      <c r="A150" s="13" t="n">
        <v>146</v>
      </c>
      <c r="B150" s="5" t="n"/>
      <c r="C150" s="5" t="n"/>
      <c r="D150" s="5" t="n"/>
      <c r="E150" s="5" t="n"/>
      <c r="F150" s="5" t="n"/>
      <c r="G150" s="5" t="n"/>
      <c r="H150" s="5" t="n"/>
      <c r="I150" s="5" t="n"/>
    </row>
    <row r="151">
      <c r="A151" s="13" t="n">
        <v>147</v>
      </c>
      <c r="B151" s="5" t="n"/>
      <c r="C151" s="5" t="n"/>
      <c r="D151" s="5" t="n"/>
      <c r="E151" s="5" t="n"/>
      <c r="F151" s="5" t="n"/>
      <c r="G151" s="5" t="n"/>
      <c r="H151" s="5" t="n"/>
      <c r="I151" s="5" t="n"/>
    </row>
    <row r="152">
      <c r="A152" s="13" t="n">
        <v>148</v>
      </c>
      <c r="B152" s="5" t="n"/>
      <c r="C152" s="5" t="n"/>
      <c r="D152" s="5" t="n"/>
      <c r="E152" s="5" t="n"/>
      <c r="F152" s="5" t="n"/>
      <c r="G152" s="5" t="n"/>
      <c r="H152" s="5" t="n"/>
      <c r="I152" s="5" t="n"/>
    </row>
    <row r="153">
      <c r="A153" s="13" t="n">
        <v>149</v>
      </c>
      <c r="B153" s="5" t="n"/>
      <c r="C153" s="5" t="n"/>
      <c r="D153" s="5" t="n"/>
      <c r="E153" s="5" t="n"/>
      <c r="F153" s="5" t="n"/>
      <c r="G153" s="5" t="n"/>
      <c r="H153" s="5" t="n"/>
      <c r="I153" s="5" t="n"/>
    </row>
    <row r="154">
      <c r="A154" s="13" t="n">
        <v>150</v>
      </c>
      <c r="B154" s="5" t="n"/>
      <c r="C154" s="5" t="n"/>
      <c r="D154" s="5" t="n"/>
      <c r="E154" s="5" t="n"/>
      <c r="F154" s="5" t="n"/>
      <c r="G154" s="5" t="n"/>
      <c r="H154" s="5" t="n"/>
      <c r="I154" s="5" t="n"/>
    </row>
    <row r="155">
      <c r="A155" s="13" t="n">
        <v>151</v>
      </c>
      <c r="B155" s="5" t="n"/>
      <c r="C155" s="5" t="n"/>
      <c r="D155" s="5" t="n"/>
      <c r="E155" s="5" t="n"/>
      <c r="F155" s="5" t="n"/>
      <c r="G155" s="5" t="n"/>
      <c r="H155" s="5" t="n"/>
      <c r="I155" s="5" t="n"/>
    </row>
    <row r="156">
      <c r="A156" s="13" t="n">
        <v>152</v>
      </c>
      <c r="B156" s="5" t="n"/>
      <c r="C156" s="5" t="n"/>
      <c r="D156" s="5" t="n"/>
      <c r="E156" s="5" t="n"/>
      <c r="F156" s="5" t="n"/>
      <c r="G156" s="5" t="n"/>
      <c r="H156" s="5" t="n"/>
      <c r="I156" s="5" t="n"/>
    </row>
    <row r="157">
      <c r="A157" s="13" t="n">
        <v>153</v>
      </c>
      <c r="B157" s="5" t="n"/>
      <c r="C157" s="5" t="n"/>
      <c r="D157" s="5" t="n"/>
      <c r="E157" s="5" t="n"/>
      <c r="F157" s="5" t="n"/>
      <c r="G157" s="5" t="n"/>
      <c r="H157" s="5" t="n"/>
      <c r="I157" s="5" t="n"/>
    </row>
    <row r="158">
      <c r="A158" s="13" t="n">
        <v>154</v>
      </c>
      <c r="B158" s="5" t="n"/>
      <c r="C158" s="5" t="n"/>
      <c r="D158" s="5" t="n"/>
      <c r="E158" s="5" t="n"/>
      <c r="F158" s="5" t="n"/>
      <c r="G158" s="5" t="n"/>
      <c r="H158" s="5" t="n"/>
      <c r="I158" s="5" t="n"/>
    </row>
    <row r="159">
      <c r="A159" s="13" t="n">
        <v>155</v>
      </c>
      <c r="B159" s="5" t="n"/>
      <c r="C159" s="5" t="n"/>
      <c r="D159" s="5" t="n"/>
      <c r="E159" s="5" t="n"/>
      <c r="F159" s="5" t="n"/>
      <c r="G159" s="5" t="n"/>
      <c r="H159" s="5" t="n"/>
      <c r="I159" s="5" t="n"/>
    </row>
    <row r="160">
      <c r="A160" s="13" t="n">
        <v>156</v>
      </c>
      <c r="B160" s="5" t="n"/>
      <c r="C160" s="5" t="n"/>
      <c r="D160" s="5" t="n"/>
      <c r="E160" s="5" t="n"/>
      <c r="F160" s="5" t="n"/>
      <c r="G160" s="5" t="n"/>
      <c r="H160" s="5" t="n"/>
      <c r="I160" s="5" t="n"/>
    </row>
    <row r="161">
      <c r="A161" s="13" t="n">
        <v>157</v>
      </c>
      <c r="B161" s="5" t="n"/>
      <c r="C161" s="5" t="n"/>
      <c r="D161" s="5" t="n"/>
      <c r="E161" s="5" t="n"/>
      <c r="F161" s="5" t="n"/>
      <c r="G161" s="5" t="n"/>
      <c r="H161" s="5" t="n"/>
      <c r="I161" s="5" t="n"/>
    </row>
    <row r="162">
      <c r="A162" s="13" t="n">
        <v>158</v>
      </c>
      <c r="B162" s="5" t="n"/>
      <c r="C162" s="5" t="n"/>
      <c r="D162" s="5" t="n"/>
      <c r="E162" s="5" t="n"/>
      <c r="F162" s="5" t="n"/>
      <c r="G162" s="5" t="n"/>
      <c r="H162" s="5" t="n"/>
      <c r="I162" s="5" t="n"/>
    </row>
    <row r="163">
      <c r="A163" s="13" t="n">
        <v>159</v>
      </c>
      <c r="B163" s="5" t="n"/>
      <c r="C163" s="5" t="n"/>
      <c r="D163" s="5" t="n"/>
      <c r="E163" s="5" t="n"/>
      <c r="F163" s="5" t="n"/>
      <c r="G163" s="5" t="n"/>
      <c r="H163" s="5" t="n"/>
      <c r="I163" s="5" t="n"/>
    </row>
    <row r="164">
      <c r="A164" s="13" t="n">
        <v>160</v>
      </c>
      <c r="B164" s="5" t="n"/>
      <c r="C164" s="5" t="n"/>
      <c r="D164" s="5" t="n"/>
      <c r="E164" s="5" t="n"/>
      <c r="F164" s="5" t="n"/>
      <c r="G164" s="5" t="n"/>
      <c r="H164" s="5" t="n"/>
      <c r="I164" s="5" t="n"/>
    </row>
    <row r="165">
      <c r="A165" s="13" t="n">
        <v>161</v>
      </c>
      <c r="B165" s="5" t="n"/>
      <c r="C165" s="5" t="n"/>
      <c r="D165" s="5" t="n"/>
      <c r="E165" s="5" t="n"/>
      <c r="F165" s="5" t="n"/>
      <c r="G165" s="5" t="n"/>
      <c r="H165" s="5" t="n"/>
      <c r="I165" s="5" t="n"/>
    </row>
    <row r="166">
      <c r="A166" s="13" t="n">
        <v>162</v>
      </c>
      <c r="B166" s="5" t="n"/>
      <c r="C166" s="5" t="n"/>
      <c r="D166" s="5" t="n"/>
      <c r="E166" s="5" t="n"/>
      <c r="F166" s="5" t="n"/>
      <c r="G166" s="5" t="n"/>
      <c r="H166" s="5" t="n"/>
      <c r="I166" s="5" t="n"/>
    </row>
    <row r="167">
      <c r="A167" s="13" t="n">
        <v>163</v>
      </c>
      <c r="B167" s="5" t="n"/>
      <c r="C167" s="5" t="n"/>
      <c r="D167" s="5" t="n"/>
      <c r="E167" s="5" t="n"/>
      <c r="F167" s="5" t="n"/>
      <c r="G167" s="5" t="n"/>
      <c r="H167" s="5" t="n"/>
      <c r="I167" s="5" t="n"/>
    </row>
    <row r="168">
      <c r="A168" s="13" t="n">
        <v>164</v>
      </c>
      <c r="B168" s="5" t="n"/>
      <c r="C168" s="5" t="n"/>
      <c r="D168" s="5" t="n"/>
      <c r="E168" s="5" t="n"/>
      <c r="F168" s="5" t="n"/>
      <c r="G168" s="5" t="n"/>
      <c r="H168" s="5" t="n"/>
      <c r="I168" s="5" t="n"/>
    </row>
    <row r="169">
      <c r="A169" s="13" t="n">
        <v>165</v>
      </c>
      <c r="B169" s="5" t="n"/>
      <c r="C169" s="5" t="n"/>
      <c r="D169" s="5" t="n"/>
      <c r="E169" s="5" t="n"/>
      <c r="F169" s="5" t="n"/>
      <c r="G169" s="5" t="n"/>
      <c r="H169" s="5" t="n"/>
      <c r="I169" s="5" t="n"/>
    </row>
    <row r="170">
      <c r="A170" s="13" t="n">
        <v>166</v>
      </c>
      <c r="B170" s="5" t="n"/>
      <c r="C170" s="5" t="n"/>
      <c r="D170" s="5" t="n"/>
      <c r="E170" s="5" t="n"/>
      <c r="F170" s="5" t="n"/>
      <c r="G170" s="5" t="n"/>
      <c r="H170" s="5" t="n"/>
      <c r="I170" s="5" t="n"/>
    </row>
    <row r="171">
      <c r="A171" s="13" t="n">
        <v>167</v>
      </c>
      <c r="B171" s="5" t="n"/>
      <c r="C171" s="5" t="n"/>
      <c r="D171" s="5" t="n"/>
      <c r="E171" s="5" t="n"/>
      <c r="F171" s="5" t="n"/>
      <c r="G171" s="5" t="n"/>
      <c r="H171" s="5" t="n"/>
      <c r="I171" s="5" t="n"/>
    </row>
    <row r="172">
      <c r="A172" s="13" t="n">
        <v>168</v>
      </c>
      <c r="B172" s="5" t="n"/>
      <c r="C172" s="5" t="n"/>
      <c r="D172" s="5" t="n"/>
      <c r="E172" s="5" t="n"/>
      <c r="F172" s="5" t="n"/>
      <c r="G172" s="5" t="n"/>
      <c r="H172" s="5" t="n"/>
      <c r="I172" s="5" t="n"/>
    </row>
    <row r="173">
      <c r="A173" s="13" t="n">
        <v>169</v>
      </c>
      <c r="B173" s="5" t="n"/>
      <c r="C173" s="5" t="n"/>
      <c r="D173" s="5" t="n"/>
      <c r="E173" s="5" t="n"/>
      <c r="F173" s="5" t="n"/>
      <c r="G173" s="5" t="n"/>
      <c r="H173" s="5" t="n"/>
      <c r="I173" s="5" t="n"/>
    </row>
    <row r="174">
      <c r="A174" s="13" t="n">
        <v>170</v>
      </c>
      <c r="B174" s="5" t="n"/>
      <c r="C174" s="5" t="n"/>
      <c r="D174" s="5" t="n"/>
      <c r="E174" s="5" t="n"/>
      <c r="F174" s="5" t="n"/>
      <c r="G174" s="5" t="n"/>
      <c r="H174" s="5" t="n"/>
      <c r="I174" s="5" t="n"/>
    </row>
    <row r="175">
      <c r="A175" s="13" t="n">
        <v>171</v>
      </c>
      <c r="B175" s="5" t="n"/>
      <c r="C175" s="5" t="n"/>
      <c r="D175" s="5" t="n"/>
      <c r="E175" s="5" t="n"/>
      <c r="F175" s="5" t="n"/>
      <c r="G175" s="5" t="n"/>
      <c r="H175" s="5" t="n"/>
      <c r="I175" s="5" t="n"/>
    </row>
    <row r="176">
      <c r="A176" s="13" t="n">
        <v>172</v>
      </c>
      <c r="B176" s="5" t="n"/>
      <c r="C176" s="5" t="n"/>
      <c r="D176" s="5" t="n"/>
      <c r="E176" s="5" t="n"/>
      <c r="F176" s="5" t="n"/>
      <c r="G176" s="5" t="n"/>
      <c r="H176" s="5" t="n"/>
      <c r="I176" s="5" t="n"/>
    </row>
    <row r="177">
      <c r="A177" s="13" t="n">
        <v>173</v>
      </c>
      <c r="B177" s="5" t="n"/>
      <c r="C177" s="5" t="n"/>
      <c r="D177" s="5" t="n"/>
      <c r="E177" s="5" t="n"/>
      <c r="F177" s="5" t="n"/>
      <c r="G177" s="5" t="n"/>
      <c r="H177" s="5" t="n"/>
      <c r="I177" s="5" t="n"/>
    </row>
    <row r="178">
      <c r="A178" s="13" t="n">
        <v>174</v>
      </c>
      <c r="B178" s="5" t="n"/>
      <c r="C178" s="5" t="n"/>
      <c r="D178" s="5" t="n"/>
      <c r="E178" s="5" t="n"/>
      <c r="F178" s="5" t="n"/>
      <c r="G178" s="5" t="n"/>
      <c r="H178" s="5" t="n"/>
      <c r="I178" s="5" t="n"/>
    </row>
    <row r="179">
      <c r="A179" s="13" t="n">
        <v>175</v>
      </c>
      <c r="B179" s="5" t="n"/>
      <c r="C179" s="5" t="n"/>
      <c r="D179" s="5" t="n"/>
      <c r="E179" s="5" t="n"/>
      <c r="F179" s="5" t="n"/>
      <c r="G179" s="5" t="n"/>
      <c r="H179" s="5" t="n"/>
      <c r="I179" s="5" t="n"/>
    </row>
    <row r="180">
      <c r="A180" s="13" t="n">
        <v>176</v>
      </c>
      <c r="B180" s="5" t="n"/>
      <c r="C180" s="5" t="n"/>
      <c r="D180" s="5" t="n"/>
      <c r="E180" s="5" t="n"/>
      <c r="F180" s="5" t="n"/>
      <c r="G180" s="5" t="n"/>
      <c r="H180" s="5" t="n"/>
      <c r="I180" s="5" t="n"/>
    </row>
    <row r="181">
      <c r="A181" s="13" t="n">
        <v>177</v>
      </c>
      <c r="B181" s="5" t="n"/>
      <c r="C181" s="5" t="n"/>
      <c r="D181" s="5" t="n"/>
      <c r="E181" s="5" t="n"/>
      <c r="F181" s="5" t="n"/>
      <c r="G181" s="5" t="n"/>
      <c r="H181" s="5" t="n"/>
      <c r="I181" s="5" t="n"/>
    </row>
    <row r="182">
      <c r="A182" s="13" t="n">
        <v>178</v>
      </c>
      <c r="B182" s="5" t="n"/>
      <c r="C182" s="5" t="n"/>
      <c r="D182" s="5" t="n"/>
      <c r="E182" s="5" t="n"/>
      <c r="F182" s="5" t="n"/>
      <c r="G182" s="5" t="n"/>
      <c r="H182" s="5" t="n"/>
      <c r="I182" s="5" t="n"/>
    </row>
    <row r="183">
      <c r="A183" s="13" t="n">
        <v>179</v>
      </c>
      <c r="B183" s="5" t="n"/>
      <c r="C183" s="5" t="n"/>
      <c r="D183" s="5" t="n"/>
      <c r="E183" s="5" t="n"/>
      <c r="F183" s="5" t="n"/>
      <c r="G183" s="5" t="n"/>
      <c r="H183" s="5" t="n"/>
      <c r="I183" s="5" t="n"/>
    </row>
    <row r="184">
      <c r="A184" s="13" t="n">
        <v>180</v>
      </c>
      <c r="B184" s="5" t="n"/>
      <c r="C184" s="5" t="n"/>
      <c r="D184" s="5" t="n"/>
      <c r="E184" s="5" t="n"/>
      <c r="F184" s="5" t="n"/>
      <c r="G184" s="5" t="n"/>
      <c r="H184" s="5" t="n"/>
      <c r="I184" s="5" t="n"/>
    </row>
    <row r="185">
      <c r="A185" s="13" t="n">
        <v>181</v>
      </c>
      <c r="B185" s="5" t="n"/>
      <c r="C185" s="5" t="n"/>
      <c r="D185" s="5" t="n"/>
      <c r="E185" s="5" t="n"/>
      <c r="F185" s="5" t="n"/>
      <c r="G185" s="5" t="n"/>
      <c r="H185" s="5" t="n"/>
      <c r="I185" s="5" t="n"/>
    </row>
    <row r="186">
      <c r="A186" s="13" t="n">
        <v>182</v>
      </c>
      <c r="B186" s="5" t="n"/>
      <c r="C186" s="5" t="n"/>
      <c r="D186" s="5" t="n"/>
      <c r="E186" s="5" t="n"/>
      <c r="F186" s="5" t="n"/>
      <c r="G186" s="5" t="n"/>
      <c r="H186" s="5" t="n"/>
      <c r="I186" s="5" t="n"/>
    </row>
    <row r="187">
      <c r="A187" s="13" t="n">
        <v>183</v>
      </c>
      <c r="B187" s="5" t="n"/>
      <c r="C187" s="5" t="n"/>
      <c r="D187" s="5" t="n"/>
      <c r="E187" s="5" t="n"/>
      <c r="F187" s="5" t="n"/>
      <c r="G187" s="5" t="n"/>
      <c r="H187" s="5" t="n"/>
      <c r="I187" s="5" t="n"/>
    </row>
    <row r="188">
      <c r="A188" s="13" t="n">
        <v>184</v>
      </c>
      <c r="B188" s="5" t="n"/>
      <c r="C188" s="5" t="n"/>
      <c r="D188" s="5" t="n"/>
      <c r="E188" s="5" t="n"/>
      <c r="F188" s="5" t="n"/>
      <c r="G188" s="5" t="n"/>
      <c r="H188" s="5" t="n"/>
      <c r="I188" s="5" t="n"/>
    </row>
    <row r="189">
      <c r="A189" s="13" t="n">
        <v>185</v>
      </c>
      <c r="B189" s="5" t="n"/>
      <c r="C189" s="5" t="n"/>
      <c r="D189" s="5" t="n"/>
      <c r="E189" s="5" t="n"/>
      <c r="F189" s="5" t="n"/>
      <c r="G189" s="5" t="n"/>
      <c r="H189" s="5" t="n"/>
      <c r="I189" s="5" t="n"/>
    </row>
    <row r="190">
      <c r="A190" s="13" t="n">
        <v>186</v>
      </c>
      <c r="B190" s="5" t="n"/>
      <c r="C190" s="5" t="n"/>
      <c r="D190" s="5" t="n"/>
      <c r="E190" s="5" t="n"/>
      <c r="F190" s="5" t="n"/>
      <c r="G190" s="5" t="n"/>
      <c r="H190" s="5" t="n"/>
      <c r="I190" s="5" t="n"/>
    </row>
    <row r="191">
      <c r="A191" s="13" t="n">
        <v>187</v>
      </c>
      <c r="B191" s="5" t="n"/>
      <c r="C191" s="5" t="n"/>
      <c r="D191" s="5" t="n"/>
      <c r="E191" s="5" t="n"/>
      <c r="F191" s="5" t="n"/>
      <c r="G191" s="5" t="n"/>
      <c r="H191" s="5" t="n"/>
      <c r="I191" s="5" t="n"/>
    </row>
    <row r="192">
      <c r="A192" s="13" t="n">
        <v>188</v>
      </c>
      <c r="B192" s="5" t="n"/>
      <c r="C192" s="5" t="n"/>
      <c r="D192" s="5" t="n"/>
      <c r="E192" s="5" t="n"/>
      <c r="F192" s="5" t="n"/>
      <c r="G192" s="5" t="n"/>
      <c r="H192" s="5" t="n"/>
      <c r="I192" s="5" t="n"/>
    </row>
    <row r="193">
      <c r="A193" s="13" t="n">
        <v>189</v>
      </c>
      <c r="B193" s="5" t="n"/>
      <c r="C193" s="5" t="n"/>
      <c r="D193" s="5" t="n"/>
      <c r="E193" s="5" t="n"/>
      <c r="F193" s="5" t="n"/>
      <c r="G193" s="5" t="n"/>
      <c r="H193" s="5" t="n"/>
      <c r="I193" s="5" t="n"/>
    </row>
    <row r="194">
      <c r="A194" s="13" t="n">
        <v>190</v>
      </c>
      <c r="B194" s="5" t="n"/>
      <c r="C194" s="5" t="n"/>
      <c r="D194" s="5" t="n"/>
      <c r="E194" s="5" t="n"/>
      <c r="F194" s="5" t="n"/>
      <c r="G194" s="5" t="n"/>
      <c r="H194" s="5" t="n"/>
      <c r="I194" s="5" t="n"/>
    </row>
    <row r="195">
      <c r="A195" s="13" t="n">
        <v>191</v>
      </c>
      <c r="B195" s="5" t="n"/>
      <c r="C195" s="5" t="n"/>
      <c r="D195" s="5" t="n"/>
      <c r="E195" s="5" t="n"/>
      <c r="F195" s="5" t="n"/>
      <c r="G195" s="5" t="n"/>
      <c r="H195" s="5" t="n"/>
      <c r="I195" s="5" t="n"/>
    </row>
    <row r="196">
      <c r="A196" s="13" t="n">
        <v>192</v>
      </c>
      <c r="B196" s="5" t="n"/>
      <c r="C196" s="5" t="n"/>
      <c r="D196" s="5" t="n"/>
      <c r="E196" s="5" t="n"/>
      <c r="F196" s="5" t="n"/>
      <c r="G196" s="5" t="n"/>
      <c r="H196" s="5" t="n"/>
      <c r="I196" s="5" t="n"/>
    </row>
    <row r="197">
      <c r="A197" s="13" t="n">
        <v>193</v>
      </c>
      <c r="B197" s="5" t="n"/>
      <c r="C197" s="5" t="n"/>
      <c r="D197" s="5" t="n"/>
      <c r="E197" s="5" t="n"/>
      <c r="F197" s="5" t="n"/>
      <c r="G197" s="5" t="n"/>
      <c r="H197" s="5" t="n"/>
      <c r="I197" s="5" t="n"/>
    </row>
    <row r="198">
      <c r="A198" s="13" t="n">
        <v>194</v>
      </c>
      <c r="B198" s="5" t="n"/>
      <c r="C198" s="5" t="n"/>
      <c r="D198" s="5" t="n"/>
      <c r="E198" s="5" t="n"/>
      <c r="F198" s="5" t="n"/>
      <c r="G198" s="5" t="n"/>
      <c r="H198" s="5" t="n"/>
      <c r="I198" s="5" t="n"/>
    </row>
    <row r="199">
      <c r="A199" s="13" t="n">
        <v>195</v>
      </c>
      <c r="B199" s="5" t="n"/>
      <c r="C199" s="5" t="n"/>
      <c r="D199" s="5" t="n"/>
      <c r="E199" s="5" t="n"/>
      <c r="F199" s="5" t="n"/>
      <c r="G199" s="5" t="n"/>
      <c r="H199" s="5" t="n"/>
      <c r="I199" s="5" t="n"/>
    </row>
    <row r="200">
      <c r="A200" s="13" t="n">
        <v>196</v>
      </c>
      <c r="B200" s="5" t="n"/>
      <c r="C200" s="5" t="n"/>
      <c r="D200" s="5" t="n"/>
      <c r="E200" s="5" t="n"/>
      <c r="F200" s="5" t="n"/>
      <c r="G200" s="5" t="n"/>
      <c r="H200" s="5" t="n"/>
      <c r="I200" s="5" t="n"/>
    </row>
    <row r="201">
      <c r="A201" s="13" t="n">
        <v>197</v>
      </c>
      <c r="B201" s="5" t="n"/>
      <c r="C201" s="5" t="n"/>
      <c r="D201" s="5" t="n"/>
      <c r="E201" s="5" t="n"/>
      <c r="F201" s="5" t="n"/>
      <c r="G201" s="5" t="n"/>
      <c r="H201" s="5" t="n"/>
      <c r="I201" s="5" t="n"/>
    </row>
    <row r="202">
      <c r="A202" s="13" t="n">
        <v>198</v>
      </c>
      <c r="B202" s="5" t="n"/>
      <c r="C202" s="5" t="n"/>
      <c r="D202" s="5" t="n"/>
      <c r="E202" s="5" t="n"/>
      <c r="F202" s="5" t="n"/>
      <c r="G202" s="5" t="n"/>
      <c r="H202" s="5" t="n"/>
      <c r="I202" s="5" t="n"/>
    </row>
    <row r="203">
      <c r="A203" s="13" t="n">
        <v>199</v>
      </c>
      <c r="B203" s="5" t="n"/>
      <c r="C203" s="5" t="n"/>
      <c r="D203" s="5" t="n"/>
      <c r="E203" s="5" t="n"/>
      <c r="F203" s="5" t="n"/>
      <c r="G203" s="5" t="n"/>
      <c r="H203" s="5" t="n"/>
      <c r="I203" s="5" t="n"/>
    </row>
    <row r="204">
      <c r="A204" s="13" t="n">
        <v>200</v>
      </c>
      <c r="B204" s="5" t="n"/>
      <c r="C204" s="5" t="n"/>
      <c r="D204" s="5" t="n"/>
      <c r="E204" s="5" t="n"/>
      <c r="F204" s="5" t="n"/>
      <c r="G204" s="5" t="n"/>
      <c r="H204" s="5" t="n"/>
      <c r="I204" s="5" t="n"/>
    </row>
  </sheetData>
  <autoFilter ref="A4:I204"/>
  <dataValidations count="3">
    <dataValidation sqref="B5:B204" showDropDown="0" showInputMessage="1" showErrorMessage="1" allowBlank="1" promptTitle="Select" prompt="System this item belongs to" type="list">
      <formula1>=SystemList</formula1>
    </dataValidation>
    <dataValidation sqref="E5:E204" showDropDown="0" showInputMessage="1" showErrorMessage="1" allowBlank="1" promptTitle="Select" prompt="Equipment type (from Lists)" type="list">
      <formula1>=EqTypeList</formula1>
    </dataValidation>
    <dataValidation sqref="G5:G204" showDropDown="0" showInputMessage="0" showErrorMessage="1" allowBlank="1" errorTitle="Not in list" error="Entry is not in the list – it will be accepted as free text." type="list" errorStyle="information">
      <formula1>"Duty,Standby,Single,Spare,Common"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25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4" customWidth="1" min="1" max="1"/>
    <col width="44" customWidth="1" min="3" max="3"/>
    <col width="36" customWidth="1" min="4" max="4"/>
    <col width="44" customWidth="1" min="6" max="6"/>
    <col width="44" customWidth="1" min="7" max="7"/>
    <col width="52" customWidth="1" min="9" max="9"/>
    <col width="46" customWidth="1" min="11" max="11"/>
    <col width="34" customWidth="1" min="13" max="13"/>
    <col width="22" customWidth="1" min="15" max="15"/>
  </cols>
  <sheetData>
    <row r="1">
      <c r="A1" s="1" t="inlineStr">
        <is>
          <t>DROP-DOWN LISTS</t>
        </is>
      </c>
    </row>
    <row r="2">
      <c r="A2" s="2" t="inlineStr">
        <is>
          <t>Editable. To add a component or failure mode, INSERT a row inside its equipment-type block (blocks must stay together). Failure-mode codes follow ISO 14224 where applicable.</t>
        </is>
      </c>
    </row>
    <row r="4">
      <c r="A4" s="8" t="inlineStr">
        <is>
          <t>Equipment types</t>
        </is>
      </c>
      <c r="C4" s="8" t="inlineStr">
        <is>
          <t>Equipment type</t>
        </is>
      </c>
      <c r="D4" s="8" t="inlineStr">
        <is>
          <t>Component / maintainable item</t>
        </is>
      </c>
      <c r="F4" s="8" t="inlineStr">
        <is>
          <t>Equipment type</t>
        </is>
      </c>
      <c r="G4" s="8" t="inlineStr">
        <is>
          <t>Failure mode</t>
        </is>
      </c>
      <c r="I4" s="8" t="inlineStr">
        <is>
          <t>Failure causes / mechanisms</t>
        </is>
      </c>
      <c r="K4" s="8" t="inlineStr">
        <is>
          <t>Detection methods</t>
        </is>
      </c>
      <c r="M4" s="8" t="inlineStr">
        <is>
          <t>Action / task type</t>
        </is>
      </c>
      <c r="O4" s="8" t="inlineStr">
        <is>
          <t>Document category</t>
        </is>
      </c>
    </row>
    <row r="5">
      <c r="A5" s="16" t="inlineStr">
        <is>
          <t>Centrifugal pump</t>
        </is>
      </c>
      <c r="C5" s="16" t="inlineStr">
        <is>
          <t>Centrifugal pump</t>
        </is>
      </c>
      <c r="D5" s="16" t="inlineStr">
        <is>
          <t>Impeller</t>
        </is>
      </c>
      <c r="F5" s="16" t="inlineStr">
        <is>
          <t>Centrifugal pump</t>
        </is>
      </c>
      <c r="G5" s="16" t="inlineStr">
        <is>
          <t>FTS – Fail to start on demand</t>
        </is>
      </c>
      <c r="I5" s="16" t="inlineStr">
        <is>
          <t>1.0 Mechanical failure – general</t>
        </is>
      </c>
      <c r="K5" s="16" t="inlineStr">
        <is>
          <t>Online vibration monitoring with alarm</t>
        </is>
      </c>
      <c r="M5" s="16" t="inlineStr">
        <is>
          <t>Condition monitoring task</t>
        </is>
      </c>
      <c r="O5" s="16" t="inlineStr">
        <is>
          <t>Drawings</t>
        </is>
      </c>
    </row>
    <row r="6">
      <c r="A6" s="16" t="inlineStr">
        <is>
          <t>Positive displacement pump</t>
        </is>
      </c>
      <c r="C6" s="16" t="inlineStr">
        <is>
          <t>Centrifugal pump</t>
        </is>
      </c>
      <c r="D6" s="16" t="inlineStr">
        <is>
          <t>Casing</t>
        </is>
      </c>
      <c r="F6" s="16" t="inlineStr">
        <is>
          <t>Centrifugal pump</t>
        </is>
      </c>
      <c r="G6" s="16" t="inlineStr">
        <is>
          <t>STP – Fail to stop on demand</t>
        </is>
      </c>
      <c r="I6" s="16" t="inlineStr">
        <is>
          <t>1.1 Leakage</t>
        </is>
      </c>
      <c r="K6" s="16" t="inlineStr">
        <is>
          <t>Periodic vibration analysis (route)</t>
        </is>
      </c>
      <c r="M6" s="16" t="inlineStr">
        <is>
          <t>Time-based maintenance / overhaul</t>
        </is>
      </c>
      <c r="O6" s="16" t="inlineStr">
        <is>
          <t>Equipment data</t>
        </is>
      </c>
    </row>
    <row r="7">
      <c r="A7" s="16" t="inlineStr">
        <is>
          <t>Centrifugal compressor</t>
        </is>
      </c>
      <c r="C7" s="16" t="inlineStr">
        <is>
          <t>Centrifugal pump</t>
        </is>
      </c>
      <c r="D7" s="16" t="inlineStr">
        <is>
          <t>Shaft</t>
        </is>
      </c>
      <c r="F7" s="16" t="inlineStr">
        <is>
          <t>Centrifugal pump</t>
        </is>
      </c>
      <c r="G7" s="16" t="inlineStr">
        <is>
          <t>UST – Spurious stop</t>
        </is>
      </c>
      <c r="I7" s="16" t="inlineStr">
        <is>
          <t>1.2 Vibration</t>
        </is>
      </c>
      <c r="K7" s="16" t="inlineStr">
        <is>
          <t>Infrared thermography</t>
        </is>
      </c>
      <c r="M7" s="16" t="inlineStr">
        <is>
          <t>Failure-finding / proof test</t>
        </is>
      </c>
      <c r="O7" s="16" t="inlineStr">
        <is>
          <t>Maintenance history</t>
        </is>
      </c>
    </row>
    <row r="8">
      <c r="A8" s="16" t="inlineStr">
        <is>
          <t>Reciprocating compressor</t>
        </is>
      </c>
      <c r="C8" s="16" t="inlineStr">
        <is>
          <t>Centrifugal pump</t>
        </is>
      </c>
      <c r="D8" s="16" t="inlineStr">
        <is>
          <t>Bearings</t>
        </is>
      </c>
      <c r="F8" s="16" t="inlineStr">
        <is>
          <t>Centrifugal pump</t>
        </is>
      </c>
      <c r="G8" s="16" t="inlineStr">
        <is>
          <t>BRD – Breakdown</t>
        </is>
      </c>
      <c r="I8" s="16" t="inlineStr">
        <is>
          <t>1.3 Clearance / alignment failure</t>
        </is>
      </c>
      <c r="K8" s="16" t="inlineStr">
        <is>
          <t>Oil / lubricant analysis</t>
        </is>
      </c>
      <c r="M8" s="16" t="inlineStr">
        <is>
          <t>Operator round / inspection</t>
        </is>
      </c>
      <c r="O8" s="16" t="inlineStr">
        <is>
          <t>Reliability data</t>
        </is>
      </c>
    </row>
    <row r="9">
      <c r="A9" s="16" t="inlineStr">
        <is>
          <t>Fan / blower (incl. ID fan)</t>
        </is>
      </c>
      <c r="C9" s="16" t="inlineStr">
        <is>
          <t>Centrifugal pump</t>
        </is>
      </c>
      <c r="D9" s="16" t="inlineStr">
        <is>
          <t>Mechanical seal</t>
        </is>
      </c>
      <c r="F9" s="16" t="inlineStr">
        <is>
          <t>Centrifugal pump</t>
        </is>
      </c>
      <c r="G9" s="16" t="inlineStr">
        <is>
          <t>LOO – Low output (flow / head)</t>
        </is>
      </c>
      <c r="I9" s="16" t="inlineStr">
        <is>
          <t>1.4 Deformation</t>
        </is>
      </c>
      <c r="K9" s="16" t="inlineStr">
        <is>
          <t>Ultrasonic thickness / NDT inspection</t>
        </is>
      </c>
      <c r="M9" s="16" t="inlineStr">
        <is>
          <t>Redesign / modification (MOC)</t>
        </is>
      </c>
      <c r="O9" s="16" t="inlineStr">
        <is>
          <t>Procedures</t>
        </is>
      </c>
    </row>
    <row r="10">
      <c r="A10" s="16" t="inlineStr">
        <is>
          <t>Electric motor</t>
        </is>
      </c>
      <c r="C10" s="16" t="inlineStr">
        <is>
          <t>Centrifugal pump</t>
        </is>
      </c>
      <c r="D10" s="16" t="inlineStr">
        <is>
          <t>Coupling</t>
        </is>
      </c>
      <c r="F10" s="16" t="inlineStr">
        <is>
          <t>Centrifugal pump</t>
        </is>
      </c>
      <c r="G10" s="16" t="inlineStr">
        <is>
          <t>HIO – High output</t>
        </is>
      </c>
      <c r="I10" s="16" t="inlineStr">
        <is>
          <t>1.5 Looseness</t>
        </is>
      </c>
      <c r="K10" s="16" t="inlineStr">
        <is>
          <t>Acoustic emission / ultrasonic leak detection</t>
        </is>
      </c>
      <c r="M10" s="16" t="inlineStr">
        <is>
          <t>Spares holding</t>
        </is>
      </c>
      <c r="O10" s="16" t="inlineStr">
        <is>
          <t>Previous studies</t>
        </is>
      </c>
    </row>
    <row r="11">
      <c r="A11" s="16" t="inlineStr">
        <is>
          <t>Gearbox</t>
        </is>
      </c>
      <c r="C11" s="16" t="inlineStr">
        <is>
          <t>Centrifugal pump</t>
        </is>
      </c>
      <c r="D11" s="16" t="inlineStr">
        <is>
          <t>Wear rings</t>
        </is>
      </c>
      <c r="F11" s="16" t="inlineStr">
        <is>
          <t>Centrifugal pump</t>
        </is>
      </c>
      <c r="G11" s="16" t="inlineStr">
        <is>
          <t>ELP – External leakage – process medium</t>
        </is>
      </c>
      <c r="I11" s="16" t="inlineStr">
        <is>
          <t>1.6 Sticking / seizure</t>
        </is>
      </c>
      <c r="K11" s="16" t="inlineStr">
        <is>
          <t>Motor current signature analysis</t>
        </is>
      </c>
      <c r="M11" s="16" t="inlineStr">
        <is>
          <t>Procedure / training</t>
        </is>
      </c>
      <c r="O11" s="16" t="inlineStr">
        <is>
          <t>Other</t>
        </is>
      </c>
    </row>
    <row r="12">
      <c r="A12" s="16" t="inlineStr">
        <is>
          <t>Belt conveyor</t>
        </is>
      </c>
      <c r="C12" s="16" t="inlineStr">
        <is>
          <t>Centrifugal pump</t>
        </is>
      </c>
      <c r="D12" s="16" t="inlineStr">
        <is>
          <t>Baseplate / holding-down</t>
        </is>
      </c>
      <c r="F12" s="16" t="inlineStr">
        <is>
          <t>Centrifugal pump</t>
        </is>
      </c>
      <c r="G12" s="16" t="inlineStr">
        <is>
          <t>ELU – External leakage – utility medium</t>
        </is>
      </c>
      <c r="I12" s="16" t="inlineStr">
        <is>
          <t>2.0 Material failure – general</t>
        </is>
      </c>
      <c r="K12" s="16" t="inlineStr">
        <is>
          <t>Partial discharge / insulation testing</t>
        </is>
      </c>
      <c r="M12" s="16" t="inlineStr">
        <is>
          <t>Run to failure (accepted)</t>
        </is>
      </c>
    </row>
    <row r="13">
      <c r="A13" s="16" t="inlineStr">
        <is>
          <t>Pressure vessel / separator / column</t>
        </is>
      </c>
      <c r="C13" s="16" t="inlineStr">
        <is>
          <t>Centrifugal pump</t>
        </is>
      </c>
      <c r="D13" s="16" t="inlineStr">
        <is>
          <t>Lubrication system</t>
        </is>
      </c>
      <c r="F13" s="16" t="inlineStr">
        <is>
          <t>Centrifugal pump</t>
        </is>
      </c>
      <c r="G13" s="16" t="inlineStr">
        <is>
          <t>INL – Internal leakage / recirculation</t>
        </is>
      </c>
      <c r="I13" s="16" t="inlineStr">
        <is>
          <t>2.1 Cavitation</t>
        </is>
      </c>
      <c r="K13" s="16" t="inlineStr">
        <is>
          <t>Process alarm (DCS)</t>
        </is>
      </c>
      <c r="M13" s="16" t="inlineStr">
        <is>
          <t>Further study</t>
        </is>
      </c>
    </row>
    <row r="14">
      <c r="A14" s="16" t="inlineStr">
        <is>
          <t>Shell &amp; tube heat exchanger</t>
        </is>
      </c>
      <c r="C14" s="16" t="inlineStr">
        <is>
          <t>Centrifugal pump</t>
        </is>
      </c>
      <c r="D14" s="16" t="inlineStr">
        <is>
          <t>Suction strainer</t>
        </is>
      </c>
      <c r="F14" s="16" t="inlineStr">
        <is>
          <t>Centrifugal pump</t>
        </is>
      </c>
      <c r="G14" s="16" t="inlineStr">
        <is>
          <t>VIB – Vibration</t>
        </is>
      </c>
      <c r="I14" s="16" t="inlineStr">
        <is>
          <t>2.2 Corrosion (general / pitting / CUI)</t>
        </is>
      </c>
      <c r="K14" s="16" t="inlineStr">
        <is>
          <t>Protective trip / interlock</t>
        </is>
      </c>
    </row>
    <row r="15">
      <c r="A15" s="16" t="inlineStr">
        <is>
          <t>Atmospheric storage tank</t>
        </is>
      </c>
      <c r="C15" s="16" t="inlineStr">
        <is>
          <t>Positive displacement pump</t>
        </is>
      </c>
      <c r="D15" s="16" t="inlineStr">
        <is>
          <t>Rotors / gears / pistons</t>
        </is>
      </c>
      <c r="F15" s="16" t="inlineStr">
        <is>
          <t>Centrifugal pump</t>
        </is>
      </c>
      <c r="G15" s="16" t="inlineStr">
        <is>
          <t>NOI – Noise</t>
        </is>
      </c>
      <c r="I15" s="16" t="inlineStr">
        <is>
          <t>2.3 Erosion</t>
        </is>
      </c>
      <c r="K15" s="16" t="inlineStr">
        <is>
          <t>Performance monitoring (flow, ΔP, efficiency)</t>
        </is>
      </c>
    </row>
    <row r="16">
      <c r="A16" s="16" t="inlineStr">
        <is>
          <t>Piping, flanges &amp; hoses</t>
        </is>
      </c>
      <c r="C16" s="16" t="inlineStr">
        <is>
          <t>Positive displacement pump</t>
        </is>
      </c>
      <c r="D16" s="16" t="inlineStr">
        <is>
          <t>Suction / discharge valves</t>
        </is>
      </c>
      <c r="F16" s="16" t="inlineStr">
        <is>
          <t>Centrifugal pump</t>
        </is>
      </c>
      <c r="G16" s="16" t="inlineStr">
        <is>
          <t>OHE – Overheating</t>
        </is>
      </c>
      <c r="I16" s="16" t="inlineStr">
        <is>
          <t>2.4 Wear</t>
        </is>
      </c>
      <c r="K16" s="16" t="inlineStr">
        <is>
          <t>Operator rounds – visual / sensory</t>
        </is>
      </c>
    </row>
    <row r="17">
      <c r="A17" s="16" t="inlineStr">
        <is>
          <t>Control valve</t>
        </is>
      </c>
      <c r="C17" s="16" t="inlineStr">
        <is>
          <t>Positive displacement pump</t>
        </is>
      </c>
      <c r="D17" s="16" t="inlineStr">
        <is>
          <t>Packing / seals</t>
        </is>
      </c>
      <c r="F17" s="16" t="inlineStr">
        <is>
          <t>Centrifugal pump</t>
        </is>
      </c>
      <c r="G17" s="16" t="inlineStr">
        <is>
          <t>PDE – Parameter deviation</t>
        </is>
      </c>
      <c r="I17" s="16" t="inlineStr">
        <is>
          <t>2.5 Breakage / fracture</t>
        </is>
      </c>
      <c r="K17" s="16" t="inlineStr">
        <is>
          <t>Proof test / function test</t>
        </is>
      </c>
    </row>
    <row r="18">
      <c r="A18" s="16" t="inlineStr">
        <is>
          <t>Isolation / ESD valve</t>
        </is>
      </c>
      <c r="C18" s="16" t="inlineStr">
        <is>
          <t>Positive displacement pump</t>
        </is>
      </c>
      <c r="D18" s="16" t="inlineStr">
        <is>
          <t>Bearings</t>
        </is>
      </c>
      <c r="F18" s="16" t="inlineStr">
        <is>
          <t>Centrifugal pump</t>
        </is>
      </c>
      <c r="G18" s="16" t="inlineStr">
        <is>
          <t>STD – Structural deficiency</t>
        </is>
      </c>
      <c r="I18" s="16" t="inlineStr">
        <is>
          <t>2.6 Fatigue (mechanical / thermal)</t>
        </is>
      </c>
      <c r="K18" s="16" t="inlineStr">
        <is>
          <t>Leak detection system (flow in / out)</t>
        </is>
      </c>
    </row>
    <row r="19">
      <c r="A19" s="16" t="inlineStr">
        <is>
          <t>Pressure relief device (PSV / rupture disc)</t>
        </is>
      </c>
      <c r="C19" s="16" t="inlineStr">
        <is>
          <t>Positive displacement pump</t>
        </is>
      </c>
      <c r="D19" s="16" t="inlineStr">
        <is>
          <t>Drive (gearbox / coupling)</t>
        </is>
      </c>
      <c r="F19" s="16" t="inlineStr">
        <is>
          <t>Centrifugal pump</t>
        </is>
      </c>
      <c r="G19" s="16" t="inlineStr">
        <is>
          <t>PLU – Plugged / choked</t>
        </is>
      </c>
      <c r="I19" s="16" t="inlineStr">
        <is>
          <t>2.7 Overheating</t>
        </is>
      </c>
      <c r="K19" s="16" t="inlineStr">
        <is>
          <t>Gas / fire detection</t>
        </is>
      </c>
    </row>
    <row r="20">
      <c r="A20" s="16" t="inlineStr">
        <is>
          <t>Instrument – transmitter / switch</t>
        </is>
      </c>
      <c r="C20" s="16" t="inlineStr">
        <is>
          <t>Positive displacement pump</t>
        </is>
      </c>
      <c r="D20" s="16" t="inlineStr">
        <is>
          <t>Pulsation damper</t>
        </is>
      </c>
      <c r="F20" s="16" t="inlineStr">
        <is>
          <t>Centrifugal pump</t>
        </is>
      </c>
      <c r="G20" s="16" t="inlineStr">
        <is>
          <t>OTH – Other</t>
        </is>
      </c>
      <c r="I20" s="16" t="inlineStr">
        <is>
          <t>2.8 Burst</t>
        </is>
      </c>
      <c r="K20" s="16" t="inlineStr">
        <is>
          <t>Shell temperature scanning (refractory)</t>
        </is>
      </c>
    </row>
    <row r="21">
      <c r="A21" s="16" t="inlineStr">
        <is>
          <t>Analyser / gas detector</t>
        </is>
      </c>
      <c r="C21" s="16" t="inlineStr">
        <is>
          <t>Positive displacement pump</t>
        </is>
      </c>
      <c r="D21" s="16" t="inlineStr">
        <is>
          <t>Integral relief valve</t>
        </is>
      </c>
      <c r="F21" s="16" t="inlineStr">
        <is>
          <t>Positive displacement pump</t>
        </is>
      </c>
      <c r="G21" s="16" t="inlineStr">
        <is>
          <t>FTS – Fail to start on demand</t>
        </is>
      </c>
      <c r="I21" s="16" t="inlineStr">
        <is>
          <t>3.0 Instrument failure – general</t>
        </is>
      </c>
      <c r="K21" s="16" t="inlineStr">
        <is>
          <t>Rope / brake / structural inspection (cranes)</t>
        </is>
      </c>
    </row>
    <row r="22">
      <c r="A22" s="16" t="inlineStr">
        <is>
          <t>Control system / SIS logic solver</t>
        </is>
      </c>
      <c r="C22" s="16" t="inlineStr">
        <is>
          <t>Positive displacement pump</t>
        </is>
      </c>
      <c r="D22" s="16" t="inlineStr">
        <is>
          <t>Casing</t>
        </is>
      </c>
      <c r="F22" s="16" t="inlineStr">
        <is>
          <t>Positive displacement pump</t>
        </is>
      </c>
      <c r="G22" s="16" t="inlineStr">
        <is>
          <t>STP – Fail to stop on demand</t>
        </is>
      </c>
      <c r="I22" s="16" t="inlineStr">
        <is>
          <t>3.1 Control failure</t>
        </is>
      </c>
      <c r="K22" s="16" t="inlineStr">
        <is>
          <t>Calibration check</t>
        </is>
      </c>
    </row>
    <row r="23">
      <c r="A23" s="16" t="inlineStr">
        <is>
          <t>Transformer</t>
        </is>
      </c>
      <c r="C23" s="16" t="inlineStr">
        <is>
          <t>Centrifugal compressor</t>
        </is>
      </c>
      <c r="D23" s="16" t="inlineStr">
        <is>
          <t>Impellers</t>
        </is>
      </c>
      <c r="F23" s="16" t="inlineStr">
        <is>
          <t>Positive displacement pump</t>
        </is>
      </c>
      <c r="G23" s="16" t="inlineStr">
        <is>
          <t>UST – Spurious stop</t>
        </is>
      </c>
      <c r="I23" s="16" t="inlineStr">
        <is>
          <t>3.2 No signal / indication / alarm</t>
        </is>
      </c>
      <c r="K23" s="16" t="inlineStr">
        <is>
          <t>Shutdown inspection</t>
        </is>
      </c>
    </row>
    <row r="24">
      <c r="A24" s="16" t="inlineStr">
        <is>
          <t>Switchgear / MCC / circuit breaker</t>
        </is>
      </c>
      <c r="C24" s="16" t="inlineStr">
        <is>
          <t>Centrifugal compressor</t>
        </is>
      </c>
      <c r="D24" s="16" t="inlineStr">
        <is>
          <t>Rotor / shaft</t>
        </is>
      </c>
      <c r="F24" s="16" t="inlineStr">
        <is>
          <t>Positive displacement pump</t>
        </is>
      </c>
      <c r="G24" s="16" t="inlineStr">
        <is>
          <t>BRD – Breakdown</t>
        </is>
      </c>
      <c r="I24" s="16" t="inlineStr">
        <is>
          <t>3.3 Faulty signal / indication / alarm</t>
        </is>
      </c>
      <c r="K24" s="16" t="inlineStr">
        <is>
          <t>None – failure evident only on occurrence</t>
        </is>
      </c>
    </row>
    <row r="25">
      <c r="A25" s="16" t="inlineStr">
        <is>
          <t>Variable speed drive / UPS</t>
        </is>
      </c>
      <c r="C25" s="16" t="inlineStr">
        <is>
          <t>Centrifugal compressor</t>
        </is>
      </c>
      <c r="D25" s="16" t="inlineStr">
        <is>
          <t>Journal and thrust bearings</t>
        </is>
      </c>
      <c r="F25" s="16" t="inlineStr">
        <is>
          <t>Positive displacement pump</t>
        </is>
      </c>
      <c r="G25" s="16" t="inlineStr">
        <is>
          <t>LOO – Low output (flow / head)</t>
        </is>
      </c>
      <c r="I25" s="16" t="inlineStr">
        <is>
          <t>3.4 Out of adjustment / calibration drift</t>
        </is>
      </c>
      <c r="K25" s="16" t="inlineStr">
        <is>
          <t>None – hidden failure</t>
        </is>
      </c>
    </row>
    <row r="26">
      <c r="A26" s="16" t="inlineStr">
        <is>
          <t>Hydraulic power unit / system</t>
        </is>
      </c>
      <c r="C26" s="16" t="inlineStr">
        <is>
          <t>Centrifugal compressor</t>
        </is>
      </c>
      <c r="D26" s="16" t="inlineStr">
        <is>
          <t>Dry gas / oil seals</t>
        </is>
      </c>
      <c r="F26" s="16" t="inlineStr">
        <is>
          <t>Positive displacement pump</t>
        </is>
      </c>
      <c r="G26" s="16" t="inlineStr">
        <is>
          <t>HIO – High output</t>
        </is>
      </c>
      <c r="I26" s="16" t="inlineStr">
        <is>
          <t>3.5 Software / configuration failure</t>
        </is>
      </c>
    </row>
    <row r="27">
      <c r="A27" s="16" t="inlineStr">
        <is>
          <t>Overhead crane / hoist (incl. ladle crane)</t>
        </is>
      </c>
      <c r="C27" s="16" t="inlineStr">
        <is>
          <t>Centrifugal compressor</t>
        </is>
      </c>
      <c r="D27" s="16" t="inlineStr">
        <is>
          <t>Lube oil system</t>
        </is>
      </c>
      <c r="F27" s="16" t="inlineStr">
        <is>
          <t>Positive displacement pump</t>
        </is>
      </c>
      <c r="G27" s="16" t="inlineStr">
        <is>
          <t>ELP – External leakage – process medium</t>
        </is>
      </c>
      <c r="I27" s="16" t="inlineStr">
        <is>
          <t>3.6 Common cause / mode failure</t>
        </is>
      </c>
    </row>
    <row r="28">
      <c r="A28" s="16" t="inlineStr">
        <is>
          <t>Water-cooled element (panel, roof, lance, tuyere, stave, mould)</t>
        </is>
      </c>
      <c r="C28" s="16" t="inlineStr">
        <is>
          <t>Centrifugal compressor</t>
        </is>
      </c>
      <c r="D28" s="16" t="inlineStr">
        <is>
          <t>Anti-surge valve and control</t>
        </is>
      </c>
      <c r="F28" s="16" t="inlineStr">
        <is>
          <t>Positive displacement pump</t>
        </is>
      </c>
      <c r="G28" s="16" t="inlineStr">
        <is>
          <t>ELU – External leakage – utility medium</t>
        </is>
      </c>
      <c r="I28" s="16" t="inlineStr">
        <is>
          <t>4.0 Electrical failure – general</t>
        </is>
      </c>
    </row>
    <row r="29">
      <c r="A29" s="16" t="inlineStr">
        <is>
          <t>Refractory lining (furnace, ladle, tundish, kiln)</t>
        </is>
      </c>
      <c r="C29" s="16" t="inlineStr">
        <is>
          <t>Centrifugal compressor</t>
        </is>
      </c>
      <c r="D29" s="16" t="inlineStr">
        <is>
          <t>Casing</t>
        </is>
      </c>
      <c r="F29" s="16" t="inlineStr">
        <is>
          <t>Positive displacement pump</t>
        </is>
      </c>
      <c r="G29" s="16" t="inlineStr">
        <is>
          <t>INL – Internal leakage / recirculation</t>
        </is>
      </c>
      <c r="I29" s="16" t="inlineStr">
        <is>
          <t>4.1 Short circuiting</t>
        </is>
      </c>
    </row>
    <row r="30">
      <c r="A30" s="16" t="inlineStr">
        <is>
          <t>Burner / combustion system</t>
        </is>
      </c>
      <c r="C30" s="16" t="inlineStr">
        <is>
          <t>Centrifugal compressor</t>
        </is>
      </c>
      <c r="D30" s="16" t="inlineStr">
        <is>
          <t>Coupling</t>
        </is>
      </c>
      <c r="F30" s="16" t="inlineStr">
        <is>
          <t>Positive displacement pump</t>
        </is>
      </c>
      <c r="G30" s="16" t="inlineStr">
        <is>
          <t>VIB – Vibration</t>
        </is>
      </c>
      <c r="I30" s="16" t="inlineStr">
        <is>
          <t>4.2 Open circuit</t>
        </is>
      </c>
    </row>
    <row r="31">
      <c r="A31" s="16" t="inlineStr">
        <is>
          <t>Cooling tower / closed cooling circuit</t>
        </is>
      </c>
      <c r="C31" s="16" t="inlineStr">
        <is>
          <t>Centrifugal compressor</t>
        </is>
      </c>
      <c r="D31" s="16" t="inlineStr">
        <is>
          <t>Inlet guide vanes</t>
        </is>
      </c>
      <c r="F31" s="16" t="inlineStr">
        <is>
          <t>Positive displacement pump</t>
        </is>
      </c>
      <c r="G31" s="16" t="inlineStr">
        <is>
          <t>NOI – Noise</t>
        </is>
      </c>
      <c r="I31" s="16" t="inlineStr">
        <is>
          <t>4.3 No power / voltage</t>
        </is>
      </c>
    </row>
    <row r="32">
      <c r="A32" s="16" t="inlineStr">
        <is>
          <t>Bag filter / dust collector</t>
        </is>
      </c>
      <c r="C32" s="16" t="inlineStr">
        <is>
          <t>Centrifugal compressor</t>
        </is>
      </c>
      <c r="D32" s="16" t="inlineStr">
        <is>
          <t>Protection instrumentation</t>
        </is>
      </c>
      <c r="F32" s="16" t="inlineStr">
        <is>
          <t>Positive displacement pump</t>
        </is>
      </c>
      <c r="G32" s="16" t="inlineStr">
        <is>
          <t>OHE – Overheating</t>
        </is>
      </c>
      <c r="I32" s="16" t="inlineStr">
        <is>
          <t>4.4 Faulty power / voltage</t>
        </is>
      </c>
    </row>
    <row r="33">
      <c r="A33" s="16" t="inlineStr">
        <is>
          <t>Ladle &amp; ladle / transfer car</t>
        </is>
      </c>
      <c r="C33" s="16" t="inlineStr">
        <is>
          <t>Reciprocating compressor</t>
        </is>
      </c>
      <c r="D33" s="16" t="inlineStr">
        <is>
          <t>Cylinders and liners</t>
        </is>
      </c>
      <c r="F33" s="16" t="inlineStr">
        <is>
          <t>Positive displacement pump</t>
        </is>
      </c>
      <c r="G33" s="16" t="inlineStr">
        <is>
          <t>PDE – Parameter deviation</t>
        </is>
      </c>
      <c r="I33" s="16" t="inlineStr">
        <is>
          <t>4.5 Earth / insulation fault</t>
        </is>
      </c>
    </row>
    <row r="34">
      <c r="C34" s="16" t="inlineStr">
        <is>
          <t>Reciprocating compressor</t>
        </is>
      </c>
      <c r="D34" s="16" t="inlineStr">
        <is>
          <t>Pistons and rings</t>
        </is>
      </c>
      <c r="F34" s="16" t="inlineStr">
        <is>
          <t>Positive displacement pump</t>
        </is>
      </c>
      <c r="G34" s="16" t="inlineStr">
        <is>
          <t>STD – Structural deficiency</t>
        </is>
      </c>
      <c r="I34" s="16" t="inlineStr">
        <is>
          <t>5.0 External influence – general</t>
        </is>
      </c>
    </row>
    <row r="35">
      <c r="C35" s="16" t="inlineStr">
        <is>
          <t>Reciprocating compressor</t>
        </is>
      </c>
      <c r="D35" s="16" t="inlineStr">
        <is>
          <t>Valves</t>
        </is>
      </c>
      <c r="F35" s="16" t="inlineStr">
        <is>
          <t>Positive displacement pump</t>
        </is>
      </c>
      <c r="G35" s="16" t="inlineStr">
        <is>
          <t>PLU – Plugged / choked</t>
        </is>
      </c>
      <c r="I35" s="16" t="inlineStr">
        <is>
          <t>5.1 Blockage / plugged</t>
        </is>
      </c>
    </row>
    <row r="36">
      <c r="C36" s="16" t="inlineStr">
        <is>
          <t>Reciprocating compressor</t>
        </is>
      </c>
      <c r="D36" s="16" t="inlineStr">
        <is>
          <t>Rod packing</t>
        </is>
      </c>
      <c r="F36" s="16" t="inlineStr">
        <is>
          <t>Positive displacement pump</t>
        </is>
      </c>
      <c r="G36" s="16" t="inlineStr">
        <is>
          <t>OTH – Other</t>
        </is>
      </c>
      <c r="I36" s="16" t="inlineStr">
        <is>
          <t>5.2 Contamination (process / lube oil / water)</t>
        </is>
      </c>
    </row>
    <row r="37">
      <c r="C37" s="16" t="inlineStr">
        <is>
          <t>Reciprocating compressor</t>
        </is>
      </c>
      <c r="D37" s="16" t="inlineStr">
        <is>
          <t>Crankshaft and bearings</t>
        </is>
      </c>
      <c r="F37" s="16" t="inlineStr">
        <is>
          <t>Centrifugal compressor</t>
        </is>
      </c>
      <c r="G37" s="16" t="inlineStr">
        <is>
          <t>FTS – Fail to start on demand</t>
        </is>
      </c>
      <c r="I37" s="16" t="inlineStr">
        <is>
          <t>5.3 Dust ingress</t>
        </is>
      </c>
    </row>
    <row r="38">
      <c r="C38" s="16" t="inlineStr">
        <is>
          <t>Reciprocating compressor</t>
        </is>
      </c>
      <c r="D38" s="16" t="inlineStr">
        <is>
          <t>Crosshead</t>
        </is>
      </c>
      <c r="F38" s="16" t="inlineStr">
        <is>
          <t>Centrifugal compressor</t>
        </is>
      </c>
      <c r="G38" s="16" t="inlineStr">
        <is>
          <t>STP – Fail to stop on demand</t>
        </is>
      </c>
      <c r="I38" s="16" t="inlineStr">
        <is>
          <t>5.4 Moisture / water ingress</t>
        </is>
      </c>
    </row>
    <row r="39">
      <c r="C39" s="16" t="inlineStr">
        <is>
          <t>Reciprocating compressor</t>
        </is>
      </c>
      <c r="D39" s="16" t="inlineStr">
        <is>
          <t>Lube system</t>
        </is>
      </c>
      <c r="F39" s="16" t="inlineStr">
        <is>
          <t>Centrifugal compressor</t>
        </is>
      </c>
      <c r="G39" s="16" t="inlineStr">
        <is>
          <t>UST – Spurious stop</t>
        </is>
      </c>
      <c r="I39" s="16" t="inlineStr">
        <is>
          <t>5.5 Heat / radiant heat / molten metal splash</t>
        </is>
      </c>
    </row>
    <row r="40">
      <c r="C40" s="16" t="inlineStr">
        <is>
          <t>Reciprocating compressor</t>
        </is>
      </c>
      <c r="D40" s="16" t="inlineStr">
        <is>
          <t>Pulsation dampers</t>
        </is>
      </c>
      <c r="F40" s="16" t="inlineStr">
        <is>
          <t>Centrifugal compressor</t>
        </is>
      </c>
      <c r="G40" s="16" t="inlineStr">
        <is>
          <t>BRD – Breakdown</t>
        </is>
      </c>
      <c r="I40" s="16" t="inlineStr">
        <is>
          <t>5.6 Mechanical impact / collision</t>
        </is>
      </c>
    </row>
    <row r="41">
      <c r="C41" s="16" t="inlineStr">
        <is>
          <t>Reciprocating compressor</t>
        </is>
      </c>
      <c r="D41" s="16" t="inlineStr">
        <is>
          <t>Cooling system</t>
        </is>
      </c>
      <c r="F41" s="16" t="inlineStr">
        <is>
          <t>Centrifugal compressor</t>
        </is>
      </c>
      <c r="G41" s="16" t="inlineStr">
        <is>
          <t>LOO – Low output</t>
        </is>
      </c>
      <c r="I41" s="16" t="inlineStr">
        <is>
          <t>6.0 Miscellaneous – general</t>
        </is>
      </c>
    </row>
    <row r="42">
      <c r="C42" s="16" t="inlineStr">
        <is>
          <t>Reciprocating compressor</t>
        </is>
      </c>
      <c r="D42" s="16" t="inlineStr">
        <is>
          <t>Frame / foundation</t>
        </is>
      </c>
      <c r="F42" s="16" t="inlineStr">
        <is>
          <t>Centrifugal compressor</t>
        </is>
      </c>
      <c r="G42" s="16" t="inlineStr">
        <is>
          <t>HIO – High output</t>
        </is>
      </c>
      <c r="I42" s="16" t="inlineStr">
        <is>
          <t>6.1 No cause found</t>
        </is>
      </c>
    </row>
    <row r="43">
      <c r="C43" s="16" t="inlineStr">
        <is>
          <t>Fan / blower (incl. ID fan)</t>
        </is>
      </c>
      <c r="D43" s="16" t="inlineStr">
        <is>
          <t>Impeller / rotor</t>
        </is>
      </c>
      <c r="F43" s="16" t="inlineStr">
        <is>
          <t>Centrifugal compressor</t>
        </is>
      </c>
      <c r="G43" s="16" t="inlineStr">
        <is>
          <t>ERO – Erratic output / surge</t>
        </is>
      </c>
      <c r="I43" s="16" t="inlineStr">
        <is>
          <t>6.2 Combined causes</t>
        </is>
      </c>
    </row>
    <row r="44">
      <c r="C44" s="16" t="inlineStr">
        <is>
          <t>Fan / blower (incl. ID fan)</t>
        </is>
      </c>
      <c r="D44" s="16" t="inlineStr">
        <is>
          <t>Housing</t>
        </is>
      </c>
      <c r="F44" s="16" t="inlineStr">
        <is>
          <t>Centrifugal compressor</t>
        </is>
      </c>
      <c r="G44" s="16" t="inlineStr">
        <is>
          <t>ELP – External leakage – process medium</t>
        </is>
      </c>
      <c r="I44" s="16" t="inlineStr">
        <is>
          <t>6.3 Other</t>
        </is>
      </c>
    </row>
    <row r="45">
      <c r="C45" s="16" t="inlineStr">
        <is>
          <t>Fan / blower (incl. ID fan)</t>
        </is>
      </c>
      <c r="D45" s="16" t="inlineStr">
        <is>
          <t>Shaft</t>
        </is>
      </c>
      <c r="F45" s="16" t="inlineStr">
        <is>
          <t>Centrifugal compressor</t>
        </is>
      </c>
      <c r="G45" s="16" t="inlineStr">
        <is>
          <t>ELU – External leakage – utility medium</t>
        </is>
      </c>
      <c r="I45" s="16" t="inlineStr">
        <is>
          <t>6.4 Unknown</t>
        </is>
      </c>
    </row>
    <row r="46">
      <c r="C46" s="16" t="inlineStr">
        <is>
          <t>Fan / blower (incl. ID fan)</t>
        </is>
      </c>
      <c r="D46" s="16" t="inlineStr">
        <is>
          <t>Bearings</t>
        </is>
      </c>
      <c r="F46" s="16" t="inlineStr">
        <is>
          <t>Centrifugal compressor</t>
        </is>
      </c>
      <c r="G46" s="16" t="inlineStr">
        <is>
          <t>INL – Internal leakage</t>
        </is>
      </c>
      <c r="I46" s="16" t="inlineStr">
        <is>
          <t>Bearing failure (lubrication / contamination / fatigue)</t>
        </is>
      </c>
    </row>
    <row r="47">
      <c r="C47" s="16" t="inlineStr">
        <is>
          <t>Fan / blower (incl. ID fan)</t>
        </is>
      </c>
      <c r="D47" s="16" t="inlineStr">
        <is>
          <t>Coupling / belt drive</t>
        </is>
      </c>
      <c r="F47" s="16" t="inlineStr">
        <is>
          <t>Centrifugal compressor</t>
        </is>
      </c>
      <c r="G47" s="16" t="inlineStr">
        <is>
          <t>VIB – Vibration</t>
        </is>
      </c>
      <c r="I47" s="16" t="inlineStr">
        <is>
          <t>Seal failure (dry running / wear / misalignment)</t>
        </is>
      </c>
    </row>
    <row r="48">
      <c r="C48" s="16" t="inlineStr">
        <is>
          <t>Fan / blower (incl. ID fan)</t>
        </is>
      </c>
      <c r="D48" s="16" t="inlineStr">
        <is>
          <t>Dampers / inlet vanes</t>
        </is>
      </c>
      <c r="F48" s="16" t="inlineStr">
        <is>
          <t>Centrifugal compressor</t>
        </is>
      </c>
      <c r="G48" s="16" t="inlineStr">
        <is>
          <t>NOI – Noise</t>
        </is>
      </c>
      <c r="I48" s="16" t="inlineStr">
        <is>
          <t>Misalignment</t>
        </is>
      </c>
    </row>
    <row r="49">
      <c r="C49" s="16" t="inlineStr">
        <is>
          <t>Fan / blower (incl. ID fan)</t>
        </is>
      </c>
      <c r="D49" s="16" t="inlineStr">
        <is>
          <t>Foundation</t>
        </is>
      </c>
      <c r="F49" s="16" t="inlineStr">
        <is>
          <t>Centrifugal compressor</t>
        </is>
      </c>
      <c r="G49" s="16" t="inlineStr">
        <is>
          <t>OHE – Overheating</t>
        </is>
      </c>
      <c r="I49" s="16" t="inlineStr">
        <is>
          <t>Unbalance</t>
        </is>
      </c>
    </row>
    <row r="50">
      <c r="C50" s="16" t="inlineStr">
        <is>
          <t>Fan / blower (incl. ID fan)</t>
        </is>
      </c>
      <c r="D50" s="16" t="inlineStr">
        <is>
          <t>Lubrication</t>
        </is>
      </c>
      <c r="F50" s="16" t="inlineStr">
        <is>
          <t>Centrifugal compressor</t>
        </is>
      </c>
      <c r="G50" s="16" t="inlineStr">
        <is>
          <t>PDE – Parameter deviation</t>
        </is>
      </c>
      <c r="I50" s="16" t="inlineStr">
        <is>
          <t>Lubrication failure (loss / wrong / degraded lubricant)</t>
        </is>
      </c>
    </row>
    <row r="51">
      <c r="C51" s="16" t="inlineStr">
        <is>
          <t>Electric motor</t>
        </is>
      </c>
      <c r="D51" s="16" t="inlineStr">
        <is>
          <t>Stator winding</t>
        </is>
      </c>
      <c r="F51" s="16" t="inlineStr">
        <is>
          <t>Centrifugal compressor</t>
        </is>
      </c>
      <c r="G51" s="16" t="inlineStr">
        <is>
          <t>OTH – Other</t>
        </is>
      </c>
      <c r="I51" s="16" t="inlineStr">
        <is>
          <t>Overload / operation outside design envelope</t>
        </is>
      </c>
    </row>
    <row r="52">
      <c r="C52" s="16" t="inlineStr">
        <is>
          <t>Electric motor</t>
        </is>
      </c>
      <c r="D52" s="16" t="inlineStr">
        <is>
          <t>Rotor</t>
        </is>
      </c>
      <c r="F52" s="16" t="inlineStr">
        <is>
          <t>Reciprocating compressor</t>
        </is>
      </c>
      <c r="G52" s="16" t="inlineStr">
        <is>
          <t>FTS – Fail to start on demand</t>
        </is>
      </c>
      <c r="I52" s="16" t="inlineStr">
        <is>
          <t>Thermal cycling</t>
        </is>
      </c>
    </row>
    <row r="53">
      <c r="C53" s="16" t="inlineStr">
        <is>
          <t>Electric motor</t>
        </is>
      </c>
      <c r="D53" s="16" t="inlineStr">
        <is>
          <t>Bearings</t>
        </is>
      </c>
      <c r="F53" s="16" t="inlineStr">
        <is>
          <t>Reciprocating compressor</t>
        </is>
      </c>
      <c r="G53" s="16" t="inlineStr">
        <is>
          <t>STP – Fail to stop on demand</t>
        </is>
      </c>
      <c r="I53" s="16" t="inlineStr">
        <is>
          <t>Scale / fouling of cooling passages</t>
        </is>
      </c>
    </row>
    <row r="54">
      <c r="C54" s="16" t="inlineStr">
        <is>
          <t>Electric motor</t>
        </is>
      </c>
      <c r="D54" s="16" t="inlineStr">
        <is>
          <t>Cooling fan</t>
        </is>
      </c>
      <c r="F54" s="16" t="inlineStr">
        <is>
          <t>Reciprocating compressor</t>
        </is>
      </c>
      <c r="G54" s="16" t="inlineStr">
        <is>
          <t>UST – Spurious stop</t>
        </is>
      </c>
      <c r="I54" s="16" t="inlineStr">
        <is>
          <t>Slag attack / chemical attack on refractory</t>
        </is>
      </c>
    </row>
    <row r="55">
      <c r="C55" s="16" t="inlineStr">
        <is>
          <t>Electric motor</t>
        </is>
      </c>
      <c r="D55" s="16" t="inlineStr">
        <is>
          <t>Terminal box / cables</t>
        </is>
      </c>
      <c r="F55" s="16" t="inlineStr">
        <is>
          <t>Reciprocating compressor</t>
        </is>
      </c>
      <c r="G55" s="16" t="inlineStr">
        <is>
          <t>BRD – Breakdown</t>
        </is>
      </c>
      <c r="I55" s="16" t="inlineStr">
        <is>
          <t>Abrasive wear (ore, sinter, DRI, slag)</t>
        </is>
      </c>
    </row>
    <row r="56">
      <c r="C56" s="16" t="inlineStr">
        <is>
          <t>Electric motor</t>
        </is>
      </c>
      <c r="D56" s="16" t="inlineStr">
        <is>
          <t>Enclosure (Ex protection)</t>
        </is>
      </c>
      <c r="F56" s="16" t="inlineStr">
        <is>
          <t>Reciprocating compressor</t>
        </is>
      </c>
      <c r="G56" s="16" t="inlineStr">
        <is>
          <t>LOO – Low output</t>
        </is>
      </c>
      <c r="I56" s="16" t="inlineStr">
        <is>
          <t>Incorrect operation / operator error</t>
        </is>
      </c>
    </row>
    <row r="57">
      <c r="C57" s="16" t="inlineStr">
        <is>
          <t>Electric motor</t>
        </is>
      </c>
      <c r="D57" s="16" t="inlineStr">
        <is>
          <t>Anti-condensation heater</t>
        </is>
      </c>
      <c r="F57" s="16" t="inlineStr">
        <is>
          <t>Reciprocating compressor</t>
        </is>
      </c>
      <c r="G57" s="16" t="inlineStr">
        <is>
          <t>HIO – High output</t>
        </is>
      </c>
      <c r="I57" s="16" t="inlineStr">
        <is>
          <t>Incorrect maintenance / reassembly</t>
        </is>
      </c>
    </row>
    <row r="58">
      <c r="C58" s="16" t="inlineStr">
        <is>
          <t>Electric motor</t>
        </is>
      </c>
      <c r="D58" s="16" t="inlineStr">
        <is>
          <t>Motor protection relay</t>
        </is>
      </c>
      <c r="F58" s="16" t="inlineStr">
        <is>
          <t>Reciprocating compressor</t>
        </is>
      </c>
      <c r="G58" s="16" t="inlineStr">
        <is>
          <t>ERO – Erratic output / surge</t>
        </is>
      </c>
      <c r="I58" s="16" t="inlineStr">
        <is>
          <t>Design deficiency</t>
        </is>
      </c>
    </row>
    <row r="59">
      <c r="C59" s="16" t="inlineStr">
        <is>
          <t>Gearbox</t>
        </is>
      </c>
      <c r="D59" s="16" t="inlineStr">
        <is>
          <t>Gears</t>
        </is>
      </c>
      <c r="F59" s="16" t="inlineStr">
        <is>
          <t>Reciprocating compressor</t>
        </is>
      </c>
      <c r="G59" s="16" t="inlineStr">
        <is>
          <t>ELP – External leakage – process medium</t>
        </is>
      </c>
      <c r="I59" s="16" t="inlineStr">
        <is>
          <t>Material / fabrication defect</t>
        </is>
      </c>
    </row>
    <row r="60">
      <c r="C60" s="16" t="inlineStr">
        <is>
          <t>Gearbox</t>
        </is>
      </c>
      <c r="D60" s="16" t="inlineStr">
        <is>
          <t>Shafts</t>
        </is>
      </c>
      <c r="F60" s="16" t="inlineStr">
        <is>
          <t>Reciprocating compressor</t>
        </is>
      </c>
      <c r="G60" s="16" t="inlineStr">
        <is>
          <t>ELU – External leakage – utility medium</t>
        </is>
      </c>
      <c r="I60" s="16" t="inlineStr">
        <is>
          <t>Installation error</t>
        </is>
      </c>
    </row>
    <row r="61">
      <c r="C61" s="16" t="inlineStr">
        <is>
          <t>Gearbox</t>
        </is>
      </c>
      <c r="D61" s="16" t="inlineStr">
        <is>
          <t>Bearings</t>
        </is>
      </c>
      <c r="F61" s="16" t="inlineStr">
        <is>
          <t>Reciprocating compressor</t>
        </is>
      </c>
      <c r="G61" s="16" t="inlineStr">
        <is>
          <t>INL – Internal leakage</t>
        </is>
      </c>
      <c r="I61" s="16" t="inlineStr">
        <is>
          <t>Ageing / end of life</t>
        </is>
      </c>
    </row>
    <row r="62">
      <c r="C62" s="16" t="inlineStr">
        <is>
          <t>Gearbox</t>
        </is>
      </c>
      <c r="D62" s="16" t="inlineStr">
        <is>
          <t>Seals</t>
        </is>
      </c>
      <c r="F62" s="16" t="inlineStr">
        <is>
          <t>Reciprocating compressor</t>
        </is>
      </c>
      <c r="G62" s="16" t="inlineStr">
        <is>
          <t>VIB – Vibration</t>
        </is>
      </c>
      <c r="I62" s="16" t="inlineStr">
        <is>
          <t>Inadequate inspection / maintenance interval</t>
        </is>
      </c>
    </row>
    <row r="63">
      <c r="C63" s="16" t="inlineStr">
        <is>
          <t>Gearbox</t>
        </is>
      </c>
      <c r="D63" s="16" t="inlineStr">
        <is>
          <t>Lubrication system</t>
        </is>
      </c>
      <c r="F63" s="16" t="inlineStr">
        <is>
          <t>Reciprocating compressor</t>
        </is>
      </c>
      <c r="G63" s="16" t="inlineStr">
        <is>
          <t>NOI – Noise</t>
        </is>
      </c>
    </row>
    <row r="64">
      <c r="C64" s="16" t="inlineStr">
        <is>
          <t>Gearbox</t>
        </is>
      </c>
      <c r="D64" s="16" t="inlineStr">
        <is>
          <t>Casing</t>
        </is>
      </c>
      <c r="F64" s="16" t="inlineStr">
        <is>
          <t>Reciprocating compressor</t>
        </is>
      </c>
      <c r="G64" s="16" t="inlineStr">
        <is>
          <t>OHE – Overheating</t>
        </is>
      </c>
    </row>
    <row r="65">
      <c r="C65" s="16" t="inlineStr">
        <is>
          <t>Gearbox</t>
        </is>
      </c>
      <c r="D65" s="16" t="inlineStr">
        <is>
          <t>Couplings</t>
        </is>
      </c>
      <c r="F65" s="16" t="inlineStr">
        <is>
          <t>Reciprocating compressor</t>
        </is>
      </c>
      <c r="G65" s="16" t="inlineStr">
        <is>
          <t>PDE – Parameter deviation</t>
        </is>
      </c>
    </row>
    <row r="66">
      <c r="C66" s="16" t="inlineStr">
        <is>
          <t>Belt conveyor</t>
        </is>
      </c>
      <c r="D66" s="16" t="inlineStr">
        <is>
          <t>Belt</t>
        </is>
      </c>
      <c r="F66" s="16" t="inlineStr">
        <is>
          <t>Reciprocating compressor</t>
        </is>
      </c>
      <c r="G66" s="16" t="inlineStr">
        <is>
          <t>OTH – Other</t>
        </is>
      </c>
    </row>
    <row r="67">
      <c r="C67" s="16" t="inlineStr">
        <is>
          <t>Belt conveyor</t>
        </is>
      </c>
      <c r="D67" s="16" t="inlineStr">
        <is>
          <t>Belt splice</t>
        </is>
      </c>
      <c r="F67" s="16" t="inlineStr">
        <is>
          <t>Fan / blower (incl. ID fan)</t>
        </is>
      </c>
      <c r="G67" s="16" t="inlineStr">
        <is>
          <t>FTS – Fail to start on demand</t>
        </is>
      </c>
    </row>
    <row r="68">
      <c r="C68" s="16" t="inlineStr">
        <is>
          <t>Belt conveyor</t>
        </is>
      </c>
      <c r="D68" s="16" t="inlineStr">
        <is>
          <t>Drive pulley</t>
        </is>
      </c>
      <c r="F68" s="16" t="inlineStr">
        <is>
          <t>Fan / blower (incl. ID fan)</t>
        </is>
      </c>
      <c r="G68" s="16" t="inlineStr">
        <is>
          <t>STP – Fail to stop on demand</t>
        </is>
      </c>
    </row>
    <row r="69">
      <c r="C69" s="16" t="inlineStr">
        <is>
          <t>Belt conveyor</t>
        </is>
      </c>
      <c r="D69" s="16" t="inlineStr">
        <is>
          <t>Tail pulley</t>
        </is>
      </c>
      <c r="F69" s="16" t="inlineStr">
        <is>
          <t>Fan / blower (incl. ID fan)</t>
        </is>
      </c>
      <c r="G69" s="16" t="inlineStr">
        <is>
          <t>UST – Spurious stop</t>
        </is>
      </c>
    </row>
    <row r="70">
      <c r="C70" s="16" t="inlineStr">
        <is>
          <t>Belt conveyor</t>
        </is>
      </c>
      <c r="D70" s="16" t="inlineStr">
        <is>
          <t>Idlers</t>
        </is>
      </c>
      <c r="F70" s="16" t="inlineStr">
        <is>
          <t>Fan / blower (incl. ID fan)</t>
        </is>
      </c>
      <c r="G70" s="16" t="inlineStr">
        <is>
          <t>BRD – Breakdown</t>
        </is>
      </c>
    </row>
    <row r="71">
      <c r="C71" s="16" t="inlineStr">
        <is>
          <t>Belt conveyor</t>
        </is>
      </c>
      <c r="D71" s="16" t="inlineStr">
        <is>
          <t>Drive (motor / gearbox)</t>
        </is>
      </c>
      <c r="F71" s="16" t="inlineStr">
        <is>
          <t>Fan / blower (incl. ID fan)</t>
        </is>
      </c>
      <c r="G71" s="16" t="inlineStr">
        <is>
          <t>LOO – Low output</t>
        </is>
      </c>
    </row>
    <row r="72">
      <c r="C72" s="16" t="inlineStr">
        <is>
          <t>Belt conveyor</t>
        </is>
      </c>
      <c r="D72" s="16" t="inlineStr">
        <is>
          <t>Take-up</t>
        </is>
      </c>
      <c r="F72" s="16" t="inlineStr">
        <is>
          <t>Fan / blower (incl. ID fan)</t>
        </is>
      </c>
      <c r="G72" s="16" t="inlineStr">
        <is>
          <t>VIB – Vibration</t>
        </is>
      </c>
    </row>
    <row r="73">
      <c r="C73" s="16" t="inlineStr">
        <is>
          <t>Belt conveyor</t>
        </is>
      </c>
      <c r="D73" s="16" t="inlineStr">
        <is>
          <t>Belt scrapers</t>
        </is>
      </c>
      <c r="F73" s="16" t="inlineStr">
        <is>
          <t>Fan / blower (incl. ID fan)</t>
        </is>
      </c>
      <c r="G73" s="16" t="inlineStr">
        <is>
          <t>NOI – Noise</t>
        </is>
      </c>
    </row>
    <row r="74">
      <c r="C74" s="16" t="inlineStr">
        <is>
          <t>Belt conveyor</t>
        </is>
      </c>
      <c r="D74" s="16" t="inlineStr">
        <is>
          <t>Chutes</t>
        </is>
      </c>
      <c r="F74" s="16" t="inlineStr">
        <is>
          <t>Fan / blower (incl. ID fan)</t>
        </is>
      </c>
      <c r="G74" s="16" t="inlineStr">
        <is>
          <t>OHE – Overheating</t>
        </is>
      </c>
    </row>
    <row r="75">
      <c r="C75" s="16" t="inlineStr">
        <is>
          <t>Belt conveyor</t>
        </is>
      </c>
      <c r="D75" s="16" t="inlineStr">
        <is>
          <t>Pull-wire / belt-sway switches</t>
        </is>
      </c>
      <c r="F75" s="16" t="inlineStr">
        <is>
          <t>Fan / blower (incl. ID fan)</t>
        </is>
      </c>
      <c r="G75" s="16" t="inlineStr">
        <is>
          <t>STD – Structural deficiency</t>
        </is>
      </c>
    </row>
    <row r="76">
      <c r="C76" s="16" t="inlineStr">
        <is>
          <t>Belt conveyor</t>
        </is>
      </c>
      <c r="D76" s="16" t="inlineStr">
        <is>
          <t>Fire detection</t>
        </is>
      </c>
      <c r="F76" s="16" t="inlineStr">
        <is>
          <t>Fan / blower (incl. ID fan)</t>
        </is>
      </c>
      <c r="G76" s="16" t="inlineStr">
        <is>
          <t>PLU – Plugged / dust build-up</t>
        </is>
      </c>
    </row>
    <row r="77">
      <c r="C77" s="16" t="inlineStr">
        <is>
          <t>Pressure vessel / separator / column</t>
        </is>
      </c>
      <c r="D77" s="16" t="inlineStr">
        <is>
          <t>Shell</t>
        </is>
      </c>
      <c r="F77" s="16" t="inlineStr">
        <is>
          <t>Fan / blower (incl. ID fan)</t>
        </is>
      </c>
      <c r="G77" s="16" t="inlineStr">
        <is>
          <t>OTH – Other</t>
        </is>
      </c>
    </row>
    <row r="78">
      <c r="C78" s="16" t="inlineStr">
        <is>
          <t>Pressure vessel / separator / column</t>
        </is>
      </c>
      <c r="D78" s="16" t="inlineStr">
        <is>
          <t>Heads</t>
        </is>
      </c>
      <c r="F78" s="16" t="inlineStr">
        <is>
          <t>Electric motor</t>
        </is>
      </c>
      <c r="G78" s="16" t="inlineStr">
        <is>
          <t>FTS – Fail to start on demand</t>
        </is>
      </c>
    </row>
    <row r="79">
      <c r="C79" s="16" t="inlineStr">
        <is>
          <t>Pressure vessel / separator / column</t>
        </is>
      </c>
      <c r="D79" s="16" t="inlineStr">
        <is>
          <t>Nozzles</t>
        </is>
      </c>
      <c r="F79" s="16" t="inlineStr">
        <is>
          <t>Electric motor</t>
        </is>
      </c>
      <c r="G79" s="16" t="inlineStr">
        <is>
          <t>STP – Fail to stop on demand</t>
        </is>
      </c>
    </row>
    <row r="80">
      <c r="C80" s="16" t="inlineStr">
        <is>
          <t>Pressure vessel / separator / column</t>
        </is>
      </c>
      <c r="D80" s="16" t="inlineStr">
        <is>
          <t>Internals</t>
        </is>
      </c>
      <c r="F80" s="16" t="inlineStr">
        <is>
          <t>Electric motor</t>
        </is>
      </c>
      <c r="G80" s="16" t="inlineStr">
        <is>
          <t>UST – Spurious stop</t>
        </is>
      </c>
    </row>
    <row r="81">
      <c r="C81" s="16" t="inlineStr">
        <is>
          <t>Pressure vessel / separator / column</t>
        </is>
      </c>
      <c r="D81" s="16" t="inlineStr">
        <is>
          <t>Supports / skirt</t>
        </is>
      </c>
      <c r="F81" s="16" t="inlineStr">
        <is>
          <t>Electric motor</t>
        </is>
      </c>
      <c r="G81" s="16" t="inlineStr">
        <is>
          <t>BRD – Breakdown</t>
        </is>
      </c>
    </row>
    <row r="82">
      <c r="C82" s="16" t="inlineStr">
        <is>
          <t>Pressure vessel / separator / column</t>
        </is>
      </c>
      <c r="D82" s="16" t="inlineStr">
        <is>
          <t>Insulation</t>
        </is>
      </c>
      <c r="F82" s="16" t="inlineStr">
        <is>
          <t>Electric motor</t>
        </is>
      </c>
      <c r="G82" s="16" t="inlineStr">
        <is>
          <t>OHE – Overheating</t>
        </is>
      </c>
    </row>
    <row r="83">
      <c r="C83" s="16" t="inlineStr">
        <is>
          <t>Pressure vessel / separator / column</t>
        </is>
      </c>
      <c r="D83" s="16" t="inlineStr">
        <is>
          <t>Level instruments</t>
        </is>
      </c>
      <c r="F83" s="16" t="inlineStr">
        <is>
          <t>Electric motor</t>
        </is>
      </c>
      <c r="G83" s="16" t="inlineStr">
        <is>
          <t>VIB – Vibration</t>
        </is>
      </c>
    </row>
    <row r="84">
      <c r="C84" s="16" t="inlineStr">
        <is>
          <t>Pressure vessel / separator / column</t>
        </is>
      </c>
      <c r="D84" s="16" t="inlineStr">
        <is>
          <t>Relief device</t>
        </is>
      </c>
      <c r="F84" s="16" t="inlineStr">
        <is>
          <t>Electric motor</t>
        </is>
      </c>
      <c r="G84" s="16" t="inlineStr">
        <is>
          <t>NOI – Noise</t>
        </is>
      </c>
    </row>
    <row r="85">
      <c r="C85" s="16" t="inlineStr">
        <is>
          <t>Pressure vessel / separator / column</t>
        </is>
      </c>
      <c r="D85" s="16" t="inlineStr">
        <is>
          <t>Manway</t>
        </is>
      </c>
      <c r="F85" s="16" t="inlineStr">
        <is>
          <t>Electric motor</t>
        </is>
      </c>
      <c r="G85" s="16" t="inlineStr">
        <is>
          <t>PDE – Parameter deviation (high current)</t>
        </is>
      </c>
    </row>
    <row r="86">
      <c r="C86" s="16" t="inlineStr">
        <is>
          <t>Shell &amp; tube heat exchanger</t>
        </is>
      </c>
      <c r="D86" s="16" t="inlineStr">
        <is>
          <t>Tubes</t>
        </is>
      </c>
      <c r="F86" s="16" t="inlineStr">
        <is>
          <t>Electric motor</t>
        </is>
      </c>
      <c r="G86" s="16" t="inlineStr">
        <is>
          <t>SER – Minor in-service problem</t>
        </is>
      </c>
    </row>
    <row r="87">
      <c r="C87" s="16" t="inlineStr">
        <is>
          <t>Shell &amp; tube heat exchanger</t>
        </is>
      </c>
      <c r="D87" s="16" t="inlineStr">
        <is>
          <t>Tube sheet</t>
        </is>
      </c>
      <c r="F87" s="16" t="inlineStr">
        <is>
          <t>Electric motor</t>
        </is>
      </c>
      <c r="G87" s="16" t="inlineStr">
        <is>
          <t>OTH – Other</t>
        </is>
      </c>
    </row>
    <row r="88">
      <c r="C88" s="16" t="inlineStr">
        <is>
          <t>Shell &amp; tube heat exchanger</t>
        </is>
      </c>
      <c r="D88" s="16" t="inlineStr">
        <is>
          <t>Shell</t>
        </is>
      </c>
      <c r="F88" s="16" t="inlineStr">
        <is>
          <t>Gearbox</t>
        </is>
      </c>
      <c r="G88" s="16" t="inlineStr">
        <is>
          <t>BRD – Breakdown</t>
        </is>
      </c>
    </row>
    <row r="89">
      <c r="C89" s="16" t="inlineStr">
        <is>
          <t>Shell &amp; tube heat exchanger</t>
        </is>
      </c>
      <c r="D89" s="16" t="inlineStr">
        <is>
          <t>Channel / heads</t>
        </is>
      </c>
      <c r="F89" s="16" t="inlineStr">
        <is>
          <t>Gearbox</t>
        </is>
      </c>
      <c r="G89" s="16" t="inlineStr">
        <is>
          <t>VIB – Vibration</t>
        </is>
      </c>
    </row>
    <row r="90">
      <c r="C90" s="16" t="inlineStr">
        <is>
          <t>Shell &amp; tube heat exchanger</t>
        </is>
      </c>
      <c r="D90" s="16" t="inlineStr">
        <is>
          <t>Gaskets</t>
        </is>
      </c>
      <c r="F90" s="16" t="inlineStr">
        <is>
          <t>Gearbox</t>
        </is>
      </c>
      <c r="G90" s="16" t="inlineStr">
        <is>
          <t>NOI – Noise</t>
        </is>
      </c>
    </row>
    <row r="91">
      <c r="C91" s="16" t="inlineStr">
        <is>
          <t>Shell &amp; tube heat exchanger</t>
        </is>
      </c>
      <c r="D91" s="16" t="inlineStr">
        <is>
          <t>Baffles</t>
        </is>
      </c>
      <c r="F91" s="16" t="inlineStr">
        <is>
          <t>Gearbox</t>
        </is>
      </c>
      <c r="G91" s="16" t="inlineStr">
        <is>
          <t>OHE – Overheating</t>
        </is>
      </c>
    </row>
    <row r="92">
      <c r="C92" s="16" t="inlineStr">
        <is>
          <t>Shell &amp; tube heat exchanger</t>
        </is>
      </c>
      <c r="D92" s="16" t="inlineStr">
        <is>
          <t>Supports</t>
        </is>
      </c>
      <c r="F92" s="16" t="inlineStr">
        <is>
          <t>Gearbox</t>
        </is>
      </c>
      <c r="G92" s="16" t="inlineStr">
        <is>
          <t>ELU – External leakage – lube oil</t>
        </is>
      </c>
    </row>
    <row r="93">
      <c r="C93" s="16" t="inlineStr">
        <is>
          <t>Atmospheric storage tank</t>
        </is>
      </c>
      <c r="D93" s="16" t="inlineStr">
        <is>
          <t>Shell</t>
        </is>
      </c>
      <c r="F93" s="16" t="inlineStr">
        <is>
          <t>Gearbox</t>
        </is>
      </c>
      <c r="G93" s="16" t="inlineStr">
        <is>
          <t>PDE – Parameter deviation</t>
        </is>
      </c>
    </row>
    <row r="94">
      <c r="C94" s="16" t="inlineStr">
        <is>
          <t>Atmospheric storage tank</t>
        </is>
      </c>
      <c r="D94" s="16" t="inlineStr">
        <is>
          <t>Bottom</t>
        </is>
      </c>
      <c r="F94" s="16" t="inlineStr">
        <is>
          <t>Gearbox</t>
        </is>
      </c>
      <c r="G94" s="16" t="inlineStr">
        <is>
          <t>STD – Structural deficiency</t>
        </is>
      </c>
    </row>
    <row r="95">
      <c r="C95" s="16" t="inlineStr">
        <is>
          <t>Atmospheric storage tank</t>
        </is>
      </c>
      <c r="D95" s="16" t="inlineStr">
        <is>
          <t>Roof</t>
        </is>
      </c>
      <c r="F95" s="16" t="inlineStr">
        <is>
          <t>Gearbox</t>
        </is>
      </c>
      <c r="G95" s="16" t="inlineStr">
        <is>
          <t>OTH – Other</t>
        </is>
      </c>
    </row>
    <row r="96">
      <c r="C96" s="16" t="inlineStr">
        <is>
          <t>Atmospheric storage tank</t>
        </is>
      </c>
      <c r="D96" s="16" t="inlineStr">
        <is>
          <t>Vents / PV valves</t>
        </is>
      </c>
      <c r="F96" s="16" t="inlineStr">
        <is>
          <t>Belt conveyor</t>
        </is>
      </c>
      <c r="G96" s="16" t="inlineStr">
        <is>
          <t>FTS – Fail to start on demand</t>
        </is>
      </c>
    </row>
    <row r="97">
      <c r="C97" s="16" t="inlineStr">
        <is>
          <t>Atmospheric storage tank</t>
        </is>
      </c>
      <c r="D97" s="16" t="inlineStr">
        <is>
          <t>Level gauges and alarms</t>
        </is>
      </c>
      <c r="F97" s="16" t="inlineStr">
        <is>
          <t>Belt conveyor</t>
        </is>
      </c>
      <c r="G97" s="16" t="inlineStr">
        <is>
          <t>UST – Spurious stop</t>
        </is>
      </c>
    </row>
    <row r="98">
      <c r="C98" s="16" t="inlineStr">
        <is>
          <t>Atmospheric storage tank</t>
        </is>
      </c>
      <c r="D98" s="16" t="inlineStr">
        <is>
          <t>Bund</t>
        </is>
      </c>
      <c r="F98" s="16" t="inlineStr">
        <is>
          <t>Belt conveyor</t>
        </is>
      </c>
      <c r="G98" s="16" t="inlineStr">
        <is>
          <t>BRD – Breakdown</t>
        </is>
      </c>
    </row>
    <row r="99">
      <c r="C99" s="16" t="inlineStr">
        <is>
          <t>Atmospheric storage tank</t>
        </is>
      </c>
      <c r="D99" s="16" t="inlineStr">
        <is>
          <t>Nozzles</t>
        </is>
      </c>
      <c r="F99" s="16" t="inlineStr">
        <is>
          <t>Belt conveyor</t>
        </is>
      </c>
      <c r="G99" s="16" t="inlineStr">
        <is>
          <t>STD – Belt tear / damage</t>
        </is>
      </c>
    </row>
    <row r="100">
      <c r="C100" s="16" t="inlineStr">
        <is>
          <t>Atmospheric storage tank</t>
        </is>
      </c>
      <c r="D100" s="16" t="inlineStr">
        <is>
          <t>Heating coils</t>
        </is>
      </c>
      <c r="F100" s="16" t="inlineStr">
        <is>
          <t>Belt conveyor</t>
        </is>
      </c>
      <c r="G100" s="16" t="inlineStr">
        <is>
          <t>PDE – Belt mistracking / misalignment</t>
        </is>
      </c>
    </row>
    <row r="101">
      <c r="C101" s="16" t="inlineStr">
        <is>
          <t>Atmospheric storage tank</t>
        </is>
      </c>
      <c r="D101" s="16" t="inlineStr">
        <is>
          <t>Foundation</t>
        </is>
      </c>
      <c r="F101" s="16" t="inlineStr">
        <is>
          <t>Belt conveyor</t>
        </is>
      </c>
      <c r="G101" s="16" t="inlineStr">
        <is>
          <t>SLP – Belt slippage</t>
        </is>
      </c>
    </row>
    <row r="102">
      <c r="C102" s="16" t="inlineStr">
        <is>
          <t>Piping, flanges &amp; hoses</t>
        </is>
      </c>
      <c r="D102" s="16" t="inlineStr">
        <is>
          <t>Pipe</t>
        </is>
      </c>
      <c r="F102" s="16" t="inlineStr">
        <is>
          <t>Belt conveyor</t>
        </is>
      </c>
      <c r="G102" s="16" t="inlineStr">
        <is>
          <t>PLU – Chute blockage</t>
        </is>
      </c>
    </row>
    <row r="103">
      <c r="C103" s="16" t="inlineStr">
        <is>
          <t>Piping, flanges &amp; hoses</t>
        </is>
      </c>
      <c r="D103" s="16" t="inlineStr">
        <is>
          <t>Flanges and gaskets</t>
        </is>
      </c>
      <c r="F103" s="16" t="inlineStr">
        <is>
          <t>Belt conveyor</t>
        </is>
      </c>
      <c r="G103" s="16" t="inlineStr">
        <is>
          <t>OHE – Overheating / belt fire</t>
        </is>
      </c>
    </row>
    <row r="104">
      <c r="C104" s="16" t="inlineStr">
        <is>
          <t>Piping, flanges &amp; hoses</t>
        </is>
      </c>
      <c r="D104" s="16" t="inlineStr">
        <is>
          <t>Fittings</t>
        </is>
      </c>
      <c r="F104" s="16" t="inlineStr">
        <is>
          <t>Belt conveyor</t>
        </is>
      </c>
      <c r="G104" s="16" t="inlineStr">
        <is>
          <t>OTH – Spillage</t>
        </is>
      </c>
    </row>
    <row r="105">
      <c r="C105" s="16" t="inlineStr">
        <is>
          <t>Piping, flanges &amp; hoses</t>
        </is>
      </c>
      <c r="D105" s="16" t="inlineStr">
        <is>
          <t>Supports</t>
        </is>
      </c>
      <c r="F105" s="16" t="inlineStr">
        <is>
          <t>Belt conveyor</t>
        </is>
      </c>
      <c r="G105" s="16" t="inlineStr">
        <is>
          <t>VIB – Vibration</t>
        </is>
      </c>
    </row>
    <row r="106">
      <c r="C106" s="16" t="inlineStr">
        <is>
          <t>Piping, flanges &amp; hoses</t>
        </is>
      </c>
      <c r="D106" s="16" t="inlineStr">
        <is>
          <t>Expansion joints / bellows</t>
        </is>
      </c>
      <c r="F106" s="16" t="inlineStr">
        <is>
          <t>Belt conveyor</t>
        </is>
      </c>
      <c r="G106" s="16" t="inlineStr">
        <is>
          <t>NOI – Noise</t>
        </is>
      </c>
    </row>
    <row r="107">
      <c r="C107" s="16" t="inlineStr">
        <is>
          <t>Piping, flanges &amp; hoses</t>
        </is>
      </c>
      <c r="D107" s="16" t="inlineStr">
        <is>
          <t>Hoses</t>
        </is>
      </c>
      <c r="F107" s="16" t="inlineStr">
        <is>
          <t>Pressure vessel / separator / column</t>
        </is>
      </c>
      <c r="G107" s="16" t="inlineStr">
        <is>
          <t>ELP – External leakage – process medium</t>
        </is>
      </c>
    </row>
    <row r="108">
      <c r="C108" s="16" t="inlineStr">
        <is>
          <t>Piping, flanges &amp; hoses</t>
        </is>
      </c>
      <c r="D108" s="16" t="inlineStr">
        <is>
          <t>Insulation / tracing</t>
        </is>
      </c>
      <c r="F108" s="16" t="inlineStr">
        <is>
          <t>Pressure vessel / separator / column</t>
        </is>
      </c>
      <c r="G108" s="16" t="inlineStr">
        <is>
          <t>INL – Internal failure (internals)</t>
        </is>
      </c>
    </row>
    <row r="109">
      <c r="C109" s="16" t="inlineStr">
        <is>
          <t>Control valve</t>
        </is>
      </c>
      <c r="D109" s="16" t="inlineStr">
        <is>
          <t>Body</t>
        </is>
      </c>
      <c r="F109" s="16" t="inlineStr">
        <is>
          <t>Pressure vessel / separator / column</t>
        </is>
      </c>
      <c r="G109" s="16" t="inlineStr">
        <is>
          <t>STD – Structural deficiency</t>
        </is>
      </c>
    </row>
    <row r="110">
      <c r="C110" s="16" t="inlineStr">
        <is>
          <t>Control valve</t>
        </is>
      </c>
      <c r="D110" s="16" t="inlineStr">
        <is>
          <t>Trim (plug / seat)</t>
        </is>
      </c>
      <c r="F110" s="16" t="inlineStr">
        <is>
          <t>Pressure vessel / separator / column</t>
        </is>
      </c>
      <c r="G110" s="16" t="inlineStr">
        <is>
          <t>PLU – Plugged / fouled</t>
        </is>
      </c>
    </row>
    <row r="111">
      <c r="C111" s="16" t="inlineStr">
        <is>
          <t>Control valve</t>
        </is>
      </c>
      <c r="D111" s="16" t="inlineStr">
        <is>
          <t>Stem and packing</t>
        </is>
      </c>
      <c r="F111" s="16" t="inlineStr">
        <is>
          <t>Pressure vessel / separator / column</t>
        </is>
      </c>
      <c r="G111" s="16" t="inlineStr">
        <is>
          <t>PDE – Parameter deviation (level / pressure)</t>
        </is>
      </c>
    </row>
    <row r="112">
      <c r="C112" s="16" t="inlineStr">
        <is>
          <t>Control valve</t>
        </is>
      </c>
      <c r="D112" s="16" t="inlineStr">
        <is>
          <t>Actuator</t>
        </is>
      </c>
      <c r="F112" s="16" t="inlineStr">
        <is>
          <t>Pressure vessel / separator / column</t>
        </is>
      </c>
      <c r="G112" s="16" t="inlineStr">
        <is>
          <t>AIR – Abnormal instrument reading</t>
        </is>
      </c>
    </row>
    <row r="113">
      <c r="C113" s="16" t="inlineStr">
        <is>
          <t>Control valve</t>
        </is>
      </c>
      <c r="D113" s="16" t="inlineStr">
        <is>
          <t>Positioner</t>
        </is>
      </c>
      <c r="F113" s="16" t="inlineStr">
        <is>
          <t>Pressure vessel / separator / column</t>
        </is>
      </c>
      <c r="G113" s="16" t="inlineStr">
        <is>
          <t>OTH – Other</t>
        </is>
      </c>
    </row>
    <row r="114">
      <c r="C114" s="16" t="inlineStr">
        <is>
          <t>Control valve</t>
        </is>
      </c>
      <c r="D114" s="16" t="inlineStr">
        <is>
          <t>Solenoid valve</t>
        </is>
      </c>
      <c r="F114" s="16" t="inlineStr">
        <is>
          <t>Shell &amp; tube heat exchanger</t>
        </is>
      </c>
      <c r="G114" s="16" t="inlineStr">
        <is>
          <t>ELP – External leakage – process medium</t>
        </is>
      </c>
    </row>
    <row r="115">
      <c r="C115" s="16" t="inlineStr">
        <is>
          <t>Control valve</t>
        </is>
      </c>
      <c r="D115" s="16" t="inlineStr">
        <is>
          <t>Air supply</t>
        </is>
      </c>
      <c r="F115" s="16" t="inlineStr">
        <is>
          <t>Shell &amp; tube heat exchanger</t>
        </is>
      </c>
      <c r="G115" s="16" t="inlineStr">
        <is>
          <t>ELU – External leakage – utility medium</t>
        </is>
      </c>
    </row>
    <row r="116">
      <c r="C116" s="16" t="inlineStr">
        <is>
          <t>Control valve</t>
        </is>
      </c>
      <c r="D116" s="16" t="inlineStr">
        <is>
          <t>Limit switches</t>
        </is>
      </c>
      <c r="F116" s="16" t="inlineStr">
        <is>
          <t>Shell &amp; tube heat exchanger</t>
        </is>
      </c>
      <c r="G116" s="16" t="inlineStr">
        <is>
          <t>INL – Internal leakage (tube leak)</t>
        </is>
      </c>
    </row>
    <row r="117">
      <c r="C117" s="16" t="inlineStr">
        <is>
          <t>Isolation / ESD valve</t>
        </is>
      </c>
      <c r="D117" s="16" t="inlineStr">
        <is>
          <t>Body</t>
        </is>
      </c>
      <c r="F117" s="16" t="inlineStr">
        <is>
          <t>Shell &amp; tube heat exchanger</t>
        </is>
      </c>
      <c r="G117" s="16" t="inlineStr">
        <is>
          <t>PLU – Plugged / fouled</t>
        </is>
      </c>
    </row>
    <row r="118">
      <c r="C118" s="16" t="inlineStr">
        <is>
          <t>Isolation / ESD valve</t>
        </is>
      </c>
      <c r="D118" s="16" t="inlineStr">
        <is>
          <t>Ball / gate / disc</t>
        </is>
      </c>
      <c r="F118" s="16" t="inlineStr">
        <is>
          <t>Shell &amp; tube heat exchanger</t>
        </is>
      </c>
      <c r="G118" s="16" t="inlineStr">
        <is>
          <t>PDE – Reduced heat transfer</t>
        </is>
      </c>
    </row>
    <row r="119">
      <c r="C119" s="16" t="inlineStr">
        <is>
          <t>Isolation / ESD valve</t>
        </is>
      </c>
      <c r="D119" s="16" t="inlineStr">
        <is>
          <t>Seats</t>
        </is>
      </c>
      <c r="F119" s="16" t="inlineStr">
        <is>
          <t>Shell &amp; tube heat exchanger</t>
        </is>
      </c>
      <c r="G119" s="16" t="inlineStr">
        <is>
          <t>STD – Structural deficiency</t>
        </is>
      </c>
    </row>
    <row r="120">
      <c r="C120" s="16" t="inlineStr">
        <is>
          <t>Isolation / ESD valve</t>
        </is>
      </c>
      <c r="D120" s="16" t="inlineStr">
        <is>
          <t>Stem and packing</t>
        </is>
      </c>
      <c r="F120" s="16" t="inlineStr">
        <is>
          <t>Shell &amp; tube heat exchanger</t>
        </is>
      </c>
      <c r="G120" s="16" t="inlineStr">
        <is>
          <t>OTH – Other</t>
        </is>
      </c>
    </row>
    <row r="121">
      <c r="C121" s="16" t="inlineStr">
        <is>
          <t>Isolation / ESD valve</t>
        </is>
      </c>
      <c r="D121" s="16" t="inlineStr">
        <is>
          <t>Actuator</t>
        </is>
      </c>
      <c r="F121" s="16" t="inlineStr">
        <is>
          <t>Atmospheric storage tank</t>
        </is>
      </c>
      <c r="G121" s="16" t="inlineStr">
        <is>
          <t>ELP – External leakage – process medium</t>
        </is>
      </c>
    </row>
    <row r="122">
      <c r="C122" s="16" t="inlineStr">
        <is>
          <t>Isolation / ESD valve</t>
        </is>
      </c>
      <c r="D122" s="16" t="inlineStr">
        <is>
          <t>Solenoid valve</t>
        </is>
      </c>
      <c r="F122" s="16" t="inlineStr">
        <is>
          <t>Atmospheric storage tank</t>
        </is>
      </c>
      <c r="G122" s="16" t="inlineStr">
        <is>
          <t>STD – Structural deficiency</t>
        </is>
      </c>
    </row>
    <row r="123">
      <c r="C123" s="16" t="inlineStr">
        <is>
          <t>Isolation / ESD valve</t>
        </is>
      </c>
      <c r="D123" s="16" t="inlineStr">
        <is>
          <t>Limit switches</t>
        </is>
      </c>
      <c r="F123" s="16" t="inlineStr">
        <is>
          <t>Atmospheric storage tank</t>
        </is>
      </c>
      <c r="G123" s="16" t="inlineStr">
        <is>
          <t>PDE – Overfill</t>
        </is>
      </c>
    </row>
    <row r="124">
      <c r="C124" s="16" t="inlineStr">
        <is>
          <t>Isolation / ESD valve</t>
        </is>
      </c>
      <c r="D124" s="16" t="inlineStr">
        <is>
          <t>Handwheel / gearbox</t>
        </is>
      </c>
      <c r="F124" s="16" t="inlineStr">
        <is>
          <t>Atmospheric storage tank</t>
        </is>
      </c>
      <c r="G124" s="16" t="inlineStr">
        <is>
          <t>STD – Vacuum / pressure collapse</t>
        </is>
      </c>
    </row>
    <row r="125">
      <c r="C125" s="16" t="inlineStr">
        <is>
          <t>Pressure relief device (PSV / rupture disc)</t>
        </is>
      </c>
      <c r="D125" s="16" t="inlineStr">
        <is>
          <t>Body</t>
        </is>
      </c>
      <c r="F125" s="16" t="inlineStr">
        <is>
          <t>Atmospheric storage tank</t>
        </is>
      </c>
      <c r="G125" s="16" t="inlineStr">
        <is>
          <t>PLU – Vent blocked</t>
        </is>
      </c>
    </row>
    <row r="126">
      <c r="C126" s="16" t="inlineStr">
        <is>
          <t>Pressure relief device (PSV / rupture disc)</t>
        </is>
      </c>
      <c r="D126" s="16" t="inlineStr">
        <is>
          <t>Nozzle and disc</t>
        </is>
      </c>
      <c r="F126" s="16" t="inlineStr">
        <is>
          <t>Atmospheric storage tank</t>
        </is>
      </c>
      <c r="G126" s="16" t="inlineStr">
        <is>
          <t>AIR – Abnormal level reading</t>
        </is>
      </c>
    </row>
    <row r="127">
      <c r="C127" s="16" t="inlineStr">
        <is>
          <t>Pressure relief device (PSV / rupture disc)</t>
        </is>
      </c>
      <c r="D127" s="16" t="inlineStr">
        <is>
          <t>Spring</t>
        </is>
      </c>
      <c r="F127" s="16" t="inlineStr">
        <is>
          <t>Atmospheric storage tank</t>
        </is>
      </c>
      <c r="G127" s="16" t="inlineStr">
        <is>
          <t>OTH – Other</t>
        </is>
      </c>
    </row>
    <row r="128">
      <c r="C128" s="16" t="inlineStr">
        <is>
          <t>Pressure relief device (PSV / rupture disc)</t>
        </is>
      </c>
      <c r="D128" s="16" t="inlineStr">
        <is>
          <t>Bellows</t>
        </is>
      </c>
      <c r="F128" s="16" t="inlineStr">
        <is>
          <t>Piping, flanges &amp; hoses</t>
        </is>
      </c>
      <c r="G128" s="16" t="inlineStr">
        <is>
          <t>ELP – External leakage – process medium</t>
        </is>
      </c>
    </row>
    <row r="129">
      <c r="C129" s="16" t="inlineStr">
        <is>
          <t>Pressure relief device (PSV / rupture disc)</t>
        </is>
      </c>
      <c r="D129" s="16" t="inlineStr">
        <is>
          <t>Inlet / outlet piping</t>
        </is>
      </c>
      <c r="F129" s="16" t="inlineStr">
        <is>
          <t>Piping, flanges &amp; hoses</t>
        </is>
      </c>
      <c r="G129" s="16" t="inlineStr">
        <is>
          <t>PLU – Plugged / choked</t>
        </is>
      </c>
    </row>
    <row r="130">
      <c r="C130" s="16" t="inlineStr">
        <is>
          <t>Pressure relief device (PSV / rupture disc)</t>
        </is>
      </c>
      <c r="D130" s="16" t="inlineStr">
        <is>
          <t>Rupture disc</t>
        </is>
      </c>
      <c r="F130" s="16" t="inlineStr">
        <is>
          <t>Piping, flanges &amp; hoses</t>
        </is>
      </c>
      <c r="G130" s="16" t="inlineStr">
        <is>
          <t>STD – Structural deficiency</t>
        </is>
      </c>
    </row>
    <row r="131">
      <c r="C131" s="16" t="inlineStr">
        <is>
          <t>Pressure relief device (PSV / rupture disc)</t>
        </is>
      </c>
      <c r="D131" s="16" t="inlineStr">
        <is>
          <t>Isolation valves (locked open)</t>
        </is>
      </c>
      <c r="F131" s="16" t="inlineStr">
        <is>
          <t>Piping, flanges &amp; hoses</t>
        </is>
      </c>
      <c r="G131" s="16" t="inlineStr">
        <is>
          <t>VIB – Vibration</t>
        </is>
      </c>
    </row>
    <row r="132">
      <c r="C132" s="16" t="inlineStr">
        <is>
          <t>Instrument – transmitter / switch</t>
        </is>
      </c>
      <c r="D132" s="16" t="inlineStr">
        <is>
          <t>Sensing element</t>
        </is>
      </c>
      <c r="F132" s="16" t="inlineStr">
        <is>
          <t>Piping, flanges &amp; hoses</t>
        </is>
      </c>
      <c r="G132" s="16" t="inlineStr">
        <is>
          <t>OTH – Other</t>
        </is>
      </c>
    </row>
    <row r="133">
      <c r="C133" s="16" t="inlineStr">
        <is>
          <t>Instrument – transmitter / switch</t>
        </is>
      </c>
      <c r="D133" s="16" t="inlineStr">
        <is>
          <t>Transmitter electronics</t>
        </is>
      </c>
      <c r="F133" s="16" t="inlineStr">
        <is>
          <t>Control valve</t>
        </is>
      </c>
      <c r="G133" s="16" t="inlineStr">
        <is>
          <t>FTO – Fail to open on demand</t>
        </is>
      </c>
    </row>
    <row r="134">
      <c r="C134" s="16" t="inlineStr">
        <is>
          <t>Instrument – transmitter / switch</t>
        </is>
      </c>
      <c r="D134" s="16" t="inlineStr">
        <is>
          <t>Impulse lines / process connection</t>
        </is>
      </c>
      <c r="F134" s="16" t="inlineStr">
        <is>
          <t>Control valve</t>
        </is>
      </c>
      <c r="G134" s="16" t="inlineStr">
        <is>
          <t>FTC – Fail to close on demand</t>
        </is>
      </c>
    </row>
    <row r="135">
      <c r="C135" s="16" t="inlineStr">
        <is>
          <t>Instrument – transmitter / switch</t>
        </is>
      </c>
      <c r="D135" s="16" t="inlineStr">
        <is>
          <t>Cabling and junction box</t>
        </is>
      </c>
      <c r="F135" s="16" t="inlineStr">
        <is>
          <t>Control valve</t>
        </is>
      </c>
      <c r="G135" s="16" t="inlineStr">
        <is>
          <t>ERO – Erratic output / hunting</t>
        </is>
      </c>
    </row>
    <row r="136">
      <c r="C136" s="16" t="inlineStr">
        <is>
          <t>Instrument – transmitter / switch</t>
        </is>
      </c>
      <c r="D136" s="16" t="inlineStr">
        <is>
          <t>Power supply</t>
        </is>
      </c>
      <c r="F136" s="16" t="inlineStr">
        <is>
          <t>Control valve</t>
        </is>
      </c>
      <c r="G136" s="16" t="inlineStr">
        <is>
          <t>DOP – Delayed operation</t>
        </is>
      </c>
    </row>
    <row r="137">
      <c r="C137" s="16" t="inlineStr">
        <is>
          <t>Instrument – transmitter / switch</t>
        </is>
      </c>
      <c r="D137" s="16" t="inlineStr">
        <is>
          <t>Calibration</t>
        </is>
      </c>
      <c r="F137" s="16" t="inlineStr">
        <is>
          <t>Control valve</t>
        </is>
      </c>
      <c r="G137" s="16" t="inlineStr">
        <is>
          <t>LCP – Leakage in closed position</t>
        </is>
      </c>
    </row>
    <row r="138">
      <c r="C138" s="16" t="inlineStr">
        <is>
          <t>Analyser / gas detector</t>
        </is>
      </c>
      <c r="D138" s="16" t="inlineStr">
        <is>
          <t>Sensor</t>
        </is>
      </c>
      <c r="F138" s="16" t="inlineStr">
        <is>
          <t>Control valve</t>
        </is>
      </c>
      <c r="G138" s="16" t="inlineStr">
        <is>
          <t>ELP – External leakage – process medium</t>
        </is>
      </c>
    </row>
    <row r="139">
      <c r="C139" s="16" t="inlineStr">
        <is>
          <t>Analyser / gas detector</t>
        </is>
      </c>
      <c r="D139" s="16" t="inlineStr">
        <is>
          <t>Sample system</t>
        </is>
      </c>
      <c r="F139" s="16" t="inlineStr">
        <is>
          <t>Control valve</t>
        </is>
      </c>
      <c r="G139" s="16" t="inlineStr">
        <is>
          <t>SPO – Spurious operation</t>
        </is>
      </c>
    </row>
    <row r="140">
      <c r="C140" s="16" t="inlineStr">
        <is>
          <t>Analyser / gas detector</t>
        </is>
      </c>
      <c r="D140" s="16" t="inlineStr">
        <is>
          <t>Electronics</t>
        </is>
      </c>
      <c r="F140" s="16" t="inlineStr">
        <is>
          <t>Control valve</t>
        </is>
      </c>
      <c r="G140" s="16" t="inlineStr">
        <is>
          <t>PLU – Plugged / choked</t>
        </is>
      </c>
    </row>
    <row r="141">
      <c r="C141" s="16" t="inlineStr">
        <is>
          <t>Analyser / gas detector</t>
        </is>
      </c>
      <c r="D141" s="16" t="inlineStr">
        <is>
          <t>Calibration gas</t>
        </is>
      </c>
      <c r="F141" s="16" t="inlineStr">
        <is>
          <t>Control valve</t>
        </is>
      </c>
      <c r="G141" s="16" t="inlineStr">
        <is>
          <t>STD – Structural deficiency</t>
        </is>
      </c>
    </row>
    <row r="142">
      <c r="C142" s="16" t="inlineStr">
        <is>
          <t>Analyser / gas detector</t>
        </is>
      </c>
      <c r="D142" s="16" t="inlineStr">
        <is>
          <t>Housing</t>
        </is>
      </c>
      <c r="F142" s="16" t="inlineStr">
        <is>
          <t>Control valve</t>
        </is>
      </c>
      <c r="G142" s="16" t="inlineStr">
        <is>
          <t>AIR – Abnormal position indication</t>
        </is>
      </c>
    </row>
    <row r="143">
      <c r="C143" s="16" t="inlineStr">
        <is>
          <t>Control system / SIS logic solver</t>
        </is>
      </c>
      <c r="D143" s="16" t="inlineStr">
        <is>
          <t>CPU</t>
        </is>
      </c>
      <c r="F143" s="16" t="inlineStr">
        <is>
          <t>Control valve</t>
        </is>
      </c>
      <c r="G143" s="16" t="inlineStr">
        <is>
          <t>OTH – Other</t>
        </is>
      </c>
    </row>
    <row r="144">
      <c r="C144" s="16" t="inlineStr">
        <is>
          <t>Control system / SIS logic solver</t>
        </is>
      </c>
      <c r="D144" s="16" t="inlineStr">
        <is>
          <t>I/O cards</t>
        </is>
      </c>
      <c r="F144" s="16" t="inlineStr">
        <is>
          <t>Isolation / ESD valve</t>
        </is>
      </c>
      <c r="G144" s="16" t="inlineStr">
        <is>
          <t>FTO – Fail to open on demand</t>
        </is>
      </c>
    </row>
    <row r="145">
      <c r="C145" s="16" t="inlineStr">
        <is>
          <t>Control system / SIS logic solver</t>
        </is>
      </c>
      <c r="D145" s="16" t="inlineStr">
        <is>
          <t>Power supplies</t>
        </is>
      </c>
      <c r="F145" s="16" t="inlineStr">
        <is>
          <t>Isolation / ESD valve</t>
        </is>
      </c>
      <c r="G145" s="16" t="inlineStr">
        <is>
          <t>FTC – Fail to close on demand</t>
        </is>
      </c>
    </row>
    <row r="146">
      <c r="C146" s="16" t="inlineStr">
        <is>
          <t>Control system / SIS logic solver</t>
        </is>
      </c>
      <c r="D146" s="16" t="inlineStr">
        <is>
          <t>Network / communications</t>
        </is>
      </c>
      <c r="F146" s="16" t="inlineStr">
        <is>
          <t>Isolation / ESD valve</t>
        </is>
      </c>
      <c r="G146" s="16" t="inlineStr">
        <is>
          <t>DOP – Delayed operation</t>
        </is>
      </c>
    </row>
    <row r="147">
      <c r="C147" s="16" t="inlineStr">
        <is>
          <t>Control system / SIS logic solver</t>
        </is>
      </c>
      <c r="D147" s="16" t="inlineStr">
        <is>
          <t>Application software</t>
        </is>
      </c>
      <c r="F147" s="16" t="inlineStr">
        <is>
          <t>Isolation / ESD valve</t>
        </is>
      </c>
      <c r="G147" s="16" t="inlineStr">
        <is>
          <t>LCP – Leakage in closed position</t>
        </is>
      </c>
    </row>
    <row r="148">
      <c r="C148" s="16" t="inlineStr">
        <is>
          <t>Control system / SIS logic solver</t>
        </is>
      </c>
      <c r="D148" s="16" t="inlineStr">
        <is>
          <t>HMI / operator station</t>
        </is>
      </c>
      <c r="F148" s="16" t="inlineStr">
        <is>
          <t>Isolation / ESD valve</t>
        </is>
      </c>
      <c r="G148" s="16" t="inlineStr">
        <is>
          <t>ELP – External leakage – process medium</t>
        </is>
      </c>
    </row>
    <row r="149">
      <c r="C149" s="16" t="inlineStr">
        <is>
          <t>Transformer</t>
        </is>
      </c>
      <c r="D149" s="16" t="inlineStr">
        <is>
          <t>Windings</t>
        </is>
      </c>
      <c r="F149" s="16" t="inlineStr">
        <is>
          <t>Isolation / ESD valve</t>
        </is>
      </c>
      <c r="G149" s="16" t="inlineStr">
        <is>
          <t>SPO – Spurious operation</t>
        </is>
      </c>
    </row>
    <row r="150">
      <c r="C150" s="16" t="inlineStr">
        <is>
          <t>Transformer</t>
        </is>
      </c>
      <c r="D150" s="16" t="inlineStr">
        <is>
          <t>Core</t>
        </is>
      </c>
      <c r="F150" s="16" t="inlineStr">
        <is>
          <t>Isolation / ESD valve</t>
        </is>
      </c>
      <c r="G150" s="16" t="inlineStr">
        <is>
          <t>PLU – Plugged / choked</t>
        </is>
      </c>
    </row>
    <row r="151">
      <c r="C151" s="16" t="inlineStr">
        <is>
          <t>Transformer</t>
        </is>
      </c>
      <c r="D151" s="16" t="inlineStr">
        <is>
          <t>Bushings</t>
        </is>
      </c>
      <c r="F151" s="16" t="inlineStr">
        <is>
          <t>Isolation / ESD valve</t>
        </is>
      </c>
      <c r="G151" s="16" t="inlineStr">
        <is>
          <t>STD – Structural deficiency</t>
        </is>
      </c>
    </row>
    <row r="152">
      <c r="C152" s="16" t="inlineStr">
        <is>
          <t>Transformer</t>
        </is>
      </c>
      <c r="D152" s="16" t="inlineStr">
        <is>
          <t>Tap changer</t>
        </is>
      </c>
      <c r="F152" s="16" t="inlineStr">
        <is>
          <t>Isolation / ESD valve</t>
        </is>
      </c>
      <c r="G152" s="16" t="inlineStr">
        <is>
          <t>OTH – Other</t>
        </is>
      </c>
    </row>
    <row r="153">
      <c r="C153" s="16" t="inlineStr">
        <is>
          <t>Transformer</t>
        </is>
      </c>
      <c r="D153" s="16" t="inlineStr">
        <is>
          <t>Cooling (oil / fans)</t>
        </is>
      </c>
      <c r="F153" s="16" t="inlineStr">
        <is>
          <t>Pressure relief device (PSV / rupture disc)</t>
        </is>
      </c>
      <c r="G153" s="16" t="inlineStr">
        <is>
          <t>FTO – Fail to open on demand</t>
        </is>
      </c>
    </row>
    <row r="154">
      <c r="C154" s="16" t="inlineStr">
        <is>
          <t>Transformer</t>
        </is>
      </c>
      <c r="D154" s="16" t="inlineStr">
        <is>
          <t>Insulating oil</t>
        </is>
      </c>
      <c r="F154" s="16" t="inlineStr">
        <is>
          <t>Pressure relief device (PSV / rupture disc)</t>
        </is>
      </c>
      <c r="G154" s="16" t="inlineStr">
        <is>
          <t>PDE – Opens above set pressure</t>
        </is>
      </c>
    </row>
    <row r="155">
      <c r="C155" s="16" t="inlineStr">
        <is>
          <t>Transformer</t>
        </is>
      </c>
      <c r="D155" s="16" t="inlineStr">
        <is>
          <t>Protection (Buchholz / temperature)</t>
        </is>
      </c>
      <c r="F155" s="16" t="inlineStr">
        <is>
          <t>Pressure relief device (PSV / rupture disc)</t>
        </is>
      </c>
      <c r="G155" s="16" t="inlineStr">
        <is>
          <t>SPO – Spurious / premature opening</t>
        </is>
      </c>
    </row>
    <row r="156">
      <c r="C156" s="16" t="inlineStr">
        <is>
          <t>Switchgear / MCC / circuit breaker</t>
        </is>
      </c>
      <c r="D156" s="16" t="inlineStr">
        <is>
          <t>Circuit breaker</t>
        </is>
      </c>
      <c r="F156" s="16" t="inlineStr">
        <is>
          <t>Pressure relief device (PSV / rupture disc)</t>
        </is>
      </c>
      <c r="G156" s="16" t="inlineStr">
        <is>
          <t>LCP – Leakage through / simmering</t>
        </is>
      </c>
    </row>
    <row r="157">
      <c r="C157" s="16" t="inlineStr">
        <is>
          <t>Switchgear / MCC / circuit breaker</t>
        </is>
      </c>
      <c r="D157" s="16" t="inlineStr">
        <is>
          <t>Contactors</t>
        </is>
      </c>
      <c r="F157" s="16" t="inlineStr">
        <is>
          <t>Pressure relief device (PSV / rupture disc)</t>
        </is>
      </c>
      <c r="G157" s="16" t="inlineStr">
        <is>
          <t>FTC – Fail to reseat</t>
        </is>
      </c>
    </row>
    <row r="158">
      <c r="C158" s="16" t="inlineStr">
        <is>
          <t>Switchgear / MCC / circuit breaker</t>
        </is>
      </c>
      <c r="D158" s="16" t="inlineStr">
        <is>
          <t>Busbars</t>
        </is>
      </c>
      <c r="F158" s="16" t="inlineStr">
        <is>
          <t>Pressure relief device (PSV / rupture disc)</t>
        </is>
      </c>
      <c r="G158" s="16" t="inlineStr">
        <is>
          <t>PLU – Plugged inlet / outlet</t>
        </is>
      </c>
    </row>
    <row r="159">
      <c r="C159" s="16" t="inlineStr">
        <is>
          <t>Switchgear / MCC / circuit breaker</t>
        </is>
      </c>
      <c r="D159" s="16" t="inlineStr">
        <is>
          <t>Protection relays</t>
        </is>
      </c>
      <c r="F159" s="16" t="inlineStr">
        <is>
          <t>Pressure relief device (PSV / rupture disc)</t>
        </is>
      </c>
      <c r="G159" s="16" t="inlineStr">
        <is>
          <t>OTH – Other</t>
        </is>
      </c>
    </row>
    <row r="160">
      <c r="C160" s="16" t="inlineStr">
        <is>
          <t>Switchgear / MCC / circuit breaker</t>
        </is>
      </c>
      <c r="D160" s="16" t="inlineStr">
        <is>
          <t>Cables / terminations</t>
        </is>
      </c>
      <c r="F160" s="16" t="inlineStr">
        <is>
          <t>Instrument – transmitter / switch</t>
        </is>
      </c>
      <c r="G160" s="16" t="inlineStr">
        <is>
          <t>FTF – Fail to function on demand</t>
        </is>
      </c>
    </row>
    <row r="161">
      <c r="C161" s="16" t="inlineStr">
        <is>
          <t>Switchgear / MCC / circuit breaker</t>
        </is>
      </c>
      <c r="D161" s="16" t="inlineStr">
        <is>
          <t>Control circuit</t>
        </is>
      </c>
      <c r="F161" s="16" t="inlineStr">
        <is>
          <t>Instrument – transmitter / switch</t>
        </is>
      </c>
      <c r="G161" s="16" t="inlineStr">
        <is>
          <t>SPO – Spurious operation / false trip</t>
        </is>
      </c>
    </row>
    <row r="162">
      <c r="C162" s="16" t="inlineStr">
        <is>
          <t>Switchgear / MCC / circuit breaker</t>
        </is>
      </c>
      <c r="D162" s="16" t="inlineStr">
        <is>
          <t>Earthing</t>
        </is>
      </c>
      <c r="F162" s="16" t="inlineStr">
        <is>
          <t>Instrument – transmitter / switch</t>
        </is>
      </c>
      <c r="G162" s="16" t="inlineStr">
        <is>
          <t>AIR – Abnormal instrument reading</t>
        </is>
      </c>
    </row>
    <row r="163">
      <c r="C163" s="16" t="inlineStr">
        <is>
          <t>Variable speed drive / UPS</t>
        </is>
      </c>
      <c r="D163" s="16" t="inlineStr">
        <is>
          <t>Rectifier</t>
        </is>
      </c>
      <c r="F163" s="16" t="inlineStr">
        <is>
          <t>Instrument – transmitter / switch</t>
        </is>
      </c>
      <c r="G163" s="16" t="inlineStr">
        <is>
          <t>HIO – High reading / drift high</t>
        </is>
      </c>
    </row>
    <row r="164">
      <c r="C164" s="16" t="inlineStr">
        <is>
          <t>Variable speed drive / UPS</t>
        </is>
      </c>
      <c r="D164" s="16" t="inlineStr">
        <is>
          <t>DC bus capacitors</t>
        </is>
      </c>
      <c r="F164" s="16" t="inlineStr">
        <is>
          <t>Instrument – transmitter / switch</t>
        </is>
      </c>
      <c r="G164" s="16" t="inlineStr">
        <is>
          <t>LOO – Low reading / drift low</t>
        </is>
      </c>
    </row>
    <row r="165">
      <c r="C165" s="16" t="inlineStr">
        <is>
          <t>Variable speed drive / UPS</t>
        </is>
      </c>
      <c r="D165" s="16" t="inlineStr">
        <is>
          <t>Inverter / IGBTs</t>
        </is>
      </c>
      <c r="F165" s="16" t="inlineStr">
        <is>
          <t>Instrument – transmitter / switch</t>
        </is>
      </c>
      <c r="G165" s="16" t="inlineStr">
        <is>
          <t>NOO – No output / signal</t>
        </is>
      </c>
    </row>
    <row r="166">
      <c r="C166" s="16" t="inlineStr">
        <is>
          <t>Variable speed drive / UPS</t>
        </is>
      </c>
      <c r="D166" s="16" t="inlineStr">
        <is>
          <t>Cooling fans</t>
        </is>
      </c>
      <c r="F166" s="16" t="inlineStr">
        <is>
          <t>Instrument – transmitter / switch</t>
        </is>
      </c>
      <c r="G166" s="16" t="inlineStr">
        <is>
          <t>ERO – Erratic output</t>
        </is>
      </c>
    </row>
    <row r="167">
      <c r="C167" s="16" t="inlineStr">
        <is>
          <t>Variable speed drive / UPS</t>
        </is>
      </c>
      <c r="D167" s="16" t="inlineStr">
        <is>
          <t>Control board</t>
        </is>
      </c>
      <c r="F167" s="16" t="inlineStr">
        <is>
          <t>Instrument – transmitter / switch</t>
        </is>
      </c>
      <c r="G167" s="16" t="inlineStr">
        <is>
          <t>OTH – Other</t>
        </is>
      </c>
    </row>
    <row r="168">
      <c r="C168" s="16" t="inlineStr">
        <is>
          <t>Variable speed drive / UPS</t>
        </is>
      </c>
      <c r="D168" s="16" t="inlineStr">
        <is>
          <t>Batteries (UPS)</t>
        </is>
      </c>
      <c r="F168" s="16" t="inlineStr">
        <is>
          <t>Analyser / gas detector</t>
        </is>
      </c>
      <c r="G168" s="16" t="inlineStr">
        <is>
          <t>FTF – Fail to function on demand</t>
        </is>
      </c>
    </row>
    <row r="169">
      <c r="C169" s="16" t="inlineStr">
        <is>
          <t>Variable speed drive / UPS</t>
        </is>
      </c>
      <c r="D169" s="16" t="inlineStr">
        <is>
          <t>Bypass</t>
        </is>
      </c>
      <c r="F169" s="16" t="inlineStr">
        <is>
          <t>Analyser / gas detector</t>
        </is>
      </c>
      <c r="G169" s="16" t="inlineStr">
        <is>
          <t>SPO – Spurious operation / false trip</t>
        </is>
      </c>
    </row>
    <row r="170">
      <c r="C170" s="16" t="inlineStr">
        <is>
          <t>Hydraulic power unit / system</t>
        </is>
      </c>
      <c r="D170" s="16" t="inlineStr">
        <is>
          <t>Hydraulic pumps</t>
        </is>
      </c>
      <c r="F170" s="16" t="inlineStr">
        <is>
          <t>Analyser / gas detector</t>
        </is>
      </c>
      <c r="G170" s="16" t="inlineStr">
        <is>
          <t>AIR – Abnormal instrument reading</t>
        </is>
      </c>
    </row>
    <row r="171">
      <c r="C171" s="16" t="inlineStr">
        <is>
          <t>Hydraulic power unit / system</t>
        </is>
      </c>
      <c r="D171" s="16" t="inlineStr">
        <is>
          <t>Reservoir</t>
        </is>
      </c>
      <c r="F171" s="16" t="inlineStr">
        <is>
          <t>Analyser / gas detector</t>
        </is>
      </c>
      <c r="G171" s="16" t="inlineStr">
        <is>
          <t>HIO – High reading / drift high</t>
        </is>
      </c>
    </row>
    <row r="172">
      <c r="C172" s="16" t="inlineStr">
        <is>
          <t>Hydraulic power unit / system</t>
        </is>
      </c>
      <c r="D172" s="16" t="inlineStr">
        <is>
          <t>Accumulators</t>
        </is>
      </c>
      <c r="F172" s="16" t="inlineStr">
        <is>
          <t>Analyser / gas detector</t>
        </is>
      </c>
      <c r="G172" s="16" t="inlineStr">
        <is>
          <t>LOO – Low reading / drift low</t>
        </is>
      </c>
    </row>
    <row r="173">
      <c r="C173" s="16" t="inlineStr">
        <is>
          <t>Hydraulic power unit / system</t>
        </is>
      </c>
      <c r="D173" s="16" t="inlineStr">
        <is>
          <t>Directional / proportional valves</t>
        </is>
      </c>
      <c r="F173" s="16" t="inlineStr">
        <is>
          <t>Analyser / gas detector</t>
        </is>
      </c>
      <c r="G173" s="16" t="inlineStr">
        <is>
          <t>NOO – No output / signal</t>
        </is>
      </c>
    </row>
    <row r="174">
      <c r="C174" s="16" t="inlineStr">
        <is>
          <t>Hydraulic power unit / system</t>
        </is>
      </c>
      <c r="D174" s="16" t="inlineStr">
        <is>
          <t>Cylinders</t>
        </is>
      </c>
      <c r="F174" s="16" t="inlineStr">
        <is>
          <t>Analyser / gas detector</t>
        </is>
      </c>
      <c r="G174" s="16" t="inlineStr">
        <is>
          <t>ERO – Erratic output</t>
        </is>
      </c>
    </row>
    <row r="175">
      <c r="C175" s="16" t="inlineStr">
        <is>
          <t>Hydraulic power unit / system</t>
        </is>
      </c>
      <c r="D175" s="16" t="inlineStr">
        <is>
          <t>Hoses</t>
        </is>
      </c>
      <c r="F175" s="16" t="inlineStr">
        <is>
          <t>Analyser / gas detector</t>
        </is>
      </c>
      <c r="G175" s="16" t="inlineStr">
        <is>
          <t>OTH – Other</t>
        </is>
      </c>
    </row>
    <row r="176">
      <c r="C176" s="16" t="inlineStr">
        <is>
          <t>Hydraulic power unit / system</t>
        </is>
      </c>
      <c r="D176" s="16" t="inlineStr">
        <is>
          <t>Filters</t>
        </is>
      </c>
      <c r="F176" s="16" t="inlineStr">
        <is>
          <t>Control system / SIS logic solver</t>
        </is>
      </c>
      <c r="G176" s="16" t="inlineStr">
        <is>
          <t>FTF – Fail to function on demand</t>
        </is>
      </c>
    </row>
    <row r="177">
      <c r="C177" s="16" t="inlineStr">
        <is>
          <t>Hydraulic power unit / system</t>
        </is>
      </c>
      <c r="D177" s="16" t="inlineStr">
        <is>
          <t>Oil cooler</t>
        </is>
      </c>
      <c r="F177" s="16" t="inlineStr">
        <is>
          <t>Control system / SIS logic solver</t>
        </is>
      </c>
      <c r="G177" s="16" t="inlineStr">
        <is>
          <t>SPO – Spurious operation / false trip</t>
        </is>
      </c>
    </row>
    <row r="178">
      <c r="C178" s="16" t="inlineStr">
        <is>
          <t>Hydraulic power unit / system</t>
        </is>
      </c>
      <c r="D178" s="16" t="inlineStr">
        <is>
          <t>Hydraulic fluid</t>
        </is>
      </c>
      <c r="F178" s="16" t="inlineStr">
        <is>
          <t>Control system / SIS logic solver</t>
        </is>
      </c>
      <c r="G178" s="16" t="inlineStr">
        <is>
          <t>BRD – Loss of control</t>
        </is>
      </c>
    </row>
    <row r="179">
      <c r="C179" s="16" t="inlineStr">
        <is>
          <t>Overhead crane / hoist (incl. ladle crane)</t>
        </is>
      </c>
      <c r="D179" s="16" t="inlineStr">
        <is>
          <t>Hoist ropes</t>
        </is>
      </c>
      <c r="F179" s="16" t="inlineStr">
        <is>
          <t>Control system / SIS logic solver</t>
        </is>
      </c>
      <c r="G179" s="16" t="inlineStr">
        <is>
          <t>OTH – Loss of view (HMI)</t>
        </is>
      </c>
    </row>
    <row r="180">
      <c r="C180" s="16" t="inlineStr">
        <is>
          <t>Overhead crane / hoist (incl. ladle crane)</t>
        </is>
      </c>
      <c r="D180" s="16" t="inlineStr">
        <is>
          <t>Hook and block</t>
        </is>
      </c>
      <c r="F180" s="16" t="inlineStr">
        <is>
          <t>Control system / SIS logic solver</t>
        </is>
      </c>
      <c r="G180" s="16" t="inlineStr">
        <is>
          <t>OTH – Software / configuration error</t>
        </is>
      </c>
    </row>
    <row r="181">
      <c r="C181" s="16" t="inlineStr">
        <is>
          <t>Overhead crane / hoist (incl. ladle crane)</t>
        </is>
      </c>
      <c r="D181" s="16" t="inlineStr">
        <is>
          <t>Hoist brakes (primary / emergency)</t>
        </is>
      </c>
      <c r="F181" s="16" t="inlineStr">
        <is>
          <t>Transformer</t>
        </is>
      </c>
      <c r="G181" s="16" t="inlineStr">
        <is>
          <t>BRD – Breakdown / insulation failure</t>
        </is>
      </c>
    </row>
    <row r="182">
      <c r="C182" s="16" t="inlineStr">
        <is>
          <t>Overhead crane / hoist (incl. ladle crane)</t>
        </is>
      </c>
      <c r="D182" s="16" t="inlineStr">
        <is>
          <t>Gearbox / drum</t>
        </is>
      </c>
      <c r="F182" s="16" t="inlineStr">
        <is>
          <t>Transformer</t>
        </is>
      </c>
      <c r="G182" s="16" t="inlineStr">
        <is>
          <t>OHE – Overheating</t>
        </is>
      </c>
    </row>
    <row r="183">
      <c r="C183" s="16" t="inlineStr">
        <is>
          <t>Overhead crane / hoist (incl. ladle crane)</t>
        </is>
      </c>
      <c r="D183" s="16" t="inlineStr">
        <is>
          <t>Travel drives</t>
        </is>
      </c>
      <c r="F183" s="16" t="inlineStr">
        <is>
          <t>Transformer</t>
        </is>
      </c>
      <c r="G183" s="16" t="inlineStr">
        <is>
          <t>ELU – External leakage – insulating oil</t>
        </is>
      </c>
    </row>
    <row r="184">
      <c r="C184" s="16" t="inlineStr">
        <is>
          <t>Overhead crane / hoist (incl. ladle crane)</t>
        </is>
      </c>
      <c r="D184" s="16" t="inlineStr">
        <is>
          <t>Limit switches</t>
        </is>
      </c>
      <c r="F184" s="16" t="inlineStr">
        <is>
          <t>Transformer</t>
        </is>
      </c>
      <c r="G184" s="16" t="inlineStr">
        <is>
          <t>FOV – Faulty output voltage</t>
        </is>
      </c>
    </row>
    <row r="185">
      <c r="C185" s="16" t="inlineStr">
        <is>
          <t>Overhead crane / hoist (incl. ladle crane)</t>
        </is>
      </c>
      <c r="D185" s="16" t="inlineStr">
        <is>
          <t>Overload / load cell</t>
        </is>
      </c>
      <c r="F185" s="16" t="inlineStr">
        <is>
          <t>Transformer</t>
        </is>
      </c>
      <c r="G185" s="16" t="inlineStr">
        <is>
          <t>NOI – Noise</t>
        </is>
      </c>
    </row>
    <row r="186">
      <c r="C186" s="16" t="inlineStr">
        <is>
          <t>Overhead crane / hoist (incl. ladle crane)</t>
        </is>
      </c>
      <c r="D186" s="16" t="inlineStr">
        <is>
          <t>Girders / structure</t>
        </is>
      </c>
      <c r="F186" s="16" t="inlineStr">
        <is>
          <t>Transformer</t>
        </is>
      </c>
      <c r="G186" s="16" t="inlineStr">
        <is>
          <t>OTH – Other</t>
        </is>
      </c>
    </row>
    <row r="187">
      <c r="C187" s="16" t="inlineStr">
        <is>
          <t>Overhead crane / hoist (incl. ladle crane)</t>
        </is>
      </c>
      <c r="D187" s="16" t="inlineStr">
        <is>
          <t>Rails and end stops</t>
        </is>
      </c>
      <c r="F187" s="16" t="inlineStr">
        <is>
          <t>Switchgear / MCC / circuit breaker</t>
        </is>
      </c>
      <c r="G187" s="16" t="inlineStr">
        <is>
          <t>FTO – Fail to open / trip on demand</t>
        </is>
      </c>
    </row>
    <row r="188">
      <c r="C188" s="16" t="inlineStr">
        <is>
          <t>Overhead crane / hoist (incl. ladle crane)</t>
        </is>
      </c>
      <c r="D188" s="16" t="inlineStr">
        <is>
          <t>Controls / radio remote</t>
        </is>
      </c>
      <c r="F188" s="16" t="inlineStr">
        <is>
          <t>Switchgear / MCC / circuit breaker</t>
        </is>
      </c>
      <c r="G188" s="16" t="inlineStr">
        <is>
          <t>FTC – Fail to close on demand</t>
        </is>
      </c>
    </row>
    <row r="189">
      <c r="C189" s="16" t="inlineStr">
        <is>
          <t>Overhead crane / hoist (incl. ladle crane)</t>
        </is>
      </c>
      <c r="D189" s="16" t="inlineStr">
        <is>
          <t>Power supply (festoon / conductor bar)</t>
        </is>
      </c>
      <c r="F189" s="16" t="inlineStr">
        <is>
          <t>Switchgear / MCC / circuit breaker</t>
        </is>
      </c>
      <c r="G189" s="16" t="inlineStr">
        <is>
          <t>SPO – Spurious trip</t>
        </is>
      </c>
    </row>
    <row r="190">
      <c r="C190" s="16" t="inlineStr">
        <is>
          <t>Water-cooled element (panel, roof, lance, tuyere, stave, mould)</t>
        </is>
      </c>
      <c r="D190" s="16" t="inlineStr">
        <is>
          <t>Panel pipes / copper element</t>
        </is>
      </c>
      <c r="F190" s="16" t="inlineStr">
        <is>
          <t>Switchgear / MCC / circuit breaker</t>
        </is>
      </c>
      <c r="G190" s="16" t="inlineStr">
        <is>
          <t>OHE – Overheating (hot joint)</t>
        </is>
      </c>
    </row>
    <row r="191">
      <c r="C191" s="16" t="inlineStr">
        <is>
          <t>Water-cooled element (panel, roof, lance, tuyere, stave, mould)</t>
        </is>
      </c>
      <c r="D191" s="16" t="inlineStr">
        <is>
          <t>Inlet / outlet hoses</t>
        </is>
      </c>
      <c r="F191" s="16" t="inlineStr">
        <is>
          <t>Switchgear / MCC / circuit breaker</t>
        </is>
      </c>
      <c r="G191" s="16" t="inlineStr">
        <is>
          <t>BRD – Short circuit / arc flash</t>
        </is>
      </c>
    </row>
    <row r="192">
      <c r="C192" s="16" t="inlineStr">
        <is>
          <t>Water-cooled element (panel, roof, lance, tuyere, stave, mould)</t>
        </is>
      </c>
      <c r="D192" s="16" t="inlineStr">
        <is>
          <t>Manifolds</t>
        </is>
      </c>
      <c r="F192" s="16" t="inlineStr">
        <is>
          <t>Switchgear / MCC / circuit breaker</t>
        </is>
      </c>
      <c r="G192" s="16" t="inlineStr">
        <is>
          <t>OTH – Other</t>
        </is>
      </c>
    </row>
    <row r="193">
      <c r="C193" s="16" t="inlineStr">
        <is>
          <t>Water-cooled element (panel, roof, lance, tuyere, stave, mould)</t>
        </is>
      </c>
      <c r="D193" s="16" t="inlineStr">
        <is>
          <t>Flow and temperature instruments</t>
        </is>
      </c>
      <c r="F193" s="16" t="inlineStr">
        <is>
          <t>Variable speed drive / UPS</t>
        </is>
      </c>
      <c r="G193" s="16" t="inlineStr">
        <is>
          <t>FTS – Fail to start on demand</t>
        </is>
      </c>
    </row>
    <row r="194">
      <c r="C194" s="16" t="inlineStr">
        <is>
          <t>Water-cooled element (panel, roof, lance, tuyere, stave, mould)</t>
        </is>
      </c>
      <c r="D194" s="16" t="inlineStr">
        <is>
          <t>Leak detection system</t>
        </is>
      </c>
      <c r="F194" s="16" t="inlineStr">
        <is>
          <t>Variable speed drive / UPS</t>
        </is>
      </c>
      <c r="G194" s="16" t="inlineStr">
        <is>
          <t>UST – Spurious stop</t>
        </is>
      </c>
    </row>
    <row r="195">
      <c r="C195" s="16" t="inlineStr">
        <is>
          <t>Water-cooled element (panel, roof, lance, tuyere, stave, mould)</t>
        </is>
      </c>
      <c r="D195" s="16" t="inlineStr">
        <is>
          <t>Supports</t>
        </is>
      </c>
      <c r="F195" s="16" t="inlineStr">
        <is>
          <t>Variable speed drive / UPS</t>
        </is>
      </c>
      <c r="G195" s="16" t="inlineStr">
        <is>
          <t>BRD – Breakdown</t>
        </is>
      </c>
    </row>
    <row r="196">
      <c r="C196" s="16" t="inlineStr">
        <is>
          <t>Refractory lining (furnace, ladle, tundish, kiln)</t>
        </is>
      </c>
      <c r="D196" s="16" t="inlineStr">
        <is>
          <t>Working lining</t>
        </is>
      </c>
      <c r="F196" s="16" t="inlineStr">
        <is>
          <t>Variable speed drive / UPS</t>
        </is>
      </c>
      <c r="G196" s="16" t="inlineStr">
        <is>
          <t>FOV – Faulty output voltage / frequency</t>
        </is>
      </c>
    </row>
    <row r="197">
      <c r="C197" s="16" t="inlineStr">
        <is>
          <t>Refractory lining (furnace, ladle, tundish, kiln)</t>
        </is>
      </c>
      <c r="D197" s="16" t="inlineStr">
        <is>
          <t>Safety / permanent lining</t>
        </is>
      </c>
      <c r="F197" s="16" t="inlineStr">
        <is>
          <t>Variable speed drive / UPS</t>
        </is>
      </c>
      <c r="G197" s="16" t="inlineStr">
        <is>
          <t>OHE – Overheating</t>
        </is>
      </c>
    </row>
    <row r="198">
      <c r="C198" s="16" t="inlineStr">
        <is>
          <t>Refractory lining (furnace, ladle, tundish, kiln)</t>
        </is>
      </c>
      <c r="D198" s="16" t="inlineStr">
        <is>
          <t>Taphole / nozzle / well block</t>
        </is>
      </c>
      <c r="F198" s="16" t="inlineStr">
        <is>
          <t>Variable speed drive / UPS</t>
        </is>
      </c>
      <c r="G198" s="16" t="inlineStr">
        <is>
          <t>SPO – Spurious operation</t>
        </is>
      </c>
    </row>
    <row r="199">
      <c r="C199" s="16" t="inlineStr">
        <is>
          <t>Refractory lining (furnace, ladle, tundish, kiln)</t>
        </is>
      </c>
      <c r="D199" s="16" t="inlineStr">
        <is>
          <t>Purging plug</t>
        </is>
      </c>
      <c r="F199" s="16" t="inlineStr">
        <is>
          <t>Variable speed drive / UPS</t>
        </is>
      </c>
      <c r="G199" s="16" t="inlineStr">
        <is>
          <t>OTH – Other</t>
        </is>
      </c>
    </row>
    <row r="200">
      <c r="C200" s="16" t="inlineStr">
        <is>
          <t>Refractory lining (furnace, ladle, tundish, kiln)</t>
        </is>
      </c>
      <c r="D200" s="16" t="inlineStr">
        <is>
          <t>Anchors</t>
        </is>
      </c>
      <c r="F200" s="16" t="inlineStr">
        <is>
          <t>Hydraulic power unit / system</t>
        </is>
      </c>
      <c r="G200" s="16" t="inlineStr">
        <is>
          <t>LOO – Low pressure / output</t>
        </is>
      </c>
    </row>
    <row r="201">
      <c r="C201" s="16" t="inlineStr">
        <is>
          <t>Refractory lining (furnace, ladle, tundish, kiln)</t>
        </is>
      </c>
      <c r="D201" s="16" t="inlineStr">
        <is>
          <t>Shell</t>
        </is>
      </c>
      <c r="F201" s="16" t="inlineStr">
        <is>
          <t>Hydraulic power unit / system</t>
        </is>
      </c>
      <c r="G201" s="16" t="inlineStr">
        <is>
          <t>ELU – External leakage – hydraulic oil</t>
        </is>
      </c>
    </row>
    <row r="202">
      <c r="C202" s="16" t="inlineStr">
        <is>
          <t>Burner / combustion system</t>
        </is>
      </c>
      <c r="D202" s="16" t="inlineStr">
        <is>
          <t>Burner nozzle</t>
        </is>
      </c>
      <c r="F202" s="16" t="inlineStr">
        <is>
          <t>Hydraulic power unit / system</t>
        </is>
      </c>
      <c r="G202" s="16" t="inlineStr">
        <is>
          <t>BRD – Breakdown</t>
        </is>
      </c>
    </row>
    <row r="203">
      <c r="C203" s="16" t="inlineStr">
        <is>
          <t>Burner / combustion system</t>
        </is>
      </c>
      <c r="D203" s="16" t="inlineStr">
        <is>
          <t>Igniter</t>
        </is>
      </c>
      <c r="F203" s="16" t="inlineStr">
        <is>
          <t>Hydraulic power unit / system</t>
        </is>
      </c>
      <c r="G203" s="16" t="inlineStr">
        <is>
          <t>OHE – Overheating</t>
        </is>
      </c>
    </row>
    <row r="204">
      <c r="C204" s="16" t="inlineStr">
        <is>
          <t>Burner / combustion system</t>
        </is>
      </c>
      <c r="D204" s="16" t="inlineStr">
        <is>
          <t>Flame scanner</t>
        </is>
      </c>
      <c r="F204" s="16" t="inlineStr">
        <is>
          <t>Hydraulic power unit / system</t>
        </is>
      </c>
      <c r="G204" s="16" t="inlineStr">
        <is>
          <t>ERO – Erratic operation</t>
        </is>
      </c>
    </row>
    <row r="205">
      <c r="C205" s="16" t="inlineStr">
        <is>
          <t>Burner / combustion system</t>
        </is>
      </c>
      <c r="D205" s="16" t="inlineStr">
        <is>
          <t>Fuel train valves (double block &amp; bleed)</t>
        </is>
      </c>
      <c r="F205" s="16" t="inlineStr">
        <is>
          <t>Hydraulic power unit / system</t>
        </is>
      </c>
      <c r="G205" s="16" t="inlineStr">
        <is>
          <t>SPO – Uncontrolled movement</t>
        </is>
      </c>
    </row>
    <row r="206">
      <c r="C206" s="16" t="inlineStr">
        <is>
          <t>Burner / combustion system</t>
        </is>
      </c>
      <c r="D206" s="16" t="inlineStr">
        <is>
          <t>Combustion air fan / damper</t>
        </is>
      </c>
      <c r="F206" s="16" t="inlineStr">
        <is>
          <t>Hydraulic power unit / system</t>
        </is>
      </c>
      <c r="G206" s="16" t="inlineStr">
        <is>
          <t>PLU – Filter blocked</t>
        </is>
      </c>
    </row>
    <row r="207">
      <c r="C207" s="16" t="inlineStr">
        <is>
          <t>Burner / combustion system</t>
        </is>
      </c>
      <c r="D207" s="16" t="inlineStr">
        <is>
          <t>Burner management system (BMS)</t>
        </is>
      </c>
      <c r="F207" s="16" t="inlineStr">
        <is>
          <t>Hydraulic power unit / system</t>
        </is>
      </c>
      <c r="G207" s="16" t="inlineStr">
        <is>
          <t>OTH – Other</t>
        </is>
      </c>
    </row>
    <row r="208">
      <c r="C208" s="16" t="inlineStr">
        <is>
          <t>Burner / combustion system</t>
        </is>
      </c>
      <c r="D208" s="16" t="inlineStr">
        <is>
          <t>Pressure switches</t>
        </is>
      </c>
      <c r="F208" s="16" t="inlineStr">
        <is>
          <t>Overhead crane / hoist (incl. ladle crane)</t>
        </is>
      </c>
      <c r="G208" s="16" t="inlineStr">
        <is>
          <t>Load drop / failure to hold load</t>
        </is>
      </c>
    </row>
    <row r="209">
      <c r="C209" s="16" t="inlineStr">
        <is>
          <t>Cooling tower / closed cooling circuit</t>
        </is>
      </c>
      <c r="D209" s="16" t="inlineStr">
        <is>
          <t>Fans and drives</t>
        </is>
      </c>
      <c r="F209" s="16" t="inlineStr">
        <is>
          <t>Overhead crane / hoist (incl. ladle crane)</t>
        </is>
      </c>
      <c r="G209" s="16" t="inlineStr">
        <is>
          <t>Overtravel / failure to stop</t>
        </is>
      </c>
    </row>
    <row r="210">
      <c r="C210" s="16" t="inlineStr">
        <is>
          <t>Cooling tower / closed cooling circuit</t>
        </is>
      </c>
      <c r="D210" s="16" t="inlineStr">
        <is>
          <t>Fill / packing</t>
        </is>
      </c>
      <c r="F210" s="16" t="inlineStr">
        <is>
          <t>Overhead crane / hoist (incl. ladle crane)</t>
        </is>
      </c>
      <c r="G210" s="16" t="inlineStr">
        <is>
          <t>Stoppage with load suspended</t>
        </is>
      </c>
    </row>
    <row r="211">
      <c r="C211" s="16" t="inlineStr">
        <is>
          <t>Cooling tower / closed cooling circuit</t>
        </is>
      </c>
      <c r="D211" s="16" t="inlineStr">
        <is>
          <t>Basin</t>
        </is>
      </c>
      <c r="F211" s="16" t="inlineStr">
        <is>
          <t>Overhead crane / hoist (incl. ladle crane)</t>
        </is>
      </c>
      <c r="G211" s="16" t="inlineStr">
        <is>
          <t>Uncontrolled movement</t>
        </is>
      </c>
    </row>
    <row r="212">
      <c r="C212" s="16" t="inlineStr">
        <is>
          <t>Cooling tower / closed cooling circuit</t>
        </is>
      </c>
      <c r="D212" s="16" t="inlineStr">
        <is>
          <t>Circulation pumps</t>
        </is>
      </c>
      <c r="F212" s="16" t="inlineStr">
        <is>
          <t>Overhead crane / hoist (incl. ladle crane)</t>
        </is>
      </c>
      <c r="G212" s="16" t="inlineStr">
        <is>
          <t>Structural crack / deformation</t>
        </is>
      </c>
    </row>
    <row r="213">
      <c r="C213" s="16" t="inlineStr">
        <is>
          <t>Cooling tower / closed cooling circuit</t>
        </is>
      </c>
      <c r="D213" s="16" t="inlineStr">
        <is>
          <t>Water treatment / dosing</t>
        </is>
      </c>
      <c r="F213" s="16" t="inlineStr">
        <is>
          <t>Overhead crane / hoist (incl. ladle crane)</t>
        </is>
      </c>
      <c r="G213" s="16" t="inlineStr">
        <is>
          <t>Collision</t>
        </is>
      </c>
    </row>
    <row r="214">
      <c r="C214" s="16" t="inlineStr">
        <is>
          <t>Cooling tower / closed cooling circuit</t>
        </is>
      </c>
      <c r="D214" s="16" t="inlineStr">
        <is>
          <t>Drift eliminators</t>
        </is>
      </c>
      <c r="F214" s="16" t="inlineStr">
        <is>
          <t>Overhead crane / hoist (incl. ladle crane)</t>
        </is>
      </c>
      <c r="G214" s="16" t="inlineStr">
        <is>
          <t>OTH – Other</t>
        </is>
      </c>
    </row>
    <row r="215">
      <c r="C215" s="16" t="inlineStr">
        <is>
          <t>Cooling tower / closed cooling circuit</t>
        </is>
      </c>
      <c r="D215" s="16" t="inlineStr">
        <is>
          <t>Plate heat exchanger</t>
        </is>
      </c>
      <c r="F215" s="16" t="inlineStr">
        <is>
          <t>Water-cooled element (panel, roof, lance, tuyere, stave, mould)</t>
        </is>
      </c>
      <c r="G215" s="16" t="inlineStr">
        <is>
          <t>Water leak into furnace / vessel</t>
        </is>
      </c>
    </row>
    <row r="216">
      <c r="C216" s="16" t="inlineStr">
        <is>
          <t>Bag filter / dust collector</t>
        </is>
      </c>
      <c r="D216" s="16" t="inlineStr">
        <is>
          <t>Filter bags</t>
        </is>
      </c>
      <c r="F216" s="16" t="inlineStr">
        <is>
          <t>Water-cooled element (panel, roof, lance, tuyere, stave, mould)</t>
        </is>
      </c>
      <c r="G216" s="16" t="inlineStr">
        <is>
          <t>Low / no cooling flow</t>
        </is>
      </c>
    </row>
    <row r="217">
      <c r="C217" s="16" t="inlineStr">
        <is>
          <t>Bag filter / dust collector</t>
        </is>
      </c>
      <c r="D217" s="16" t="inlineStr">
        <is>
          <t>Cages</t>
        </is>
      </c>
      <c r="F217" s="16" t="inlineStr">
        <is>
          <t>Water-cooled element (panel, roof, lance, tuyere, stave, mould)</t>
        </is>
      </c>
      <c r="G217" s="16" t="inlineStr">
        <is>
          <t>Overheating / hot spot</t>
        </is>
      </c>
    </row>
    <row r="218">
      <c r="C218" s="16" t="inlineStr">
        <is>
          <t>Bag filter / dust collector</t>
        </is>
      </c>
      <c r="D218" s="16" t="inlineStr">
        <is>
          <t>Pulse-jet cleaning valves</t>
        </is>
      </c>
      <c r="F218" s="16" t="inlineStr">
        <is>
          <t>Water-cooled element (panel, roof, lance, tuyere, stave, mould)</t>
        </is>
      </c>
      <c r="G218" s="16" t="inlineStr">
        <is>
          <t>Cracking / burn-through</t>
        </is>
      </c>
    </row>
    <row r="219">
      <c r="C219" s="16" t="inlineStr">
        <is>
          <t>Bag filter / dust collector</t>
        </is>
      </c>
      <c r="D219" s="16" t="inlineStr">
        <is>
          <t>Hopper and rotary valve</t>
        </is>
      </c>
      <c r="F219" s="16" t="inlineStr">
        <is>
          <t>Water-cooled element (panel, roof, lance, tuyere, stave, mould)</t>
        </is>
      </c>
      <c r="G219" s="16" t="inlineStr">
        <is>
          <t>Leak detection fails to alarm</t>
        </is>
      </c>
    </row>
    <row r="220">
      <c r="C220" s="16" t="inlineStr">
        <is>
          <t>Bag filter / dust collector</t>
        </is>
      </c>
      <c r="D220" s="16" t="inlineStr">
        <is>
          <t>Housing</t>
        </is>
      </c>
      <c r="F220" s="16" t="inlineStr">
        <is>
          <t>Water-cooled element (panel, roof, lance, tuyere, stave, mould)</t>
        </is>
      </c>
      <c r="G220" s="16" t="inlineStr">
        <is>
          <t>OTH – Other</t>
        </is>
      </c>
    </row>
    <row r="221">
      <c r="C221" s="16" t="inlineStr">
        <is>
          <t>Bag filter / dust collector</t>
        </is>
      </c>
      <c r="D221" s="16" t="inlineStr">
        <is>
          <t>Explosion vents / isolation</t>
        </is>
      </c>
      <c r="F221" s="16" t="inlineStr">
        <is>
          <t>Refractory lining (furnace, ladle, tundish, kiln)</t>
        </is>
      </c>
      <c r="G221" s="16" t="inlineStr">
        <is>
          <t>Excessive wear / thinning</t>
        </is>
      </c>
    </row>
    <row r="222">
      <c r="C222" s="16" t="inlineStr">
        <is>
          <t>Bag filter / dust collector</t>
        </is>
      </c>
      <c r="D222" s="16" t="inlineStr">
        <is>
          <t>Differential pressure instruments</t>
        </is>
      </c>
      <c r="F222" s="16" t="inlineStr">
        <is>
          <t>Refractory lining (furnace, ladle, tundish, kiln)</t>
        </is>
      </c>
      <c r="G222" s="16" t="inlineStr">
        <is>
          <t>Spalling / cracking</t>
        </is>
      </c>
    </row>
    <row r="223">
      <c r="C223" s="16" t="inlineStr">
        <is>
          <t>Ladle &amp; ladle / transfer car</t>
        </is>
      </c>
      <c r="D223" s="16" t="inlineStr">
        <is>
          <t>Ladle shell and trunnions</t>
        </is>
      </c>
      <c r="F223" s="16" t="inlineStr">
        <is>
          <t>Refractory lining (furnace, ladle, tundish, kiln)</t>
        </is>
      </c>
      <c r="G223" s="16" t="inlineStr">
        <is>
          <t>Breakout / burn-through</t>
        </is>
      </c>
    </row>
    <row r="224">
      <c r="C224" s="16" t="inlineStr">
        <is>
          <t>Ladle &amp; ladle / transfer car</t>
        </is>
      </c>
      <c r="D224" s="16" t="inlineStr">
        <is>
          <t>Slide gate</t>
        </is>
      </c>
      <c r="F224" s="16" t="inlineStr">
        <is>
          <t>Refractory lining (furnace, ladle, tundish, kiln)</t>
        </is>
      </c>
      <c r="G224" s="16" t="inlineStr">
        <is>
          <t>Hot spot on shell</t>
        </is>
      </c>
    </row>
    <row r="225">
      <c r="C225" s="16" t="inlineStr">
        <is>
          <t>Ladle &amp; ladle / transfer car</t>
        </is>
      </c>
      <c r="D225" s="16" t="inlineStr">
        <is>
          <t>Porous plug</t>
        </is>
      </c>
      <c r="F225" s="16" t="inlineStr">
        <is>
          <t>Refractory lining (furnace, ladle, tundish, kiln)</t>
        </is>
      </c>
      <c r="G225" s="16" t="inlineStr">
        <is>
          <t>Moisture in lining</t>
        </is>
      </c>
    </row>
    <row r="226">
      <c r="C226" s="16" t="inlineStr">
        <is>
          <t>Ladle &amp; ladle / transfer car</t>
        </is>
      </c>
      <c r="D226" s="16" t="inlineStr">
        <is>
          <t>Car wheels and rails</t>
        </is>
      </c>
      <c r="F226" s="16" t="inlineStr">
        <is>
          <t>Refractory lining (furnace, ladle, tundish, kiln)</t>
        </is>
      </c>
      <c r="G226" s="16" t="inlineStr">
        <is>
          <t>OTH – Other</t>
        </is>
      </c>
    </row>
    <row r="227">
      <c r="C227" s="16" t="inlineStr">
        <is>
          <t>Ladle &amp; ladle / transfer car</t>
        </is>
      </c>
      <c r="D227" s="16" t="inlineStr">
        <is>
          <t>Car drive</t>
        </is>
      </c>
      <c r="F227" s="16" t="inlineStr">
        <is>
          <t>Burner / combustion system</t>
        </is>
      </c>
      <c r="G227" s="16" t="inlineStr">
        <is>
          <t>FTS – Fail to ignite</t>
        </is>
      </c>
    </row>
    <row r="228">
      <c r="C228" s="16" t="inlineStr">
        <is>
          <t>Ladle &amp; ladle / transfer car</t>
        </is>
      </c>
      <c r="D228" s="16" t="inlineStr">
        <is>
          <t>Tilting mechanism</t>
        </is>
      </c>
      <c r="F228" s="16" t="inlineStr">
        <is>
          <t>Burner / combustion system</t>
        </is>
      </c>
      <c r="G228" s="16" t="inlineStr">
        <is>
          <t>UST – Flame failure / flame-out</t>
        </is>
      </c>
    </row>
    <row r="229">
      <c r="C229" s="16" t="inlineStr">
        <is>
          <t>Ladle &amp; ladle / transfer car</t>
        </is>
      </c>
      <c r="D229" s="16" t="inlineStr">
        <is>
          <t>Power cable / festoon</t>
        </is>
      </c>
      <c r="F229" s="16" t="inlineStr">
        <is>
          <t>Burner / combustion system</t>
        </is>
      </c>
      <c r="G229" s="16" t="inlineStr">
        <is>
          <t>FTC – Fail to shut off fuel</t>
        </is>
      </c>
    </row>
    <row r="230">
      <c r="F230" s="16" t="inlineStr">
        <is>
          <t>Burner / combustion system</t>
        </is>
      </c>
      <c r="G230" s="16" t="inlineStr">
        <is>
          <t>PDE – Incorrect air / fuel ratio</t>
        </is>
      </c>
    </row>
    <row r="231">
      <c r="F231" s="16" t="inlineStr">
        <is>
          <t>Burner / combustion system</t>
        </is>
      </c>
      <c r="G231" s="16" t="inlineStr">
        <is>
          <t>OTH – Flashback / backfire</t>
        </is>
      </c>
    </row>
    <row r="232">
      <c r="F232" s="16" t="inlineStr">
        <is>
          <t>Burner / combustion system</t>
        </is>
      </c>
      <c r="G232" s="16" t="inlineStr">
        <is>
          <t>ELP – Fuel gas leakage</t>
        </is>
      </c>
    </row>
    <row r="233">
      <c r="F233" s="16" t="inlineStr">
        <is>
          <t>Burner / combustion system</t>
        </is>
      </c>
      <c r="G233" s="16" t="inlineStr">
        <is>
          <t>OTH – Other</t>
        </is>
      </c>
    </row>
    <row r="234">
      <c r="F234" s="16" t="inlineStr">
        <is>
          <t>Cooling tower / closed cooling circuit</t>
        </is>
      </c>
      <c r="G234" s="16" t="inlineStr">
        <is>
          <t>LOO – Insufficient cooling</t>
        </is>
      </c>
    </row>
    <row r="235">
      <c r="F235" s="16" t="inlineStr">
        <is>
          <t>Cooling tower / closed cooling circuit</t>
        </is>
      </c>
      <c r="G235" s="16" t="inlineStr">
        <is>
          <t>PLU – Fouling / scaling</t>
        </is>
      </c>
    </row>
    <row r="236">
      <c r="F236" s="16" t="inlineStr">
        <is>
          <t>Cooling tower / closed cooling circuit</t>
        </is>
      </c>
      <c r="G236" s="16" t="inlineStr">
        <is>
          <t>ELP – Water leakage</t>
        </is>
      </c>
    </row>
    <row r="237">
      <c r="F237" s="16" t="inlineStr">
        <is>
          <t>Cooling tower / closed cooling circuit</t>
        </is>
      </c>
      <c r="G237" s="16" t="inlineStr">
        <is>
          <t>VIB – Fan vibration</t>
        </is>
      </c>
    </row>
    <row r="238">
      <c r="F238" s="16" t="inlineStr">
        <is>
          <t>Cooling tower / closed cooling circuit</t>
        </is>
      </c>
      <c r="G238" s="16" t="inlineStr">
        <is>
          <t>PDE – Water chemistry out of specification</t>
        </is>
      </c>
    </row>
    <row r="239">
      <c r="F239" s="16" t="inlineStr">
        <is>
          <t>Cooling tower / closed cooling circuit</t>
        </is>
      </c>
      <c r="G239" s="16" t="inlineStr">
        <is>
          <t>STD – Structural deficiency</t>
        </is>
      </c>
    </row>
    <row r="240">
      <c r="F240" s="16" t="inlineStr">
        <is>
          <t>Cooling tower / closed cooling circuit</t>
        </is>
      </c>
      <c r="G240" s="16" t="inlineStr">
        <is>
          <t>OTH – Other</t>
        </is>
      </c>
    </row>
    <row r="241">
      <c r="F241" s="16" t="inlineStr">
        <is>
          <t>Bag filter / dust collector</t>
        </is>
      </c>
      <c r="G241" s="16" t="inlineStr">
        <is>
          <t>PLU – High differential pressure / bag blinding</t>
        </is>
      </c>
    </row>
    <row r="242">
      <c r="F242" s="16" t="inlineStr">
        <is>
          <t>Bag filter / dust collector</t>
        </is>
      </c>
      <c r="G242" s="16" t="inlineStr">
        <is>
          <t>ELP – Bag rupture – dust emission</t>
        </is>
      </c>
    </row>
    <row r="243">
      <c r="F243" s="16" t="inlineStr">
        <is>
          <t>Bag filter / dust collector</t>
        </is>
      </c>
      <c r="G243" s="16" t="inlineStr">
        <is>
          <t>OTH – Fire / explosion</t>
        </is>
      </c>
    </row>
    <row r="244">
      <c r="F244" s="16" t="inlineStr">
        <is>
          <t>Bag filter / dust collector</t>
        </is>
      </c>
      <c r="G244" s="16" t="inlineStr">
        <is>
          <t>PLU – Hopper blockage</t>
        </is>
      </c>
    </row>
    <row r="245">
      <c r="F245" s="16" t="inlineStr">
        <is>
          <t>Bag filter / dust collector</t>
        </is>
      </c>
      <c r="G245" s="16" t="inlineStr">
        <is>
          <t>FTF – Cleaning system failure</t>
        </is>
      </c>
    </row>
    <row r="246">
      <c r="F246" s="16" t="inlineStr">
        <is>
          <t>Bag filter / dust collector</t>
        </is>
      </c>
      <c r="G246" s="16" t="inlineStr">
        <is>
          <t>OTH – Other</t>
        </is>
      </c>
    </row>
    <row r="247">
      <c r="F247" s="16" t="inlineStr">
        <is>
          <t>Ladle &amp; ladle / transfer car</t>
        </is>
      </c>
      <c r="G247" s="16" t="inlineStr">
        <is>
          <t>STD – Trunnion / shell crack</t>
        </is>
      </c>
    </row>
    <row r="248">
      <c r="F248" s="16" t="inlineStr">
        <is>
          <t>Ladle &amp; ladle / transfer car</t>
        </is>
      </c>
      <c r="G248" s="16" t="inlineStr">
        <is>
          <t>FTC – Slide gate fails to close</t>
        </is>
      </c>
    </row>
    <row r="249">
      <c r="F249" s="16" t="inlineStr">
        <is>
          <t>Ladle &amp; ladle / transfer car</t>
        </is>
      </c>
      <c r="G249" s="16" t="inlineStr">
        <is>
          <t>LCP – Slide gate leakage</t>
        </is>
      </c>
    </row>
    <row r="250">
      <c r="F250" s="16" t="inlineStr">
        <is>
          <t>Ladle &amp; ladle / transfer car</t>
        </is>
      </c>
      <c r="G250" s="16" t="inlineStr">
        <is>
          <t>FTS – Car fails to travel</t>
        </is>
      </c>
    </row>
    <row r="251">
      <c r="F251" s="16" t="inlineStr">
        <is>
          <t>Ladle &amp; ladle / transfer car</t>
        </is>
      </c>
      <c r="G251" s="16" t="inlineStr">
        <is>
          <t>OTH – Derailment / collision</t>
        </is>
      </c>
    </row>
    <row r="252">
      <c r="F252" s="16" t="inlineStr">
        <is>
          <t>Ladle &amp; ladle / transfer car</t>
        </is>
      </c>
      <c r="G252" s="16" t="inlineStr">
        <is>
          <t>BRD – Breakout</t>
        </is>
      </c>
    </row>
    <row r="253">
      <c r="F253" s="16" t="inlineStr">
        <is>
          <t>Ladle &amp; ladle / transfer car</t>
        </is>
      </c>
      <c r="G253" s="16" t="inlineStr">
        <is>
          <t>OTH – Other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79"/>
  <sheetViews>
    <sheetView workbookViewId="0">
      <selection activeCell="A1" sqref="A1"/>
    </sheetView>
  </sheetViews>
  <sheetFormatPr baseColWidth="8" defaultRowHeight="15"/>
  <cols>
    <col width="4" customWidth="1" min="1" max="1"/>
    <col width="30" customWidth="1" min="2" max="2"/>
    <col width="22" customWidth="1" min="3" max="3"/>
    <col width="70" customWidth="1" min="4" max="4"/>
    <col width="4" customWidth="1" min="5" max="5"/>
    <col width="16" customWidth="1" min="6" max="6"/>
    <col width="16" customWidth="1" min="7" max="7"/>
    <col width="16" customWidth="1" min="8" max="8"/>
  </cols>
  <sheetData>
    <row r="1">
      <c r="A1" s="1" t="inlineStr">
        <is>
          <t>RATING SCALES</t>
        </is>
      </c>
    </row>
    <row r="2">
      <c r="A2" s="2" t="inlineStr">
        <is>
          <t>Typical process-plant scales – calibrate Occurrence with site failure history / reliability data and align Severity with the HAZOP risk matrix before the study.</t>
        </is>
      </c>
    </row>
    <row r="4">
      <c r="B4" s="8" t="inlineStr">
        <is>
          <t>Severity (S)</t>
        </is>
      </c>
      <c r="C4" s="8" t="inlineStr">
        <is>
          <t>Rank</t>
        </is>
      </c>
      <c r="D4" s="8" t="inlineStr">
        <is>
          <t>Criteria</t>
        </is>
      </c>
    </row>
    <row r="5">
      <c r="B5" s="11" t="inlineStr">
        <is>
          <t>10 – Hazardous – without warning</t>
        </is>
      </c>
      <c r="C5" s="13" t="inlineStr">
        <is>
          <t>Hazardous – without warning</t>
        </is>
      </c>
      <c r="D5" s="13" t="inlineStr">
        <is>
          <t>Failure can cause fatality, major fire / explosion or major environmental release without warning</t>
        </is>
      </c>
    </row>
    <row r="6">
      <c r="B6" s="11" t="inlineStr">
        <is>
          <t>9 – Hazardous – with warning</t>
        </is>
      </c>
      <c r="C6" s="13" t="inlineStr">
        <is>
          <t>Hazardous – with warning</t>
        </is>
      </c>
      <c r="D6" s="13" t="inlineStr">
        <is>
          <t>Failure can cause fatality, serious injury or major release, with some warning</t>
        </is>
      </c>
    </row>
    <row r="7">
      <c r="B7" s="11" t="inlineStr">
        <is>
          <t>8 – Very high</t>
        </is>
      </c>
      <c r="C7" s="13" t="inlineStr">
        <is>
          <t>Very high</t>
        </is>
      </c>
      <c r="D7" s="13" t="inlineStr">
        <is>
          <t>Loss of primary function; plant / unit shutdown &gt; 1 week or major equipment damage</t>
        </is>
      </c>
    </row>
    <row r="8">
      <c r="B8" s="11" t="inlineStr">
        <is>
          <t>7 – High</t>
        </is>
      </c>
      <c r="C8" s="13" t="inlineStr">
        <is>
          <t>High</t>
        </is>
      </c>
      <c r="D8" s="13" t="inlineStr">
        <is>
          <t>Loss of function; unit shutdown or major production loss of several days</t>
        </is>
      </c>
    </row>
    <row r="9">
      <c r="B9" s="11" t="inlineStr">
        <is>
          <t>6 – Moderate</t>
        </is>
      </c>
      <c r="C9" s="13" t="inlineStr">
        <is>
          <t>Moderate</t>
        </is>
      </c>
      <c r="D9" s="13" t="inlineStr">
        <is>
          <t>Partial loss of function; reduced throughput or quality; significant repair cost</t>
        </is>
      </c>
    </row>
    <row r="10">
      <c r="B10" s="11" t="inlineStr">
        <is>
          <t>5 – Low</t>
        </is>
      </c>
      <c r="C10" s="13" t="inlineStr">
        <is>
          <t>Low</t>
        </is>
      </c>
      <c r="D10" s="13" t="inlineStr">
        <is>
          <t>Reduced performance; repair without shutdown at notable cost; minor reportable incident</t>
        </is>
      </c>
    </row>
    <row r="11">
      <c r="B11" s="11" t="inlineStr">
        <is>
          <t>4 – Very low</t>
        </is>
      </c>
      <c r="C11" s="13" t="inlineStr">
        <is>
          <t>Very low</t>
        </is>
      </c>
      <c r="D11" s="13" t="inlineStr">
        <is>
          <t>Minor performance degradation noticed by operators; routine repair</t>
        </is>
      </c>
    </row>
    <row r="12">
      <c r="B12" s="11" t="inlineStr">
        <is>
          <t>3 – Minor</t>
        </is>
      </c>
      <c r="C12" s="13" t="inlineStr">
        <is>
          <t>Minor</t>
        </is>
      </c>
      <c r="D12" s="13" t="inlineStr">
        <is>
          <t>Minor effect on performance; repair at next opportunity</t>
        </is>
      </c>
    </row>
    <row r="13">
      <c r="B13" s="11" t="inlineStr">
        <is>
          <t>2 – Very minor</t>
        </is>
      </c>
      <c r="C13" s="13" t="inlineStr">
        <is>
          <t>Very minor</t>
        </is>
      </c>
      <c r="D13" s="13" t="inlineStr">
        <is>
          <t>Negligible effect; cosmetic or nuisance</t>
        </is>
      </c>
    </row>
    <row r="14">
      <c r="B14" s="11" t="inlineStr">
        <is>
          <t>1 – None</t>
        </is>
      </c>
      <c r="C14" s="13" t="inlineStr">
        <is>
          <t>None</t>
        </is>
      </c>
      <c r="D14" s="13" t="inlineStr">
        <is>
          <t>No discernible effect</t>
        </is>
      </c>
    </row>
    <row r="16">
      <c r="B16" s="8" t="inlineStr">
        <is>
          <t>Occurrence (O)</t>
        </is>
      </c>
      <c r="C16" s="8" t="inlineStr">
        <is>
          <t>Rank</t>
        </is>
      </c>
      <c r="D16" s="8" t="inlineStr">
        <is>
          <t>Criteria</t>
        </is>
      </c>
    </row>
    <row r="17">
      <c r="B17" s="11" t="inlineStr">
        <is>
          <t>10 – Very high</t>
        </is>
      </c>
      <c r="C17" s="13" t="inlineStr">
        <is>
          <t>Very high</t>
        </is>
      </c>
      <c r="D17" s="13" t="inlineStr">
        <is>
          <t>More than once per month</t>
        </is>
      </c>
    </row>
    <row r="18">
      <c r="B18" s="11" t="inlineStr">
        <is>
          <t>9 – Very high</t>
        </is>
      </c>
      <c r="C18" s="13" t="inlineStr">
        <is>
          <t>Very high</t>
        </is>
      </c>
      <c r="D18" s="13" t="inlineStr">
        <is>
          <t>Once per 1–3 months</t>
        </is>
      </c>
    </row>
    <row r="19">
      <c r="B19" s="11" t="inlineStr">
        <is>
          <t>8 – High</t>
        </is>
      </c>
      <c r="C19" s="13" t="inlineStr">
        <is>
          <t>High</t>
        </is>
      </c>
      <c r="D19" s="13" t="inlineStr">
        <is>
          <t>Once per 3–6 months</t>
        </is>
      </c>
    </row>
    <row r="20">
      <c r="B20" s="11" t="inlineStr">
        <is>
          <t>7 – High</t>
        </is>
      </c>
      <c r="C20" s="13" t="inlineStr">
        <is>
          <t>High</t>
        </is>
      </c>
      <c r="D20" s="13" t="inlineStr">
        <is>
          <t>Once per 6–12 months</t>
        </is>
      </c>
    </row>
    <row r="21">
      <c r="B21" s="11" t="inlineStr">
        <is>
          <t>6 – Moderate</t>
        </is>
      </c>
      <c r="C21" s="13" t="inlineStr">
        <is>
          <t>Moderate</t>
        </is>
      </c>
      <c r="D21" s="13" t="inlineStr">
        <is>
          <t>Once per 1–2 years</t>
        </is>
      </c>
    </row>
    <row r="22">
      <c r="B22" s="11" t="inlineStr">
        <is>
          <t>5 – Moderate</t>
        </is>
      </c>
      <c r="C22" s="13" t="inlineStr">
        <is>
          <t>Moderate</t>
        </is>
      </c>
      <c r="D22" s="13" t="inlineStr">
        <is>
          <t>Once per 2–5 years</t>
        </is>
      </c>
    </row>
    <row r="23">
      <c r="B23" s="11" t="inlineStr">
        <is>
          <t>4 – Low</t>
        </is>
      </c>
      <c r="C23" s="13" t="inlineStr">
        <is>
          <t>Low</t>
        </is>
      </c>
      <c r="D23" s="13" t="inlineStr">
        <is>
          <t>Once per 5–10 years</t>
        </is>
      </c>
    </row>
    <row r="24">
      <c r="B24" s="11" t="inlineStr">
        <is>
          <t>3 – Low</t>
        </is>
      </c>
      <c r="C24" s="13" t="inlineStr">
        <is>
          <t>Low</t>
        </is>
      </c>
      <c r="D24" s="13" t="inlineStr">
        <is>
          <t>Once per 10–20 years</t>
        </is>
      </c>
    </row>
    <row r="25">
      <c r="B25" s="11" t="inlineStr">
        <is>
          <t>2 – Remote</t>
        </is>
      </c>
      <c r="C25" s="13" t="inlineStr">
        <is>
          <t>Remote</t>
        </is>
      </c>
      <c r="D25" s="13" t="inlineStr">
        <is>
          <t>Once per 20–50 years</t>
        </is>
      </c>
    </row>
    <row r="26">
      <c r="B26" s="11" t="inlineStr">
        <is>
          <t>1 – Extremely remote</t>
        </is>
      </c>
      <c r="C26" s="13" t="inlineStr">
        <is>
          <t>Extremely remote</t>
        </is>
      </c>
      <c r="D26" s="13" t="inlineStr">
        <is>
          <t>Less than once per 50 years</t>
        </is>
      </c>
    </row>
    <row r="28">
      <c r="B28" s="8" t="inlineStr">
        <is>
          <t>Detection (D)</t>
        </is>
      </c>
      <c r="C28" s="8" t="inlineStr">
        <is>
          <t>Rank</t>
        </is>
      </c>
      <c r="D28" s="8" t="inlineStr">
        <is>
          <t>Criteria</t>
        </is>
      </c>
    </row>
    <row r="29">
      <c r="B29" s="11" t="inlineStr">
        <is>
          <t>10 – Absolute uncertainty</t>
        </is>
      </c>
      <c r="C29" s="13" t="inlineStr">
        <is>
          <t>Absolute uncertainty</t>
        </is>
      </c>
      <c r="D29" s="13" t="inlineStr">
        <is>
          <t>Hidden failure – no means of detection before demand / functional failure</t>
        </is>
      </c>
    </row>
    <row r="30">
      <c r="B30" s="11" t="inlineStr">
        <is>
          <t>9 – Very remote</t>
        </is>
      </c>
      <c r="C30" s="13" t="inlineStr">
        <is>
          <t>Very remote</t>
        </is>
      </c>
      <c r="D30" s="13" t="inlineStr">
        <is>
          <t>Detected only after functional failure has occurred</t>
        </is>
      </c>
    </row>
    <row r="31">
      <c r="B31" s="11" t="inlineStr">
        <is>
          <t>8 – Remote</t>
        </is>
      </c>
      <c r="C31" s="13" t="inlineStr">
        <is>
          <t>Remote</t>
        </is>
      </c>
      <c r="D31" s="13" t="inlineStr">
        <is>
          <t>Detected only at proof test or shutdown inspection</t>
        </is>
      </c>
    </row>
    <row r="32">
      <c r="B32" s="11" t="inlineStr">
        <is>
          <t>7 – Very low</t>
        </is>
      </c>
      <c r="C32" s="13" t="inlineStr">
        <is>
          <t>Very low</t>
        </is>
      </c>
      <c r="D32" s="13" t="inlineStr">
        <is>
          <t>Detected only by operator senses (sight, sound, smell) on rounds</t>
        </is>
      </c>
    </row>
    <row r="33">
      <c r="B33" s="11" t="inlineStr">
        <is>
          <t>6 – Low</t>
        </is>
      </c>
      <c r="C33" s="13" t="inlineStr">
        <is>
          <t>Low</t>
        </is>
      </c>
      <c r="D33" s="13" t="inlineStr">
        <is>
          <t>Periodic inspection with limited ability to detect the failure mechanism</t>
        </is>
      </c>
    </row>
    <row r="34">
      <c r="B34" s="11" t="inlineStr">
        <is>
          <t>5 – Moderate</t>
        </is>
      </c>
      <c r="C34" s="13" t="inlineStr">
        <is>
          <t>Moderate</t>
        </is>
      </c>
      <c r="D34" s="13" t="inlineStr">
        <is>
          <t>Periodic condition monitoring (e.g. quarterly) or instrumented operator rounds</t>
        </is>
      </c>
    </row>
    <row r="35">
      <c r="B35" s="11" t="inlineStr">
        <is>
          <t>4 – Moderately high</t>
        </is>
      </c>
      <c r="C35" s="13" t="inlineStr">
        <is>
          <t>Moderately high</t>
        </is>
      </c>
      <c r="D35" s="13" t="inlineStr">
        <is>
          <t>Frequent condition monitoring (e.g. monthly) with good detection capability</t>
        </is>
      </c>
    </row>
    <row r="36">
      <c r="B36" s="11" t="inlineStr">
        <is>
          <t>3 – High</t>
        </is>
      </c>
      <c r="C36" s="13" t="inlineStr">
        <is>
          <t>High</t>
        </is>
      </c>
      <c r="D36" s="13" t="inlineStr">
        <is>
          <t>Online monitoring with alarm; detection with time to act</t>
        </is>
      </c>
    </row>
    <row r="37">
      <c r="B37" s="11" t="inlineStr">
        <is>
          <t>2 – Very high</t>
        </is>
      </c>
      <c r="C37" s="13" t="inlineStr">
        <is>
          <t>Very high</t>
        </is>
      </c>
      <c r="D37" s="13" t="inlineStr">
        <is>
          <t>Online monitoring with alarm and automatic protection; early detection</t>
        </is>
      </c>
    </row>
    <row r="38">
      <c r="B38" s="11" t="inlineStr">
        <is>
          <t>1 – Almost certain</t>
        </is>
      </c>
      <c r="C38" s="13" t="inlineStr">
        <is>
          <t>Almost certain</t>
        </is>
      </c>
      <c r="D38" s="13" t="inlineStr">
        <is>
          <t>Failure mechanism prevented or detected continuously well before functional failure</t>
        </is>
      </c>
    </row>
    <row r="40">
      <c r="B40" s="8" t="inlineStr">
        <is>
          <t>Action thresholds (editable)</t>
        </is>
      </c>
      <c r="C40" s="8" t="inlineStr">
        <is>
          <t>Value</t>
        </is>
      </c>
      <c r="D40" s="8" t="inlineStr">
        <is>
          <t>Meaning</t>
        </is>
      </c>
    </row>
    <row r="41">
      <c r="B41" s="11" t="inlineStr">
        <is>
          <t>Severity threshold</t>
        </is>
      </c>
      <c r="C41" s="17" t="n">
        <v>9</v>
      </c>
      <c r="D41" s="13" t="inlineStr">
        <is>
          <t>Action required for any failure mode with S at or above this value</t>
        </is>
      </c>
    </row>
    <row r="42">
      <c r="B42" s="11" t="inlineStr">
        <is>
          <t>RPN threshold</t>
        </is>
      </c>
      <c r="C42" s="17" t="n">
        <v>125</v>
      </c>
      <c r="D42" s="13" t="inlineStr">
        <is>
          <t>Action required for any failure mode with RPN at or above this value</t>
        </is>
      </c>
    </row>
    <row r="43">
      <c r="B43" s="11" t="inlineStr">
        <is>
          <t>Action Priority</t>
        </is>
      </c>
      <c r="C43" s="17" t="inlineStr">
        <is>
          <t>H</t>
        </is>
      </c>
      <c r="D43" s="13" t="inlineStr">
        <is>
          <t>Action required for every failure mode with Action Priority H (and justify M items left without action)</t>
        </is>
      </c>
    </row>
    <row r="46">
      <c r="B46" s="18" t="inlineStr">
        <is>
          <t>ACTION PRIORITY (AP) TABLE</t>
        </is>
      </c>
    </row>
    <row r="47">
      <c r="B47" s="19" t="inlineStr">
        <is>
          <t>Based on the AIAG-VDA FMEA Handbook (2019) Action Priority logic. Editable – verify against your licensed copy / company standard.</t>
        </is>
      </c>
    </row>
    <row r="49">
      <c r="B49" s="8" t="inlineStr">
        <is>
          <t>Severity band</t>
        </is>
      </c>
      <c r="C49" s="8" t="inlineStr">
        <is>
          <t>Occurrence band</t>
        </is>
      </c>
      <c r="D49" s="8" t="inlineStr">
        <is>
          <t>Detection band →</t>
        </is>
      </c>
      <c r="E49" s="8" t="inlineStr">
        <is>
          <t>D 7–10</t>
        </is>
      </c>
      <c r="F49" s="8" t="inlineStr">
        <is>
          <t>D 5–6</t>
        </is>
      </c>
      <c r="G49" s="8" t="inlineStr">
        <is>
          <t>D 2–4</t>
        </is>
      </c>
      <c r="H49" s="8" t="inlineStr">
        <is>
          <t>D 1</t>
        </is>
      </c>
    </row>
    <row r="50">
      <c r="B50" s="11" t="inlineStr">
        <is>
          <t>S 9–10</t>
        </is>
      </c>
      <c r="C50" s="7" t="inlineStr">
        <is>
          <t>O 8–10</t>
        </is>
      </c>
      <c r="E50" s="20" t="inlineStr">
        <is>
          <t>H</t>
        </is>
      </c>
      <c r="F50" s="20" t="inlineStr">
        <is>
          <t>H</t>
        </is>
      </c>
      <c r="G50" s="20" t="inlineStr">
        <is>
          <t>H</t>
        </is>
      </c>
      <c r="H50" s="20" t="inlineStr">
        <is>
          <t>H</t>
        </is>
      </c>
    </row>
    <row r="51">
      <c r="B51" s="11" t="inlineStr">
        <is>
          <t>S 9–10</t>
        </is>
      </c>
      <c r="C51" s="7" t="inlineStr">
        <is>
          <t>O 6–7</t>
        </is>
      </c>
      <c r="E51" s="20" t="inlineStr">
        <is>
          <t>H</t>
        </is>
      </c>
      <c r="F51" s="20" t="inlineStr">
        <is>
          <t>H</t>
        </is>
      </c>
      <c r="G51" s="20" t="inlineStr">
        <is>
          <t>H</t>
        </is>
      </c>
      <c r="H51" s="20" t="inlineStr">
        <is>
          <t>H</t>
        </is>
      </c>
    </row>
    <row r="52">
      <c r="B52" s="11" t="inlineStr">
        <is>
          <t>S 9–10</t>
        </is>
      </c>
      <c r="C52" s="7" t="inlineStr">
        <is>
          <t>O 4–5</t>
        </is>
      </c>
      <c r="E52" s="20" t="inlineStr">
        <is>
          <t>H</t>
        </is>
      </c>
      <c r="F52" s="20" t="inlineStr">
        <is>
          <t>H</t>
        </is>
      </c>
      <c r="G52" s="20" t="inlineStr">
        <is>
          <t>H</t>
        </is>
      </c>
      <c r="H52" s="20" t="inlineStr">
        <is>
          <t>M</t>
        </is>
      </c>
    </row>
    <row r="53">
      <c r="B53" s="11" t="inlineStr">
        <is>
          <t>S 9–10</t>
        </is>
      </c>
      <c r="C53" s="7" t="inlineStr">
        <is>
          <t>O 2–3</t>
        </is>
      </c>
      <c r="E53" s="20" t="inlineStr">
        <is>
          <t>H</t>
        </is>
      </c>
      <c r="F53" s="20" t="inlineStr">
        <is>
          <t>M</t>
        </is>
      </c>
      <c r="G53" s="20" t="inlineStr">
        <is>
          <t>L</t>
        </is>
      </c>
      <c r="H53" s="20" t="inlineStr">
        <is>
          <t>L</t>
        </is>
      </c>
    </row>
    <row r="54">
      <c r="B54" s="11" t="inlineStr">
        <is>
          <t>S 9–10</t>
        </is>
      </c>
      <c r="C54" s="7" t="inlineStr">
        <is>
          <t>O 1</t>
        </is>
      </c>
      <c r="E54" s="20" t="inlineStr">
        <is>
          <t>L</t>
        </is>
      </c>
      <c r="F54" s="20" t="inlineStr">
        <is>
          <t>L</t>
        </is>
      </c>
      <c r="G54" s="20" t="inlineStr">
        <is>
          <t>L</t>
        </is>
      </c>
      <c r="H54" s="20" t="inlineStr">
        <is>
          <t>L</t>
        </is>
      </c>
    </row>
    <row r="55">
      <c r="B55" s="11" t="inlineStr">
        <is>
          <t>S 7–8</t>
        </is>
      </c>
      <c r="C55" s="7" t="inlineStr">
        <is>
          <t>O 8–10</t>
        </is>
      </c>
      <c r="E55" s="20" t="inlineStr">
        <is>
          <t>H</t>
        </is>
      </c>
      <c r="F55" s="20" t="inlineStr">
        <is>
          <t>H</t>
        </is>
      </c>
      <c r="G55" s="20" t="inlineStr">
        <is>
          <t>H</t>
        </is>
      </c>
      <c r="H55" s="20" t="inlineStr">
        <is>
          <t>H</t>
        </is>
      </c>
    </row>
    <row r="56">
      <c r="B56" s="11" t="inlineStr">
        <is>
          <t>S 7–8</t>
        </is>
      </c>
      <c r="C56" s="7" t="inlineStr">
        <is>
          <t>O 6–7</t>
        </is>
      </c>
      <c r="E56" s="20" t="inlineStr">
        <is>
          <t>H</t>
        </is>
      </c>
      <c r="F56" s="20" t="inlineStr">
        <is>
          <t>H</t>
        </is>
      </c>
      <c r="G56" s="20" t="inlineStr">
        <is>
          <t>H</t>
        </is>
      </c>
      <c r="H56" s="20" t="inlineStr">
        <is>
          <t>M</t>
        </is>
      </c>
    </row>
    <row r="57">
      <c r="B57" s="11" t="inlineStr">
        <is>
          <t>S 7–8</t>
        </is>
      </c>
      <c r="C57" s="7" t="inlineStr">
        <is>
          <t>O 4–5</t>
        </is>
      </c>
      <c r="E57" s="20" t="inlineStr">
        <is>
          <t>H</t>
        </is>
      </c>
      <c r="F57" s="20" t="inlineStr">
        <is>
          <t>M</t>
        </is>
      </c>
      <c r="G57" s="20" t="inlineStr">
        <is>
          <t>M</t>
        </is>
      </c>
      <c r="H57" s="20" t="inlineStr">
        <is>
          <t>M</t>
        </is>
      </c>
    </row>
    <row r="58">
      <c r="B58" s="11" t="inlineStr">
        <is>
          <t>S 7–8</t>
        </is>
      </c>
      <c r="C58" s="7" t="inlineStr">
        <is>
          <t>O 2–3</t>
        </is>
      </c>
      <c r="E58" s="20" t="inlineStr">
        <is>
          <t>M</t>
        </is>
      </c>
      <c r="F58" s="20" t="inlineStr">
        <is>
          <t>M</t>
        </is>
      </c>
      <c r="G58" s="20" t="inlineStr">
        <is>
          <t>L</t>
        </is>
      </c>
      <c r="H58" s="20" t="inlineStr">
        <is>
          <t>L</t>
        </is>
      </c>
    </row>
    <row r="59">
      <c r="B59" s="11" t="inlineStr">
        <is>
          <t>S 7–8</t>
        </is>
      </c>
      <c r="C59" s="7" t="inlineStr">
        <is>
          <t>O 1</t>
        </is>
      </c>
      <c r="E59" s="20" t="inlineStr">
        <is>
          <t>L</t>
        </is>
      </c>
      <c r="F59" s="20" t="inlineStr">
        <is>
          <t>L</t>
        </is>
      </c>
      <c r="G59" s="20" t="inlineStr">
        <is>
          <t>L</t>
        </is>
      </c>
      <c r="H59" s="20" t="inlineStr">
        <is>
          <t>L</t>
        </is>
      </c>
    </row>
    <row r="60">
      <c r="B60" s="11" t="inlineStr">
        <is>
          <t>S 4–6</t>
        </is>
      </c>
      <c r="C60" s="7" t="inlineStr">
        <is>
          <t>O 8–10</t>
        </is>
      </c>
      <c r="E60" s="20" t="inlineStr">
        <is>
          <t>H</t>
        </is>
      </c>
      <c r="F60" s="20" t="inlineStr">
        <is>
          <t>H</t>
        </is>
      </c>
      <c r="G60" s="20" t="inlineStr">
        <is>
          <t>M</t>
        </is>
      </c>
      <c r="H60" s="20" t="inlineStr">
        <is>
          <t>M</t>
        </is>
      </c>
    </row>
    <row r="61">
      <c r="B61" s="11" t="inlineStr">
        <is>
          <t>S 4–6</t>
        </is>
      </c>
      <c r="C61" s="7" t="inlineStr">
        <is>
          <t>O 6–7</t>
        </is>
      </c>
      <c r="E61" s="20" t="inlineStr">
        <is>
          <t>M</t>
        </is>
      </c>
      <c r="F61" s="20" t="inlineStr">
        <is>
          <t>M</t>
        </is>
      </c>
      <c r="G61" s="20" t="inlineStr">
        <is>
          <t>M</t>
        </is>
      </c>
      <c r="H61" s="20" t="inlineStr">
        <is>
          <t>L</t>
        </is>
      </c>
    </row>
    <row r="62">
      <c r="B62" s="11" t="inlineStr">
        <is>
          <t>S 4–6</t>
        </is>
      </c>
      <c r="C62" s="7" t="inlineStr">
        <is>
          <t>O 4–5</t>
        </is>
      </c>
      <c r="E62" s="20" t="inlineStr">
        <is>
          <t>M</t>
        </is>
      </c>
      <c r="F62" s="20" t="inlineStr">
        <is>
          <t>L</t>
        </is>
      </c>
      <c r="G62" s="20" t="inlineStr">
        <is>
          <t>L</t>
        </is>
      </c>
      <c r="H62" s="20" t="inlineStr">
        <is>
          <t>L</t>
        </is>
      </c>
    </row>
    <row r="63">
      <c r="B63" s="11" t="inlineStr">
        <is>
          <t>S 4–6</t>
        </is>
      </c>
      <c r="C63" s="7" t="inlineStr">
        <is>
          <t>O 2–3</t>
        </is>
      </c>
      <c r="E63" s="20" t="inlineStr">
        <is>
          <t>L</t>
        </is>
      </c>
      <c r="F63" s="20" t="inlineStr">
        <is>
          <t>L</t>
        </is>
      </c>
      <c r="G63" s="20" t="inlineStr">
        <is>
          <t>L</t>
        </is>
      </c>
      <c r="H63" s="20" t="inlineStr">
        <is>
          <t>L</t>
        </is>
      </c>
    </row>
    <row r="64">
      <c r="B64" s="11" t="inlineStr">
        <is>
          <t>S 4–6</t>
        </is>
      </c>
      <c r="C64" s="7" t="inlineStr">
        <is>
          <t>O 1</t>
        </is>
      </c>
      <c r="E64" s="20" t="inlineStr">
        <is>
          <t>L</t>
        </is>
      </c>
      <c r="F64" s="20" t="inlineStr">
        <is>
          <t>L</t>
        </is>
      </c>
      <c r="G64" s="20" t="inlineStr">
        <is>
          <t>L</t>
        </is>
      </c>
      <c r="H64" s="20" t="inlineStr">
        <is>
          <t>L</t>
        </is>
      </c>
    </row>
    <row r="65">
      <c r="B65" s="11" t="inlineStr">
        <is>
          <t>S 2–3</t>
        </is>
      </c>
      <c r="C65" s="7" t="inlineStr">
        <is>
          <t>O 8–10</t>
        </is>
      </c>
      <c r="E65" s="20" t="inlineStr">
        <is>
          <t>M</t>
        </is>
      </c>
      <c r="F65" s="20" t="inlineStr">
        <is>
          <t>M</t>
        </is>
      </c>
      <c r="G65" s="20" t="inlineStr">
        <is>
          <t>L</t>
        </is>
      </c>
      <c r="H65" s="20" t="inlineStr">
        <is>
          <t>L</t>
        </is>
      </c>
    </row>
    <row r="66">
      <c r="B66" s="11" t="inlineStr">
        <is>
          <t>S 2–3</t>
        </is>
      </c>
      <c r="C66" s="7" t="inlineStr">
        <is>
          <t>O 6–7</t>
        </is>
      </c>
      <c r="E66" s="20" t="inlineStr">
        <is>
          <t>L</t>
        </is>
      </c>
      <c r="F66" s="20" t="inlineStr">
        <is>
          <t>L</t>
        </is>
      </c>
      <c r="G66" s="20" t="inlineStr">
        <is>
          <t>L</t>
        </is>
      </c>
      <c r="H66" s="20" t="inlineStr">
        <is>
          <t>L</t>
        </is>
      </c>
    </row>
    <row r="67">
      <c r="B67" s="11" t="inlineStr">
        <is>
          <t>S 2–3</t>
        </is>
      </c>
      <c r="C67" s="7" t="inlineStr">
        <is>
          <t>O 4–5</t>
        </is>
      </c>
      <c r="E67" s="20" t="inlineStr">
        <is>
          <t>L</t>
        </is>
      </c>
      <c r="F67" s="20" t="inlineStr">
        <is>
          <t>L</t>
        </is>
      </c>
      <c r="G67" s="20" t="inlineStr">
        <is>
          <t>L</t>
        </is>
      </c>
      <c r="H67" s="20" t="inlineStr">
        <is>
          <t>L</t>
        </is>
      </c>
    </row>
    <row r="68">
      <c r="B68" s="11" t="inlineStr">
        <is>
          <t>S 2–3</t>
        </is>
      </c>
      <c r="C68" s="7" t="inlineStr">
        <is>
          <t>O 2–3</t>
        </is>
      </c>
      <c r="E68" s="20" t="inlineStr">
        <is>
          <t>L</t>
        </is>
      </c>
      <c r="F68" s="20" t="inlineStr">
        <is>
          <t>L</t>
        </is>
      </c>
      <c r="G68" s="20" t="inlineStr">
        <is>
          <t>L</t>
        </is>
      </c>
      <c r="H68" s="20" t="inlineStr">
        <is>
          <t>L</t>
        </is>
      </c>
    </row>
    <row r="69">
      <c r="B69" s="11" t="inlineStr">
        <is>
          <t>S 2–3</t>
        </is>
      </c>
      <c r="C69" s="7" t="inlineStr">
        <is>
          <t>O 1</t>
        </is>
      </c>
      <c r="E69" s="20" t="inlineStr">
        <is>
          <t>L</t>
        </is>
      </c>
      <c r="F69" s="20" t="inlineStr">
        <is>
          <t>L</t>
        </is>
      </c>
      <c r="G69" s="20" t="inlineStr">
        <is>
          <t>L</t>
        </is>
      </c>
      <c r="H69" s="20" t="inlineStr">
        <is>
          <t>L</t>
        </is>
      </c>
    </row>
    <row r="70">
      <c r="B70" s="11" t="inlineStr">
        <is>
          <t>S 1</t>
        </is>
      </c>
      <c r="C70" s="7" t="inlineStr">
        <is>
          <t>O 8–10</t>
        </is>
      </c>
      <c r="E70" s="20" t="inlineStr">
        <is>
          <t>L</t>
        </is>
      </c>
      <c r="F70" s="20" t="inlineStr">
        <is>
          <t>L</t>
        </is>
      </c>
      <c r="G70" s="20" t="inlineStr">
        <is>
          <t>L</t>
        </is>
      </c>
      <c r="H70" s="20" t="inlineStr">
        <is>
          <t>L</t>
        </is>
      </c>
    </row>
    <row r="71">
      <c r="B71" s="11" t="inlineStr">
        <is>
          <t>S 1</t>
        </is>
      </c>
      <c r="C71" s="7" t="inlineStr">
        <is>
          <t>O 6–7</t>
        </is>
      </c>
      <c r="E71" s="20" t="inlineStr">
        <is>
          <t>L</t>
        </is>
      </c>
      <c r="F71" s="20" t="inlineStr">
        <is>
          <t>L</t>
        </is>
      </c>
      <c r="G71" s="20" t="inlineStr">
        <is>
          <t>L</t>
        </is>
      </c>
      <c r="H71" s="20" t="inlineStr">
        <is>
          <t>L</t>
        </is>
      </c>
    </row>
    <row r="72">
      <c r="B72" s="11" t="inlineStr">
        <is>
          <t>S 1</t>
        </is>
      </c>
      <c r="C72" s="7" t="inlineStr">
        <is>
          <t>O 4–5</t>
        </is>
      </c>
      <c r="E72" s="20" t="inlineStr">
        <is>
          <t>L</t>
        </is>
      </c>
      <c r="F72" s="20" t="inlineStr">
        <is>
          <t>L</t>
        </is>
      </c>
      <c r="G72" s="20" t="inlineStr">
        <is>
          <t>L</t>
        </is>
      </c>
      <c r="H72" s="20" t="inlineStr">
        <is>
          <t>L</t>
        </is>
      </c>
    </row>
    <row r="73">
      <c r="B73" s="11" t="inlineStr">
        <is>
          <t>S 1</t>
        </is>
      </c>
      <c r="C73" s="7" t="inlineStr">
        <is>
          <t>O 2–3</t>
        </is>
      </c>
      <c r="E73" s="20" t="inlineStr">
        <is>
          <t>L</t>
        </is>
      </c>
      <c r="F73" s="20" t="inlineStr">
        <is>
          <t>L</t>
        </is>
      </c>
      <c r="G73" s="20" t="inlineStr">
        <is>
          <t>L</t>
        </is>
      </c>
      <c r="H73" s="20" t="inlineStr">
        <is>
          <t>L</t>
        </is>
      </c>
    </row>
    <row r="74">
      <c r="B74" s="11" t="inlineStr">
        <is>
          <t>S 1</t>
        </is>
      </c>
      <c r="C74" s="7" t="inlineStr">
        <is>
          <t>O 1</t>
        </is>
      </c>
      <c r="E74" s="20" t="inlineStr">
        <is>
          <t>L</t>
        </is>
      </c>
      <c r="F74" s="20" t="inlineStr">
        <is>
          <t>L</t>
        </is>
      </c>
      <c r="G74" s="20" t="inlineStr">
        <is>
          <t>L</t>
        </is>
      </c>
      <c r="H74" s="20" t="inlineStr">
        <is>
          <t>L</t>
        </is>
      </c>
    </row>
    <row r="76">
      <c r="B76" s="4" t="inlineStr">
        <is>
          <t>Band lower limits (used by the AP look-up – keep in descending band order as in the table above)</t>
        </is>
      </c>
    </row>
    <row r="77">
      <c r="B77" s="11" t="inlineStr">
        <is>
          <t>S band lower limits</t>
        </is>
      </c>
      <c r="E77" s="17" t="n">
        <v>9</v>
      </c>
      <c r="F77" s="17" t="n">
        <v>7</v>
      </c>
      <c r="G77" s="17" t="n">
        <v>4</v>
      </c>
      <c r="H77" s="17" t="n">
        <v>2</v>
      </c>
      <c r="I77" s="17" t="n">
        <v>1</v>
      </c>
    </row>
    <row r="78">
      <c r="B78" s="11" t="inlineStr">
        <is>
          <t>O band lower limits</t>
        </is>
      </c>
      <c r="E78" s="17" t="n">
        <v>8</v>
      </c>
      <c r="F78" s="17" t="n">
        <v>6</v>
      </c>
      <c r="G78" s="17" t="n">
        <v>4</v>
      </c>
      <c r="H78" s="17" t="n">
        <v>2</v>
      </c>
      <c r="I78" s="17" t="n">
        <v>1</v>
      </c>
    </row>
    <row r="79">
      <c r="B79" s="11" t="inlineStr">
        <is>
          <t>D band lower limits</t>
        </is>
      </c>
      <c r="E79" s="17" t="n">
        <v>7</v>
      </c>
      <c r="F79" s="17" t="n">
        <v>5</v>
      </c>
      <c r="G79" s="17" t="n">
        <v>2</v>
      </c>
      <c r="H79" s="17" t="n">
        <v>1</v>
      </c>
    </row>
  </sheetData>
  <conditionalFormatting sqref="E50:H74">
    <cfRule type="expression" priority="1" dxfId="0">
      <formula>E50="H"</formula>
    </cfRule>
    <cfRule type="expression" priority="2" dxfId="1">
      <formula>E50="M"</formula>
    </cfRule>
    <cfRule type="expression" priority="3" dxfId="2">
      <formula>E50="L"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1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40" customWidth="1" min="2" max="2"/>
    <col width="10" customWidth="1" min="3" max="3"/>
    <col width="9" customWidth="1" min="4" max="4"/>
    <col width="9" customWidth="1" min="5" max="5"/>
    <col width="9" customWidth="1" min="6" max="6"/>
    <col width="9" customWidth="1" min="7" max="7"/>
    <col width="10" customWidth="1" min="8" max="8"/>
    <col width="11" customWidth="1" min="9" max="9"/>
    <col width="11" customWidth="1" min="10" max="10"/>
  </cols>
  <sheetData>
    <row r="1">
      <c r="A1" s="1" t="inlineStr">
        <is>
          <t>FMECA SUMMARY</t>
        </is>
      </c>
    </row>
    <row r="2">
      <c r="A2" s="2" t="inlineStr">
        <is>
          <t>Counts per system worksheet (calculated). AddSystemSheet adds a row here automatically.</t>
        </is>
      </c>
    </row>
    <row r="4">
      <c r="A4" s="8" t="inlineStr">
        <is>
          <t>Worksheet</t>
        </is>
      </c>
      <c r="B4" s="8" t="inlineStr">
        <is>
          <t>System</t>
        </is>
      </c>
      <c r="C4" s="8" t="inlineStr">
        <is>
          <t>Failure modes</t>
        </is>
      </c>
      <c r="D4" s="8" t="inlineStr">
        <is>
          <t>AP – High</t>
        </is>
      </c>
      <c r="E4" s="8" t="inlineStr">
        <is>
          <t>AP – Medium</t>
        </is>
      </c>
      <c r="F4" s="8" t="inlineStr">
        <is>
          <t>AP – Low</t>
        </is>
      </c>
      <c r="G4" s="8" t="inlineStr">
        <is>
          <t>Highest RPN</t>
        </is>
      </c>
      <c r="H4" s="8" t="inlineStr">
        <is>
          <t>Actions required</t>
        </is>
      </c>
      <c r="I4" s="8" t="inlineStr">
        <is>
          <t>Actions without owner</t>
        </is>
      </c>
      <c r="J4" s="8" t="inlineStr">
        <is>
          <t>AP High after action</t>
        </is>
      </c>
    </row>
    <row r="5">
      <c r="A5" s="13" t="inlineStr">
        <is>
          <t>System 01</t>
        </is>
      </c>
      <c r="B5" s="6">
        <f>IF('System 01'!$D$3="","",'System 01'!$D$3)</f>
        <v/>
      </c>
      <c r="C5" s="21">
        <f>COUNTIF('System 01'!$F$14:$F$163,"?*")</f>
        <v/>
      </c>
      <c r="D5" s="21">
        <f>COUNTIF('System 01'!$Q$14:$Q$163,"H")</f>
        <v/>
      </c>
      <c r="E5" s="21">
        <f>COUNTIF('System 01'!$Q$14:$Q$163,"M")</f>
        <v/>
      </c>
      <c r="F5" s="21">
        <f>COUNTIF('System 01'!$Q$14:$Q$163,"L")</f>
        <v/>
      </c>
      <c r="G5" s="21">
        <f>IF(COUNT('System 01'!$P$14:$P$163)=0,"",MAX('System 01'!$P$14:$P$163))</f>
        <v/>
      </c>
      <c r="H5" s="21">
        <f>COUNTIF('System 01'!$R$14:$R$163,"Yes")</f>
        <v/>
      </c>
      <c r="I5" s="21">
        <f>COUNTIFS('System 01'!$R$14:$R$163,"Yes",'System 01'!$U$14:$U$163,"")</f>
        <v/>
      </c>
      <c r="J5" s="21">
        <f>COUNTIF('System 01'!$AA$14:$AA$163,"H")</f>
        <v/>
      </c>
    </row>
    <row r="6">
      <c r="A6" s="13" t="inlineStr">
        <is>
          <t>System 02</t>
        </is>
      </c>
      <c r="B6" s="6">
        <f>IF('System 02'!$D$3="","",'System 02'!$D$3)</f>
        <v/>
      </c>
      <c r="C6" s="21">
        <f>COUNTIF('System 02'!$F$14:$F$163,"?*")</f>
        <v/>
      </c>
      <c r="D6" s="21">
        <f>COUNTIF('System 02'!$Q$14:$Q$163,"H")</f>
        <v/>
      </c>
      <c r="E6" s="21">
        <f>COUNTIF('System 02'!$Q$14:$Q$163,"M")</f>
        <v/>
      </c>
      <c r="F6" s="21">
        <f>COUNTIF('System 02'!$Q$14:$Q$163,"L")</f>
        <v/>
      </c>
      <c r="G6" s="21">
        <f>IF(COUNT('System 02'!$P$14:$P$163)=0,"",MAX('System 02'!$P$14:$P$163))</f>
        <v/>
      </c>
      <c r="H6" s="21">
        <f>COUNTIF('System 02'!$R$14:$R$163,"Yes")</f>
        <v/>
      </c>
      <c r="I6" s="21">
        <f>COUNTIFS('System 02'!$R$14:$R$163,"Yes",'System 02'!$U$14:$U$163,"")</f>
        <v/>
      </c>
      <c r="J6" s="21">
        <f>COUNTIF('System 02'!$AA$14:$AA$163,"H")</f>
        <v/>
      </c>
    </row>
    <row r="7">
      <c r="A7" s="13" t="inlineStr">
        <is>
          <t>System 03</t>
        </is>
      </c>
      <c r="B7" s="6">
        <f>IF('System 03'!$D$3="","",'System 03'!$D$3)</f>
        <v/>
      </c>
      <c r="C7" s="21">
        <f>COUNTIF('System 03'!$F$14:$F$163,"?*")</f>
        <v/>
      </c>
      <c r="D7" s="21">
        <f>COUNTIF('System 03'!$Q$14:$Q$163,"H")</f>
        <v/>
      </c>
      <c r="E7" s="21">
        <f>COUNTIF('System 03'!$Q$14:$Q$163,"M")</f>
        <v/>
      </c>
      <c r="F7" s="21">
        <f>COUNTIF('System 03'!$Q$14:$Q$163,"L")</f>
        <v/>
      </c>
      <c r="G7" s="21">
        <f>IF(COUNT('System 03'!$P$14:$P$163)=0,"",MAX('System 03'!$P$14:$P$163))</f>
        <v/>
      </c>
      <c r="H7" s="21">
        <f>COUNTIF('System 03'!$R$14:$R$163,"Yes")</f>
        <v/>
      </c>
      <c r="I7" s="21">
        <f>COUNTIFS('System 03'!$R$14:$R$163,"Yes",'System 03'!$U$14:$U$163,"")</f>
        <v/>
      </c>
      <c r="J7" s="21">
        <f>COUNTIF('System 03'!$AA$14:$AA$163,"H")</f>
        <v/>
      </c>
    </row>
    <row r="8">
      <c r="A8" s="13" t="inlineStr">
        <is>
          <t>System 04</t>
        </is>
      </c>
      <c r="B8" s="6">
        <f>IF('System 04'!$D$3="","",'System 04'!$D$3)</f>
        <v/>
      </c>
      <c r="C8" s="21">
        <f>COUNTIF('System 04'!$F$14:$F$163,"?*")</f>
        <v/>
      </c>
      <c r="D8" s="21">
        <f>COUNTIF('System 04'!$Q$14:$Q$163,"H")</f>
        <v/>
      </c>
      <c r="E8" s="21">
        <f>COUNTIF('System 04'!$Q$14:$Q$163,"M")</f>
        <v/>
      </c>
      <c r="F8" s="21">
        <f>COUNTIF('System 04'!$Q$14:$Q$163,"L")</f>
        <v/>
      </c>
      <c r="G8" s="21">
        <f>IF(COUNT('System 04'!$P$14:$P$163)=0,"",MAX('System 04'!$P$14:$P$163))</f>
        <v/>
      </c>
      <c r="H8" s="21">
        <f>COUNTIF('System 04'!$R$14:$R$163,"Yes")</f>
        <v/>
      </c>
      <c r="I8" s="21">
        <f>COUNTIFS('System 04'!$R$14:$R$163,"Yes",'System 04'!$U$14:$U$163,"")</f>
        <v/>
      </c>
      <c r="J8" s="21">
        <f>COUNTIF('System 04'!$AA$14:$AA$163,"H")</f>
        <v/>
      </c>
    </row>
    <row r="9">
      <c r="A9" s="13" t="inlineStr">
        <is>
          <t>System 05</t>
        </is>
      </c>
      <c r="B9" s="6">
        <f>IF('System 05'!$D$3="","",'System 05'!$D$3)</f>
        <v/>
      </c>
      <c r="C9" s="21">
        <f>COUNTIF('System 05'!$F$14:$F$163,"?*")</f>
        <v/>
      </c>
      <c r="D9" s="21">
        <f>COUNTIF('System 05'!$Q$14:$Q$163,"H")</f>
        <v/>
      </c>
      <c r="E9" s="21">
        <f>COUNTIF('System 05'!$Q$14:$Q$163,"M")</f>
        <v/>
      </c>
      <c r="F9" s="21">
        <f>COUNTIF('System 05'!$Q$14:$Q$163,"L")</f>
        <v/>
      </c>
      <c r="G9" s="21">
        <f>IF(COUNT('System 05'!$P$14:$P$163)=0,"",MAX('System 05'!$P$14:$P$163))</f>
        <v/>
      </c>
      <c r="H9" s="21">
        <f>COUNTIF('System 05'!$R$14:$R$163,"Yes")</f>
        <v/>
      </c>
      <c r="I9" s="21">
        <f>COUNTIFS('System 05'!$R$14:$R$163,"Yes",'System 05'!$U$14:$U$163,"")</f>
        <v/>
      </c>
      <c r="J9" s="21">
        <f>COUNTIF('System 05'!$AA$14:$AA$163,"H")</f>
        <v/>
      </c>
    </row>
    <row r="10">
      <c r="A10" s="13" t="inlineStr">
        <is>
          <t>System 06</t>
        </is>
      </c>
      <c r="B10" s="6">
        <f>IF('System 06'!$D$3="","",'System 06'!$D$3)</f>
        <v/>
      </c>
      <c r="C10" s="21">
        <f>COUNTIF('System 06'!$F$14:$F$163,"?*")</f>
        <v/>
      </c>
      <c r="D10" s="21">
        <f>COUNTIF('System 06'!$Q$14:$Q$163,"H")</f>
        <v/>
      </c>
      <c r="E10" s="21">
        <f>COUNTIF('System 06'!$Q$14:$Q$163,"M")</f>
        <v/>
      </c>
      <c r="F10" s="21">
        <f>COUNTIF('System 06'!$Q$14:$Q$163,"L")</f>
        <v/>
      </c>
      <c r="G10" s="21">
        <f>IF(COUNT('System 06'!$P$14:$P$163)=0,"",MAX('System 06'!$P$14:$P$163))</f>
        <v/>
      </c>
      <c r="H10" s="21">
        <f>COUNTIF('System 06'!$R$14:$R$163,"Yes")</f>
        <v/>
      </c>
      <c r="I10" s="21">
        <f>COUNTIFS('System 06'!$R$14:$R$163,"Yes",'System 06'!$U$14:$U$163,"")</f>
        <v/>
      </c>
      <c r="J10" s="21">
        <f>COUNTIF('System 06'!$AA$14:$AA$163,"H")</f>
        <v/>
      </c>
    </row>
    <row r="11">
      <c r="A11" s="13" t="inlineStr">
        <is>
          <t>System 07</t>
        </is>
      </c>
      <c r="B11" s="6">
        <f>IF('System 07'!$D$3="","",'System 07'!$D$3)</f>
        <v/>
      </c>
      <c r="C11" s="21">
        <f>COUNTIF('System 07'!$F$14:$F$163,"?*")</f>
        <v/>
      </c>
      <c r="D11" s="21">
        <f>COUNTIF('System 07'!$Q$14:$Q$163,"H")</f>
        <v/>
      </c>
      <c r="E11" s="21">
        <f>COUNTIF('System 07'!$Q$14:$Q$163,"M")</f>
        <v/>
      </c>
      <c r="F11" s="21">
        <f>COUNTIF('System 07'!$Q$14:$Q$163,"L")</f>
        <v/>
      </c>
      <c r="G11" s="21">
        <f>IF(COUNT('System 07'!$P$14:$P$163)=0,"",MAX('System 07'!$P$14:$P$163))</f>
        <v/>
      </c>
      <c r="H11" s="21">
        <f>COUNTIF('System 07'!$R$14:$R$163,"Yes")</f>
        <v/>
      </c>
      <c r="I11" s="21">
        <f>COUNTIFS('System 07'!$R$14:$R$163,"Yes",'System 07'!$U$14:$U$163,"")</f>
        <v/>
      </c>
      <c r="J11" s="21">
        <f>COUNTIF('System 07'!$AA$14:$AA$163,"H")</f>
        <v/>
      </c>
    </row>
    <row r="12">
      <c r="A12" s="13" t="inlineStr">
        <is>
          <t>System 08</t>
        </is>
      </c>
      <c r="B12" s="6">
        <f>IF('System 08'!$D$3="","",'System 08'!$D$3)</f>
        <v/>
      </c>
      <c r="C12" s="21">
        <f>COUNTIF('System 08'!$F$14:$F$163,"?*")</f>
        <v/>
      </c>
      <c r="D12" s="21">
        <f>COUNTIF('System 08'!$Q$14:$Q$163,"H")</f>
        <v/>
      </c>
      <c r="E12" s="21">
        <f>COUNTIF('System 08'!$Q$14:$Q$163,"M")</f>
        <v/>
      </c>
      <c r="F12" s="21">
        <f>COUNTIF('System 08'!$Q$14:$Q$163,"L")</f>
        <v/>
      </c>
      <c r="G12" s="21">
        <f>IF(COUNT('System 08'!$P$14:$P$163)=0,"",MAX('System 08'!$P$14:$P$163))</f>
        <v/>
      </c>
      <c r="H12" s="21">
        <f>COUNTIF('System 08'!$R$14:$R$163,"Yes")</f>
        <v/>
      </c>
      <c r="I12" s="21">
        <f>COUNTIFS('System 08'!$R$14:$R$163,"Yes",'System 08'!$U$14:$U$163,"")</f>
        <v/>
      </c>
      <c r="J12" s="21">
        <f>COUNTIF('System 08'!$AA$14:$AA$163,"H")</f>
        <v/>
      </c>
    </row>
    <row r="13">
      <c r="A13" s="13" t="inlineStr">
        <is>
          <t>System 09</t>
        </is>
      </c>
      <c r="B13" s="6">
        <f>IF('System 09'!$D$3="","",'System 09'!$D$3)</f>
        <v/>
      </c>
      <c r="C13" s="21">
        <f>COUNTIF('System 09'!$F$14:$F$163,"?*")</f>
        <v/>
      </c>
      <c r="D13" s="21">
        <f>COUNTIF('System 09'!$Q$14:$Q$163,"H")</f>
        <v/>
      </c>
      <c r="E13" s="21">
        <f>COUNTIF('System 09'!$Q$14:$Q$163,"M")</f>
        <v/>
      </c>
      <c r="F13" s="21">
        <f>COUNTIF('System 09'!$Q$14:$Q$163,"L")</f>
        <v/>
      </c>
      <c r="G13" s="21">
        <f>IF(COUNT('System 09'!$P$14:$P$163)=0,"",MAX('System 09'!$P$14:$P$163))</f>
        <v/>
      </c>
      <c r="H13" s="21">
        <f>COUNTIF('System 09'!$R$14:$R$163,"Yes")</f>
        <v/>
      </c>
      <c r="I13" s="21">
        <f>COUNTIFS('System 09'!$R$14:$R$163,"Yes",'System 09'!$U$14:$U$163,"")</f>
        <v/>
      </c>
      <c r="J13" s="21">
        <f>COUNTIF('System 09'!$AA$14:$AA$163,"H")</f>
        <v/>
      </c>
    </row>
    <row r="14">
      <c r="A14" s="13" t="inlineStr">
        <is>
          <t>System 10</t>
        </is>
      </c>
      <c r="B14" s="6">
        <f>IF('System 10'!$D$3="","",'System 10'!$D$3)</f>
        <v/>
      </c>
      <c r="C14" s="21">
        <f>COUNTIF('System 10'!$F$14:$F$163,"?*")</f>
        <v/>
      </c>
      <c r="D14" s="21">
        <f>COUNTIF('System 10'!$Q$14:$Q$163,"H")</f>
        <v/>
      </c>
      <c r="E14" s="21">
        <f>COUNTIF('System 10'!$Q$14:$Q$163,"M")</f>
        <v/>
      </c>
      <c r="F14" s="21">
        <f>COUNTIF('System 10'!$Q$14:$Q$163,"L")</f>
        <v/>
      </c>
      <c r="G14" s="21">
        <f>IF(COUNT('System 10'!$P$14:$P$163)=0,"",MAX('System 10'!$P$14:$P$163))</f>
        <v/>
      </c>
      <c r="H14" s="21">
        <f>COUNTIF('System 10'!$R$14:$R$163,"Yes")</f>
        <v/>
      </c>
      <c r="I14" s="21">
        <f>COUNTIFS('System 10'!$R$14:$R$163,"Yes",'System 10'!$U$14:$U$163,"")</f>
        <v/>
      </c>
      <c r="J14" s="21">
        <f>COUNTIF('System 10'!$AA$14:$AA$163,"H")</f>
        <v/>
      </c>
    </row>
    <row r="15">
      <c r="A15" s="11" t="inlineStr">
        <is>
          <t>TOTAL</t>
        </is>
      </c>
      <c r="B15" s="7" t="n"/>
      <c r="C15" s="22">
        <f>SUM(C$5:INDEX(C:C,ROW()-1))</f>
        <v/>
      </c>
      <c r="D15" s="22">
        <f>SUM(D$5:INDEX(D:D,ROW()-1))</f>
        <v/>
      </c>
      <c r="E15" s="22">
        <f>SUM(E$5:INDEX(E:E,ROW()-1))</f>
        <v/>
      </c>
      <c r="F15" s="22">
        <f>SUM(F$5:INDEX(F:F,ROW()-1))</f>
        <v/>
      </c>
      <c r="G15" s="22">
        <f>MAX(G$5:INDEX(G:G,ROW()-1))</f>
        <v/>
      </c>
      <c r="H15" s="22">
        <f>SUM(H$5:INDEX(H:H,ROW()-1))</f>
        <v/>
      </c>
      <c r="I15" s="22">
        <f>SUM(I$5:INDEX(I:I,ROW()-1))</f>
        <v/>
      </c>
      <c r="J15" s="22">
        <f>SUM(J$5:INDEX(J:J,ROW()-1))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 fitToPage="1"/>
  </sheetPr>
  <dimension ref="A1:AM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S01 – Gas receiving &amp; metering station (GRMS)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ESDV-1001</t>
        </is>
      </c>
      <c r="C14" s="6">
        <f>IF(B14="","",IFERROR(INDEX(EqTypeCol,MATCH(B14,EqTag,0)),"Tag not in register"))</f>
        <v/>
      </c>
      <c r="D14" s="5" t="inlineStr">
        <is>
          <t>Actuator</t>
        </is>
      </c>
      <c r="E14" s="5" t="inlineStr">
        <is>
          <t>Close on ESD demand</t>
        </is>
      </c>
      <c r="F14" s="5" t="inlineStr">
        <is>
          <t>FTC – Fail to close on demand</t>
        </is>
      </c>
      <c r="G14" s="5" t="inlineStr">
        <is>
          <t>• 1.6 Sticking / seizure
• 5.3 Dust ingress
• Inadequate inspection / maintenance interval</t>
        </is>
      </c>
      <c r="H14" s="5" t="inlineStr">
        <is>
          <t>Inlet not isolated</t>
        </is>
      </c>
      <c r="I14" s="5" t="inlineStr">
        <is>
          <t>Release in the GRMS / PRS keeps being fed from the pipeline</t>
        </is>
      </c>
      <c r="J14" s="5" t="inlineStr">
        <is>
          <t>Prolonged jet fire / larger vapour cloud (ETA-GN-01 H2)</t>
        </is>
      </c>
      <c r="K14" s="17" t="inlineStr">
        <is>
          <t>9 – Hazardous – with warning</t>
        </is>
      </c>
      <c r="L14" s="5" t="inlineStr">
        <is>
          <t>Annual full-stroke test</t>
        </is>
      </c>
      <c r="M14" s="17" t="inlineStr">
        <is>
          <t>3 – Low</t>
        </is>
      </c>
      <c r="N14" s="5" t="inlineStr">
        <is>
          <t>• Proof test / function test</t>
        </is>
      </c>
      <c r="O14" s="17" t="inlineStr">
        <is>
          <t>6 – Low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Six-monthly partial-stroke test between annual full-stroke tests (R-001)</t>
        </is>
      </c>
      <c r="T14" s="5" t="inlineStr">
        <is>
          <t>Failure-finding / proof test</t>
        </is>
      </c>
      <c r="U14" s="5" t="inlineStr">
        <is>
          <t>Instrument engineer</t>
        </is>
      </c>
      <c r="V14" s="29" t="n">
        <v>46477</v>
      </c>
      <c r="W14" s="17" t="inlineStr">
        <is>
          <t>9 – Hazardous – with warning</t>
        </is>
      </c>
      <c r="X14" s="17" t="inlineStr">
        <is>
          <t>3 – Low</t>
        </is>
      </c>
      <c r="Y14" s="17" t="inlineStr">
        <is>
          <t>4 – Moderately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N01-05</t>
        </is>
      </c>
      <c r="AC14" s="5" t="inlineStr">
        <is>
          <t>Fault tree FT-GN-02 event ESDV-1001</t>
        </is>
      </c>
      <c r="AD14" s="30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PR-1001</t>
        </is>
      </c>
      <c r="C15" s="6">
        <f>IF(B15="","",IFERROR(INDEX(EqTypeCol,MATCH(B15,EqTag,0)),"Tag not in register"))</f>
        <v/>
      </c>
      <c r="D15" s="5" t="inlineStr">
        <is>
          <t>Manway</t>
        </is>
      </c>
      <c r="E15" s="5" t="inlineStr">
        <is>
          <t>Contain pressure; open only when depressurised</t>
        </is>
      </c>
      <c r="F15" s="5" t="inlineStr">
        <is>
          <t>ELP – External leakage – process medium</t>
        </is>
      </c>
      <c r="G15" s="5" t="inlineStr">
        <is>
          <t>• Incorrect operation / operator error
• 1.1 Leakage</t>
        </is>
      </c>
      <c r="H15" s="5" t="inlineStr">
        <is>
          <t>Closure opened / leaking under pressure</t>
        </is>
      </c>
      <c r="I15" s="5" t="inlineStr">
        <is>
          <t>Gas release at the GRMS</t>
        </is>
      </c>
      <c r="J15" s="5" t="inlineStr">
        <is>
          <t>Injury to the operator; fire (BT-GN-01 T5)</t>
        </is>
      </c>
      <c r="K15" s="17" t="inlineStr">
        <is>
          <t>10 – Hazardous – without warning</t>
        </is>
      </c>
      <c r="L15" s="5" t="inlineStr">
        <is>
          <t>Pigging procedure OP-GN-010</t>
        </is>
      </c>
      <c r="M15" s="17" t="inlineStr">
        <is>
          <t>3 – Low</t>
        </is>
      </c>
      <c r="N15" s="5" t="inlineStr">
        <is>
          <t>• None – failure evident only on occurrence</t>
        </is>
      </c>
      <c r="O15" s="17" t="inlineStr">
        <is>
          <t>9 – Very remote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Verify the pressure-warning / key-interlock device and train pigging crews (R-017)</t>
        </is>
      </c>
      <c r="T15" s="5" t="inlineStr">
        <is>
          <t>Redesign / modification (MOC)</t>
        </is>
      </c>
      <c r="U15" s="5" t="inlineStr">
        <is>
          <t>Mechanical engineer</t>
        </is>
      </c>
      <c r="V15" s="29" t="n">
        <v>46477</v>
      </c>
      <c r="W15" s="17" t="inlineStr">
        <is>
          <t>10 – Hazardous – without warning</t>
        </is>
      </c>
      <c r="X15" s="17" t="inlineStr">
        <is>
          <t>2 – Remote</t>
        </is>
      </c>
      <c r="Y15" s="17" t="inlineStr">
        <is>
          <t>4 – Moderately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N01-07</t>
        </is>
      </c>
      <c r="AC15" s="5" t="n"/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F-1002A</t>
        </is>
      </c>
      <c r="C16" s="6">
        <f>IF(B16="","",IFERROR(INDEX(EqTypeCol,MATCH(B16,EqTag,0)),"Tag not in register"))</f>
        <v/>
      </c>
      <c r="D16" s="5" t="inlineStr">
        <is>
          <t>Internals</t>
        </is>
      </c>
      <c r="E16" s="5" t="inlineStr">
        <is>
          <t>Remove liquids and solids</t>
        </is>
      </c>
      <c r="F16" s="5" t="inlineStr">
        <is>
          <t>PLU – Plugged / fouled</t>
        </is>
      </c>
      <c r="G16" s="5" t="inlineStr">
        <is>
          <t>• 5.1 Blockage / plugged
• 5.2 Contamination (process / lube oil / water)</t>
        </is>
      </c>
      <c r="H16" s="5" t="inlineStr">
        <is>
          <t>High differential pressure</t>
        </is>
      </c>
      <c r="I16" s="5" t="inlineStr">
        <is>
          <t>Change-over to F-1002B; carry-over to regulators if not acted on</t>
        </is>
      </c>
      <c r="J16" s="5" t="inlineStr">
        <is>
          <t>Active regulator may stick open (FT-GN-01 initiating cause)</t>
        </is>
      </c>
      <c r="K16" s="17" t="inlineStr">
        <is>
          <t>6 – Moderate</t>
        </is>
      </c>
      <c r="L16" s="5" t="inlineStr">
        <is>
          <t>Duty / standby; element change on dP</t>
        </is>
      </c>
      <c r="M16" s="17" t="inlineStr">
        <is>
          <t>5 – Moderate</t>
        </is>
      </c>
      <c r="N16" s="5" t="inlineStr">
        <is>
          <t>• Performance monitoring (flow, ΔP, efficiency)</t>
        </is>
      </c>
      <c r="O16" s="17" t="inlineStr">
        <is>
          <t>3 – High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N01-03</t>
        </is>
      </c>
      <c r="AC16" s="5" t="n"/>
      <c r="AE16">
        <f>IFERROR(INDEX(EqTag,_xlfn.AGGREGATE(15,6,(ROW(EqTag)-4)/((EqSys=$D$3)*(EqTag&lt;&gt;"")),ROWS($AE$14:AE16))),"")</f>
        <v/>
      </c>
    </row>
    <row r="17" ht="75" customHeight="1">
      <c r="A17" s="21">
        <f>IF(F17="","",LEFT($D$3,3)&amp;"-"&amp;TEXT(COUNTIF(F$14:F17,"?*"),"00"))</f>
        <v/>
      </c>
      <c r="B17" s="5" t="inlineStr">
        <is>
          <t>FT-1003A</t>
        </is>
      </c>
      <c r="C17" s="6">
        <f>IF(B17="","",IFERROR(INDEX(EqTypeCol,MATCH(B17,EqTag,0)),"Tag not in register"))</f>
        <v/>
      </c>
      <c r="D17" s="5" t="inlineStr">
        <is>
          <t>Transmitter electronics</t>
        </is>
      </c>
      <c r="E17" s="5" t="inlineStr">
        <is>
          <t>Measure custody flow</t>
        </is>
      </c>
      <c r="F17" s="5" t="inlineStr">
        <is>
          <t>AIR – Abnormal instrument reading</t>
        </is>
      </c>
      <c r="G17" s="5" t="inlineStr">
        <is>
          <t>• 3.4 Out of adjustment / calibration drift</t>
        </is>
      </c>
      <c r="H17" s="5" t="inlineStr">
        <is>
          <t>Meter error</t>
        </is>
      </c>
      <c r="I17" s="5" t="inlineStr">
        <is>
          <t>Custody-transfer dispute</t>
        </is>
      </c>
      <c r="J17" s="5" t="inlineStr">
        <is>
          <t>Commercial only</t>
        </is>
      </c>
      <c r="K17" s="17" t="inlineStr">
        <is>
          <t>3 – Minor</t>
        </is>
      </c>
      <c r="L17" s="5" t="inlineStr">
        <is>
          <t>Annual verification</t>
        </is>
      </c>
      <c r="M17" s="17" t="inlineStr">
        <is>
          <t>4 – Low</t>
        </is>
      </c>
      <c r="N17" s="5" t="inlineStr">
        <is>
          <t>• Calibration check</t>
        </is>
      </c>
      <c r="O17" s="17" t="inlineStr">
        <is>
          <t>3 – High</t>
        </is>
      </c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inlineStr">
        <is>
          <t>HAZOP N01-01</t>
        </is>
      </c>
      <c r="AC17" s="5" t="n"/>
      <c r="AE17">
        <f>IFERROR(INDEX(EqTag,_xlfn.AGGREGATE(15,6,(ROW(EqTag)-4)/((EqSys=$D$3)*(EqTag&lt;&gt;"")),ROWS($AE$14:AE17))),"")</f>
        <v/>
      </c>
    </row>
    <row r="18" ht="75" customHeight="1">
      <c r="A18" s="21">
        <f>IF(F18="","",LEFT($D$3,3)&amp;"-"&amp;TEXT(COUNTIF(F$14:F18,"?*"),"00"))</f>
        <v/>
      </c>
      <c r="B18" s="5" t="inlineStr">
        <is>
          <t>PSV-1006A</t>
        </is>
      </c>
      <c r="C18" s="6">
        <f>IF(B18="","",IFERROR(INDEX(EqTypeCol,MATCH(B18,EqTag,0)),"Tag not in register"))</f>
        <v/>
      </c>
      <c r="D18" s="5" t="inlineStr">
        <is>
          <t>Nozzle and disc</t>
        </is>
      </c>
      <c r="E18" s="5" t="inlineStr">
        <is>
          <t>Relieve fire / thermal overpressure</t>
        </is>
      </c>
      <c r="F18" s="5" t="inlineStr">
        <is>
          <t>FTO – Fail to open on demand</t>
        </is>
      </c>
      <c r="G18" s="5" t="inlineStr">
        <is>
          <t>• 2.2 Corrosion (general / pitting / CUI)
• 5.1 Blockage / plugged</t>
        </is>
      </c>
      <c r="H18" s="5" t="inlineStr">
        <is>
          <t>No relief</t>
        </is>
      </c>
      <c r="I18" s="5" t="inlineStr">
        <is>
          <t>Filter-separator overpressure in a fire</t>
        </is>
      </c>
      <c r="J18" s="5" t="inlineStr">
        <is>
          <t>Vessel rupture in a fire</t>
        </is>
      </c>
      <c r="K18" s="17" t="inlineStr">
        <is>
          <t>8 – Very high</t>
        </is>
      </c>
      <c r="L18" s="5" t="inlineStr">
        <is>
          <t>Bench test every 4 years</t>
        </is>
      </c>
      <c r="M18" s="17" t="inlineStr">
        <is>
          <t>2 – Remote</t>
        </is>
      </c>
      <c r="N18" s="5" t="inlineStr">
        <is>
          <t>• Proof test / function test</t>
        </is>
      </c>
      <c r="O18" s="17" t="inlineStr">
        <is>
          <t>7 – Very low</t>
        </is>
      </c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inlineStr">
        <is>
          <t>Reduce the bench-test interval to 2 years (fire-case relief only protection)</t>
        </is>
      </c>
      <c r="T18" s="5" t="inlineStr">
        <is>
          <t>Failure-finding / proof test</t>
        </is>
      </c>
      <c r="U18" s="5" t="inlineStr">
        <is>
          <t>Mechanical engineer</t>
        </is>
      </c>
      <c r="V18" s="29" t="n">
        <v>46477</v>
      </c>
      <c r="W18" s="17" t="inlineStr">
        <is>
          <t>8 – Very high</t>
        </is>
      </c>
      <c r="X18" s="17" t="inlineStr">
        <is>
          <t>2 – Remote</t>
        </is>
      </c>
      <c r="Y18" s="17" t="inlineStr">
        <is>
          <t>5 – Moderate</t>
        </is>
      </c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inlineStr">
        <is>
          <t>HAZOP N01-02</t>
        </is>
      </c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9.xml><?xml version="1.0" encoding="utf-8"?>
<worksheet xmlns="http://schemas.openxmlformats.org/spreadsheetml/2006/main">
  <sheetPr codeName="Sheet9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S02 – Gas heaters H-1101A/B and pressure reduction station PRS-1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PCV-1104A</t>
        </is>
      </c>
      <c r="C14" s="6">
        <f>IF(B14="","",IFERROR(INDEX(EqTypeCol,MATCH(B14,EqTag,0)),"Tag not in register"))</f>
        <v/>
      </c>
      <c r="D14" s="5" t="inlineStr">
        <is>
          <t>Trim (plug / seat)</t>
        </is>
      </c>
      <c r="E14" s="5" t="inlineStr">
        <is>
          <t>Control PRS outlet at 7.0 barg</t>
        </is>
      </c>
      <c r="F14" s="5" t="inlineStr">
        <is>
          <t>FTC – Fail to close on demand</t>
        </is>
      </c>
      <c r="G14" s="5" t="inlineStr">
        <is>
          <t>• 5.2 Contamination (process / lube oil / water)
• 5.4 Moisture / water ingress
• 1.6 Sticking / seizure</t>
        </is>
      </c>
      <c r="H14" s="5" t="inlineStr">
        <is>
          <t>Active regulator fails open</t>
        </is>
      </c>
      <c r="I14" s="5" t="inlineStr">
        <is>
          <t>Monitor regulator must take over (demand on protection)</t>
        </is>
      </c>
      <c r="J14" s="5" t="inlineStr">
        <is>
          <t>If monitor and slam-shut also fail – MP network overpressure (HAZOP N02-02)</t>
        </is>
      </c>
      <c r="K14" s="17" t="inlineStr">
        <is>
          <t>9 – Hazardous – with warning</t>
        </is>
      </c>
      <c r="L14" s="5" t="inlineStr">
        <is>
          <t>Pilot filter; heater keeps outlet ≥ 5 °C</t>
        </is>
      </c>
      <c r="M14" s="17" t="inlineStr">
        <is>
          <t>5 – Moderate</t>
        </is>
      </c>
      <c r="N14" s="5" t="inlineStr">
        <is>
          <t>• Process alarm (DCS)</t>
        </is>
      </c>
      <c r="O14" s="17" t="inlineStr">
        <is>
          <t>3 – High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Pilot supply filter change and heater outlet temperature alarm (R-004)</t>
        </is>
      </c>
      <c r="T14" s="5" t="inlineStr">
        <is>
          <t>Time-based maintenance / overhaul</t>
        </is>
      </c>
      <c r="U14" s="5" t="inlineStr">
        <is>
          <t>Instrument engineer</t>
        </is>
      </c>
      <c r="V14" s="29" t="n">
        <v>46477</v>
      </c>
      <c r="W14" s="17" t="inlineStr">
        <is>
          <t>9 – Hazardous – with warning</t>
        </is>
      </c>
      <c r="X14" s="17" t="inlineStr">
        <is>
          <t>4 – Low</t>
        </is>
      </c>
      <c r="Y14" s="17" t="inlineStr">
        <is>
          <t>3 –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N02-02</t>
        </is>
      </c>
      <c r="AC14" s="5" t="inlineStr">
        <is>
          <t>Initiating event in fault tree FT-GN-01 (BE-001)</t>
        </is>
      </c>
      <c r="AD14" s="30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PCV-1103A</t>
        </is>
      </c>
      <c r="C15" s="6">
        <f>IF(B15="","",IFERROR(INDEX(EqTypeCol,MATCH(B15,EqTag,0)),"Tag not in register"))</f>
        <v/>
      </c>
      <c r="D15" s="5" t="inlineStr">
        <is>
          <t>Positioner</t>
        </is>
      </c>
      <c r="E15" s="5" t="inlineStr">
        <is>
          <t>Take over at 7.5 barg if the active regulator fails open</t>
        </is>
      </c>
      <c r="F15" s="5" t="inlineStr">
        <is>
          <t>FTC – Fail to close on demand</t>
        </is>
      </c>
      <c r="G15" s="5" t="inlineStr">
        <is>
          <t>• 1.6 Sticking / seizure
• 3.4 Out of adjustment / calibration drift</t>
        </is>
      </c>
      <c r="H15" s="5" t="inlineStr">
        <is>
          <t>Monitor does not take over</t>
        </is>
      </c>
      <c r="I15" s="5" t="inlineStr">
        <is>
          <t>Only the slam-shut remains</t>
        </is>
      </c>
      <c r="J15" s="5" t="inlineStr">
        <is>
          <t>MP network overpressure if the slam-shut also fails</t>
        </is>
      </c>
      <c r="K15" s="17" t="inlineStr">
        <is>
          <t>10 – Hazardous – without warning</t>
        </is>
      </c>
      <c r="L15" s="5" t="inlineStr">
        <is>
          <t>Set-point check at overhaul</t>
        </is>
      </c>
      <c r="M15" s="17" t="inlineStr">
        <is>
          <t>3 – Low</t>
        </is>
      </c>
      <c r="N15" s="5" t="inlineStr">
        <is>
          <t>• Proof test / function test</t>
        </is>
      </c>
      <c r="O15" s="17" t="inlineStr">
        <is>
          <t>7 – Very low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Annual lock-up and take-over test of the monitor regulators (R-003)</t>
        </is>
      </c>
      <c r="T15" s="5" t="inlineStr">
        <is>
          <t>Failure-finding / proof test</t>
        </is>
      </c>
      <c r="U15" s="5" t="inlineStr">
        <is>
          <t>Instrument engineer</t>
        </is>
      </c>
      <c r="V15" s="29" t="n">
        <v>46477</v>
      </c>
      <c r="W15" s="17" t="inlineStr">
        <is>
          <t>10 – Hazardous – without warning</t>
        </is>
      </c>
      <c r="X15" s="17" t="inlineStr">
        <is>
          <t>3 – Low</t>
        </is>
      </c>
      <c r="Y15" s="17" t="inlineStr">
        <is>
          <t>4 – Moderately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N02-02</t>
        </is>
      </c>
      <c r="AC15" s="5" t="inlineStr">
        <is>
          <t>Fault tree FT-GN-01 events BE-004 / BE-005</t>
        </is>
      </c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SSV-1102A</t>
        </is>
      </c>
      <c r="C16" s="6">
        <f>IF(B16="","",IFERROR(INDEX(EqTypeCol,MATCH(B16,EqTag,0)),"Tag not in register"))</f>
        <v/>
      </c>
      <c r="D16" s="5" t="inlineStr">
        <is>
          <t>Actuator</t>
        </is>
      </c>
      <c r="E16" s="5" t="inlineStr">
        <is>
          <t>Close run A at 8.5 barg (OPSO)</t>
        </is>
      </c>
      <c r="F16" s="5" t="inlineStr">
        <is>
          <t>FTC – Fail to close on demand</t>
        </is>
      </c>
      <c r="G16" s="5" t="inlineStr">
        <is>
          <t>• 1.6 Sticking / seizure
• 3.4 Out of adjustment / calibration drift
• Incorrect maintenance / reassembly</t>
        </is>
      </c>
      <c r="H16" s="5" t="inlineStr">
        <is>
          <t>Slam-shut does not trip</t>
        </is>
      </c>
      <c r="I16" s="5" t="inlineStr">
        <is>
          <t>No shut-off if the monitor has also failed</t>
        </is>
      </c>
      <c r="J16" s="5" t="inlineStr">
        <is>
          <t>MP network overpressure</t>
        </is>
      </c>
      <c r="K16" s="17" t="inlineStr">
        <is>
          <t>10 – Hazardous – without warning</t>
        </is>
      </c>
      <c r="L16" s="5" t="inlineStr">
        <is>
          <t>Trip test at overhaul</t>
        </is>
      </c>
      <c r="M16" s="17" t="inlineStr">
        <is>
          <t>3 – Low</t>
        </is>
      </c>
      <c r="N16" s="5" t="inlineStr">
        <is>
          <t>• Proof test / function test</t>
        </is>
      </c>
      <c r="O16" s="17" t="inlineStr">
        <is>
          <t>7 – Very low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inlineStr">
        <is>
          <t>Six-monthly trip test with a calibrated test rig (R-003)</t>
        </is>
      </c>
      <c r="T16" s="5" t="inlineStr">
        <is>
          <t>Failure-finding / proof test</t>
        </is>
      </c>
      <c r="U16" s="5" t="inlineStr">
        <is>
          <t>Instrument engineer</t>
        </is>
      </c>
      <c r="V16" s="29" t="n">
        <v>46477</v>
      </c>
      <c r="W16" s="17" t="inlineStr">
        <is>
          <t>10 – Hazardous – without warning</t>
        </is>
      </c>
      <c r="X16" s="17" t="inlineStr">
        <is>
          <t>3 – Low</t>
        </is>
      </c>
      <c r="Y16" s="17" t="inlineStr">
        <is>
          <t>4 – Moderately high</t>
        </is>
      </c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N02-02</t>
        </is>
      </c>
      <c r="AC16" s="5" t="inlineStr">
        <is>
          <t>Fault tree FT-GN-01 events BE-006 / BE-007 / BE-008</t>
        </is>
      </c>
      <c r="AE16">
        <f>IFERROR(INDEX(EqTag,_xlfn.AGGREGATE(15,6,(ROW(EqTag)-4)/((EqSys=$D$3)*(EqTag&lt;&gt;"")),ROWS($AE$14:AE16))),"")</f>
        <v/>
      </c>
    </row>
    <row r="17" ht="75" customHeight="1">
      <c r="A17" s="21">
        <f>IF(F17="","",LEFT($D$3,3)&amp;"-"&amp;TEXT(COUNTIF(F$14:F17,"?*"),"00"))</f>
        <v/>
      </c>
      <c r="B17" s="5" t="inlineStr">
        <is>
          <t>SSV-1102A</t>
        </is>
      </c>
      <c r="C17" s="6">
        <f>IF(B17="","",IFERROR(INDEX(EqTypeCol,MATCH(B17,EqTag,0)),"Tag not in register"))</f>
        <v/>
      </c>
      <c r="D17" s="5" t="inlineStr">
        <is>
          <t>Solenoid valve</t>
        </is>
      </c>
      <c r="E17" s="5" t="inlineStr">
        <is>
          <t>Stay open in normal operation</t>
        </is>
      </c>
      <c r="F17" s="5" t="inlineStr">
        <is>
          <t>SPO – Spurious operation</t>
        </is>
      </c>
      <c r="G17" s="5" t="inlineStr">
        <is>
          <t>• 3.4 Out of adjustment / calibration drift
• 1.2 Vibration</t>
        </is>
      </c>
      <c r="H17" s="5" t="inlineStr">
        <is>
          <t>Run A closes</t>
        </is>
      </c>
      <c r="I17" s="5" t="inlineStr">
        <is>
          <t>Run B takes over (set 0.3 bar lower)</t>
        </is>
      </c>
      <c r="J17" s="5" t="inlineStr">
        <is>
          <t>If run B fails – low header pressure, flame-outs (HAZOP N02-03)</t>
        </is>
      </c>
      <c r="K17" s="17" t="inlineStr">
        <is>
          <t>6 – Moderate</t>
        </is>
      </c>
      <c r="L17" s="5" t="inlineStr">
        <is>
          <t>Run B on automatic</t>
        </is>
      </c>
      <c r="M17" s="17" t="inlineStr">
        <is>
          <t>4 – Low</t>
        </is>
      </c>
      <c r="N17" s="5" t="inlineStr">
        <is>
          <t>• Process alarm (DCS)</t>
        </is>
      </c>
      <c r="O17" s="17" t="inlineStr">
        <is>
          <t>2 – Very high</t>
        </is>
      </c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inlineStr">
        <is>
          <t>HAZOP N02-03</t>
        </is>
      </c>
      <c r="AC17" s="5" t="n"/>
      <c r="AE17">
        <f>IFERROR(INDEX(EqTag,_xlfn.AGGREGATE(15,6,(ROW(EqTag)-4)/((EqSys=$D$3)*(EqTag&lt;&gt;"")),ROWS($AE$14:AE17))),"")</f>
        <v/>
      </c>
    </row>
    <row r="18" ht="75" customHeight="1">
      <c r="A18" s="21">
        <f>IF(F18="","",LEFT($D$3,3)&amp;"-"&amp;TEXT(COUNTIF(F$14:F18,"?*"),"00"))</f>
        <v/>
      </c>
      <c r="B18" s="5" t="inlineStr">
        <is>
          <t>H-1101A</t>
        </is>
      </c>
      <c r="C18" s="6">
        <f>IF(B18="","",IFERROR(INDEX(EqTypeCol,MATCH(B18,EqTag,0)),"Tag not in register"))</f>
        <v/>
      </c>
      <c r="D18" s="5" t="inlineStr">
        <is>
          <t>Burner management system (BMS)</t>
        </is>
      </c>
      <c r="E18" s="5" t="inlineStr">
        <is>
          <t>Keep the bath at temperature; trip safely</t>
        </is>
      </c>
      <c r="F18" s="5" t="inlineStr">
        <is>
          <t>UST – Flame failure / flame-out</t>
        </is>
      </c>
      <c r="G18" s="5" t="inlineStr">
        <is>
          <t>• 3.1 Control failure
• 5.2 Contamination (process / lube oil / water)</t>
        </is>
      </c>
      <c r="H18" s="5" t="inlineStr">
        <is>
          <t>Heater trips</t>
        </is>
      </c>
      <c r="I18" s="5" t="inlineStr">
        <is>
          <t>Gas outlet temperature falls</t>
        </is>
      </c>
      <c r="J18" s="5" t="inlineStr">
        <is>
          <t>Ice / hydrate in regulator pilots; MDMT (HAZOP N02-01)</t>
        </is>
      </c>
      <c r="K18" s="17" t="inlineStr">
        <is>
          <t>6 – Moderate</t>
        </is>
      </c>
      <c r="L18" s="5" t="inlineStr">
        <is>
          <t>Duty / standby heaters</t>
        </is>
      </c>
      <c r="M18" s="17" t="inlineStr">
        <is>
          <t>5 – Moderate</t>
        </is>
      </c>
      <c r="N18" s="5" t="inlineStr">
        <is>
          <t>• Process alarm (DCS)</t>
        </is>
      </c>
      <c r="O18" s="17" t="inlineStr">
        <is>
          <t>3 – High</t>
        </is>
      </c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inlineStr">
        <is>
          <t>Automatic change-over to H-1101B on heater trip (R-004)</t>
        </is>
      </c>
      <c r="T18" s="5" t="inlineStr">
        <is>
          <t>Redesign / modification (MOC)</t>
        </is>
      </c>
      <c r="U18" s="5" t="inlineStr">
        <is>
          <t>Process engineer</t>
        </is>
      </c>
      <c r="V18" s="29" t="n">
        <v>46477</v>
      </c>
      <c r="W18" s="17" t="inlineStr">
        <is>
          <t>6 – Moderate</t>
        </is>
      </c>
      <c r="X18" s="17" t="inlineStr">
        <is>
          <t>3 – Low</t>
        </is>
      </c>
      <c r="Y18" s="17" t="inlineStr">
        <is>
          <t>3 – High</t>
        </is>
      </c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inlineStr">
        <is>
          <t>HAZOP N02-01</t>
        </is>
      </c>
      <c r="AC18" s="5" t="n"/>
      <c r="AE18">
        <f>IFERROR(INDEX(EqTag,_xlfn.AGGREGATE(15,6,(ROW(EqTag)-4)/((EqSys=$D$3)*(EqTag&lt;&gt;"")),ROWS($AE$14:AE18))),"")</f>
        <v/>
      </c>
    </row>
    <row r="19" ht="75" customHeight="1">
      <c r="A19" s="21">
        <f>IF(F19="","",LEFT($D$3,3)&amp;"-"&amp;TEXT(COUNTIF(F$14:F19,"?*"),"00"))</f>
        <v/>
      </c>
      <c r="B19" s="5" t="inlineStr">
        <is>
          <t>TT-1101</t>
        </is>
      </c>
      <c r="C19" s="6">
        <f>IF(B19="","",IFERROR(INDEX(EqTypeCol,MATCH(B19,EqTag,0)),"Tag not in register"))</f>
        <v/>
      </c>
      <c r="D19" s="5" t="inlineStr">
        <is>
          <t>Sensing element</t>
        </is>
      </c>
      <c r="E19" s="5" t="inlineStr">
        <is>
          <t>Measure gas outlet temperature</t>
        </is>
      </c>
      <c r="F19" s="5" t="inlineStr">
        <is>
          <t>HIO – High reading / drift high</t>
        </is>
      </c>
      <c r="G19" s="5" t="inlineStr">
        <is>
          <t>• 3.4 Out of adjustment / calibration drift</t>
        </is>
      </c>
      <c r="H19" s="5" t="inlineStr">
        <is>
          <t>Reads high</t>
        </is>
      </c>
      <c r="I19" s="5" t="inlineStr">
        <is>
          <t>TIC under-heats; TSL-1101 does not alarm</t>
        </is>
      </c>
      <c r="J19" s="5" t="inlineStr">
        <is>
          <t>Low gas temperature undetected (HAZOP N02-01)</t>
        </is>
      </c>
      <c r="K19" s="17" t="inlineStr">
        <is>
          <t>6 – Moderate</t>
        </is>
      </c>
      <c r="L19" s="5" t="inlineStr">
        <is>
          <t>Annual calibration</t>
        </is>
      </c>
      <c r="M19" s="17" t="inlineStr">
        <is>
          <t>3 – Low</t>
        </is>
      </c>
      <c r="N19" s="5" t="inlineStr">
        <is>
          <t>• Calibration check</t>
        </is>
      </c>
      <c r="O19" s="17" t="inlineStr">
        <is>
          <t>5 – Moderate</t>
        </is>
      </c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inlineStr">
        <is>
          <t>HAZOP N02-01</t>
        </is>
      </c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0.xml><?xml version="1.0" encoding="utf-8"?>
<worksheet xmlns="http://schemas.openxmlformats.org/spreadsheetml/2006/main">
  <sheetPr codeName="Sheet10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S03 – MP ring main (7 barg) and pipe racks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L-1200</t>
        </is>
      </c>
      <c r="C14" s="6">
        <f>IF(B14="","",IFERROR(INDEX(EqTypeCol,MATCH(B14,EqTag,0)),"Tag not in register"))</f>
        <v/>
      </c>
      <c r="D14" s="5" t="inlineStr">
        <is>
          <t>Pipe</t>
        </is>
      </c>
      <c r="E14" s="5" t="inlineStr">
        <is>
          <t>Contain 7 barg gas</t>
        </is>
      </c>
      <c r="F14" s="5" t="inlineStr">
        <is>
          <t>ELP – External leakage – process medium</t>
        </is>
      </c>
      <c r="G14" s="5" t="inlineStr">
        <is>
          <t>• 2.2 Corrosion (general / pitting / CUI)
• 5.6 Mechanical impact / collision</t>
        </is>
      </c>
      <c r="H14" s="5" t="inlineStr">
        <is>
          <t>Leak from the ring main</t>
        </is>
      </c>
      <c r="I14" s="5" t="inlineStr">
        <is>
          <t>Gas release in a plant area</t>
        </is>
      </c>
      <c r="J14" s="5" t="inlineStr">
        <is>
          <t>Fire / explosion (BT-GN-01 T2, T3)</t>
        </is>
      </c>
      <c r="K14" s="17" t="inlineStr">
        <is>
          <t>10 – Hazardous – without warning</t>
        </is>
      </c>
      <c r="L14" s="5" t="inlineStr">
        <is>
          <t>Coating + CP; crash barriers</t>
        </is>
      </c>
      <c r="M14" s="17" t="inlineStr">
        <is>
          <t>3 – Low</t>
        </is>
      </c>
      <c r="N14" s="5" t="inlineStr">
        <is>
          <t>• Ultrasonic thickness / NDT inspection</t>
        </is>
      </c>
      <c r="O14" s="17" t="inlineStr">
        <is>
          <t>5 – Moderate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UT at supports and crossings every 2 years; review crash protection (R-009)</t>
        </is>
      </c>
      <c r="T14" s="5" t="inlineStr">
        <is>
          <t>Condition monitoring task</t>
        </is>
      </c>
      <c r="U14" s="5" t="inlineStr">
        <is>
          <t>Inspection engineer</t>
        </is>
      </c>
      <c r="V14" s="29" t="n">
        <v>46477</v>
      </c>
      <c r="W14" s="17" t="inlineStr">
        <is>
          <t>10 – Hazardous – without warning</t>
        </is>
      </c>
      <c r="X14" s="17" t="inlineStr">
        <is>
          <t>2 – Remote</t>
        </is>
      </c>
      <c r="Y14" s="17" t="inlineStr">
        <is>
          <t>4 – Moderately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N03-01</t>
        </is>
      </c>
      <c r="AC14" s="5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L-1200</t>
        </is>
      </c>
      <c r="C15" s="6">
        <f>IF(B15="","",IFERROR(INDEX(EqTypeCol,MATCH(B15,EqTag,0)),"Tag not in register"))</f>
        <v/>
      </c>
      <c r="D15" s="5" t="inlineStr">
        <is>
          <t>Flanges and gaskets</t>
        </is>
      </c>
      <c r="E15" s="5" t="inlineStr">
        <is>
          <t>Contain 7 barg gas</t>
        </is>
      </c>
      <c r="F15" s="5" t="inlineStr">
        <is>
          <t>ELP – External leakage – process medium</t>
        </is>
      </c>
      <c r="G15" s="5" t="inlineStr">
        <is>
          <t>• Installation error
• 1.2 Vibration</t>
        </is>
      </c>
      <c r="H15" s="5" t="inlineStr">
        <is>
          <t>Flange leak</t>
        </is>
      </c>
      <c r="I15" s="5" t="inlineStr">
        <is>
          <t>Gas release on the rack</t>
        </is>
      </c>
      <c r="J15" s="5" t="inlineStr">
        <is>
          <t>Fire / explosion (BT-GN-01 T4)</t>
        </is>
      </c>
      <c r="K15" s="17" t="inlineStr">
        <is>
          <t>9 – Hazardous – with warning</t>
        </is>
      </c>
      <c r="L15" s="5" t="inlineStr">
        <is>
          <t>Gasket specification</t>
        </is>
      </c>
      <c r="M15" s="17" t="inlineStr">
        <is>
          <t>4 – Low</t>
        </is>
      </c>
      <c r="N15" s="5" t="inlineStr">
        <is>
          <t>• Operator rounds – visual / sensory</t>
        </is>
      </c>
      <c r="O15" s="17" t="inlineStr">
        <is>
          <t>6 – Low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Bolt-torque procedure and annual acoustic leak survey</t>
        </is>
      </c>
      <c r="T15" s="5" t="inlineStr">
        <is>
          <t>Condition monitoring task</t>
        </is>
      </c>
      <c r="U15" s="5" t="inlineStr">
        <is>
          <t>Maintenance planner</t>
        </is>
      </c>
      <c r="V15" s="29" t="n">
        <v>46477</v>
      </c>
      <c r="W15" s="17" t="inlineStr">
        <is>
          <t>9 – Hazardous – with warning</t>
        </is>
      </c>
      <c r="X15" s="17" t="inlineStr">
        <is>
          <t>3 – Low</t>
        </is>
      </c>
      <c r="Y15" s="17" t="inlineStr">
        <is>
          <t>3 –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N03-01</t>
        </is>
      </c>
      <c r="AC15" s="5" t="n"/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CP-1200</t>
        </is>
      </c>
      <c r="C16" s="6">
        <f>IF(B16="","",IFERROR(INDEX(EqTypeCol,MATCH(B16,EqTag,0)),"Tag not in register"))</f>
        <v/>
      </c>
      <c r="D16" s="5" t="inlineStr">
        <is>
          <t>Windings</t>
        </is>
      </c>
      <c r="E16" s="5" t="inlineStr">
        <is>
          <t>Supply CP current</t>
        </is>
      </c>
      <c r="F16" s="5" t="inlineStr">
        <is>
          <t>FOV – Faulty output voltage</t>
        </is>
      </c>
      <c r="G16" s="5" t="inlineStr">
        <is>
          <t>• 4.3 No power / voltage
• Ageing / end of life</t>
        </is>
      </c>
      <c r="H16" s="5" t="inlineStr">
        <is>
          <t>No / low CP current</t>
        </is>
      </c>
      <c r="I16" s="5" t="inlineStr">
        <is>
          <t>Buried sections unprotected</t>
        </is>
      </c>
      <c r="J16" s="5" t="inlineStr">
        <is>
          <t>Accelerated external corrosion – leak (HAZOP N03-04)</t>
        </is>
      </c>
      <c r="K16" s="17" t="inlineStr">
        <is>
          <t>7 – High</t>
        </is>
      </c>
      <c r="L16" s="5" t="inlineStr">
        <is>
          <t>Annual CP survey</t>
        </is>
      </c>
      <c r="M16" s="17" t="inlineStr">
        <is>
          <t>4 – Low</t>
        </is>
      </c>
      <c r="N16" s="5" t="inlineStr">
        <is>
          <t>• Performance monitoring (flow, ΔP, efficiency)</t>
        </is>
      </c>
      <c r="O16" s="17" t="inlineStr">
        <is>
          <t>6 – Low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inlineStr">
        <is>
          <t>Monthly transformer-rectifier readings with alarm on low output</t>
        </is>
      </c>
      <c r="T16" s="5" t="inlineStr">
        <is>
          <t>Operator round / inspection</t>
        </is>
      </c>
      <c r="U16" s="5" t="inlineStr">
        <is>
          <t>Electrical engineer</t>
        </is>
      </c>
      <c r="V16" s="29" t="n">
        <v>46477</v>
      </c>
      <c r="W16" s="17" t="inlineStr">
        <is>
          <t>7 – High</t>
        </is>
      </c>
      <c r="X16" s="17" t="inlineStr">
        <is>
          <t>4 – Low</t>
        </is>
      </c>
      <c r="Y16" s="17" t="inlineStr">
        <is>
          <t>3 – High</t>
        </is>
      </c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N03-04</t>
        </is>
      </c>
      <c r="AC16" s="5" t="n"/>
      <c r="AE16">
        <f>IFERROR(INDEX(EqTag,_xlfn.AGGREGATE(15,6,(ROW(EqTag)-4)/((EqSys=$D$3)*(EqTag&lt;&gt;"")),ROWS($AE$14:AE16))),"")</f>
        <v/>
      </c>
    </row>
    <row r="17" ht="75" customHeight="1">
      <c r="A17" s="21">
        <f>IF(F17="","",LEFT($D$3,3)&amp;"-"&amp;TEXT(COUNTIF(F$14:F17,"?*"),"00"))</f>
        <v/>
      </c>
      <c r="B17" s="5" t="inlineStr">
        <is>
          <t>XV-1201</t>
        </is>
      </c>
      <c r="C17" s="6">
        <f>IF(B17="","",IFERROR(INDEX(EqTypeCol,MATCH(B17,EqTag,0)),"Tag not in register"))</f>
        <v/>
      </c>
      <c r="D17" s="5" t="inlineStr">
        <is>
          <t>Actuator</t>
        </is>
      </c>
      <c r="E17" s="5" t="inlineStr">
        <is>
          <t>Close for sectional isolation</t>
        </is>
      </c>
      <c r="F17" s="5" t="inlineStr">
        <is>
          <t>FTC – Fail to close on demand</t>
        </is>
      </c>
      <c r="G17" s="5" t="inlineStr">
        <is>
          <t>• 1.6 Sticking / seizure</t>
        </is>
      </c>
      <c r="H17" s="5" t="inlineStr">
        <is>
          <t>Section cannot be isolated remotely</t>
        </is>
      </c>
      <c r="I17" s="5" t="inlineStr">
        <is>
          <t>Larger inventory released</t>
        </is>
      </c>
      <c r="J17" s="5" t="inlineStr">
        <is>
          <t>Longer release duration</t>
        </is>
      </c>
      <c r="K17" s="17" t="inlineStr">
        <is>
          <t>7 – High</t>
        </is>
      </c>
      <c r="L17" s="5" t="inlineStr">
        <is>
          <t>None</t>
        </is>
      </c>
      <c r="M17" s="17" t="inlineStr">
        <is>
          <t>3 – Low</t>
        </is>
      </c>
      <c r="N17" s="5" t="inlineStr">
        <is>
          <t>• Proof test / function test</t>
        </is>
      </c>
      <c r="O17" s="17" t="inlineStr">
        <is>
          <t>7 – Very low</t>
        </is>
      </c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inlineStr">
        <is>
          <t>Annual stroke test of sectionalising valves</t>
        </is>
      </c>
      <c r="T17" s="5" t="inlineStr">
        <is>
          <t>Failure-finding / proof test</t>
        </is>
      </c>
      <c r="U17" s="5" t="inlineStr">
        <is>
          <t>Instrument engineer</t>
        </is>
      </c>
      <c r="V17" s="29" t="n">
        <v>46477</v>
      </c>
      <c r="W17" s="17" t="inlineStr">
        <is>
          <t>7 – High</t>
        </is>
      </c>
      <c r="X17" s="17" t="inlineStr">
        <is>
          <t>3 – Low</t>
        </is>
      </c>
      <c r="Y17" s="17" t="inlineStr">
        <is>
          <t>4 – Moderately high</t>
        </is>
      </c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inlineStr">
        <is>
          <t>HAZOP N03-01</t>
        </is>
      </c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1.xml><?xml version="1.0" encoding="utf-8"?>
<worksheet xmlns="http://schemas.openxmlformats.org/spreadsheetml/2006/main">
  <sheetPr codeName="Sheet11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S04 – DRI plant gas supply – district station DS-2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FCV-2004</t>
        </is>
      </c>
      <c r="C14" s="6">
        <f>IF(B14="","",IFERROR(INDEX(EqTypeCol,MATCH(B14,EqTag,0)),"Tag not in register"))</f>
        <v/>
      </c>
      <c r="D14" s="5" t="inlineStr">
        <is>
          <t>Positioner</t>
        </is>
      </c>
      <c r="E14" s="5" t="inlineStr">
        <is>
          <t>Control reformer fuel flow</t>
        </is>
      </c>
      <c r="F14" s="5" t="inlineStr">
        <is>
          <t>FTC – Fail to close on demand</t>
        </is>
      </c>
      <c r="G14" s="5" t="inlineStr">
        <is>
          <t>• 3.1 Control failure
• 1.6 Sticking / seizure</t>
        </is>
      </c>
      <c r="H14" s="5" t="inlineStr">
        <is>
          <t>Valve fails open</t>
        </is>
      </c>
      <c r="I14" s="5" t="inlineStr">
        <is>
          <t>Reformer over-firing</t>
        </is>
      </c>
      <c r="J14" s="5" t="inlineStr">
        <is>
          <t>Tube overheating / rupture (HAZOP N04-01)</t>
        </is>
      </c>
      <c r="K14" s="17" t="inlineStr">
        <is>
          <t>8 – Very high</t>
        </is>
      </c>
      <c r="L14" s="5" t="inlineStr">
        <is>
          <t>Reformer BMS high-fuel / tube-temperature trips</t>
        </is>
      </c>
      <c r="M14" s="17" t="inlineStr">
        <is>
          <t>3 – Low</t>
        </is>
      </c>
      <c r="N14" s="5" t="inlineStr">
        <is>
          <t>• Protective trip / interlock</t>
        </is>
      </c>
      <c r="O14" s="17" t="inlineStr">
        <is>
          <t>3 – High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n"/>
      <c r="T14" s="5" t="n"/>
      <c r="U14" s="5" t="n"/>
      <c r="V14" s="29" t="n"/>
      <c r="W14" s="17" t="n"/>
      <c r="X14" s="17" t="n"/>
      <c r="Y14" s="17" t="n"/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N04-01</t>
        </is>
      </c>
      <c r="AC14" s="5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XV-2008</t>
        </is>
      </c>
      <c r="C15" s="6">
        <f>IF(B15="","",IFERROR(INDEX(EqTypeCol,MATCH(B15,EqTag,0)),"Tag not in register"))</f>
        <v/>
      </c>
      <c r="D15" s="5" t="inlineStr">
        <is>
          <t>Ball / gate / disc</t>
        </is>
      </c>
      <c r="E15" s="5" t="inlineStr">
        <is>
          <t>Shut tight against reverse flow</t>
        </is>
      </c>
      <c r="F15" s="5" t="inlineStr">
        <is>
          <t>LCP – Leakage in closed position</t>
        </is>
      </c>
      <c r="G15" s="5" t="inlineStr">
        <is>
          <t>• 2.3 Erosion
• 5.2 Contamination (process / lube oil / water)</t>
        </is>
      </c>
      <c r="H15" s="5" t="inlineStr">
        <is>
          <t>Passing valve</t>
        </is>
      </c>
      <c r="I15" s="5" t="inlineStr">
        <is>
          <t>Process gas back-flows into NG when NG pressure is low</t>
        </is>
      </c>
      <c r="J15" s="5" t="inlineStr">
        <is>
          <t>CO / H2 in the NG system (HAZOP N04-03)</t>
        </is>
      </c>
      <c r="K15" s="17" t="inlineStr">
        <is>
          <t>9 – Hazardous – with warning</t>
        </is>
      </c>
      <c r="L15" s="5" t="inlineStr">
        <is>
          <t>Double NRV</t>
        </is>
      </c>
      <c r="M15" s="17" t="inlineStr">
        <is>
          <t>3 – Low</t>
        </is>
      </c>
      <c r="N15" s="5" t="inlineStr">
        <is>
          <t>• None – hidden failure</t>
        </is>
      </c>
      <c r="O15" s="17" t="inlineStr">
        <is>
          <t>8 – Remote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Annual reverse-flow leak test of XV-2008 and the NRVs (R-018)</t>
        </is>
      </c>
      <c r="T15" s="5" t="inlineStr">
        <is>
          <t>Failure-finding / proof test</t>
        </is>
      </c>
      <c r="U15" s="5" t="inlineStr">
        <is>
          <t>DRI maintenance</t>
        </is>
      </c>
      <c r="V15" s="29" t="n">
        <v>46477</v>
      </c>
      <c r="W15" s="17" t="inlineStr">
        <is>
          <t>9 – Hazardous – with warning</t>
        </is>
      </c>
      <c r="X15" s="17" t="inlineStr">
        <is>
          <t>3 – Low</t>
        </is>
      </c>
      <c r="Y15" s="17" t="inlineStr">
        <is>
          <t>4 – Moderately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N04-03</t>
        </is>
      </c>
      <c r="AC15" s="5" t="n"/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PSLL-2006</t>
        </is>
      </c>
      <c r="C16" s="6">
        <f>IF(B16="","",IFERROR(INDEX(EqTypeCol,MATCH(B16,EqTag,0)),"Tag not in register"))</f>
        <v/>
      </c>
      <c r="D16" s="5" t="inlineStr">
        <is>
          <t>Sensing element</t>
        </is>
      </c>
      <c r="E16" s="5" t="inlineStr">
        <is>
          <t>Trip reformer burners on low gas pressure</t>
        </is>
      </c>
      <c r="F16" s="5" t="inlineStr">
        <is>
          <t>FTF – Fail to function on demand</t>
        </is>
      </c>
      <c r="G16" s="5" t="inlineStr">
        <is>
          <t>• 3.4 Out of adjustment / calibration drift
• 5.1 Blockage / plugged</t>
        </is>
      </c>
      <c r="H16" s="5" t="inlineStr">
        <is>
          <t>No trip</t>
        </is>
      </c>
      <c r="I16" s="5" t="inlineStr">
        <is>
          <t>Reformer burners not tripped on gas loss</t>
        </is>
      </c>
      <c r="J16" s="5" t="inlineStr">
        <is>
          <t>Relight hazard (HAZOP N04-02)</t>
        </is>
      </c>
      <c r="K16" s="17" t="inlineStr">
        <is>
          <t>8 – Very high</t>
        </is>
      </c>
      <c r="L16" s="5" t="inlineStr">
        <is>
          <t>Annual proof test</t>
        </is>
      </c>
      <c r="M16" s="17" t="inlineStr">
        <is>
          <t>3 – Low</t>
        </is>
      </c>
      <c r="N16" s="5" t="inlineStr">
        <is>
          <t>• Proof test / function test</t>
        </is>
      </c>
      <c r="O16" s="17" t="inlineStr">
        <is>
          <t>7 – Very low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N04-02</t>
        </is>
      </c>
      <c r="AC16" s="5" t="n"/>
      <c r="AE16">
        <f>IFERROR(INDEX(EqTag,_xlfn.AGGREGATE(15,6,(ROW(EqTag)-4)/((EqSys=$D$3)*(EqTag&lt;&gt;"")),ROWS($AE$14:AE16))),"")</f>
        <v/>
      </c>
    </row>
    <row r="17" ht="30" customHeight="1">
      <c r="A17" s="21">
        <f>IF(F17="","",LEFT($D$3,3)&amp;"-"&amp;TEXT(COUNTIF(F$14:F17,"?*"),"00"))</f>
        <v/>
      </c>
      <c r="B17" s="5" t="n"/>
      <c r="C17" s="6">
        <f>IF(B17="","",IFERROR(INDEX(EqTypeCol,MATCH(B17,EqTag,0)),"Tag not in register"))</f>
        <v/>
      </c>
      <c r="D17" s="5" t="n"/>
      <c r="E17" s="5" t="n"/>
      <c r="F17" s="5" t="n"/>
      <c r="G17" s="5" t="n"/>
      <c r="H17" s="5" t="n"/>
      <c r="I17" s="5" t="n"/>
      <c r="J17" s="5" t="n"/>
      <c r="K17" s="17" t="n"/>
      <c r="L17" s="5" t="n"/>
      <c r="M17" s="17" t="n"/>
      <c r="N17" s="5" t="n"/>
      <c r="O17" s="17" t="n"/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n"/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2.xml><?xml version="1.0" encoding="utf-8"?>
<worksheet xmlns="http://schemas.openxmlformats.org/spreadsheetml/2006/main">
  <sheetPr codeName="Sheet12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S05 – Melt shop gas supply – DS-3, EAF oxy-fuel burners and ladle preheaters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NRV-3010</t>
        </is>
      </c>
      <c r="C14" s="6">
        <f>IF(B14="","",IFERROR(INDEX(EqTypeCol,MATCH(B14,EqTag,0)),"Tag not in register"))</f>
        <v/>
      </c>
      <c r="D14" s="5" t="inlineStr">
        <is>
          <t>Seats</t>
        </is>
      </c>
      <c r="E14" s="5" t="inlineStr">
        <is>
          <t>Prevent O2 back-flow into NG</t>
        </is>
      </c>
      <c r="F14" s="5" t="inlineStr">
        <is>
          <t>LCP – Leakage in closed position</t>
        </is>
      </c>
      <c r="G14" s="5" t="inlineStr">
        <is>
          <t>• 5.1 Blockage / plugged
• 5.5 Heat / radiant heat / molten metal splash</t>
        </is>
      </c>
      <c r="H14" s="5" t="inlineStr">
        <is>
          <t>Check valve passing</t>
        </is>
      </c>
      <c r="I14" s="5" t="inlineStr">
        <is>
          <t>O2 can enter the NG line when NG pressure is lost</t>
        </is>
      </c>
      <c r="J14" s="5" t="inlineStr">
        <is>
          <t>Flashback / detonation in the burner line (HAZOP N05-01)</t>
        </is>
      </c>
      <c r="K14" s="17" t="inlineStr">
        <is>
          <t>10 – Hazardous – without warning</t>
        </is>
      </c>
      <c r="L14" s="5" t="inlineStr">
        <is>
          <t>Flashback arrestor in series</t>
        </is>
      </c>
      <c r="M14" s="17" t="inlineStr">
        <is>
          <t>3 – Low</t>
        </is>
      </c>
      <c r="N14" s="5" t="inlineStr">
        <is>
          <t>• None – hidden failure</t>
        </is>
      </c>
      <c r="O14" s="17" t="inlineStr">
        <is>
          <t>8 – Remote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Annual back-flow test of NRVs; prove the 'low NG closes O2' interlock (R-013)</t>
        </is>
      </c>
      <c r="T14" s="5" t="inlineStr">
        <is>
          <t>Failure-finding / proof test</t>
        </is>
      </c>
      <c r="U14" s="5" t="inlineStr">
        <is>
          <t>Melt shop maintenance</t>
        </is>
      </c>
      <c r="V14" s="29" t="n">
        <v>46477</v>
      </c>
      <c r="W14" s="17" t="inlineStr">
        <is>
          <t>10 – Hazardous – without warning</t>
        </is>
      </c>
      <c r="X14" s="17" t="inlineStr">
        <is>
          <t>3 – Low</t>
        </is>
      </c>
      <c r="Y14" s="17" t="inlineStr">
        <is>
          <t>4 – Moderately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N05-01</t>
        </is>
      </c>
      <c r="AC14" s="5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XV-3011</t>
        </is>
      </c>
      <c r="C15" s="6">
        <f>IF(B15="","",IFERROR(INDEX(EqTypeCol,MATCH(B15,EqTag,0)),"Tag not in register"))</f>
        <v/>
      </c>
      <c r="D15" s="5" t="inlineStr">
        <is>
          <t>Solenoid valve</t>
        </is>
      </c>
      <c r="E15" s="5" t="inlineStr">
        <is>
          <t>Shut off NG to the burner on trip</t>
        </is>
      </c>
      <c r="F15" s="5" t="inlineStr">
        <is>
          <t>FTC – Fail to close on demand</t>
        </is>
      </c>
      <c r="G15" s="5" t="inlineStr">
        <is>
          <t>• 5.3 Dust ingress
• 5.5 Heat / radiant heat / molten metal splash</t>
        </is>
      </c>
      <c r="H15" s="5" t="inlineStr">
        <is>
          <t>NG not shut off</t>
        </is>
      </c>
      <c r="I15" s="5" t="inlineStr">
        <is>
          <t>Burner keeps flowing gas after a trip</t>
        </is>
      </c>
      <c r="J15" s="5" t="inlineStr">
        <is>
          <t>Gas accumulation / fire at the EAF (HAZOP N05-02)</t>
        </is>
      </c>
      <c r="K15" s="17" t="inlineStr">
        <is>
          <t>9 – Hazardous – with warning</t>
        </is>
      </c>
      <c r="L15" s="5" t="inlineStr">
        <is>
          <t>Annual function test</t>
        </is>
      </c>
      <c r="M15" s="17" t="inlineStr">
        <is>
          <t>3 – Low</t>
        </is>
      </c>
      <c r="N15" s="5" t="inlineStr">
        <is>
          <t>• Proof test / function test</t>
        </is>
      </c>
      <c r="O15" s="17" t="inlineStr">
        <is>
          <t>6 – Low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Heat-shield the valve and test six-monthly (R-019)</t>
        </is>
      </c>
      <c r="T15" s="5" t="inlineStr">
        <is>
          <t>Failure-finding / proof test</t>
        </is>
      </c>
      <c r="U15" s="5" t="inlineStr">
        <is>
          <t>Melt shop maintenance</t>
        </is>
      </c>
      <c r="V15" s="29" t="n">
        <v>46477</v>
      </c>
      <c r="W15" s="17" t="inlineStr">
        <is>
          <t>9 – Hazardous – with warning</t>
        </is>
      </c>
      <c r="X15" s="17" t="inlineStr">
        <is>
          <t>3 – Low</t>
        </is>
      </c>
      <c r="Y15" s="17" t="inlineStr">
        <is>
          <t>4 – Moderately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N05-02</t>
        </is>
      </c>
      <c r="AC15" s="5" t="n"/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LPH-3020</t>
        </is>
      </c>
      <c r="C16" s="6">
        <f>IF(B16="","",IFERROR(INDEX(EqTypeCol,MATCH(B16,EqTag,0)),"Tag not in register"))</f>
        <v/>
      </c>
      <c r="D16" s="5" t="inlineStr">
        <is>
          <t>Flame scanner</t>
        </is>
      </c>
      <c r="E16" s="5" t="inlineStr">
        <is>
          <t>Detect loss of flame</t>
        </is>
      </c>
      <c r="F16" s="5" t="inlineStr">
        <is>
          <t>FTC – Fail to shut off fuel</t>
        </is>
      </c>
      <c r="G16" s="5" t="inlineStr">
        <is>
          <t>• 3.3 Faulty signal / indication / alarm
• 5.3 Dust ingress</t>
        </is>
      </c>
      <c r="H16" s="5" t="inlineStr">
        <is>
          <t>Flame loss not detected</t>
        </is>
      </c>
      <c r="I16" s="5" t="inlineStr">
        <is>
          <t>Gas keeps flowing into the ladle</t>
        </is>
      </c>
      <c r="J16" s="5" t="inlineStr">
        <is>
          <t>Explosion on relight (HAZOP N05-03)</t>
        </is>
      </c>
      <c r="K16" s="17" t="inlineStr">
        <is>
          <t>10 – Hazardous – without warning</t>
        </is>
      </c>
      <c r="L16" s="5" t="inlineStr">
        <is>
          <t>Self-checking UV scanner</t>
        </is>
      </c>
      <c r="M16" s="17" t="inlineStr">
        <is>
          <t>3 – Low</t>
        </is>
      </c>
      <c r="N16" s="5" t="inlineStr">
        <is>
          <t>• Proof test / function test</t>
        </is>
      </c>
      <c r="O16" s="17" t="inlineStr">
        <is>
          <t>6 – Low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N05-03</t>
        </is>
      </c>
      <c r="AC16" s="5" t="n"/>
      <c r="AE16">
        <f>IFERROR(INDEX(EqTag,_xlfn.AGGREGATE(15,6,(ROW(EqTag)-4)/((EqSys=$D$3)*(EqTag&lt;&gt;"")),ROWS($AE$14:AE16))),"")</f>
        <v/>
      </c>
    </row>
    <row r="17" ht="30" customHeight="1">
      <c r="A17" s="21">
        <f>IF(F17="","",LEFT($D$3,3)&amp;"-"&amp;TEXT(COUNTIF(F$14:F17,"?*"),"00"))</f>
        <v/>
      </c>
      <c r="B17" s="5" t="n"/>
      <c r="C17" s="6">
        <f>IF(B17="","",IFERROR(INDEX(EqTypeCol,MATCH(B17,EqTag,0)),"Tag not in register"))</f>
        <v/>
      </c>
      <c r="D17" s="5" t="n"/>
      <c r="E17" s="5" t="n"/>
      <c r="F17" s="5" t="n"/>
      <c r="G17" s="5" t="n"/>
      <c r="H17" s="5" t="n"/>
      <c r="I17" s="5" t="n"/>
      <c r="J17" s="5" t="n"/>
      <c r="K17" s="17" t="n"/>
      <c r="L17" s="5" t="n"/>
      <c r="M17" s="17" t="n"/>
      <c r="N17" s="5" t="n"/>
      <c r="O17" s="17" t="n"/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n"/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3.xml><?xml version="1.0" encoding="utf-8"?>
<worksheet xmlns="http://schemas.openxmlformats.org/spreadsheetml/2006/main">
  <sheetPr codeName="Sheet13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S06 – Rolling-mill reheat furnace fuel gas train and burner management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BS-4010</t>
        </is>
      </c>
      <c r="C14" s="6">
        <f>IF(B14="","",IFERROR(INDEX(EqTypeCol,MATCH(B14,EqTag,0)),"Tag not in register"))</f>
        <v/>
      </c>
      <c r="D14" s="5" t="inlineStr">
        <is>
          <t>Sensing element</t>
        </is>
      </c>
      <c r="E14" s="5" t="inlineStr">
        <is>
          <t>Detect loss of flame within 1 s</t>
        </is>
      </c>
      <c r="F14" s="5" t="inlineStr">
        <is>
          <t>FTF – Fail to function on demand</t>
        </is>
      </c>
      <c r="G14" s="5" t="inlineStr">
        <is>
          <t>• 3.3 Faulty signal / indication / alarm
• 5.3 Dust ingress
• 5.5 Heat / radiant heat / molten metal splash</t>
        </is>
      </c>
      <c r="H14" s="5" t="inlineStr">
        <is>
          <t>Scanner keeps reporting flame</t>
        </is>
      </c>
      <c r="I14" s="5" t="inlineStr">
        <is>
          <t>BMS does not shut off fuel</t>
        </is>
      </c>
      <c r="J14" s="5" t="inlineStr">
        <is>
          <t>Explosive mixture in the furnace (FT-GN-03, ETA-GN-02)</t>
        </is>
      </c>
      <c r="K14" s="17" t="inlineStr">
        <is>
          <t>10 – Hazardous – without warning</t>
        </is>
      </c>
      <c r="L14" s="5" t="inlineStr">
        <is>
          <t>Annual scanner check</t>
        </is>
      </c>
      <c r="M14" s="17" t="inlineStr">
        <is>
          <t>4 – Low</t>
        </is>
      </c>
      <c r="N14" s="5" t="inlineStr">
        <is>
          <t>• Proof test / function test</t>
        </is>
      </c>
      <c r="O14" s="17" t="inlineStr">
        <is>
          <t>6 – Low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Self-checking UV scanners, 1oo2 per burner; six-monthly test (R-010)</t>
        </is>
      </c>
      <c r="T14" s="5" t="inlineStr">
        <is>
          <t>Redesign / modification (MOC)</t>
        </is>
      </c>
      <c r="U14" s="5" t="inlineStr">
        <is>
          <t>Instrument engineer</t>
        </is>
      </c>
      <c r="V14" s="29" t="n">
        <v>46477</v>
      </c>
      <c r="W14" s="17" t="inlineStr">
        <is>
          <t>10 – Hazardous – without warning</t>
        </is>
      </c>
      <c r="X14" s="17" t="inlineStr">
        <is>
          <t>2 – Remote</t>
        </is>
      </c>
      <c r="Y14" s="17" t="inlineStr">
        <is>
          <t>4 – Moderately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N06-01</t>
        </is>
      </c>
      <c r="AC14" s="5" t="inlineStr">
        <is>
          <t>Fault tree FT-GN-03 event BE-003</t>
        </is>
      </c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XV-4002A</t>
        </is>
      </c>
      <c r="C15" s="6">
        <f>IF(B15="","",IFERROR(INDEX(EqTypeCol,MATCH(B15,EqTag,0)),"Tag not in register"))</f>
        <v/>
      </c>
      <c r="D15" s="5" t="inlineStr">
        <is>
          <t>Actuator</t>
        </is>
      </c>
      <c r="E15" s="5" t="inlineStr">
        <is>
          <t>Close within 1 s on trip</t>
        </is>
      </c>
      <c r="F15" s="5" t="inlineStr">
        <is>
          <t>FTC – Fail to close on demand</t>
        </is>
      </c>
      <c r="G15" s="5" t="inlineStr">
        <is>
          <t>• 1.6 Sticking / seizure
• 5.2 Contamination (process / lube oil / water)</t>
        </is>
      </c>
      <c r="H15" s="5" t="inlineStr">
        <is>
          <t>SSOV A does not close</t>
        </is>
      </c>
      <c r="I15" s="5" t="inlineStr">
        <is>
          <t>SSOV B must close (1oo2); common cause can fail both</t>
        </is>
      </c>
      <c r="J15" s="5" t="inlineStr">
        <is>
          <t>Explosive mixture if both fail (FT-GN-03)</t>
        </is>
      </c>
      <c r="K15" s="17" t="inlineStr">
        <is>
          <t>10 – Hazardous – without warning</t>
        </is>
      </c>
      <c r="L15" s="5" t="inlineStr">
        <is>
          <t>Annual function test</t>
        </is>
      </c>
      <c r="M15" s="17" t="inlineStr">
        <is>
          <t>3 – Low</t>
        </is>
      </c>
      <c r="N15" s="5" t="inlineStr">
        <is>
          <t>• Proof test / function test</t>
        </is>
      </c>
      <c r="O15" s="17" t="inlineStr">
        <is>
          <t>6 – Low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inlineStr">
        <is>
          <t>Measure closing time at every shutdown; staggered testing (R-010)</t>
        </is>
      </c>
      <c r="T15" s="5" t="inlineStr">
        <is>
          <t>Failure-finding / proof test</t>
        </is>
      </c>
      <c r="U15" s="5" t="inlineStr">
        <is>
          <t>Instrument engineer</t>
        </is>
      </c>
      <c r="V15" s="29" t="n">
        <v>46477</v>
      </c>
      <c r="W15" s="17" t="inlineStr">
        <is>
          <t>10 – Hazardous – without warning</t>
        </is>
      </c>
      <c r="X15" s="17" t="inlineStr">
        <is>
          <t>3 – Low</t>
        </is>
      </c>
      <c r="Y15" s="17" t="inlineStr">
        <is>
          <t>4 – Moderately high</t>
        </is>
      </c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N06-01</t>
        </is>
      </c>
      <c r="AC15" s="5" t="inlineStr">
        <is>
          <t>Fault tree FT-GN-03 events BE-006 / BE-007 (CCF-001)</t>
        </is>
      </c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XV-4002A</t>
        </is>
      </c>
      <c r="C16" s="6">
        <f>IF(B16="","",IFERROR(INDEX(EqTypeCol,MATCH(B16,EqTag,0)),"Tag not in register"))</f>
        <v/>
      </c>
      <c r="D16" s="5" t="inlineStr">
        <is>
          <t>Seats</t>
        </is>
      </c>
      <c r="E16" s="5" t="inlineStr">
        <is>
          <t>Shut tight when the furnace is idle</t>
        </is>
      </c>
      <c r="F16" s="5" t="inlineStr">
        <is>
          <t>LCP – Leakage in closed position</t>
        </is>
      </c>
      <c r="G16" s="5" t="inlineStr">
        <is>
          <t>• 2.3 Erosion
• 5.2 Contamination (process / lube oil / water)</t>
        </is>
      </c>
      <c r="H16" s="5" t="inlineStr">
        <is>
          <t>Passing valve</t>
        </is>
      </c>
      <c r="I16" s="5" t="inlineStr">
        <is>
          <t>Gas accumulates in the idle furnace</t>
        </is>
      </c>
      <c r="J16" s="5" t="inlineStr">
        <is>
          <t>Explosion at light-off (BT-GN-02 T2)</t>
        </is>
      </c>
      <c r="K16" s="17" t="inlineStr">
        <is>
          <t>10 – Hazardous – without warning</t>
        </is>
      </c>
      <c r="L16" s="5" t="inlineStr">
        <is>
          <t>DBB vent XV-4003</t>
        </is>
      </c>
      <c r="M16" s="17" t="inlineStr">
        <is>
          <t>4 – Low</t>
        </is>
      </c>
      <c r="N16" s="5" t="inlineStr">
        <is>
          <t>• Proof test / function test</t>
        </is>
      </c>
      <c r="O16" s="17" t="inlineStr">
        <is>
          <t>4 – Moderately high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inlineStr">
        <is>
          <t>Valve proving VPS-4004 before every light-off (R-011)</t>
        </is>
      </c>
      <c r="T16" s="5" t="inlineStr">
        <is>
          <t>Failure-finding / proof test</t>
        </is>
      </c>
      <c r="U16" s="5" t="inlineStr">
        <is>
          <t>Instrument engineer</t>
        </is>
      </c>
      <c r="V16" s="29" t="n">
        <v>46477</v>
      </c>
      <c r="W16" s="17" t="inlineStr">
        <is>
          <t>10 – Hazardous – without warning</t>
        </is>
      </c>
      <c r="X16" s="17" t="inlineStr">
        <is>
          <t>3 – Low</t>
        </is>
      </c>
      <c r="Y16" s="17" t="inlineStr">
        <is>
          <t>2 – Very high</t>
        </is>
      </c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N06-05</t>
        </is>
      </c>
      <c r="AC16" s="5" t="n"/>
      <c r="AE16">
        <f>IFERROR(INDEX(EqTag,_xlfn.AGGREGATE(15,6,(ROW(EqTag)-4)/((EqSys=$D$3)*(EqTag&lt;&gt;"")),ROWS($AE$14:AE16))),"")</f>
        <v/>
      </c>
    </row>
    <row r="17" ht="75" customHeight="1">
      <c r="A17" s="21">
        <f>IF(F17="","",LEFT($D$3,3)&amp;"-"&amp;TEXT(COUNTIF(F$14:F17,"?*"),"00"))</f>
        <v/>
      </c>
      <c r="B17" s="5" t="inlineStr">
        <is>
          <t>BMS-4000</t>
        </is>
      </c>
      <c r="C17" s="6">
        <f>IF(B17="","",IFERROR(INDEX(EqTypeCol,MATCH(B17,EqTag,0)),"Tag not in register"))</f>
        <v/>
      </c>
      <c r="D17" s="5" t="inlineStr">
        <is>
          <t>Application software</t>
        </is>
      </c>
      <c r="E17" s="5" t="inlineStr">
        <is>
          <t>Execute purge, light-off and flame-failure logic</t>
        </is>
      </c>
      <c r="F17" s="5" t="inlineStr">
        <is>
          <t>OTH – Software / configuration error</t>
        </is>
      </c>
      <c r="G17" s="5" t="inlineStr">
        <is>
          <t>• 3.5 Software / configuration failure</t>
        </is>
      </c>
      <c r="H17" s="5" t="inlineStr">
        <is>
          <t>Logic error / unauthorised change</t>
        </is>
      </c>
      <c r="I17" s="5" t="inlineStr">
        <is>
          <t>Trips not executed</t>
        </is>
      </c>
      <c r="J17" s="5" t="inlineStr">
        <is>
          <t>As N06-01 / N06-04</t>
        </is>
      </c>
      <c r="K17" s="17" t="inlineStr">
        <is>
          <t>10 – Hazardous – without warning</t>
        </is>
      </c>
      <c r="L17" s="5" t="inlineStr">
        <is>
          <t>Password protection</t>
        </is>
      </c>
      <c r="M17" s="17" t="inlineStr">
        <is>
          <t>2 – Remote</t>
        </is>
      </c>
      <c r="N17" s="5" t="inlineStr">
        <is>
          <t>• None – hidden failure</t>
        </is>
      </c>
      <c r="O17" s="17" t="inlineStr">
        <is>
          <t>8 – Remote</t>
        </is>
      </c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inlineStr">
        <is>
          <t>Logic changes only under MOC with full function test; bypass register (R-012)</t>
        </is>
      </c>
      <c r="T17" s="5" t="inlineStr">
        <is>
          <t>Procedure / training</t>
        </is>
      </c>
      <c r="U17" s="5" t="inlineStr">
        <is>
          <t>Instrument engineer</t>
        </is>
      </c>
      <c r="V17" s="29" t="n">
        <v>46477</v>
      </c>
      <c r="W17" s="17" t="inlineStr">
        <is>
          <t>10 – Hazardous – without warning</t>
        </is>
      </c>
      <c r="X17" s="17" t="inlineStr">
        <is>
          <t>2 – Remote</t>
        </is>
      </c>
      <c r="Y17" s="17" t="inlineStr">
        <is>
          <t>5 – Moderate</t>
        </is>
      </c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inlineStr">
        <is>
          <t>HAZOP N06-06</t>
        </is>
      </c>
      <c r="AC17" s="5" t="inlineStr">
        <is>
          <t>Fault tree FT-GN-03 event BE-005</t>
        </is>
      </c>
      <c r="AE17">
        <f>IFERROR(INDEX(EqTag,_xlfn.AGGREGATE(15,6,(ROW(EqTag)-4)/((EqSys=$D$3)*(EqTag&lt;&gt;"")),ROWS($AE$14:AE17))),"")</f>
        <v/>
      </c>
    </row>
    <row r="18" ht="75" customHeight="1">
      <c r="A18" s="21">
        <f>IF(F18="","",LEFT($D$3,3)&amp;"-"&amp;TEXT(COUNTIF(F$14:F18,"?*"),"00"))</f>
        <v/>
      </c>
      <c r="B18" s="5" t="inlineStr">
        <is>
          <t>FN-4007</t>
        </is>
      </c>
      <c r="C18" s="6">
        <f>IF(B18="","",IFERROR(INDEX(EqTypeCol,MATCH(B18,EqTag,0)),"Tag not in register"))</f>
        <v/>
      </c>
      <c r="D18" s="5" t="inlineStr">
        <is>
          <t>Bearings</t>
        </is>
      </c>
      <c r="E18" s="5" t="inlineStr">
        <is>
          <t>Supply combustion air</t>
        </is>
      </c>
      <c r="F18" s="5" t="inlineStr">
        <is>
          <t>UST – Spurious stop</t>
        </is>
      </c>
      <c r="G18" s="5" t="inlineStr">
        <is>
          <t>• Bearing failure (lubrication / contamination / fatigue)</t>
        </is>
      </c>
      <c r="H18" s="5" t="inlineStr">
        <is>
          <t>Fan trips</t>
        </is>
      </c>
      <c r="I18" s="5" t="inlineStr">
        <is>
          <t>FSLL-4008 trips the furnace</t>
        </is>
      </c>
      <c r="J18" s="5" t="inlineStr">
        <is>
          <t>Production loss; if trip fails – rich combustion (BT-GN-02 T4)</t>
        </is>
      </c>
      <c r="K18" s="17" t="inlineStr">
        <is>
          <t>6 – Moderate</t>
        </is>
      </c>
      <c r="L18" s="5" t="inlineStr">
        <is>
          <t>Lubrication schedule</t>
        </is>
      </c>
      <c r="M18" s="17" t="inlineStr">
        <is>
          <t>4 – Low</t>
        </is>
      </c>
      <c r="N18" s="5" t="inlineStr">
        <is>
          <t>• Online vibration monitoring with alarm</t>
        </is>
      </c>
      <c r="O18" s="17" t="inlineStr">
        <is>
          <t>2 – Very high</t>
        </is>
      </c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inlineStr">
        <is>
          <t>HAZOP N06-03</t>
        </is>
      </c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4.xml><?xml version="1.0" encoding="utf-8"?>
<worksheet xmlns="http://schemas.openxmlformats.org/spreadsheetml/2006/main">
  <sheetPr codeName="Sheet14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S07 – Purge, vent, blowdown and maintenance isolation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N2-1304</t>
        </is>
      </c>
      <c r="C14" s="6">
        <f>IF(B14="","",IFERROR(INDEX(EqTypeCol,MATCH(B14,EqTag,0)),"Tag not in register"))</f>
        <v/>
      </c>
      <c r="D14" s="5" t="inlineStr">
        <is>
          <t>Hoses</t>
        </is>
      </c>
      <c r="E14" s="5" t="inlineStr">
        <is>
          <t>Purge with N2 and then be disconnected</t>
        </is>
      </c>
      <c r="F14" s="5" t="inlineStr">
        <is>
          <t>OTH – Other</t>
        </is>
      </c>
      <c r="G14" s="5" t="inlineStr">
        <is>
          <t>• Incorrect operation / operator error</t>
        </is>
      </c>
      <c r="H14" s="5" t="inlineStr">
        <is>
          <t>Hose left connected after purging</t>
        </is>
      </c>
      <c r="I14" s="5" t="inlineStr">
        <is>
          <t>NG back-flows into the plant N2 header</t>
        </is>
      </c>
      <c r="J14" s="5" t="inlineStr">
        <is>
          <t>Flammable gas in N2 users incl. hot DRI conveyor XS-210 (HAZOP N07-03)</t>
        </is>
      </c>
      <c r="K14" s="17" t="inlineStr">
        <is>
          <t>9 – Hazardous – with warning</t>
        </is>
      </c>
      <c r="L14" s="5" t="inlineStr">
        <is>
          <t>Purge procedure</t>
        </is>
      </c>
      <c r="M14" s="17" t="inlineStr">
        <is>
          <t>4 – Low</t>
        </is>
      </c>
      <c r="N14" s="5" t="inlineStr">
        <is>
          <t>• None – hidden failure</t>
        </is>
      </c>
      <c r="O14" s="17" t="inlineStr">
        <is>
          <t>8 – Remote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Removable spool / hose only, check valve + DBB, disconnect after use (R-014)</t>
        </is>
      </c>
      <c r="T14" s="5" t="inlineStr">
        <is>
          <t>Redesign / modification (MOC)</t>
        </is>
      </c>
      <c r="U14" s="5" t="inlineStr">
        <is>
          <t>Utilities manager</t>
        </is>
      </c>
      <c r="V14" s="29" t="n">
        <v>46477</v>
      </c>
      <c r="W14" s="17" t="inlineStr">
        <is>
          <t>9 – Hazardous – with warning</t>
        </is>
      </c>
      <c r="X14" s="17" t="inlineStr">
        <is>
          <t>2 – Remote</t>
        </is>
      </c>
      <c r="Y14" s="17" t="inlineStr">
        <is>
          <t>4 – Moderately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N07-03</t>
        </is>
      </c>
      <c r="AC14" s="5" t="n"/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BDV-1302</t>
        </is>
      </c>
      <c r="C15" s="6">
        <f>IF(B15="","",IFERROR(INDEX(EqTypeCol,MATCH(B15,EqTag,0)),"Tag not in register"))</f>
        <v/>
      </c>
      <c r="D15" s="5" t="inlineStr">
        <is>
          <t>Seats</t>
        </is>
      </c>
      <c r="E15" s="5" t="inlineStr">
        <is>
          <t>Stay tight when closed</t>
        </is>
      </c>
      <c r="F15" s="5" t="inlineStr">
        <is>
          <t>LCP – Leakage in closed position</t>
        </is>
      </c>
      <c r="G15" s="5" t="inlineStr">
        <is>
          <t>• 2.3 Erosion</t>
        </is>
      </c>
      <c r="H15" s="5" t="inlineStr">
        <is>
          <t>Passing blowdown valve</t>
        </is>
      </c>
      <c r="I15" s="5" t="inlineStr">
        <is>
          <t>Continuous small release at VS-1301</t>
        </is>
      </c>
      <c r="J15" s="5" t="inlineStr">
        <is>
          <t>Gas loss; flammable plume at the stack</t>
        </is>
      </c>
      <c r="K15" s="17" t="inlineStr">
        <is>
          <t>5 – Low</t>
        </is>
      </c>
      <c r="L15" s="5" t="inlineStr">
        <is>
          <t>None</t>
        </is>
      </c>
      <c r="M15" s="17" t="inlineStr">
        <is>
          <t>3 – Low</t>
        </is>
      </c>
      <c r="N15" s="5" t="inlineStr">
        <is>
          <t>• Acoustic emission / ultrasonic leak detection</t>
        </is>
      </c>
      <c r="O15" s="17" t="inlineStr">
        <is>
          <t>4 – Moderately high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n"/>
      <c r="T15" s="5" t="n"/>
      <c r="U15" s="5" t="n"/>
      <c r="V15" s="29" t="n"/>
      <c r="W15" s="17" t="n"/>
      <c r="X15" s="17" t="n"/>
      <c r="Y15" s="17" t="n"/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N07-04</t>
        </is>
      </c>
      <c r="AC15" s="5" t="n"/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VS-1301</t>
        </is>
      </c>
      <c r="C16" s="6">
        <f>IF(B16="","",IFERROR(INDEX(EqTypeCol,MATCH(B16,EqTag,0)),"Tag not in register"))</f>
        <v/>
      </c>
      <c r="D16" s="5" t="inlineStr">
        <is>
          <t>Pipe</t>
        </is>
      </c>
      <c r="E16" s="5" t="inlineStr">
        <is>
          <t>Discharge vented gas to a safe height</t>
        </is>
      </c>
      <c r="F16" s="5" t="inlineStr">
        <is>
          <t>PLU – Plugged / choked</t>
        </is>
      </c>
      <c r="G16" s="5" t="inlineStr">
        <is>
          <t>• 5.1 Blockage / plugged</t>
        </is>
      </c>
      <c r="H16" s="5" t="inlineStr">
        <is>
          <t>Stack blocked (rain cap, nest)</t>
        </is>
      </c>
      <c r="I16" s="5" t="inlineStr">
        <is>
          <t>Back-pressure on vents / PSV-1105</t>
        </is>
      </c>
      <c r="J16" s="5" t="inlineStr">
        <is>
          <t>Gas vented inside the shelter</t>
        </is>
      </c>
      <c r="K16" s="17" t="inlineStr">
        <is>
          <t>7 – High</t>
        </is>
      </c>
      <c r="L16" s="5" t="inlineStr">
        <is>
          <t>None</t>
        </is>
      </c>
      <c r="M16" s="17" t="inlineStr">
        <is>
          <t>2 – Remote</t>
        </is>
      </c>
      <c r="N16" s="5" t="inlineStr">
        <is>
          <t>• Shutdown inspection</t>
        </is>
      </c>
      <c r="O16" s="17" t="inlineStr">
        <is>
          <t>6 – Low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N07-04</t>
        </is>
      </c>
      <c r="AC16" s="5" t="n"/>
      <c r="AE16">
        <f>IFERROR(INDEX(EqTag,_xlfn.AGGREGATE(15,6,(ROW(EqTag)-4)/((EqSys=$D$3)*(EqTag&lt;&gt;"")),ROWS($AE$14:AE16))),"")</f>
        <v/>
      </c>
    </row>
    <row r="17" ht="30" customHeight="1">
      <c r="A17" s="21">
        <f>IF(F17="","",LEFT($D$3,3)&amp;"-"&amp;TEXT(COUNTIF(F$14:F17,"?*"),"00"))</f>
        <v/>
      </c>
      <c r="B17" s="5" t="n"/>
      <c r="C17" s="6">
        <f>IF(B17="","",IFERROR(INDEX(EqTypeCol,MATCH(B17,EqTag,0)),"Tag not in register"))</f>
        <v/>
      </c>
      <c r="D17" s="5" t="n"/>
      <c r="E17" s="5" t="n"/>
      <c r="F17" s="5" t="n"/>
      <c r="G17" s="5" t="n"/>
      <c r="H17" s="5" t="n"/>
      <c r="I17" s="5" t="n"/>
      <c r="J17" s="5" t="n"/>
      <c r="K17" s="17" t="n"/>
      <c r="L17" s="5" t="n"/>
      <c r="M17" s="17" t="n"/>
      <c r="N17" s="5" t="n"/>
      <c r="O17" s="17" t="n"/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n"/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5.xml><?xml version="1.0" encoding="utf-8"?>
<worksheet xmlns="http://schemas.openxmlformats.org/spreadsheetml/2006/main">
  <sheetPr codeName="Sheet15">
    <outlinePr summaryBelow="1" summaryRight="1"/>
    <pageSetUpPr fitToPage="1"/>
  </sheetPr>
  <dimension ref="A1:AI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inlineStr">
        <is>
          <t>S08 – Gas detection, F&amp;G and ESD system</t>
        </is>
      </c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75" customHeight="1">
      <c r="A14" s="21">
        <f>IF(F14="","",LEFT($D$3,3)&amp;"-"&amp;TEXT(COUNTIF(F$14:F14,"?*"),"00"))</f>
        <v/>
      </c>
      <c r="B14" s="5" t="inlineStr">
        <is>
          <t>GD-1110A</t>
        </is>
      </c>
      <c r="C14" s="6">
        <f>IF(B14="","",IFERROR(INDEX(EqTypeCol,MATCH(B14,EqTag,0)),"Tag not in register"))</f>
        <v/>
      </c>
      <c r="D14" s="5" t="inlineStr">
        <is>
          <t>Sensor</t>
        </is>
      </c>
      <c r="E14" s="5" t="inlineStr">
        <is>
          <t>Detect gas at 20 % / 40 % LEL</t>
        </is>
      </c>
      <c r="F14" s="5" t="inlineStr">
        <is>
          <t>FTF – Fail to function on demand</t>
        </is>
      </c>
      <c r="G14" s="5" t="inlineStr">
        <is>
          <t>• 3.4 Out of adjustment / calibration drift
• 5.3 Dust ingress
• Ageing / end of life</t>
        </is>
      </c>
      <c r="H14" s="5" t="inlineStr">
        <is>
          <t>Detector does not respond</t>
        </is>
      </c>
      <c r="I14" s="5" t="inlineStr">
        <is>
          <t>2oo3 vote degraded; a common cause can blind all three</t>
        </is>
      </c>
      <c r="J14" s="5" t="inlineStr">
        <is>
          <t>ESD not initiated automatically (FT-GN-02)</t>
        </is>
      </c>
      <c r="K14" s="17" t="inlineStr">
        <is>
          <t>9 – Hazardous – with warning</t>
        </is>
      </c>
      <c r="L14" s="5" t="inlineStr">
        <is>
          <t>Six-monthly calibration</t>
        </is>
      </c>
      <c r="M14" s="17" t="inlineStr">
        <is>
          <t>4 – Low</t>
        </is>
      </c>
      <c r="N14" s="5" t="inlineStr">
        <is>
          <t>• Calibration check</t>
        </is>
      </c>
      <c r="O14" s="17" t="inlineStr">
        <is>
          <t>5 – Moderate</t>
        </is>
      </c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inlineStr">
        <is>
          <t>Quarterly bump test; sensor replacement on age (R-001)</t>
        </is>
      </c>
      <c r="T14" s="5" t="inlineStr">
        <is>
          <t>Failure-finding / proof test</t>
        </is>
      </c>
      <c r="U14" s="5" t="inlineStr">
        <is>
          <t>Instrument engineer</t>
        </is>
      </c>
      <c r="V14" s="29" t="n">
        <v>46477</v>
      </c>
      <c r="W14" s="17" t="inlineStr">
        <is>
          <t>9 – Hazardous – with warning</t>
        </is>
      </c>
      <c r="X14" s="17" t="inlineStr">
        <is>
          <t>3 – Low</t>
        </is>
      </c>
      <c r="Y14" s="17" t="inlineStr">
        <is>
          <t>3 – High</t>
        </is>
      </c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inlineStr">
        <is>
          <t>HAZOP N08-04</t>
        </is>
      </c>
      <c r="AC14" s="5" t="inlineStr">
        <is>
          <t>Fault tree FT-GN-02 events BE-001…003, CCF-001</t>
        </is>
      </c>
      <c r="AE14">
        <f>IFERROR(INDEX(EqTag,_xlfn.AGGREGATE(15,6,(ROW(EqTag)-4)/((EqSys=$D$3)*(EqTag&lt;&gt;"")),ROWS($AE$14:AE14))),"")</f>
        <v/>
      </c>
    </row>
    <row r="15" ht="75" customHeight="1">
      <c r="A15" s="21">
        <f>IF(F15="","",LEFT($D$3,3)&amp;"-"&amp;TEXT(COUNTIF(F$14:F15,"?*"),"00"))</f>
        <v/>
      </c>
      <c r="B15" s="5" t="inlineStr">
        <is>
          <t>UCP-1000</t>
        </is>
      </c>
      <c r="C15" s="6">
        <f>IF(B15="","",IFERROR(INDEX(EqTypeCol,MATCH(B15,EqTag,0)),"Tag not in register"))</f>
        <v/>
      </c>
      <c r="D15" s="5" t="inlineStr">
        <is>
          <t>I/O cards</t>
        </is>
      </c>
      <c r="E15" s="5" t="inlineStr">
        <is>
          <t>Execute the ESD logic</t>
        </is>
      </c>
      <c r="F15" s="5" t="inlineStr">
        <is>
          <t>FTF – Fail to function on demand</t>
        </is>
      </c>
      <c r="G15" s="5" t="inlineStr">
        <is>
          <t>• 4.0 Electrical failure – general</t>
        </is>
      </c>
      <c r="H15" s="5" t="inlineStr">
        <is>
          <t>Output not de-energised</t>
        </is>
      </c>
      <c r="I15" s="5" t="inlineStr">
        <is>
          <t>ESD valves not commanded closed</t>
        </is>
      </c>
      <c r="J15" s="5" t="inlineStr">
        <is>
          <t>Release not isolated (FT-GN-02)</t>
        </is>
      </c>
      <c r="K15" s="17" t="inlineStr">
        <is>
          <t>10 – Hazardous – without warning</t>
        </is>
      </c>
      <c r="L15" s="5" t="inlineStr">
        <is>
          <t>Certified SIS with diagnostics</t>
        </is>
      </c>
      <c r="M15" s="17" t="inlineStr">
        <is>
          <t>2 – Remote</t>
        </is>
      </c>
      <c r="N15" s="5" t="inlineStr">
        <is>
          <t>• Protective trip / interlock</t>
        </is>
      </c>
      <c r="O15" s="17" t="inlineStr">
        <is>
          <t>3 – High</t>
        </is>
      </c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n"/>
      <c r="T15" s="5" t="n"/>
      <c r="U15" s="5" t="n"/>
      <c r="V15" s="29" t="n"/>
      <c r="W15" s="17" t="n"/>
      <c r="X15" s="17" t="n"/>
      <c r="Y15" s="17" t="n"/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inlineStr">
        <is>
          <t>HAZOP N08-01</t>
        </is>
      </c>
      <c r="AC15" s="5" t="inlineStr">
        <is>
          <t>Fault tree FT-GN-02 event BE-004</t>
        </is>
      </c>
      <c r="AE15">
        <f>IFERROR(INDEX(EqTag,_xlfn.AGGREGATE(15,6,(ROW(EqTag)-4)/((EqSys=$D$3)*(EqTag&lt;&gt;"")),ROWS($AE$14:AE15))),"")</f>
        <v/>
      </c>
    </row>
    <row r="16" ht="75" customHeight="1">
      <c r="A16" s="21">
        <f>IF(F16="","",LEFT($D$3,3)&amp;"-"&amp;TEXT(COUNTIF(F$14:F16,"?*"),"00"))</f>
        <v/>
      </c>
      <c r="B16" s="5" t="inlineStr">
        <is>
          <t>UPS-1000</t>
        </is>
      </c>
      <c r="C16" s="6">
        <f>IF(B16="","",IFERROR(INDEX(EqTypeCol,MATCH(B16,EqTag,0)),"Tag not in register"))</f>
        <v/>
      </c>
      <c r="D16" s="5" t="inlineStr">
        <is>
          <t>Batteries (UPS)</t>
        </is>
      </c>
      <c r="E16" s="5" t="inlineStr">
        <is>
          <t>Back up SIS / F&amp;G power for 30 min</t>
        </is>
      </c>
      <c r="F16" s="5" t="inlineStr">
        <is>
          <t>BRD – Breakdown</t>
        </is>
      </c>
      <c r="G16" s="5" t="inlineStr">
        <is>
          <t>• Ageing / end of life</t>
        </is>
      </c>
      <c r="H16" s="5" t="inlineStr">
        <is>
          <t>UPS fails on mains loss</t>
        </is>
      </c>
      <c r="I16" s="5" t="inlineStr">
        <is>
          <t>SIS de-energises – ESD valves close (fail-safe)</t>
        </is>
      </c>
      <c r="J16" s="5" t="inlineStr">
        <is>
          <t>Total gas loss to the works (HAZOP N08-02)</t>
        </is>
      </c>
      <c r="K16" s="17" t="inlineStr">
        <is>
          <t>7 – High</t>
        </is>
      </c>
      <c r="L16" s="5" t="inlineStr">
        <is>
          <t>Annual discharge test</t>
        </is>
      </c>
      <c r="M16" s="17" t="inlineStr">
        <is>
          <t>3 – Low</t>
        </is>
      </c>
      <c r="N16" s="5" t="inlineStr">
        <is>
          <t>• Performance monitoring (flow, ΔP, efficiency)</t>
        </is>
      </c>
      <c r="O16" s="17" t="inlineStr">
        <is>
          <t>3 – High</t>
        </is>
      </c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inlineStr">
        <is>
          <t>HAZOP N08-02</t>
        </is>
      </c>
      <c r="AC16" s="5" t="n"/>
      <c r="AE16">
        <f>IFERROR(INDEX(EqTag,_xlfn.AGGREGATE(15,6,(ROW(EqTag)-4)/((EqSys=$D$3)*(EqTag&lt;&gt;"")),ROWS($AE$14:AE16))),"")</f>
        <v/>
      </c>
    </row>
    <row r="17" ht="75" customHeight="1">
      <c r="A17" s="21">
        <f>IF(F17="","",LEFT($D$3,3)&amp;"-"&amp;TEXT(COUNTIF(F$14:F17,"?*"),"00"))</f>
        <v/>
      </c>
      <c r="B17" s="5" t="inlineStr">
        <is>
          <t>HS-1000</t>
        </is>
      </c>
      <c r="C17" s="6">
        <f>IF(B17="","",IFERROR(INDEX(EqTypeCol,MATCH(B17,EqTag,0)),"Tag not in register"))</f>
        <v/>
      </c>
      <c r="D17" s="5" t="inlineStr">
        <is>
          <t>Cabling and junction box</t>
        </is>
      </c>
      <c r="E17" s="5" t="inlineStr">
        <is>
          <t>Transmit the manual ESD demand</t>
        </is>
      </c>
      <c r="F17" s="5" t="inlineStr">
        <is>
          <t>FTF – Fail to function on demand</t>
        </is>
      </c>
      <c r="G17" s="5" t="inlineStr">
        <is>
          <t>• 4.2 Open circuit
• 5.4 Moisture / water ingress</t>
        </is>
      </c>
      <c r="H17" s="5" t="inlineStr">
        <is>
          <t>Push button circuit fails</t>
        </is>
      </c>
      <c r="I17" s="5" t="inlineStr">
        <is>
          <t>Manual ESD unavailable</t>
        </is>
      </c>
      <c r="J17" s="5" t="inlineStr">
        <is>
          <t>As FT-GN-02 gate G-004</t>
        </is>
      </c>
      <c r="K17" s="17" t="inlineStr">
        <is>
          <t>8 – Very high</t>
        </is>
      </c>
      <c r="L17" s="5" t="inlineStr">
        <is>
          <t>Supervised circuit</t>
        </is>
      </c>
      <c r="M17" s="17" t="inlineStr">
        <is>
          <t>2 – Remote</t>
        </is>
      </c>
      <c r="N17" s="5" t="inlineStr">
        <is>
          <t>• Proof test / function test</t>
        </is>
      </c>
      <c r="O17" s="17" t="inlineStr">
        <is>
          <t>6 – Low</t>
        </is>
      </c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inlineStr">
        <is>
          <t>HAZOP N08-03</t>
        </is>
      </c>
      <c r="AC17" s="5" t="inlineStr">
        <is>
          <t>Fault tree FT-GN-02 event BE-008</t>
        </is>
      </c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6.xml><?xml version="1.0" encoding="utf-8"?>
<worksheet xmlns="http://schemas.openxmlformats.org/spreadsheetml/2006/main">
  <sheetPr codeName="Sheet16">
    <outlinePr summaryBelow="1" summaryRight="1"/>
    <pageSetUpPr fitToPage="1"/>
  </sheetPr>
  <dimension ref="A1:AE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n"/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30" customHeight="1">
      <c r="A14" s="21">
        <f>IF(F14="","",LEFT($D$3,3)&amp;"-"&amp;TEXT(COUNTIF(F$14:F14,"?*"),"00"))</f>
        <v/>
      </c>
      <c r="B14" s="5" t="n"/>
      <c r="C14" s="6">
        <f>IF(B14="","",IFERROR(INDEX(EqTypeCol,MATCH(B14,EqTag,0)),"Tag not in register"))</f>
        <v/>
      </c>
      <c r="D14" s="5" t="n"/>
      <c r="E14" s="5" t="n"/>
      <c r="F14" s="5" t="n"/>
      <c r="G14" s="5" t="n"/>
      <c r="H14" s="5" t="n"/>
      <c r="I14" s="5" t="n"/>
      <c r="J14" s="5" t="n"/>
      <c r="K14" s="17" t="n"/>
      <c r="L14" s="5" t="n"/>
      <c r="M14" s="17" t="n"/>
      <c r="N14" s="5" t="n"/>
      <c r="O14" s="17" t="n"/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n"/>
      <c r="T14" s="5" t="n"/>
      <c r="U14" s="5" t="n"/>
      <c r="V14" s="29" t="n"/>
      <c r="W14" s="17" t="n"/>
      <c r="X14" s="17" t="n"/>
      <c r="Y14" s="17" t="n"/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n"/>
      <c r="AC14" s="5" t="n"/>
      <c r="AE14">
        <f>IFERROR(INDEX(EqTag,_xlfn.AGGREGATE(15,6,(ROW(EqTag)-4)/((EqSys=$D$3)*(EqTag&lt;&gt;"")),ROWS($AE$14:AE14))),"")</f>
        <v/>
      </c>
    </row>
    <row r="15" ht="30" customHeight="1">
      <c r="A15" s="21">
        <f>IF(F15="","",LEFT($D$3,3)&amp;"-"&amp;TEXT(COUNTIF(F$14:F15,"?*"),"00"))</f>
        <v/>
      </c>
      <c r="B15" s="5" t="n"/>
      <c r="C15" s="6">
        <f>IF(B15="","",IFERROR(INDEX(EqTypeCol,MATCH(B15,EqTag,0)),"Tag not in register"))</f>
        <v/>
      </c>
      <c r="D15" s="5" t="n"/>
      <c r="E15" s="5" t="n"/>
      <c r="F15" s="5" t="n"/>
      <c r="G15" s="5" t="n"/>
      <c r="H15" s="5" t="n"/>
      <c r="I15" s="5" t="n"/>
      <c r="J15" s="5" t="n"/>
      <c r="K15" s="17" t="n"/>
      <c r="L15" s="5" t="n"/>
      <c r="M15" s="17" t="n"/>
      <c r="N15" s="5" t="n"/>
      <c r="O15" s="17" t="n"/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n"/>
      <c r="T15" s="5" t="n"/>
      <c r="U15" s="5" t="n"/>
      <c r="V15" s="29" t="n"/>
      <c r="W15" s="17" t="n"/>
      <c r="X15" s="17" t="n"/>
      <c r="Y15" s="17" t="n"/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n"/>
      <c r="AC15" s="5" t="n"/>
      <c r="AE15">
        <f>IFERROR(INDEX(EqTag,_xlfn.AGGREGATE(15,6,(ROW(EqTag)-4)/((EqSys=$D$3)*(EqTag&lt;&gt;"")),ROWS($AE$14:AE15))),"")</f>
        <v/>
      </c>
    </row>
    <row r="16" ht="30" customHeight="1">
      <c r="A16" s="21">
        <f>IF(F16="","",LEFT($D$3,3)&amp;"-"&amp;TEXT(COUNTIF(F$14:F16,"?*"),"00"))</f>
        <v/>
      </c>
      <c r="B16" s="5" t="n"/>
      <c r="C16" s="6">
        <f>IF(B16="","",IFERROR(INDEX(EqTypeCol,MATCH(B16,EqTag,0)),"Tag not in register"))</f>
        <v/>
      </c>
      <c r="D16" s="5" t="n"/>
      <c r="E16" s="5" t="n"/>
      <c r="F16" s="5" t="n"/>
      <c r="G16" s="5" t="n"/>
      <c r="H16" s="5" t="n"/>
      <c r="I16" s="5" t="n"/>
      <c r="J16" s="5" t="n"/>
      <c r="K16" s="17" t="n"/>
      <c r="L16" s="5" t="n"/>
      <c r="M16" s="17" t="n"/>
      <c r="N16" s="5" t="n"/>
      <c r="O16" s="17" t="n"/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n"/>
      <c r="AC16" s="5" t="n"/>
      <c r="AE16">
        <f>IFERROR(INDEX(EqTag,_xlfn.AGGREGATE(15,6,(ROW(EqTag)-4)/((EqSys=$D$3)*(EqTag&lt;&gt;"")),ROWS($AE$14:AE16))),"")</f>
        <v/>
      </c>
    </row>
    <row r="17" ht="30" customHeight="1">
      <c r="A17" s="21">
        <f>IF(F17="","",LEFT($D$3,3)&amp;"-"&amp;TEXT(COUNTIF(F$14:F17,"?*"),"00"))</f>
        <v/>
      </c>
      <c r="B17" s="5" t="n"/>
      <c r="C17" s="6">
        <f>IF(B17="","",IFERROR(INDEX(EqTypeCol,MATCH(B17,EqTag,0)),"Tag not in register"))</f>
        <v/>
      </c>
      <c r="D17" s="5" t="n"/>
      <c r="E17" s="5" t="n"/>
      <c r="F17" s="5" t="n"/>
      <c r="G17" s="5" t="n"/>
      <c r="H17" s="5" t="n"/>
      <c r="I17" s="5" t="n"/>
      <c r="J17" s="5" t="n"/>
      <c r="K17" s="17" t="n"/>
      <c r="L17" s="5" t="n"/>
      <c r="M17" s="17" t="n"/>
      <c r="N17" s="5" t="n"/>
      <c r="O17" s="17" t="n"/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n"/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7.xml><?xml version="1.0" encoding="utf-8"?>
<worksheet xmlns="http://schemas.openxmlformats.org/spreadsheetml/2006/main">
  <sheetPr codeName="Sheet17">
    <outlinePr summaryBelow="1" summaryRight="1"/>
    <pageSetUpPr fitToPage="1"/>
  </sheetPr>
  <dimension ref="A1:AE163"/>
  <sheetViews>
    <sheetView workbookViewId="0">
      <pane xSplit="2" ySplit="13" topLeftCell="C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14" customWidth="1" min="2" max="2"/>
    <col width="22" customWidth="1" min="3" max="3"/>
    <col width="22" customWidth="1" min="4" max="4"/>
    <col width="26" customWidth="1" min="5" max="5"/>
    <col width="28" customWidth="1" min="6" max="6"/>
    <col width="44" customWidth="1" min="7" max="7"/>
    <col width="28" customWidth="1" min="8" max="8"/>
    <col width="28" customWidth="1" min="9" max="9"/>
    <col width="32" customWidth="1" min="10" max="10"/>
    <col width="18" customWidth="1" min="11" max="11"/>
    <col width="30" customWidth="1" min="12" max="12"/>
    <col width="18" customWidth="1" min="13" max="13"/>
    <col width="38" customWidth="1" min="14" max="14"/>
    <col width="18" customWidth="1" min="15" max="15"/>
    <col width="7" customWidth="1" min="16" max="16"/>
    <col width="6" customWidth="1" min="17" max="17"/>
    <col width="9" customWidth="1" min="18" max="18"/>
    <col width="34" customWidth="1" min="19" max="19"/>
    <col width="22" customWidth="1" min="20" max="20"/>
    <col width="14" customWidth="1" min="21" max="21"/>
    <col width="12" customWidth="1" min="22" max="22"/>
    <col width="18" customWidth="1" min="23" max="23"/>
    <col width="18" customWidth="1" min="24" max="24"/>
    <col width="18" customWidth="1" min="25" max="25"/>
    <col width="7" customWidth="1" min="26" max="26"/>
    <col width="6" customWidth="1" min="27" max="27"/>
    <col width="12" customWidth="1" min="28" max="28"/>
    <col width="24" customWidth="1" min="29" max="29"/>
    <col hidden="1" width="13" customWidth="1" min="31" max="31"/>
  </cols>
  <sheetData>
    <row r="1">
      <c r="A1" s="23" t="inlineStr">
        <is>
          <t>FMECA WORKSHEET</t>
        </is>
      </c>
      <c r="F1" s="24">
        <f>Cover!B7</f>
        <v/>
      </c>
    </row>
    <row r="3">
      <c r="A3" s="25" t="inlineStr">
        <is>
          <t>Select system ▸</t>
        </is>
      </c>
      <c r="B3" s="9" t="n"/>
      <c r="C3" s="10" t="n"/>
      <c r="D3" s="26" t="n"/>
      <c r="E3" s="9" t="n"/>
      <c r="F3" s="9" t="n"/>
      <c r="G3" s="9" t="n"/>
      <c r="H3" s="9" t="n"/>
      <c r="I3" s="9" t="n"/>
      <c r="J3" s="10" t="n"/>
      <c r="K3" s="25" t="inlineStr">
        <is>
          <t>Session date</t>
        </is>
      </c>
      <c r="L3" s="14" t="n"/>
      <c r="M3" s="10" t="n"/>
      <c r="N3" s="25" t="inlineStr">
        <is>
          <t>Equipment items</t>
        </is>
      </c>
      <c r="O3" s="21">
        <f>IF($D$3="","",COUNTIFS(EqSys,$D$3,EqTag,"?*"))</f>
        <v/>
      </c>
    </row>
    <row r="4" ht="16" customHeight="1">
      <c r="A4" s="11" t="inlineStr">
        <is>
          <t>System title</t>
        </is>
      </c>
      <c r="B4" s="9" t="n"/>
      <c r="C4" s="10" t="n"/>
      <c r="D4" s="7">
        <f>IF($D$3="","",IFERROR(INDEX(Systems!$B$5:$B$34,MATCH($D$3,Systems!$C$5:$C$34,0))&amp;"",""))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10" t="n"/>
    </row>
    <row r="5" ht="30" customHeight="1">
      <c r="A5" s="11" t="inlineStr">
        <is>
          <t>Function / performance standard</t>
        </is>
      </c>
      <c r="B5" s="9" t="n"/>
      <c r="C5" s="10" t="n"/>
      <c r="D5" s="7">
        <f>IF($D$3="","",IFERROR(INDEX(Systems!$D$5:$D$34,MATCH($D$3,Systems!$C$5:$C$34,0))&amp;"",""))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0" t="n"/>
    </row>
    <row r="6" ht="30" customHeight="1">
      <c r="A6" s="11" t="inlineStr">
        <is>
          <t>Operating context</t>
        </is>
      </c>
      <c r="B6" s="9" t="n"/>
      <c r="C6" s="10" t="n"/>
      <c r="D6" s="7">
        <f>IF($D$3="","",IFERROR(INDEX(Systems!$E$5:$E$34,MATCH($D$3,Systems!$C$5:$C$34,0))&amp;"",""))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0" t="n"/>
    </row>
    <row r="7" ht="30" customHeight="1">
      <c r="A7" s="11" t="inlineStr">
        <is>
          <t>System boundaries</t>
        </is>
      </c>
      <c r="B7" s="9" t="n"/>
      <c r="C7" s="10" t="n"/>
      <c r="D7" s="7">
        <f>IF($D$3="","",IFERROR(INDEX(Systems!$F$5:$F$34,MATCH($D$3,Systems!$C$5:$C$34,0))&amp;"",""))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10" t="n"/>
    </row>
    <row r="8" ht="16" customHeight="1">
      <c r="A8" s="11" t="inlineStr">
        <is>
          <t>P&amp;IDs / drawings</t>
        </is>
      </c>
      <c r="B8" s="9" t="n"/>
      <c r="C8" s="10" t="n"/>
      <c r="D8" s="7">
        <f>IF($D$3="","",IFERROR(INDEX(Systems!$G$5:$G$34,MATCH($D$3,Systems!$C$5:$C$34,0))&amp;"",""))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10" t="n"/>
    </row>
    <row r="9" ht="16" customHeight="1">
      <c r="A9" s="11" t="inlineStr">
        <is>
          <t>Related HAZOP node(s)</t>
        </is>
      </c>
      <c r="B9" s="9" t="n"/>
      <c r="C9" s="10" t="n"/>
      <c r="D9" s="7">
        <f>IF($D$3="","",IFERROR(INDEX(Systems!$H$5:$H$34,MATCH($D$3,Systems!$C$5:$C$34,0))&amp;"",""))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10" t="n"/>
    </row>
    <row r="11" ht="26" customHeight="1">
      <c r="A11" s="27" t="inlineStr">
        <is>
      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      </is>
      </c>
    </row>
    <row r="12">
      <c r="A12" s="8" t="inlineStr">
        <is>
          <t>ITEM / FAILURE MODE</t>
        </is>
      </c>
      <c r="B12" s="9" t="n"/>
      <c r="C12" s="9" t="n"/>
      <c r="D12" s="9" t="n"/>
      <c r="E12" s="9" t="n"/>
      <c r="F12" s="10" t="n"/>
      <c r="G12" s="8" t="inlineStr">
        <is>
          <t>CAUSES &amp; EFFECTS</t>
        </is>
      </c>
      <c r="H12" s="9" t="n"/>
      <c r="I12" s="9" t="n"/>
      <c r="J12" s="10" t="n"/>
      <c r="K12" s="8" t="inlineStr">
        <is>
          <t>CRITICALITY – CURRENT</t>
        </is>
      </c>
      <c r="L12" s="9" t="n"/>
      <c r="M12" s="9" t="n"/>
      <c r="N12" s="9" t="n"/>
      <c r="O12" s="9" t="n"/>
      <c r="P12" s="9" t="n"/>
      <c r="Q12" s="9" t="n"/>
      <c r="R12" s="10" t="n"/>
      <c r="S12" s="8" t="inlineStr">
        <is>
          <t>RECOMMENDED ACTIONS</t>
        </is>
      </c>
      <c r="T12" s="9" t="n"/>
      <c r="U12" s="9" t="n"/>
      <c r="V12" s="10" t="n"/>
      <c r="W12" s="8" t="inlineStr">
        <is>
          <t>CRITICALITY – AFTER ACTION</t>
        </is>
      </c>
      <c r="X12" s="9" t="n"/>
      <c r="Y12" s="9" t="n"/>
      <c r="Z12" s="9" t="n"/>
      <c r="AA12" s="10" t="n"/>
      <c r="AB12" s="8" t="inlineStr">
        <is>
          <t>LINKS</t>
        </is>
      </c>
      <c r="AC12" s="10" t="n"/>
    </row>
    <row r="13" ht="54" customHeight="1">
      <c r="A13" s="8" t="inlineStr">
        <is>
          <t>Ref</t>
        </is>
      </c>
      <c r="B13" s="8" t="inlineStr">
        <is>
          <t>Equipment tag</t>
        </is>
      </c>
      <c r="C13" s="8" t="inlineStr">
        <is>
          <t>Equipment type (auto)</t>
        </is>
      </c>
      <c r="D13" s="8" t="inlineStr">
        <is>
          <t>Component / maintainable item</t>
        </is>
      </c>
      <c r="E13" s="8" t="inlineStr">
        <is>
          <t>Function of item</t>
        </is>
      </c>
      <c r="F13" s="8" t="inlineStr">
        <is>
          <t>Failure mode</t>
        </is>
      </c>
      <c r="G13" s="8" t="inlineStr">
        <is>
          <t>Failure causes / mechanisms (pick repeatedly – one per line)</t>
        </is>
      </c>
      <c r="H13" s="8" t="inlineStr">
        <is>
          <t>Local effect</t>
        </is>
      </c>
      <c r="I13" s="8" t="inlineStr">
        <is>
          <t>System effect</t>
        </is>
      </c>
      <c r="J13" s="8" t="inlineStr">
        <is>
          <t>End effect (safety / environment / production)</t>
        </is>
      </c>
      <c r="K13" s="8" t="inlineStr">
        <is>
          <t>Severity (S)</t>
        </is>
      </c>
      <c r="L13" s="8" t="inlineStr">
        <is>
          <t>Current prevention controls</t>
        </is>
      </c>
      <c r="M13" s="8" t="inlineStr">
        <is>
          <t>Occurrence (O)</t>
        </is>
      </c>
      <c r="N13" s="8" t="inlineStr">
        <is>
          <t>Current detection methods (pick repeatedly – one per line)</t>
        </is>
      </c>
      <c r="O13" s="8" t="inlineStr">
        <is>
          <t>Detection (D)</t>
        </is>
      </c>
      <c r="P13" s="8" t="inlineStr">
        <is>
          <t>RPN</t>
        </is>
      </c>
      <c r="Q13" s="8" t="inlineStr">
        <is>
          <t>AP</t>
        </is>
      </c>
      <c r="R13" s="8" t="inlineStr">
        <is>
          <t>Action required?</t>
        </is>
      </c>
      <c r="S13" s="8" t="inlineStr">
        <is>
          <t>Recommended action</t>
        </is>
      </c>
      <c r="T13" s="8" t="inlineStr">
        <is>
          <t>Action / task type</t>
        </is>
      </c>
      <c r="U13" s="8" t="inlineStr">
        <is>
          <t>Action by</t>
        </is>
      </c>
      <c r="V13" s="8" t="inlineStr">
        <is>
          <t>Due date</t>
        </is>
      </c>
      <c r="W13" s="8" t="inlineStr">
        <is>
          <t>Severity (S)</t>
        </is>
      </c>
      <c r="X13" s="8" t="inlineStr">
        <is>
          <t>Occurrence (O)</t>
        </is>
      </c>
      <c r="Y13" s="8" t="inlineStr">
        <is>
          <t>Detection (D)</t>
        </is>
      </c>
      <c r="Z13" s="8" t="inlineStr">
        <is>
          <t>RPN after</t>
        </is>
      </c>
      <c r="AA13" s="8" t="inlineStr">
        <is>
          <t>AP after</t>
        </is>
      </c>
      <c r="AB13" s="8" t="inlineStr">
        <is>
          <t>HAZOP ref.</t>
        </is>
      </c>
      <c r="AC13" s="8" t="inlineStr">
        <is>
          <t>Comments</t>
        </is>
      </c>
    </row>
    <row r="14" ht="30" customHeight="1">
      <c r="A14" s="21">
        <f>IF(F14="","",LEFT($D$3,3)&amp;"-"&amp;TEXT(COUNTIF(F$14:F14,"?*"),"00"))</f>
        <v/>
      </c>
      <c r="B14" s="5" t="n"/>
      <c r="C14" s="6">
        <f>IF(B14="","",IFERROR(INDEX(EqTypeCol,MATCH(B14,EqTag,0)),"Tag not in register"))</f>
        <v/>
      </c>
      <c r="D14" s="5" t="n"/>
      <c r="E14" s="5" t="n"/>
      <c r="F14" s="5" t="n"/>
      <c r="G14" s="5" t="n"/>
      <c r="H14" s="5" t="n"/>
      <c r="I14" s="5" t="n"/>
      <c r="J14" s="5" t="n"/>
      <c r="K14" s="17" t="n"/>
      <c r="L14" s="5" t="n"/>
      <c r="M14" s="17" t="n"/>
      <c r="N14" s="5" t="n"/>
      <c r="O14" s="17" t="n"/>
      <c r="P14" s="21">
        <f>IF(OR(K14="",M14="",O14=""),"",(--TRIM(LEFT(K14,2)))*(--TRIM(LEFT(M14,2)))*(--TRIM(LEFT(O14,2))))</f>
        <v/>
      </c>
      <c r="Q14" s="21">
        <f>IF(OR(K14="",M14="",O14=""),"",INDEX(APGrid,COUNTIF(APS,"&gt;"&amp;(--TRIM(LEFT(K14,2))))*5+COUNTIF(APO,"&gt;"&amp;(--TRIM(LEFT(M14,2))))+1,COUNTIF(APD,"&gt;"&amp;(--TRIM(LEFT(O14,2))))+1))</f>
        <v/>
      </c>
      <c r="R14" s="21">
        <f>IF(P14="","",IF(OR((--TRIM(LEFT(K14,2)))&gt;=SThr,P14&gt;=RPNThr,Q14="H"),"Yes","No"))</f>
        <v/>
      </c>
      <c r="S14" s="5" t="n"/>
      <c r="T14" s="5" t="n"/>
      <c r="U14" s="5" t="n"/>
      <c r="V14" s="29" t="n"/>
      <c r="W14" s="17" t="n"/>
      <c r="X14" s="17" t="n"/>
      <c r="Y14" s="17" t="n"/>
      <c r="Z14" s="21">
        <f>IF(OR(W14="",X14="",Y14=""),"",(--TRIM(LEFT(W14,2)))*(--TRIM(LEFT(X14,2)))*(--TRIM(LEFT(Y14,2))))</f>
        <v/>
      </c>
      <c r="AA14" s="21">
        <f>IF(OR(W14="",X14="",Y14=""),"",INDEX(APGrid,COUNTIF(APS,"&gt;"&amp;(--TRIM(LEFT(W14,2))))*5+COUNTIF(APO,"&gt;"&amp;(--TRIM(LEFT(X14,2))))+1,COUNTIF(APD,"&gt;"&amp;(--TRIM(LEFT(Y14,2))))+1))</f>
        <v/>
      </c>
      <c r="AB14" s="5" t="n"/>
      <c r="AC14" s="5" t="n"/>
      <c r="AE14">
        <f>IFERROR(INDEX(EqTag,_xlfn.AGGREGATE(15,6,(ROW(EqTag)-4)/((EqSys=$D$3)*(EqTag&lt;&gt;"")),ROWS($AE$14:AE14))),"")</f>
        <v/>
      </c>
    </row>
    <row r="15" ht="30" customHeight="1">
      <c r="A15" s="21">
        <f>IF(F15="","",LEFT($D$3,3)&amp;"-"&amp;TEXT(COUNTIF(F$14:F15,"?*"),"00"))</f>
        <v/>
      </c>
      <c r="B15" s="5" t="n"/>
      <c r="C15" s="6">
        <f>IF(B15="","",IFERROR(INDEX(EqTypeCol,MATCH(B15,EqTag,0)),"Tag not in register"))</f>
        <v/>
      </c>
      <c r="D15" s="5" t="n"/>
      <c r="E15" s="5" t="n"/>
      <c r="F15" s="5" t="n"/>
      <c r="G15" s="5" t="n"/>
      <c r="H15" s="5" t="n"/>
      <c r="I15" s="5" t="n"/>
      <c r="J15" s="5" t="n"/>
      <c r="K15" s="17" t="n"/>
      <c r="L15" s="5" t="n"/>
      <c r="M15" s="17" t="n"/>
      <c r="N15" s="5" t="n"/>
      <c r="O15" s="17" t="n"/>
      <c r="P15" s="21">
        <f>IF(OR(K15="",M15="",O15=""),"",(--TRIM(LEFT(K15,2)))*(--TRIM(LEFT(M15,2)))*(--TRIM(LEFT(O15,2))))</f>
        <v/>
      </c>
      <c r="Q15" s="21">
        <f>IF(OR(K15="",M15="",O15=""),"",INDEX(APGrid,COUNTIF(APS,"&gt;"&amp;(--TRIM(LEFT(K15,2))))*5+COUNTIF(APO,"&gt;"&amp;(--TRIM(LEFT(M15,2))))+1,COUNTIF(APD,"&gt;"&amp;(--TRIM(LEFT(O15,2))))+1))</f>
        <v/>
      </c>
      <c r="R15" s="21">
        <f>IF(P15="","",IF(OR((--TRIM(LEFT(K15,2)))&gt;=SThr,P15&gt;=RPNThr,Q15="H"),"Yes","No"))</f>
        <v/>
      </c>
      <c r="S15" s="5" t="n"/>
      <c r="T15" s="5" t="n"/>
      <c r="U15" s="5" t="n"/>
      <c r="V15" s="29" t="n"/>
      <c r="W15" s="17" t="n"/>
      <c r="X15" s="17" t="n"/>
      <c r="Y15" s="17" t="n"/>
      <c r="Z15" s="21">
        <f>IF(OR(W15="",X15="",Y15=""),"",(--TRIM(LEFT(W15,2)))*(--TRIM(LEFT(X15,2)))*(--TRIM(LEFT(Y15,2))))</f>
        <v/>
      </c>
      <c r="AA15" s="21">
        <f>IF(OR(W15="",X15="",Y15=""),"",INDEX(APGrid,COUNTIF(APS,"&gt;"&amp;(--TRIM(LEFT(W15,2))))*5+COUNTIF(APO,"&gt;"&amp;(--TRIM(LEFT(X15,2))))+1,COUNTIF(APD,"&gt;"&amp;(--TRIM(LEFT(Y15,2))))+1))</f>
        <v/>
      </c>
      <c r="AB15" s="5" t="n"/>
      <c r="AC15" s="5" t="n"/>
      <c r="AE15">
        <f>IFERROR(INDEX(EqTag,_xlfn.AGGREGATE(15,6,(ROW(EqTag)-4)/((EqSys=$D$3)*(EqTag&lt;&gt;"")),ROWS($AE$14:AE15))),"")</f>
        <v/>
      </c>
    </row>
    <row r="16" ht="30" customHeight="1">
      <c r="A16" s="21">
        <f>IF(F16="","",LEFT($D$3,3)&amp;"-"&amp;TEXT(COUNTIF(F$14:F16,"?*"),"00"))</f>
        <v/>
      </c>
      <c r="B16" s="5" t="n"/>
      <c r="C16" s="6">
        <f>IF(B16="","",IFERROR(INDEX(EqTypeCol,MATCH(B16,EqTag,0)),"Tag not in register"))</f>
        <v/>
      </c>
      <c r="D16" s="5" t="n"/>
      <c r="E16" s="5" t="n"/>
      <c r="F16" s="5" t="n"/>
      <c r="G16" s="5" t="n"/>
      <c r="H16" s="5" t="n"/>
      <c r="I16" s="5" t="n"/>
      <c r="J16" s="5" t="n"/>
      <c r="K16" s="17" t="n"/>
      <c r="L16" s="5" t="n"/>
      <c r="M16" s="17" t="n"/>
      <c r="N16" s="5" t="n"/>
      <c r="O16" s="17" t="n"/>
      <c r="P16" s="21">
        <f>IF(OR(K16="",M16="",O16=""),"",(--TRIM(LEFT(K16,2)))*(--TRIM(LEFT(M16,2)))*(--TRIM(LEFT(O16,2))))</f>
        <v/>
      </c>
      <c r="Q16" s="21">
        <f>IF(OR(K16="",M16="",O16=""),"",INDEX(APGrid,COUNTIF(APS,"&gt;"&amp;(--TRIM(LEFT(K16,2))))*5+COUNTIF(APO,"&gt;"&amp;(--TRIM(LEFT(M16,2))))+1,COUNTIF(APD,"&gt;"&amp;(--TRIM(LEFT(O16,2))))+1))</f>
        <v/>
      </c>
      <c r="R16" s="21">
        <f>IF(P16="","",IF(OR((--TRIM(LEFT(K16,2)))&gt;=SThr,P16&gt;=RPNThr,Q16="H"),"Yes","No"))</f>
        <v/>
      </c>
      <c r="S16" s="5" t="n"/>
      <c r="T16" s="5" t="n"/>
      <c r="U16" s="5" t="n"/>
      <c r="V16" s="29" t="n"/>
      <c r="W16" s="17" t="n"/>
      <c r="X16" s="17" t="n"/>
      <c r="Y16" s="17" t="n"/>
      <c r="Z16" s="21">
        <f>IF(OR(W16="",X16="",Y16=""),"",(--TRIM(LEFT(W16,2)))*(--TRIM(LEFT(X16,2)))*(--TRIM(LEFT(Y16,2))))</f>
        <v/>
      </c>
      <c r="AA16" s="21">
        <f>IF(OR(W16="",X16="",Y16=""),"",INDEX(APGrid,COUNTIF(APS,"&gt;"&amp;(--TRIM(LEFT(W16,2))))*5+COUNTIF(APO,"&gt;"&amp;(--TRIM(LEFT(X16,2))))+1,COUNTIF(APD,"&gt;"&amp;(--TRIM(LEFT(Y16,2))))+1))</f>
        <v/>
      </c>
      <c r="AB16" s="5" t="n"/>
      <c r="AC16" s="5" t="n"/>
      <c r="AE16">
        <f>IFERROR(INDEX(EqTag,_xlfn.AGGREGATE(15,6,(ROW(EqTag)-4)/((EqSys=$D$3)*(EqTag&lt;&gt;"")),ROWS($AE$14:AE16))),"")</f>
        <v/>
      </c>
    </row>
    <row r="17" ht="30" customHeight="1">
      <c r="A17" s="21">
        <f>IF(F17="","",LEFT($D$3,3)&amp;"-"&amp;TEXT(COUNTIF(F$14:F17,"?*"),"00"))</f>
        <v/>
      </c>
      <c r="B17" s="5" t="n"/>
      <c r="C17" s="6">
        <f>IF(B17="","",IFERROR(INDEX(EqTypeCol,MATCH(B17,EqTag,0)),"Tag not in register"))</f>
        <v/>
      </c>
      <c r="D17" s="5" t="n"/>
      <c r="E17" s="5" t="n"/>
      <c r="F17" s="5" t="n"/>
      <c r="G17" s="5" t="n"/>
      <c r="H17" s="5" t="n"/>
      <c r="I17" s="5" t="n"/>
      <c r="J17" s="5" t="n"/>
      <c r="K17" s="17" t="n"/>
      <c r="L17" s="5" t="n"/>
      <c r="M17" s="17" t="n"/>
      <c r="N17" s="5" t="n"/>
      <c r="O17" s="17" t="n"/>
      <c r="P17" s="21">
        <f>IF(OR(K17="",M17="",O17=""),"",(--TRIM(LEFT(K17,2)))*(--TRIM(LEFT(M17,2)))*(--TRIM(LEFT(O17,2))))</f>
        <v/>
      </c>
      <c r="Q17" s="21">
        <f>IF(OR(K17="",M17="",O17=""),"",INDEX(APGrid,COUNTIF(APS,"&gt;"&amp;(--TRIM(LEFT(K17,2))))*5+COUNTIF(APO,"&gt;"&amp;(--TRIM(LEFT(M17,2))))+1,COUNTIF(APD,"&gt;"&amp;(--TRIM(LEFT(O17,2))))+1))</f>
        <v/>
      </c>
      <c r="R17" s="21">
        <f>IF(P17="","",IF(OR((--TRIM(LEFT(K17,2)))&gt;=SThr,P17&gt;=RPNThr,Q17="H"),"Yes","No"))</f>
        <v/>
      </c>
      <c r="S17" s="5" t="n"/>
      <c r="T17" s="5" t="n"/>
      <c r="U17" s="5" t="n"/>
      <c r="V17" s="29" t="n"/>
      <c r="W17" s="17" t="n"/>
      <c r="X17" s="17" t="n"/>
      <c r="Y17" s="17" t="n"/>
      <c r="Z17" s="21">
        <f>IF(OR(W17="",X17="",Y17=""),"",(--TRIM(LEFT(W17,2)))*(--TRIM(LEFT(X17,2)))*(--TRIM(LEFT(Y17,2))))</f>
        <v/>
      </c>
      <c r="AA17" s="21">
        <f>IF(OR(W17="",X17="",Y17=""),"",INDEX(APGrid,COUNTIF(APS,"&gt;"&amp;(--TRIM(LEFT(W17,2))))*5+COUNTIF(APO,"&gt;"&amp;(--TRIM(LEFT(X17,2))))+1,COUNTIF(APD,"&gt;"&amp;(--TRIM(LEFT(Y17,2))))+1))</f>
        <v/>
      </c>
      <c r="AB17" s="5" t="n"/>
      <c r="AC17" s="5" t="n"/>
      <c r="AE17">
        <f>IFERROR(INDEX(EqTag,_xlfn.AGGREGATE(15,6,(ROW(EqTag)-4)/((EqSys=$D$3)*(EqTag&lt;&gt;"")),ROWS($AE$14:AE17))),"")</f>
        <v/>
      </c>
    </row>
    <row r="18" ht="30" customHeight="1">
      <c r="A18" s="21">
        <f>IF(F18="","",LEFT($D$3,3)&amp;"-"&amp;TEXT(COUNTIF(F$14:F18,"?*"),"00"))</f>
        <v/>
      </c>
      <c r="B18" s="5" t="n"/>
      <c r="C18" s="6">
        <f>IF(B18="","",IFERROR(INDEX(EqTypeCol,MATCH(B18,EqTag,0)),"Tag not in register"))</f>
        <v/>
      </c>
      <c r="D18" s="5" t="n"/>
      <c r="E18" s="5" t="n"/>
      <c r="F18" s="5" t="n"/>
      <c r="G18" s="5" t="n"/>
      <c r="H18" s="5" t="n"/>
      <c r="I18" s="5" t="n"/>
      <c r="J18" s="5" t="n"/>
      <c r="K18" s="17" t="n"/>
      <c r="L18" s="5" t="n"/>
      <c r="M18" s="17" t="n"/>
      <c r="N18" s="5" t="n"/>
      <c r="O18" s="17" t="n"/>
      <c r="P18" s="21">
        <f>IF(OR(K18="",M18="",O18=""),"",(--TRIM(LEFT(K18,2)))*(--TRIM(LEFT(M18,2)))*(--TRIM(LEFT(O18,2))))</f>
        <v/>
      </c>
      <c r="Q18" s="21">
        <f>IF(OR(K18="",M18="",O18=""),"",INDEX(APGrid,COUNTIF(APS,"&gt;"&amp;(--TRIM(LEFT(K18,2))))*5+COUNTIF(APO,"&gt;"&amp;(--TRIM(LEFT(M18,2))))+1,COUNTIF(APD,"&gt;"&amp;(--TRIM(LEFT(O18,2))))+1))</f>
        <v/>
      </c>
      <c r="R18" s="21">
        <f>IF(P18="","",IF(OR((--TRIM(LEFT(K18,2)))&gt;=SThr,P18&gt;=RPNThr,Q18="H"),"Yes","No"))</f>
        <v/>
      </c>
      <c r="S18" s="5" t="n"/>
      <c r="T18" s="5" t="n"/>
      <c r="U18" s="5" t="n"/>
      <c r="V18" s="29" t="n"/>
      <c r="W18" s="17" t="n"/>
      <c r="X18" s="17" t="n"/>
      <c r="Y18" s="17" t="n"/>
      <c r="Z18" s="21">
        <f>IF(OR(W18="",X18="",Y18=""),"",(--TRIM(LEFT(W18,2)))*(--TRIM(LEFT(X18,2)))*(--TRIM(LEFT(Y18,2))))</f>
        <v/>
      </c>
      <c r="AA18" s="21">
        <f>IF(OR(W18="",X18="",Y18=""),"",INDEX(APGrid,COUNTIF(APS,"&gt;"&amp;(--TRIM(LEFT(W18,2))))*5+COUNTIF(APO,"&gt;"&amp;(--TRIM(LEFT(X18,2))))+1,COUNTIF(APD,"&gt;"&amp;(--TRIM(LEFT(Y18,2))))+1))</f>
        <v/>
      </c>
      <c r="AB18" s="5" t="n"/>
      <c r="AC18" s="5" t="n"/>
      <c r="AE18">
        <f>IFERROR(INDEX(EqTag,_xlfn.AGGREGATE(15,6,(ROW(EqTag)-4)/((EqSys=$D$3)*(EqTag&lt;&gt;"")),ROWS($AE$14:AE18))),"")</f>
        <v/>
      </c>
    </row>
    <row r="19" ht="30" customHeight="1">
      <c r="A19" s="21">
        <f>IF(F19="","",LEFT($D$3,3)&amp;"-"&amp;TEXT(COUNTIF(F$14:F19,"?*"),"00"))</f>
        <v/>
      </c>
      <c r="B19" s="5" t="n"/>
      <c r="C19" s="6">
        <f>IF(B19="","",IFERROR(INDEX(EqTypeCol,MATCH(B19,EqTag,0)),"Tag not in register"))</f>
        <v/>
      </c>
      <c r="D19" s="5" t="n"/>
      <c r="E19" s="5" t="n"/>
      <c r="F19" s="5" t="n"/>
      <c r="G19" s="5" t="n"/>
      <c r="H19" s="5" t="n"/>
      <c r="I19" s="5" t="n"/>
      <c r="J19" s="5" t="n"/>
      <c r="K19" s="17" t="n"/>
      <c r="L19" s="5" t="n"/>
      <c r="M19" s="17" t="n"/>
      <c r="N19" s="5" t="n"/>
      <c r="O19" s="17" t="n"/>
      <c r="P19" s="21">
        <f>IF(OR(K19="",M19="",O19=""),"",(--TRIM(LEFT(K19,2)))*(--TRIM(LEFT(M19,2)))*(--TRIM(LEFT(O19,2))))</f>
        <v/>
      </c>
      <c r="Q19" s="21">
        <f>IF(OR(K19="",M19="",O19=""),"",INDEX(APGrid,COUNTIF(APS,"&gt;"&amp;(--TRIM(LEFT(K19,2))))*5+COUNTIF(APO,"&gt;"&amp;(--TRIM(LEFT(M19,2))))+1,COUNTIF(APD,"&gt;"&amp;(--TRIM(LEFT(O19,2))))+1))</f>
        <v/>
      </c>
      <c r="R19" s="21">
        <f>IF(P19="","",IF(OR((--TRIM(LEFT(K19,2)))&gt;=SThr,P19&gt;=RPNThr,Q19="H"),"Yes","No"))</f>
        <v/>
      </c>
      <c r="S19" s="5" t="n"/>
      <c r="T19" s="5" t="n"/>
      <c r="U19" s="5" t="n"/>
      <c r="V19" s="29" t="n"/>
      <c r="W19" s="17" t="n"/>
      <c r="X19" s="17" t="n"/>
      <c r="Y19" s="17" t="n"/>
      <c r="Z19" s="21">
        <f>IF(OR(W19="",X19="",Y19=""),"",(--TRIM(LEFT(W19,2)))*(--TRIM(LEFT(X19,2)))*(--TRIM(LEFT(Y19,2))))</f>
        <v/>
      </c>
      <c r="AA19" s="21">
        <f>IF(OR(W19="",X19="",Y19=""),"",INDEX(APGrid,COUNTIF(APS,"&gt;"&amp;(--TRIM(LEFT(W19,2))))*5+COUNTIF(APO,"&gt;"&amp;(--TRIM(LEFT(X19,2))))+1,COUNTIF(APD,"&gt;"&amp;(--TRIM(LEFT(Y19,2))))+1))</f>
        <v/>
      </c>
      <c r="AB19" s="5" t="n"/>
      <c r="AC19" s="5" t="n"/>
      <c r="AE19">
        <f>IFERROR(INDEX(EqTag,_xlfn.AGGREGATE(15,6,(ROW(EqTag)-4)/((EqSys=$D$3)*(EqTag&lt;&gt;"")),ROWS($AE$14:AE19))),"")</f>
        <v/>
      </c>
    </row>
    <row r="20" ht="30" customHeight="1">
      <c r="A20" s="21">
        <f>IF(F20="","",LEFT($D$3,3)&amp;"-"&amp;TEXT(COUNTIF(F$14:F20,"?*"),"00"))</f>
        <v/>
      </c>
      <c r="B20" s="5" t="n"/>
      <c r="C20" s="6">
        <f>IF(B20="","",IFERROR(INDEX(EqTypeCol,MATCH(B20,EqTag,0)),"Tag not in register"))</f>
        <v/>
      </c>
      <c r="D20" s="5" t="n"/>
      <c r="E20" s="5" t="n"/>
      <c r="F20" s="5" t="n"/>
      <c r="G20" s="5" t="n"/>
      <c r="H20" s="5" t="n"/>
      <c r="I20" s="5" t="n"/>
      <c r="J20" s="5" t="n"/>
      <c r="K20" s="17" t="n"/>
      <c r="L20" s="5" t="n"/>
      <c r="M20" s="17" t="n"/>
      <c r="N20" s="5" t="n"/>
      <c r="O20" s="17" t="n"/>
      <c r="P20" s="21">
        <f>IF(OR(K20="",M20="",O20=""),"",(--TRIM(LEFT(K20,2)))*(--TRIM(LEFT(M20,2)))*(--TRIM(LEFT(O20,2))))</f>
        <v/>
      </c>
      <c r="Q20" s="21">
        <f>IF(OR(K20="",M20="",O20=""),"",INDEX(APGrid,COUNTIF(APS,"&gt;"&amp;(--TRIM(LEFT(K20,2))))*5+COUNTIF(APO,"&gt;"&amp;(--TRIM(LEFT(M20,2))))+1,COUNTIF(APD,"&gt;"&amp;(--TRIM(LEFT(O20,2))))+1))</f>
        <v/>
      </c>
      <c r="R20" s="21">
        <f>IF(P20="","",IF(OR((--TRIM(LEFT(K20,2)))&gt;=SThr,P20&gt;=RPNThr,Q20="H"),"Yes","No"))</f>
        <v/>
      </c>
      <c r="S20" s="5" t="n"/>
      <c r="T20" s="5" t="n"/>
      <c r="U20" s="5" t="n"/>
      <c r="V20" s="29" t="n"/>
      <c r="W20" s="17" t="n"/>
      <c r="X20" s="17" t="n"/>
      <c r="Y20" s="17" t="n"/>
      <c r="Z20" s="21">
        <f>IF(OR(W20="",X20="",Y20=""),"",(--TRIM(LEFT(W20,2)))*(--TRIM(LEFT(X20,2)))*(--TRIM(LEFT(Y20,2))))</f>
        <v/>
      </c>
      <c r="AA20" s="21">
        <f>IF(OR(W20="",X20="",Y20=""),"",INDEX(APGrid,COUNTIF(APS,"&gt;"&amp;(--TRIM(LEFT(W20,2))))*5+COUNTIF(APO,"&gt;"&amp;(--TRIM(LEFT(X20,2))))+1,COUNTIF(APD,"&gt;"&amp;(--TRIM(LEFT(Y20,2))))+1))</f>
        <v/>
      </c>
      <c r="AB20" s="5" t="n"/>
      <c r="AC20" s="5" t="n"/>
      <c r="AE20">
        <f>IFERROR(INDEX(EqTag,_xlfn.AGGREGATE(15,6,(ROW(EqTag)-4)/((EqSys=$D$3)*(EqTag&lt;&gt;"")),ROWS($AE$14:AE20))),"")</f>
        <v/>
      </c>
    </row>
    <row r="21" ht="30" customHeight="1">
      <c r="A21" s="21">
        <f>IF(F21="","",LEFT($D$3,3)&amp;"-"&amp;TEXT(COUNTIF(F$14:F21,"?*"),"00"))</f>
        <v/>
      </c>
      <c r="B21" s="5" t="n"/>
      <c r="C21" s="6">
        <f>IF(B21="","",IFERROR(INDEX(EqTypeCol,MATCH(B21,EqTag,0)),"Tag not in register"))</f>
        <v/>
      </c>
      <c r="D21" s="5" t="n"/>
      <c r="E21" s="5" t="n"/>
      <c r="F21" s="5" t="n"/>
      <c r="G21" s="5" t="n"/>
      <c r="H21" s="5" t="n"/>
      <c r="I21" s="5" t="n"/>
      <c r="J21" s="5" t="n"/>
      <c r="K21" s="17" t="n"/>
      <c r="L21" s="5" t="n"/>
      <c r="M21" s="17" t="n"/>
      <c r="N21" s="5" t="n"/>
      <c r="O21" s="17" t="n"/>
      <c r="P21" s="21">
        <f>IF(OR(K21="",M21="",O21=""),"",(--TRIM(LEFT(K21,2)))*(--TRIM(LEFT(M21,2)))*(--TRIM(LEFT(O21,2))))</f>
        <v/>
      </c>
      <c r="Q21" s="21">
        <f>IF(OR(K21="",M21="",O21=""),"",INDEX(APGrid,COUNTIF(APS,"&gt;"&amp;(--TRIM(LEFT(K21,2))))*5+COUNTIF(APO,"&gt;"&amp;(--TRIM(LEFT(M21,2))))+1,COUNTIF(APD,"&gt;"&amp;(--TRIM(LEFT(O21,2))))+1))</f>
        <v/>
      </c>
      <c r="R21" s="21">
        <f>IF(P21="","",IF(OR((--TRIM(LEFT(K21,2)))&gt;=SThr,P21&gt;=RPNThr,Q21="H"),"Yes","No"))</f>
        <v/>
      </c>
      <c r="S21" s="5" t="n"/>
      <c r="T21" s="5" t="n"/>
      <c r="U21" s="5" t="n"/>
      <c r="V21" s="29" t="n"/>
      <c r="W21" s="17" t="n"/>
      <c r="X21" s="17" t="n"/>
      <c r="Y21" s="17" t="n"/>
      <c r="Z21" s="21">
        <f>IF(OR(W21="",X21="",Y21=""),"",(--TRIM(LEFT(W21,2)))*(--TRIM(LEFT(X21,2)))*(--TRIM(LEFT(Y21,2))))</f>
        <v/>
      </c>
      <c r="AA21" s="21">
        <f>IF(OR(W21="",X21="",Y21=""),"",INDEX(APGrid,COUNTIF(APS,"&gt;"&amp;(--TRIM(LEFT(W21,2))))*5+COUNTIF(APO,"&gt;"&amp;(--TRIM(LEFT(X21,2))))+1,COUNTIF(APD,"&gt;"&amp;(--TRIM(LEFT(Y21,2))))+1))</f>
        <v/>
      </c>
      <c r="AB21" s="5" t="n"/>
      <c r="AC21" s="5" t="n"/>
      <c r="AE21">
        <f>IFERROR(INDEX(EqTag,_xlfn.AGGREGATE(15,6,(ROW(EqTag)-4)/((EqSys=$D$3)*(EqTag&lt;&gt;"")),ROWS($AE$14:AE21))),"")</f>
        <v/>
      </c>
    </row>
    <row r="22" ht="30" customHeight="1">
      <c r="A22" s="21">
        <f>IF(F22="","",LEFT($D$3,3)&amp;"-"&amp;TEXT(COUNTIF(F$14:F22,"?*"),"00"))</f>
        <v/>
      </c>
      <c r="B22" s="5" t="n"/>
      <c r="C22" s="6">
        <f>IF(B22="","",IFERROR(INDEX(EqTypeCol,MATCH(B22,EqTag,0)),"Tag not in register"))</f>
        <v/>
      </c>
      <c r="D22" s="5" t="n"/>
      <c r="E22" s="5" t="n"/>
      <c r="F22" s="5" t="n"/>
      <c r="G22" s="5" t="n"/>
      <c r="H22" s="5" t="n"/>
      <c r="I22" s="5" t="n"/>
      <c r="J22" s="5" t="n"/>
      <c r="K22" s="17" t="n"/>
      <c r="L22" s="5" t="n"/>
      <c r="M22" s="17" t="n"/>
      <c r="N22" s="5" t="n"/>
      <c r="O22" s="17" t="n"/>
      <c r="P22" s="21">
        <f>IF(OR(K22="",M22="",O22=""),"",(--TRIM(LEFT(K22,2)))*(--TRIM(LEFT(M22,2)))*(--TRIM(LEFT(O22,2))))</f>
        <v/>
      </c>
      <c r="Q22" s="21">
        <f>IF(OR(K22="",M22="",O22=""),"",INDEX(APGrid,COUNTIF(APS,"&gt;"&amp;(--TRIM(LEFT(K22,2))))*5+COUNTIF(APO,"&gt;"&amp;(--TRIM(LEFT(M22,2))))+1,COUNTIF(APD,"&gt;"&amp;(--TRIM(LEFT(O22,2))))+1))</f>
        <v/>
      </c>
      <c r="R22" s="21">
        <f>IF(P22="","",IF(OR((--TRIM(LEFT(K22,2)))&gt;=SThr,P22&gt;=RPNThr,Q22="H"),"Yes","No"))</f>
        <v/>
      </c>
      <c r="S22" s="5" t="n"/>
      <c r="T22" s="5" t="n"/>
      <c r="U22" s="5" t="n"/>
      <c r="V22" s="29" t="n"/>
      <c r="W22" s="17" t="n"/>
      <c r="X22" s="17" t="n"/>
      <c r="Y22" s="17" t="n"/>
      <c r="Z22" s="21">
        <f>IF(OR(W22="",X22="",Y22=""),"",(--TRIM(LEFT(W22,2)))*(--TRIM(LEFT(X22,2)))*(--TRIM(LEFT(Y22,2))))</f>
        <v/>
      </c>
      <c r="AA22" s="21">
        <f>IF(OR(W22="",X22="",Y22=""),"",INDEX(APGrid,COUNTIF(APS,"&gt;"&amp;(--TRIM(LEFT(W22,2))))*5+COUNTIF(APO,"&gt;"&amp;(--TRIM(LEFT(X22,2))))+1,COUNTIF(APD,"&gt;"&amp;(--TRIM(LEFT(Y22,2))))+1))</f>
        <v/>
      </c>
      <c r="AB22" s="5" t="n"/>
      <c r="AC22" s="5" t="n"/>
      <c r="AE22">
        <f>IFERROR(INDEX(EqTag,_xlfn.AGGREGATE(15,6,(ROW(EqTag)-4)/((EqSys=$D$3)*(EqTag&lt;&gt;"")),ROWS($AE$14:AE22))),"")</f>
        <v/>
      </c>
    </row>
    <row r="23" ht="30" customHeight="1">
      <c r="A23" s="21">
        <f>IF(F23="","",LEFT($D$3,3)&amp;"-"&amp;TEXT(COUNTIF(F$14:F23,"?*"),"00"))</f>
        <v/>
      </c>
      <c r="B23" s="5" t="n"/>
      <c r="C23" s="6">
        <f>IF(B23="","",IFERROR(INDEX(EqTypeCol,MATCH(B23,EqTag,0)),"Tag not in register"))</f>
        <v/>
      </c>
      <c r="D23" s="5" t="n"/>
      <c r="E23" s="5" t="n"/>
      <c r="F23" s="5" t="n"/>
      <c r="G23" s="5" t="n"/>
      <c r="H23" s="5" t="n"/>
      <c r="I23" s="5" t="n"/>
      <c r="J23" s="5" t="n"/>
      <c r="K23" s="17" t="n"/>
      <c r="L23" s="5" t="n"/>
      <c r="M23" s="17" t="n"/>
      <c r="N23" s="5" t="n"/>
      <c r="O23" s="17" t="n"/>
      <c r="P23" s="21">
        <f>IF(OR(K23="",M23="",O23=""),"",(--TRIM(LEFT(K23,2)))*(--TRIM(LEFT(M23,2)))*(--TRIM(LEFT(O23,2))))</f>
        <v/>
      </c>
      <c r="Q23" s="21">
        <f>IF(OR(K23="",M23="",O23=""),"",INDEX(APGrid,COUNTIF(APS,"&gt;"&amp;(--TRIM(LEFT(K23,2))))*5+COUNTIF(APO,"&gt;"&amp;(--TRIM(LEFT(M23,2))))+1,COUNTIF(APD,"&gt;"&amp;(--TRIM(LEFT(O23,2))))+1))</f>
        <v/>
      </c>
      <c r="R23" s="21">
        <f>IF(P23="","",IF(OR((--TRIM(LEFT(K23,2)))&gt;=SThr,P23&gt;=RPNThr,Q23="H"),"Yes","No"))</f>
        <v/>
      </c>
      <c r="S23" s="5" t="n"/>
      <c r="T23" s="5" t="n"/>
      <c r="U23" s="5" t="n"/>
      <c r="V23" s="29" t="n"/>
      <c r="W23" s="17" t="n"/>
      <c r="X23" s="17" t="n"/>
      <c r="Y23" s="17" t="n"/>
      <c r="Z23" s="21">
        <f>IF(OR(W23="",X23="",Y23=""),"",(--TRIM(LEFT(W23,2)))*(--TRIM(LEFT(X23,2)))*(--TRIM(LEFT(Y23,2))))</f>
        <v/>
      </c>
      <c r="AA23" s="21">
        <f>IF(OR(W23="",X23="",Y23=""),"",INDEX(APGrid,COUNTIF(APS,"&gt;"&amp;(--TRIM(LEFT(W23,2))))*5+COUNTIF(APO,"&gt;"&amp;(--TRIM(LEFT(X23,2))))+1,COUNTIF(APD,"&gt;"&amp;(--TRIM(LEFT(Y23,2))))+1))</f>
        <v/>
      </c>
      <c r="AB23" s="5" t="n"/>
      <c r="AC23" s="5" t="n"/>
      <c r="AE23">
        <f>IFERROR(INDEX(EqTag,_xlfn.AGGREGATE(15,6,(ROW(EqTag)-4)/((EqSys=$D$3)*(EqTag&lt;&gt;"")),ROWS($AE$14:AE23))),"")</f>
        <v/>
      </c>
    </row>
    <row r="24" ht="30" customHeight="1">
      <c r="A24" s="21">
        <f>IF(F24="","",LEFT($D$3,3)&amp;"-"&amp;TEXT(COUNTIF(F$14:F24,"?*"),"00"))</f>
        <v/>
      </c>
      <c r="B24" s="5" t="n"/>
      <c r="C24" s="6">
        <f>IF(B24="","",IFERROR(INDEX(EqTypeCol,MATCH(B24,EqTag,0)),"Tag not in register"))</f>
        <v/>
      </c>
      <c r="D24" s="5" t="n"/>
      <c r="E24" s="5" t="n"/>
      <c r="F24" s="5" t="n"/>
      <c r="G24" s="5" t="n"/>
      <c r="H24" s="5" t="n"/>
      <c r="I24" s="5" t="n"/>
      <c r="J24" s="5" t="n"/>
      <c r="K24" s="17" t="n"/>
      <c r="L24" s="5" t="n"/>
      <c r="M24" s="17" t="n"/>
      <c r="N24" s="5" t="n"/>
      <c r="O24" s="17" t="n"/>
      <c r="P24" s="21">
        <f>IF(OR(K24="",M24="",O24=""),"",(--TRIM(LEFT(K24,2)))*(--TRIM(LEFT(M24,2)))*(--TRIM(LEFT(O24,2))))</f>
        <v/>
      </c>
      <c r="Q24" s="21">
        <f>IF(OR(K24="",M24="",O24=""),"",INDEX(APGrid,COUNTIF(APS,"&gt;"&amp;(--TRIM(LEFT(K24,2))))*5+COUNTIF(APO,"&gt;"&amp;(--TRIM(LEFT(M24,2))))+1,COUNTIF(APD,"&gt;"&amp;(--TRIM(LEFT(O24,2))))+1))</f>
        <v/>
      </c>
      <c r="R24" s="21">
        <f>IF(P24="","",IF(OR((--TRIM(LEFT(K24,2)))&gt;=SThr,P24&gt;=RPNThr,Q24="H"),"Yes","No"))</f>
        <v/>
      </c>
      <c r="S24" s="5" t="n"/>
      <c r="T24" s="5" t="n"/>
      <c r="U24" s="5" t="n"/>
      <c r="V24" s="29" t="n"/>
      <c r="W24" s="17" t="n"/>
      <c r="X24" s="17" t="n"/>
      <c r="Y24" s="17" t="n"/>
      <c r="Z24" s="21">
        <f>IF(OR(W24="",X24="",Y24=""),"",(--TRIM(LEFT(W24,2)))*(--TRIM(LEFT(X24,2)))*(--TRIM(LEFT(Y24,2))))</f>
        <v/>
      </c>
      <c r="AA24" s="21">
        <f>IF(OR(W24="",X24="",Y24=""),"",INDEX(APGrid,COUNTIF(APS,"&gt;"&amp;(--TRIM(LEFT(W24,2))))*5+COUNTIF(APO,"&gt;"&amp;(--TRIM(LEFT(X24,2))))+1,COUNTIF(APD,"&gt;"&amp;(--TRIM(LEFT(Y24,2))))+1))</f>
        <v/>
      </c>
      <c r="AB24" s="5" t="n"/>
      <c r="AC24" s="5" t="n"/>
      <c r="AE24">
        <f>IFERROR(INDEX(EqTag,_xlfn.AGGREGATE(15,6,(ROW(EqTag)-4)/((EqSys=$D$3)*(EqTag&lt;&gt;"")),ROWS($AE$14:AE24))),"")</f>
        <v/>
      </c>
    </row>
    <row r="25" ht="30" customHeight="1">
      <c r="A25" s="21">
        <f>IF(F25="","",LEFT($D$3,3)&amp;"-"&amp;TEXT(COUNTIF(F$14:F25,"?*"),"00"))</f>
        <v/>
      </c>
      <c r="B25" s="5" t="n"/>
      <c r="C25" s="6">
        <f>IF(B25="","",IFERROR(INDEX(EqTypeCol,MATCH(B25,EqTag,0)),"Tag not in register"))</f>
        <v/>
      </c>
      <c r="D25" s="5" t="n"/>
      <c r="E25" s="5" t="n"/>
      <c r="F25" s="5" t="n"/>
      <c r="G25" s="5" t="n"/>
      <c r="H25" s="5" t="n"/>
      <c r="I25" s="5" t="n"/>
      <c r="J25" s="5" t="n"/>
      <c r="K25" s="17" t="n"/>
      <c r="L25" s="5" t="n"/>
      <c r="M25" s="17" t="n"/>
      <c r="N25" s="5" t="n"/>
      <c r="O25" s="17" t="n"/>
      <c r="P25" s="21">
        <f>IF(OR(K25="",M25="",O25=""),"",(--TRIM(LEFT(K25,2)))*(--TRIM(LEFT(M25,2)))*(--TRIM(LEFT(O25,2))))</f>
        <v/>
      </c>
      <c r="Q25" s="21">
        <f>IF(OR(K25="",M25="",O25=""),"",INDEX(APGrid,COUNTIF(APS,"&gt;"&amp;(--TRIM(LEFT(K25,2))))*5+COUNTIF(APO,"&gt;"&amp;(--TRIM(LEFT(M25,2))))+1,COUNTIF(APD,"&gt;"&amp;(--TRIM(LEFT(O25,2))))+1))</f>
        <v/>
      </c>
      <c r="R25" s="21">
        <f>IF(P25="","",IF(OR((--TRIM(LEFT(K25,2)))&gt;=SThr,P25&gt;=RPNThr,Q25="H"),"Yes","No"))</f>
        <v/>
      </c>
      <c r="S25" s="5" t="n"/>
      <c r="T25" s="5" t="n"/>
      <c r="U25" s="5" t="n"/>
      <c r="V25" s="29" t="n"/>
      <c r="W25" s="17" t="n"/>
      <c r="X25" s="17" t="n"/>
      <c r="Y25" s="17" t="n"/>
      <c r="Z25" s="21">
        <f>IF(OR(W25="",X25="",Y25=""),"",(--TRIM(LEFT(W25,2)))*(--TRIM(LEFT(X25,2)))*(--TRIM(LEFT(Y25,2))))</f>
        <v/>
      </c>
      <c r="AA25" s="21">
        <f>IF(OR(W25="",X25="",Y25=""),"",INDEX(APGrid,COUNTIF(APS,"&gt;"&amp;(--TRIM(LEFT(W25,2))))*5+COUNTIF(APO,"&gt;"&amp;(--TRIM(LEFT(X25,2))))+1,COUNTIF(APD,"&gt;"&amp;(--TRIM(LEFT(Y25,2))))+1))</f>
        <v/>
      </c>
      <c r="AB25" s="5" t="n"/>
      <c r="AC25" s="5" t="n"/>
      <c r="AE25">
        <f>IFERROR(INDEX(EqTag,_xlfn.AGGREGATE(15,6,(ROW(EqTag)-4)/((EqSys=$D$3)*(EqTag&lt;&gt;"")),ROWS($AE$14:AE25))),"")</f>
        <v/>
      </c>
    </row>
    <row r="26" ht="30" customHeight="1">
      <c r="A26" s="21">
        <f>IF(F26="","",LEFT($D$3,3)&amp;"-"&amp;TEXT(COUNTIF(F$14:F26,"?*"),"00"))</f>
        <v/>
      </c>
      <c r="B26" s="5" t="n"/>
      <c r="C26" s="6">
        <f>IF(B26="","",IFERROR(INDEX(EqTypeCol,MATCH(B26,EqTag,0)),"Tag not in register"))</f>
        <v/>
      </c>
      <c r="D26" s="5" t="n"/>
      <c r="E26" s="5" t="n"/>
      <c r="F26" s="5" t="n"/>
      <c r="G26" s="5" t="n"/>
      <c r="H26" s="5" t="n"/>
      <c r="I26" s="5" t="n"/>
      <c r="J26" s="5" t="n"/>
      <c r="K26" s="17" t="n"/>
      <c r="L26" s="5" t="n"/>
      <c r="M26" s="17" t="n"/>
      <c r="N26" s="5" t="n"/>
      <c r="O26" s="17" t="n"/>
      <c r="P26" s="21">
        <f>IF(OR(K26="",M26="",O26=""),"",(--TRIM(LEFT(K26,2)))*(--TRIM(LEFT(M26,2)))*(--TRIM(LEFT(O26,2))))</f>
        <v/>
      </c>
      <c r="Q26" s="21">
        <f>IF(OR(K26="",M26="",O26=""),"",INDEX(APGrid,COUNTIF(APS,"&gt;"&amp;(--TRIM(LEFT(K26,2))))*5+COUNTIF(APO,"&gt;"&amp;(--TRIM(LEFT(M26,2))))+1,COUNTIF(APD,"&gt;"&amp;(--TRIM(LEFT(O26,2))))+1))</f>
        <v/>
      </c>
      <c r="R26" s="21">
        <f>IF(P26="","",IF(OR((--TRIM(LEFT(K26,2)))&gt;=SThr,P26&gt;=RPNThr,Q26="H"),"Yes","No"))</f>
        <v/>
      </c>
      <c r="S26" s="5" t="n"/>
      <c r="T26" s="5" t="n"/>
      <c r="U26" s="5" t="n"/>
      <c r="V26" s="29" t="n"/>
      <c r="W26" s="17" t="n"/>
      <c r="X26" s="17" t="n"/>
      <c r="Y26" s="17" t="n"/>
      <c r="Z26" s="21">
        <f>IF(OR(W26="",X26="",Y26=""),"",(--TRIM(LEFT(W26,2)))*(--TRIM(LEFT(X26,2)))*(--TRIM(LEFT(Y26,2))))</f>
        <v/>
      </c>
      <c r="AA26" s="21">
        <f>IF(OR(W26="",X26="",Y26=""),"",INDEX(APGrid,COUNTIF(APS,"&gt;"&amp;(--TRIM(LEFT(W26,2))))*5+COUNTIF(APO,"&gt;"&amp;(--TRIM(LEFT(X26,2))))+1,COUNTIF(APD,"&gt;"&amp;(--TRIM(LEFT(Y26,2))))+1))</f>
        <v/>
      </c>
      <c r="AB26" s="5" t="n"/>
      <c r="AC26" s="5" t="n"/>
      <c r="AE26">
        <f>IFERROR(INDEX(EqTag,_xlfn.AGGREGATE(15,6,(ROW(EqTag)-4)/((EqSys=$D$3)*(EqTag&lt;&gt;"")),ROWS($AE$14:AE26))),"")</f>
        <v/>
      </c>
    </row>
    <row r="27" ht="30" customHeight="1">
      <c r="A27" s="21">
        <f>IF(F27="","",LEFT($D$3,3)&amp;"-"&amp;TEXT(COUNTIF(F$14:F27,"?*"),"00"))</f>
        <v/>
      </c>
      <c r="B27" s="5" t="n"/>
      <c r="C27" s="6">
        <f>IF(B27="","",IFERROR(INDEX(EqTypeCol,MATCH(B27,EqTag,0)),"Tag not in register"))</f>
        <v/>
      </c>
      <c r="D27" s="5" t="n"/>
      <c r="E27" s="5" t="n"/>
      <c r="F27" s="5" t="n"/>
      <c r="G27" s="5" t="n"/>
      <c r="H27" s="5" t="n"/>
      <c r="I27" s="5" t="n"/>
      <c r="J27" s="5" t="n"/>
      <c r="K27" s="17" t="n"/>
      <c r="L27" s="5" t="n"/>
      <c r="M27" s="17" t="n"/>
      <c r="N27" s="5" t="n"/>
      <c r="O27" s="17" t="n"/>
      <c r="P27" s="21">
        <f>IF(OR(K27="",M27="",O27=""),"",(--TRIM(LEFT(K27,2)))*(--TRIM(LEFT(M27,2)))*(--TRIM(LEFT(O27,2))))</f>
        <v/>
      </c>
      <c r="Q27" s="21">
        <f>IF(OR(K27="",M27="",O27=""),"",INDEX(APGrid,COUNTIF(APS,"&gt;"&amp;(--TRIM(LEFT(K27,2))))*5+COUNTIF(APO,"&gt;"&amp;(--TRIM(LEFT(M27,2))))+1,COUNTIF(APD,"&gt;"&amp;(--TRIM(LEFT(O27,2))))+1))</f>
        <v/>
      </c>
      <c r="R27" s="21">
        <f>IF(P27="","",IF(OR((--TRIM(LEFT(K27,2)))&gt;=SThr,P27&gt;=RPNThr,Q27="H"),"Yes","No"))</f>
        <v/>
      </c>
      <c r="S27" s="5" t="n"/>
      <c r="T27" s="5" t="n"/>
      <c r="U27" s="5" t="n"/>
      <c r="V27" s="29" t="n"/>
      <c r="W27" s="17" t="n"/>
      <c r="X27" s="17" t="n"/>
      <c r="Y27" s="17" t="n"/>
      <c r="Z27" s="21">
        <f>IF(OR(W27="",X27="",Y27=""),"",(--TRIM(LEFT(W27,2)))*(--TRIM(LEFT(X27,2)))*(--TRIM(LEFT(Y27,2))))</f>
        <v/>
      </c>
      <c r="AA27" s="21">
        <f>IF(OR(W27="",X27="",Y27=""),"",INDEX(APGrid,COUNTIF(APS,"&gt;"&amp;(--TRIM(LEFT(W27,2))))*5+COUNTIF(APO,"&gt;"&amp;(--TRIM(LEFT(X27,2))))+1,COUNTIF(APD,"&gt;"&amp;(--TRIM(LEFT(Y27,2))))+1))</f>
        <v/>
      </c>
      <c r="AB27" s="5" t="n"/>
      <c r="AC27" s="5" t="n"/>
      <c r="AE27">
        <f>IFERROR(INDEX(EqTag,_xlfn.AGGREGATE(15,6,(ROW(EqTag)-4)/((EqSys=$D$3)*(EqTag&lt;&gt;"")),ROWS($AE$14:AE27))),"")</f>
        <v/>
      </c>
    </row>
    <row r="28" ht="30" customHeight="1">
      <c r="A28" s="21">
        <f>IF(F28="","",LEFT($D$3,3)&amp;"-"&amp;TEXT(COUNTIF(F$14:F28,"?*"),"00"))</f>
        <v/>
      </c>
      <c r="B28" s="5" t="n"/>
      <c r="C28" s="6">
        <f>IF(B28="","",IFERROR(INDEX(EqTypeCol,MATCH(B28,EqTag,0)),"Tag not in register"))</f>
        <v/>
      </c>
      <c r="D28" s="5" t="n"/>
      <c r="E28" s="5" t="n"/>
      <c r="F28" s="5" t="n"/>
      <c r="G28" s="5" t="n"/>
      <c r="H28" s="5" t="n"/>
      <c r="I28" s="5" t="n"/>
      <c r="J28" s="5" t="n"/>
      <c r="K28" s="17" t="n"/>
      <c r="L28" s="5" t="n"/>
      <c r="M28" s="17" t="n"/>
      <c r="N28" s="5" t="n"/>
      <c r="O28" s="17" t="n"/>
      <c r="P28" s="21">
        <f>IF(OR(K28="",M28="",O28=""),"",(--TRIM(LEFT(K28,2)))*(--TRIM(LEFT(M28,2)))*(--TRIM(LEFT(O28,2))))</f>
        <v/>
      </c>
      <c r="Q28" s="21">
        <f>IF(OR(K28="",M28="",O28=""),"",INDEX(APGrid,COUNTIF(APS,"&gt;"&amp;(--TRIM(LEFT(K28,2))))*5+COUNTIF(APO,"&gt;"&amp;(--TRIM(LEFT(M28,2))))+1,COUNTIF(APD,"&gt;"&amp;(--TRIM(LEFT(O28,2))))+1))</f>
        <v/>
      </c>
      <c r="R28" s="21">
        <f>IF(P28="","",IF(OR((--TRIM(LEFT(K28,2)))&gt;=SThr,P28&gt;=RPNThr,Q28="H"),"Yes","No"))</f>
        <v/>
      </c>
      <c r="S28" s="5" t="n"/>
      <c r="T28" s="5" t="n"/>
      <c r="U28" s="5" t="n"/>
      <c r="V28" s="29" t="n"/>
      <c r="W28" s="17" t="n"/>
      <c r="X28" s="17" t="n"/>
      <c r="Y28" s="17" t="n"/>
      <c r="Z28" s="21">
        <f>IF(OR(W28="",X28="",Y28=""),"",(--TRIM(LEFT(W28,2)))*(--TRIM(LEFT(X28,2)))*(--TRIM(LEFT(Y28,2))))</f>
        <v/>
      </c>
      <c r="AA28" s="21">
        <f>IF(OR(W28="",X28="",Y28=""),"",INDEX(APGrid,COUNTIF(APS,"&gt;"&amp;(--TRIM(LEFT(W28,2))))*5+COUNTIF(APO,"&gt;"&amp;(--TRIM(LEFT(X28,2))))+1,COUNTIF(APD,"&gt;"&amp;(--TRIM(LEFT(Y28,2))))+1))</f>
        <v/>
      </c>
      <c r="AB28" s="5" t="n"/>
      <c r="AC28" s="5" t="n"/>
      <c r="AE28">
        <f>IFERROR(INDEX(EqTag,_xlfn.AGGREGATE(15,6,(ROW(EqTag)-4)/((EqSys=$D$3)*(EqTag&lt;&gt;"")),ROWS($AE$14:AE28))),"")</f>
        <v/>
      </c>
    </row>
    <row r="29" ht="30" customHeight="1">
      <c r="A29" s="21">
        <f>IF(F29="","",LEFT($D$3,3)&amp;"-"&amp;TEXT(COUNTIF(F$14:F29,"?*"),"00"))</f>
        <v/>
      </c>
      <c r="B29" s="5" t="n"/>
      <c r="C29" s="6">
        <f>IF(B29="","",IFERROR(INDEX(EqTypeCol,MATCH(B29,EqTag,0)),"Tag not in register"))</f>
        <v/>
      </c>
      <c r="D29" s="5" t="n"/>
      <c r="E29" s="5" t="n"/>
      <c r="F29" s="5" t="n"/>
      <c r="G29" s="5" t="n"/>
      <c r="H29" s="5" t="n"/>
      <c r="I29" s="5" t="n"/>
      <c r="J29" s="5" t="n"/>
      <c r="K29" s="17" t="n"/>
      <c r="L29" s="5" t="n"/>
      <c r="M29" s="17" t="n"/>
      <c r="N29" s="5" t="n"/>
      <c r="O29" s="17" t="n"/>
      <c r="P29" s="21">
        <f>IF(OR(K29="",M29="",O29=""),"",(--TRIM(LEFT(K29,2)))*(--TRIM(LEFT(M29,2)))*(--TRIM(LEFT(O29,2))))</f>
        <v/>
      </c>
      <c r="Q29" s="21">
        <f>IF(OR(K29="",M29="",O29=""),"",INDEX(APGrid,COUNTIF(APS,"&gt;"&amp;(--TRIM(LEFT(K29,2))))*5+COUNTIF(APO,"&gt;"&amp;(--TRIM(LEFT(M29,2))))+1,COUNTIF(APD,"&gt;"&amp;(--TRIM(LEFT(O29,2))))+1))</f>
        <v/>
      </c>
      <c r="R29" s="21">
        <f>IF(P29="","",IF(OR((--TRIM(LEFT(K29,2)))&gt;=SThr,P29&gt;=RPNThr,Q29="H"),"Yes","No"))</f>
        <v/>
      </c>
      <c r="S29" s="5" t="n"/>
      <c r="T29" s="5" t="n"/>
      <c r="U29" s="5" t="n"/>
      <c r="V29" s="29" t="n"/>
      <c r="W29" s="17" t="n"/>
      <c r="X29" s="17" t="n"/>
      <c r="Y29" s="17" t="n"/>
      <c r="Z29" s="21">
        <f>IF(OR(W29="",X29="",Y29=""),"",(--TRIM(LEFT(W29,2)))*(--TRIM(LEFT(X29,2)))*(--TRIM(LEFT(Y29,2))))</f>
        <v/>
      </c>
      <c r="AA29" s="21">
        <f>IF(OR(W29="",X29="",Y29=""),"",INDEX(APGrid,COUNTIF(APS,"&gt;"&amp;(--TRIM(LEFT(W29,2))))*5+COUNTIF(APO,"&gt;"&amp;(--TRIM(LEFT(X29,2))))+1,COUNTIF(APD,"&gt;"&amp;(--TRIM(LEFT(Y29,2))))+1))</f>
        <v/>
      </c>
      <c r="AB29" s="5" t="n"/>
      <c r="AC29" s="5" t="n"/>
      <c r="AE29">
        <f>IFERROR(INDEX(EqTag,_xlfn.AGGREGATE(15,6,(ROW(EqTag)-4)/((EqSys=$D$3)*(EqTag&lt;&gt;"")),ROWS($AE$14:AE29))),"")</f>
        <v/>
      </c>
    </row>
    <row r="30" ht="30" customHeight="1">
      <c r="A30" s="21">
        <f>IF(F30="","",LEFT($D$3,3)&amp;"-"&amp;TEXT(COUNTIF(F$14:F30,"?*"),"00"))</f>
        <v/>
      </c>
      <c r="B30" s="5" t="n"/>
      <c r="C30" s="6">
        <f>IF(B30="","",IFERROR(INDEX(EqTypeCol,MATCH(B30,EqTag,0)),"Tag not in register"))</f>
        <v/>
      </c>
      <c r="D30" s="5" t="n"/>
      <c r="E30" s="5" t="n"/>
      <c r="F30" s="5" t="n"/>
      <c r="G30" s="5" t="n"/>
      <c r="H30" s="5" t="n"/>
      <c r="I30" s="5" t="n"/>
      <c r="J30" s="5" t="n"/>
      <c r="K30" s="17" t="n"/>
      <c r="L30" s="5" t="n"/>
      <c r="M30" s="17" t="n"/>
      <c r="N30" s="5" t="n"/>
      <c r="O30" s="17" t="n"/>
      <c r="P30" s="21">
        <f>IF(OR(K30="",M30="",O30=""),"",(--TRIM(LEFT(K30,2)))*(--TRIM(LEFT(M30,2)))*(--TRIM(LEFT(O30,2))))</f>
        <v/>
      </c>
      <c r="Q30" s="21">
        <f>IF(OR(K30="",M30="",O30=""),"",INDEX(APGrid,COUNTIF(APS,"&gt;"&amp;(--TRIM(LEFT(K30,2))))*5+COUNTIF(APO,"&gt;"&amp;(--TRIM(LEFT(M30,2))))+1,COUNTIF(APD,"&gt;"&amp;(--TRIM(LEFT(O30,2))))+1))</f>
        <v/>
      </c>
      <c r="R30" s="21">
        <f>IF(P30="","",IF(OR((--TRIM(LEFT(K30,2)))&gt;=SThr,P30&gt;=RPNThr,Q30="H"),"Yes","No"))</f>
        <v/>
      </c>
      <c r="S30" s="5" t="n"/>
      <c r="T30" s="5" t="n"/>
      <c r="U30" s="5" t="n"/>
      <c r="V30" s="29" t="n"/>
      <c r="W30" s="17" t="n"/>
      <c r="X30" s="17" t="n"/>
      <c r="Y30" s="17" t="n"/>
      <c r="Z30" s="21">
        <f>IF(OR(W30="",X30="",Y30=""),"",(--TRIM(LEFT(W30,2)))*(--TRIM(LEFT(X30,2)))*(--TRIM(LEFT(Y30,2))))</f>
        <v/>
      </c>
      <c r="AA30" s="21">
        <f>IF(OR(W30="",X30="",Y30=""),"",INDEX(APGrid,COUNTIF(APS,"&gt;"&amp;(--TRIM(LEFT(W30,2))))*5+COUNTIF(APO,"&gt;"&amp;(--TRIM(LEFT(X30,2))))+1,COUNTIF(APD,"&gt;"&amp;(--TRIM(LEFT(Y30,2))))+1))</f>
        <v/>
      </c>
      <c r="AB30" s="5" t="n"/>
      <c r="AC30" s="5" t="n"/>
      <c r="AE30">
        <f>IFERROR(INDEX(EqTag,_xlfn.AGGREGATE(15,6,(ROW(EqTag)-4)/((EqSys=$D$3)*(EqTag&lt;&gt;"")),ROWS($AE$14:AE30))),"")</f>
        <v/>
      </c>
    </row>
    <row r="31" ht="30" customHeight="1">
      <c r="A31" s="21">
        <f>IF(F31="","",LEFT($D$3,3)&amp;"-"&amp;TEXT(COUNTIF(F$14:F31,"?*"),"00"))</f>
        <v/>
      </c>
      <c r="B31" s="5" t="n"/>
      <c r="C31" s="6">
        <f>IF(B31="","",IFERROR(INDEX(EqTypeCol,MATCH(B31,EqTag,0)),"Tag not in register"))</f>
        <v/>
      </c>
      <c r="D31" s="5" t="n"/>
      <c r="E31" s="5" t="n"/>
      <c r="F31" s="5" t="n"/>
      <c r="G31" s="5" t="n"/>
      <c r="H31" s="5" t="n"/>
      <c r="I31" s="5" t="n"/>
      <c r="J31" s="5" t="n"/>
      <c r="K31" s="17" t="n"/>
      <c r="L31" s="5" t="n"/>
      <c r="M31" s="17" t="n"/>
      <c r="N31" s="5" t="n"/>
      <c r="O31" s="17" t="n"/>
      <c r="P31" s="21">
        <f>IF(OR(K31="",M31="",O31=""),"",(--TRIM(LEFT(K31,2)))*(--TRIM(LEFT(M31,2)))*(--TRIM(LEFT(O31,2))))</f>
        <v/>
      </c>
      <c r="Q31" s="21">
        <f>IF(OR(K31="",M31="",O31=""),"",INDEX(APGrid,COUNTIF(APS,"&gt;"&amp;(--TRIM(LEFT(K31,2))))*5+COUNTIF(APO,"&gt;"&amp;(--TRIM(LEFT(M31,2))))+1,COUNTIF(APD,"&gt;"&amp;(--TRIM(LEFT(O31,2))))+1))</f>
        <v/>
      </c>
      <c r="R31" s="21">
        <f>IF(P31="","",IF(OR((--TRIM(LEFT(K31,2)))&gt;=SThr,P31&gt;=RPNThr,Q31="H"),"Yes","No"))</f>
        <v/>
      </c>
      <c r="S31" s="5" t="n"/>
      <c r="T31" s="5" t="n"/>
      <c r="U31" s="5" t="n"/>
      <c r="V31" s="29" t="n"/>
      <c r="W31" s="17" t="n"/>
      <c r="X31" s="17" t="n"/>
      <c r="Y31" s="17" t="n"/>
      <c r="Z31" s="21">
        <f>IF(OR(W31="",X31="",Y31=""),"",(--TRIM(LEFT(W31,2)))*(--TRIM(LEFT(X31,2)))*(--TRIM(LEFT(Y31,2))))</f>
        <v/>
      </c>
      <c r="AA31" s="21">
        <f>IF(OR(W31="",X31="",Y31=""),"",INDEX(APGrid,COUNTIF(APS,"&gt;"&amp;(--TRIM(LEFT(W31,2))))*5+COUNTIF(APO,"&gt;"&amp;(--TRIM(LEFT(X31,2))))+1,COUNTIF(APD,"&gt;"&amp;(--TRIM(LEFT(Y31,2))))+1))</f>
        <v/>
      </c>
      <c r="AB31" s="5" t="n"/>
      <c r="AC31" s="5" t="n"/>
      <c r="AE31">
        <f>IFERROR(INDEX(EqTag,_xlfn.AGGREGATE(15,6,(ROW(EqTag)-4)/((EqSys=$D$3)*(EqTag&lt;&gt;"")),ROWS($AE$14:AE31))),"")</f>
        <v/>
      </c>
    </row>
    <row r="32" ht="30" customHeight="1">
      <c r="A32" s="21">
        <f>IF(F32="","",LEFT($D$3,3)&amp;"-"&amp;TEXT(COUNTIF(F$14:F32,"?*"),"00"))</f>
        <v/>
      </c>
      <c r="B32" s="5" t="n"/>
      <c r="C32" s="6">
        <f>IF(B32="","",IFERROR(INDEX(EqTypeCol,MATCH(B32,EqTag,0)),"Tag not in register"))</f>
        <v/>
      </c>
      <c r="D32" s="5" t="n"/>
      <c r="E32" s="5" t="n"/>
      <c r="F32" s="5" t="n"/>
      <c r="G32" s="5" t="n"/>
      <c r="H32" s="5" t="n"/>
      <c r="I32" s="5" t="n"/>
      <c r="J32" s="5" t="n"/>
      <c r="K32" s="17" t="n"/>
      <c r="L32" s="5" t="n"/>
      <c r="M32" s="17" t="n"/>
      <c r="N32" s="5" t="n"/>
      <c r="O32" s="17" t="n"/>
      <c r="P32" s="21">
        <f>IF(OR(K32="",M32="",O32=""),"",(--TRIM(LEFT(K32,2)))*(--TRIM(LEFT(M32,2)))*(--TRIM(LEFT(O32,2))))</f>
        <v/>
      </c>
      <c r="Q32" s="21">
        <f>IF(OR(K32="",M32="",O32=""),"",INDEX(APGrid,COUNTIF(APS,"&gt;"&amp;(--TRIM(LEFT(K32,2))))*5+COUNTIF(APO,"&gt;"&amp;(--TRIM(LEFT(M32,2))))+1,COUNTIF(APD,"&gt;"&amp;(--TRIM(LEFT(O32,2))))+1))</f>
        <v/>
      </c>
      <c r="R32" s="21">
        <f>IF(P32="","",IF(OR((--TRIM(LEFT(K32,2)))&gt;=SThr,P32&gt;=RPNThr,Q32="H"),"Yes","No"))</f>
        <v/>
      </c>
      <c r="S32" s="5" t="n"/>
      <c r="T32" s="5" t="n"/>
      <c r="U32" s="5" t="n"/>
      <c r="V32" s="29" t="n"/>
      <c r="W32" s="17" t="n"/>
      <c r="X32" s="17" t="n"/>
      <c r="Y32" s="17" t="n"/>
      <c r="Z32" s="21">
        <f>IF(OR(W32="",X32="",Y32=""),"",(--TRIM(LEFT(W32,2)))*(--TRIM(LEFT(X32,2)))*(--TRIM(LEFT(Y32,2))))</f>
        <v/>
      </c>
      <c r="AA32" s="21">
        <f>IF(OR(W32="",X32="",Y32=""),"",INDEX(APGrid,COUNTIF(APS,"&gt;"&amp;(--TRIM(LEFT(W32,2))))*5+COUNTIF(APO,"&gt;"&amp;(--TRIM(LEFT(X32,2))))+1,COUNTIF(APD,"&gt;"&amp;(--TRIM(LEFT(Y32,2))))+1))</f>
        <v/>
      </c>
      <c r="AB32" s="5" t="n"/>
      <c r="AC32" s="5" t="n"/>
      <c r="AE32">
        <f>IFERROR(INDEX(EqTag,_xlfn.AGGREGATE(15,6,(ROW(EqTag)-4)/((EqSys=$D$3)*(EqTag&lt;&gt;"")),ROWS($AE$14:AE32))),"")</f>
        <v/>
      </c>
    </row>
    <row r="33" ht="30" customHeight="1">
      <c r="A33" s="21">
        <f>IF(F33="","",LEFT($D$3,3)&amp;"-"&amp;TEXT(COUNTIF(F$14:F33,"?*"),"00"))</f>
        <v/>
      </c>
      <c r="B33" s="5" t="n"/>
      <c r="C33" s="6">
        <f>IF(B33="","",IFERROR(INDEX(EqTypeCol,MATCH(B33,EqTag,0)),"Tag not in register"))</f>
        <v/>
      </c>
      <c r="D33" s="5" t="n"/>
      <c r="E33" s="5" t="n"/>
      <c r="F33" s="5" t="n"/>
      <c r="G33" s="5" t="n"/>
      <c r="H33" s="5" t="n"/>
      <c r="I33" s="5" t="n"/>
      <c r="J33" s="5" t="n"/>
      <c r="K33" s="17" t="n"/>
      <c r="L33" s="5" t="n"/>
      <c r="M33" s="17" t="n"/>
      <c r="N33" s="5" t="n"/>
      <c r="O33" s="17" t="n"/>
      <c r="P33" s="21">
        <f>IF(OR(K33="",M33="",O33=""),"",(--TRIM(LEFT(K33,2)))*(--TRIM(LEFT(M33,2)))*(--TRIM(LEFT(O33,2))))</f>
        <v/>
      </c>
      <c r="Q33" s="21">
        <f>IF(OR(K33="",M33="",O33=""),"",INDEX(APGrid,COUNTIF(APS,"&gt;"&amp;(--TRIM(LEFT(K33,2))))*5+COUNTIF(APO,"&gt;"&amp;(--TRIM(LEFT(M33,2))))+1,COUNTIF(APD,"&gt;"&amp;(--TRIM(LEFT(O33,2))))+1))</f>
        <v/>
      </c>
      <c r="R33" s="21">
        <f>IF(P33="","",IF(OR((--TRIM(LEFT(K33,2)))&gt;=SThr,P33&gt;=RPNThr,Q33="H"),"Yes","No"))</f>
        <v/>
      </c>
      <c r="S33" s="5" t="n"/>
      <c r="T33" s="5" t="n"/>
      <c r="U33" s="5" t="n"/>
      <c r="V33" s="29" t="n"/>
      <c r="W33" s="17" t="n"/>
      <c r="X33" s="17" t="n"/>
      <c r="Y33" s="17" t="n"/>
      <c r="Z33" s="21">
        <f>IF(OR(W33="",X33="",Y33=""),"",(--TRIM(LEFT(W33,2)))*(--TRIM(LEFT(X33,2)))*(--TRIM(LEFT(Y33,2))))</f>
        <v/>
      </c>
      <c r="AA33" s="21">
        <f>IF(OR(W33="",X33="",Y33=""),"",INDEX(APGrid,COUNTIF(APS,"&gt;"&amp;(--TRIM(LEFT(W33,2))))*5+COUNTIF(APO,"&gt;"&amp;(--TRIM(LEFT(X33,2))))+1,COUNTIF(APD,"&gt;"&amp;(--TRIM(LEFT(Y33,2))))+1))</f>
        <v/>
      </c>
      <c r="AB33" s="5" t="n"/>
      <c r="AC33" s="5" t="n"/>
      <c r="AE33">
        <f>IFERROR(INDEX(EqTag,_xlfn.AGGREGATE(15,6,(ROW(EqTag)-4)/((EqSys=$D$3)*(EqTag&lt;&gt;"")),ROWS($AE$14:AE33))),"")</f>
        <v/>
      </c>
    </row>
    <row r="34" ht="30" customHeight="1">
      <c r="A34" s="21">
        <f>IF(F34="","",LEFT($D$3,3)&amp;"-"&amp;TEXT(COUNTIF(F$14:F34,"?*"),"00"))</f>
        <v/>
      </c>
      <c r="B34" s="5" t="n"/>
      <c r="C34" s="6">
        <f>IF(B34="","",IFERROR(INDEX(EqTypeCol,MATCH(B34,EqTag,0)),"Tag not in register"))</f>
        <v/>
      </c>
      <c r="D34" s="5" t="n"/>
      <c r="E34" s="5" t="n"/>
      <c r="F34" s="5" t="n"/>
      <c r="G34" s="5" t="n"/>
      <c r="H34" s="5" t="n"/>
      <c r="I34" s="5" t="n"/>
      <c r="J34" s="5" t="n"/>
      <c r="K34" s="17" t="n"/>
      <c r="L34" s="5" t="n"/>
      <c r="M34" s="17" t="n"/>
      <c r="N34" s="5" t="n"/>
      <c r="O34" s="17" t="n"/>
      <c r="P34" s="21">
        <f>IF(OR(K34="",M34="",O34=""),"",(--TRIM(LEFT(K34,2)))*(--TRIM(LEFT(M34,2)))*(--TRIM(LEFT(O34,2))))</f>
        <v/>
      </c>
      <c r="Q34" s="21">
        <f>IF(OR(K34="",M34="",O34=""),"",INDEX(APGrid,COUNTIF(APS,"&gt;"&amp;(--TRIM(LEFT(K34,2))))*5+COUNTIF(APO,"&gt;"&amp;(--TRIM(LEFT(M34,2))))+1,COUNTIF(APD,"&gt;"&amp;(--TRIM(LEFT(O34,2))))+1))</f>
        <v/>
      </c>
      <c r="R34" s="21">
        <f>IF(P34="","",IF(OR((--TRIM(LEFT(K34,2)))&gt;=SThr,P34&gt;=RPNThr,Q34="H"),"Yes","No"))</f>
        <v/>
      </c>
      <c r="S34" s="5" t="n"/>
      <c r="T34" s="5" t="n"/>
      <c r="U34" s="5" t="n"/>
      <c r="V34" s="29" t="n"/>
      <c r="W34" s="17" t="n"/>
      <c r="X34" s="17" t="n"/>
      <c r="Y34" s="17" t="n"/>
      <c r="Z34" s="21">
        <f>IF(OR(W34="",X34="",Y34=""),"",(--TRIM(LEFT(W34,2)))*(--TRIM(LEFT(X34,2)))*(--TRIM(LEFT(Y34,2))))</f>
        <v/>
      </c>
      <c r="AA34" s="21">
        <f>IF(OR(W34="",X34="",Y34=""),"",INDEX(APGrid,COUNTIF(APS,"&gt;"&amp;(--TRIM(LEFT(W34,2))))*5+COUNTIF(APO,"&gt;"&amp;(--TRIM(LEFT(X34,2))))+1,COUNTIF(APD,"&gt;"&amp;(--TRIM(LEFT(Y34,2))))+1))</f>
        <v/>
      </c>
      <c r="AB34" s="5" t="n"/>
      <c r="AC34" s="5" t="n"/>
      <c r="AE34">
        <f>IFERROR(INDEX(EqTag,_xlfn.AGGREGATE(15,6,(ROW(EqTag)-4)/((EqSys=$D$3)*(EqTag&lt;&gt;"")),ROWS($AE$14:AE34))),"")</f>
        <v/>
      </c>
    </row>
    <row r="35" ht="30" customHeight="1">
      <c r="A35" s="21">
        <f>IF(F35="","",LEFT($D$3,3)&amp;"-"&amp;TEXT(COUNTIF(F$14:F35,"?*"),"00"))</f>
        <v/>
      </c>
      <c r="B35" s="5" t="n"/>
      <c r="C35" s="6">
        <f>IF(B35="","",IFERROR(INDEX(EqTypeCol,MATCH(B35,EqTag,0)),"Tag not in register"))</f>
        <v/>
      </c>
      <c r="D35" s="5" t="n"/>
      <c r="E35" s="5" t="n"/>
      <c r="F35" s="5" t="n"/>
      <c r="G35" s="5" t="n"/>
      <c r="H35" s="5" t="n"/>
      <c r="I35" s="5" t="n"/>
      <c r="J35" s="5" t="n"/>
      <c r="K35" s="17" t="n"/>
      <c r="L35" s="5" t="n"/>
      <c r="M35" s="17" t="n"/>
      <c r="N35" s="5" t="n"/>
      <c r="O35" s="17" t="n"/>
      <c r="P35" s="21">
        <f>IF(OR(K35="",M35="",O35=""),"",(--TRIM(LEFT(K35,2)))*(--TRIM(LEFT(M35,2)))*(--TRIM(LEFT(O35,2))))</f>
        <v/>
      </c>
      <c r="Q35" s="21">
        <f>IF(OR(K35="",M35="",O35=""),"",INDEX(APGrid,COUNTIF(APS,"&gt;"&amp;(--TRIM(LEFT(K35,2))))*5+COUNTIF(APO,"&gt;"&amp;(--TRIM(LEFT(M35,2))))+1,COUNTIF(APD,"&gt;"&amp;(--TRIM(LEFT(O35,2))))+1))</f>
        <v/>
      </c>
      <c r="R35" s="21">
        <f>IF(P35="","",IF(OR((--TRIM(LEFT(K35,2)))&gt;=SThr,P35&gt;=RPNThr,Q35="H"),"Yes","No"))</f>
        <v/>
      </c>
      <c r="S35" s="5" t="n"/>
      <c r="T35" s="5" t="n"/>
      <c r="U35" s="5" t="n"/>
      <c r="V35" s="29" t="n"/>
      <c r="W35" s="17" t="n"/>
      <c r="X35" s="17" t="n"/>
      <c r="Y35" s="17" t="n"/>
      <c r="Z35" s="21">
        <f>IF(OR(W35="",X35="",Y35=""),"",(--TRIM(LEFT(W35,2)))*(--TRIM(LEFT(X35,2)))*(--TRIM(LEFT(Y35,2))))</f>
        <v/>
      </c>
      <c r="AA35" s="21">
        <f>IF(OR(W35="",X35="",Y35=""),"",INDEX(APGrid,COUNTIF(APS,"&gt;"&amp;(--TRIM(LEFT(W35,2))))*5+COUNTIF(APO,"&gt;"&amp;(--TRIM(LEFT(X35,2))))+1,COUNTIF(APD,"&gt;"&amp;(--TRIM(LEFT(Y35,2))))+1))</f>
        <v/>
      </c>
      <c r="AB35" s="5" t="n"/>
      <c r="AC35" s="5" t="n"/>
      <c r="AE35">
        <f>IFERROR(INDEX(EqTag,_xlfn.AGGREGATE(15,6,(ROW(EqTag)-4)/((EqSys=$D$3)*(EqTag&lt;&gt;"")),ROWS($AE$14:AE35))),"")</f>
        <v/>
      </c>
    </row>
    <row r="36" ht="30" customHeight="1">
      <c r="A36" s="21">
        <f>IF(F36="","",LEFT($D$3,3)&amp;"-"&amp;TEXT(COUNTIF(F$14:F36,"?*"),"00"))</f>
        <v/>
      </c>
      <c r="B36" s="5" t="n"/>
      <c r="C36" s="6">
        <f>IF(B36="","",IFERROR(INDEX(EqTypeCol,MATCH(B36,EqTag,0)),"Tag not in register"))</f>
        <v/>
      </c>
      <c r="D36" s="5" t="n"/>
      <c r="E36" s="5" t="n"/>
      <c r="F36" s="5" t="n"/>
      <c r="G36" s="5" t="n"/>
      <c r="H36" s="5" t="n"/>
      <c r="I36" s="5" t="n"/>
      <c r="J36" s="5" t="n"/>
      <c r="K36" s="17" t="n"/>
      <c r="L36" s="5" t="n"/>
      <c r="M36" s="17" t="n"/>
      <c r="N36" s="5" t="n"/>
      <c r="O36" s="17" t="n"/>
      <c r="P36" s="21">
        <f>IF(OR(K36="",M36="",O36=""),"",(--TRIM(LEFT(K36,2)))*(--TRIM(LEFT(M36,2)))*(--TRIM(LEFT(O36,2))))</f>
        <v/>
      </c>
      <c r="Q36" s="21">
        <f>IF(OR(K36="",M36="",O36=""),"",INDEX(APGrid,COUNTIF(APS,"&gt;"&amp;(--TRIM(LEFT(K36,2))))*5+COUNTIF(APO,"&gt;"&amp;(--TRIM(LEFT(M36,2))))+1,COUNTIF(APD,"&gt;"&amp;(--TRIM(LEFT(O36,2))))+1))</f>
        <v/>
      </c>
      <c r="R36" s="21">
        <f>IF(P36="","",IF(OR((--TRIM(LEFT(K36,2)))&gt;=SThr,P36&gt;=RPNThr,Q36="H"),"Yes","No"))</f>
        <v/>
      </c>
      <c r="S36" s="5" t="n"/>
      <c r="T36" s="5" t="n"/>
      <c r="U36" s="5" t="n"/>
      <c r="V36" s="29" t="n"/>
      <c r="W36" s="17" t="n"/>
      <c r="X36" s="17" t="n"/>
      <c r="Y36" s="17" t="n"/>
      <c r="Z36" s="21">
        <f>IF(OR(W36="",X36="",Y36=""),"",(--TRIM(LEFT(W36,2)))*(--TRIM(LEFT(X36,2)))*(--TRIM(LEFT(Y36,2))))</f>
        <v/>
      </c>
      <c r="AA36" s="21">
        <f>IF(OR(W36="",X36="",Y36=""),"",INDEX(APGrid,COUNTIF(APS,"&gt;"&amp;(--TRIM(LEFT(W36,2))))*5+COUNTIF(APO,"&gt;"&amp;(--TRIM(LEFT(X36,2))))+1,COUNTIF(APD,"&gt;"&amp;(--TRIM(LEFT(Y36,2))))+1))</f>
        <v/>
      </c>
      <c r="AB36" s="5" t="n"/>
      <c r="AC36" s="5" t="n"/>
      <c r="AE36">
        <f>IFERROR(INDEX(EqTag,_xlfn.AGGREGATE(15,6,(ROW(EqTag)-4)/((EqSys=$D$3)*(EqTag&lt;&gt;"")),ROWS($AE$14:AE36))),"")</f>
        <v/>
      </c>
    </row>
    <row r="37" ht="30" customHeight="1">
      <c r="A37" s="21">
        <f>IF(F37="","",LEFT($D$3,3)&amp;"-"&amp;TEXT(COUNTIF(F$14:F37,"?*"),"00"))</f>
        <v/>
      </c>
      <c r="B37" s="5" t="n"/>
      <c r="C37" s="6">
        <f>IF(B37="","",IFERROR(INDEX(EqTypeCol,MATCH(B37,EqTag,0)),"Tag not in register"))</f>
        <v/>
      </c>
      <c r="D37" s="5" t="n"/>
      <c r="E37" s="5" t="n"/>
      <c r="F37" s="5" t="n"/>
      <c r="G37" s="5" t="n"/>
      <c r="H37" s="5" t="n"/>
      <c r="I37" s="5" t="n"/>
      <c r="J37" s="5" t="n"/>
      <c r="K37" s="17" t="n"/>
      <c r="L37" s="5" t="n"/>
      <c r="M37" s="17" t="n"/>
      <c r="N37" s="5" t="n"/>
      <c r="O37" s="17" t="n"/>
      <c r="P37" s="21">
        <f>IF(OR(K37="",M37="",O37=""),"",(--TRIM(LEFT(K37,2)))*(--TRIM(LEFT(M37,2)))*(--TRIM(LEFT(O37,2))))</f>
        <v/>
      </c>
      <c r="Q37" s="21">
        <f>IF(OR(K37="",M37="",O37=""),"",INDEX(APGrid,COUNTIF(APS,"&gt;"&amp;(--TRIM(LEFT(K37,2))))*5+COUNTIF(APO,"&gt;"&amp;(--TRIM(LEFT(M37,2))))+1,COUNTIF(APD,"&gt;"&amp;(--TRIM(LEFT(O37,2))))+1))</f>
        <v/>
      </c>
      <c r="R37" s="21">
        <f>IF(P37="","",IF(OR((--TRIM(LEFT(K37,2)))&gt;=SThr,P37&gt;=RPNThr,Q37="H"),"Yes","No"))</f>
        <v/>
      </c>
      <c r="S37" s="5" t="n"/>
      <c r="T37" s="5" t="n"/>
      <c r="U37" s="5" t="n"/>
      <c r="V37" s="29" t="n"/>
      <c r="W37" s="17" t="n"/>
      <c r="X37" s="17" t="n"/>
      <c r="Y37" s="17" t="n"/>
      <c r="Z37" s="21">
        <f>IF(OR(W37="",X37="",Y37=""),"",(--TRIM(LEFT(W37,2)))*(--TRIM(LEFT(X37,2)))*(--TRIM(LEFT(Y37,2))))</f>
        <v/>
      </c>
      <c r="AA37" s="21">
        <f>IF(OR(W37="",X37="",Y37=""),"",INDEX(APGrid,COUNTIF(APS,"&gt;"&amp;(--TRIM(LEFT(W37,2))))*5+COUNTIF(APO,"&gt;"&amp;(--TRIM(LEFT(X37,2))))+1,COUNTIF(APD,"&gt;"&amp;(--TRIM(LEFT(Y37,2))))+1))</f>
        <v/>
      </c>
      <c r="AB37" s="5" t="n"/>
      <c r="AC37" s="5" t="n"/>
      <c r="AE37">
        <f>IFERROR(INDEX(EqTag,_xlfn.AGGREGATE(15,6,(ROW(EqTag)-4)/((EqSys=$D$3)*(EqTag&lt;&gt;"")),ROWS($AE$14:AE37))),"")</f>
        <v/>
      </c>
    </row>
    <row r="38" ht="30" customHeight="1">
      <c r="A38" s="21">
        <f>IF(F38="","",LEFT($D$3,3)&amp;"-"&amp;TEXT(COUNTIF(F$14:F38,"?*"),"00"))</f>
        <v/>
      </c>
      <c r="B38" s="5" t="n"/>
      <c r="C38" s="6">
        <f>IF(B38="","",IFERROR(INDEX(EqTypeCol,MATCH(B38,EqTag,0)),"Tag not in register"))</f>
        <v/>
      </c>
      <c r="D38" s="5" t="n"/>
      <c r="E38" s="5" t="n"/>
      <c r="F38" s="5" t="n"/>
      <c r="G38" s="5" t="n"/>
      <c r="H38" s="5" t="n"/>
      <c r="I38" s="5" t="n"/>
      <c r="J38" s="5" t="n"/>
      <c r="K38" s="17" t="n"/>
      <c r="L38" s="5" t="n"/>
      <c r="M38" s="17" t="n"/>
      <c r="N38" s="5" t="n"/>
      <c r="O38" s="17" t="n"/>
      <c r="P38" s="21">
        <f>IF(OR(K38="",M38="",O38=""),"",(--TRIM(LEFT(K38,2)))*(--TRIM(LEFT(M38,2)))*(--TRIM(LEFT(O38,2))))</f>
        <v/>
      </c>
      <c r="Q38" s="21">
        <f>IF(OR(K38="",M38="",O38=""),"",INDEX(APGrid,COUNTIF(APS,"&gt;"&amp;(--TRIM(LEFT(K38,2))))*5+COUNTIF(APO,"&gt;"&amp;(--TRIM(LEFT(M38,2))))+1,COUNTIF(APD,"&gt;"&amp;(--TRIM(LEFT(O38,2))))+1))</f>
        <v/>
      </c>
      <c r="R38" s="21">
        <f>IF(P38="","",IF(OR((--TRIM(LEFT(K38,2)))&gt;=SThr,P38&gt;=RPNThr,Q38="H"),"Yes","No"))</f>
        <v/>
      </c>
      <c r="S38" s="5" t="n"/>
      <c r="T38" s="5" t="n"/>
      <c r="U38" s="5" t="n"/>
      <c r="V38" s="29" t="n"/>
      <c r="W38" s="17" t="n"/>
      <c r="X38" s="17" t="n"/>
      <c r="Y38" s="17" t="n"/>
      <c r="Z38" s="21">
        <f>IF(OR(W38="",X38="",Y38=""),"",(--TRIM(LEFT(W38,2)))*(--TRIM(LEFT(X38,2)))*(--TRIM(LEFT(Y38,2))))</f>
        <v/>
      </c>
      <c r="AA38" s="21">
        <f>IF(OR(W38="",X38="",Y38=""),"",INDEX(APGrid,COUNTIF(APS,"&gt;"&amp;(--TRIM(LEFT(W38,2))))*5+COUNTIF(APO,"&gt;"&amp;(--TRIM(LEFT(X38,2))))+1,COUNTIF(APD,"&gt;"&amp;(--TRIM(LEFT(Y38,2))))+1))</f>
        <v/>
      </c>
      <c r="AB38" s="5" t="n"/>
      <c r="AC38" s="5" t="n"/>
      <c r="AE38">
        <f>IFERROR(INDEX(EqTag,_xlfn.AGGREGATE(15,6,(ROW(EqTag)-4)/((EqSys=$D$3)*(EqTag&lt;&gt;"")),ROWS($AE$14:AE38))),"")</f>
        <v/>
      </c>
    </row>
    <row r="39" ht="30" customHeight="1">
      <c r="A39" s="21">
        <f>IF(F39="","",LEFT($D$3,3)&amp;"-"&amp;TEXT(COUNTIF(F$14:F39,"?*"),"00"))</f>
        <v/>
      </c>
      <c r="B39" s="5" t="n"/>
      <c r="C39" s="6">
        <f>IF(B39="","",IFERROR(INDEX(EqTypeCol,MATCH(B39,EqTag,0)),"Tag not in register"))</f>
        <v/>
      </c>
      <c r="D39" s="5" t="n"/>
      <c r="E39" s="5" t="n"/>
      <c r="F39" s="5" t="n"/>
      <c r="G39" s="5" t="n"/>
      <c r="H39" s="5" t="n"/>
      <c r="I39" s="5" t="n"/>
      <c r="J39" s="5" t="n"/>
      <c r="K39" s="17" t="n"/>
      <c r="L39" s="5" t="n"/>
      <c r="M39" s="17" t="n"/>
      <c r="N39" s="5" t="n"/>
      <c r="O39" s="17" t="n"/>
      <c r="P39" s="21">
        <f>IF(OR(K39="",M39="",O39=""),"",(--TRIM(LEFT(K39,2)))*(--TRIM(LEFT(M39,2)))*(--TRIM(LEFT(O39,2))))</f>
        <v/>
      </c>
      <c r="Q39" s="21">
        <f>IF(OR(K39="",M39="",O39=""),"",INDEX(APGrid,COUNTIF(APS,"&gt;"&amp;(--TRIM(LEFT(K39,2))))*5+COUNTIF(APO,"&gt;"&amp;(--TRIM(LEFT(M39,2))))+1,COUNTIF(APD,"&gt;"&amp;(--TRIM(LEFT(O39,2))))+1))</f>
        <v/>
      </c>
      <c r="R39" s="21">
        <f>IF(P39="","",IF(OR((--TRIM(LEFT(K39,2)))&gt;=SThr,P39&gt;=RPNThr,Q39="H"),"Yes","No"))</f>
        <v/>
      </c>
      <c r="S39" s="5" t="n"/>
      <c r="T39" s="5" t="n"/>
      <c r="U39" s="5" t="n"/>
      <c r="V39" s="29" t="n"/>
      <c r="W39" s="17" t="n"/>
      <c r="X39" s="17" t="n"/>
      <c r="Y39" s="17" t="n"/>
      <c r="Z39" s="21">
        <f>IF(OR(W39="",X39="",Y39=""),"",(--TRIM(LEFT(W39,2)))*(--TRIM(LEFT(X39,2)))*(--TRIM(LEFT(Y39,2))))</f>
        <v/>
      </c>
      <c r="AA39" s="21">
        <f>IF(OR(W39="",X39="",Y39=""),"",INDEX(APGrid,COUNTIF(APS,"&gt;"&amp;(--TRIM(LEFT(W39,2))))*5+COUNTIF(APO,"&gt;"&amp;(--TRIM(LEFT(X39,2))))+1,COUNTIF(APD,"&gt;"&amp;(--TRIM(LEFT(Y39,2))))+1))</f>
        <v/>
      </c>
      <c r="AB39" s="5" t="n"/>
      <c r="AC39" s="5" t="n"/>
      <c r="AE39">
        <f>IFERROR(INDEX(EqTag,_xlfn.AGGREGATE(15,6,(ROW(EqTag)-4)/((EqSys=$D$3)*(EqTag&lt;&gt;"")),ROWS($AE$14:AE39))),"")</f>
        <v/>
      </c>
    </row>
    <row r="40" ht="30" customHeight="1">
      <c r="A40" s="21">
        <f>IF(F40="","",LEFT($D$3,3)&amp;"-"&amp;TEXT(COUNTIF(F$14:F40,"?*"),"00"))</f>
        <v/>
      </c>
      <c r="B40" s="5" t="n"/>
      <c r="C40" s="6">
        <f>IF(B40="","",IFERROR(INDEX(EqTypeCol,MATCH(B40,EqTag,0)),"Tag not in register"))</f>
        <v/>
      </c>
      <c r="D40" s="5" t="n"/>
      <c r="E40" s="5" t="n"/>
      <c r="F40" s="5" t="n"/>
      <c r="G40" s="5" t="n"/>
      <c r="H40" s="5" t="n"/>
      <c r="I40" s="5" t="n"/>
      <c r="J40" s="5" t="n"/>
      <c r="K40" s="17" t="n"/>
      <c r="L40" s="5" t="n"/>
      <c r="M40" s="17" t="n"/>
      <c r="N40" s="5" t="n"/>
      <c r="O40" s="17" t="n"/>
      <c r="P40" s="21">
        <f>IF(OR(K40="",M40="",O40=""),"",(--TRIM(LEFT(K40,2)))*(--TRIM(LEFT(M40,2)))*(--TRIM(LEFT(O40,2))))</f>
        <v/>
      </c>
      <c r="Q40" s="21">
        <f>IF(OR(K40="",M40="",O40=""),"",INDEX(APGrid,COUNTIF(APS,"&gt;"&amp;(--TRIM(LEFT(K40,2))))*5+COUNTIF(APO,"&gt;"&amp;(--TRIM(LEFT(M40,2))))+1,COUNTIF(APD,"&gt;"&amp;(--TRIM(LEFT(O40,2))))+1))</f>
        <v/>
      </c>
      <c r="R40" s="21">
        <f>IF(P40="","",IF(OR((--TRIM(LEFT(K40,2)))&gt;=SThr,P40&gt;=RPNThr,Q40="H"),"Yes","No"))</f>
        <v/>
      </c>
      <c r="S40" s="5" t="n"/>
      <c r="T40" s="5" t="n"/>
      <c r="U40" s="5" t="n"/>
      <c r="V40" s="29" t="n"/>
      <c r="W40" s="17" t="n"/>
      <c r="X40" s="17" t="n"/>
      <c r="Y40" s="17" t="n"/>
      <c r="Z40" s="21">
        <f>IF(OR(W40="",X40="",Y40=""),"",(--TRIM(LEFT(W40,2)))*(--TRIM(LEFT(X40,2)))*(--TRIM(LEFT(Y40,2))))</f>
        <v/>
      </c>
      <c r="AA40" s="21">
        <f>IF(OR(W40="",X40="",Y40=""),"",INDEX(APGrid,COUNTIF(APS,"&gt;"&amp;(--TRIM(LEFT(W40,2))))*5+COUNTIF(APO,"&gt;"&amp;(--TRIM(LEFT(X40,2))))+1,COUNTIF(APD,"&gt;"&amp;(--TRIM(LEFT(Y40,2))))+1))</f>
        <v/>
      </c>
      <c r="AB40" s="5" t="n"/>
      <c r="AC40" s="5" t="n"/>
      <c r="AE40">
        <f>IFERROR(INDEX(EqTag,_xlfn.AGGREGATE(15,6,(ROW(EqTag)-4)/((EqSys=$D$3)*(EqTag&lt;&gt;"")),ROWS($AE$14:AE40))),"")</f>
        <v/>
      </c>
    </row>
    <row r="41" ht="30" customHeight="1">
      <c r="A41" s="21">
        <f>IF(F41="","",LEFT($D$3,3)&amp;"-"&amp;TEXT(COUNTIF(F$14:F41,"?*"),"00"))</f>
        <v/>
      </c>
      <c r="B41" s="5" t="n"/>
      <c r="C41" s="6">
        <f>IF(B41="","",IFERROR(INDEX(EqTypeCol,MATCH(B41,EqTag,0)),"Tag not in register"))</f>
        <v/>
      </c>
      <c r="D41" s="5" t="n"/>
      <c r="E41" s="5" t="n"/>
      <c r="F41" s="5" t="n"/>
      <c r="G41" s="5" t="n"/>
      <c r="H41" s="5" t="n"/>
      <c r="I41" s="5" t="n"/>
      <c r="J41" s="5" t="n"/>
      <c r="K41" s="17" t="n"/>
      <c r="L41" s="5" t="n"/>
      <c r="M41" s="17" t="n"/>
      <c r="N41" s="5" t="n"/>
      <c r="O41" s="17" t="n"/>
      <c r="P41" s="21">
        <f>IF(OR(K41="",M41="",O41=""),"",(--TRIM(LEFT(K41,2)))*(--TRIM(LEFT(M41,2)))*(--TRIM(LEFT(O41,2))))</f>
        <v/>
      </c>
      <c r="Q41" s="21">
        <f>IF(OR(K41="",M41="",O41=""),"",INDEX(APGrid,COUNTIF(APS,"&gt;"&amp;(--TRIM(LEFT(K41,2))))*5+COUNTIF(APO,"&gt;"&amp;(--TRIM(LEFT(M41,2))))+1,COUNTIF(APD,"&gt;"&amp;(--TRIM(LEFT(O41,2))))+1))</f>
        <v/>
      </c>
      <c r="R41" s="21">
        <f>IF(P41="","",IF(OR((--TRIM(LEFT(K41,2)))&gt;=SThr,P41&gt;=RPNThr,Q41="H"),"Yes","No"))</f>
        <v/>
      </c>
      <c r="S41" s="5" t="n"/>
      <c r="T41" s="5" t="n"/>
      <c r="U41" s="5" t="n"/>
      <c r="V41" s="29" t="n"/>
      <c r="W41" s="17" t="n"/>
      <c r="X41" s="17" t="n"/>
      <c r="Y41" s="17" t="n"/>
      <c r="Z41" s="21">
        <f>IF(OR(W41="",X41="",Y41=""),"",(--TRIM(LEFT(W41,2)))*(--TRIM(LEFT(X41,2)))*(--TRIM(LEFT(Y41,2))))</f>
        <v/>
      </c>
      <c r="AA41" s="21">
        <f>IF(OR(W41="",X41="",Y41=""),"",INDEX(APGrid,COUNTIF(APS,"&gt;"&amp;(--TRIM(LEFT(W41,2))))*5+COUNTIF(APO,"&gt;"&amp;(--TRIM(LEFT(X41,2))))+1,COUNTIF(APD,"&gt;"&amp;(--TRIM(LEFT(Y41,2))))+1))</f>
        <v/>
      </c>
      <c r="AB41" s="5" t="n"/>
      <c r="AC41" s="5" t="n"/>
      <c r="AE41">
        <f>IFERROR(INDEX(EqTag,_xlfn.AGGREGATE(15,6,(ROW(EqTag)-4)/((EqSys=$D$3)*(EqTag&lt;&gt;"")),ROWS($AE$14:AE41))),"")</f>
        <v/>
      </c>
    </row>
    <row r="42" ht="30" customHeight="1">
      <c r="A42" s="21">
        <f>IF(F42="","",LEFT($D$3,3)&amp;"-"&amp;TEXT(COUNTIF(F$14:F42,"?*"),"00"))</f>
        <v/>
      </c>
      <c r="B42" s="5" t="n"/>
      <c r="C42" s="6">
        <f>IF(B42="","",IFERROR(INDEX(EqTypeCol,MATCH(B42,EqTag,0)),"Tag not in register"))</f>
        <v/>
      </c>
      <c r="D42" s="5" t="n"/>
      <c r="E42" s="5" t="n"/>
      <c r="F42" s="5" t="n"/>
      <c r="G42" s="5" t="n"/>
      <c r="H42" s="5" t="n"/>
      <c r="I42" s="5" t="n"/>
      <c r="J42" s="5" t="n"/>
      <c r="K42" s="17" t="n"/>
      <c r="L42" s="5" t="n"/>
      <c r="M42" s="17" t="n"/>
      <c r="N42" s="5" t="n"/>
      <c r="O42" s="17" t="n"/>
      <c r="P42" s="21">
        <f>IF(OR(K42="",M42="",O42=""),"",(--TRIM(LEFT(K42,2)))*(--TRIM(LEFT(M42,2)))*(--TRIM(LEFT(O42,2))))</f>
        <v/>
      </c>
      <c r="Q42" s="21">
        <f>IF(OR(K42="",M42="",O42=""),"",INDEX(APGrid,COUNTIF(APS,"&gt;"&amp;(--TRIM(LEFT(K42,2))))*5+COUNTIF(APO,"&gt;"&amp;(--TRIM(LEFT(M42,2))))+1,COUNTIF(APD,"&gt;"&amp;(--TRIM(LEFT(O42,2))))+1))</f>
        <v/>
      </c>
      <c r="R42" s="21">
        <f>IF(P42="","",IF(OR((--TRIM(LEFT(K42,2)))&gt;=SThr,P42&gt;=RPNThr,Q42="H"),"Yes","No"))</f>
        <v/>
      </c>
      <c r="S42" s="5" t="n"/>
      <c r="T42" s="5" t="n"/>
      <c r="U42" s="5" t="n"/>
      <c r="V42" s="29" t="n"/>
      <c r="W42" s="17" t="n"/>
      <c r="X42" s="17" t="n"/>
      <c r="Y42" s="17" t="n"/>
      <c r="Z42" s="21">
        <f>IF(OR(W42="",X42="",Y42=""),"",(--TRIM(LEFT(W42,2)))*(--TRIM(LEFT(X42,2)))*(--TRIM(LEFT(Y42,2))))</f>
        <v/>
      </c>
      <c r="AA42" s="21">
        <f>IF(OR(W42="",X42="",Y42=""),"",INDEX(APGrid,COUNTIF(APS,"&gt;"&amp;(--TRIM(LEFT(W42,2))))*5+COUNTIF(APO,"&gt;"&amp;(--TRIM(LEFT(X42,2))))+1,COUNTIF(APD,"&gt;"&amp;(--TRIM(LEFT(Y42,2))))+1))</f>
        <v/>
      </c>
      <c r="AB42" s="5" t="n"/>
      <c r="AC42" s="5" t="n"/>
      <c r="AE42">
        <f>IFERROR(INDEX(EqTag,_xlfn.AGGREGATE(15,6,(ROW(EqTag)-4)/((EqSys=$D$3)*(EqTag&lt;&gt;"")),ROWS($AE$14:AE42))),"")</f>
        <v/>
      </c>
    </row>
    <row r="43" ht="30" customHeight="1">
      <c r="A43" s="21">
        <f>IF(F43="","",LEFT($D$3,3)&amp;"-"&amp;TEXT(COUNTIF(F$14:F43,"?*"),"00"))</f>
        <v/>
      </c>
      <c r="B43" s="5" t="n"/>
      <c r="C43" s="6">
        <f>IF(B43="","",IFERROR(INDEX(EqTypeCol,MATCH(B43,EqTag,0)),"Tag not in register"))</f>
        <v/>
      </c>
      <c r="D43" s="5" t="n"/>
      <c r="E43" s="5" t="n"/>
      <c r="F43" s="5" t="n"/>
      <c r="G43" s="5" t="n"/>
      <c r="H43" s="5" t="n"/>
      <c r="I43" s="5" t="n"/>
      <c r="J43" s="5" t="n"/>
      <c r="K43" s="17" t="n"/>
      <c r="L43" s="5" t="n"/>
      <c r="M43" s="17" t="n"/>
      <c r="N43" s="5" t="n"/>
      <c r="O43" s="17" t="n"/>
      <c r="P43" s="21">
        <f>IF(OR(K43="",M43="",O43=""),"",(--TRIM(LEFT(K43,2)))*(--TRIM(LEFT(M43,2)))*(--TRIM(LEFT(O43,2))))</f>
        <v/>
      </c>
      <c r="Q43" s="21">
        <f>IF(OR(K43="",M43="",O43=""),"",INDEX(APGrid,COUNTIF(APS,"&gt;"&amp;(--TRIM(LEFT(K43,2))))*5+COUNTIF(APO,"&gt;"&amp;(--TRIM(LEFT(M43,2))))+1,COUNTIF(APD,"&gt;"&amp;(--TRIM(LEFT(O43,2))))+1))</f>
        <v/>
      </c>
      <c r="R43" s="21">
        <f>IF(P43="","",IF(OR((--TRIM(LEFT(K43,2)))&gt;=SThr,P43&gt;=RPNThr,Q43="H"),"Yes","No"))</f>
        <v/>
      </c>
      <c r="S43" s="5" t="n"/>
      <c r="T43" s="5" t="n"/>
      <c r="U43" s="5" t="n"/>
      <c r="V43" s="29" t="n"/>
      <c r="W43" s="17" t="n"/>
      <c r="X43" s="17" t="n"/>
      <c r="Y43" s="17" t="n"/>
      <c r="Z43" s="21">
        <f>IF(OR(W43="",X43="",Y43=""),"",(--TRIM(LEFT(W43,2)))*(--TRIM(LEFT(X43,2)))*(--TRIM(LEFT(Y43,2))))</f>
        <v/>
      </c>
      <c r="AA43" s="21">
        <f>IF(OR(W43="",X43="",Y43=""),"",INDEX(APGrid,COUNTIF(APS,"&gt;"&amp;(--TRIM(LEFT(W43,2))))*5+COUNTIF(APO,"&gt;"&amp;(--TRIM(LEFT(X43,2))))+1,COUNTIF(APD,"&gt;"&amp;(--TRIM(LEFT(Y43,2))))+1))</f>
        <v/>
      </c>
      <c r="AB43" s="5" t="n"/>
      <c r="AC43" s="5" t="n"/>
      <c r="AE43">
        <f>IFERROR(INDEX(EqTag,_xlfn.AGGREGATE(15,6,(ROW(EqTag)-4)/((EqSys=$D$3)*(EqTag&lt;&gt;"")),ROWS($AE$14:AE43))),"")</f>
        <v/>
      </c>
    </row>
    <row r="44" ht="30" customHeight="1">
      <c r="A44" s="21">
        <f>IF(F44="","",LEFT($D$3,3)&amp;"-"&amp;TEXT(COUNTIF(F$14:F44,"?*"),"00"))</f>
        <v/>
      </c>
      <c r="B44" s="5" t="n"/>
      <c r="C44" s="6">
        <f>IF(B44="","",IFERROR(INDEX(EqTypeCol,MATCH(B44,EqTag,0)),"Tag not in register"))</f>
        <v/>
      </c>
      <c r="D44" s="5" t="n"/>
      <c r="E44" s="5" t="n"/>
      <c r="F44" s="5" t="n"/>
      <c r="G44" s="5" t="n"/>
      <c r="H44" s="5" t="n"/>
      <c r="I44" s="5" t="n"/>
      <c r="J44" s="5" t="n"/>
      <c r="K44" s="17" t="n"/>
      <c r="L44" s="5" t="n"/>
      <c r="M44" s="17" t="n"/>
      <c r="N44" s="5" t="n"/>
      <c r="O44" s="17" t="n"/>
      <c r="P44" s="21">
        <f>IF(OR(K44="",M44="",O44=""),"",(--TRIM(LEFT(K44,2)))*(--TRIM(LEFT(M44,2)))*(--TRIM(LEFT(O44,2))))</f>
        <v/>
      </c>
      <c r="Q44" s="21">
        <f>IF(OR(K44="",M44="",O44=""),"",INDEX(APGrid,COUNTIF(APS,"&gt;"&amp;(--TRIM(LEFT(K44,2))))*5+COUNTIF(APO,"&gt;"&amp;(--TRIM(LEFT(M44,2))))+1,COUNTIF(APD,"&gt;"&amp;(--TRIM(LEFT(O44,2))))+1))</f>
        <v/>
      </c>
      <c r="R44" s="21">
        <f>IF(P44="","",IF(OR((--TRIM(LEFT(K44,2)))&gt;=SThr,P44&gt;=RPNThr,Q44="H"),"Yes","No"))</f>
        <v/>
      </c>
      <c r="S44" s="5" t="n"/>
      <c r="T44" s="5" t="n"/>
      <c r="U44" s="5" t="n"/>
      <c r="V44" s="29" t="n"/>
      <c r="W44" s="17" t="n"/>
      <c r="X44" s="17" t="n"/>
      <c r="Y44" s="17" t="n"/>
      <c r="Z44" s="21">
        <f>IF(OR(W44="",X44="",Y44=""),"",(--TRIM(LEFT(W44,2)))*(--TRIM(LEFT(X44,2)))*(--TRIM(LEFT(Y44,2))))</f>
        <v/>
      </c>
      <c r="AA44" s="21">
        <f>IF(OR(W44="",X44="",Y44=""),"",INDEX(APGrid,COUNTIF(APS,"&gt;"&amp;(--TRIM(LEFT(W44,2))))*5+COUNTIF(APO,"&gt;"&amp;(--TRIM(LEFT(X44,2))))+1,COUNTIF(APD,"&gt;"&amp;(--TRIM(LEFT(Y44,2))))+1))</f>
        <v/>
      </c>
      <c r="AB44" s="5" t="n"/>
      <c r="AC44" s="5" t="n"/>
      <c r="AE44">
        <f>IFERROR(INDEX(EqTag,_xlfn.AGGREGATE(15,6,(ROW(EqTag)-4)/((EqSys=$D$3)*(EqTag&lt;&gt;"")),ROWS($AE$14:AE44))),"")</f>
        <v/>
      </c>
    </row>
    <row r="45" ht="30" customHeight="1">
      <c r="A45" s="21">
        <f>IF(F45="","",LEFT($D$3,3)&amp;"-"&amp;TEXT(COUNTIF(F$14:F45,"?*"),"00"))</f>
        <v/>
      </c>
      <c r="B45" s="5" t="n"/>
      <c r="C45" s="6">
        <f>IF(B45="","",IFERROR(INDEX(EqTypeCol,MATCH(B45,EqTag,0)),"Tag not in register"))</f>
        <v/>
      </c>
      <c r="D45" s="5" t="n"/>
      <c r="E45" s="5" t="n"/>
      <c r="F45" s="5" t="n"/>
      <c r="G45" s="5" t="n"/>
      <c r="H45" s="5" t="n"/>
      <c r="I45" s="5" t="n"/>
      <c r="J45" s="5" t="n"/>
      <c r="K45" s="17" t="n"/>
      <c r="L45" s="5" t="n"/>
      <c r="M45" s="17" t="n"/>
      <c r="N45" s="5" t="n"/>
      <c r="O45" s="17" t="n"/>
      <c r="P45" s="21">
        <f>IF(OR(K45="",M45="",O45=""),"",(--TRIM(LEFT(K45,2)))*(--TRIM(LEFT(M45,2)))*(--TRIM(LEFT(O45,2))))</f>
        <v/>
      </c>
      <c r="Q45" s="21">
        <f>IF(OR(K45="",M45="",O45=""),"",INDEX(APGrid,COUNTIF(APS,"&gt;"&amp;(--TRIM(LEFT(K45,2))))*5+COUNTIF(APO,"&gt;"&amp;(--TRIM(LEFT(M45,2))))+1,COUNTIF(APD,"&gt;"&amp;(--TRIM(LEFT(O45,2))))+1))</f>
        <v/>
      </c>
      <c r="R45" s="21">
        <f>IF(P45="","",IF(OR((--TRIM(LEFT(K45,2)))&gt;=SThr,P45&gt;=RPNThr,Q45="H"),"Yes","No"))</f>
        <v/>
      </c>
      <c r="S45" s="5" t="n"/>
      <c r="T45" s="5" t="n"/>
      <c r="U45" s="5" t="n"/>
      <c r="V45" s="29" t="n"/>
      <c r="W45" s="17" t="n"/>
      <c r="X45" s="17" t="n"/>
      <c r="Y45" s="17" t="n"/>
      <c r="Z45" s="21">
        <f>IF(OR(W45="",X45="",Y45=""),"",(--TRIM(LEFT(W45,2)))*(--TRIM(LEFT(X45,2)))*(--TRIM(LEFT(Y45,2))))</f>
        <v/>
      </c>
      <c r="AA45" s="21">
        <f>IF(OR(W45="",X45="",Y45=""),"",INDEX(APGrid,COUNTIF(APS,"&gt;"&amp;(--TRIM(LEFT(W45,2))))*5+COUNTIF(APO,"&gt;"&amp;(--TRIM(LEFT(X45,2))))+1,COUNTIF(APD,"&gt;"&amp;(--TRIM(LEFT(Y45,2))))+1))</f>
        <v/>
      </c>
      <c r="AB45" s="5" t="n"/>
      <c r="AC45" s="5" t="n"/>
      <c r="AE45">
        <f>IFERROR(INDEX(EqTag,_xlfn.AGGREGATE(15,6,(ROW(EqTag)-4)/((EqSys=$D$3)*(EqTag&lt;&gt;"")),ROWS($AE$14:AE45))),"")</f>
        <v/>
      </c>
    </row>
    <row r="46" ht="30" customHeight="1">
      <c r="A46" s="21">
        <f>IF(F46="","",LEFT($D$3,3)&amp;"-"&amp;TEXT(COUNTIF(F$14:F46,"?*"),"00"))</f>
        <v/>
      </c>
      <c r="B46" s="5" t="n"/>
      <c r="C46" s="6">
        <f>IF(B46="","",IFERROR(INDEX(EqTypeCol,MATCH(B46,EqTag,0)),"Tag not in register"))</f>
        <v/>
      </c>
      <c r="D46" s="5" t="n"/>
      <c r="E46" s="5" t="n"/>
      <c r="F46" s="5" t="n"/>
      <c r="G46" s="5" t="n"/>
      <c r="H46" s="5" t="n"/>
      <c r="I46" s="5" t="n"/>
      <c r="J46" s="5" t="n"/>
      <c r="K46" s="17" t="n"/>
      <c r="L46" s="5" t="n"/>
      <c r="M46" s="17" t="n"/>
      <c r="N46" s="5" t="n"/>
      <c r="O46" s="17" t="n"/>
      <c r="P46" s="21">
        <f>IF(OR(K46="",M46="",O46=""),"",(--TRIM(LEFT(K46,2)))*(--TRIM(LEFT(M46,2)))*(--TRIM(LEFT(O46,2))))</f>
        <v/>
      </c>
      <c r="Q46" s="21">
        <f>IF(OR(K46="",M46="",O46=""),"",INDEX(APGrid,COUNTIF(APS,"&gt;"&amp;(--TRIM(LEFT(K46,2))))*5+COUNTIF(APO,"&gt;"&amp;(--TRIM(LEFT(M46,2))))+1,COUNTIF(APD,"&gt;"&amp;(--TRIM(LEFT(O46,2))))+1))</f>
        <v/>
      </c>
      <c r="R46" s="21">
        <f>IF(P46="","",IF(OR((--TRIM(LEFT(K46,2)))&gt;=SThr,P46&gt;=RPNThr,Q46="H"),"Yes","No"))</f>
        <v/>
      </c>
      <c r="S46" s="5" t="n"/>
      <c r="T46" s="5" t="n"/>
      <c r="U46" s="5" t="n"/>
      <c r="V46" s="29" t="n"/>
      <c r="W46" s="17" t="n"/>
      <c r="X46" s="17" t="n"/>
      <c r="Y46" s="17" t="n"/>
      <c r="Z46" s="21">
        <f>IF(OR(W46="",X46="",Y46=""),"",(--TRIM(LEFT(W46,2)))*(--TRIM(LEFT(X46,2)))*(--TRIM(LEFT(Y46,2))))</f>
        <v/>
      </c>
      <c r="AA46" s="21">
        <f>IF(OR(W46="",X46="",Y46=""),"",INDEX(APGrid,COUNTIF(APS,"&gt;"&amp;(--TRIM(LEFT(W46,2))))*5+COUNTIF(APO,"&gt;"&amp;(--TRIM(LEFT(X46,2))))+1,COUNTIF(APD,"&gt;"&amp;(--TRIM(LEFT(Y46,2))))+1))</f>
        <v/>
      </c>
      <c r="AB46" s="5" t="n"/>
      <c r="AC46" s="5" t="n"/>
      <c r="AE46">
        <f>IFERROR(INDEX(EqTag,_xlfn.AGGREGATE(15,6,(ROW(EqTag)-4)/((EqSys=$D$3)*(EqTag&lt;&gt;"")),ROWS($AE$14:AE46))),"")</f>
        <v/>
      </c>
    </row>
    <row r="47" ht="30" customHeight="1">
      <c r="A47" s="21">
        <f>IF(F47="","",LEFT($D$3,3)&amp;"-"&amp;TEXT(COUNTIF(F$14:F47,"?*"),"00"))</f>
        <v/>
      </c>
      <c r="B47" s="5" t="n"/>
      <c r="C47" s="6">
        <f>IF(B47="","",IFERROR(INDEX(EqTypeCol,MATCH(B47,EqTag,0)),"Tag not in register"))</f>
        <v/>
      </c>
      <c r="D47" s="5" t="n"/>
      <c r="E47" s="5" t="n"/>
      <c r="F47" s="5" t="n"/>
      <c r="G47" s="5" t="n"/>
      <c r="H47" s="5" t="n"/>
      <c r="I47" s="5" t="n"/>
      <c r="J47" s="5" t="n"/>
      <c r="K47" s="17" t="n"/>
      <c r="L47" s="5" t="n"/>
      <c r="M47" s="17" t="n"/>
      <c r="N47" s="5" t="n"/>
      <c r="O47" s="17" t="n"/>
      <c r="P47" s="21">
        <f>IF(OR(K47="",M47="",O47=""),"",(--TRIM(LEFT(K47,2)))*(--TRIM(LEFT(M47,2)))*(--TRIM(LEFT(O47,2))))</f>
        <v/>
      </c>
      <c r="Q47" s="21">
        <f>IF(OR(K47="",M47="",O47=""),"",INDEX(APGrid,COUNTIF(APS,"&gt;"&amp;(--TRIM(LEFT(K47,2))))*5+COUNTIF(APO,"&gt;"&amp;(--TRIM(LEFT(M47,2))))+1,COUNTIF(APD,"&gt;"&amp;(--TRIM(LEFT(O47,2))))+1))</f>
        <v/>
      </c>
      <c r="R47" s="21">
        <f>IF(P47="","",IF(OR((--TRIM(LEFT(K47,2)))&gt;=SThr,P47&gt;=RPNThr,Q47="H"),"Yes","No"))</f>
        <v/>
      </c>
      <c r="S47" s="5" t="n"/>
      <c r="T47" s="5" t="n"/>
      <c r="U47" s="5" t="n"/>
      <c r="V47" s="29" t="n"/>
      <c r="W47" s="17" t="n"/>
      <c r="X47" s="17" t="n"/>
      <c r="Y47" s="17" t="n"/>
      <c r="Z47" s="21">
        <f>IF(OR(W47="",X47="",Y47=""),"",(--TRIM(LEFT(W47,2)))*(--TRIM(LEFT(X47,2)))*(--TRIM(LEFT(Y47,2))))</f>
        <v/>
      </c>
      <c r="AA47" s="21">
        <f>IF(OR(W47="",X47="",Y47=""),"",INDEX(APGrid,COUNTIF(APS,"&gt;"&amp;(--TRIM(LEFT(W47,2))))*5+COUNTIF(APO,"&gt;"&amp;(--TRIM(LEFT(X47,2))))+1,COUNTIF(APD,"&gt;"&amp;(--TRIM(LEFT(Y47,2))))+1))</f>
        <v/>
      </c>
      <c r="AB47" s="5" t="n"/>
      <c r="AC47" s="5" t="n"/>
      <c r="AE47">
        <f>IFERROR(INDEX(EqTag,_xlfn.AGGREGATE(15,6,(ROW(EqTag)-4)/((EqSys=$D$3)*(EqTag&lt;&gt;"")),ROWS($AE$14:AE47))),"")</f>
        <v/>
      </c>
    </row>
    <row r="48" ht="30" customHeight="1">
      <c r="A48" s="21">
        <f>IF(F48="","",LEFT($D$3,3)&amp;"-"&amp;TEXT(COUNTIF(F$14:F48,"?*"),"00"))</f>
        <v/>
      </c>
      <c r="B48" s="5" t="n"/>
      <c r="C48" s="6">
        <f>IF(B48="","",IFERROR(INDEX(EqTypeCol,MATCH(B48,EqTag,0)),"Tag not in register"))</f>
        <v/>
      </c>
      <c r="D48" s="5" t="n"/>
      <c r="E48" s="5" t="n"/>
      <c r="F48" s="5" t="n"/>
      <c r="G48" s="5" t="n"/>
      <c r="H48" s="5" t="n"/>
      <c r="I48" s="5" t="n"/>
      <c r="J48" s="5" t="n"/>
      <c r="K48" s="17" t="n"/>
      <c r="L48" s="5" t="n"/>
      <c r="M48" s="17" t="n"/>
      <c r="N48" s="5" t="n"/>
      <c r="O48" s="17" t="n"/>
      <c r="P48" s="21">
        <f>IF(OR(K48="",M48="",O48=""),"",(--TRIM(LEFT(K48,2)))*(--TRIM(LEFT(M48,2)))*(--TRIM(LEFT(O48,2))))</f>
        <v/>
      </c>
      <c r="Q48" s="21">
        <f>IF(OR(K48="",M48="",O48=""),"",INDEX(APGrid,COUNTIF(APS,"&gt;"&amp;(--TRIM(LEFT(K48,2))))*5+COUNTIF(APO,"&gt;"&amp;(--TRIM(LEFT(M48,2))))+1,COUNTIF(APD,"&gt;"&amp;(--TRIM(LEFT(O48,2))))+1))</f>
        <v/>
      </c>
      <c r="R48" s="21">
        <f>IF(P48="","",IF(OR((--TRIM(LEFT(K48,2)))&gt;=SThr,P48&gt;=RPNThr,Q48="H"),"Yes","No"))</f>
        <v/>
      </c>
      <c r="S48" s="5" t="n"/>
      <c r="T48" s="5" t="n"/>
      <c r="U48" s="5" t="n"/>
      <c r="V48" s="29" t="n"/>
      <c r="W48" s="17" t="n"/>
      <c r="X48" s="17" t="n"/>
      <c r="Y48" s="17" t="n"/>
      <c r="Z48" s="21">
        <f>IF(OR(W48="",X48="",Y48=""),"",(--TRIM(LEFT(W48,2)))*(--TRIM(LEFT(X48,2)))*(--TRIM(LEFT(Y48,2))))</f>
        <v/>
      </c>
      <c r="AA48" s="21">
        <f>IF(OR(W48="",X48="",Y48=""),"",INDEX(APGrid,COUNTIF(APS,"&gt;"&amp;(--TRIM(LEFT(W48,2))))*5+COUNTIF(APO,"&gt;"&amp;(--TRIM(LEFT(X48,2))))+1,COUNTIF(APD,"&gt;"&amp;(--TRIM(LEFT(Y48,2))))+1))</f>
        <v/>
      </c>
      <c r="AB48" s="5" t="n"/>
      <c r="AC48" s="5" t="n"/>
      <c r="AE48">
        <f>IFERROR(INDEX(EqTag,_xlfn.AGGREGATE(15,6,(ROW(EqTag)-4)/((EqSys=$D$3)*(EqTag&lt;&gt;"")),ROWS($AE$14:AE48))),"")</f>
        <v/>
      </c>
    </row>
    <row r="49" ht="30" customHeight="1">
      <c r="A49" s="21">
        <f>IF(F49="","",LEFT($D$3,3)&amp;"-"&amp;TEXT(COUNTIF(F$14:F49,"?*"),"00"))</f>
        <v/>
      </c>
      <c r="B49" s="5" t="n"/>
      <c r="C49" s="6">
        <f>IF(B49="","",IFERROR(INDEX(EqTypeCol,MATCH(B49,EqTag,0)),"Tag not in register"))</f>
        <v/>
      </c>
      <c r="D49" s="5" t="n"/>
      <c r="E49" s="5" t="n"/>
      <c r="F49" s="5" t="n"/>
      <c r="G49" s="5" t="n"/>
      <c r="H49" s="5" t="n"/>
      <c r="I49" s="5" t="n"/>
      <c r="J49" s="5" t="n"/>
      <c r="K49" s="17" t="n"/>
      <c r="L49" s="5" t="n"/>
      <c r="M49" s="17" t="n"/>
      <c r="N49" s="5" t="n"/>
      <c r="O49" s="17" t="n"/>
      <c r="P49" s="21">
        <f>IF(OR(K49="",M49="",O49=""),"",(--TRIM(LEFT(K49,2)))*(--TRIM(LEFT(M49,2)))*(--TRIM(LEFT(O49,2))))</f>
        <v/>
      </c>
      <c r="Q49" s="21">
        <f>IF(OR(K49="",M49="",O49=""),"",INDEX(APGrid,COUNTIF(APS,"&gt;"&amp;(--TRIM(LEFT(K49,2))))*5+COUNTIF(APO,"&gt;"&amp;(--TRIM(LEFT(M49,2))))+1,COUNTIF(APD,"&gt;"&amp;(--TRIM(LEFT(O49,2))))+1))</f>
        <v/>
      </c>
      <c r="R49" s="21">
        <f>IF(P49="","",IF(OR((--TRIM(LEFT(K49,2)))&gt;=SThr,P49&gt;=RPNThr,Q49="H"),"Yes","No"))</f>
        <v/>
      </c>
      <c r="S49" s="5" t="n"/>
      <c r="T49" s="5" t="n"/>
      <c r="U49" s="5" t="n"/>
      <c r="V49" s="29" t="n"/>
      <c r="W49" s="17" t="n"/>
      <c r="X49" s="17" t="n"/>
      <c r="Y49" s="17" t="n"/>
      <c r="Z49" s="21">
        <f>IF(OR(W49="",X49="",Y49=""),"",(--TRIM(LEFT(W49,2)))*(--TRIM(LEFT(X49,2)))*(--TRIM(LEFT(Y49,2))))</f>
        <v/>
      </c>
      <c r="AA49" s="21">
        <f>IF(OR(W49="",X49="",Y49=""),"",INDEX(APGrid,COUNTIF(APS,"&gt;"&amp;(--TRIM(LEFT(W49,2))))*5+COUNTIF(APO,"&gt;"&amp;(--TRIM(LEFT(X49,2))))+1,COUNTIF(APD,"&gt;"&amp;(--TRIM(LEFT(Y49,2))))+1))</f>
        <v/>
      </c>
      <c r="AB49" s="5" t="n"/>
      <c r="AC49" s="5" t="n"/>
      <c r="AE49">
        <f>IFERROR(INDEX(EqTag,_xlfn.AGGREGATE(15,6,(ROW(EqTag)-4)/((EqSys=$D$3)*(EqTag&lt;&gt;"")),ROWS($AE$14:AE49))),"")</f>
        <v/>
      </c>
    </row>
    <row r="50" ht="30" customHeight="1">
      <c r="A50" s="21">
        <f>IF(F50="","",LEFT($D$3,3)&amp;"-"&amp;TEXT(COUNTIF(F$14:F50,"?*"),"00"))</f>
        <v/>
      </c>
      <c r="B50" s="5" t="n"/>
      <c r="C50" s="6">
        <f>IF(B50="","",IFERROR(INDEX(EqTypeCol,MATCH(B50,EqTag,0)),"Tag not in register"))</f>
        <v/>
      </c>
      <c r="D50" s="5" t="n"/>
      <c r="E50" s="5" t="n"/>
      <c r="F50" s="5" t="n"/>
      <c r="G50" s="5" t="n"/>
      <c r="H50" s="5" t="n"/>
      <c r="I50" s="5" t="n"/>
      <c r="J50" s="5" t="n"/>
      <c r="K50" s="17" t="n"/>
      <c r="L50" s="5" t="n"/>
      <c r="M50" s="17" t="n"/>
      <c r="N50" s="5" t="n"/>
      <c r="O50" s="17" t="n"/>
      <c r="P50" s="21">
        <f>IF(OR(K50="",M50="",O50=""),"",(--TRIM(LEFT(K50,2)))*(--TRIM(LEFT(M50,2)))*(--TRIM(LEFT(O50,2))))</f>
        <v/>
      </c>
      <c r="Q50" s="21">
        <f>IF(OR(K50="",M50="",O50=""),"",INDEX(APGrid,COUNTIF(APS,"&gt;"&amp;(--TRIM(LEFT(K50,2))))*5+COUNTIF(APO,"&gt;"&amp;(--TRIM(LEFT(M50,2))))+1,COUNTIF(APD,"&gt;"&amp;(--TRIM(LEFT(O50,2))))+1))</f>
        <v/>
      </c>
      <c r="R50" s="21">
        <f>IF(P50="","",IF(OR((--TRIM(LEFT(K50,2)))&gt;=SThr,P50&gt;=RPNThr,Q50="H"),"Yes","No"))</f>
        <v/>
      </c>
      <c r="S50" s="5" t="n"/>
      <c r="T50" s="5" t="n"/>
      <c r="U50" s="5" t="n"/>
      <c r="V50" s="29" t="n"/>
      <c r="W50" s="17" t="n"/>
      <c r="X50" s="17" t="n"/>
      <c r="Y50" s="17" t="n"/>
      <c r="Z50" s="21">
        <f>IF(OR(W50="",X50="",Y50=""),"",(--TRIM(LEFT(W50,2)))*(--TRIM(LEFT(X50,2)))*(--TRIM(LEFT(Y50,2))))</f>
        <v/>
      </c>
      <c r="AA50" s="21">
        <f>IF(OR(W50="",X50="",Y50=""),"",INDEX(APGrid,COUNTIF(APS,"&gt;"&amp;(--TRIM(LEFT(W50,2))))*5+COUNTIF(APO,"&gt;"&amp;(--TRIM(LEFT(X50,2))))+1,COUNTIF(APD,"&gt;"&amp;(--TRIM(LEFT(Y50,2))))+1))</f>
        <v/>
      </c>
      <c r="AB50" s="5" t="n"/>
      <c r="AC50" s="5" t="n"/>
      <c r="AE50">
        <f>IFERROR(INDEX(EqTag,_xlfn.AGGREGATE(15,6,(ROW(EqTag)-4)/((EqSys=$D$3)*(EqTag&lt;&gt;"")),ROWS($AE$14:AE50))),"")</f>
        <v/>
      </c>
    </row>
    <row r="51" ht="30" customHeight="1">
      <c r="A51" s="21">
        <f>IF(F51="","",LEFT($D$3,3)&amp;"-"&amp;TEXT(COUNTIF(F$14:F51,"?*"),"00"))</f>
        <v/>
      </c>
      <c r="B51" s="5" t="n"/>
      <c r="C51" s="6">
        <f>IF(B51="","",IFERROR(INDEX(EqTypeCol,MATCH(B51,EqTag,0)),"Tag not in register"))</f>
        <v/>
      </c>
      <c r="D51" s="5" t="n"/>
      <c r="E51" s="5" t="n"/>
      <c r="F51" s="5" t="n"/>
      <c r="G51" s="5" t="n"/>
      <c r="H51" s="5" t="n"/>
      <c r="I51" s="5" t="n"/>
      <c r="J51" s="5" t="n"/>
      <c r="K51" s="17" t="n"/>
      <c r="L51" s="5" t="n"/>
      <c r="M51" s="17" t="n"/>
      <c r="N51" s="5" t="n"/>
      <c r="O51" s="17" t="n"/>
      <c r="P51" s="21">
        <f>IF(OR(K51="",M51="",O51=""),"",(--TRIM(LEFT(K51,2)))*(--TRIM(LEFT(M51,2)))*(--TRIM(LEFT(O51,2))))</f>
        <v/>
      </c>
      <c r="Q51" s="21">
        <f>IF(OR(K51="",M51="",O51=""),"",INDEX(APGrid,COUNTIF(APS,"&gt;"&amp;(--TRIM(LEFT(K51,2))))*5+COUNTIF(APO,"&gt;"&amp;(--TRIM(LEFT(M51,2))))+1,COUNTIF(APD,"&gt;"&amp;(--TRIM(LEFT(O51,2))))+1))</f>
        <v/>
      </c>
      <c r="R51" s="21">
        <f>IF(P51="","",IF(OR((--TRIM(LEFT(K51,2)))&gt;=SThr,P51&gt;=RPNThr,Q51="H"),"Yes","No"))</f>
        <v/>
      </c>
      <c r="S51" s="5" t="n"/>
      <c r="T51" s="5" t="n"/>
      <c r="U51" s="5" t="n"/>
      <c r="V51" s="29" t="n"/>
      <c r="W51" s="17" t="n"/>
      <c r="X51" s="17" t="n"/>
      <c r="Y51" s="17" t="n"/>
      <c r="Z51" s="21">
        <f>IF(OR(W51="",X51="",Y51=""),"",(--TRIM(LEFT(W51,2)))*(--TRIM(LEFT(X51,2)))*(--TRIM(LEFT(Y51,2))))</f>
        <v/>
      </c>
      <c r="AA51" s="21">
        <f>IF(OR(W51="",X51="",Y51=""),"",INDEX(APGrid,COUNTIF(APS,"&gt;"&amp;(--TRIM(LEFT(W51,2))))*5+COUNTIF(APO,"&gt;"&amp;(--TRIM(LEFT(X51,2))))+1,COUNTIF(APD,"&gt;"&amp;(--TRIM(LEFT(Y51,2))))+1))</f>
        <v/>
      </c>
      <c r="AB51" s="5" t="n"/>
      <c r="AC51" s="5" t="n"/>
      <c r="AE51">
        <f>IFERROR(INDEX(EqTag,_xlfn.AGGREGATE(15,6,(ROW(EqTag)-4)/((EqSys=$D$3)*(EqTag&lt;&gt;"")),ROWS($AE$14:AE51))),"")</f>
        <v/>
      </c>
    </row>
    <row r="52" ht="30" customHeight="1">
      <c r="A52" s="21">
        <f>IF(F52="","",LEFT($D$3,3)&amp;"-"&amp;TEXT(COUNTIF(F$14:F52,"?*"),"00"))</f>
        <v/>
      </c>
      <c r="B52" s="5" t="n"/>
      <c r="C52" s="6">
        <f>IF(B52="","",IFERROR(INDEX(EqTypeCol,MATCH(B52,EqTag,0)),"Tag not in register"))</f>
        <v/>
      </c>
      <c r="D52" s="5" t="n"/>
      <c r="E52" s="5" t="n"/>
      <c r="F52" s="5" t="n"/>
      <c r="G52" s="5" t="n"/>
      <c r="H52" s="5" t="n"/>
      <c r="I52" s="5" t="n"/>
      <c r="J52" s="5" t="n"/>
      <c r="K52" s="17" t="n"/>
      <c r="L52" s="5" t="n"/>
      <c r="M52" s="17" t="n"/>
      <c r="N52" s="5" t="n"/>
      <c r="O52" s="17" t="n"/>
      <c r="P52" s="21">
        <f>IF(OR(K52="",M52="",O52=""),"",(--TRIM(LEFT(K52,2)))*(--TRIM(LEFT(M52,2)))*(--TRIM(LEFT(O52,2))))</f>
        <v/>
      </c>
      <c r="Q52" s="21">
        <f>IF(OR(K52="",M52="",O52=""),"",INDEX(APGrid,COUNTIF(APS,"&gt;"&amp;(--TRIM(LEFT(K52,2))))*5+COUNTIF(APO,"&gt;"&amp;(--TRIM(LEFT(M52,2))))+1,COUNTIF(APD,"&gt;"&amp;(--TRIM(LEFT(O52,2))))+1))</f>
        <v/>
      </c>
      <c r="R52" s="21">
        <f>IF(P52="","",IF(OR((--TRIM(LEFT(K52,2)))&gt;=SThr,P52&gt;=RPNThr,Q52="H"),"Yes","No"))</f>
        <v/>
      </c>
      <c r="S52" s="5" t="n"/>
      <c r="T52" s="5" t="n"/>
      <c r="U52" s="5" t="n"/>
      <c r="V52" s="29" t="n"/>
      <c r="W52" s="17" t="n"/>
      <c r="X52" s="17" t="n"/>
      <c r="Y52" s="17" t="n"/>
      <c r="Z52" s="21">
        <f>IF(OR(W52="",X52="",Y52=""),"",(--TRIM(LEFT(W52,2)))*(--TRIM(LEFT(X52,2)))*(--TRIM(LEFT(Y52,2))))</f>
        <v/>
      </c>
      <c r="AA52" s="21">
        <f>IF(OR(W52="",X52="",Y52=""),"",INDEX(APGrid,COUNTIF(APS,"&gt;"&amp;(--TRIM(LEFT(W52,2))))*5+COUNTIF(APO,"&gt;"&amp;(--TRIM(LEFT(X52,2))))+1,COUNTIF(APD,"&gt;"&amp;(--TRIM(LEFT(Y52,2))))+1))</f>
        <v/>
      </c>
      <c r="AB52" s="5" t="n"/>
      <c r="AC52" s="5" t="n"/>
      <c r="AE52">
        <f>IFERROR(INDEX(EqTag,_xlfn.AGGREGATE(15,6,(ROW(EqTag)-4)/((EqSys=$D$3)*(EqTag&lt;&gt;"")),ROWS($AE$14:AE52))),"")</f>
        <v/>
      </c>
    </row>
    <row r="53" ht="30" customHeight="1">
      <c r="A53" s="21">
        <f>IF(F53="","",LEFT($D$3,3)&amp;"-"&amp;TEXT(COUNTIF(F$14:F53,"?*"),"00"))</f>
        <v/>
      </c>
      <c r="B53" s="5" t="n"/>
      <c r="C53" s="6">
        <f>IF(B53="","",IFERROR(INDEX(EqTypeCol,MATCH(B53,EqTag,0)),"Tag not in register"))</f>
        <v/>
      </c>
      <c r="D53" s="5" t="n"/>
      <c r="E53" s="5" t="n"/>
      <c r="F53" s="5" t="n"/>
      <c r="G53" s="5" t="n"/>
      <c r="H53" s="5" t="n"/>
      <c r="I53" s="5" t="n"/>
      <c r="J53" s="5" t="n"/>
      <c r="K53" s="17" t="n"/>
      <c r="L53" s="5" t="n"/>
      <c r="M53" s="17" t="n"/>
      <c r="N53" s="5" t="n"/>
      <c r="O53" s="17" t="n"/>
      <c r="P53" s="21">
        <f>IF(OR(K53="",M53="",O53=""),"",(--TRIM(LEFT(K53,2)))*(--TRIM(LEFT(M53,2)))*(--TRIM(LEFT(O53,2))))</f>
        <v/>
      </c>
      <c r="Q53" s="21">
        <f>IF(OR(K53="",M53="",O53=""),"",INDEX(APGrid,COUNTIF(APS,"&gt;"&amp;(--TRIM(LEFT(K53,2))))*5+COUNTIF(APO,"&gt;"&amp;(--TRIM(LEFT(M53,2))))+1,COUNTIF(APD,"&gt;"&amp;(--TRIM(LEFT(O53,2))))+1))</f>
        <v/>
      </c>
      <c r="R53" s="21">
        <f>IF(P53="","",IF(OR((--TRIM(LEFT(K53,2)))&gt;=SThr,P53&gt;=RPNThr,Q53="H"),"Yes","No"))</f>
        <v/>
      </c>
      <c r="S53" s="5" t="n"/>
      <c r="T53" s="5" t="n"/>
      <c r="U53" s="5" t="n"/>
      <c r="V53" s="29" t="n"/>
      <c r="W53" s="17" t="n"/>
      <c r="X53" s="17" t="n"/>
      <c r="Y53" s="17" t="n"/>
      <c r="Z53" s="21">
        <f>IF(OR(W53="",X53="",Y53=""),"",(--TRIM(LEFT(W53,2)))*(--TRIM(LEFT(X53,2)))*(--TRIM(LEFT(Y53,2))))</f>
        <v/>
      </c>
      <c r="AA53" s="21">
        <f>IF(OR(W53="",X53="",Y53=""),"",INDEX(APGrid,COUNTIF(APS,"&gt;"&amp;(--TRIM(LEFT(W53,2))))*5+COUNTIF(APO,"&gt;"&amp;(--TRIM(LEFT(X53,2))))+1,COUNTIF(APD,"&gt;"&amp;(--TRIM(LEFT(Y53,2))))+1))</f>
        <v/>
      </c>
      <c r="AB53" s="5" t="n"/>
      <c r="AC53" s="5" t="n"/>
      <c r="AE53">
        <f>IFERROR(INDEX(EqTag,_xlfn.AGGREGATE(15,6,(ROW(EqTag)-4)/((EqSys=$D$3)*(EqTag&lt;&gt;"")),ROWS($AE$14:AE53))),"")</f>
        <v/>
      </c>
    </row>
    <row r="54" ht="30" customHeight="1">
      <c r="A54" s="21">
        <f>IF(F54="","",LEFT($D$3,3)&amp;"-"&amp;TEXT(COUNTIF(F$14:F54,"?*"),"00"))</f>
        <v/>
      </c>
      <c r="B54" s="5" t="n"/>
      <c r="C54" s="6">
        <f>IF(B54="","",IFERROR(INDEX(EqTypeCol,MATCH(B54,EqTag,0)),"Tag not in register"))</f>
        <v/>
      </c>
      <c r="D54" s="5" t="n"/>
      <c r="E54" s="5" t="n"/>
      <c r="F54" s="5" t="n"/>
      <c r="G54" s="5" t="n"/>
      <c r="H54" s="5" t="n"/>
      <c r="I54" s="5" t="n"/>
      <c r="J54" s="5" t="n"/>
      <c r="K54" s="17" t="n"/>
      <c r="L54" s="5" t="n"/>
      <c r="M54" s="17" t="n"/>
      <c r="N54" s="5" t="n"/>
      <c r="O54" s="17" t="n"/>
      <c r="P54" s="21">
        <f>IF(OR(K54="",M54="",O54=""),"",(--TRIM(LEFT(K54,2)))*(--TRIM(LEFT(M54,2)))*(--TRIM(LEFT(O54,2))))</f>
        <v/>
      </c>
      <c r="Q54" s="21">
        <f>IF(OR(K54="",M54="",O54=""),"",INDEX(APGrid,COUNTIF(APS,"&gt;"&amp;(--TRIM(LEFT(K54,2))))*5+COUNTIF(APO,"&gt;"&amp;(--TRIM(LEFT(M54,2))))+1,COUNTIF(APD,"&gt;"&amp;(--TRIM(LEFT(O54,2))))+1))</f>
        <v/>
      </c>
      <c r="R54" s="21">
        <f>IF(P54="","",IF(OR((--TRIM(LEFT(K54,2)))&gt;=SThr,P54&gt;=RPNThr,Q54="H"),"Yes","No"))</f>
        <v/>
      </c>
      <c r="S54" s="5" t="n"/>
      <c r="T54" s="5" t="n"/>
      <c r="U54" s="5" t="n"/>
      <c r="V54" s="29" t="n"/>
      <c r="W54" s="17" t="n"/>
      <c r="X54" s="17" t="n"/>
      <c r="Y54" s="17" t="n"/>
      <c r="Z54" s="21">
        <f>IF(OR(W54="",X54="",Y54=""),"",(--TRIM(LEFT(W54,2)))*(--TRIM(LEFT(X54,2)))*(--TRIM(LEFT(Y54,2))))</f>
        <v/>
      </c>
      <c r="AA54" s="21">
        <f>IF(OR(W54="",X54="",Y54=""),"",INDEX(APGrid,COUNTIF(APS,"&gt;"&amp;(--TRIM(LEFT(W54,2))))*5+COUNTIF(APO,"&gt;"&amp;(--TRIM(LEFT(X54,2))))+1,COUNTIF(APD,"&gt;"&amp;(--TRIM(LEFT(Y54,2))))+1))</f>
        <v/>
      </c>
      <c r="AB54" s="5" t="n"/>
      <c r="AC54" s="5" t="n"/>
      <c r="AE54">
        <f>IFERROR(INDEX(EqTag,_xlfn.AGGREGATE(15,6,(ROW(EqTag)-4)/((EqSys=$D$3)*(EqTag&lt;&gt;"")),ROWS($AE$14:AE54))),"")</f>
        <v/>
      </c>
    </row>
    <row r="55" ht="30" customHeight="1">
      <c r="A55" s="21">
        <f>IF(F55="","",LEFT($D$3,3)&amp;"-"&amp;TEXT(COUNTIF(F$14:F55,"?*"),"00"))</f>
        <v/>
      </c>
      <c r="B55" s="5" t="n"/>
      <c r="C55" s="6">
        <f>IF(B55="","",IFERROR(INDEX(EqTypeCol,MATCH(B55,EqTag,0)),"Tag not in register"))</f>
        <v/>
      </c>
      <c r="D55" s="5" t="n"/>
      <c r="E55" s="5" t="n"/>
      <c r="F55" s="5" t="n"/>
      <c r="G55" s="5" t="n"/>
      <c r="H55" s="5" t="n"/>
      <c r="I55" s="5" t="n"/>
      <c r="J55" s="5" t="n"/>
      <c r="K55" s="17" t="n"/>
      <c r="L55" s="5" t="n"/>
      <c r="M55" s="17" t="n"/>
      <c r="N55" s="5" t="n"/>
      <c r="O55" s="17" t="n"/>
      <c r="P55" s="21">
        <f>IF(OR(K55="",M55="",O55=""),"",(--TRIM(LEFT(K55,2)))*(--TRIM(LEFT(M55,2)))*(--TRIM(LEFT(O55,2))))</f>
        <v/>
      </c>
      <c r="Q55" s="21">
        <f>IF(OR(K55="",M55="",O55=""),"",INDEX(APGrid,COUNTIF(APS,"&gt;"&amp;(--TRIM(LEFT(K55,2))))*5+COUNTIF(APO,"&gt;"&amp;(--TRIM(LEFT(M55,2))))+1,COUNTIF(APD,"&gt;"&amp;(--TRIM(LEFT(O55,2))))+1))</f>
        <v/>
      </c>
      <c r="R55" s="21">
        <f>IF(P55="","",IF(OR((--TRIM(LEFT(K55,2)))&gt;=SThr,P55&gt;=RPNThr,Q55="H"),"Yes","No"))</f>
        <v/>
      </c>
      <c r="S55" s="5" t="n"/>
      <c r="T55" s="5" t="n"/>
      <c r="U55" s="5" t="n"/>
      <c r="V55" s="29" t="n"/>
      <c r="W55" s="17" t="n"/>
      <c r="X55" s="17" t="n"/>
      <c r="Y55" s="17" t="n"/>
      <c r="Z55" s="21">
        <f>IF(OR(W55="",X55="",Y55=""),"",(--TRIM(LEFT(W55,2)))*(--TRIM(LEFT(X55,2)))*(--TRIM(LEFT(Y55,2))))</f>
        <v/>
      </c>
      <c r="AA55" s="21">
        <f>IF(OR(W55="",X55="",Y55=""),"",INDEX(APGrid,COUNTIF(APS,"&gt;"&amp;(--TRIM(LEFT(W55,2))))*5+COUNTIF(APO,"&gt;"&amp;(--TRIM(LEFT(X55,2))))+1,COUNTIF(APD,"&gt;"&amp;(--TRIM(LEFT(Y55,2))))+1))</f>
        <v/>
      </c>
      <c r="AB55" s="5" t="n"/>
      <c r="AC55" s="5" t="n"/>
      <c r="AE55">
        <f>IFERROR(INDEX(EqTag,_xlfn.AGGREGATE(15,6,(ROW(EqTag)-4)/((EqSys=$D$3)*(EqTag&lt;&gt;"")),ROWS($AE$14:AE55))),"")</f>
        <v/>
      </c>
    </row>
    <row r="56" ht="30" customHeight="1">
      <c r="A56" s="21">
        <f>IF(F56="","",LEFT($D$3,3)&amp;"-"&amp;TEXT(COUNTIF(F$14:F56,"?*"),"00"))</f>
        <v/>
      </c>
      <c r="B56" s="5" t="n"/>
      <c r="C56" s="6">
        <f>IF(B56="","",IFERROR(INDEX(EqTypeCol,MATCH(B56,EqTag,0)),"Tag not in register"))</f>
        <v/>
      </c>
      <c r="D56" s="5" t="n"/>
      <c r="E56" s="5" t="n"/>
      <c r="F56" s="5" t="n"/>
      <c r="G56" s="5" t="n"/>
      <c r="H56" s="5" t="n"/>
      <c r="I56" s="5" t="n"/>
      <c r="J56" s="5" t="n"/>
      <c r="K56" s="17" t="n"/>
      <c r="L56" s="5" t="n"/>
      <c r="M56" s="17" t="n"/>
      <c r="N56" s="5" t="n"/>
      <c r="O56" s="17" t="n"/>
      <c r="P56" s="21">
        <f>IF(OR(K56="",M56="",O56=""),"",(--TRIM(LEFT(K56,2)))*(--TRIM(LEFT(M56,2)))*(--TRIM(LEFT(O56,2))))</f>
        <v/>
      </c>
      <c r="Q56" s="21">
        <f>IF(OR(K56="",M56="",O56=""),"",INDEX(APGrid,COUNTIF(APS,"&gt;"&amp;(--TRIM(LEFT(K56,2))))*5+COUNTIF(APO,"&gt;"&amp;(--TRIM(LEFT(M56,2))))+1,COUNTIF(APD,"&gt;"&amp;(--TRIM(LEFT(O56,2))))+1))</f>
        <v/>
      </c>
      <c r="R56" s="21">
        <f>IF(P56="","",IF(OR((--TRIM(LEFT(K56,2)))&gt;=SThr,P56&gt;=RPNThr,Q56="H"),"Yes","No"))</f>
        <v/>
      </c>
      <c r="S56" s="5" t="n"/>
      <c r="T56" s="5" t="n"/>
      <c r="U56" s="5" t="n"/>
      <c r="V56" s="29" t="n"/>
      <c r="W56" s="17" t="n"/>
      <c r="X56" s="17" t="n"/>
      <c r="Y56" s="17" t="n"/>
      <c r="Z56" s="21">
        <f>IF(OR(W56="",X56="",Y56=""),"",(--TRIM(LEFT(W56,2)))*(--TRIM(LEFT(X56,2)))*(--TRIM(LEFT(Y56,2))))</f>
        <v/>
      </c>
      <c r="AA56" s="21">
        <f>IF(OR(W56="",X56="",Y56=""),"",INDEX(APGrid,COUNTIF(APS,"&gt;"&amp;(--TRIM(LEFT(W56,2))))*5+COUNTIF(APO,"&gt;"&amp;(--TRIM(LEFT(X56,2))))+1,COUNTIF(APD,"&gt;"&amp;(--TRIM(LEFT(Y56,2))))+1))</f>
        <v/>
      </c>
      <c r="AB56" s="5" t="n"/>
      <c r="AC56" s="5" t="n"/>
      <c r="AE56">
        <f>IFERROR(INDEX(EqTag,_xlfn.AGGREGATE(15,6,(ROW(EqTag)-4)/((EqSys=$D$3)*(EqTag&lt;&gt;"")),ROWS($AE$14:AE56))),"")</f>
        <v/>
      </c>
    </row>
    <row r="57" ht="30" customHeight="1">
      <c r="A57" s="21">
        <f>IF(F57="","",LEFT($D$3,3)&amp;"-"&amp;TEXT(COUNTIF(F$14:F57,"?*"),"00"))</f>
        <v/>
      </c>
      <c r="B57" s="5" t="n"/>
      <c r="C57" s="6">
        <f>IF(B57="","",IFERROR(INDEX(EqTypeCol,MATCH(B57,EqTag,0)),"Tag not in register"))</f>
        <v/>
      </c>
      <c r="D57" s="5" t="n"/>
      <c r="E57" s="5" t="n"/>
      <c r="F57" s="5" t="n"/>
      <c r="G57" s="5" t="n"/>
      <c r="H57" s="5" t="n"/>
      <c r="I57" s="5" t="n"/>
      <c r="J57" s="5" t="n"/>
      <c r="K57" s="17" t="n"/>
      <c r="L57" s="5" t="n"/>
      <c r="M57" s="17" t="n"/>
      <c r="N57" s="5" t="n"/>
      <c r="O57" s="17" t="n"/>
      <c r="P57" s="21">
        <f>IF(OR(K57="",M57="",O57=""),"",(--TRIM(LEFT(K57,2)))*(--TRIM(LEFT(M57,2)))*(--TRIM(LEFT(O57,2))))</f>
        <v/>
      </c>
      <c r="Q57" s="21">
        <f>IF(OR(K57="",M57="",O57=""),"",INDEX(APGrid,COUNTIF(APS,"&gt;"&amp;(--TRIM(LEFT(K57,2))))*5+COUNTIF(APO,"&gt;"&amp;(--TRIM(LEFT(M57,2))))+1,COUNTIF(APD,"&gt;"&amp;(--TRIM(LEFT(O57,2))))+1))</f>
        <v/>
      </c>
      <c r="R57" s="21">
        <f>IF(P57="","",IF(OR((--TRIM(LEFT(K57,2)))&gt;=SThr,P57&gt;=RPNThr,Q57="H"),"Yes","No"))</f>
        <v/>
      </c>
      <c r="S57" s="5" t="n"/>
      <c r="T57" s="5" t="n"/>
      <c r="U57" s="5" t="n"/>
      <c r="V57" s="29" t="n"/>
      <c r="W57" s="17" t="n"/>
      <c r="X57" s="17" t="n"/>
      <c r="Y57" s="17" t="n"/>
      <c r="Z57" s="21">
        <f>IF(OR(W57="",X57="",Y57=""),"",(--TRIM(LEFT(W57,2)))*(--TRIM(LEFT(X57,2)))*(--TRIM(LEFT(Y57,2))))</f>
        <v/>
      </c>
      <c r="AA57" s="21">
        <f>IF(OR(W57="",X57="",Y57=""),"",INDEX(APGrid,COUNTIF(APS,"&gt;"&amp;(--TRIM(LEFT(W57,2))))*5+COUNTIF(APO,"&gt;"&amp;(--TRIM(LEFT(X57,2))))+1,COUNTIF(APD,"&gt;"&amp;(--TRIM(LEFT(Y57,2))))+1))</f>
        <v/>
      </c>
      <c r="AB57" s="5" t="n"/>
      <c r="AC57" s="5" t="n"/>
      <c r="AE57">
        <f>IFERROR(INDEX(EqTag,_xlfn.AGGREGATE(15,6,(ROW(EqTag)-4)/((EqSys=$D$3)*(EqTag&lt;&gt;"")),ROWS($AE$14:AE57))),"")</f>
        <v/>
      </c>
    </row>
    <row r="58" ht="30" customHeight="1">
      <c r="A58" s="21">
        <f>IF(F58="","",LEFT($D$3,3)&amp;"-"&amp;TEXT(COUNTIF(F$14:F58,"?*"),"00"))</f>
        <v/>
      </c>
      <c r="B58" s="5" t="n"/>
      <c r="C58" s="6">
        <f>IF(B58="","",IFERROR(INDEX(EqTypeCol,MATCH(B58,EqTag,0)),"Tag not in register"))</f>
        <v/>
      </c>
      <c r="D58" s="5" t="n"/>
      <c r="E58" s="5" t="n"/>
      <c r="F58" s="5" t="n"/>
      <c r="G58" s="5" t="n"/>
      <c r="H58" s="5" t="n"/>
      <c r="I58" s="5" t="n"/>
      <c r="J58" s="5" t="n"/>
      <c r="K58" s="17" t="n"/>
      <c r="L58" s="5" t="n"/>
      <c r="M58" s="17" t="n"/>
      <c r="N58" s="5" t="n"/>
      <c r="O58" s="17" t="n"/>
      <c r="P58" s="21">
        <f>IF(OR(K58="",M58="",O58=""),"",(--TRIM(LEFT(K58,2)))*(--TRIM(LEFT(M58,2)))*(--TRIM(LEFT(O58,2))))</f>
        <v/>
      </c>
      <c r="Q58" s="21">
        <f>IF(OR(K58="",M58="",O58=""),"",INDEX(APGrid,COUNTIF(APS,"&gt;"&amp;(--TRIM(LEFT(K58,2))))*5+COUNTIF(APO,"&gt;"&amp;(--TRIM(LEFT(M58,2))))+1,COUNTIF(APD,"&gt;"&amp;(--TRIM(LEFT(O58,2))))+1))</f>
        <v/>
      </c>
      <c r="R58" s="21">
        <f>IF(P58="","",IF(OR((--TRIM(LEFT(K58,2)))&gt;=SThr,P58&gt;=RPNThr,Q58="H"),"Yes","No"))</f>
        <v/>
      </c>
      <c r="S58" s="5" t="n"/>
      <c r="T58" s="5" t="n"/>
      <c r="U58" s="5" t="n"/>
      <c r="V58" s="29" t="n"/>
      <c r="W58" s="17" t="n"/>
      <c r="X58" s="17" t="n"/>
      <c r="Y58" s="17" t="n"/>
      <c r="Z58" s="21">
        <f>IF(OR(W58="",X58="",Y58=""),"",(--TRIM(LEFT(W58,2)))*(--TRIM(LEFT(X58,2)))*(--TRIM(LEFT(Y58,2))))</f>
        <v/>
      </c>
      <c r="AA58" s="21">
        <f>IF(OR(W58="",X58="",Y58=""),"",INDEX(APGrid,COUNTIF(APS,"&gt;"&amp;(--TRIM(LEFT(W58,2))))*5+COUNTIF(APO,"&gt;"&amp;(--TRIM(LEFT(X58,2))))+1,COUNTIF(APD,"&gt;"&amp;(--TRIM(LEFT(Y58,2))))+1))</f>
        <v/>
      </c>
      <c r="AB58" s="5" t="n"/>
      <c r="AC58" s="5" t="n"/>
      <c r="AE58">
        <f>IFERROR(INDEX(EqTag,_xlfn.AGGREGATE(15,6,(ROW(EqTag)-4)/((EqSys=$D$3)*(EqTag&lt;&gt;"")),ROWS($AE$14:AE58))),"")</f>
        <v/>
      </c>
    </row>
    <row r="59" ht="30" customHeight="1">
      <c r="A59" s="21">
        <f>IF(F59="","",LEFT($D$3,3)&amp;"-"&amp;TEXT(COUNTIF(F$14:F59,"?*"),"00"))</f>
        <v/>
      </c>
      <c r="B59" s="5" t="n"/>
      <c r="C59" s="6">
        <f>IF(B59="","",IFERROR(INDEX(EqTypeCol,MATCH(B59,EqTag,0)),"Tag not in register"))</f>
        <v/>
      </c>
      <c r="D59" s="5" t="n"/>
      <c r="E59" s="5" t="n"/>
      <c r="F59" s="5" t="n"/>
      <c r="G59" s="5" t="n"/>
      <c r="H59" s="5" t="n"/>
      <c r="I59" s="5" t="n"/>
      <c r="J59" s="5" t="n"/>
      <c r="K59" s="17" t="n"/>
      <c r="L59" s="5" t="n"/>
      <c r="M59" s="17" t="n"/>
      <c r="N59" s="5" t="n"/>
      <c r="O59" s="17" t="n"/>
      <c r="P59" s="21">
        <f>IF(OR(K59="",M59="",O59=""),"",(--TRIM(LEFT(K59,2)))*(--TRIM(LEFT(M59,2)))*(--TRIM(LEFT(O59,2))))</f>
        <v/>
      </c>
      <c r="Q59" s="21">
        <f>IF(OR(K59="",M59="",O59=""),"",INDEX(APGrid,COUNTIF(APS,"&gt;"&amp;(--TRIM(LEFT(K59,2))))*5+COUNTIF(APO,"&gt;"&amp;(--TRIM(LEFT(M59,2))))+1,COUNTIF(APD,"&gt;"&amp;(--TRIM(LEFT(O59,2))))+1))</f>
        <v/>
      </c>
      <c r="R59" s="21">
        <f>IF(P59="","",IF(OR((--TRIM(LEFT(K59,2)))&gt;=SThr,P59&gt;=RPNThr,Q59="H"),"Yes","No"))</f>
        <v/>
      </c>
      <c r="S59" s="5" t="n"/>
      <c r="T59" s="5" t="n"/>
      <c r="U59" s="5" t="n"/>
      <c r="V59" s="29" t="n"/>
      <c r="W59" s="17" t="n"/>
      <c r="X59" s="17" t="n"/>
      <c r="Y59" s="17" t="n"/>
      <c r="Z59" s="21">
        <f>IF(OR(W59="",X59="",Y59=""),"",(--TRIM(LEFT(W59,2)))*(--TRIM(LEFT(X59,2)))*(--TRIM(LEFT(Y59,2))))</f>
        <v/>
      </c>
      <c r="AA59" s="21">
        <f>IF(OR(W59="",X59="",Y59=""),"",INDEX(APGrid,COUNTIF(APS,"&gt;"&amp;(--TRIM(LEFT(W59,2))))*5+COUNTIF(APO,"&gt;"&amp;(--TRIM(LEFT(X59,2))))+1,COUNTIF(APD,"&gt;"&amp;(--TRIM(LEFT(Y59,2))))+1))</f>
        <v/>
      </c>
      <c r="AB59" s="5" t="n"/>
      <c r="AC59" s="5" t="n"/>
      <c r="AE59">
        <f>IFERROR(INDEX(EqTag,_xlfn.AGGREGATE(15,6,(ROW(EqTag)-4)/((EqSys=$D$3)*(EqTag&lt;&gt;"")),ROWS($AE$14:AE59))),"")</f>
        <v/>
      </c>
    </row>
    <row r="60" ht="30" customHeight="1">
      <c r="A60" s="21">
        <f>IF(F60="","",LEFT($D$3,3)&amp;"-"&amp;TEXT(COUNTIF(F$14:F60,"?*"),"00"))</f>
        <v/>
      </c>
      <c r="B60" s="5" t="n"/>
      <c r="C60" s="6">
        <f>IF(B60="","",IFERROR(INDEX(EqTypeCol,MATCH(B60,EqTag,0)),"Tag not in register"))</f>
        <v/>
      </c>
      <c r="D60" s="5" t="n"/>
      <c r="E60" s="5" t="n"/>
      <c r="F60" s="5" t="n"/>
      <c r="G60" s="5" t="n"/>
      <c r="H60" s="5" t="n"/>
      <c r="I60" s="5" t="n"/>
      <c r="J60" s="5" t="n"/>
      <c r="K60" s="17" t="n"/>
      <c r="L60" s="5" t="n"/>
      <c r="M60" s="17" t="n"/>
      <c r="N60" s="5" t="n"/>
      <c r="O60" s="17" t="n"/>
      <c r="P60" s="21">
        <f>IF(OR(K60="",M60="",O60=""),"",(--TRIM(LEFT(K60,2)))*(--TRIM(LEFT(M60,2)))*(--TRIM(LEFT(O60,2))))</f>
        <v/>
      </c>
      <c r="Q60" s="21">
        <f>IF(OR(K60="",M60="",O60=""),"",INDEX(APGrid,COUNTIF(APS,"&gt;"&amp;(--TRIM(LEFT(K60,2))))*5+COUNTIF(APO,"&gt;"&amp;(--TRIM(LEFT(M60,2))))+1,COUNTIF(APD,"&gt;"&amp;(--TRIM(LEFT(O60,2))))+1))</f>
        <v/>
      </c>
      <c r="R60" s="21">
        <f>IF(P60="","",IF(OR((--TRIM(LEFT(K60,2)))&gt;=SThr,P60&gt;=RPNThr,Q60="H"),"Yes","No"))</f>
        <v/>
      </c>
      <c r="S60" s="5" t="n"/>
      <c r="T60" s="5" t="n"/>
      <c r="U60" s="5" t="n"/>
      <c r="V60" s="29" t="n"/>
      <c r="W60" s="17" t="n"/>
      <c r="X60" s="17" t="n"/>
      <c r="Y60" s="17" t="n"/>
      <c r="Z60" s="21">
        <f>IF(OR(W60="",X60="",Y60=""),"",(--TRIM(LEFT(W60,2)))*(--TRIM(LEFT(X60,2)))*(--TRIM(LEFT(Y60,2))))</f>
        <v/>
      </c>
      <c r="AA60" s="21">
        <f>IF(OR(W60="",X60="",Y60=""),"",INDEX(APGrid,COUNTIF(APS,"&gt;"&amp;(--TRIM(LEFT(W60,2))))*5+COUNTIF(APO,"&gt;"&amp;(--TRIM(LEFT(X60,2))))+1,COUNTIF(APD,"&gt;"&amp;(--TRIM(LEFT(Y60,2))))+1))</f>
        <v/>
      </c>
      <c r="AB60" s="5" t="n"/>
      <c r="AC60" s="5" t="n"/>
      <c r="AE60">
        <f>IFERROR(INDEX(EqTag,_xlfn.AGGREGATE(15,6,(ROW(EqTag)-4)/((EqSys=$D$3)*(EqTag&lt;&gt;"")),ROWS($AE$14:AE60))),"")</f>
        <v/>
      </c>
    </row>
    <row r="61" ht="30" customHeight="1">
      <c r="A61" s="21">
        <f>IF(F61="","",LEFT($D$3,3)&amp;"-"&amp;TEXT(COUNTIF(F$14:F61,"?*"),"00"))</f>
        <v/>
      </c>
      <c r="B61" s="5" t="n"/>
      <c r="C61" s="6">
        <f>IF(B61="","",IFERROR(INDEX(EqTypeCol,MATCH(B61,EqTag,0)),"Tag not in register"))</f>
        <v/>
      </c>
      <c r="D61" s="5" t="n"/>
      <c r="E61" s="5" t="n"/>
      <c r="F61" s="5" t="n"/>
      <c r="G61" s="5" t="n"/>
      <c r="H61" s="5" t="n"/>
      <c r="I61" s="5" t="n"/>
      <c r="J61" s="5" t="n"/>
      <c r="K61" s="17" t="n"/>
      <c r="L61" s="5" t="n"/>
      <c r="M61" s="17" t="n"/>
      <c r="N61" s="5" t="n"/>
      <c r="O61" s="17" t="n"/>
      <c r="P61" s="21">
        <f>IF(OR(K61="",M61="",O61=""),"",(--TRIM(LEFT(K61,2)))*(--TRIM(LEFT(M61,2)))*(--TRIM(LEFT(O61,2))))</f>
        <v/>
      </c>
      <c r="Q61" s="21">
        <f>IF(OR(K61="",M61="",O61=""),"",INDEX(APGrid,COUNTIF(APS,"&gt;"&amp;(--TRIM(LEFT(K61,2))))*5+COUNTIF(APO,"&gt;"&amp;(--TRIM(LEFT(M61,2))))+1,COUNTIF(APD,"&gt;"&amp;(--TRIM(LEFT(O61,2))))+1))</f>
        <v/>
      </c>
      <c r="R61" s="21">
        <f>IF(P61="","",IF(OR((--TRIM(LEFT(K61,2)))&gt;=SThr,P61&gt;=RPNThr,Q61="H"),"Yes","No"))</f>
        <v/>
      </c>
      <c r="S61" s="5" t="n"/>
      <c r="T61" s="5" t="n"/>
      <c r="U61" s="5" t="n"/>
      <c r="V61" s="29" t="n"/>
      <c r="W61" s="17" t="n"/>
      <c r="X61" s="17" t="n"/>
      <c r="Y61" s="17" t="n"/>
      <c r="Z61" s="21">
        <f>IF(OR(W61="",X61="",Y61=""),"",(--TRIM(LEFT(W61,2)))*(--TRIM(LEFT(X61,2)))*(--TRIM(LEFT(Y61,2))))</f>
        <v/>
      </c>
      <c r="AA61" s="21">
        <f>IF(OR(W61="",X61="",Y61=""),"",INDEX(APGrid,COUNTIF(APS,"&gt;"&amp;(--TRIM(LEFT(W61,2))))*5+COUNTIF(APO,"&gt;"&amp;(--TRIM(LEFT(X61,2))))+1,COUNTIF(APD,"&gt;"&amp;(--TRIM(LEFT(Y61,2))))+1))</f>
        <v/>
      </c>
      <c r="AB61" s="5" t="n"/>
      <c r="AC61" s="5" t="n"/>
      <c r="AE61">
        <f>IFERROR(INDEX(EqTag,_xlfn.AGGREGATE(15,6,(ROW(EqTag)-4)/((EqSys=$D$3)*(EqTag&lt;&gt;"")),ROWS($AE$14:AE61))),"")</f>
        <v/>
      </c>
    </row>
    <row r="62" ht="30" customHeight="1">
      <c r="A62" s="21">
        <f>IF(F62="","",LEFT($D$3,3)&amp;"-"&amp;TEXT(COUNTIF(F$14:F62,"?*"),"00"))</f>
        <v/>
      </c>
      <c r="B62" s="5" t="n"/>
      <c r="C62" s="6">
        <f>IF(B62="","",IFERROR(INDEX(EqTypeCol,MATCH(B62,EqTag,0)),"Tag not in register"))</f>
        <v/>
      </c>
      <c r="D62" s="5" t="n"/>
      <c r="E62" s="5" t="n"/>
      <c r="F62" s="5" t="n"/>
      <c r="G62" s="5" t="n"/>
      <c r="H62" s="5" t="n"/>
      <c r="I62" s="5" t="n"/>
      <c r="J62" s="5" t="n"/>
      <c r="K62" s="17" t="n"/>
      <c r="L62" s="5" t="n"/>
      <c r="M62" s="17" t="n"/>
      <c r="N62" s="5" t="n"/>
      <c r="O62" s="17" t="n"/>
      <c r="P62" s="21">
        <f>IF(OR(K62="",M62="",O62=""),"",(--TRIM(LEFT(K62,2)))*(--TRIM(LEFT(M62,2)))*(--TRIM(LEFT(O62,2))))</f>
        <v/>
      </c>
      <c r="Q62" s="21">
        <f>IF(OR(K62="",M62="",O62=""),"",INDEX(APGrid,COUNTIF(APS,"&gt;"&amp;(--TRIM(LEFT(K62,2))))*5+COUNTIF(APO,"&gt;"&amp;(--TRIM(LEFT(M62,2))))+1,COUNTIF(APD,"&gt;"&amp;(--TRIM(LEFT(O62,2))))+1))</f>
        <v/>
      </c>
      <c r="R62" s="21">
        <f>IF(P62="","",IF(OR((--TRIM(LEFT(K62,2)))&gt;=SThr,P62&gt;=RPNThr,Q62="H"),"Yes","No"))</f>
        <v/>
      </c>
      <c r="S62" s="5" t="n"/>
      <c r="T62" s="5" t="n"/>
      <c r="U62" s="5" t="n"/>
      <c r="V62" s="29" t="n"/>
      <c r="W62" s="17" t="n"/>
      <c r="X62" s="17" t="n"/>
      <c r="Y62" s="17" t="n"/>
      <c r="Z62" s="21">
        <f>IF(OR(W62="",X62="",Y62=""),"",(--TRIM(LEFT(W62,2)))*(--TRIM(LEFT(X62,2)))*(--TRIM(LEFT(Y62,2))))</f>
        <v/>
      </c>
      <c r="AA62" s="21">
        <f>IF(OR(W62="",X62="",Y62=""),"",INDEX(APGrid,COUNTIF(APS,"&gt;"&amp;(--TRIM(LEFT(W62,2))))*5+COUNTIF(APO,"&gt;"&amp;(--TRIM(LEFT(X62,2))))+1,COUNTIF(APD,"&gt;"&amp;(--TRIM(LEFT(Y62,2))))+1))</f>
        <v/>
      </c>
      <c r="AB62" s="5" t="n"/>
      <c r="AC62" s="5" t="n"/>
      <c r="AE62">
        <f>IFERROR(INDEX(EqTag,_xlfn.AGGREGATE(15,6,(ROW(EqTag)-4)/((EqSys=$D$3)*(EqTag&lt;&gt;"")),ROWS($AE$14:AE62))),"")</f>
        <v/>
      </c>
    </row>
    <row r="63" ht="30" customHeight="1">
      <c r="A63" s="21">
        <f>IF(F63="","",LEFT($D$3,3)&amp;"-"&amp;TEXT(COUNTIF(F$14:F63,"?*"),"00"))</f>
        <v/>
      </c>
      <c r="B63" s="5" t="n"/>
      <c r="C63" s="6">
        <f>IF(B63="","",IFERROR(INDEX(EqTypeCol,MATCH(B63,EqTag,0)),"Tag not in register"))</f>
        <v/>
      </c>
      <c r="D63" s="5" t="n"/>
      <c r="E63" s="5" t="n"/>
      <c r="F63" s="5" t="n"/>
      <c r="G63" s="5" t="n"/>
      <c r="H63" s="5" t="n"/>
      <c r="I63" s="5" t="n"/>
      <c r="J63" s="5" t="n"/>
      <c r="K63" s="17" t="n"/>
      <c r="L63" s="5" t="n"/>
      <c r="M63" s="17" t="n"/>
      <c r="N63" s="5" t="n"/>
      <c r="O63" s="17" t="n"/>
      <c r="P63" s="21">
        <f>IF(OR(K63="",M63="",O63=""),"",(--TRIM(LEFT(K63,2)))*(--TRIM(LEFT(M63,2)))*(--TRIM(LEFT(O63,2))))</f>
        <v/>
      </c>
      <c r="Q63" s="21">
        <f>IF(OR(K63="",M63="",O63=""),"",INDEX(APGrid,COUNTIF(APS,"&gt;"&amp;(--TRIM(LEFT(K63,2))))*5+COUNTIF(APO,"&gt;"&amp;(--TRIM(LEFT(M63,2))))+1,COUNTIF(APD,"&gt;"&amp;(--TRIM(LEFT(O63,2))))+1))</f>
        <v/>
      </c>
      <c r="R63" s="21">
        <f>IF(P63="","",IF(OR((--TRIM(LEFT(K63,2)))&gt;=SThr,P63&gt;=RPNThr,Q63="H"),"Yes","No"))</f>
        <v/>
      </c>
      <c r="S63" s="5" t="n"/>
      <c r="T63" s="5" t="n"/>
      <c r="U63" s="5" t="n"/>
      <c r="V63" s="29" t="n"/>
      <c r="W63" s="17" t="n"/>
      <c r="X63" s="17" t="n"/>
      <c r="Y63" s="17" t="n"/>
      <c r="Z63" s="21">
        <f>IF(OR(W63="",X63="",Y63=""),"",(--TRIM(LEFT(W63,2)))*(--TRIM(LEFT(X63,2)))*(--TRIM(LEFT(Y63,2))))</f>
        <v/>
      </c>
      <c r="AA63" s="21">
        <f>IF(OR(W63="",X63="",Y63=""),"",INDEX(APGrid,COUNTIF(APS,"&gt;"&amp;(--TRIM(LEFT(W63,2))))*5+COUNTIF(APO,"&gt;"&amp;(--TRIM(LEFT(X63,2))))+1,COUNTIF(APD,"&gt;"&amp;(--TRIM(LEFT(Y63,2))))+1))</f>
        <v/>
      </c>
      <c r="AB63" s="5" t="n"/>
      <c r="AC63" s="5" t="n"/>
      <c r="AE63">
        <f>IFERROR(INDEX(EqTag,_xlfn.AGGREGATE(15,6,(ROW(EqTag)-4)/((EqSys=$D$3)*(EqTag&lt;&gt;"")),ROWS($AE$14:AE63))),"")</f>
        <v/>
      </c>
    </row>
    <row r="64" ht="30" customHeight="1">
      <c r="A64" s="21">
        <f>IF(F64="","",LEFT($D$3,3)&amp;"-"&amp;TEXT(COUNTIF(F$14:F64,"?*"),"00"))</f>
        <v/>
      </c>
      <c r="B64" s="5" t="n"/>
      <c r="C64" s="6">
        <f>IF(B64="","",IFERROR(INDEX(EqTypeCol,MATCH(B64,EqTag,0)),"Tag not in register"))</f>
        <v/>
      </c>
      <c r="D64" s="5" t="n"/>
      <c r="E64" s="5" t="n"/>
      <c r="F64" s="5" t="n"/>
      <c r="G64" s="5" t="n"/>
      <c r="H64" s="5" t="n"/>
      <c r="I64" s="5" t="n"/>
      <c r="J64" s="5" t="n"/>
      <c r="K64" s="17" t="n"/>
      <c r="L64" s="5" t="n"/>
      <c r="M64" s="17" t="n"/>
      <c r="N64" s="5" t="n"/>
      <c r="O64" s="17" t="n"/>
      <c r="P64" s="21">
        <f>IF(OR(K64="",M64="",O64=""),"",(--TRIM(LEFT(K64,2)))*(--TRIM(LEFT(M64,2)))*(--TRIM(LEFT(O64,2))))</f>
        <v/>
      </c>
      <c r="Q64" s="21">
        <f>IF(OR(K64="",M64="",O64=""),"",INDEX(APGrid,COUNTIF(APS,"&gt;"&amp;(--TRIM(LEFT(K64,2))))*5+COUNTIF(APO,"&gt;"&amp;(--TRIM(LEFT(M64,2))))+1,COUNTIF(APD,"&gt;"&amp;(--TRIM(LEFT(O64,2))))+1))</f>
        <v/>
      </c>
      <c r="R64" s="21">
        <f>IF(P64="","",IF(OR((--TRIM(LEFT(K64,2)))&gt;=SThr,P64&gt;=RPNThr,Q64="H"),"Yes","No"))</f>
        <v/>
      </c>
      <c r="S64" s="5" t="n"/>
      <c r="T64" s="5" t="n"/>
      <c r="U64" s="5" t="n"/>
      <c r="V64" s="29" t="n"/>
      <c r="W64" s="17" t="n"/>
      <c r="X64" s="17" t="n"/>
      <c r="Y64" s="17" t="n"/>
      <c r="Z64" s="21">
        <f>IF(OR(W64="",X64="",Y64=""),"",(--TRIM(LEFT(W64,2)))*(--TRIM(LEFT(X64,2)))*(--TRIM(LEFT(Y64,2))))</f>
        <v/>
      </c>
      <c r="AA64" s="21">
        <f>IF(OR(W64="",X64="",Y64=""),"",INDEX(APGrid,COUNTIF(APS,"&gt;"&amp;(--TRIM(LEFT(W64,2))))*5+COUNTIF(APO,"&gt;"&amp;(--TRIM(LEFT(X64,2))))+1,COUNTIF(APD,"&gt;"&amp;(--TRIM(LEFT(Y64,2))))+1))</f>
        <v/>
      </c>
      <c r="AB64" s="5" t="n"/>
      <c r="AC64" s="5" t="n"/>
      <c r="AE64">
        <f>IFERROR(INDEX(EqTag,_xlfn.AGGREGATE(15,6,(ROW(EqTag)-4)/((EqSys=$D$3)*(EqTag&lt;&gt;"")),ROWS($AE$14:AE64))),"")</f>
        <v/>
      </c>
    </row>
    <row r="65" ht="30" customHeight="1">
      <c r="A65" s="21">
        <f>IF(F65="","",LEFT($D$3,3)&amp;"-"&amp;TEXT(COUNTIF(F$14:F65,"?*"),"00"))</f>
        <v/>
      </c>
      <c r="B65" s="5" t="n"/>
      <c r="C65" s="6">
        <f>IF(B65="","",IFERROR(INDEX(EqTypeCol,MATCH(B65,EqTag,0)),"Tag not in register"))</f>
        <v/>
      </c>
      <c r="D65" s="5" t="n"/>
      <c r="E65" s="5" t="n"/>
      <c r="F65" s="5" t="n"/>
      <c r="G65" s="5" t="n"/>
      <c r="H65" s="5" t="n"/>
      <c r="I65" s="5" t="n"/>
      <c r="J65" s="5" t="n"/>
      <c r="K65" s="17" t="n"/>
      <c r="L65" s="5" t="n"/>
      <c r="M65" s="17" t="n"/>
      <c r="N65" s="5" t="n"/>
      <c r="O65" s="17" t="n"/>
      <c r="P65" s="21">
        <f>IF(OR(K65="",M65="",O65=""),"",(--TRIM(LEFT(K65,2)))*(--TRIM(LEFT(M65,2)))*(--TRIM(LEFT(O65,2))))</f>
        <v/>
      </c>
      <c r="Q65" s="21">
        <f>IF(OR(K65="",M65="",O65=""),"",INDEX(APGrid,COUNTIF(APS,"&gt;"&amp;(--TRIM(LEFT(K65,2))))*5+COUNTIF(APO,"&gt;"&amp;(--TRIM(LEFT(M65,2))))+1,COUNTIF(APD,"&gt;"&amp;(--TRIM(LEFT(O65,2))))+1))</f>
        <v/>
      </c>
      <c r="R65" s="21">
        <f>IF(P65="","",IF(OR((--TRIM(LEFT(K65,2)))&gt;=SThr,P65&gt;=RPNThr,Q65="H"),"Yes","No"))</f>
        <v/>
      </c>
      <c r="S65" s="5" t="n"/>
      <c r="T65" s="5" t="n"/>
      <c r="U65" s="5" t="n"/>
      <c r="V65" s="29" t="n"/>
      <c r="W65" s="17" t="n"/>
      <c r="X65" s="17" t="n"/>
      <c r="Y65" s="17" t="n"/>
      <c r="Z65" s="21">
        <f>IF(OR(W65="",X65="",Y65=""),"",(--TRIM(LEFT(W65,2)))*(--TRIM(LEFT(X65,2)))*(--TRIM(LEFT(Y65,2))))</f>
        <v/>
      </c>
      <c r="AA65" s="21">
        <f>IF(OR(W65="",X65="",Y65=""),"",INDEX(APGrid,COUNTIF(APS,"&gt;"&amp;(--TRIM(LEFT(W65,2))))*5+COUNTIF(APO,"&gt;"&amp;(--TRIM(LEFT(X65,2))))+1,COUNTIF(APD,"&gt;"&amp;(--TRIM(LEFT(Y65,2))))+1))</f>
        <v/>
      </c>
      <c r="AB65" s="5" t="n"/>
      <c r="AC65" s="5" t="n"/>
      <c r="AE65">
        <f>IFERROR(INDEX(EqTag,_xlfn.AGGREGATE(15,6,(ROW(EqTag)-4)/((EqSys=$D$3)*(EqTag&lt;&gt;"")),ROWS($AE$14:AE65))),"")</f>
        <v/>
      </c>
    </row>
    <row r="66" ht="30" customHeight="1">
      <c r="A66" s="21">
        <f>IF(F66="","",LEFT($D$3,3)&amp;"-"&amp;TEXT(COUNTIF(F$14:F66,"?*"),"00"))</f>
        <v/>
      </c>
      <c r="B66" s="5" t="n"/>
      <c r="C66" s="6">
        <f>IF(B66="","",IFERROR(INDEX(EqTypeCol,MATCH(B66,EqTag,0)),"Tag not in register"))</f>
        <v/>
      </c>
      <c r="D66" s="5" t="n"/>
      <c r="E66" s="5" t="n"/>
      <c r="F66" s="5" t="n"/>
      <c r="G66" s="5" t="n"/>
      <c r="H66" s="5" t="n"/>
      <c r="I66" s="5" t="n"/>
      <c r="J66" s="5" t="n"/>
      <c r="K66" s="17" t="n"/>
      <c r="L66" s="5" t="n"/>
      <c r="M66" s="17" t="n"/>
      <c r="N66" s="5" t="n"/>
      <c r="O66" s="17" t="n"/>
      <c r="P66" s="21">
        <f>IF(OR(K66="",M66="",O66=""),"",(--TRIM(LEFT(K66,2)))*(--TRIM(LEFT(M66,2)))*(--TRIM(LEFT(O66,2))))</f>
        <v/>
      </c>
      <c r="Q66" s="21">
        <f>IF(OR(K66="",M66="",O66=""),"",INDEX(APGrid,COUNTIF(APS,"&gt;"&amp;(--TRIM(LEFT(K66,2))))*5+COUNTIF(APO,"&gt;"&amp;(--TRIM(LEFT(M66,2))))+1,COUNTIF(APD,"&gt;"&amp;(--TRIM(LEFT(O66,2))))+1))</f>
        <v/>
      </c>
      <c r="R66" s="21">
        <f>IF(P66="","",IF(OR((--TRIM(LEFT(K66,2)))&gt;=SThr,P66&gt;=RPNThr,Q66="H"),"Yes","No"))</f>
        <v/>
      </c>
      <c r="S66" s="5" t="n"/>
      <c r="T66" s="5" t="n"/>
      <c r="U66" s="5" t="n"/>
      <c r="V66" s="29" t="n"/>
      <c r="W66" s="17" t="n"/>
      <c r="X66" s="17" t="n"/>
      <c r="Y66" s="17" t="n"/>
      <c r="Z66" s="21">
        <f>IF(OR(W66="",X66="",Y66=""),"",(--TRIM(LEFT(W66,2)))*(--TRIM(LEFT(X66,2)))*(--TRIM(LEFT(Y66,2))))</f>
        <v/>
      </c>
      <c r="AA66" s="21">
        <f>IF(OR(W66="",X66="",Y66=""),"",INDEX(APGrid,COUNTIF(APS,"&gt;"&amp;(--TRIM(LEFT(W66,2))))*5+COUNTIF(APO,"&gt;"&amp;(--TRIM(LEFT(X66,2))))+1,COUNTIF(APD,"&gt;"&amp;(--TRIM(LEFT(Y66,2))))+1))</f>
        <v/>
      </c>
      <c r="AB66" s="5" t="n"/>
      <c r="AC66" s="5" t="n"/>
      <c r="AE66">
        <f>IFERROR(INDEX(EqTag,_xlfn.AGGREGATE(15,6,(ROW(EqTag)-4)/((EqSys=$D$3)*(EqTag&lt;&gt;"")),ROWS($AE$14:AE66))),"")</f>
        <v/>
      </c>
    </row>
    <row r="67" ht="30" customHeight="1">
      <c r="A67" s="21">
        <f>IF(F67="","",LEFT($D$3,3)&amp;"-"&amp;TEXT(COUNTIF(F$14:F67,"?*"),"00"))</f>
        <v/>
      </c>
      <c r="B67" s="5" t="n"/>
      <c r="C67" s="6">
        <f>IF(B67="","",IFERROR(INDEX(EqTypeCol,MATCH(B67,EqTag,0)),"Tag not in register"))</f>
        <v/>
      </c>
      <c r="D67" s="5" t="n"/>
      <c r="E67" s="5" t="n"/>
      <c r="F67" s="5" t="n"/>
      <c r="G67" s="5" t="n"/>
      <c r="H67" s="5" t="n"/>
      <c r="I67" s="5" t="n"/>
      <c r="J67" s="5" t="n"/>
      <c r="K67" s="17" t="n"/>
      <c r="L67" s="5" t="n"/>
      <c r="M67" s="17" t="n"/>
      <c r="N67" s="5" t="n"/>
      <c r="O67" s="17" t="n"/>
      <c r="P67" s="21">
        <f>IF(OR(K67="",M67="",O67=""),"",(--TRIM(LEFT(K67,2)))*(--TRIM(LEFT(M67,2)))*(--TRIM(LEFT(O67,2))))</f>
        <v/>
      </c>
      <c r="Q67" s="21">
        <f>IF(OR(K67="",M67="",O67=""),"",INDEX(APGrid,COUNTIF(APS,"&gt;"&amp;(--TRIM(LEFT(K67,2))))*5+COUNTIF(APO,"&gt;"&amp;(--TRIM(LEFT(M67,2))))+1,COUNTIF(APD,"&gt;"&amp;(--TRIM(LEFT(O67,2))))+1))</f>
        <v/>
      </c>
      <c r="R67" s="21">
        <f>IF(P67="","",IF(OR((--TRIM(LEFT(K67,2)))&gt;=SThr,P67&gt;=RPNThr,Q67="H"),"Yes","No"))</f>
        <v/>
      </c>
      <c r="S67" s="5" t="n"/>
      <c r="T67" s="5" t="n"/>
      <c r="U67" s="5" t="n"/>
      <c r="V67" s="29" t="n"/>
      <c r="W67" s="17" t="n"/>
      <c r="X67" s="17" t="n"/>
      <c r="Y67" s="17" t="n"/>
      <c r="Z67" s="21">
        <f>IF(OR(W67="",X67="",Y67=""),"",(--TRIM(LEFT(W67,2)))*(--TRIM(LEFT(X67,2)))*(--TRIM(LEFT(Y67,2))))</f>
        <v/>
      </c>
      <c r="AA67" s="21">
        <f>IF(OR(W67="",X67="",Y67=""),"",INDEX(APGrid,COUNTIF(APS,"&gt;"&amp;(--TRIM(LEFT(W67,2))))*5+COUNTIF(APO,"&gt;"&amp;(--TRIM(LEFT(X67,2))))+1,COUNTIF(APD,"&gt;"&amp;(--TRIM(LEFT(Y67,2))))+1))</f>
        <v/>
      </c>
      <c r="AB67" s="5" t="n"/>
      <c r="AC67" s="5" t="n"/>
      <c r="AE67">
        <f>IFERROR(INDEX(EqTag,_xlfn.AGGREGATE(15,6,(ROW(EqTag)-4)/((EqSys=$D$3)*(EqTag&lt;&gt;"")),ROWS($AE$14:AE67))),"")</f>
        <v/>
      </c>
    </row>
    <row r="68" ht="30" customHeight="1">
      <c r="A68" s="21">
        <f>IF(F68="","",LEFT($D$3,3)&amp;"-"&amp;TEXT(COUNTIF(F$14:F68,"?*"),"00"))</f>
        <v/>
      </c>
      <c r="B68" s="5" t="n"/>
      <c r="C68" s="6">
        <f>IF(B68="","",IFERROR(INDEX(EqTypeCol,MATCH(B68,EqTag,0)),"Tag not in register"))</f>
        <v/>
      </c>
      <c r="D68" s="5" t="n"/>
      <c r="E68" s="5" t="n"/>
      <c r="F68" s="5" t="n"/>
      <c r="G68" s="5" t="n"/>
      <c r="H68" s="5" t="n"/>
      <c r="I68" s="5" t="n"/>
      <c r="J68" s="5" t="n"/>
      <c r="K68" s="17" t="n"/>
      <c r="L68" s="5" t="n"/>
      <c r="M68" s="17" t="n"/>
      <c r="N68" s="5" t="n"/>
      <c r="O68" s="17" t="n"/>
      <c r="P68" s="21">
        <f>IF(OR(K68="",M68="",O68=""),"",(--TRIM(LEFT(K68,2)))*(--TRIM(LEFT(M68,2)))*(--TRIM(LEFT(O68,2))))</f>
        <v/>
      </c>
      <c r="Q68" s="21">
        <f>IF(OR(K68="",M68="",O68=""),"",INDEX(APGrid,COUNTIF(APS,"&gt;"&amp;(--TRIM(LEFT(K68,2))))*5+COUNTIF(APO,"&gt;"&amp;(--TRIM(LEFT(M68,2))))+1,COUNTIF(APD,"&gt;"&amp;(--TRIM(LEFT(O68,2))))+1))</f>
        <v/>
      </c>
      <c r="R68" s="21">
        <f>IF(P68="","",IF(OR((--TRIM(LEFT(K68,2)))&gt;=SThr,P68&gt;=RPNThr,Q68="H"),"Yes","No"))</f>
        <v/>
      </c>
      <c r="S68" s="5" t="n"/>
      <c r="T68" s="5" t="n"/>
      <c r="U68" s="5" t="n"/>
      <c r="V68" s="29" t="n"/>
      <c r="W68" s="17" t="n"/>
      <c r="X68" s="17" t="n"/>
      <c r="Y68" s="17" t="n"/>
      <c r="Z68" s="21">
        <f>IF(OR(W68="",X68="",Y68=""),"",(--TRIM(LEFT(W68,2)))*(--TRIM(LEFT(X68,2)))*(--TRIM(LEFT(Y68,2))))</f>
        <v/>
      </c>
      <c r="AA68" s="21">
        <f>IF(OR(W68="",X68="",Y68=""),"",INDEX(APGrid,COUNTIF(APS,"&gt;"&amp;(--TRIM(LEFT(W68,2))))*5+COUNTIF(APO,"&gt;"&amp;(--TRIM(LEFT(X68,2))))+1,COUNTIF(APD,"&gt;"&amp;(--TRIM(LEFT(Y68,2))))+1))</f>
        <v/>
      </c>
      <c r="AB68" s="5" t="n"/>
      <c r="AC68" s="5" t="n"/>
      <c r="AE68">
        <f>IFERROR(INDEX(EqTag,_xlfn.AGGREGATE(15,6,(ROW(EqTag)-4)/((EqSys=$D$3)*(EqTag&lt;&gt;"")),ROWS($AE$14:AE68))),"")</f>
        <v/>
      </c>
    </row>
    <row r="69" ht="30" customHeight="1">
      <c r="A69" s="21">
        <f>IF(F69="","",LEFT($D$3,3)&amp;"-"&amp;TEXT(COUNTIF(F$14:F69,"?*"),"00"))</f>
        <v/>
      </c>
      <c r="B69" s="5" t="n"/>
      <c r="C69" s="6">
        <f>IF(B69="","",IFERROR(INDEX(EqTypeCol,MATCH(B69,EqTag,0)),"Tag not in register"))</f>
        <v/>
      </c>
      <c r="D69" s="5" t="n"/>
      <c r="E69" s="5" t="n"/>
      <c r="F69" s="5" t="n"/>
      <c r="G69" s="5" t="n"/>
      <c r="H69" s="5" t="n"/>
      <c r="I69" s="5" t="n"/>
      <c r="J69" s="5" t="n"/>
      <c r="K69" s="17" t="n"/>
      <c r="L69" s="5" t="n"/>
      <c r="M69" s="17" t="n"/>
      <c r="N69" s="5" t="n"/>
      <c r="O69" s="17" t="n"/>
      <c r="P69" s="21">
        <f>IF(OR(K69="",M69="",O69=""),"",(--TRIM(LEFT(K69,2)))*(--TRIM(LEFT(M69,2)))*(--TRIM(LEFT(O69,2))))</f>
        <v/>
      </c>
      <c r="Q69" s="21">
        <f>IF(OR(K69="",M69="",O69=""),"",INDEX(APGrid,COUNTIF(APS,"&gt;"&amp;(--TRIM(LEFT(K69,2))))*5+COUNTIF(APO,"&gt;"&amp;(--TRIM(LEFT(M69,2))))+1,COUNTIF(APD,"&gt;"&amp;(--TRIM(LEFT(O69,2))))+1))</f>
        <v/>
      </c>
      <c r="R69" s="21">
        <f>IF(P69="","",IF(OR((--TRIM(LEFT(K69,2)))&gt;=SThr,P69&gt;=RPNThr,Q69="H"),"Yes","No"))</f>
        <v/>
      </c>
      <c r="S69" s="5" t="n"/>
      <c r="T69" s="5" t="n"/>
      <c r="U69" s="5" t="n"/>
      <c r="V69" s="29" t="n"/>
      <c r="W69" s="17" t="n"/>
      <c r="X69" s="17" t="n"/>
      <c r="Y69" s="17" t="n"/>
      <c r="Z69" s="21">
        <f>IF(OR(W69="",X69="",Y69=""),"",(--TRIM(LEFT(W69,2)))*(--TRIM(LEFT(X69,2)))*(--TRIM(LEFT(Y69,2))))</f>
        <v/>
      </c>
      <c r="AA69" s="21">
        <f>IF(OR(W69="",X69="",Y69=""),"",INDEX(APGrid,COUNTIF(APS,"&gt;"&amp;(--TRIM(LEFT(W69,2))))*5+COUNTIF(APO,"&gt;"&amp;(--TRIM(LEFT(X69,2))))+1,COUNTIF(APD,"&gt;"&amp;(--TRIM(LEFT(Y69,2))))+1))</f>
        <v/>
      </c>
      <c r="AB69" s="5" t="n"/>
      <c r="AC69" s="5" t="n"/>
      <c r="AE69">
        <f>IFERROR(INDEX(EqTag,_xlfn.AGGREGATE(15,6,(ROW(EqTag)-4)/((EqSys=$D$3)*(EqTag&lt;&gt;"")),ROWS($AE$14:AE69))),"")</f>
        <v/>
      </c>
    </row>
    <row r="70" ht="30" customHeight="1">
      <c r="A70" s="21">
        <f>IF(F70="","",LEFT($D$3,3)&amp;"-"&amp;TEXT(COUNTIF(F$14:F70,"?*"),"00"))</f>
        <v/>
      </c>
      <c r="B70" s="5" t="n"/>
      <c r="C70" s="6">
        <f>IF(B70="","",IFERROR(INDEX(EqTypeCol,MATCH(B70,EqTag,0)),"Tag not in register"))</f>
        <v/>
      </c>
      <c r="D70" s="5" t="n"/>
      <c r="E70" s="5" t="n"/>
      <c r="F70" s="5" t="n"/>
      <c r="G70" s="5" t="n"/>
      <c r="H70" s="5" t="n"/>
      <c r="I70" s="5" t="n"/>
      <c r="J70" s="5" t="n"/>
      <c r="K70" s="17" t="n"/>
      <c r="L70" s="5" t="n"/>
      <c r="M70" s="17" t="n"/>
      <c r="N70" s="5" t="n"/>
      <c r="O70" s="17" t="n"/>
      <c r="P70" s="21">
        <f>IF(OR(K70="",M70="",O70=""),"",(--TRIM(LEFT(K70,2)))*(--TRIM(LEFT(M70,2)))*(--TRIM(LEFT(O70,2))))</f>
        <v/>
      </c>
      <c r="Q70" s="21">
        <f>IF(OR(K70="",M70="",O70=""),"",INDEX(APGrid,COUNTIF(APS,"&gt;"&amp;(--TRIM(LEFT(K70,2))))*5+COUNTIF(APO,"&gt;"&amp;(--TRIM(LEFT(M70,2))))+1,COUNTIF(APD,"&gt;"&amp;(--TRIM(LEFT(O70,2))))+1))</f>
        <v/>
      </c>
      <c r="R70" s="21">
        <f>IF(P70="","",IF(OR((--TRIM(LEFT(K70,2)))&gt;=SThr,P70&gt;=RPNThr,Q70="H"),"Yes","No"))</f>
        <v/>
      </c>
      <c r="S70" s="5" t="n"/>
      <c r="T70" s="5" t="n"/>
      <c r="U70" s="5" t="n"/>
      <c r="V70" s="29" t="n"/>
      <c r="W70" s="17" t="n"/>
      <c r="X70" s="17" t="n"/>
      <c r="Y70" s="17" t="n"/>
      <c r="Z70" s="21">
        <f>IF(OR(W70="",X70="",Y70=""),"",(--TRIM(LEFT(W70,2)))*(--TRIM(LEFT(X70,2)))*(--TRIM(LEFT(Y70,2))))</f>
        <v/>
      </c>
      <c r="AA70" s="21">
        <f>IF(OR(W70="",X70="",Y70=""),"",INDEX(APGrid,COUNTIF(APS,"&gt;"&amp;(--TRIM(LEFT(W70,2))))*5+COUNTIF(APO,"&gt;"&amp;(--TRIM(LEFT(X70,2))))+1,COUNTIF(APD,"&gt;"&amp;(--TRIM(LEFT(Y70,2))))+1))</f>
        <v/>
      </c>
      <c r="AB70" s="5" t="n"/>
      <c r="AC70" s="5" t="n"/>
      <c r="AE70">
        <f>IFERROR(INDEX(EqTag,_xlfn.AGGREGATE(15,6,(ROW(EqTag)-4)/((EqSys=$D$3)*(EqTag&lt;&gt;"")),ROWS($AE$14:AE70))),"")</f>
        <v/>
      </c>
    </row>
    <row r="71" ht="30" customHeight="1">
      <c r="A71" s="21">
        <f>IF(F71="","",LEFT($D$3,3)&amp;"-"&amp;TEXT(COUNTIF(F$14:F71,"?*"),"00"))</f>
        <v/>
      </c>
      <c r="B71" s="5" t="n"/>
      <c r="C71" s="6">
        <f>IF(B71="","",IFERROR(INDEX(EqTypeCol,MATCH(B71,EqTag,0)),"Tag not in register"))</f>
        <v/>
      </c>
      <c r="D71" s="5" t="n"/>
      <c r="E71" s="5" t="n"/>
      <c r="F71" s="5" t="n"/>
      <c r="G71" s="5" t="n"/>
      <c r="H71" s="5" t="n"/>
      <c r="I71" s="5" t="n"/>
      <c r="J71" s="5" t="n"/>
      <c r="K71" s="17" t="n"/>
      <c r="L71" s="5" t="n"/>
      <c r="M71" s="17" t="n"/>
      <c r="N71" s="5" t="n"/>
      <c r="O71" s="17" t="n"/>
      <c r="P71" s="21">
        <f>IF(OR(K71="",M71="",O71=""),"",(--TRIM(LEFT(K71,2)))*(--TRIM(LEFT(M71,2)))*(--TRIM(LEFT(O71,2))))</f>
        <v/>
      </c>
      <c r="Q71" s="21">
        <f>IF(OR(K71="",M71="",O71=""),"",INDEX(APGrid,COUNTIF(APS,"&gt;"&amp;(--TRIM(LEFT(K71,2))))*5+COUNTIF(APO,"&gt;"&amp;(--TRIM(LEFT(M71,2))))+1,COUNTIF(APD,"&gt;"&amp;(--TRIM(LEFT(O71,2))))+1))</f>
        <v/>
      </c>
      <c r="R71" s="21">
        <f>IF(P71="","",IF(OR((--TRIM(LEFT(K71,2)))&gt;=SThr,P71&gt;=RPNThr,Q71="H"),"Yes","No"))</f>
        <v/>
      </c>
      <c r="S71" s="5" t="n"/>
      <c r="T71" s="5" t="n"/>
      <c r="U71" s="5" t="n"/>
      <c r="V71" s="29" t="n"/>
      <c r="W71" s="17" t="n"/>
      <c r="X71" s="17" t="n"/>
      <c r="Y71" s="17" t="n"/>
      <c r="Z71" s="21">
        <f>IF(OR(W71="",X71="",Y71=""),"",(--TRIM(LEFT(W71,2)))*(--TRIM(LEFT(X71,2)))*(--TRIM(LEFT(Y71,2))))</f>
        <v/>
      </c>
      <c r="AA71" s="21">
        <f>IF(OR(W71="",X71="",Y71=""),"",INDEX(APGrid,COUNTIF(APS,"&gt;"&amp;(--TRIM(LEFT(W71,2))))*5+COUNTIF(APO,"&gt;"&amp;(--TRIM(LEFT(X71,2))))+1,COUNTIF(APD,"&gt;"&amp;(--TRIM(LEFT(Y71,2))))+1))</f>
        <v/>
      </c>
      <c r="AB71" s="5" t="n"/>
      <c r="AC71" s="5" t="n"/>
      <c r="AE71">
        <f>IFERROR(INDEX(EqTag,_xlfn.AGGREGATE(15,6,(ROW(EqTag)-4)/((EqSys=$D$3)*(EqTag&lt;&gt;"")),ROWS($AE$14:AE71))),"")</f>
        <v/>
      </c>
    </row>
    <row r="72" ht="30" customHeight="1">
      <c r="A72" s="21">
        <f>IF(F72="","",LEFT($D$3,3)&amp;"-"&amp;TEXT(COUNTIF(F$14:F72,"?*"),"00"))</f>
        <v/>
      </c>
      <c r="B72" s="5" t="n"/>
      <c r="C72" s="6">
        <f>IF(B72="","",IFERROR(INDEX(EqTypeCol,MATCH(B72,EqTag,0)),"Tag not in register"))</f>
        <v/>
      </c>
      <c r="D72" s="5" t="n"/>
      <c r="E72" s="5" t="n"/>
      <c r="F72" s="5" t="n"/>
      <c r="G72" s="5" t="n"/>
      <c r="H72" s="5" t="n"/>
      <c r="I72" s="5" t="n"/>
      <c r="J72" s="5" t="n"/>
      <c r="K72" s="17" t="n"/>
      <c r="L72" s="5" t="n"/>
      <c r="M72" s="17" t="n"/>
      <c r="N72" s="5" t="n"/>
      <c r="O72" s="17" t="n"/>
      <c r="P72" s="21">
        <f>IF(OR(K72="",M72="",O72=""),"",(--TRIM(LEFT(K72,2)))*(--TRIM(LEFT(M72,2)))*(--TRIM(LEFT(O72,2))))</f>
        <v/>
      </c>
      <c r="Q72" s="21">
        <f>IF(OR(K72="",M72="",O72=""),"",INDEX(APGrid,COUNTIF(APS,"&gt;"&amp;(--TRIM(LEFT(K72,2))))*5+COUNTIF(APO,"&gt;"&amp;(--TRIM(LEFT(M72,2))))+1,COUNTIF(APD,"&gt;"&amp;(--TRIM(LEFT(O72,2))))+1))</f>
        <v/>
      </c>
      <c r="R72" s="21">
        <f>IF(P72="","",IF(OR((--TRIM(LEFT(K72,2)))&gt;=SThr,P72&gt;=RPNThr,Q72="H"),"Yes","No"))</f>
        <v/>
      </c>
      <c r="S72" s="5" t="n"/>
      <c r="T72" s="5" t="n"/>
      <c r="U72" s="5" t="n"/>
      <c r="V72" s="29" t="n"/>
      <c r="W72" s="17" t="n"/>
      <c r="X72" s="17" t="n"/>
      <c r="Y72" s="17" t="n"/>
      <c r="Z72" s="21">
        <f>IF(OR(W72="",X72="",Y72=""),"",(--TRIM(LEFT(W72,2)))*(--TRIM(LEFT(X72,2)))*(--TRIM(LEFT(Y72,2))))</f>
        <v/>
      </c>
      <c r="AA72" s="21">
        <f>IF(OR(W72="",X72="",Y72=""),"",INDEX(APGrid,COUNTIF(APS,"&gt;"&amp;(--TRIM(LEFT(W72,2))))*5+COUNTIF(APO,"&gt;"&amp;(--TRIM(LEFT(X72,2))))+1,COUNTIF(APD,"&gt;"&amp;(--TRIM(LEFT(Y72,2))))+1))</f>
        <v/>
      </c>
      <c r="AB72" s="5" t="n"/>
      <c r="AC72" s="5" t="n"/>
      <c r="AE72">
        <f>IFERROR(INDEX(EqTag,_xlfn.AGGREGATE(15,6,(ROW(EqTag)-4)/((EqSys=$D$3)*(EqTag&lt;&gt;"")),ROWS($AE$14:AE72))),"")</f>
        <v/>
      </c>
    </row>
    <row r="73" ht="30" customHeight="1">
      <c r="A73" s="21">
        <f>IF(F73="","",LEFT($D$3,3)&amp;"-"&amp;TEXT(COUNTIF(F$14:F73,"?*"),"00"))</f>
        <v/>
      </c>
      <c r="B73" s="5" t="n"/>
      <c r="C73" s="6">
        <f>IF(B73="","",IFERROR(INDEX(EqTypeCol,MATCH(B73,EqTag,0)),"Tag not in register"))</f>
        <v/>
      </c>
      <c r="D73" s="5" t="n"/>
      <c r="E73" s="5" t="n"/>
      <c r="F73" s="5" t="n"/>
      <c r="G73" s="5" t="n"/>
      <c r="H73" s="5" t="n"/>
      <c r="I73" s="5" t="n"/>
      <c r="J73" s="5" t="n"/>
      <c r="K73" s="17" t="n"/>
      <c r="L73" s="5" t="n"/>
      <c r="M73" s="17" t="n"/>
      <c r="N73" s="5" t="n"/>
      <c r="O73" s="17" t="n"/>
      <c r="P73" s="21">
        <f>IF(OR(K73="",M73="",O73=""),"",(--TRIM(LEFT(K73,2)))*(--TRIM(LEFT(M73,2)))*(--TRIM(LEFT(O73,2))))</f>
        <v/>
      </c>
      <c r="Q73" s="21">
        <f>IF(OR(K73="",M73="",O73=""),"",INDEX(APGrid,COUNTIF(APS,"&gt;"&amp;(--TRIM(LEFT(K73,2))))*5+COUNTIF(APO,"&gt;"&amp;(--TRIM(LEFT(M73,2))))+1,COUNTIF(APD,"&gt;"&amp;(--TRIM(LEFT(O73,2))))+1))</f>
        <v/>
      </c>
      <c r="R73" s="21">
        <f>IF(P73="","",IF(OR((--TRIM(LEFT(K73,2)))&gt;=SThr,P73&gt;=RPNThr,Q73="H"),"Yes","No"))</f>
        <v/>
      </c>
      <c r="S73" s="5" t="n"/>
      <c r="T73" s="5" t="n"/>
      <c r="U73" s="5" t="n"/>
      <c r="V73" s="29" t="n"/>
      <c r="W73" s="17" t="n"/>
      <c r="X73" s="17" t="n"/>
      <c r="Y73" s="17" t="n"/>
      <c r="Z73" s="21">
        <f>IF(OR(W73="",X73="",Y73=""),"",(--TRIM(LEFT(W73,2)))*(--TRIM(LEFT(X73,2)))*(--TRIM(LEFT(Y73,2))))</f>
        <v/>
      </c>
      <c r="AA73" s="21">
        <f>IF(OR(W73="",X73="",Y73=""),"",INDEX(APGrid,COUNTIF(APS,"&gt;"&amp;(--TRIM(LEFT(W73,2))))*5+COUNTIF(APO,"&gt;"&amp;(--TRIM(LEFT(X73,2))))+1,COUNTIF(APD,"&gt;"&amp;(--TRIM(LEFT(Y73,2))))+1))</f>
        <v/>
      </c>
      <c r="AB73" s="5" t="n"/>
      <c r="AC73" s="5" t="n"/>
      <c r="AE73">
        <f>IFERROR(INDEX(EqTag,_xlfn.AGGREGATE(15,6,(ROW(EqTag)-4)/((EqSys=$D$3)*(EqTag&lt;&gt;"")),ROWS($AE$14:AE73))),"")</f>
        <v/>
      </c>
    </row>
    <row r="74" ht="30" customHeight="1">
      <c r="A74" s="21">
        <f>IF(F74="","",LEFT($D$3,3)&amp;"-"&amp;TEXT(COUNTIF(F$14:F74,"?*"),"00"))</f>
        <v/>
      </c>
      <c r="B74" s="5" t="n"/>
      <c r="C74" s="6">
        <f>IF(B74="","",IFERROR(INDEX(EqTypeCol,MATCH(B74,EqTag,0)),"Tag not in register"))</f>
        <v/>
      </c>
      <c r="D74" s="5" t="n"/>
      <c r="E74" s="5" t="n"/>
      <c r="F74" s="5" t="n"/>
      <c r="G74" s="5" t="n"/>
      <c r="H74" s="5" t="n"/>
      <c r="I74" s="5" t="n"/>
      <c r="J74" s="5" t="n"/>
      <c r="K74" s="17" t="n"/>
      <c r="L74" s="5" t="n"/>
      <c r="M74" s="17" t="n"/>
      <c r="N74" s="5" t="n"/>
      <c r="O74" s="17" t="n"/>
      <c r="P74" s="21">
        <f>IF(OR(K74="",M74="",O74=""),"",(--TRIM(LEFT(K74,2)))*(--TRIM(LEFT(M74,2)))*(--TRIM(LEFT(O74,2))))</f>
        <v/>
      </c>
      <c r="Q74" s="21">
        <f>IF(OR(K74="",M74="",O74=""),"",INDEX(APGrid,COUNTIF(APS,"&gt;"&amp;(--TRIM(LEFT(K74,2))))*5+COUNTIF(APO,"&gt;"&amp;(--TRIM(LEFT(M74,2))))+1,COUNTIF(APD,"&gt;"&amp;(--TRIM(LEFT(O74,2))))+1))</f>
        <v/>
      </c>
      <c r="R74" s="21">
        <f>IF(P74="","",IF(OR((--TRIM(LEFT(K74,2)))&gt;=SThr,P74&gt;=RPNThr,Q74="H"),"Yes","No"))</f>
        <v/>
      </c>
      <c r="S74" s="5" t="n"/>
      <c r="T74" s="5" t="n"/>
      <c r="U74" s="5" t="n"/>
      <c r="V74" s="29" t="n"/>
      <c r="W74" s="17" t="n"/>
      <c r="X74" s="17" t="n"/>
      <c r="Y74" s="17" t="n"/>
      <c r="Z74" s="21">
        <f>IF(OR(W74="",X74="",Y74=""),"",(--TRIM(LEFT(W74,2)))*(--TRIM(LEFT(X74,2)))*(--TRIM(LEFT(Y74,2))))</f>
        <v/>
      </c>
      <c r="AA74" s="21">
        <f>IF(OR(W74="",X74="",Y74=""),"",INDEX(APGrid,COUNTIF(APS,"&gt;"&amp;(--TRIM(LEFT(W74,2))))*5+COUNTIF(APO,"&gt;"&amp;(--TRIM(LEFT(X74,2))))+1,COUNTIF(APD,"&gt;"&amp;(--TRIM(LEFT(Y74,2))))+1))</f>
        <v/>
      </c>
      <c r="AB74" s="5" t="n"/>
      <c r="AC74" s="5" t="n"/>
      <c r="AE74">
        <f>IFERROR(INDEX(EqTag,_xlfn.AGGREGATE(15,6,(ROW(EqTag)-4)/((EqSys=$D$3)*(EqTag&lt;&gt;"")),ROWS($AE$14:AE74))),"")</f>
        <v/>
      </c>
    </row>
    <row r="75" ht="30" customHeight="1">
      <c r="A75" s="21">
        <f>IF(F75="","",LEFT($D$3,3)&amp;"-"&amp;TEXT(COUNTIF(F$14:F75,"?*"),"00"))</f>
        <v/>
      </c>
      <c r="B75" s="5" t="n"/>
      <c r="C75" s="6">
        <f>IF(B75="","",IFERROR(INDEX(EqTypeCol,MATCH(B75,EqTag,0)),"Tag not in register"))</f>
        <v/>
      </c>
      <c r="D75" s="5" t="n"/>
      <c r="E75" s="5" t="n"/>
      <c r="F75" s="5" t="n"/>
      <c r="G75" s="5" t="n"/>
      <c r="H75" s="5" t="n"/>
      <c r="I75" s="5" t="n"/>
      <c r="J75" s="5" t="n"/>
      <c r="K75" s="17" t="n"/>
      <c r="L75" s="5" t="n"/>
      <c r="M75" s="17" t="n"/>
      <c r="N75" s="5" t="n"/>
      <c r="O75" s="17" t="n"/>
      <c r="P75" s="21">
        <f>IF(OR(K75="",M75="",O75=""),"",(--TRIM(LEFT(K75,2)))*(--TRIM(LEFT(M75,2)))*(--TRIM(LEFT(O75,2))))</f>
        <v/>
      </c>
      <c r="Q75" s="21">
        <f>IF(OR(K75="",M75="",O75=""),"",INDEX(APGrid,COUNTIF(APS,"&gt;"&amp;(--TRIM(LEFT(K75,2))))*5+COUNTIF(APO,"&gt;"&amp;(--TRIM(LEFT(M75,2))))+1,COUNTIF(APD,"&gt;"&amp;(--TRIM(LEFT(O75,2))))+1))</f>
        <v/>
      </c>
      <c r="R75" s="21">
        <f>IF(P75="","",IF(OR((--TRIM(LEFT(K75,2)))&gt;=SThr,P75&gt;=RPNThr,Q75="H"),"Yes","No"))</f>
        <v/>
      </c>
      <c r="S75" s="5" t="n"/>
      <c r="T75" s="5" t="n"/>
      <c r="U75" s="5" t="n"/>
      <c r="V75" s="29" t="n"/>
      <c r="W75" s="17" t="n"/>
      <c r="X75" s="17" t="n"/>
      <c r="Y75" s="17" t="n"/>
      <c r="Z75" s="21">
        <f>IF(OR(W75="",X75="",Y75=""),"",(--TRIM(LEFT(W75,2)))*(--TRIM(LEFT(X75,2)))*(--TRIM(LEFT(Y75,2))))</f>
        <v/>
      </c>
      <c r="AA75" s="21">
        <f>IF(OR(W75="",X75="",Y75=""),"",INDEX(APGrid,COUNTIF(APS,"&gt;"&amp;(--TRIM(LEFT(W75,2))))*5+COUNTIF(APO,"&gt;"&amp;(--TRIM(LEFT(X75,2))))+1,COUNTIF(APD,"&gt;"&amp;(--TRIM(LEFT(Y75,2))))+1))</f>
        <v/>
      </c>
      <c r="AB75" s="5" t="n"/>
      <c r="AC75" s="5" t="n"/>
      <c r="AE75">
        <f>IFERROR(INDEX(EqTag,_xlfn.AGGREGATE(15,6,(ROW(EqTag)-4)/((EqSys=$D$3)*(EqTag&lt;&gt;"")),ROWS($AE$14:AE75))),"")</f>
        <v/>
      </c>
    </row>
    <row r="76" ht="30" customHeight="1">
      <c r="A76" s="21">
        <f>IF(F76="","",LEFT($D$3,3)&amp;"-"&amp;TEXT(COUNTIF(F$14:F76,"?*"),"00"))</f>
        <v/>
      </c>
      <c r="B76" s="5" t="n"/>
      <c r="C76" s="6">
        <f>IF(B76="","",IFERROR(INDEX(EqTypeCol,MATCH(B76,EqTag,0)),"Tag not in register"))</f>
        <v/>
      </c>
      <c r="D76" s="5" t="n"/>
      <c r="E76" s="5" t="n"/>
      <c r="F76" s="5" t="n"/>
      <c r="G76" s="5" t="n"/>
      <c r="H76" s="5" t="n"/>
      <c r="I76" s="5" t="n"/>
      <c r="J76" s="5" t="n"/>
      <c r="K76" s="17" t="n"/>
      <c r="L76" s="5" t="n"/>
      <c r="M76" s="17" t="n"/>
      <c r="N76" s="5" t="n"/>
      <c r="O76" s="17" t="n"/>
      <c r="P76" s="21">
        <f>IF(OR(K76="",M76="",O76=""),"",(--TRIM(LEFT(K76,2)))*(--TRIM(LEFT(M76,2)))*(--TRIM(LEFT(O76,2))))</f>
        <v/>
      </c>
      <c r="Q76" s="21">
        <f>IF(OR(K76="",M76="",O76=""),"",INDEX(APGrid,COUNTIF(APS,"&gt;"&amp;(--TRIM(LEFT(K76,2))))*5+COUNTIF(APO,"&gt;"&amp;(--TRIM(LEFT(M76,2))))+1,COUNTIF(APD,"&gt;"&amp;(--TRIM(LEFT(O76,2))))+1))</f>
        <v/>
      </c>
      <c r="R76" s="21">
        <f>IF(P76="","",IF(OR((--TRIM(LEFT(K76,2)))&gt;=SThr,P76&gt;=RPNThr,Q76="H"),"Yes","No"))</f>
        <v/>
      </c>
      <c r="S76" s="5" t="n"/>
      <c r="T76" s="5" t="n"/>
      <c r="U76" s="5" t="n"/>
      <c r="V76" s="29" t="n"/>
      <c r="W76" s="17" t="n"/>
      <c r="X76" s="17" t="n"/>
      <c r="Y76" s="17" t="n"/>
      <c r="Z76" s="21">
        <f>IF(OR(W76="",X76="",Y76=""),"",(--TRIM(LEFT(W76,2)))*(--TRIM(LEFT(X76,2)))*(--TRIM(LEFT(Y76,2))))</f>
        <v/>
      </c>
      <c r="AA76" s="21">
        <f>IF(OR(W76="",X76="",Y76=""),"",INDEX(APGrid,COUNTIF(APS,"&gt;"&amp;(--TRIM(LEFT(W76,2))))*5+COUNTIF(APO,"&gt;"&amp;(--TRIM(LEFT(X76,2))))+1,COUNTIF(APD,"&gt;"&amp;(--TRIM(LEFT(Y76,2))))+1))</f>
        <v/>
      </c>
      <c r="AB76" s="5" t="n"/>
      <c r="AC76" s="5" t="n"/>
      <c r="AE76">
        <f>IFERROR(INDEX(EqTag,_xlfn.AGGREGATE(15,6,(ROW(EqTag)-4)/((EqSys=$D$3)*(EqTag&lt;&gt;"")),ROWS($AE$14:AE76))),"")</f>
        <v/>
      </c>
    </row>
    <row r="77" ht="30" customHeight="1">
      <c r="A77" s="21">
        <f>IF(F77="","",LEFT($D$3,3)&amp;"-"&amp;TEXT(COUNTIF(F$14:F77,"?*"),"00"))</f>
        <v/>
      </c>
      <c r="B77" s="5" t="n"/>
      <c r="C77" s="6">
        <f>IF(B77="","",IFERROR(INDEX(EqTypeCol,MATCH(B77,EqTag,0)),"Tag not in register"))</f>
        <v/>
      </c>
      <c r="D77" s="5" t="n"/>
      <c r="E77" s="5" t="n"/>
      <c r="F77" s="5" t="n"/>
      <c r="G77" s="5" t="n"/>
      <c r="H77" s="5" t="n"/>
      <c r="I77" s="5" t="n"/>
      <c r="J77" s="5" t="n"/>
      <c r="K77" s="17" t="n"/>
      <c r="L77" s="5" t="n"/>
      <c r="M77" s="17" t="n"/>
      <c r="N77" s="5" t="n"/>
      <c r="O77" s="17" t="n"/>
      <c r="P77" s="21">
        <f>IF(OR(K77="",M77="",O77=""),"",(--TRIM(LEFT(K77,2)))*(--TRIM(LEFT(M77,2)))*(--TRIM(LEFT(O77,2))))</f>
        <v/>
      </c>
      <c r="Q77" s="21">
        <f>IF(OR(K77="",M77="",O77=""),"",INDEX(APGrid,COUNTIF(APS,"&gt;"&amp;(--TRIM(LEFT(K77,2))))*5+COUNTIF(APO,"&gt;"&amp;(--TRIM(LEFT(M77,2))))+1,COUNTIF(APD,"&gt;"&amp;(--TRIM(LEFT(O77,2))))+1))</f>
        <v/>
      </c>
      <c r="R77" s="21">
        <f>IF(P77="","",IF(OR((--TRIM(LEFT(K77,2)))&gt;=SThr,P77&gt;=RPNThr,Q77="H"),"Yes","No"))</f>
        <v/>
      </c>
      <c r="S77" s="5" t="n"/>
      <c r="T77" s="5" t="n"/>
      <c r="U77" s="5" t="n"/>
      <c r="V77" s="29" t="n"/>
      <c r="W77" s="17" t="n"/>
      <c r="X77" s="17" t="n"/>
      <c r="Y77" s="17" t="n"/>
      <c r="Z77" s="21">
        <f>IF(OR(W77="",X77="",Y77=""),"",(--TRIM(LEFT(W77,2)))*(--TRIM(LEFT(X77,2)))*(--TRIM(LEFT(Y77,2))))</f>
        <v/>
      </c>
      <c r="AA77" s="21">
        <f>IF(OR(W77="",X77="",Y77=""),"",INDEX(APGrid,COUNTIF(APS,"&gt;"&amp;(--TRIM(LEFT(W77,2))))*5+COUNTIF(APO,"&gt;"&amp;(--TRIM(LEFT(X77,2))))+1,COUNTIF(APD,"&gt;"&amp;(--TRIM(LEFT(Y77,2))))+1))</f>
        <v/>
      </c>
      <c r="AB77" s="5" t="n"/>
      <c r="AC77" s="5" t="n"/>
      <c r="AE77">
        <f>IFERROR(INDEX(EqTag,_xlfn.AGGREGATE(15,6,(ROW(EqTag)-4)/((EqSys=$D$3)*(EqTag&lt;&gt;"")),ROWS($AE$14:AE77))),"")</f>
        <v/>
      </c>
    </row>
    <row r="78" ht="30" customHeight="1">
      <c r="A78" s="21">
        <f>IF(F78="","",LEFT($D$3,3)&amp;"-"&amp;TEXT(COUNTIF(F$14:F78,"?*"),"00"))</f>
        <v/>
      </c>
      <c r="B78" s="5" t="n"/>
      <c r="C78" s="6">
        <f>IF(B78="","",IFERROR(INDEX(EqTypeCol,MATCH(B78,EqTag,0)),"Tag not in register"))</f>
        <v/>
      </c>
      <c r="D78" s="5" t="n"/>
      <c r="E78" s="5" t="n"/>
      <c r="F78" s="5" t="n"/>
      <c r="G78" s="5" t="n"/>
      <c r="H78" s="5" t="n"/>
      <c r="I78" s="5" t="n"/>
      <c r="J78" s="5" t="n"/>
      <c r="K78" s="17" t="n"/>
      <c r="L78" s="5" t="n"/>
      <c r="M78" s="17" t="n"/>
      <c r="N78" s="5" t="n"/>
      <c r="O78" s="17" t="n"/>
      <c r="P78" s="21">
        <f>IF(OR(K78="",M78="",O78=""),"",(--TRIM(LEFT(K78,2)))*(--TRIM(LEFT(M78,2)))*(--TRIM(LEFT(O78,2))))</f>
        <v/>
      </c>
      <c r="Q78" s="21">
        <f>IF(OR(K78="",M78="",O78=""),"",INDEX(APGrid,COUNTIF(APS,"&gt;"&amp;(--TRIM(LEFT(K78,2))))*5+COUNTIF(APO,"&gt;"&amp;(--TRIM(LEFT(M78,2))))+1,COUNTIF(APD,"&gt;"&amp;(--TRIM(LEFT(O78,2))))+1))</f>
        <v/>
      </c>
      <c r="R78" s="21">
        <f>IF(P78="","",IF(OR((--TRIM(LEFT(K78,2)))&gt;=SThr,P78&gt;=RPNThr,Q78="H"),"Yes","No"))</f>
        <v/>
      </c>
      <c r="S78" s="5" t="n"/>
      <c r="T78" s="5" t="n"/>
      <c r="U78" s="5" t="n"/>
      <c r="V78" s="29" t="n"/>
      <c r="W78" s="17" t="n"/>
      <c r="X78" s="17" t="n"/>
      <c r="Y78" s="17" t="n"/>
      <c r="Z78" s="21">
        <f>IF(OR(W78="",X78="",Y78=""),"",(--TRIM(LEFT(W78,2)))*(--TRIM(LEFT(X78,2)))*(--TRIM(LEFT(Y78,2))))</f>
        <v/>
      </c>
      <c r="AA78" s="21">
        <f>IF(OR(W78="",X78="",Y78=""),"",INDEX(APGrid,COUNTIF(APS,"&gt;"&amp;(--TRIM(LEFT(W78,2))))*5+COUNTIF(APO,"&gt;"&amp;(--TRIM(LEFT(X78,2))))+1,COUNTIF(APD,"&gt;"&amp;(--TRIM(LEFT(Y78,2))))+1))</f>
        <v/>
      </c>
      <c r="AB78" s="5" t="n"/>
      <c r="AC78" s="5" t="n"/>
      <c r="AE78">
        <f>IFERROR(INDEX(EqTag,_xlfn.AGGREGATE(15,6,(ROW(EqTag)-4)/((EqSys=$D$3)*(EqTag&lt;&gt;"")),ROWS($AE$14:AE78))),"")</f>
        <v/>
      </c>
    </row>
    <row r="79" ht="30" customHeight="1">
      <c r="A79" s="21">
        <f>IF(F79="","",LEFT($D$3,3)&amp;"-"&amp;TEXT(COUNTIF(F$14:F79,"?*"),"00"))</f>
        <v/>
      </c>
      <c r="B79" s="5" t="n"/>
      <c r="C79" s="6">
        <f>IF(B79="","",IFERROR(INDEX(EqTypeCol,MATCH(B79,EqTag,0)),"Tag not in register"))</f>
        <v/>
      </c>
      <c r="D79" s="5" t="n"/>
      <c r="E79" s="5" t="n"/>
      <c r="F79" s="5" t="n"/>
      <c r="G79" s="5" t="n"/>
      <c r="H79" s="5" t="n"/>
      <c r="I79" s="5" t="n"/>
      <c r="J79" s="5" t="n"/>
      <c r="K79" s="17" t="n"/>
      <c r="L79" s="5" t="n"/>
      <c r="M79" s="17" t="n"/>
      <c r="N79" s="5" t="n"/>
      <c r="O79" s="17" t="n"/>
      <c r="P79" s="21">
        <f>IF(OR(K79="",M79="",O79=""),"",(--TRIM(LEFT(K79,2)))*(--TRIM(LEFT(M79,2)))*(--TRIM(LEFT(O79,2))))</f>
        <v/>
      </c>
      <c r="Q79" s="21">
        <f>IF(OR(K79="",M79="",O79=""),"",INDEX(APGrid,COUNTIF(APS,"&gt;"&amp;(--TRIM(LEFT(K79,2))))*5+COUNTIF(APO,"&gt;"&amp;(--TRIM(LEFT(M79,2))))+1,COUNTIF(APD,"&gt;"&amp;(--TRIM(LEFT(O79,2))))+1))</f>
        <v/>
      </c>
      <c r="R79" s="21">
        <f>IF(P79="","",IF(OR((--TRIM(LEFT(K79,2)))&gt;=SThr,P79&gt;=RPNThr,Q79="H"),"Yes","No"))</f>
        <v/>
      </c>
      <c r="S79" s="5" t="n"/>
      <c r="T79" s="5" t="n"/>
      <c r="U79" s="5" t="n"/>
      <c r="V79" s="29" t="n"/>
      <c r="W79" s="17" t="n"/>
      <c r="X79" s="17" t="n"/>
      <c r="Y79" s="17" t="n"/>
      <c r="Z79" s="21">
        <f>IF(OR(W79="",X79="",Y79=""),"",(--TRIM(LEFT(W79,2)))*(--TRIM(LEFT(X79,2)))*(--TRIM(LEFT(Y79,2))))</f>
        <v/>
      </c>
      <c r="AA79" s="21">
        <f>IF(OR(W79="",X79="",Y79=""),"",INDEX(APGrid,COUNTIF(APS,"&gt;"&amp;(--TRIM(LEFT(W79,2))))*5+COUNTIF(APO,"&gt;"&amp;(--TRIM(LEFT(X79,2))))+1,COUNTIF(APD,"&gt;"&amp;(--TRIM(LEFT(Y79,2))))+1))</f>
        <v/>
      </c>
      <c r="AB79" s="5" t="n"/>
      <c r="AC79" s="5" t="n"/>
      <c r="AE79">
        <f>IFERROR(INDEX(EqTag,_xlfn.AGGREGATE(15,6,(ROW(EqTag)-4)/((EqSys=$D$3)*(EqTag&lt;&gt;"")),ROWS($AE$14:AE79))),"")</f>
        <v/>
      </c>
    </row>
    <row r="80" ht="30" customHeight="1">
      <c r="A80" s="21">
        <f>IF(F80="","",LEFT($D$3,3)&amp;"-"&amp;TEXT(COUNTIF(F$14:F80,"?*"),"00"))</f>
        <v/>
      </c>
      <c r="B80" s="5" t="n"/>
      <c r="C80" s="6">
        <f>IF(B80="","",IFERROR(INDEX(EqTypeCol,MATCH(B80,EqTag,0)),"Tag not in register"))</f>
        <v/>
      </c>
      <c r="D80" s="5" t="n"/>
      <c r="E80" s="5" t="n"/>
      <c r="F80" s="5" t="n"/>
      <c r="G80" s="5" t="n"/>
      <c r="H80" s="5" t="n"/>
      <c r="I80" s="5" t="n"/>
      <c r="J80" s="5" t="n"/>
      <c r="K80" s="17" t="n"/>
      <c r="L80" s="5" t="n"/>
      <c r="M80" s="17" t="n"/>
      <c r="N80" s="5" t="n"/>
      <c r="O80" s="17" t="n"/>
      <c r="P80" s="21">
        <f>IF(OR(K80="",M80="",O80=""),"",(--TRIM(LEFT(K80,2)))*(--TRIM(LEFT(M80,2)))*(--TRIM(LEFT(O80,2))))</f>
        <v/>
      </c>
      <c r="Q80" s="21">
        <f>IF(OR(K80="",M80="",O80=""),"",INDEX(APGrid,COUNTIF(APS,"&gt;"&amp;(--TRIM(LEFT(K80,2))))*5+COUNTIF(APO,"&gt;"&amp;(--TRIM(LEFT(M80,2))))+1,COUNTIF(APD,"&gt;"&amp;(--TRIM(LEFT(O80,2))))+1))</f>
        <v/>
      </c>
      <c r="R80" s="21">
        <f>IF(P80="","",IF(OR((--TRIM(LEFT(K80,2)))&gt;=SThr,P80&gt;=RPNThr,Q80="H"),"Yes","No"))</f>
        <v/>
      </c>
      <c r="S80" s="5" t="n"/>
      <c r="T80" s="5" t="n"/>
      <c r="U80" s="5" t="n"/>
      <c r="V80" s="29" t="n"/>
      <c r="W80" s="17" t="n"/>
      <c r="X80" s="17" t="n"/>
      <c r="Y80" s="17" t="n"/>
      <c r="Z80" s="21">
        <f>IF(OR(W80="",X80="",Y80=""),"",(--TRIM(LEFT(W80,2)))*(--TRIM(LEFT(X80,2)))*(--TRIM(LEFT(Y80,2))))</f>
        <v/>
      </c>
      <c r="AA80" s="21">
        <f>IF(OR(W80="",X80="",Y80=""),"",INDEX(APGrid,COUNTIF(APS,"&gt;"&amp;(--TRIM(LEFT(W80,2))))*5+COUNTIF(APO,"&gt;"&amp;(--TRIM(LEFT(X80,2))))+1,COUNTIF(APD,"&gt;"&amp;(--TRIM(LEFT(Y80,2))))+1))</f>
        <v/>
      </c>
      <c r="AB80" s="5" t="n"/>
      <c r="AC80" s="5" t="n"/>
      <c r="AE80">
        <f>IFERROR(INDEX(EqTag,_xlfn.AGGREGATE(15,6,(ROW(EqTag)-4)/((EqSys=$D$3)*(EqTag&lt;&gt;"")),ROWS($AE$14:AE80))),"")</f>
        <v/>
      </c>
    </row>
    <row r="81" ht="30" customHeight="1">
      <c r="A81" s="21">
        <f>IF(F81="","",LEFT($D$3,3)&amp;"-"&amp;TEXT(COUNTIF(F$14:F81,"?*"),"00"))</f>
        <v/>
      </c>
      <c r="B81" s="5" t="n"/>
      <c r="C81" s="6">
        <f>IF(B81="","",IFERROR(INDEX(EqTypeCol,MATCH(B81,EqTag,0)),"Tag not in register"))</f>
        <v/>
      </c>
      <c r="D81" s="5" t="n"/>
      <c r="E81" s="5" t="n"/>
      <c r="F81" s="5" t="n"/>
      <c r="G81" s="5" t="n"/>
      <c r="H81" s="5" t="n"/>
      <c r="I81" s="5" t="n"/>
      <c r="J81" s="5" t="n"/>
      <c r="K81" s="17" t="n"/>
      <c r="L81" s="5" t="n"/>
      <c r="M81" s="17" t="n"/>
      <c r="N81" s="5" t="n"/>
      <c r="O81" s="17" t="n"/>
      <c r="P81" s="21">
        <f>IF(OR(K81="",M81="",O81=""),"",(--TRIM(LEFT(K81,2)))*(--TRIM(LEFT(M81,2)))*(--TRIM(LEFT(O81,2))))</f>
        <v/>
      </c>
      <c r="Q81" s="21">
        <f>IF(OR(K81="",M81="",O81=""),"",INDEX(APGrid,COUNTIF(APS,"&gt;"&amp;(--TRIM(LEFT(K81,2))))*5+COUNTIF(APO,"&gt;"&amp;(--TRIM(LEFT(M81,2))))+1,COUNTIF(APD,"&gt;"&amp;(--TRIM(LEFT(O81,2))))+1))</f>
        <v/>
      </c>
      <c r="R81" s="21">
        <f>IF(P81="","",IF(OR((--TRIM(LEFT(K81,2)))&gt;=SThr,P81&gt;=RPNThr,Q81="H"),"Yes","No"))</f>
        <v/>
      </c>
      <c r="S81" s="5" t="n"/>
      <c r="T81" s="5" t="n"/>
      <c r="U81" s="5" t="n"/>
      <c r="V81" s="29" t="n"/>
      <c r="W81" s="17" t="n"/>
      <c r="X81" s="17" t="n"/>
      <c r="Y81" s="17" t="n"/>
      <c r="Z81" s="21">
        <f>IF(OR(W81="",X81="",Y81=""),"",(--TRIM(LEFT(W81,2)))*(--TRIM(LEFT(X81,2)))*(--TRIM(LEFT(Y81,2))))</f>
        <v/>
      </c>
      <c r="AA81" s="21">
        <f>IF(OR(W81="",X81="",Y81=""),"",INDEX(APGrid,COUNTIF(APS,"&gt;"&amp;(--TRIM(LEFT(W81,2))))*5+COUNTIF(APO,"&gt;"&amp;(--TRIM(LEFT(X81,2))))+1,COUNTIF(APD,"&gt;"&amp;(--TRIM(LEFT(Y81,2))))+1))</f>
        <v/>
      </c>
      <c r="AB81" s="5" t="n"/>
      <c r="AC81" s="5" t="n"/>
      <c r="AE81">
        <f>IFERROR(INDEX(EqTag,_xlfn.AGGREGATE(15,6,(ROW(EqTag)-4)/((EqSys=$D$3)*(EqTag&lt;&gt;"")),ROWS($AE$14:AE81))),"")</f>
        <v/>
      </c>
    </row>
    <row r="82" ht="30" customHeight="1">
      <c r="A82" s="21">
        <f>IF(F82="","",LEFT($D$3,3)&amp;"-"&amp;TEXT(COUNTIF(F$14:F82,"?*"),"00"))</f>
        <v/>
      </c>
      <c r="B82" s="5" t="n"/>
      <c r="C82" s="6">
        <f>IF(B82="","",IFERROR(INDEX(EqTypeCol,MATCH(B82,EqTag,0)),"Tag not in register"))</f>
        <v/>
      </c>
      <c r="D82" s="5" t="n"/>
      <c r="E82" s="5" t="n"/>
      <c r="F82" s="5" t="n"/>
      <c r="G82" s="5" t="n"/>
      <c r="H82" s="5" t="n"/>
      <c r="I82" s="5" t="n"/>
      <c r="J82" s="5" t="n"/>
      <c r="K82" s="17" t="n"/>
      <c r="L82" s="5" t="n"/>
      <c r="M82" s="17" t="n"/>
      <c r="N82" s="5" t="n"/>
      <c r="O82" s="17" t="n"/>
      <c r="P82" s="21">
        <f>IF(OR(K82="",M82="",O82=""),"",(--TRIM(LEFT(K82,2)))*(--TRIM(LEFT(M82,2)))*(--TRIM(LEFT(O82,2))))</f>
        <v/>
      </c>
      <c r="Q82" s="21">
        <f>IF(OR(K82="",M82="",O82=""),"",INDEX(APGrid,COUNTIF(APS,"&gt;"&amp;(--TRIM(LEFT(K82,2))))*5+COUNTIF(APO,"&gt;"&amp;(--TRIM(LEFT(M82,2))))+1,COUNTIF(APD,"&gt;"&amp;(--TRIM(LEFT(O82,2))))+1))</f>
        <v/>
      </c>
      <c r="R82" s="21">
        <f>IF(P82="","",IF(OR((--TRIM(LEFT(K82,2)))&gt;=SThr,P82&gt;=RPNThr,Q82="H"),"Yes","No"))</f>
        <v/>
      </c>
      <c r="S82" s="5" t="n"/>
      <c r="T82" s="5" t="n"/>
      <c r="U82" s="5" t="n"/>
      <c r="V82" s="29" t="n"/>
      <c r="W82" s="17" t="n"/>
      <c r="X82" s="17" t="n"/>
      <c r="Y82" s="17" t="n"/>
      <c r="Z82" s="21">
        <f>IF(OR(W82="",X82="",Y82=""),"",(--TRIM(LEFT(W82,2)))*(--TRIM(LEFT(X82,2)))*(--TRIM(LEFT(Y82,2))))</f>
        <v/>
      </c>
      <c r="AA82" s="21">
        <f>IF(OR(W82="",X82="",Y82=""),"",INDEX(APGrid,COUNTIF(APS,"&gt;"&amp;(--TRIM(LEFT(W82,2))))*5+COUNTIF(APO,"&gt;"&amp;(--TRIM(LEFT(X82,2))))+1,COUNTIF(APD,"&gt;"&amp;(--TRIM(LEFT(Y82,2))))+1))</f>
        <v/>
      </c>
      <c r="AB82" s="5" t="n"/>
      <c r="AC82" s="5" t="n"/>
      <c r="AE82">
        <f>IFERROR(INDEX(EqTag,_xlfn.AGGREGATE(15,6,(ROW(EqTag)-4)/((EqSys=$D$3)*(EqTag&lt;&gt;"")),ROWS($AE$14:AE82))),"")</f>
        <v/>
      </c>
    </row>
    <row r="83" ht="30" customHeight="1">
      <c r="A83" s="21">
        <f>IF(F83="","",LEFT($D$3,3)&amp;"-"&amp;TEXT(COUNTIF(F$14:F83,"?*"),"00"))</f>
        <v/>
      </c>
      <c r="B83" s="5" t="n"/>
      <c r="C83" s="6">
        <f>IF(B83="","",IFERROR(INDEX(EqTypeCol,MATCH(B83,EqTag,0)),"Tag not in register"))</f>
        <v/>
      </c>
      <c r="D83" s="5" t="n"/>
      <c r="E83" s="5" t="n"/>
      <c r="F83" s="5" t="n"/>
      <c r="G83" s="5" t="n"/>
      <c r="H83" s="5" t="n"/>
      <c r="I83" s="5" t="n"/>
      <c r="J83" s="5" t="n"/>
      <c r="K83" s="17" t="n"/>
      <c r="L83" s="5" t="n"/>
      <c r="M83" s="17" t="n"/>
      <c r="N83" s="5" t="n"/>
      <c r="O83" s="17" t="n"/>
      <c r="P83" s="21">
        <f>IF(OR(K83="",M83="",O83=""),"",(--TRIM(LEFT(K83,2)))*(--TRIM(LEFT(M83,2)))*(--TRIM(LEFT(O83,2))))</f>
        <v/>
      </c>
      <c r="Q83" s="21">
        <f>IF(OR(K83="",M83="",O83=""),"",INDEX(APGrid,COUNTIF(APS,"&gt;"&amp;(--TRIM(LEFT(K83,2))))*5+COUNTIF(APO,"&gt;"&amp;(--TRIM(LEFT(M83,2))))+1,COUNTIF(APD,"&gt;"&amp;(--TRIM(LEFT(O83,2))))+1))</f>
        <v/>
      </c>
      <c r="R83" s="21">
        <f>IF(P83="","",IF(OR((--TRIM(LEFT(K83,2)))&gt;=SThr,P83&gt;=RPNThr,Q83="H"),"Yes","No"))</f>
        <v/>
      </c>
      <c r="S83" s="5" t="n"/>
      <c r="T83" s="5" t="n"/>
      <c r="U83" s="5" t="n"/>
      <c r="V83" s="29" t="n"/>
      <c r="W83" s="17" t="n"/>
      <c r="X83" s="17" t="n"/>
      <c r="Y83" s="17" t="n"/>
      <c r="Z83" s="21">
        <f>IF(OR(W83="",X83="",Y83=""),"",(--TRIM(LEFT(W83,2)))*(--TRIM(LEFT(X83,2)))*(--TRIM(LEFT(Y83,2))))</f>
        <v/>
      </c>
      <c r="AA83" s="21">
        <f>IF(OR(W83="",X83="",Y83=""),"",INDEX(APGrid,COUNTIF(APS,"&gt;"&amp;(--TRIM(LEFT(W83,2))))*5+COUNTIF(APO,"&gt;"&amp;(--TRIM(LEFT(X83,2))))+1,COUNTIF(APD,"&gt;"&amp;(--TRIM(LEFT(Y83,2))))+1))</f>
        <v/>
      </c>
      <c r="AB83" s="5" t="n"/>
      <c r="AC83" s="5" t="n"/>
      <c r="AE83">
        <f>IFERROR(INDEX(EqTag,_xlfn.AGGREGATE(15,6,(ROW(EqTag)-4)/((EqSys=$D$3)*(EqTag&lt;&gt;"")),ROWS($AE$14:AE83))),"")</f>
        <v/>
      </c>
    </row>
    <row r="84" ht="30" customHeight="1">
      <c r="A84" s="21">
        <f>IF(F84="","",LEFT($D$3,3)&amp;"-"&amp;TEXT(COUNTIF(F$14:F84,"?*"),"00"))</f>
        <v/>
      </c>
      <c r="B84" s="5" t="n"/>
      <c r="C84" s="6">
        <f>IF(B84="","",IFERROR(INDEX(EqTypeCol,MATCH(B84,EqTag,0)),"Tag not in register"))</f>
        <v/>
      </c>
      <c r="D84" s="5" t="n"/>
      <c r="E84" s="5" t="n"/>
      <c r="F84" s="5" t="n"/>
      <c r="G84" s="5" t="n"/>
      <c r="H84" s="5" t="n"/>
      <c r="I84" s="5" t="n"/>
      <c r="J84" s="5" t="n"/>
      <c r="K84" s="17" t="n"/>
      <c r="L84" s="5" t="n"/>
      <c r="M84" s="17" t="n"/>
      <c r="N84" s="5" t="n"/>
      <c r="O84" s="17" t="n"/>
      <c r="P84" s="21">
        <f>IF(OR(K84="",M84="",O84=""),"",(--TRIM(LEFT(K84,2)))*(--TRIM(LEFT(M84,2)))*(--TRIM(LEFT(O84,2))))</f>
        <v/>
      </c>
      <c r="Q84" s="21">
        <f>IF(OR(K84="",M84="",O84=""),"",INDEX(APGrid,COUNTIF(APS,"&gt;"&amp;(--TRIM(LEFT(K84,2))))*5+COUNTIF(APO,"&gt;"&amp;(--TRIM(LEFT(M84,2))))+1,COUNTIF(APD,"&gt;"&amp;(--TRIM(LEFT(O84,2))))+1))</f>
        <v/>
      </c>
      <c r="R84" s="21">
        <f>IF(P84="","",IF(OR((--TRIM(LEFT(K84,2)))&gt;=SThr,P84&gt;=RPNThr,Q84="H"),"Yes","No"))</f>
        <v/>
      </c>
      <c r="S84" s="5" t="n"/>
      <c r="T84" s="5" t="n"/>
      <c r="U84" s="5" t="n"/>
      <c r="V84" s="29" t="n"/>
      <c r="W84" s="17" t="n"/>
      <c r="X84" s="17" t="n"/>
      <c r="Y84" s="17" t="n"/>
      <c r="Z84" s="21">
        <f>IF(OR(W84="",X84="",Y84=""),"",(--TRIM(LEFT(W84,2)))*(--TRIM(LEFT(X84,2)))*(--TRIM(LEFT(Y84,2))))</f>
        <v/>
      </c>
      <c r="AA84" s="21">
        <f>IF(OR(W84="",X84="",Y84=""),"",INDEX(APGrid,COUNTIF(APS,"&gt;"&amp;(--TRIM(LEFT(W84,2))))*5+COUNTIF(APO,"&gt;"&amp;(--TRIM(LEFT(X84,2))))+1,COUNTIF(APD,"&gt;"&amp;(--TRIM(LEFT(Y84,2))))+1))</f>
        <v/>
      </c>
      <c r="AB84" s="5" t="n"/>
      <c r="AC84" s="5" t="n"/>
      <c r="AE84">
        <f>IFERROR(INDEX(EqTag,_xlfn.AGGREGATE(15,6,(ROW(EqTag)-4)/((EqSys=$D$3)*(EqTag&lt;&gt;"")),ROWS($AE$14:AE84))),"")</f>
        <v/>
      </c>
    </row>
    <row r="85" ht="30" customHeight="1">
      <c r="A85" s="21">
        <f>IF(F85="","",LEFT($D$3,3)&amp;"-"&amp;TEXT(COUNTIF(F$14:F85,"?*"),"00"))</f>
        <v/>
      </c>
      <c r="B85" s="5" t="n"/>
      <c r="C85" s="6">
        <f>IF(B85="","",IFERROR(INDEX(EqTypeCol,MATCH(B85,EqTag,0)),"Tag not in register"))</f>
        <v/>
      </c>
      <c r="D85" s="5" t="n"/>
      <c r="E85" s="5" t="n"/>
      <c r="F85" s="5" t="n"/>
      <c r="G85" s="5" t="n"/>
      <c r="H85" s="5" t="n"/>
      <c r="I85" s="5" t="n"/>
      <c r="J85" s="5" t="n"/>
      <c r="K85" s="17" t="n"/>
      <c r="L85" s="5" t="n"/>
      <c r="M85" s="17" t="n"/>
      <c r="N85" s="5" t="n"/>
      <c r="O85" s="17" t="n"/>
      <c r="P85" s="21">
        <f>IF(OR(K85="",M85="",O85=""),"",(--TRIM(LEFT(K85,2)))*(--TRIM(LEFT(M85,2)))*(--TRIM(LEFT(O85,2))))</f>
        <v/>
      </c>
      <c r="Q85" s="21">
        <f>IF(OR(K85="",M85="",O85=""),"",INDEX(APGrid,COUNTIF(APS,"&gt;"&amp;(--TRIM(LEFT(K85,2))))*5+COUNTIF(APO,"&gt;"&amp;(--TRIM(LEFT(M85,2))))+1,COUNTIF(APD,"&gt;"&amp;(--TRIM(LEFT(O85,2))))+1))</f>
        <v/>
      </c>
      <c r="R85" s="21">
        <f>IF(P85="","",IF(OR((--TRIM(LEFT(K85,2)))&gt;=SThr,P85&gt;=RPNThr,Q85="H"),"Yes","No"))</f>
        <v/>
      </c>
      <c r="S85" s="5" t="n"/>
      <c r="T85" s="5" t="n"/>
      <c r="U85" s="5" t="n"/>
      <c r="V85" s="29" t="n"/>
      <c r="W85" s="17" t="n"/>
      <c r="X85" s="17" t="n"/>
      <c r="Y85" s="17" t="n"/>
      <c r="Z85" s="21">
        <f>IF(OR(W85="",X85="",Y85=""),"",(--TRIM(LEFT(W85,2)))*(--TRIM(LEFT(X85,2)))*(--TRIM(LEFT(Y85,2))))</f>
        <v/>
      </c>
      <c r="AA85" s="21">
        <f>IF(OR(W85="",X85="",Y85=""),"",INDEX(APGrid,COUNTIF(APS,"&gt;"&amp;(--TRIM(LEFT(W85,2))))*5+COUNTIF(APO,"&gt;"&amp;(--TRIM(LEFT(X85,2))))+1,COUNTIF(APD,"&gt;"&amp;(--TRIM(LEFT(Y85,2))))+1))</f>
        <v/>
      </c>
      <c r="AB85" s="5" t="n"/>
      <c r="AC85" s="5" t="n"/>
      <c r="AE85">
        <f>IFERROR(INDEX(EqTag,_xlfn.AGGREGATE(15,6,(ROW(EqTag)-4)/((EqSys=$D$3)*(EqTag&lt;&gt;"")),ROWS($AE$14:AE85))),"")</f>
        <v/>
      </c>
    </row>
    <row r="86" ht="30" customHeight="1">
      <c r="A86" s="21">
        <f>IF(F86="","",LEFT($D$3,3)&amp;"-"&amp;TEXT(COUNTIF(F$14:F86,"?*"),"00"))</f>
        <v/>
      </c>
      <c r="B86" s="5" t="n"/>
      <c r="C86" s="6">
        <f>IF(B86="","",IFERROR(INDEX(EqTypeCol,MATCH(B86,EqTag,0)),"Tag not in register"))</f>
        <v/>
      </c>
      <c r="D86" s="5" t="n"/>
      <c r="E86" s="5" t="n"/>
      <c r="F86" s="5" t="n"/>
      <c r="G86" s="5" t="n"/>
      <c r="H86" s="5" t="n"/>
      <c r="I86" s="5" t="n"/>
      <c r="J86" s="5" t="n"/>
      <c r="K86" s="17" t="n"/>
      <c r="L86" s="5" t="n"/>
      <c r="M86" s="17" t="n"/>
      <c r="N86" s="5" t="n"/>
      <c r="O86" s="17" t="n"/>
      <c r="P86" s="21">
        <f>IF(OR(K86="",M86="",O86=""),"",(--TRIM(LEFT(K86,2)))*(--TRIM(LEFT(M86,2)))*(--TRIM(LEFT(O86,2))))</f>
        <v/>
      </c>
      <c r="Q86" s="21">
        <f>IF(OR(K86="",M86="",O86=""),"",INDEX(APGrid,COUNTIF(APS,"&gt;"&amp;(--TRIM(LEFT(K86,2))))*5+COUNTIF(APO,"&gt;"&amp;(--TRIM(LEFT(M86,2))))+1,COUNTIF(APD,"&gt;"&amp;(--TRIM(LEFT(O86,2))))+1))</f>
        <v/>
      </c>
      <c r="R86" s="21">
        <f>IF(P86="","",IF(OR((--TRIM(LEFT(K86,2)))&gt;=SThr,P86&gt;=RPNThr,Q86="H"),"Yes","No"))</f>
        <v/>
      </c>
      <c r="S86" s="5" t="n"/>
      <c r="T86" s="5" t="n"/>
      <c r="U86" s="5" t="n"/>
      <c r="V86" s="29" t="n"/>
      <c r="W86" s="17" t="n"/>
      <c r="X86" s="17" t="n"/>
      <c r="Y86" s="17" t="n"/>
      <c r="Z86" s="21">
        <f>IF(OR(W86="",X86="",Y86=""),"",(--TRIM(LEFT(W86,2)))*(--TRIM(LEFT(X86,2)))*(--TRIM(LEFT(Y86,2))))</f>
        <v/>
      </c>
      <c r="AA86" s="21">
        <f>IF(OR(W86="",X86="",Y86=""),"",INDEX(APGrid,COUNTIF(APS,"&gt;"&amp;(--TRIM(LEFT(W86,2))))*5+COUNTIF(APO,"&gt;"&amp;(--TRIM(LEFT(X86,2))))+1,COUNTIF(APD,"&gt;"&amp;(--TRIM(LEFT(Y86,2))))+1))</f>
        <v/>
      </c>
      <c r="AB86" s="5" t="n"/>
      <c r="AC86" s="5" t="n"/>
      <c r="AE86">
        <f>IFERROR(INDEX(EqTag,_xlfn.AGGREGATE(15,6,(ROW(EqTag)-4)/((EqSys=$D$3)*(EqTag&lt;&gt;"")),ROWS($AE$14:AE86))),"")</f>
        <v/>
      </c>
    </row>
    <row r="87" ht="30" customHeight="1">
      <c r="A87" s="21">
        <f>IF(F87="","",LEFT($D$3,3)&amp;"-"&amp;TEXT(COUNTIF(F$14:F87,"?*"),"00"))</f>
        <v/>
      </c>
      <c r="B87" s="5" t="n"/>
      <c r="C87" s="6">
        <f>IF(B87="","",IFERROR(INDEX(EqTypeCol,MATCH(B87,EqTag,0)),"Tag not in register"))</f>
        <v/>
      </c>
      <c r="D87" s="5" t="n"/>
      <c r="E87" s="5" t="n"/>
      <c r="F87" s="5" t="n"/>
      <c r="G87" s="5" t="n"/>
      <c r="H87" s="5" t="n"/>
      <c r="I87" s="5" t="n"/>
      <c r="J87" s="5" t="n"/>
      <c r="K87" s="17" t="n"/>
      <c r="L87" s="5" t="n"/>
      <c r="M87" s="17" t="n"/>
      <c r="N87" s="5" t="n"/>
      <c r="O87" s="17" t="n"/>
      <c r="P87" s="21">
        <f>IF(OR(K87="",M87="",O87=""),"",(--TRIM(LEFT(K87,2)))*(--TRIM(LEFT(M87,2)))*(--TRIM(LEFT(O87,2))))</f>
        <v/>
      </c>
      <c r="Q87" s="21">
        <f>IF(OR(K87="",M87="",O87=""),"",INDEX(APGrid,COUNTIF(APS,"&gt;"&amp;(--TRIM(LEFT(K87,2))))*5+COUNTIF(APO,"&gt;"&amp;(--TRIM(LEFT(M87,2))))+1,COUNTIF(APD,"&gt;"&amp;(--TRIM(LEFT(O87,2))))+1))</f>
        <v/>
      </c>
      <c r="R87" s="21">
        <f>IF(P87="","",IF(OR((--TRIM(LEFT(K87,2)))&gt;=SThr,P87&gt;=RPNThr,Q87="H"),"Yes","No"))</f>
        <v/>
      </c>
      <c r="S87" s="5" t="n"/>
      <c r="T87" s="5" t="n"/>
      <c r="U87" s="5" t="n"/>
      <c r="V87" s="29" t="n"/>
      <c r="W87" s="17" t="n"/>
      <c r="X87" s="17" t="n"/>
      <c r="Y87" s="17" t="n"/>
      <c r="Z87" s="21">
        <f>IF(OR(W87="",X87="",Y87=""),"",(--TRIM(LEFT(W87,2)))*(--TRIM(LEFT(X87,2)))*(--TRIM(LEFT(Y87,2))))</f>
        <v/>
      </c>
      <c r="AA87" s="21">
        <f>IF(OR(W87="",X87="",Y87=""),"",INDEX(APGrid,COUNTIF(APS,"&gt;"&amp;(--TRIM(LEFT(W87,2))))*5+COUNTIF(APO,"&gt;"&amp;(--TRIM(LEFT(X87,2))))+1,COUNTIF(APD,"&gt;"&amp;(--TRIM(LEFT(Y87,2))))+1))</f>
        <v/>
      </c>
      <c r="AB87" s="5" t="n"/>
      <c r="AC87" s="5" t="n"/>
      <c r="AE87">
        <f>IFERROR(INDEX(EqTag,_xlfn.AGGREGATE(15,6,(ROW(EqTag)-4)/((EqSys=$D$3)*(EqTag&lt;&gt;"")),ROWS($AE$14:AE87))),"")</f>
        <v/>
      </c>
    </row>
    <row r="88" ht="30" customHeight="1">
      <c r="A88" s="21">
        <f>IF(F88="","",LEFT($D$3,3)&amp;"-"&amp;TEXT(COUNTIF(F$14:F88,"?*"),"00"))</f>
        <v/>
      </c>
      <c r="B88" s="5" t="n"/>
      <c r="C88" s="6">
        <f>IF(B88="","",IFERROR(INDEX(EqTypeCol,MATCH(B88,EqTag,0)),"Tag not in register"))</f>
        <v/>
      </c>
      <c r="D88" s="5" t="n"/>
      <c r="E88" s="5" t="n"/>
      <c r="F88" s="5" t="n"/>
      <c r="G88" s="5" t="n"/>
      <c r="H88" s="5" t="n"/>
      <c r="I88" s="5" t="n"/>
      <c r="J88" s="5" t="n"/>
      <c r="K88" s="17" t="n"/>
      <c r="L88" s="5" t="n"/>
      <c r="M88" s="17" t="n"/>
      <c r="N88" s="5" t="n"/>
      <c r="O88" s="17" t="n"/>
      <c r="P88" s="21">
        <f>IF(OR(K88="",M88="",O88=""),"",(--TRIM(LEFT(K88,2)))*(--TRIM(LEFT(M88,2)))*(--TRIM(LEFT(O88,2))))</f>
        <v/>
      </c>
      <c r="Q88" s="21">
        <f>IF(OR(K88="",M88="",O88=""),"",INDEX(APGrid,COUNTIF(APS,"&gt;"&amp;(--TRIM(LEFT(K88,2))))*5+COUNTIF(APO,"&gt;"&amp;(--TRIM(LEFT(M88,2))))+1,COUNTIF(APD,"&gt;"&amp;(--TRIM(LEFT(O88,2))))+1))</f>
        <v/>
      </c>
      <c r="R88" s="21">
        <f>IF(P88="","",IF(OR((--TRIM(LEFT(K88,2)))&gt;=SThr,P88&gt;=RPNThr,Q88="H"),"Yes","No"))</f>
        <v/>
      </c>
      <c r="S88" s="5" t="n"/>
      <c r="T88" s="5" t="n"/>
      <c r="U88" s="5" t="n"/>
      <c r="V88" s="29" t="n"/>
      <c r="W88" s="17" t="n"/>
      <c r="X88" s="17" t="n"/>
      <c r="Y88" s="17" t="n"/>
      <c r="Z88" s="21">
        <f>IF(OR(W88="",X88="",Y88=""),"",(--TRIM(LEFT(W88,2)))*(--TRIM(LEFT(X88,2)))*(--TRIM(LEFT(Y88,2))))</f>
        <v/>
      </c>
      <c r="AA88" s="21">
        <f>IF(OR(W88="",X88="",Y88=""),"",INDEX(APGrid,COUNTIF(APS,"&gt;"&amp;(--TRIM(LEFT(W88,2))))*5+COUNTIF(APO,"&gt;"&amp;(--TRIM(LEFT(X88,2))))+1,COUNTIF(APD,"&gt;"&amp;(--TRIM(LEFT(Y88,2))))+1))</f>
        <v/>
      </c>
      <c r="AB88" s="5" t="n"/>
      <c r="AC88" s="5" t="n"/>
      <c r="AE88">
        <f>IFERROR(INDEX(EqTag,_xlfn.AGGREGATE(15,6,(ROW(EqTag)-4)/((EqSys=$D$3)*(EqTag&lt;&gt;"")),ROWS($AE$14:AE88))),"")</f>
        <v/>
      </c>
    </row>
    <row r="89" ht="30" customHeight="1">
      <c r="A89" s="21">
        <f>IF(F89="","",LEFT($D$3,3)&amp;"-"&amp;TEXT(COUNTIF(F$14:F89,"?*"),"00"))</f>
        <v/>
      </c>
      <c r="B89" s="5" t="n"/>
      <c r="C89" s="6">
        <f>IF(B89="","",IFERROR(INDEX(EqTypeCol,MATCH(B89,EqTag,0)),"Tag not in register"))</f>
        <v/>
      </c>
      <c r="D89" s="5" t="n"/>
      <c r="E89" s="5" t="n"/>
      <c r="F89" s="5" t="n"/>
      <c r="G89" s="5" t="n"/>
      <c r="H89" s="5" t="n"/>
      <c r="I89" s="5" t="n"/>
      <c r="J89" s="5" t="n"/>
      <c r="K89" s="17" t="n"/>
      <c r="L89" s="5" t="n"/>
      <c r="M89" s="17" t="n"/>
      <c r="N89" s="5" t="n"/>
      <c r="O89" s="17" t="n"/>
      <c r="P89" s="21">
        <f>IF(OR(K89="",M89="",O89=""),"",(--TRIM(LEFT(K89,2)))*(--TRIM(LEFT(M89,2)))*(--TRIM(LEFT(O89,2))))</f>
        <v/>
      </c>
      <c r="Q89" s="21">
        <f>IF(OR(K89="",M89="",O89=""),"",INDEX(APGrid,COUNTIF(APS,"&gt;"&amp;(--TRIM(LEFT(K89,2))))*5+COUNTIF(APO,"&gt;"&amp;(--TRIM(LEFT(M89,2))))+1,COUNTIF(APD,"&gt;"&amp;(--TRIM(LEFT(O89,2))))+1))</f>
        <v/>
      </c>
      <c r="R89" s="21">
        <f>IF(P89="","",IF(OR((--TRIM(LEFT(K89,2)))&gt;=SThr,P89&gt;=RPNThr,Q89="H"),"Yes","No"))</f>
        <v/>
      </c>
      <c r="S89" s="5" t="n"/>
      <c r="T89" s="5" t="n"/>
      <c r="U89" s="5" t="n"/>
      <c r="V89" s="29" t="n"/>
      <c r="W89" s="17" t="n"/>
      <c r="X89" s="17" t="n"/>
      <c r="Y89" s="17" t="n"/>
      <c r="Z89" s="21">
        <f>IF(OR(W89="",X89="",Y89=""),"",(--TRIM(LEFT(W89,2)))*(--TRIM(LEFT(X89,2)))*(--TRIM(LEFT(Y89,2))))</f>
        <v/>
      </c>
      <c r="AA89" s="21">
        <f>IF(OR(W89="",X89="",Y89=""),"",INDEX(APGrid,COUNTIF(APS,"&gt;"&amp;(--TRIM(LEFT(W89,2))))*5+COUNTIF(APO,"&gt;"&amp;(--TRIM(LEFT(X89,2))))+1,COUNTIF(APD,"&gt;"&amp;(--TRIM(LEFT(Y89,2))))+1))</f>
        <v/>
      </c>
      <c r="AB89" s="5" t="n"/>
      <c r="AC89" s="5" t="n"/>
      <c r="AE89">
        <f>IFERROR(INDEX(EqTag,_xlfn.AGGREGATE(15,6,(ROW(EqTag)-4)/((EqSys=$D$3)*(EqTag&lt;&gt;"")),ROWS($AE$14:AE89))),"")</f>
        <v/>
      </c>
    </row>
    <row r="90" ht="30" customHeight="1">
      <c r="A90" s="21">
        <f>IF(F90="","",LEFT($D$3,3)&amp;"-"&amp;TEXT(COUNTIF(F$14:F90,"?*"),"00"))</f>
        <v/>
      </c>
      <c r="B90" s="5" t="n"/>
      <c r="C90" s="6">
        <f>IF(B90="","",IFERROR(INDEX(EqTypeCol,MATCH(B90,EqTag,0)),"Tag not in register"))</f>
        <v/>
      </c>
      <c r="D90" s="5" t="n"/>
      <c r="E90" s="5" t="n"/>
      <c r="F90" s="5" t="n"/>
      <c r="G90" s="5" t="n"/>
      <c r="H90" s="5" t="n"/>
      <c r="I90" s="5" t="n"/>
      <c r="J90" s="5" t="n"/>
      <c r="K90" s="17" t="n"/>
      <c r="L90" s="5" t="n"/>
      <c r="M90" s="17" t="n"/>
      <c r="N90" s="5" t="n"/>
      <c r="O90" s="17" t="n"/>
      <c r="P90" s="21">
        <f>IF(OR(K90="",M90="",O90=""),"",(--TRIM(LEFT(K90,2)))*(--TRIM(LEFT(M90,2)))*(--TRIM(LEFT(O90,2))))</f>
        <v/>
      </c>
      <c r="Q90" s="21">
        <f>IF(OR(K90="",M90="",O90=""),"",INDEX(APGrid,COUNTIF(APS,"&gt;"&amp;(--TRIM(LEFT(K90,2))))*5+COUNTIF(APO,"&gt;"&amp;(--TRIM(LEFT(M90,2))))+1,COUNTIF(APD,"&gt;"&amp;(--TRIM(LEFT(O90,2))))+1))</f>
        <v/>
      </c>
      <c r="R90" s="21">
        <f>IF(P90="","",IF(OR((--TRIM(LEFT(K90,2)))&gt;=SThr,P90&gt;=RPNThr,Q90="H"),"Yes","No"))</f>
        <v/>
      </c>
      <c r="S90" s="5" t="n"/>
      <c r="T90" s="5" t="n"/>
      <c r="U90" s="5" t="n"/>
      <c r="V90" s="29" t="n"/>
      <c r="W90" s="17" t="n"/>
      <c r="X90" s="17" t="n"/>
      <c r="Y90" s="17" t="n"/>
      <c r="Z90" s="21">
        <f>IF(OR(W90="",X90="",Y90=""),"",(--TRIM(LEFT(W90,2)))*(--TRIM(LEFT(X90,2)))*(--TRIM(LEFT(Y90,2))))</f>
        <v/>
      </c>
      <c r="AA90" s="21">
        <f>IF(OR(W90="",X90="",Y90=""),"",INDEX(APGrid,COUNTIF(APS,"&gt;"&amp;(--TRIM(LEFT(W90,2))))*5+COUNTIF(APO,"&gt;"&amp;(--TRIM(LEFT(X90,2))))+1,COUNTIF(APD,"&gt;"&amp;(--TRIM(LEFT(Y90,2))))+1))</f>
        <v/>
      </c>
      <c r="AB90" s="5" t="n"/>
      <c r="AC90" s="5" t="n"/>
      <c r="AE90">
        <f>IFERROR(INDEX(EqTag,_xlfn.AGGREGATE(15,6,(ROW(EqTag)-4)/((EqSys=$D$3)*(EqTag&lt;&gt;"")),ROWS($AE$14:AE90))),"")</f>
        <v/>
      </c>
    </row>
    <row r="91" ht="30" customHeight="1">
      <c r="A91" s="21">
        <f>IF(F91="","",LEFT($D$3,3)&amp;"-"&amp;TEXT(COUNTIF(F$14:F91,"?*"),"00"))</f>
        <v/>
      </c>
      <c r="B91" s="5" t="n"/>
      <c r="C91" s="6">
        <f>IF(B91="","",IFERROR(INDEX(EqTypeCol,MATCH(B91,EqTag,0)),"Tag not in register"))</f>
        <v/>
      </c>
      <c r="D91" s="5" t="n"/>
      <c r="E91" s="5" t="n"/>
      <c r="F91" s="5" t="n"/>
      <c r="G91" s="5" t="n"/>
      <c r="H91" s="5" t="n"/>
      <c r="I91" s="5" t="n"/>
      <c r="J91" s="5" t="n"/>
      <c r="K91" s="17" t="n"/>
      <c r="L91" s="5" t="n"/>
      <c r="M91" s="17" t="n"/>
      <c r="N91" s="5" t="n"/>
      <c r="O91" s="17" t="n"/>
      <c r="P91" s="21">
        <f>IF(OR(K91="",M91="",O91=""),"",(--TRIM(LEFT(K91,2)))*(--TRIM(LEFT(M91,2)))*(--TRIM(LEFT(O91,2))))</f>
        <v/>
      </c>
      <c r="Q91" s="21">
        <f>IF(OR(K91="",M91="",O91=""),"",INDEX(APGrid,COUNTIF(APS,"&gt;"&amp;(--TRIM(LEFT(K91,2))))*5+COUNTIF(APO,"&gt;"&amp;(--TRIM(LEFT(M91,2))))+1,COUNTIF(APD,"&gt;"&amp;(--TRIM(LEFT(O91,2))))+1))</f>
        <v/>
      </c>
      <c r="R91" s="21">
        <f>IF(P91="","",IF(OR((--TRIM(LEFT(K91,2)))&gt;=SThr,P91&gt;=RPNThr,Q91="H"),"Yes","No"))</f>
        <v/>
      </c>
      <c r="S91" s="5" t="n"/>
      <c r="T91" s="5" t="n"/>
      <c r="U91" s="5" t="n"/>
      <c r="V91" s="29" t="n"/>
      <c r="W91" s="17" t="n"/>
      <c r="X91" s="17" t="n"/>
      <c r="Y91" s="17" t="n"/>
      <c r="Z91" s="21">
        <f>IF(OR(W91="",X91="",Y91=""),"",(--TRIM(LEFT(W91,2)))*(--TRIM(LEFT(X91,2)))*(--TRIM(LEFT(Y91,2))))</f>
        <v/>
      </c>
      <c r="AA91" s="21">
        <f>IF(OR(W91="",X91="",Y91=""),"",INDEX(APGrid,COUNTIF(APS,"&gt;"&amp;(--TRIM(LEFT(W91,2))))*5+COUNTIF(APO,"&gt;"&amp;(--TRIM(LEFT(X91,2))))+1,COUNTIF(APD,"&gt;"&amp;(--TRIM(LEFT(Y91,2))))+1))</f>
        <v/>
      </c>
      <c r="AB91" s="5" t="n"/>
      <c r="AC91" s="5" t="n"/>
      <c r="AE91">
        <f>IFERROR(INDEX(EqTag,_xlfn.AGGREGATE(15,6,(ROW(EqTag)-4)/((EqSys=$D$3)*(EqTag&lt;&gt;"")),ROWS($AE$14:AE91))),"")</f>
        <v/>
      </c>
    </row>
    <row r="92" ht="30" customHeight="1">
      <c r="A92" s="21">
        <f>IF(F92="","",LEFT($D$3,3)&amp;"-"&amp;TEXT(COUNTIF(F$14:F92,"?*"),"00"))</f>
        <v/>
      </c>
      <c r="B92" s="5" t="n"/>
      <c r="C92" s="6">
        <f>IF(B92="","",IFERROR(INDEX(EqTypeCol,MATCH(B92,EqTag,0)),"Tag not in register"))</f>
        <v/>
      </c>
      <c r="D92" s="5" t="n"/>
      <c r="E92" s="5" t="n"/>
      <c r="F92" s="5" t="n"/>
      <c r="G92" s="5" t="n"/>
      <c r="H92" s="5" t="n"/>
      <c r="I92" s="5" t="n"/>
      <c r="J92" s="5" t="n"/>
      <c r="K92" s="17" t="n"/>
      <c r="L92" s="5" t="n"/>
      <c r="M92" s="17" t="n"/>
      <c r="N92" s="5" t="n"/>
      <c r="O92" s="17" t="n"/>
      <c r="P92" s="21">
        <f>IF(OR(K92="",M92="",O92=""),"",(--TRIM(LEFT(K92,2)))*(--TRIM(LEFT(M92,2)))*(--TRIM(LEFT(O92,2))))</f>
        <v/>
      </c>
      <c r="Q92" s="21">
        <f>IF(OR(K92="",M92="",O92=""),"",INDEX(APGrid,COUNTIF(APS,"&gt;"&amp;(--TRIM(LEFT(K92,2))))*5+COUNTIF(APO,"&gt;"&amp;(--TRIM(LEFT(M92,2))))+1,COUNTIF(APD,"&gt;"&amp;(--TRIM(LEFT(O92,2))))+1))</f>
        <v/>
      </c>
      <c r="R92" s="21">
        <f>IF(P92="","",IF(OR((--TRIM(LEFT(K92,2)))&gt;=SThr,P92&gt;=RPNThr,Q92="H"),"Yes","No"))</f>
        <v/>
      </c>
      <c r="S92" s="5" t="n"/>
      <c r="T92" s="5" t="n"/>
      <c r="U92" s="5" t="n"/>
      <c r="V92" s="29" t="n"/>
      <c r="W92" s="17" t="n"/>
      <c r="X92" s="17" t="n"/>
      <c r="Y92" s="17" t="n"/>
      <c r="Z92" s="21">
        <f>IF(OR(W92="",X92="",Y92=""),"",(--TRIM(LEFT(W92,2)))*(--TRIM(LEFT(X92,2)))*(--TRIM(LEFT(Y92,2))))</f>
        <v/>
      </c>
      <c r="AA92" s="21">
        <f>IF(OR(W92="",X92="",Y92=""),"",INDEX(APGrid,COUNTIF(APS,"&gt;"&amp;(--TRIM(LEFT(W92,2))))*5+COUNTIF(APO,"&gt;"&amp;(--TRIM(LEFT(X92,2))))+1,COUNTIF(APD,"&gt;"&amp;(--TRIM(LEFT(Y92,2))))+1))</f>
        <v/>
      </c>
      <c r="AB92" s="5" t="n"/>
      <c r="AC92" s="5" t="n"/>
      <c r="AE92">
        <f>IFERROR(INDEX(EqTag,_xlfn.AGGREGATE(15,6,(ROW(EqTag)-4)/((EqSys=$D$3)*(EqTag&lt;&gt;"")),ROWS($AE$14:AE92))),"")</f>
        <v/>
      </c>
    </row>
    <row r="93" ht="30" customHeight="1">
      <c r="A93" s="21">
        <f>IF(F93="","",LEFT($D$3,3)&amp;"-"&amp;TEXT(COUNTIF(F$14:F93,"?*"),"00"))</f>
        <v/>
      </c>
      <c r="B93" s="5" t="n"/>
      <c r="C93" s="6">
        <f>IF(B93="","",IFERROR(INDEX(EqTypeCol,MATCH(B93,EqTag,0)),"Tag not in register"))</f>
        <v/>
      </c>
      <c r="D93" s="5" t="n"/>
      <c r="E93" s="5" t="n"/>
      <c r="F93" s="5" t="n"/>
      <c r="G93" s="5" t="n"/>
      <c r="H93" s="5" t="n"/>
      <c r="I93" s="5" t="n"/>
      <c r="J93" s="5" t="n"/>
      <c r="K93" s="17" t="n"/>
      <c r="L93" s="5" t="n"/>
      <c r="M93" s="17" t="n"/>
      <c r="N93" s="5" t="n"/>
      <c r="O93" s="17" t="n"/>
      <c r="P93" s="21">
        <f>IF(OR(K93="",M93="",O93=""),"",(--TRIM(LEFT(K93,2)))*(--TRIM(LEFT(M93,2)))*(--TRIM(LEFT(O93,2))))</f>
        <v/>
      </c>
      <c r="Q93" s="21">
        <f>IF(OR(K93="",M93="",O93=""),"",INDEX(APGrid,COUNTIF(APS,"&gt;"&amp;(--TRIM(LEFT(K93,2))))*5+COUNTIF(APO,"&gt;"&amp;(--TRIM(LEFT(M93,2))))+1,COUNTIF(APD,"&gt;"&amp;(--TRIM(LEFT(O93,2))))+1))</f>
        <v/>
      </c>
      <c r="R93" s="21">
        <f>IF(P93="","",IF(OR((--TRIM(LEFT(K93,2)))&gt;=SThr,P93&gt;=RPNThr,Q93="H"),"Yes","No"))</f>
        <v/>
      </c>
      <c r="S93" s="5" t="n"/>
      <c r="T93" s="5" t="n"/>
      <c r="U93" s="5" t="n"/>
      <c r="V93" s="29" t="n"/>
      <c r="W93" s="17" t="n"/>
      <c r="X93" s="17" t="n"/>
      <c r="Y93" s="17" t="n"/>
      <c r="Z93" s="21">
        <f>IF(OR(W93="",X93="",Y93=""),"",(--TRIM(LEFT(W93,2)))*(--TRIM(LEFT(X93,2)))*(--TRIM(LEFT(Y93,2))))</f>
        <v/>
      </c>
      <c r="AA93" s="21">
        <f>IF(OR(W93="",X93="",Y93=""),"",INDEX(APGrid,COUNTIF(APS,"&gt;"&amp;(--TRIM(LEFT(W93,2))))*5+COUNTIF(APO,"&gt;"&amp;(--TRIM(LEFT(X93,2))))+1,COUNTIF(APD,"&gt;"&amp;(--TRIM(LEFT(Y93,2))))+1))</f>
        <v/>
      </c>
      <c r="AB93" s="5" t="n"/>
      <c r="AC93" s="5" t="n"/>
      <c r="AE93">
        <f>IFERROR(INDEX(EqTag,_xlfn.AGGREGATE(15,6,(ROW(EqTag)-4)/((EqSys=$D$3)*(EqTag&lt;&gt;"")),ROWS($AE$14:AE93))),"")</f>
        <v/>
      </c>
    </row>
    <row r="94" ht="30" customHeight="1">
      <c r="A94" s="21">
        <f>IF(F94="","",LEFT($D$3,3)&amp;"-"&amp;TEXT(COUNTIF(F$14:F94,"?*"),"00"))</f>
        <v/>
      </c>
      <c r="B94" s="5" t="n"/>
      <c r="C94" s="6">
        <f>IF(B94="","",IFERROR(INDEX(EqTypeCol,MATCH(B94,EqTag,0)),"Tag not in register"))</f>
        <v/>
      </c>
      <c r="D94" s="5" t="n"/>
      <c r="E94" s="5" t="n"/>
      <c r="F94" s="5" t="n"/>
      <c r="G94" s="5" t="n"/>
      <c r="H94" s="5" t="n"/>
      <c r="I94" s="5" t="n"/>
      <c r="J94" s="5" t="n"/>
      <c r="K94" s="17" t="n"/>
      <c r="L94" s="5" t="n"/>
      <c r="M94" s="17" t="n"/>
      <c r="N94" s="5" t="n"/>
      <c r="O94" s="17" t="n"/>
      <c r="P94" s="21">
        <f>IF(OR(K94="",M94="",O94=""),"",(--TRIM(LEFT(K94,2)))*(--TRIM(LEFT(M94,2)))*(--TRIM(LEFT(O94,2))))</f>
        <v/>
      </c>
      <c r="Q94" s="21">
        <f>IF(OR(K94="",M94="",O94=""),"",INDEX(APGrid,COUNTIF(APS,"&gt;"&amp;(--TRIM(LEFT(K94,2))))*5+COUNTIF(APO,"&gt;"&amp;(--TRIM(LEFT(M94,2))))+1,COUNTIF(APD,"&gt;"&amp;(--TRIM(LEFT(O94,2))))+1))</f>
        <v/>
      </c>
      <c r="R94" s="21">
        <f>IF(P94="","",IF(OR((--TRIM(LEFT(K94,2)))&gt;=SThr,P94&gt;=RPNThr,Q94="H"),"Yes","No"))</f>
        <v/>
      </c>
      <c r="S94" s="5" t="n"/>
      <c r="T94" s="5" t="n"/>
      <c r="U94" s="5" t="n"/>
      <c r="V94" s="29" t="n"/>
      <c r="W94" s="17" t="n"/>
      <c r="X94" s="17" t="n"/>
      <c r="Y94" s="17" t="n"/>
      <c r="Z94" s="21">
        <f>IF(OR(W94="",X94="",Y94=""),"",(--TRIM(LEFT(W94,2)))*(--TRIM(LEFT(X94,2)))*(--TRIM(LEFT(Y94,2))))</f>
        <v/>
      </c>
      <c r="AA94" s="21">
        <f>IF(OR(W94="",X94="",Y94=""),"",INDEX(APGrid,COUNTIF(APS,"&gt;"&amp;(--TRIM(LEFT(W94,2))))*5+COUNTIF(APO,"&gt;"&amp;(--TRIM(LEFT(X94,2))))+1,COUNTIF(APD,"&gt;"&amp;(--TRIM(LEFT(Y94,2))))+1))</f>
        <v/>
      </c>
      <c r="AB94" s="5" t="n"/>
      <c r="AC94" s="5" t="n"/>
      <c r="AE94">
        <f>IFERROR(INDEX(EqTag,_xlfn.AGGREGATE(15,6,(ROW(EqTag)-4)/((EqSys=$D$3)*(EqTag&lt;&gt;"")),ROWS($AE$14:AE94))),"")</f>
        <v/>
      </c>
    </row>
    <row r="95" ht="30" customHeight="1">
      <c r="A95" s="21">
        <f>IF(F95="","",LEFT($D$3,3)&amp;"-"&amp;TEXT(COUNTIF(F$14:F95,"?*"),"00"))</f>
        <v/>
      </c>
      <c r="B95" s="5" t="n"/>
      <c r="C95" s="6">
        <f>IF(B95="","",IFERROR(INDEX(EqTypeCol,MATCH(B95,EqTag,0)),"Tag not in register"))</f>
        <v/>
      </c>
      <c r="D95" s="5" t="n"/>
      <c r="E95" s="5" t="n"/>
      <c r="F95" s="5" t="n"/>
      <c r="G95" s="5" t="n"/>
      <c r="H95" s="5" t="n"/>
      <c r="I95" s="5" t="n"/>
      <c r="J95" s="5" t="n"/>
      <c r="K95" s="17" t="n"/>
      <c r="L95" s="5" t="n"/>
      <c r="M95" s="17" t="n"/>
      <c r="N95" s="5" t="n"/>
      <c r="O95" s="17" t="n"/>
      <c r="P95" s="21">
        <f>IF(OR(K95="",M95="",O95=""),"",(--TRIM(LEFT(K95,2)))*(--TRIM(LEFT(M95,2)))*(--TRIM(LEFT(O95,2))))</f>
        <v/>
      </c>
      <c r="Q95" s="21">
        <f>IF(OR(K95="",M95="",O95=""),"",INDEX(APGrid,COUNTIF(APS,"&gt;"&amp;(--TRIM(LEFT(K95,2))))*5+COUNTIF(APO,"&gt;"&amp;(--TRIM(LEFT(M95,2))))+1,COUNTIF(APD,"&gt;"&amp;(--TRIM(LEFT(O95,2))))+1))</f>
        <v/>
      </c>
      <c r="R95" s="21">
        <f>IF(P95="","",IF(OR((--TRIM(LEFT(K95,2)))&gt;=SThr,P95&gt;=RPNThr,Q95="H"),"Yes","No"))</f>
        <v/>
      </c>
      <c r="S95" s="5" t="n"/>
      <c r="T95" s="5" t="n"/>
      <c r="U95" s="5" t="n"/>
      <c r="V95" s="29" t="n"/>
      <c r="W95" s="17" t="n"/>
      <c r="X95" s="17" t="n"/>
      <c r="Y95" s="17" t="n"/>
      <c r="Z95" s="21">
        <f>IF(OR(W95="",X95="",Y95=""),"",(--TRIM(LEFT(W95,2)))*(--TRIM(LEFT(X95,2)))*(--TRIM(LEFT(Y95,2))))</f>
        <v/>
      </c>
      <c r="AA95" s="21">
        <f>IF(OR(W95="",X95="",Y95=""),"",INDEX(APGrid,COUNTIF(APS,"&gt;"&amp;(--TRIM(LEFT(W95,2))))*5+COUNTIF(APO,"&gt;"&amp;(--TRIM(LEFT(X95,2))))+1,COUNTIF(APD,"&gt;"&amp;(--TRIM(LEFT(Y95,2))))+1))</f>
        <v/>
      </c>
      <c r="AB95" s="5" t="n"/>
      <c r="AC95" s="5" t="n"/>
      <c r="AE95">
        <f>IFERROR(INDEX(EqTag,_xlfn.AGGREGATE(15,6,(ROW(EqTag)-4)/((EqSys=$D$3)*(EqTag&lt;&gt;"")),ROWS($AE$14:AE95))),"")</f>
        <v/>
      </c>
    </row>
    <row r="96" ht="30" customHeight="1">
      <c r="A96" s="21">
        <f>IF(F96="","",LEFT($D$3,3)&amp;"-"&amp;TEXT(COUNTIF(F$14:F96,"?*"),"00"))</f>
        <v/>
      </c>
      <c r="B96" s="5" t="n"/>
      <c r="C96" s="6">
        <f>IF(B96="","",IFERROR(INDEX(EqTypeCol,MATCH(B96,EqTag,0)),"Tag not in register"))</f>
        <v/>
      </c>
      <c r="D96" s="5" t="n"/>
      <c r="E96" s="5" t="n"/>
      <c r="F96" s="5" t="n"/>
      <c r="G96" s="5" t="n"/>
      <c r="H96" s="5" t="n"/>
      <c r="I96" s="5" t="n"/>
      <c r="J96" s="5" t="n"/>
      <c r="K96" s="17" t="n"/>
      <c r="L96" s="5" t="n"/>
      <c r="M96" s="17" t="n"/>
      <c r="N96" s="5" t="n"/>
      <c r="O96" s="17" t="n"/>
      <c r="P96" s="21">
        <f>IF(OR(K96="",M96="",O96=""),"",(--TRIM(LEFT(K96,2)))*(--TRIM(LEFT(M96,2)))*(--TRIM(LEFT(O96,2))))</f>
        <v/>
      </c>
      <c r="Q96" s="21">
        <f>IF(OR(K96="",M96="",O96=""),"",INDEX(APGrid,COUNTIF(APS,"&gt;"&amp;(--TRIM(LEFT(K96,2))))*5+COUNTIF(APO,"&gt;"&amp;(--TRIM(LEFT(M96,2))))+1,COUNTIF(APD,"&gt;"&amp;(--TRIM(LEFT(O96,2))))+1))</f>
        <v/>
      </c>
      <c r="R96" s="21">
        <f>IF(P96="","",IF(OR((--TRIM(LEFT(K96,2)))&gt;=SThr,P96&gt;=RPNThr,Q96="H"),"Yes","No"))</f>
        <v/>
      </c>
      <c r="S96" s="5" t="n"/>
      <c r="T96" s="5" t="n"/>
      <c r="U96" s="5" t="n"/>
      <c r="V96" s="29" t="n"/>
      <c r="W96" s="17" t="n"/>
      <c r="X96" s="17" t="n"/>
      <c r="Y96" s="17" t="n"/>
      <c r="Z96" s="21">
        <f>IF(OR(W96="",X96="",Y96=""),"",(--TRIM(LEFT(W96,2)))*(--TRIM(LEFT(X96,2)))*(--TRIM(LEFT(Y96,2))))</f>
        <v/>
      </c>
      <c r="AA96" s="21">
        <f>IF(OR(W96="",X96="",Y96=""),"",INDEX(APGrid,COUNTIF(APS,"&gt;"&amp;(--TRIM(LEFT(W96,2))))*5+COUNTIF(APO,"&gt;"&amp;(--TRIM(LEFT(X96,2))))+1,COUNTIF(APD,"&gt;"&amp;(--TRIM(LEFT(Y96,2))))+1))</f>
        <v/>
      </c>
      <c r="AB96" s="5" t="n"/>
      <c r="AC96" s="5" t="n"/>
      <c r="AE96">
        <f>IFERROR(INDEX(EqTag,_xlfn.AGGREGATE(15,6,(ROW(EqTag)-4)/((EqSys=$D$3)*(EqTag&lt;&gt;"")),ROWS($AE$14:AE96))),"")</f>
        <v/>
      </c>
    </row>
    <row r="97" ht="30" customHeight="1">
      <c r="A97" s="21">
        <f>IF(F97="","",LEFT($D$3,3)&amp;"-"&amp;TEXT(COUNTIF(F$14:F97,"?*"),"00"))</f>
        <v/>
      </c>
      <c r="B97" s="5" t="n"/>
      <c r="C97" s="6">
        <f>IF(B97="","",IFERROR(INDEX(EqTypeCol,MATCH(B97,EqTag,0)),"Tag not in register"))</f>
        <v/>
      </c>
      <c r="D97" s="5" t="n"/>
      <c r="E97" s="5" t="n"/>
      <c r="F97" s="5" t="n"/>
      <c r="G97" s="5" t="n"/>
      <c r="H97" s="5" t="n"/>
      <c r="I97" s="5" t="n"/>
      <c r="J97" s="5" t="n"/>
      <c r="K97" s="17" t="n"/>
      <c r="L97" s="5" t="n"/>
      <c r="M97" s="17" t="n"/>
      <c r="N97" s="5" t="n"/>
      <c r="O97" s="17" t="n"/>
      <c r="P97" s="21">
        <f>IF(OR(K97="",M97="",O97=""),"",(--TRIM(LEFT(K97,2)))*(--TRIM(LEFT(M97,2)))*(--TRIM(LEFT(O97,2))))</f>
        <v/>
      </c>
      <c r="Q97" s="21">
        <f>IF(OR(K97="",M97="",O97=""),"",INDEX(APGrid,COUNTIF(APS,"&gt;"&amp;(--TRIM(LEFT(K97,2))))*5+COUNTIF(APO,"&gt;"&amp;(--TRIM(LEFT(M97,2))))+1,COUNTIF(APD,"&gt;"&amp;(--TRIM(LEFT(O97,2))))+1))</f>
        <v/>
      </c>
      <c r="R97" s="21">
        <f>IF(P97="","",IF(OR((--TRIM(LEFT(K97,2)))&gt;=SThr,P97&gt;=RPNThr,Q97="H"),"Yes","No"))</f>
        <v/>
      </c>
      <c r="S97" s="5" t="n"/>
      <c r="T97" s="5" t="n"/>
      <c r="U97" s="5" t="n"/>
      <c r="V97" s="29" t="n"/>
      <c r="W97" s="17" t="n"/>
      <c r="X97" s="17" t="n"/>
      <c r="Y97" s="17" t="n"/>
      <c r="Z97" s="21">
        <f>IF(OR(W97="",X97="",Y97=""),"",(--TRIM(LEFT(W97,2)))*(--TRIM(LEFT(X97,2)))*(--TRIM(LEFT(Y97,2))))</f>
        <v/>
      </c>
      <c r="AA97" s="21">
        <f>IF(OR(W97="",X97="",Y97=""),"",INDEX(APGrid,COUNTIF(APS,"&gt;"&amp;(--TRIM(LEFT(W97,2))))*5+COUNTIF(APO,"&gt;"&amp;(--TRIM(LEFT(X97,2))))+1,COUNTIF(APD,"&gt;"&amp;(--TRIM(LEFT(Y97,2))))+1))</f>
        <v/>
      </c>
      <c r="AB97" s="5" t="n"/>
      <c r="AC97" s="5" t="n"/>
      <c r="AE97">
        <f>IFERROR(INDEX(EqTag,_xlfn.AGGREGATE(15,6,(ROW(EqTag)-4)/((EqSys=$D$3)*(EqTag&lt;&gt;"")),ROWS($AE$14:AE97))),"")</f>
        <v/>
      </c>
    </row>
    <row r="98" ht="30" customHeight="1">
      <c r="A98" s="21">
        <f>IF(F98="","",LEFT($D$3,3)&amp;"-"&amp;TEXT(COUNTIF(F$14:F98,"?*"),"00"))</f>
        <v/>
      </c>
      <c r="B98" s="5" t="n"/>
      <c r="C98" s="6">
        <f>IF(B98="","",IFERROR(INDEX(EqTypeCol,MATCH(B98,EqTag,0)),"Tag not in register"))</f>
        <v/>
      </c>
      <c r="D98" s="5" t="n"/>
      <c r="E98" s="5" t="n"/>
      <c r="F98" s="5" t="n"/>
      <c r="G98" s="5" t="n"/>
      <c r="H98" s="5" t="n"/>
      <c r="I98" s="5" t="n"/>
      <c r="J98" s="5" t="n"/>
      <c r="K98" s="17" t="n"/>
      <c r="L98" s="5" t="n"/>
      <c r="M98" s="17" t="n"/>
      <c r="N98" s="5" t="n"/>
      <c r="O98" s="17" t="n"/>
      <c r="P98" s="21">
        <f>IF(OR(K98="",M98="",O98=""),"",(--TRIM(LEFT(K98,2)))*(--TRIM(LEFT(M98,2)))*(--TRIM(LEFT(O98,2))))</f>
        <v/>
      </c>
      <c r="Q98" s="21">
        <f>IF(OR(K98="",M98="",O98=""),"",INDEX(APGrid,COUNTIF(APS,"&gt;"&amp;(--TRIM(LEFT(K98,2))))*5+COUNTIF(APO,"&gt;"&amp;(--TRIM(LEFT(M98,2))))+1,COUNTIF(APD,"&gt;"&amp;(--TRIM(LEFT(O98,2))))+1))</f>
        <v/>
      </c>
      <c r="R98" s="21">
        <f>IF(P98="","",IF(OR((--TRIM(LEFT(K98,2)))&gt;=SThr,P98&gt;=RPNThr,Q98="H"),"Yes","No"))</f>
        <v/>
      </c>
      <c r="S98" s="5" t="n"/>
      <c r="T98" s="5" t="n"/>
      <c r="U98" s="5" t="n"/>
      <c r="V98" s="29" t="n"/>
      <c r="W98" s="17" t="n"/>
      <c r="X98" s="17" t="n"/>
      <c r="Y98" s="17" t="n"/>
      <c r="Z98" s="21">
        <f>IF(OR(W98="",X98="",Y98=""),"",(--TRIM(LEFT(W98,2)))*(--TRIM(LEFT(X98,2)))*(--TRIM(LEFT(Y98,2))))</f>
        <v/>
      </c>
      <c r="AA98" s="21">
        <f>IF(OR(W98="",X98="",Y98=""),"",INDEX(APGrid,COUNTIF(APS,"&gt;"&amp;(--TRIM(LEFT(W98,2))))*5+COUNTIF(APO,"&gt;"&amp;(--TRIM(LEFT(X98,2))))+1,COUNTIF(APD,"&gt;"&amp;(--TRIM(LEFT(Y98,2))))+1))</f>
        <v/>
      </c>
      <c r="AB98" s="5" t="n"/>
      <c r="AC98" s="5" t="n"/>
      <c r="AE98">
        <f>IFERROR(INDEX(EqTag,_xlfn.AGGREGATE(15,6,(ROW(EqTag)-4)/((EqSys=$D$3)*(EqTag&lt;&gt;"")),ROWS($AE$14:AE98))),"")</f>
        <v/>
      </c>
    </row>
    <row r="99" ht="30" customHeight="1">
      <c r="A99" s="21">
        <f>IF(F99="","",LEFT($D$3,3)&amp;"-"&amp;TEXT(COUNTIF(F$14:F99,"?*"),"00"))</f>
        <v/>
      </c>
      <c r="B99" s="5" t="n"/>
      <c r="C99" s="6">
        <f>IF(B99="","",IFERROR(INDEX(EqTypeCol,MATCH(B99,EqTag,0)),"Tag not in register"))</f>
        <v/>
      </c>
      <c r="D99" s="5" t="n"/>
      <c r="E99" s="5" t="n"/>
      <c r="F99" s="5" t="n"/>
      <c r="G99" s="5" t="n"/>
      <c r="H99" s="5" t="n"/>
      <c r="I99" s="5" t="n"/>
      <c r="J99" s="5" t="n"/>
      <c r="K99" s="17" t="n"/>
      <c r="L99" s="5" t="n"/>
      <c r="M99" s="17" t="n"/>
      <c r="N99" s="5" t="n"/>
      <c r="O99" s="17" t="n"/>
      <c r="P99" s="21">
        <f>IF(OR(K99="",M99="",O99=""),"",(--TRIM(LEFT(K99,2)))*(--TRIM(LEFT(M99,2)))*(--TRIM(LEFT(O99,2))))</f>
        <v/>
      </c>
      <c r="Q99" s="21">
        <f>IF(OR(K99="",M99="",O99=""),"",INDEX(APGrid,COUNTIF(APS,"&gt;"&amp;(--TRIM(LEFT(K99,2))))*5+COUNTIF(APO,"&gt;"&amp;(--TRIM(LEFT(M99,2))))+1,COUNTIF(APD,"&gt;"&amp;(--TRIM(LEFT(O99,2))))+1))</f>
        <v/>
      </c>
      <c r="R99" s="21">
        <f>IF(P99="","",IF(OR((--TRIM(LEFT(K99,2)))&gt;=SThr,P99&gt;=RPNThr,Q99="H"),"Yes","No"))</f>
        <v/>
      </c>
      <c r="S99" s="5" t="n"/>
      <c r="T99" s="5" t="n"/>
      <c r="U99" s="5" t="n"/>
      <c r="V99" s="29" t="n"/>
      <c r="W99" s="17" t="n"/>
      <c r="X99" s="17" t="n"/>
      <c r="Y99" s="17" t="n"/>
      <c r="Z99" s="21">
        <f>IF(OR(W99="",X99="",Y99=""),"",(--TRIM(LEFT(W99,2)))*(--TRIM(LEFT(X99,2)))*(--TRIM(LEFT(Y99,2))))</f>
        <v/>
      </c>
      <c r="AA99" s="21">
        <f>IF(OR(W99="",X99="",Y99=""),"",INDEX(APGrid,COUNTIF(APS,"&gt;"&amp;(--TRIM(LEFT(W99,2))))*5+COUNTIF(APO,"&gt;"&amp;(--TRIM(LEFT(X99,2))))+1,COUNTIF(APD,"&gt;"&amp;(--TRIM(LEFT(Y99,2))))+1))</f>
        <v/>
      </c>
      <c r="AB99" s="5" t="n"/>
      <c r="AC99" s="5" t="n"/>
      <c r="AE99">
        <f>IFERROR(INDEX(EqTag,_xlfn.AGGREGATE(15,6,(ROW(EqTag)-4)/((EqSys=$D$3)*(EqTag&lt;&gt;"")),ROWS($AE$14:AE99))),"")</f>
        <v/>
      </c>
    </row>
    <row r="100" ht="30" customHeight="1">
      <c r="A100" s="21">
        <f>IF(F100="","",LEFT($D$3,3)&amp;"-"&amp;TEXT(COUNTIF(F$14:F100,"?*"),"00"))</f>
        <v/>
      </c>
      <c r="B100" s="5" t="n"/>
      <c r="C100" s="6">
        <f>IF(B100="","",IFERROR(INDEX(EqTypeCol,MATCH(B100,EqTag,0)),"Tag not in register"))</f>
        <v/>
      </c>
      <c r="D100" s="5" t="n"/>
      <c r="E100" s="5" t="n"/>
      <c r="F100" s="5" t="n"/>
      <c r="G100" s="5" t="n"/>
      <c r="H100" s="5" t="n"/>
      <c r="I100" s="5" t="n"/>
      <c r="J100" s="5" t="n"/>
      <c r="K100" s="17" t="n"/>
      <c r="L100" s="5" t="n"/>
      <c r="M100" s="17" t="n"/>
      <c r="N100" s="5" t="n"/>
      <c r="O100" s="17" t="n"/>
      <c r="P100" s="21">
        <f>IF(OR(K100="",M100="",O100=""),"",(--TRIM(LEFT(K100,2)))*(--TRIM(LEFT(M100,2)))*(--TRIM(LEFT(O100,2))))</f>
        <v/>
      </c>
      <c r="Q100" s="21">
        <f>IF(OR(K100="",M100="",O100=""),"",INDEX(APGrid,COUNTIF(APS,"&gt;"&amp;(--TRIM(LEFT(K100,2))))*5+COUNTIF(APO,"&gt;"&amp;(--TRIM(LEFT(M100,2))))+1,COUNTIF(APD,"&gt;"&amp;(--TRIM(LEFT(O100,2))))+1))</f>
        <v/>
      </c>
      <c r="R100" s="21">
        <f>IF(P100="","",IF(OR((--TRIM(LEFT(K100,2)))&gt;=SThr,P100&gt;=RPNThr,Q100="H"),"Yes","No"))</f>
        <v/>
      </c>
      <c r="S100" s="5" t="n"/>
      <c r="T100" s="5" t="n"/>
      <c r="U100" s="5" t="n"/>
      <c r="V100" s="29" t="n"/>
      <c r="W100" s="17" t="n"/>
      <c r="X100" s="17" t="n"/>
      <c r="Y100" s="17" t="n"/>
      <c r="Z100" s="21">
        <f>IF(OR(W100="",X100="",Y100=""),"",(--TRIM(LEFT(W100,2)))*(--TRIM(LEFT(X100,2)))*(--TRIM(LEFT(Y100,2))))</f>
        <v/>
      </c>
      <c r="AA100" s="21">
        <f>IF(OR(W100="",X100="",Y100=""),"",INDEX(APGrid,COUNTIF(APS,"&gt;"&amp;(--TRIM(LEFT(W100,2))))*5+COUNTIF(APO,"&gt;"&amp;(--TRIM(LEFT(X100,2))))+1,COUNTIF(APD,"&gt;"&amp;(--TRIM(LEFT(Y100,2))))+1))</f>
        <v/>
      </c>
      <c r="AB100" s="5" t="n"/>
      <c r="AC100" s="5" t="n"/>
      <c r="AE100">
        <f>IFERROR(INDEX(EqTag,_xlfn.AGGREGATE(15,6,(ROW(EqTag)-4)/((EqSys=$D$3)*(EqTag&lt;&gt;"")),ROWS($AE$14:AE100))),"")</f>
        <v/>
      </c>
    </row>
    <row r="101" ht="30" customHeight="1">
      <c r="A101" s="21">
        <f>IF(F101="","",LEFT($D$3,3)&amp;"-"&amp;TEXT(COUNTIF(F$14:F101,"?*"),"00"))</f>
        <v/>
      </c>
      <c r="B101" s="5" t="n"/>
      <c r="C101" s="6">
        <f>IF(B101="","",IFERROR(INDEX(EqTypeCol,MATCH(B101,EqTag,0)),"Tag not in register"))</f>
        <v/>
      </c>
      <c r="D101" s="5" t="n"/>
      <c r="E101" s="5" t="n"/>
      <c r="F101" s="5" t="n"/>
      <c r="G101" s="5" t="n"/>
      <c r="H101" s="5" t="n"/>
      <c r="I101" s="5" t="n"/>
      <c r="J101" s="5" t="n"/>
      <c r="K101" s="17" t="n"/>
      <c r="L101" s="5" t="n"/>
      <c r="M101" s="17" t="n"/>
      <c r="N101" s="5" t="n"/>
      <c r="O101" s="17" t="n"/>
      <c r="P101" s="21">
        <f>IF(OR(K101="",M101="",O101=""),"",(--TRIM(LEFT(K101,2)))*(--TRIM(LEFT(M101,2)))*(--TRIM(LEFT(O101,2))))</f>
        <v/>
      </c>
      <c r="Q101" s="21">
        <f>IF(OR(K101="",M101="",O101=""),"",INDEX(APGrid,COUNTIF(APS,"&gt;"&amp;(--TRIM(LEFT(K101,2))))*5+COUNTIF(APO,"&gt;"&amp;(--TRIM(LEFT(M101,2))))+1,COUNTIF(APD,"&gt;"&amp;(--TRIM(LEFT(O101,2))))+1))</f>
        <v/>
      </c>
      <c r="R101" s="21">
        <f>IF(P101="","",IF(OR((--TRIM(LEFT(K101,2)))&gt;=SThr,P101&gt;=RPNThr,Q101="H"),"Yes","No"))</f>
        <v/>
      </c>
      <c r="S101" s="5" t="n"/>
      <c r="T101" s="5" t="n"/>
      <c r="U101" s="5" t="n"/>
      <c r="V101" s="29" t="n"/>
      <c r="W101" s="17" t="n"/>
      <c r="X101" s="17" t="n"/>
      <c r="Y101" s="17" t="n"/>
      <c r="Z101" s="21">
        <f>IF(OR(W101="",X101="",Y101=""),"",(--TRIM(LEFT(W101,2)))*(--TRIM(LEFT(X101,2)))*(--TRIM(LEFT(Y101,2))))</f>
        <v/>
      </c>
      <c r="AA101" s="21">
        <f>IF(OR(W101="",X101="",Y101=""),"",INDEX(APGrid,COUNTIF(APS,"&gt;"&amp;(--TRIM(LEFT(W101,2))))*5+COUNTIF(APO,"&gt;"&amp;(--TRIM(LEFT(X101,2))))+1,COUNTIF(APD,"&gt;"&amp;(--TRIM(LEFT(Y101,2))))+1))</f>
        <v/>
      </c>
      <c r="AB101" s="5" t="n"/>
      <c r="AC101" s="5" t="n"/>
      <c r="AE101">
        <f>IFERROR(INDEX(EqTag,_xlfn.AGGREGATE(15,6,(ROW(EqTag)-4)/((EqSys=$D$3)*(EqTag&lt;&gt;"")),ROWS($AE$14:AE101))),"")</f>
        <v/>
      </c>
    </row>
    <row r="102" ht="30" customHeight="1">
      <c r="A102" s="21">
        <f>IF(F102="","",LEFT($D$3,3)&amp;"-"&amp;TEXT(COUNTIF(F$14:F102,"?*"),"00"))</f>
        <v/>
      </c>
      <c r="B102" s="5" t="n"/>
      <c r="C102" s="6">
        <f>IF(B102="","",IFERROR(INDEX(EqTypeCol,MATCH(B102,EqTag,0)),"Tag not in register"))</f>
        <v/>
      </c>
      <c r="D102" s="5" t="n"/>
      <c r="E102" s="5" t="n"/>
      <c r="F102" s="5" t="n"/>
      <c r="G102" s="5" t="n"/>
      <c r="H102" s="5" t="n"/>
      <c r="I102" s="5" t="n"/>
      <c r="J102" s="5" t="n"/>
      <c r="K102" s="17" t="n"/>
      <c r="L102" s="5" t="n"/>
      <c r="M102" s="17" t="n"/>
      <c r="N102" s="5" t="n"/>
      <c r="O102" s="17" t="n"/>
      <c r="P102" s="21">
        <f>IF(OR(K102="",M102="",O102=""),"",(--TRIM(LEFT(K102,2)))*(--TRIM(LEFT(M102,2)))*(--TRIM(LEFT(O102,2))))</f>
        <v/>
      </c>
      <c r="Q102" s="21">
        <f>IF(OR(K102="",M102="",O102=""),"",INDEX(APGrid,COUNTIF(APS,"&gt;"&amp;(--TRIM(LEFT(K102,2))))*5+COUNTIF(APO,"&gt;"&amp;(--TRIM(LEFT(M102,2))))+1,COUNTIF(APD,"&gt;"&amp;(--TRIM(LEFT(O102,2))))+1))</f>
        <v/>
      </c>
      <c r="R102" s="21">
        <f>IF(P102="","",IF(OR((--TRIM(LEFT(K102,2)))&gt;=SThr,P102&gt;=RPNThr,Q102="H"),"Yes","No"))</f>
        <v/>
      </c>
      <c r="S102" s="5" t="n"/>
      <c r="T102" s="5" t="n"/>
      <c r="U102" s="5" t="n"/>
      <c r="V102" s="29" t="n"/>
      <c r="W102" s="17" t="n"/>
      <c r="X102" s="17" t="n"/>
      <c r="Y102" s="17" t="n"/>
      <c r="Z102" s="21">
        <f>IF(OR(W102="",X102="",Y102=""),"",(--TRIM(LEFT(W102,2)))*(--TRIM(LEFT(X102,2)))*(--TRIM(LEFT(Y102,2))))</f>
        <v/>
      </c>
      <c r="AA102" s="21">
        <f>IF(OR(W102="",X102="",Y102=""),"",INDEX(APGrid,COUNTIF(APS,"&gt;"&amp;(--TRIM(LEFT(W102,2))))*5+COUNTIF(APO,"&gt;"&amp;(--TRIM(LEFT(X102,2))))+1,COUNTIF(APD,"&gt;"&amp;(--TRIM(LEFT(Y102,2))))+1))</f>
        <v/>
      </c>
      <c r="AB102" s="5" t="n"/>
      <c r="AC102" s="5" t="n"/>
      <c r="AE102">
        <f>IFERROR(INDEX(EqTag,_xlfn.AGGREGATE(15,6,(ROW(EqTag)-4)/((EqSys=$D$3)*(EqTag&lt;&gt;"")),ROWS($AE$14:AE102))),"")</f>
        <v/>
      </c>
    </row>
    <row r="103" ht="30" customHeight="1">
      <c r="A103" s="21">
        <f>IF(F103="","",LEFT($D$3,3)&amp;"-"&amp;TEXT(COUNTIF(F$14:F103,"?*"),"00"))</f>
        <v/>
      </c>
      <c r="B103" s="5" t="n"/>
      <c r="C103" s="6">
        <f>IF(B103="","",IFERROR(INDEX(EqTypeCol,MATCH(B103,EqTag,0)),"Tag not in register"))</f>
        <v/>
      </c>
      <c r="D103" s="5" t="n"/>
      <c r="E103" s="5" t="n"/>
      <c r="F103" s="5" t="n"/>
      <c r="G103" s="5" t="n"/>
      <c r="H103" s="5" t="n"/>
      <c r="I103" s="5" t="n"/>
      <c r="J103" s="5" t="n"/>
      <c r="K103" s="17" t="n"/>
      <c r="L103" s="5" t="n"/>
      <c r="M103" s="17" t="n"/>
      <c r="N103" s="5" t="n"/>
      <c r="O103" s="17" t="n"/>
      <c r="P103" s="21">
        <f>IF(OR(K103="",M103="",O103=""),"",(--TRIM(LEFT(K103,2)))*(--TRIM(LEFT(M103,2)))*(--TRIM(LEFT(O103,2))))</f>
        <v/>
      </c>
      <c r="Q103" s="21">
        <f>IF(OR(K103="",M103="",O103=""),"",INDEX(APGrid,COUNTIF(APS,"&gt;"&amp;(--TRIM(LEFT(K103,2))))*5+COUNTIF(APO,"&gt;"&amp;(--TRIM(LEFT(M103,2))))+1,COUNTIF(APD,"&gt;"&amp;(--TRIM(LEFT(O103,2))))+1))</f>
        <v/>
      </c>
      <c r="R103" s="21">
        <f>IF(P103="","",IF(OR((--TRIM(LEFT(K103,2)))&gt;=SThr,P103&gt;=RPNThr,Q103="H"),"Yes","No"))</f>
        <v/>
      </c>
      <c r="S103" s="5" t="n"/>
      <c r="T103" s="5" t="n"/>
      <c r="U103" s="5" t="n"/>
      <c r="V103" s="29" t="n"/>
      <c r="W103" s="17" t="n"/>
      <c r="X103" s="17" t="n"/>
      <c r="Y103" s="17" t="n"/>
      <c r="Z103" s="21">
        <f>IF(OR(W103="",X103="",Y103=""),"",(--TRIM(LEFT(W103,2)))*(--TRIM(LEFT(X103,2)))*(--TRIM(LEFT(Y103,2))))</f>
        <v/>
      </c>
      <c r="AA103" s="21">
        <f>IF(OR(W103="",X103="",Y103=""),"",INDEX(APGrid,COUNTIF(APS,"&gt;"&amp;(--TRIM(LEFT(W103,2))))*5+COUNTIF(APO,"&gt;"&amp;(--TRIM(LEFT(X103,2))))+1,COUNTIF(APD,"&gt;"&amp;(--TRIM(LEFT(Y103,2))))+1))</f>
        <v/>
      </c>
      <c r="AB103" s="5" t="n"/>
      <c r="AC103" s="5" t="n"/>
      <c r="AE103">
        <f>IFERROR(INDEX(EqTag,_xlfn.AGGREGATE(15,6,(ROW(EqTag)-4)/((EqSys=$D$3)*(EqTag&lt;&gt;"")),ROWS($AE$14:AE103))),"")</f>
        <v/>
      </c>
    </row>
    <row r="104" ht="30" customHeight="1">
      <c r="A104" s="21">
        <f>IF(F104="","",LEFT($D$3,3)&amp;"-"&amp;TEXT(COUNTIF(F$14:F104,"?*"),"00"))</f>
        <v/>
      </c>
      <c r="B104" s="5" t="n"/>
      <c r="C104" s="6">
        <f>IF(B104="","",IFERROR(INDEX(EqTypeCol,MATCH(B104,EqTag,0)),"Tag not in register"))</f>
        <v/>
      </c>
      <c r="D104" s="5" t="n"/>
      <c r="E104" s="5" t="n"/>
      <c r="F104" s="5" t="n"/>
      <c r="G104" s="5" t="n"/>
      <c r="H104" s="5" t="n"/>
      <c r="I104" s="5" t="n"/>
      <c r="J104" s="5" t="n"/>
      <c r="K104" s="17" t="n"/>
      <c r="L104" s="5" t="n"/>
      <c r="M104" s="17" t="n"/>
      <c r="N104" s="5" t="n"/>
      <c r="O104" s="17" t="n"/>
      <c r="P104" s="21">
        <f>IF(OR(K104="",M104="",O104=""),"",(--TRIM(LEFT(K104,2)))*(--TRIM(LEFT(M104,2)))*(--TRIM(LEFT(O104,2))))</f>
        <v/>
      </c>
      <c r="Q104" s="21">
        <f>IF(OR(K104="",M104="",O104=""),"",INDEX(APGrid,COUNTIF(APS,"&gt;"&amp;(--TRIM(LEFT(K104,2))))*5+COUNTIF(APO,"&gt;"&amp;(--TRIM(LEFT(M104,2))))+1,COUNTIF(APD,"&gt;"&amp;(--TRIM(LEFT(O104,2))))+1))</f>
        <v/>
      </c>
      <c r="R104" s="21">
        <f>IF(P104="","",IF(OR((--TRIM(LEFT(K104,2)))&gt;=SThr,P104&gt;=RPNThr,Q104="H"),"Yes","No"))</f>
        <v/>
      </c>
      <c r="S104" s="5" t="n"/>
      <c r="T104" s="5" t="n"/>
      <c r="U104" s="5" t="n"/>
      <c r="V104" s="29" t="n"/>
      <c r="W104" s="17" t="n"/>
      <c r="X104" s="17" t="n"/>
      <c r="Y104" s="17" t="n"/>
      <c r="Z104" s="21">
        <f>IF(OR(W104="",X104="",Y104=""),"",(--TRIM(LEFT(W104,2)))*(--TRIM(LEFT(X104,2)))*(--TRIM(LEFT(Y104,2))))</f>
        <v/>
      </c>
      <c r="AA104" s="21">
        <f>IF(OR(W104="",X104="",Y104=""),"",INDEX(APGrid,COUNTIF(APS,"&gt;"&amp;(--TRIM(LEFT(W104,2))))*5+COUNTIF(APO,"&gt;"&amp;(--TRIM(LEFT(X104,2))))+1,COUNTIF(APD,"&gt;"&amp;(--TRIM(LEFT(Y104,2))))+1))</f>
        <v/>
      </c>
      <c r="AB104" s="5" t="n"/>
      <c r="AC104" s="5" t="n"/>
      <c r="AE104">
        <f>IFERROR(INDEX(EqTag,_xlfn.AGGREGATE(15,6,(ROW(EqTag)-4)/((EqSys=$D$3)*(EqTag&lt;&gt;"")),ROWS($AE$14:AE104))),"")</f>
        <v/>
      </c>
    </row>
    <row r="105" ht="30" customHeight="1">
      <c r="A105" s="21">
        <f>IF(F105="","",LEFT($D$3,3)&amp;"-"&amp;TEXT(COUNTIF(F$14:F105,"?*"),"00"))</f>
        <v/>
      </c>
      <c r="B105" s="5" t="n"/>
      <c r="C105" s="6">
        <f>IF(B105="","",IFERROR(INDEX(EqTypeCol,MATCH(B105,EqTag,0)),"Tag not in register"))</f>
        <v/>
      </c>
      <c r="D105" s="5" t="n"/>
      <c r="E105" s="5" t="n"/>
      <c r="F105" s="5" t="n"/>
      <c r="G105" s="5" t="n"/>
      <c r="H105" s="5" t="n"/>
      <c r="I105" s="5" t="n"/>
      <c r="J105" s="5" t="n"/>
      <c r="K105" s="17" t="n"/>
      <c r="L105" s="5" t="n"/>
      <c r="M105" s="17" t="n"/>
      <c r="N105" s="5" t="n"/>
      <c r="O105" s="17" t="n"/>
      <c r="P105" s="21">
        <f>IF(OR(K105="",M105="",O105=""),"",(--TRIM(LEFT(K105,2)))*(--TRIM(LEFT(M105,2)))*(--TRIM(LEFT(O105,2))))</f>
        <v/>
      </c>
      <c r="Q105" s="21">
        <f>IF(OR(K105="",M105="",O105=""),"",INDEX(APGrid,COUNTIF(APS,"&gt;"&amp;(--TRIM(LEFT(K105,2))))*5+COUNTIF(APO,"&gt;"&amp;(--TRIM(LEFT(M105,2))))+1,COUNTIF(APD,"&gt;"&amp;(--TRIM(LEFT(O105,2))))+1))</f>
        <v/>
      </c>
      <c r="R105" s="21">
        <f>IF(P105="","",IF(OR((--TRIM(LEFT(K105,2)))&gt;=SThr,P105&gt;=RPNThr,Q105="H"),"Yes","No"))</f>
        <v/>
      </c>
      <c r="S105" s="5" t="n"/>
      <c r="T105" s="5" t="n"/>
      <c r="U105" s="5" t="n"/>
      <c r="V105" s="29" t="n"/>
      <c r="W105" s="17" t="n"/>
      <c r="X105" s="17" t="n"/>
      <c r="Y105" s="17" t="n"/>
      <c r="Z105" s="21">
        <f>IF(OR(W105="",X105="",Y105=""),"",(--TRIM(LEFT(W105,2)))*(--TRIM(LEFT(X105,2)))*(--TRIM(LEFT(Y105,2))))</f>
        <v/>
      </c>
      <c r="AA105" s="21">
        <f>IF(OR(W105="",X105="",Y105=""),"",INDEX(APGrid,COUNTIF(APS,"&gt;"&amp;(--TRIM(LEFT(W105,2))))*5+COUNTIF(APO,"&gt;"&amp;(--TRIM(LEFT(X105,2))))+1,COUNTIF(APD,"&gt;"&amp;(--TRIM(LEFT(Y105,2))))+1))</f>
        <v/>
      </c>
      <c r="AB105" s="5" t="n"/>
      <c r="AC105" s="5" t="n"/>
      <c r="AE105">
        <f>IFERROR(INDEX(EqTag,_xlfn.AGGREGATE(15,6,(ROW(EqTag)-4)/((EqSys=$D$3)*(EqTag&lt;&gt;"")),ROWS($AE$14:AE105))),"")</f>
        <v/>
      </c>
    </row>
    <row r="106" ht="30" customHeight="1">
      <c r="A106" s="21">
        <f>IF(F106="","",LEFT($D$3,3)&amp;"-"&amp;TEXT(COUNTIF(F$14:F106,"?*"),"00"))</f>
        <v/>
      </c>
      <c r="B106" s="5" t="n"/>
      <c r="C106" s="6">
        <f>IF(B106="","",IFERROR(INDEX(EqTypeCol,MATCH(B106,EqTag,0)),"Tag not in register"))</f>
        <v/>
      </c>
      <c r="D106" s="5" t="n"/>
      <c r="E106" s="5" t="n"/>
      <c r="F106" s="5" t="n"/>
      <c r="G106" s="5" t="n"/>
      <c r="H106" s="5" t="n"/>
      <c r="I106" s="5" t="n"/>
      <c r="J106" s="5" t="n"/>
      <c r="K106" s="17" t="n"/>
      <c r="L106" s="5" t="n"/>
      <c r="M106" s="17" t="n"/>
      <c r="N106" s="5" t="n"/>
      <c r="O106" s="17" t="n"/>
      <c r="P106" s="21">
        <f>IF(OR(K106="",M106="",O106=""),"",(--TRIM(LEFT(K106,2)))*(--TRIM(LEFT(M106,2)))*(--TRIM(LEFT(O106,2))))</f>
        <v/>
      </c>
      <c r="Q106" s="21">
        <f>IF(OR(K106="",M106="",O106=""),"",INDEX(APGrid,COUNTIF(APS,"&gt;"&amp;(--TRIM(LEFT(K106,2))))*5+COUNTIF(APO,"&gt;"&amp;(--TRIM(LEFT(M106,2))))+1,COUNTIF(APD,"&gt;"&amp;(--TRIM(LEFT(O106,2))))+1))</f>
        <v/>
      </c>
      <c r="R106" s="21">
        <f>IF(P106="","",IF(OR((--TRIM(LEFT(K106,2)))&gt;=SThr,P106&gt;=RPNThr,Q106="H"),"Yes","No"))</f>
        <v/>
      </c>
      <c r="S106" s="5" t="n"/>
      <c r="T106" s="5" t="n"/>
      <c r="U106" s="5" t="n"/>
      <c r="V106" s="29" t="n"/>
      <c r="W106" s="17" t="n"/>
      <c r="X106" s="17" t="n"/>
      <c r="Y106" s="17" t="n"/>
      <c r="Z106" s="21">
        <f>IF(OR(W106="",X106="",Y106=""),"",(--TRIM(LEFT(W106,2)))*(--TRIM(LEFT(X106,2)))*(--TRIM(LEFT(Y106,2))))</f>
        <v/>
      </c>
      <c r="AA106" s="21">
        <f>IF(OR(W106="",X106="",Y106=""),"",INDEX(APGrid,COUNTIF(APS,"&gt;"&amp;(--TRIM(LEFT(W106,2))))*5+COUNTIF(APO,"&gt;"&amp;(--TRIM(LEFT(X106,2))))+1,COUNTIF(APD,"&gt;"&amp;(--TRIM(LEFT(Y106,2))))+1))</f>
        <v/>
      </c>
      <c r="AB106" s="5" t="n"/>
      <c r="AC106" s="5" t="n"/>
      <c r="AE106">
        <f>IFERROR(INDEX(EqTag,_xlfn.AGGREGATE(15,6,(ROW(EqTag)-4)/((EqSys=$D$3)*(EqTag&lt;&gt;"")),ROWS($AE$14:AE106))),"")</f>
        <v/>
      </c>
    </row>
    <row r="107" ht="30" customHeight="1">
      <c r="A107" s="21">
        <f>IF(F107="","",LEFT($D$3,3)&amp;"-"&amp;TEXT(COUNTIF(F$14:F107,"?*"),"00"))</f>
        <v/>
      </c>
      <c r="B107" s="5" t="n"/>
      <c r="C107" s="6">
        <f>IF(B107="","",IFERROR(INDEX(EqTypeCol,MATCH(B107,EqTag,0)),"Tag not in register"))</f>
        <v/>
      </c>
      <c r="D107" s="5" t="n"/>
      <c r="E107" s="5" t="n"/>
      <c r="F107" s="5" t="n"/>
      <c r="G107" s="5" t="n"/>
      <c r="H107" s="5" t="n"/>
      <c r="I107" s="5" t="n"/>
      <c r="J107" s="5" t="n"/>
      <c r="K107" s="17" t="n"/>
      <c r="L107" s="5" t="n"/>
      <c r="M107" s="17" t="n"/>
      <c r="N107" s="5" t="n"/>
      <c r="O107" s="17" t="n"/>
      <c r="P107" s="21">
        <f>IF(OR(K107="",M107="",O107=""),"",(--TRIM(LEFT(K107,2)))*(--TRIM(LEFT(M107,2)))*(--TRIM(LEFT(O107,2))))</f>
        <v/>
      </c>
      <c r="Q107" s="21">
        <f>IF(OR(K107="",M107="",O107=""),"",INDEX(APGrid,COUNTIF(APS,"&gt;"&amp;(--TRIM(LEFT(K107,2))))*5+COUNTIF(APO,"&gt;"&amp;(--TRIM(LEFT(M107,2))))+1,COUNTIF(APD,"&gt;"&amp;(--TRIM(LEFT(O107,2))))+1))</f>
        <v/>
      </c>
      <c r="R107" s="21">
        <f>IF(P107="","",IF(OR((--TRIM(LEFT(K107,2)))&gt;=SThr,P107&gt;=RPNThr,Q107="H"),"Yes","No"))</f>
        <v/>
      </c>
      <c r="S107" s="5" t="n"/>
      <c r="T107" s="5" t="n"/>
      <c r="U107" s="5" t="n"/>
      <c r="V107" s="29" t="n"/>
      <c r="W107" s="17" t="n"/>
      <c r="X107" s="17" t="n"/>
      <c r="Y107" s="17" t="n"/>
      <c r="Z107" s="21">
        <f>IF(OR(W107="",X107="",Y107=""),"",(--TRIM(LEFT(W107,2)))*(--TRIM(LEFT(X107,2)))*(--TRIM(LEFT(Y107,2))))</f>
        <v/>
      </c>
      <c r="AA107" s="21">
        <f>IF(OR(W107="",X107="",Y107=""),"",INDEX(APGrid,COUNTIF(APS,"&gt;"&amp;(--TRIM(LEFT(W107,2))))*5+COUNTIF(APO,"&gt;"&amp;(--TRIM(LEFT(X107,2))))+1,COUNTIF(APD,"&gt;"&amp;(--TRIM(LEFT(Y107,2))))+1))</f>
        <v/>
      </c>
      <c r="AB107" s="5" t="n"/>
      <c r="AC107" s="5" t="n"/>
      <c r="AE107">
        <f>IFERROR(INDEX(EqTag,_xlfn.AGGREGATE(15,6,(ROW(EqTag)-4)/((EqSys=$D$3)*(EqTag&lt;&gt;"")),ROWS($AE$14:AE107))),"")</f>
        <v/>
      </c>
    </row>
    <row r="108" ht="30" customHeight="1">
      <c r="A108" s="21">
        <f>IF(F108="","",LEFT($D$3,3)&amp;"-"&amp;TEXT(COUNTIF(F$14:F108,"?*"),"00"))</f>
        <v/>
      </c>
      <c r="B108" s="5" t="n"/>
      <c r="C108" s="6">
        <f>IF(B108="","",IFERROR(INDEX(EqTypeCol,MATCH(B108,EqTag,0)),"Tag not in register"))</f>
        <v/>
      </c>
      <c r="D108" s="5" t="n"/>
      <c r="E108" s="5" t="n"/>
      <c r="F108" s="5" t="n"/>
      <c r="G108" s="5" t="n"/>
      <c r="H108" s="5" t="n"/>
      <c r="I108" s="5" t="n"/>
      <c r="J108" s="5" t="n"/>
      <c r="K108" s="17" t="n"/>
      <c r="L108" s="5" t="n"/>
      <c r="M108" s="17" t="n"/>
      <c r="N108" s="5" t="n"/>
      <c r="O108" s="17" t="n"/>
      <c r="P108" s="21">
        <f>IF(OR(K108="",M108="",O108=""),"",(--TRIM(LEFT(K108,2)))*(--TRIM(LEFT(M108,2)))*(--TRIM(LEFT(O108,2))))</f>
        <v/>
      </c>
      <c r="Q108" s="21">
        <f>IF(OR(K108="",M108="",O108=""),"",INDEX(APGrid,COUNTIF(APS,"&gt;"&amp;(--TRIM(LEFT(K108,2))))*5+COUNTIF(APO,"&gt;"&amp;(--TRIM(LEFT(M108,2))))+1,COUNTIF(APD,"&gt;"&amp;(--TRIM(LEFT(O108,2))))+1))</f>
        <v/>
      </c>
      <c r="R108" s="21">
        <f>IF(P108="","",IF(OR((--TRIM(LEFT(K108,2)))&gt;=SThr,P108&gt;=RPNThr,Q108="H"),"Yes","No"))</f>
        <v/>
      </c>
      <c r="S108" s="5" t="n"/>
      <c r="T108" s="5" t="n"/>
      <c r="U108" s="5" t="n"/>
      <c r="V108" s="29" t="n"/>
      <c r="W108" s="17" t="n"/>
      <c r="X108" s="17" t="n"/>
      <c r="Y108" s="17" t="n"/>
      <c r="Z108" s="21">
        <f>IF(OR(W108="",X108="",Y108=""),"",(--TRIM(LEFT(W108,2)))*(--TRIM(LEFT(X108,2)))*(--TRIM(LEFT(Y108,2))))</f>
        <v/>
      </c>
      <c r="AA108" s="21">
        <f>IF(OR(W108="",X108="",Y108=""),"",INDEX(APGrid,COUNTIF(APS,"&gt;"&amp;(--TRIM(LEFT(W108,2))))*5+COUNTIF(APO,"&gt;"&amp;(--TRIM(LEFT(X108,2))))+1,COUNTIF(APD,"&gt;"&amp;(--TRIM(LEFT(Y108,2))))+1))</f>
        <v/>
      </c>
      <c r="AB108" s="5" t="n"/>
      <c r="AC108" s="5" t="n"/>
      <c r="AE108">
        <f>IFERROR(INDEX(EqTag,_xlfn.AGGREGATE(15,6,(ROW(EqTag)-4)/((EqSys=$D$3)*(EqTag&lt;&gt;"")),ROWS($AE$14:AE108))),"")</f>
        <v/>
      </c>
    </row>
    <row r="109" ht="30" customHeight="1">
      <c r="A109" s="21">
        <f>IF(F109="","",LEFT($D$3,3)&amp;"-"&amp;TEXT(COUNTIF(F$14:F109,"?*"),"00"))</f>
        <v/>
      </c>
      <c r="B109" s="5" t="n"/>
      <c r="C109" s="6">
        <f>IF(B109="","",IFERROR(INDEX(EqTypeCol,MATCH(B109,EqTag,0)),"Tag not in register"))</f>
        <v/>
      </c>
      <c r="D109" s="5" t="n"/>
      <c r="E109" s="5" t="n"/>
      <c r="F109" s="5" t="n"/>
      <c r="G109" s="5" t="n"/>
      <c r="H109" s="5" t="n"/>
      <c r="I109" s="5" t="n"/>
      <c r="J109" s="5" t="n"/>
      <c r="K109" s="17" t="n"/>
      <c r="L109" s="5" t="n"/>
      <c r="M109" s="17" t="n"/>
      <c r="N109" s="5" t="n"/>
      <c r="O109" s="17" t="n"/>
      <c r="P109" s="21">
        <f>IF(OR(K109="",M109="",O109=""),"",(--TRIM(LEFT(K109,2)))*(--TRIM(LEFT(M109,2)))*(--TRIM(LEFT(O109,2))))</f>
        <v/>
      </c>
      <c r="Q109" s="21">
        <f>IF(OR(K109="",M109="",O109=""),"",INDEX(APGrid,COUNTIF(APS,"&gt;"&amp;(--TRIM(LEFT(K109,2))))*5+COUNTIF(APO,"&gt;"&amp;(--TRIM(LEFT(M109,2))))+1,COUNTIF(APD,"&gt;"&amp;(--TRIM(LEFT(O109,2))))+1))</f>
        <v/>
      </c>
      <c r="R109" s="21">
        <f>IF(P109="","",IF(OR((--TRIM(LEFT(K109,2)))&gt;=SThr,P109&gt;=RPNThr,Q109="H"),"Yes","No"))</f>
        <v/>
      </c>
      <c r="S109" s="5" t="n"/>
      <c r="T109" s="5" t="n"/>
      <c r="U109" s="5" t="n"/>
      <c r="V109" s="29" t="n"/>
      <c r="W109" s="17" t="n"/>
      <c r="X109" s="17" t="n"/>
      <c r="Y109" s="17" t="n"/>
      <c r="Z109" s="21">
        <f>IF(OR(W109="",X109="",Y109=""),"",(--TRIM(LEFT(W109,2)))*(--TRIM(LEFT(X109,2)))*(--TRIM(LEFT(Y109,2))))</f>
        <v/>
      </c>
      <c r="AA109" s="21">
        <f>IF(OR(W109="",X109="",Y109=""),"",INDEX(APGrid,COUNTIF(APS,"&gt;"&amp;(--TRIM(LEFT(W109,2))))*5+COUNTIF(APO,"&gt;"&amp;(--TRIM(LEFT(X109,2))))+1,COUNTIF(APD,"&gt;"&amp;(--TRIM(LEFT(Y109,2))))+1))</f>
        <v/>
      </c>
      <c r="AB109" s="5" t="n"/>
      <c r="AC109" s="5" t="n"/>
      <c r="AE109">
        <f>IFERROR(INDEX(EqTag,_xlfn.AGGREGATE(15,6,(ROW(EqTag)-4)/((EqSys=$D$3)*(EqTag&lt;&gt;"")),ROWS($AE$14:AE109))),"")</f>
        <v/>
      </c>
    </row>
    <row r="110" ht="30" customHeight="1">
      <c r="A110" s="21">
        <f>IF(F110="","",LEFT($D$3,3)&amp;"-"&amp;TEXT(COUNTIF(F$14:F110,"?*"),"00"))</f>
        <v/>
      </c>
      <c r="B110" s="5" t="n"/>
      <c r="C110" s="6">
        <f>IF(B110="","",IFERROR(INDEX(EqTypeCol,MATCH(B110,EqTag,0)),"Tag not in register"))</f>
        <v/>
      </c>
      <c r="D110" s="5" t="n"/>
      <c r="E110" s="5" t="n"/>
      <c r="F110" s="5" t="n"/>
      <c r="G110" s="5" t="n"/>
      <c r="H110" s="5" t="n"/>
      <c r="I110" s="5" t="n"/>
      <c r="J110" s="5" t="n"/>
      <c r="K110" s="17" t="n"/>
      <c r="L110" s="5" t="n"/>
      <c r="M110" s="17" t="n"/>
      <c r="N110" s="5" t="n"/>
      <c r="O110" s="17" t="n"/>
      <c r="P110" s="21">
        <f>IF(OR(K110="",M110="",O110=""),"",(--TRIM(LEFT(K110,2)))*(--TRIM(LEFT(M110,2)))*(--TRIM(LEFT(O110,2))))</f>
        <v/>
      </c>
      <c r="Q110" s="21">
        <f>IF(OR(K110="",M110="",O110=""),"",INDEX(APGrid,COUNTIF(APS,"&gt;"&amp;(--TRIM(LEFT(K110,2))))*5+COUNTIF(APO,"&gt;"&amp;(--TRIM(LEFT(M110,2))))+1,COUNTIF(APD,"&gt;"&amp;(--TRIM(LEFT(O110,2))))+1))</f>
        <v/>
      </c>
      <c r="R110" s="21">
        <f>IF(P110="","",IF(OR((--TRIM(LEFT(K110,2)))&gt;=SThr,P110&gt;=RPNThr,Q110="H"),"Yes","No"))</f>
        <v/>
      </c>
      <c r="S110" s="5" t="n"/>
      <c r="T110" s="5" t="n"/>
      <c r="U110" s="5" t="n"/>
      <c r="V110" s="29" t="n"/>
      <c r="W110" s="17" t="n"/>
      <c r="X110" s="17" t="n"/>
      <c r="Y110" s="17" t="n"/>
      <c r="Z110" s="21">
        <f>IF(OR(W110="",X110="",Y110=""),"",(--TRIM(LEFT(W110,2)))*(--TRIM(LEFT(X110,2)))*(--TRIM(LEFT(Y110,2))))</f>
        <v/>
      </c>
      <c r="AA110" s="21">
        <f>IF(OR(W110="",X110="",Y110=""),"",INDEX(APGrid,COUNTIF(APS,"&gt;"&amp;(--TRIM(LEFT(W110,2))))*5+COUNTIF(APO,"&gt;"&amp;(--TRIM(LEFT(X110,2))))+1,COUNTIF(APD,"&gt;"&amp;(--TRIM(LEFT(Y110,2))))+1))</f>
        <v/>
      </c>
      <c r="AB110" s="5" t="n"/>
      <c r="AC110" s="5" t="n"/>
      <c r="AE110">
        <f>IFERROR(INDEX(EqTag,_xlfn.AGGREGATE(15,6,(ROW(EqTag)-4)/((EqSys=$D$3)*(EqTag&lt;&gt;"")),ROWS($AE$14:AE110))),"")</f>
        <v/>
      </c>
    </row>
    <row r="111" ht="30" customHeight="1">
      <c r="A111" s="21">
        <f>IF(F111="","",LEFT($D$3,3)&amp;"-"&amp;TEXT(COUNTIF(F$14:F111,"?*"),"00"))</f>
        <v/>
      </c>
      <c r="B111" s="5" t="n"/>
      <c r="C111" s="6">
        <f>IF(B111="","",IFERROR(INDEX(EqTypeCol,MATCH(B111,EqTag,0)),"Tag not in register"))</f>
        <v/>
      </c>
      <c r="D111" s="5" t="n"/>
      <c r="E111" s="5" t="n"/>
      <c r="F111" s="5" t="n"/>
      <c r="G111" s="5" t="n"/>
      <c r="H111" s="5" t="n"/>
      <c r="I111" s="5" t="n"/>
      <c r="J111" s="5" t="n"/>
      <c r="K111" s="17" t="n"/>
      <c r="L111" s="5" t="n"/>
      <c r="M111" s="17" t="n"/>
      <c r="N111" s="5" t="n"/>
      <c r="O111" s="17" t="n"/>
      <c r="P111" s="21">
        <f>IF(OR(K111="",M111="",O111=""),"",(--TRIM(LEFT(K111,2)))*(--TRIM(LEFT(M111,2)))*(--TRIM(LEFT(O111,2))))</f>
        <v/>
      </c>
      <c r="Q111" s="21">
        <f>IF(OR(K111="",M111="",O111=""),"",INDEX(APGrid,COUNTIF(APS,"&gt;"&amp;(--TRIM(LEFT(K111,2))))*5+COUNTIF(APO,"&gt;"&amp;(--TRIM(LEFT(M111,2))))+1,COUNTIF(APD,"&gt;"&amp;(--TRIM(LEFT(O111,2))))+1))</f>
        <v/>
      </c>
      <c r="R111" s="21">
        <f>IF(P111="","",IF(OR((--TRIM(LEFT(K111,2)))&gt;=SThr,P111&gt;=RPNThr,Q111="H"),"Yes","No"))</f>
        <v/>
      </c>
      <c r="S111" s="5" t="n"/>
      <c r="T111" s="5" t="n"/>
      <c r="U111" s="5" t="n"/>
      <c r="V111" s="29" t="n"/>
      <c r="W111" s="17" t="n"/>
      <c r="X111" s="17" t="n"/>
      <c r="Y111" s="17" t="n"/>
      <c r="Z111" s="21">
        <f>IF(OR(W111="",X111="",Y111=""),"",(--TRIM(LEFT(W111,2)))*(--TRIM(LEFT(X111,2)))*(--TRIM(LEFT(Y111,2))))</f>
        <v/>
      </c>
      <c r="AA111" s="21">
        <f>IF(OR(W111="",X111="",Y111=""),"",INDEX(APGrid,COUNTIF(APS,"&gt;"&amp;(--TRIM(LEFT(W111,2))))*5+COUNTIF(APO,"&gt;"&amp;(--TRIM(LEFT(X111,2))))+1,COUNTIF(APD,"&gt;"&amp;(--TRIM(LEFT(Y111,2))))+1))</f>
        <v/>
      </c>
      <c r="AB111" s="5" t="n"/>
      <c r="AC111" s="5" t="n"/>
      <c r="AE111">
        <f>IFERROR(INDEX(EqTag,_xlfn.AGGREGATE(15,6,(ROW(EqTag)-4)/((EqSys=$D$3)*(EqTag&lt;&gt;"")),ROWS($AE$14:AE111))),"")</f>
        <v/>
      </c>
    </row>
    <row r="112" ht="30" customHeight="1">
      <c r="A112" s="21">
        <f>IF(F112="","",LEFT($D$3,3)&amp;"-"&amp;TEXT(COUNTIF(F$14:F112,"?*"),"00"))</f>
        <v/>
      </c>
      <c r="B112" s="5" t="n"/>
      <c r="C112" s="6">
        <f>IF(B112="","",IFERROR(INDEX(EqTypeCol,MATCH(B112,EqTag,0)),"Tag not in register"))</f>
        <v/>
      </c>
      <c r="D112" s="5" t="n"/>
      <c r="E112" s="5" t="n"/>
      <c r="F112" s="5" t="n"/>
      <c r="G112" s="5" t="n"/>
      <c r="H112" s="5" t="n"/>
      <c r="I112" s="5" t="n"/>
      <c r="J112" s="5" t="n"/>
      <c r="K112" s="17" t="n"/>
      <c r="L112" s="5" t="n"/>
      <c r="M112" s="17" t="n"/>
      <c r="N112" s="5" t="n"/>
      <c r="O112" s="17" t="n"/>
      <c r="P112" s="21">
        <f>IF(OR(K112="",M112="",O112=""),"",(--TRIM(LEFT(K112,2)))*(--TRIM(LEFT(M112,2)))*(--TRIM(LEFT(O112,2))))</f>
        <v/>
      </c>
      <c r="Q112" s="21">
        <f>IF(OR(K112="",M112="",O112=""),"",INDEX(APGrid,COUNTIF(APS,"&gt;"&amp;(--TRIM(LEFT(K112,2))))*5+COUNTIF(APO,"&gt;"&amp;(--TRIM(LEFT(M112,2))))+1,COUNTIF(APD,"&gt;"&amp;(--TRIM(LEFT(O112,2))))+1))</f>
        <v/>
      </c>
      <c r="R112" s="21">
        <f>IF(P112="","",IF(OR((--TRIM(LEFT(K112,2)))&gt;=SThr,P112&gt;=RPNThr,Q112="H"),"Yes","No"))</f>
        <v/>
      </c>
      <c r="S112" s="5" t="n"/>
      <c r="T112" s="5" t="n"/>
      <c r="U112" s="5" t="n"/>
      <c r="V112" s="29" t="n"/>
      <c r="W112" s="17" t="n"/>
      <c r="X112" s="17" t="n"/>
      <c r="Y112" s="17" t="n"/>
      <c r="Z112" s="21">
        <f>IF(OR(W112="",X112="",Y112=""),"",(--TRIM(LEFT(W112,2)))*(--TRIM(LEFT(X112,2)))*(--TRIM(LEFT(Y112,2))))</f>
        <v/>
      </c>
      <c r="AA112" s="21">
        <f>IF(OR(W112="",X112="",Y112=""),"",INDEX(APGrid,COUNTIF(APS,"&gt;"&amp;(--TRIM(LEFT(W112,2))))*5+COUNTIF(APO,"&gt;"&amp;(--TRIM(LEFT(X112,2))))+1,COUNTIF(APD,"&gt;"&amp;(--TRIM(LEFT(Y112,2))))+1))</f>
        <v/>
      </c>
      <c r="AB112" s="5" t="n"/>
      <c r="AC112" s="5" t="n"/>
      <c r="AE112">
        <f>IFERROR(INDEX(EqTag,_xlfn.AGGREGATE(15,6,(ROW(EqTag)-4)/((EqSys=$D$3)*(EqTag&lt;&gt;"")),ROWS($AE$14:AE112))),"")</f>
        <v/>
      </c>
    </row>
    <row r="113" ht="30" customHeight="1">
      <c r="A113" s="21">
        <f>IF(F113="","",LEFT($D$3,3)&amp;"-"&amp;TEXT(COUNTIF(F$14:F113,"?*"),"00"))</f>
        <v/>
      </c>
      <c r="B113" s="5" t="n"/>
      <c r="C113" s="6">
        <f>IF(B113="","",IFERROR(INDEX(EqTypeCol,MATCH(B113,EqTag,0)),"Tag not in register"))</f>
        <v/>
      </c>
      <c r="D113" s="5" t="n"/>
      <c r="E113" s="5" t="n"/>
      <c r="F113" s="5" t="n"/>
      <c r="G113" s="5" t="n"/>
      <c r="H113" s="5" t="n"/>
      <c r="I113" s="5" t="n"/>
      <c r="J113" s="5" t="n"/>
      <c r="K113" s="17" t="n"/>
      <c r="L113" s="5" t="n"/>
      <c r="M113" s="17" t="n"/>
      <c r="N113" s="5" t="n"/>
      <c r="O113" s="17" t="n"/>
      <c r="P113" s="21">
        <f>IF(OR(K113="",M113="",O113=""),"",(--TRIM(LEFT(K113,2)))*(--TRIM(LEFT(M113,2)))*(--TRIM(LEFT(O113,2))))</f>
        <v/>
      </c>
      <c r="Q113" s="21">
        <f>IF(OR(K113="",M113="",O113=""),"",INDEX(APGrid,COUNTIF(APS,"&gt;"&amp;(--TRIM(LEFT(K113,2))))*5+COUNTIF(APO,"&gt;"&amp;(--TRIM(LEFT(M113,2))))+1,COUNTIF(APD,"&gt;"&amp;(--TRIM(LEFT(O113,2))))+1))</f>
        <v/>
      </c>
      <c r="R113" s="21">
        <f>IF(P113="","",IF(OR((--TRIM(LEFT(K113,2)))&gt;=SThr,P113&gt;=RPNThr,Q113="H"),"Yes","No"))</f>
        <v/>
      </c>
      <c r="S113" s="5" t="n"/>
      <c r="T113" s="5" t="n"/>
      <c r="U113" s="5" t="n"/>
      <c r="V113" s="29" t="n"/>
      <c r="W113" s="17" t="n"/>
      <c r="X113" s="17" t="n"/>
      <c r="Y113" s="17" t="n"/>
      <c r="Z113" s="21">
        <f>IF(OR(W113="",X113="",Y113=""),"",(--TRIM(LEFT(W113,2)))*(--TRIM(LEFT(X113,2)))*(--TRIM(LEFT(Y113,2))))</f>
        <v/>
      </c>
      <c r="AA113" s="21">
        <f>IF(OR(W113="",X113="",Y113=""),"",INDEX(APGrid,COUNTIF(APS,"&gt;"&amp;(--TRIM(LEFT(W113,2))))*5+COUNTIF(APO,"&gt;"&amp;(--TRIM(LEFT(X113,2))))+1,COUNTIF(APD,"&gt;"&amp;(--TRIM(LEFT(Y113,2))))+1))</f>
        <v/>
      </c>
      <c r="AB113" s="5" t="n"/>
      <c r="AC113" s="5" t="n"/>
      <c r="AE113">
        <f>IFERROR(INDEX(EqTag,_xlfn.AGGREGATE(15,6,(ROW(EqTag)-4)/((EqSys=$D$3)*(EqTag&lt;&gt;"")),ROWS($AE$14:AE113))),"")</f>
        <v/>
      </c>
    </row>
    <row r="114" ht="30" customHeight="1">
      <c r="A114" s="21">
        <f>IF(F114="","",LEFT($D$3,3)&amp;"-"&amp;TEXT(COUNTIF(F$14:F114,"?*"),"00"))</f>
        <v/>
      </c>
      <c r="B114" s="5" t="n"/>
      <c r="C114" s="6">
        <f>IF(B114="","",IFERROR(INDEX(EqTypeCol,MATCH(B114,EqTag,0)),"Tag not in register"))</f>
        <v/>
      </c>
      <c r="D114" s="5" t="n"/>
      <c r="E114" s="5" t="n"/>
      <c r="F114" s="5" t="n"/>
      <c r="G114" s="5" t="n"/>
      <c r="H114" s="5" t="n"/>
      <c r="I114" s="5" t="n"/>
      <c r="J114" s="5" t="n"/>
      <c r="K114" s="17" t="n"/>
      <c r="L114" s="5" t="n"/>
      <c r="M114" s="17" t="n"/>
      <c r="N114" s="5" t="n"/>
      <c r="O114" s="17" t="n"/>
      <c r="P114" s="21">
        <f>IF(OR(K114="",M114="",O114=""),"",(--TRIM(LEFT(K114,2)))*(--TRIM(LEFT(M114,2)))*(--TRIM(LEFT(O114,2))))</f>
        <v/>
      </c>
      <c r="Q114" s="21">
        <f>IF(OR(K114="",M114="",O114=""),"",INDEX(APGrid,COUNTIF(APS,"&gt;"&amp;(--TRIM(LEFT(K114,2))))*5+COUNTIF(APO,"&gt;"&amp;(--TRIM(LEFT(M114,2))))+1,COUNTIF(APD,"&gt;"&amp;(--TRIM(LEFT(O114,2))))+1))</f>
        <v/>
      </c>
      <c r="R114" s="21">
        <f>IF(P114="","",IF(OR((--TRIM(LEFT(K114,2)))&gt;=SThr,P114&gt;=RPNThr,Q114="H"),"Yes","No"))</f>
        <v/>
      </c>
      <c r="S114" s="5" t="n"/>
      <c r="T114" s="5" t="n"/>
      <c r="U114" s="5" t="n"/>
      <c r="V114" s="29" t="n"/>
      <c r="W114" s="17" t="n"/>
      <c r="X114" s="17" t="n"/>
      <c r="Y114" s="17" t="n"/>
      <c r="Z114" s="21">
        <f>IF(OR(W114="",X114="",Y114=""),"",(--TRIM(LEFT(W114,2)))*(--TRIM(LEFT(X114,2)))*(--TRIM(LEFT(Y114,2))))</f>
        <v/>
      </c>
      <c r="AA114" s="21">
        <f>IF(OR(W114="",X114="",Y114=""),"",INDEX(APGrid,COUNTIF(APS,"&gt;"&amp;(--TRIM(LEFT(W114,2))))*5+COUNTIF(APO,"&gt;"&amp;(--TRIM(LEFT(X114,2))))+1,COUNTIF(APD,"&gt;"&amp;(--TRIM(LEFT(Y114,2))))+1))</f>
        <v/>
      </c>
      <c r="AB114" s="5" t="n"/>
      <c r="AC114" s="5" t="n"/>
      <c r="AE114">
        <f>IFERROR(INDEX(EqTag,_xlfn.AGGREGATE(15,6,(ROW(EqTag)-4)/((EqSys=$D$3)*(EqTag&lt;&gt;"")),ROWS($AE$14:AE114))),"")</f>
        <v/>
      </c>
    </row>
    <row r="115" ht="30" customHeight="1">
      <c r="A115" s="21">
        <f>IF(F115="","",LEFT($D$3,3)&amp;"-"&amp;TEXT(COUNTIF(F$14:F115,"?*"),"00"))</f>
        <v/>
      </c>
      <c r="B115" s="5" t="n"/>
      <c r="C115" s="6">
        <f>IF(B115="","",IFERROR(INDEX(EqTypeCol,MATCH(B115,EqTag,0)),"Tag not in register"))</f>
        <v/>
      </c>
      <c r="D115" s="5" t="n"/>
      <c r="E115" s="5" t="n"/>
      <c r="F115" s="5" t="n"/>
      <c r="G115" s="5" t="n"/>
      <c r="H115" s="5" t="n"/>
      <c r="I115" s="5" t="n"/>
      <c r="J115" s="5" t="n"/>
      <c r="K115" s="17" t="n"/>
      <c r="L115" s="5" t="n"/>
      <c r="M115" s="17" t="n"/>
      <c r="N115" s="5" t="n"/>
      <c r="O115" s="17" t="n"/>
      <c r="P115" s="21">
        <f>IF(OR(K115="",M115="",O115=""),"",(--TRIM(LEFT(K115,2)))*(--TRIM(LEFT(M115,2)))*(--TRIM(LEFT(O115,2))))</f>
        <v/>
      </c>
      <c r="Q115" s="21">
        <f>IF(OR(K115="",M115="",O115=""),"",INDEX(APGrid,COUNTIF(APS,"&gt;"&amp;(--TRIM(LEFT(K115,2))))*5+COUNTIF(APO,"&gt;"&amp;(--TRIM(LEFT(M115,2))))+1,COUNTIF(APD,"&gt;"&amp;(--TRIM(LEFT(O115,2))))+1))</f>
        <v/>
      </c>
      <c r="R115" s="21">
        <f>IF(P115="","",IF(OR((--TRIM(LEFT(K115,2)))&gt;=SThr,P115&gt;=RPNThr,Q115="H"),"Yes","No"))</f>
        <v/>
      </c>
      <c r="S115" s="5" t="n"/>
      <c r="T115" s="5" t="n"/>
      <c r="U115" s="5" t="n"/>
      <c r="V115" s="29" t="n"/>
      <c r="W115" s="17" t="n"/>
      <c r="X115" s="17" t="n"/>
      <c r="Y115" s="17" t="n"/>
      <c r="Z115" s="21">
        <f>IF(OR(W115="",X115="",Y115=""),"",(--TRIM(LEFT(W115,2)))*(--TRIM(LEFT(X115,2)))*(--TRIM(LEFT(Y115,2))))</f>
        <v/>
      </c>
      <c r="AA115" s="21">
        <f>IF(OR(W115="",X115="",Y115=""),"",INDEX(APGrid,COUNTIF(APS,"&gt;"&amp;(--TRIM(LEFT(W115,2))))*5+COUNTIF(APO,"&gt;"&amp;(--TRIM(LEFT(X115,2))))+1,COUNTIF(APD,"&gt;"&amp;(--TRIM(LEFT(Y115,2))))+1))</f>
        <v/>
      </c>
      <c r="AB115" s="5" t="n"/>
      <c r="AC115" s="5" t="n"/>
      <c r="AE115">
        <f>IFERROR(INDEX(EqTag,_xlfn.AGGREGATE(15,6,(ROW(EqTag)-4)/((EqSys=$D$3)*(EqTag&lt;&gt;"")),ROWS($AE$14:AE115))),"")</f>
        <v/>
      </c>
    </row>
    <row r="116" ht="30" customHeight="1">
      <c r="A116" s="21">
        <f>IF(F116="","",LEFT($D$3,3)&amp;"-"&amp;TEXT(COUNTIF(F$14:F116,"?*"),"00"))</f>
        <v/>
      </c>
      <c r="B116" s="5" t="n"/>
      <c r="C116" s="6">
        <f>IF(B116="","",IFERROR(INDEX(EqTypeCol,MATCH(B116,EqTag,0)),"Tag not in register"))</f>
        <v/>
      </c>
      <c r="D116" s="5" t="n"/>
      <c r="E116" s="5" t="n"/>
      <c r="F116" s="5" t="n"/>
      <c r="G116" s="5" t="n"/>
      <c r="H116" s="5" t="n"/>
      <c r="I116" s="5" t="n"/>
      <c r="J116" s="5" t="n"/>
      <c r="K116" s="17" t="n"/>
      <c r="L116" s="5" t="n"/>
      <c r="M116" s="17" t="n"/>
      <c r="N116" s="5" t="n"/>
      <c r="O116" s="17" t="n"/>
      <c r="P116" s="21">
        <f>IF(OR(K116="",M116="",O116=""),"",(--TRIM(LEFT(K116,2)))*(--TRIM(LEFT(M116,2)))*(--TRIM(LEFT(O116,2))))</f>
        <v/>
      </c>
      <c r="Q116" s="21">
        <f>IF(OR(K116="",M116="",O116=""),"",INDEX(APGrid,COUNTIF(APS,"&gt;"&amp;(--TRIM(LEFT(K116,2))))*5+COUNTIF(APO,"&gt;"&amp;(--TRIM(LEFT(M116,2))))+1,COUNTIF(APD,"&gt;"&amp;(--TRIM(LEFT(O116,2))))+1))</f>
        <v/>
      </c>
      <c r="R116" s="21">
        <f>IF(P116="","",IF(OR((--TRIM(LEFT(K116,2)))&gt;=SThr,P116&gt;=RPNThr,Q116="H"),"Yes","No"))</f>
        <v/>
      </c>
      <c r="S116" s="5" t="n"/>
      <c r="T116" s="5" t="n"/>
      <c r="U116" s="5" t="n"/>
      <c r="V116" s="29" t="n"/>
      <c r="W116" s="17" t="n"/>
      <c r="X116" s="17" t="n"/>
      <c r="Y116" s="17" t="n"/>
      <c r="Z116" s="21">
        <f>IF(OR(W116="",X116="",Y116=""),"",(--TRIM(LEFT(W116,2)))*(--TRIM(LEFT(X116,2)))*(--TRIM(LEFT(Y116,2))))</f>
        <v/>
      </c>
      <c r="AA116" s="21">
        <f>IF(OR(W116="",X116="",Y116=""),"",INDEX(APGrid,COUNTIF(APS,"&gt;"&amp;(--TRIM(LEFT(W116,2))))*5+COUNTIF(APO,"&gt;"&amp;(--TRIM(LEFT(X116,2))))+1,COUNTIF(APD,"&gt;"&amp;(--TRIM(LEFT(Y116,2))))+1))</f>
        <v/>
      </c>
      <c r="AB116" s="5" t="n"/>
      <c r="AC116" s="5" t="n"/>
      <c r="AE116">
        <f>IFERROR(INDEX(EqTag,_xlfn.AGGREGATE(15,6,(ROW(EqTag)-4)/((EqSys=$D$3)*(EqTag&lt;&gt;"")),ROWS($AE$14:AE116))),"")</f>
        <v/>
      </c>
    </row>
    <row r="117" ht="30" customHeight="1">
      <c r="A117" s="21">
        <f>IF(F117="","",LEFT($D$3,3)&amp;"-"&amp;TEXT(COUNTIF(F$14:F117,"?*"),"00"))</f>
        <v/>
      </c>
      <c r="B117" s="5" t="n"/>
      <c r="C117" s="6">
        <f>IF(B117="","",IFERROR(INDEX(EqTypeCol,MATCH(B117,EqTag,0)),"Tag not in register"))</f>
        <v/>
      </c>
      <c r="D117" s="5" t="n"/>
      <c r="E117" s="5" t="n"/>
      <c r="F117" s="5" t="n"/>
      <c r="G117" s="5" t="n"/>
      <c r="H117" s="5" t="n"/>
      <c r="I117" s="5" t="n"/>
      <c r="J117" s="5" t="n"/>
      <c r="K117" s="17" t="n"/>
      <c r="L117" s="5" t="n"/>
      <c r="M117" s="17" t="n"/>
      <c r="N117" s="5" t="n"/>
      <c r="O117" s="17" t="n"/>
      <c r="P117" s="21">
        <f>IF(OR(K117="",M117="",O117=""),"",(--TRIM(LEFT(K117,2)))*(--TRIM(LEFT(M117,2)))*(--TRIM(LEFT(O117,2))))</f>
        <v/>
      </c>
      <c r="Q117" s="21">
        <f>IF(OR(K117="",M117="",O117=""),"",INDEX(APGrid,COUNTIF(APS,"&gt;"&amp;(--TRIM(LEFT(K117,2))))*5+COUNTIF(APO,"&gt;"&amp;(--TRIM(LEFT(M117,2))))+1,COUNTIF(APD,"&gt;"&amp;(--TRIM(LEFT(O117,2))))+1))</f>
        <v/>
      </c>
      <c r="R117" s="21">
        <f>IF(P117="","",IF(OR((--TRIM(LEFT(K117,2)))&gt;=SThr,P117&gt;=RPNThr,Q117="H"),"Yes","No"))</f>
        <v/>
      </c>
      <c r="S117" s="5" t="n"/>
      <c r="T117" s="5" t="n"/>
      <c r="U117" s="5" t="n"/>
      <c r="V117" s="29" t="n"/>
      <c r="W117" s="17" t="n"/>
      <c r="X117" s="17" t="n"/>
      <c r="Y117" s="17" t="n"/>
      <c r="Z117" s="21">
        <f>IF(OR(W117="",X117="",Y117=""),"",(--TRIM(LEFT(W117,2)))*(--TRIM(LEFT(X117,2)))*(--TRIM(LEFT(Y117,2))))</f>
        <v/>
      </c>
      <c r="AA117" s="21">
        <f>IF(OR(W117="",X117="",Y117=""),"",INDEX(APGrid,COUNTIF(APS,"&gt;"&amp;(--TRIM(LEFT(W117,2))))*5+COUNTIF(APO,"&gt;"&amp;(--TRIM(LEFT(X117,2))))+1,COUNTIF(APD,"&gt;"&amp;(--TRIM(LEFT(Y117,2))))+1))</f>
        <v/>
      </c>
      <c r="AB117" s="5" t="n"/>
      <c r="AC117" s="5" t="n"/>
      <c r="AE117">
        <f>IFERROR(INDEX(EqTag,_xlfn.AGGREGATE(15,6,(ROW(EqTag)-4)/((EqSys=$D$3)*(EqTag&lt;&gt;"")),ROWS($AE$14:AE117))),"")</f>
        <v/>
      </c>
    </row>
    <row r="118" ht="30" customHeight="1">
      <c r="A118" s="21">
        <f>IF(F118="","",LEFT($D$3,3)&amp;"-"&amp;TEXT(COUNTIF(F$14:F118,"?*"),"00"))</f>
        <v/>
      </c>
      <c r="B118" s="5" t="n"/>
      <c r="C118" s="6">
        <f>IF(B118="","",IFERROR(INDEX(EqTypeCol,MATCH(B118,EqTag,0)),"Tag not in register"))</f>
        <v/>
      </c>
      <c r="D118" s="5" t="n"/>
      <c r="E118" s="5" t="n"/>
      <c r="F118" s="5" t="n"/>
      <c r="G118" s="5" t="n"/>
      <c r="H118" s="5" t="n"/>
      <c r="I118" s="5" t="n"/>
      <c r="J118" s="5" t="n"/>
      <c r="K118" s="17" t="n"/>
      <c r="L118" s="5" t="n"/>
      <c r="M118" s="17" t="n"/>
      <c r="N118" s="5" t="n"/>
      <c r="O118" s="17" t="n"/>
      <c r="P118" s="21">
        <f>IF(OR(K118="",M118="",O118=""),"",(--TRIM(LEFT(K118,2)))*(--TRIM(LEFT(M118,2)))*(--TRIM(LEFT(O118,2))))</f>
        <v/>
      </c>
      <c r="Q118" s="21">
        <f>IF(OR(K118="",M118="",O118=""),"",INDEX(APGrid,COUNTIF(APS,"&gt;"&amp;(--TRIM(LEFT(K118,2))))*5+COUNTIF(APO,"&gt;"&amp;(--TRIM(LEFT(M118,2))))+1,COUNTIF(APD,"&gt;"&amp;(--TRIM(LEFT(O118,2))))+1))</f>
        <v/>
      </c>
      <c r="R118" s="21">
        <f>IF(P118="","",IF(OR((--TRIM(LEFT(K118,2)))&gt;=SThr,P118&gt;=RPNThr,Q118="H"),"Yes","No"))</f>
        <v/>
      </c>
      <c r="S118" s="5" t="n"/>
      <c r="T118" s="5" t="n"/>
      <c r="U118" s="5" t="n"/>
      <c r="V118" s="29" t="n"/>
      <c r="W118" s="17" t="n"/>
      <c r="X118" s="17" t="n"/>
      <c r="Y118" s="17" t="n"/>
      <c r="Z118" s="21">
        <f>IF(OR(W118="",X118="",Y118=""),"",(--TRIM(LEFT(W118,2)))*(--TRIM(LEFT(X118,2)))*(--TRIM(LEFT(Y118,2))))</f>
        <v/>
      </c>
      <c r="AA118" s="21">
        <f>IF(OR(W118="",X118="",Y118=""),"",INDEX(APGrid,COUNTIF(APS,"&gt;"&amp;(--TRIM(LEFT(W118,2))))*5+COUNTIF(APO,"&gt;"&amp;(--TRIM(LEFT(X118,2))))+1,COUNTIF(APD,"&gt;"&amp;(--TRIM(LEFT(Y118,2))))+1))</f>
        <v/>
      </c>
      <c r="AB118" s="5" t="n"/>
      <c r="AC118" s="5" t="n"/>
      <c r="AE118">
        <f>IFERROR(INDEX(EqTag,_xlfn.AGGREGATE(15,6,(ROW(EqTag)-4)/((EqSys=$D$3)*(EqTag&lt;&gt;"")),ROWS($AE$14:AE118))),"")</f>
        <v/>
      </c>
    </row>
    <row r="119" ht="30" customHeight="1">
      <c r="A119" s="21">
        <f>IF(F119="","",LEFT($D$3,3)&amp;"-"&amp;TEXT(COUNTIF(F$14:F119,"?*"),"00"))</f>
        <v/>
      </c>
      <c r="B119" s="5" t="n"/>
      <c r="C119" s="6">
        <f>IF(B119="","",IFERROR(INDEX(EqTypeCol,MATCH(B119,EqTag,0)),"Tag not in register"))</f>
        <v/>
      </c>
      <c r="D119" s="5" t="n"/>
      <c r="E119" s="5" t="n"/>
      <c r="F119" s="5" t="n"/>
      <c r="G119" s="5" t="n"/>
      <c r="H119" s="5" t="n"/>
      <c r="I119" s="5" t="n"/>
      <c r="J119" s="5" t="n"/>
      <c r="K119" s="17" t="n"/>
      <c r="L119" s="5" t="n"/>
      <c r="M119" s="17" t="n"/>
      <c r="N119" s="5" t="n"/>
      <c r="O119" s="17" t="n"/>
      <c r="P119" s="21">
        <f>IF(OR(K119="",M119="",O119=""),"",(--TRIM(LEFT(K119,2)))*(--TRIM(LEFT(M119,2)))*(--TRIM(LEFT(O119,2))))</f>
        <v/>
      </c>
      <c r="Q119" s="21">
        <f>IF(OR(K119="",M119="",O119=""),"",INDEX(APGrid,COUNTIF(APS,"&gt;"&amp;(--TRIM(LEFT(K119,2))))*5+COUNTIF(APO,"&gt;"&amp;(--TRIM(LEFT(M119,2))))+1,COUNTIF(APD,"&gt;"&amp;(--TRIM(LEFT(O119,2))))+1))</f>
        <v/>
      </c>
      <c r="R119" s="21">
        <f>IF(P119="","",IF(OR((--TRIM(LEFT(K119,2)))&gt;=SThr,P119&gt;=RPNThr,Q119="H"),"Yes","No"))</f>
        <v/>
      </c>
      <c r="S119" s="5" t="n"/>
      <c r="T119" s="5" t="n"/>
      <c r="U119" s="5" t="n"/>
      <c r="V119" s="29" t="n"/>
      <c r="W119" s="17" t="n"/>
      <c r="X119" s="17" t="n"/>
      <c r="Y119" s="17" t="n"/>
      <c r="Z119" s="21">
        <f>IF(OR(W119="",X119="",Y119=""),"",(--TRIM(LEFT(W119,2)))*(--TRIM(LEFT(X119,2)))*(--TRIM(LEFT(Y119,2))))</f>
        <v/>
      </c>
      <c r="AA119" s="21">
        <f>IF(OR(W119="",X119="",Y119=""),"",INDEX(APGrid,COUNTIF(APS,"&gt;"&amp;(--TRIM(LEFT(W119,2))))*5+COUNTIF(APO,"&gt;"&amp;(--TRIM(LEFT(X119,2))))+1,COUNTIF(APD,"&gt;"&amp;(--TRIM(LEFT(Y119,2))))+1))</f>
        <v/>
      </c>
      <c r="AB119" s="5" t="n"/>
      <c r="AC119" s="5" t="n"/>
      <c r="AE119">
        <f>IFERROR(INDEX(EqTag,_xlfn.AGGREGATE(15,6,(ROW(EqTag)-4)/((EqSys=$D$3)*(EqTag&lt;&gt;"")),ROWS($AE$14:AE119))),"")</f>
        <v/>
      </c>
    </row>
    <row r="120" ht="30" customHeight="1">
      <c r="A120" s="21">
        <f>IF(F120="","",LEFT($D$3,3)&amp;"-"&amp;TEXT(COUNTIF(F$14:F120,"?*"),"00"))</f>
        <v/>
      </c>
      <c r="B120" s="5" t="n"/>
      <c r="C120" s="6">
        <f>IF(B120="","",IFERROR(INDEX(EqTypeCol,MATCH(B120,EqTag,0)),"Tag not in register"))</f>
        <v/>
      </c>
      <c r="D120" s="5" t="n"/>
      <c r="E120" s="5" t="n"/>
      <c r="F120" s="5" t="n"/>
      <c r="G120" s="5" t="n"/>
      <c r="H120" s="5" t="n"/>
      <c r="I120" s="5" t="n"/>
      <c r="J120" s="5" t="n"/>
      <c r="K120" s="17" t="n"/>
      <c r="L120" s="5" t="n"/>
      <c r="M120" s="17" t="n"/>
      <c r="N120" s="5" t="n"/>
      <c r="O120" s="17" t="n"/>
      <c r="P120" s="21">
        <f>IF(OR(K120="",M120="",O120=""),"",(--TRIM(LEFT(K120,2)))*(--TRIM(LEFT(M120,2)))*(--TRIM(LEFT(O120,2))))</f>
        <v/>
      </c>
      <c r="Q120" s="21">
        <f>IF(OR(K120="",M120="",O120=""),"",INDEX(APGrid,COUNTIF(APS,"&gt;"&amp;(--TRIM(LEFT(K120,2))))*5+COUNTIF(APO,"&gt;"&amp;(--TRIM(LEFT(M120,2))))+1,COUNTIF(APD,"&gt;"&amp;(--TRIM(LEFT(O120,2))))+1))</f>
        <v/>
      </c>
      <c r="R120" s="21">
        <f>IF(P120="","",IF(OR((--TRIM(LEFT(K120,2)))&gt;=SThr,P120&gt;=RPNThr,Q120="H"),"Yes","No"))</f>
        <v/>
      </c>
      <c r="S120" s="5" t="n"/>
      <c r="T120" s="5" t="n"/>
      <c r="U120" s="5" t="n"/>
      <c r="V120" s="29" t="n"/>
      <c r="W120" s="17" t="n"/>
      <c r="X120" s="17" t="n"/>
      <c r="Y120" s="17" t="n"/>
      <c r="Z120" s="21">
        <f>IF(OR(W120="",X120="",Y120=""),"",(--TRIM(LEFT(W120,2)))*(--TRIM(LEFT(X120,2)))*(--TRIM(LEFT(Y120,2))))</f>
        <v/>
      </c>
      <c r="AA120" s="21">
        <f>IF(OR(W120="",X120="",Y120=""),"",INDEX(APGrid,COUNTIF(APS,"&gt;"&amp;(--TRIM(LEFT(W120,2))))*5+COUNTIF(APO,"&gt;"&amp;(--TRIM(LEFT(X120,2))))+1,COUNTIF(APD,"&gt;"&amp;(--TRIM(LEFT(Y120,2))))+1))</f>
        <v/>
      </c>
      <c r="AB120" s="5" t="n"/>
      <c r="AC120" s="5" t="n"/>
      <c r="AE120">
        <f>IFERROR(INDEX(EqTag,_xlfn.AGGREGATE(15,6,(ROW(EqTag)-4)/((EqSys=$D$3)*(EqTag&lt;&gt;"")),ROWS($AE$14:AE120))),"")</f>
        <v/>
      </c>
    </row>
    <row r="121" ht="30" customHeight="1">
      <c r="A121" s="21">
        <f>IF(F121="","",LEFT($D$3,3)&amp;"-"&amp;TEXT(COUNTIF(F$14:F121,"?*"),"00"))</f>
        <v/>
      </c>
      <c r="B121" s="5" t="n"/>
      <c r="C121" s="6">
        <f>IF(B121="","",IFERROR(INDEX(EqTypeCol,MATCH(B121,EqTag,0)),"Tag not in register"))</f>
        <v/>
      </c>
      <c r="D121" s="5" t="n"/>
      <c r="E121" s="5" t="n"/>
      <c r="F121" s="5" t="n"/>
      <c r="G121" s="5" t="n"/>
      <c r="H121" s="5" t="n"/>
      <c r="I121" s="5" t="n"/>
      <c r="J121" s="5" t="n"/>
      <c r="K121" s="17" t="n"/>
      <c r="L121" s="5" t="n"/>
      <c r="M121" s="17" t="n"/>
      <c r="N121" s="5" t="n"/>
      <c r="O121" s="17" t="n"/>
      <c r="P121" s="21">
        <f>IF(OR(K121="",M121="",O121=""),"",(--TRIM(LEFT(K121,2)))*(--TRIM(LEFT(M121,2)))*(--TRIM(LEFT(O121,2))))</f>
        <v/>
      </c>
      <c r="Q121" s="21">
        <f>IF(OR(K121="",M121="",O121=""),"",INDEX(APGrid,COUNTIF(APS,"&gt;"&amp;(--TRIM(LEFT(K121,2))))*5+COUNTIF(APO,"&gt;"&amp;(--TRIM(LEFT(M121,2))))+1,COUNTIF(APD,"&gt;"&amp;(--TRIM(LEFT(O121,2))))+1))</f>
        <v/>
      </c>
      <c r="R121" s="21">
        <f>IF(P121="","",IF(OR((--TRIM(LEFT(K121,2)))&gt;=SThr,P121&gt;=RPNThr,Q121="H"),"Yes","No"))</f>
        <v/>
      </c>
      <c r="S121" s="5" t="n"/>
      <c r="T121" s="5" t="n"/>
      <c r="U121" s="5" t="n"/>
      <c r="V121" s="29" t="n"/>
      <c r="W121" s="17" t="n"/>
      <c r="X121" s="17" t="n"/>
      <c r="Y121" s="17" t="n"/>
      <c r="Z121" s="21">
        <f>IF(OR(W121="",X121="",Y121=""),"",(--TRIM(LEFT(W121,2)))*(--TRIM(LEFT(X121,2)))*(--TRIM(LEFT(Y121,2))))</f>
        <v/>
      </c>
      <c r="AA121" s="21">
        <f>IF(OR(W121="",X121="",Y121=""),"",INDEX(APGrid,COUNTIF(APS,"&gt;"&amp;(--TRIM(LEFT(W121,2))))*5+COUNTIF(APO,"&gt;"&amp;(--TRIM(LEFT(X121,2))))+1,COUNTIF(APD,"&gt;"&amp;(--TRIM(LEFT(Y121,2))))+1))</f>
        <v/>
      </c>
      <c r="AB121" s="5" t="n"/>
      <c r="AC121" s="5" t="n"/>
      <c r="AE121">
        <f>IFERROR(INDEX(EqTag,_xlfn.AGGREGATE(15,6,(ROW(EqTag)-4)/((EqSys=$D$3)*(EqTag&lt;&gt;"")),ROWS($AE$14:AE121))),"")</f>
        <v/>
      </c>
    </row>
    <row r="122" ht="30" customHeight="1">
      <c r="A122" s="21">
        <f>IF(F122="","",LEFT($D$3,3)&amp;"-"&amp;TEXT(COUNTIF(F$14:F122,"?*"),"00"))</f>
        <v/>
      </c>
      <c r="B122" s="5" t="n"/>
      <c r="C122" s="6">
        <f>IF(B122="","",IFERROR(INDEX(EqTypeCol,MATCH(B122,EqTag,0)),"Tag not in register"))</f>
        <v/>
      </c>
      <c r="D122" s="5" t="n"/>
      <c r="E122" s="5" t="n"/>
      <c r="F122" s="5" t="n"/>
      <c r="G122" s="5" t="n"/>
      <c r="H122" s="5" t="n"/>
      <c r="I122" s="5" t="n"/>
      <c r="J122" s="5" t="n"/>
      <c r="K122" s="17" t="n"/>
      <c r="L122" s="5" t="n"/>
      <c r="M122" s="17" t="n"/>
      <c r="N122" s="5" t="n"/>
      <c r="O122" s="17" t="n"/>
      <c r="P122" s="21">
        <f>IF(OR(K122="",M122="",O122=""),"",(--TRIM(LEFT(K122,2)))*(--TRIM(LEFT(M122,2)))*(--TRIM(LEFT(O122,2))))</f>
        <v/>
      </c>
      <c r="Q122" s="21">
        <f>IF(OR(K122="",M122="",O122=""),"",INDEX(APGrid,COUNTIF(APS,"&gt;"&amp;(--TRIM(LEFT(K122,2))))*5+COUNTIF(APO,"&gt;"&amp;(--TRIM(LEFT(M122,2))))+1,COUNTIF(APD,"&gt;"&amp;(--TRIM(LEFT(O122,2))))+1))</f>
        <v/>
      </c>
      <c r="R122" s="21">
        <f>IF(P122="","",IF(OR((--TRIM(LEFT(K122,2)))&gt;=SThr,P122&gt;=RPNThr,Q122="H"),"Yes","No"))</f>
        <v/>
      </c>
      <c r="S122" s="5" t="n"/>
      <c r="T122" s="5" t="n"/>
      <c r="U122" s="5" t="n"/>
      <c r="V122" s="29" t="n"/>
      <c r="W122" s="17" t="n"/>
      <c r="X122" s="17" t="n"/>
      <c r="Y122" s="17" t="n"/>
      <c r="Z122" s="21">
        <f>IF(OR(W122="",X122="",Y122=""),"",(--TRIM(LEFT(W122,2)))*(--TRIM(LEFT(X122,2)))*(--TRIM(LEFT(Y122,2))))</f>
        <v/>
      </c>
      <c r="AA122" s="21">
        <f>IF(OR(W122="",X122="",Y122=""),"",INDEX(APGrid,COUNTIF(APS,"&gt;"&amp;(--TRIM(LEFT(W122,2))))*5+COUNTIF(APO,"&gt;"&amp;(--TRIM(LEFT(X122,2))))+1,COUNTIF(APD,"&gt;"&amp;(--TRIM(LEFT(Y122,2))))+1))</f>
        <v/>
      </c>
      <c r="AB122" s="5" t="n"/>
      <c r="AC122" s="5" t="n"/>
      <c r="AE122">
        <f>IFERROR(INDEX(EqTag,_xlfn.AGGREGATE(15,6,(ROW(EqTag)-4)/((EqSys=$D$3)*(EqTag&lt;&gt;"")),ROWS($AE$14:AE122))),"")</f>
        <v/>
      </c>
    </row>
    <row r="123" ht="30" customHeight="1">
      <c r="A123" s="21">
        <f>IF(F123="","",LEFT($D$3,3)&amp;"-"&amp;TEXT(COUNTIF(F$14:F123,"?*"),"00"))</f>
        <v/>
      </c>
      <c r="B123" s="5" t="n"/>
      <c r="C123" s="6">
        <f>IF(B123="","",IFERROR(INDEX(EqTypeCol,MATCH(B123,EqTag,0)),"Tag not in register"))</f>
        <v/>
      </c>
      <c r="D123" s="5" t="n"/>
      <c r="E123" s="5" t="n"/>
      <c r="F123" s="5" t="n"/>
      <c r="G123" s="5" t="n"/>
      <c r="H123" s="5" t="n"/>
      <c r="I123" s="5" t="n"/>
      <c r="J123" s="5" t="n"/>
      <c r="K123" s="17" t="n"/>
      <c r="L123" s="5" t="n"/>
      <c r="M123" s="17" t="n"/>
      <c r="N123" s="5" t="n"/>
      <c r="O123" s="17" t="n"/>
      <c r="P123" s="21">
        <f>IF(OR(K123="",M123="",O123=""),"",(--TRIM(LEFT(K123,2)))*(--TRIM(LEFT(M123,2)))*(--TRIM(LEFT(O123,2))))</f>
        <v/>
      </c>
      <c r="Q123" s="21">
        <f>IF(OR(K123="",M123="",O123=""),"",INDEX(APGrid,COUNTIF(APS,"&gt;"&amp;(--TRIM(LEFT(K123,2))))*5+COUNTIF(APO,"&gt;"&amp;(--TRIM(LEFT(M123,2))))+1,COUNTIF(APD,"&gt;"&amp;(--TRIM(LEFT(O123,2))))+1))</f>
        <v/>
      </c>
      <c r="R123" s="21">
        <f>IF(P123="","",IF(OR((--TRIM(LEFT(K123,2)))&gt;=SThr,P123&gt;=RPNThr,Q123="H"),"Yes","No"))</f>
        <v/>
      </c>
      <c r="S123" s="5" t="n"/>
      <c r="T123" s="5" t="n"/>
      <c r="U123" s="5" t="n"/>
      <c r="V123" s="29" t="n"/>
      <c r="W123" s="17" t="n"/>
      <c r="X123" s="17" t="n"/>
      <c r="Y123" s="17" t="n"/>
      <c r="Z123" s="21">
        <f>IF(OR(W123="",X123="",Y123=""),"",(--TRIM(LEFT(W123,2)))*(--TRIM(LEFT(X123,2)))*(--TRIM(LEFT(Y123,2))))</f>
        <v/>
      </c>
      <c r="AA123" s="21">
        <f>IF(OR(W123="",X123="",Y123=""),"",INDEX(APGrid,COUNTIF(APS,"&gt;"&amp;(--TRIM(LEFT(W123,2))))*5+COUNTIF(APO,"&gt;"&amp;(--TRIM(LEFT(X123,2))))+1,COUNTIF(APD,"&gt;"&amp;(--TRIM(LEFT(Y123,2))))+1))</f>
        <v/>
      </c>
      <c r="AB123" s="5" t="n"/>
      <c r="AC123" s="5" t="n"/>
      <c r="AE123">
        <f>IFERROR(INDEX(EqTag,_xlfn.AGGREGATE(15,6,(ROW(EqTag)-4)/((EqSys=$D$3)*(EqTag&lt;&gt;"")),ROWS($AE$14:AE123))),"")</f>
        <v/>
      </c>
    </row>
    <row r="124" ht="30" customHeight="1">
      <c r="A124" s="21">
        <f>IF(F124="","",LEFT($D$3,3)&amp;"-"&amp;TEXT(COUNTIF(F$14:F124,"?*"),"00"))</f>
        <v/>
      </c>
      <c r="B124" s="5" t="n"/>
      <c r="C124" s="6">
        <f>IF(B124="","",IFERROR(INDEX(EqTypeCol,MATCH(B124,EqTag,0)),"Tag not in register"))</f>
        <v/>
      </c>
      <c r="D124" s="5" t="n"/>
      <c r="E124" s="5" t="n"/>
      <c r="F124" s="5" t="n"/>
      <c r="G124" s="5" t="n"/>
      <c r="H124" s="5" t="n"/>
      <c r="I124" s="5" t="n"/>
      <c r="J124" s="5" t="n"/>
      <c r="K124" s="17" t="n"/>
      <c r="L124" s="5" t="n"/>
      <c r="M124" s="17" t="n"/>
      <c r="N124" s="5" t="n"/>
      <c r="O124" s="17" t="n"/>
      <c r="P124" s="21">
        <f>IF(OR(K124="",M124="",O124=""),"",(--TRIM(LEFT(K124,2)))*(--TRIM(LEFT(M124,2)))*(--TRIM(LEFT(O124,2))))</f>
        <v/>
      </c>
      <c r="Q124" s="21">
        <f>IF(OR(K124="",M124="",O124=""),"",INDEX(APGrid,COUNTIF(APS,"&gt;"&amp;(--TRIM(LEFT(K124,2))))*5+COUNTIF(APO,"&gt;"&amp;(--TRIM(LEFT(M124,2))))+1,COUNTIF(APD,"&gt;"&amp;(--TRIM(LEFT(O124,2))))+1))</f>
        <v/>
      </c>
      <c r="R124" s="21">
        <f>IF(P124="","",IF(OR((--TRIM(LEFT(K124,2)))&gt;=SThr,P124&gt;=RPNThr,Q124="H"),"Yes","No"))</f>
        <v/>
      </c>
      <c r="S124" s="5" t="n"/>
      <c r="T124" s="5" t="n"/>
      <c r="U124" s="5" t="n"/>
      <c r="V124" s="29" t="n"/>
      <c r="W124" s="17" t="n"/>
      <c r="X124" s="17" t="n"/>
      <c r="Y124" s="17" t="n"/>
      <c r="Z124" s="21">
        <f>IF(OR(W124="",X124="",Y124=""),"",(--TRIM(LEFT(W124,2)))*(--TRIM(LEFT(X124,2)))*(--TRIM(LEFT(Y124,2))))</f>
        <v/>
      </c>
      <c r="AA124" s="21">
        <f>IF(OR(W124="",X124="",Y124=""),"",INDEX(APGrid,COUNTIF(APS,"&gt;"&amp;(--TRIM(LEFT(W124,2))))*5+COUNTIF(APO,"&gt;"&amp;(--TRIM(LEFT(X124,2))))+1,COUNTIF(APD,"&gt;"&amp;(--TRIM(LEFT(Y124,2))))+1))</f>
        <v/>
      </c>
      <c r="AB124" s="5" t="n"/>
      <c r="AC124" s="5" t="n"/>
      <c r="AE124">
        <f>IFERROR(INDEX(EqTag,_xlfn.AGGREGATE(15,6,(ROW(EqTag)-4)/((EqSys=$D$3)*(EqTag&lt;&gt;"")),ROWS($AE$14:AE124))),"")</f>
        <v/>
      </c>
    </row>
    <row r="125" ht="30" customHeight="1">
      <c r="A125" s="21">
        <f>IF(F125="","",LEFT($D$3,3)&amp;"-"&amp;TEXT(COUNTIF(F$14:F125,"?*"),"00"))</f>
        <v/>
      </c>
      <c r="B125" s="5" t="n"/>
      <c r="C125" s="6">
        <f>IF(B125="","",IFERROR(INDEX(EqTypeCol,MATCH(B125,EqTag,0)),"Tag not in register"))</f>
        <v/>
      </c>
      <c r="D125" s="5" t="n"/>
      <c r="E125" s="5" t="n"/>
      <c r="F125" s="5" t="n"/>
      <c r="G125" s="5" t="n"/>
      <c r="H125" s="5" t="n"/>
      <c r="I125" s="5" t="n"/>
      <c r="J125" s="5" t="n"/>
      <c r="K125" s="17" t="n"/>
      <c r="L125" s="5" t="n"/>
      <c r="M125" s="17" t="n"/>
      <c r="N125" s="5" t="n"/>
      <c r="O125" s="17" t="n"/>
      <c r="P125" s="21">
        <f>IF(OR(K125="",M125="",O125=""),"",(--TRIM(LEFT(K125,2)))*(--TRIM(LEFT(M125,2)))*(--TRIM(LEFT(O125,2))))</f>
        <v/>
      </c>
      <c r="Q125" s="21">
        <f>IF(OR(K125="",M125="",O125=""),"",INDEX(APGrid,COUNTIF(APS,"&gt;"&amp;(--TRIM(LEFT(K125,2))))*5+COUNTIF(APO,"&gt;"&amp;(--TRIM(LEFT(M125,2))))+1,COUNTIF(APD,"&gt;"&amp;(--TRIM(LEFT(O125,2))))+1))</f>
        <v/>
      </c>
      <c r="R125" s="21">
        <f>IF(P125="","",IF(OR((--TRIM(LEFT(K125,2)))&gt;=SThr,P125&gt;=RPNThr,Q125="H"),"Yes","No"))</f>
        <v/>
      </c>
      <c r="S125" s="5" t="n"/>
      <c r="T125" s="5" t="n"/>
      <c r="U125" s="5" t="n"/>
      <c r="V125" s="29" t="n"/>
      <c r="W125" s="17" t="n"/>
      <c r="X125" s="17" t="n"/>
      <c r="Y125" s="17" t="n"/>
      <c r="Z125" s="21">
        <f>IF(OR(W125="",X125="",Y125=""),"",(--TRIM(LEFT(W125,2)))*(--TRIM(LEFT(X125,2)))*(--TRIM(LEFT(Y125,2))))</f>
        <v/>
      </c>
      <c r="AA125" s="21">
        <f>IF(OR(W125="",X125="",Y125=""),"",INDEX(APGrid,COUNTIF(APS,"&gt;"&amp;(--TRIM(LEFT(W125,2))))*5+COUNTIF(APO,"&gt;"&amp;(--TRIM(LEFT(X125,2))))+1,COUNTIF(APD,"&gt;"&amp;(--TRIM(LEFT(Y125,2))))+1))</f>
        <v/>
      </c>
      <c r="AB125" s="5" t="n"/>
      <c r="AC125" s="5" t="n"/>
      <c r="AE125">
        <f>IFERROR(INDEX(EqTag,_xlfn.AGGREGATE(15,6,(ROW(EqTag)-4)/((EqSys=$D$3)*(EqTag&lt;&gt;"")),ROWS($AE$14:AE125))),"")</f>
        <v/>
      </c>
    </row>
    <row r="126" ht="30" customHeight="1">
      <c r="A126" s="21">
        <f>IF(F126="","",LEFT($D$3,3)&amp;"-"&amp;TEXT(COUNTIF(F$14:F126,"?*"),"00"))</f>
        <v/>
      </c>
      <c r="B126" s="5" t="n"/>
      <c r="C126" s="6">
        <f>IF(B126="","",IFERROR(INDEX(EqTypeCol,MATCH(B126,EqTag,0)),"Tag not in register"))</f>
        <v/>
      </c>
      <c r="D126" s="5" t="n"/>
      <c r="E126" s="5" t="n"/>
      <c r="F126" s="5" t="n"/>
      <c r="G126" s="5" t="n"/>
      <c r="H126" s="5" t="n"/>
      <c r="I126" s="5" t="n"/>
      <c r="J126" s="5" t="n"/>
      <c r="K126" s="17" t="n"/>
      <c r="L126" s="5" t="n"/>
      <c r="M126" s="17" t="n"/>
      <c r="N126" s="5" t="n"/>
      <c r="O126" s="17" t="n"/>
      <c r="P126" s="21">
        <f>IF(OR(K126="",M126="",O126=""),"",(--TRIM(LEFT(K126,2)))*(--TRIM(LEFT(M126,2)))*(--TRIM(LEFT(O126,2))))</f>
        <v/>
      </c>
      <c r="Q126" s="21">
        <f>IF(OR(K126="",M126="",O126=""),"",INDEX(APGrid,COUNTIF(APS,"&gt;"&amp;(--TRIM(LEFT(K126,2))))*5+COUNTIF(APO,"&gt;"&amp;(--TRIM(LEFT(M126,2))))+1,COUNTIF(APD,"&gt;"&amp;(--TRIM(LEFT(O126,2))))+1))</f>
        <v/>
      </c>
      <c r="R126" s="21">
        <f>IF(P126="","",IF(OR((--TRIM(LEFT(K126,2)))&gt;=SThr,P126&gt;=RPNThr,Q126="H"),"Yes","No"))</f>
        <v/>
      </c>
      <c r="S126" s="5" t="n"/>
      <c r="T126" s="5" t="n"/>
      <c r="U126" s="5" t="n"/>
      <c r="V126" s="29" t="n"/>
      <c r="W126" s="17" t="n"/>
      <c r="X126" s="17" t="n"/>
      <c r="Y126" s="17" t="n"/>
      <c r="Z126" s="21">
        <f>IF(OR(W126="",X126="",Y126=""),"",(--TRIM(LEFT(W126,2)))*(--TRIM(LEFT(X126,2)))*(--TRIM(LEFT(Y126,2))))</f>
        <v/>
      </c>
      <c r="AA126" s="21">
        <f>IF(OR(W126="",X126="",Y126=""),"",INDEX(APGrid,COUNTIF(APS,"&gt;"&amp;(--TRIM(LEFT(W126,2))))*5+COUNTIF(APO,"&gt;"&amp;(--TRIM(LEFT(X126,2))))+1,COUNTIF(APD,"&gt;"&amp;(--TRIM(LEFT(Y126,2))))+1))</f>
        <v/>
      </c>
      <c r="AB126" s="5" t="n"/>
      <c r="AC126" s="5" t="n"/>
      <c r="AE126">
        <f>IFERROR(INDEX(EqTag,_xlfn.AGGREGATE(15,6,(ROW(EqTag)-4)/((EqSys=$D$3)*(EqTag&lt;&gt;"")),ROWS($AE$14:AE126))),"")</f>
        <v/>
      </c>
    </row>
    <row r="127" ht="30" customHeight="1">
      <c r="A127" s="21">
        <f>IF(F127="","",LEFT($D$3,3)&amp;"-"&amp;TEXT(COUNTIF(F$14:F127,"?*"),"00"))</f>
        <v/>
      </c>
      <c r="B127" s="5" t="n"/>
      <c r="C127" s="6">
        <f>IF(B127="","",IFERROR(INDEX(EqTypeCol,MATCH(B127,EqTag,0)),"Tag not in register"))</f>
        <v/>
      </c>
      <c r="D127" s="5" t="n"/>
      <c r="E127" s="5" t="n"/>
      <c r="F127" s="5" t="n"/>
      <c r="G127" s="5" t="n"/>
      <c r="H127" s="5" t="n"/>
      <c r="I127" s="5" t="n"/>
      <c r="J127" s="5" t="n"/>
      <c r="K127" s="17" t="n"/>
      <c r="L127" s="5" t="n"/>
      <c r="M127" s="17" t="n"/>
      <c r="N127" s="5" t="n"/>
      <c r="O127" s="17" t="n"/>
      <c r="P127" s="21">
        <f>IF(OR(K127="",M127="",O127=""),"",(--TRIM(LEFT(K127,2)))*(--TRIM(LEFT(M127,2)))*(--TRIM(LEFT(O127,2))))</f>
        <v/>
      </c>
      <c r="Q127" s="21">
        <f>IF(OR(K127="",M127="",O127=""),"",INDEX(APGrid,COUNTIF(APS,"&gt;"&amp;(--TRIM(LEFT(K127,2))))*5+COUNTIF(APO,"&gt;"&amp;(--TRIM(LEFT(M127,2))))+1,COUNTIF(APD,"&gt;"&amp;(--TRIM(LEFT(O127,2))))+1))</f>
        <v/>
      </c>
      <c r="R127" s="21">
        <f>IF(P127="","",IF(OR((--TRIM(LEFT(K127,2)))&gt;=SThr,P127&gt;=RPNThr,Q127="H"),"Yes","No"))</f>
        <v/>
      </c>
      <c r="S127" s="5" t="n"/>
      <c r="T127" s="5" t="n"/>
      <c r="U127" s="5" t="n"/>
      <c r="V127" s="29" t="n"/>
      <c r="W127" s="17" t="n"/>
      <c r="X127" s="17" t="n"/>
      <c r="Y127" s="17" t="n"/>
      <c r="Z127" s="21">
        <f>IF(OR(W127="",X127="",Y127=""),"",(--TRIM(LEFT(W127,2)))*(--TRIM(LEFT(X127,2)))*(--TRIM(LEFT(Y127,2))))</f>
        <v/>
      </c>
      <c r="AA127" s="21">
        <f>IF(OR(W127="",X127="",Y127=""),"",INDEX(APGrid,COUNTIF(APS,"&gt;"&amp;(--TRIM(LEFT(W127,2))))*5+COUNTIF(APO,"&gt;"&amp;(--TRIM(LEFT(X127,2))))+1,COUNTIF(APD,"&gt;"&amp;(--TRIM(LEFT(Y127,2))))+1))</f>
        <v/>
      </c>
      <c r="AB127" s="5" t="n"/>
      <c r="AC127" s="5" t="n"/>
      <c r="AE127">
        <f>IFERROR(INDEX(EqTag,_xlfn.AGGREGATE(15,6,(ROW(EqTag)-4)/((EqSys=$D$3)*(EqTag&lt;&gt;"")),ROWS($AE$14:AE127))),"")</f>
        <v/>
      </c>
    </row>
    <row r="128" ht="30" customHeight="1">
      <c r="A128" s="21">
        <f>IF(F128="","",LEFT($D$3,3)&amp;"-"&amp;TEXT(COUNTIF(F$14:F128,"?*"),"00"))</f>
        <v/>
      </c>
      <c r="B128" s="5" t="n"/>
      <c r="C128" s="6">
        <f>IF(B128="","",IFERROR(INDEX(EqTypeCol,MATCH(B128,EqTag,0)),"Tag not in register"))</f>
        <v/>
      </c>
      <c r="D128" s="5" t="n"/>
      <c r="E128" s="5" t="n"/>
      <c r="F128" s="5" t="n"/>
      <c r="G128" s="5" t="n"/>
      <c r="H128" s="5" t="n"/>
      <c r="I128" s="5" t="n"/>
      <c r="J128" s="5" t="n"/>
      <c r="K128" s="17" t="n"/>
      <c r="L128" s="5" t="n"/>
      <c r="M128" s="17" t="n"/>
      <c r="N128" s="5" t="n"/>
      <c r="O128" s="17" t="n"/>
      <c r="P128" s="21">
        <f>IF(OR(K128="",M128="",O128=""),"",(--TRIM(LEFT(K128,2)))*(--TRIM(LEFT(M128,2)))*(--TRIM(LEFT(O128,2))))</f>
        <v/>
      </c>
      <c r="Q128" s="21">
        <f>IF(OR(K128="",M128="",O128=""),"",INDEX(APGrid,COUNTIF(APS,"&gt;"&amp;(--TRIM(LEFT(K128,2))))*5+COUNTIF(APO,"&gt;"&amp;(--TRIM(LEFT(M128,2))))+1,COUNTIF(APD,"&gt;"&amp;(--TRIM(LEFT(O128,2))))+1))</f>
        <v/>
      </c>
      <c r="R128" s="21">
        <f>IF(P128="","",IF(OR((--TRIM(LEFT(K128,2)))&gt;=SThr,P128&gt;=RPNThr,Q128="H"),"Yes","No"))</f>
        <v/>
      </c>
      <c r="S128" s="5" t="n"/>
      <c r="T128" s="5" t="n"/>
      <c r="U128" s="5" t="n"/>
      <c r="V128" s="29" t="n"/>
      <c r="W128" s="17" t="n"/>
      <c r="X128" s="17" t="n"/>
      <c r="Y128" s="17" t="n"/>
      <c r="Z128" s="21">
        <f>IF(OR(W128="",X128="",Y128=""),"",(--TRIM(LEFT(W128,2)))*(--TRIM(LEFT(X128,2)))*(--TRIM(LEFT(Y128,2))))</f>
        <v/>
      </c>
      <c r="AA128" s="21">
        <f>IF(OR(W128="",X128="",Y128=""),"",INDEX(APGrid,COUNTIF(APS,"&gt;"&amp;(--TRIM(LEFT(W128,2))))*5+COUNTIF(APO,"&gt;"&amp;(--TRIM(LEFT(X128,2))))+1,COUNTIF(APD,"&gt;"&amp;(--TRIM(LEFT(Y128,2))))+1))</f>
        <v/>
      </c>
      <c r="AB128" s="5" t="n"/>
      <c r="AC128" s="5" t="n"/>
      <c r="AE128">
        <f>IFERROR(INDEX(EqTag,_xlfn.AGGREGATE(15,6,(ROW(EqTag)-4)/((EqSys=$D$3)*(EqTag&lt;&gt;"")),ROWS($AE$14:AE128))),"")</f>
        <v/>
      </c>
    </row>
    <row r="129" ht="30" customHeight="1">
      <c r="A129" s="21">
        <f>IF(F129="","",LEFT($D$3,3)&amp;"-"&amp;TEXT(COUNTIF(F$14:F129,"?*"),"00"))</f>
        <v/>
      </c>
      <c r="B129" s="5" t="n"/>
      <c r="C129" s="6">
        <f>IF(B129="","",IFERROR(INDEX(EqTypeCol,MATCH(B129,EqTag,0)),"Tag not in register"))</f>
        <v/>
      </c>
      <c r="D129" s="5" t="n"/>
      <c r="E129" s="5" t="n"/>
      <c r="F129" s="5" t="n"/>
      <c r="G129" s="5" t="n"/>
      <c r="H129" s="5" t="n"/>
      <c r="I129" s="5" t="n"/>
      <c r="J129" s="5" t="n"/>
      <c r="K129" s="17" t="n"/>
      <c r="L129" s="5" t="n"/>
      <c r="M129" s="17" t="n"/>
      <c r="N129" s="5" t="n"/>
      <c r="O129" s="17" t="n"/>
      <c r="P129" s="21">
        <f>IF(OR(K129="",M129="",O129=""),"",(--TRIM(LEFT(K129,2)))*(--TRIM(LEFT(M129,2)))*(--TRIM(LEFT(O129,2))))</f>
        <v/>
      </c>
      <c r="Q129" s="21">
        <f>IF(OR(K129="",M129="",O129=""),"",INDEX(APGrid,COUNTIF(APS,"&gt;"&amp;(--TRIM(LEFT(K129,2))))*5+COUNTIF(APO,"&gt;"&amp;(--TRIM(LEFT(M129,2))))+1,COUNTIF(APD,"&gt;"&amp;(--TRIM(LEFT(O129,2))))+1))</f>
        <v/>
      </c>
      <c r="R129" s="21">
        <f>IF(P129="","",IF(OR((--TRIM(LEFT(K129,2)))&gt;=SThr,P129&gt;=RPNThr,Q129="H"),"Yes","No"))</f>
        <v/>
      </c>
      <c r="S129" s="5" t="n"/>
      <c r="T129" s="5" t="n"/>
      <c r="U129" s="5" t="n"/>
      <c r="V129" s="29" t="n"/>
      <c r="W129" s="17" t="n"/>
      <c r="X129" s="17" t="n"/>
      <c r="Y129" s="17" t="n"/>
      <c r="Z129" s="21">
        <f>IF(OR(W129="",X129="",Y129=""),"",(--TRIM(LEFT(W129,2)))*(--TRIM(LEFT(X129,2)))*(--TRIM(LEFT(Y129,2))))</f>
        <v/>
      </c>
      <c r="AA129" s="21">
        <f>IF(OR(W129="",X129="",Y129=""),"",INDEX(APGrid,COUNTIF(APS,"&gt;"&amp;(--TRIM(LEFT(W129,2))))*5+COUNTIF(APO,"&gt;"&amp;(--TRIM(LEFT(X129,2))))+1,COUNTIF(APD,"&gt;"&amp;(--TRIM(LEFT(Y129,2))))+1))</f>
        <v/>
      </c>
      <c r="AB129" s="5" t="n"/>
      <c r="AC129" s="5" t="n"/>
      <c r="AE129">
        <f>IFERROR(INDEX(EqTag,_xlfn.AGGREGATE(15,6,(ROW(EqTag)-4)/((EqSys=$D$3)*(EqTag&lt;&gt;"")),ROWS($AE$14:AE129))),"")</f>
        <v/>
      </c>
    </row>
    <row r="130" ht="30" customHeight="1">
      <c r="A130" s="21">
        <f>IF(F130="","",LEFT($D$3,3)&amp;"-"&amp;TEXT(COUNTIF(F$14:F130,"?*"),"00"))</f>
        <v/>
      </c>
      <c r="B130" s="5" t="n"/>
      <c r="C130" s="6">
        <f>IF(B130="","",IFERROR(INDEX(EqTypeCol,MATCH(B130,EqTag,0)),"Tag not in register"))</f>
        <v/>
      </c>
      <c r="D130" s="5" t="n"/>
      <c r="E130" s="5" t="n"/>
      <c r="F130" s="5" t="n"/>
      <c r="G130" s="5" t="n"/>
      <c r="H130" s="5" t="n"/>
      <c r="I130" s="5" t="n"/>
      <c r="J130" s="5" t="n"/>
      <c r="K130" s="17" t="n"/>
      <c r="L130" s="5" t="n"/>
      <c r="M130" s="17" t="n"/>
      <c r="N130" s="5" t="n"/>
      <c r="O130" s="17" t="n"/>
      <c r="P130" s="21">
        <f>IF(OR(K130="",M130="",O130=""),"",(--TRIM(LEFT(K130,2)))*(--TRIM(LEFT(M130,2)))*(--TRIM(LEFT(O130,2))))</f>
        <v/>
      </c>
      <c r="Q130" s="21">
        <f>IF(OR(K130="",M130="",O130=""),"",INDEX(APGrid,COUNTIF(APS,"&gt;"&amp;(--TRIM(LEFT(K130,2))))*5+COUNTIF(APO,"&gt;"&amp;(--TRIM(LEFT(M130,2))))+1,COUNTIF(APD,"&gt;"&amp;(--TRIM(LEFT(O130,2))))+1))</f>
        <v/>
      </c>
      <c r="R130" s="21">
        <f>IF(P130="","",IF(OR((--TRIM(LEFT(K130,2)))&gt;=SThr,P130&gt;=RPNThr,Q130="H"),"Yes","No"))</f>
        <v/>
      </c>
      <c r="S130" s="5" t="n"/>
      <c r="T130" s="5" t="n"/>
      <c r="U130" s="5" t="n"/>
      <c r="V130" s="29" t="n"/>
      <c r="W130" s="17" t="n"/>
      <c r="X130" s="17" t="n"/>
      <c r="Y130" s="17" t="n"/>
      <c r="Z130" s="21">
        <f>IF(OR(W130="",X130="",Y130=""),"",(--TRIM(LEFT(W130,2)))*(--TRIM(LEFT(X130,2)))*(--TRIM(LEFT(Y130,2))))</f>
        <v/>
      </c>
      <c r="AA130" s="21">
        <f>IF(OR(W130="",X130="",Y130=""),"",INDEX(APGrid,COUNTIF(APS,"&gt;"&amp;(--TRIM(LEFT(W130,2))))*5+COUNTIF(APO,"&gt;"&amp;(--TRIM(LEFT(X130,2))))+1,COUNTIF(APD,"&gt;"&amp;(--TRIM(LEFT(Y130,2))))+1))</f>
        <v/>
      </c>
      <c r="AB130" s="5" t="n"/>
      <c r="AC130" s="5" t="n"/>
      <c r="AE130">
        <f>IFERROR(INDEX(EqTag,_xlfn.AGGREGATE(15,6,(ROW(EqTag)-4)/((EqSys=$D$3)*(EqTag&lt;&gt;"")),ROWS($AE$14:AE130))),"")</f>
        <v/>
      </c>
    </row>
    <row r="131" ht="30" customHeight="1">
      <c r="A131" s="21">
        <f>IF(F131="","",LEFT($D$3,3)&amp;"-"&amp;TEXT(COUNTIF(F$14:F131,"?*"),"00"))</f>
        <v/>
      </c>
      <c r="B131" s="5" t="n"/>
      <c r="C131" s="6">
        <f>IF(B131="","",IFERROR(INDEX(EqTypeCol,MATCH(B131,EqTag,0)),"Tag not in register"))</f>
        <v/>
      </c>
      <c r="D131" s="5" t="n"/>
      <c r="E131" s="5" t="n"/>
      <c r="F131" s="5" t="n"/>
      <c r="G131" s="5" t="n"/>
      <c r="H131" s="5" t="n"/>
      <c r="I131" s="5" t="n"/>
      <c r="J131" s="5" t="n"/>
      <c r="K131" s="17" t="n"/>
      <c r="L131" s="5" t="n"/>
      <c r="M131" s="17" t="n"/>
      <c r="N131" s="5" t="n"/>
      <c r="O131" s="17" t="n"/>
      <c r="P131" s="21">
        <f>IF(OR(K131="",M131="",O131=""),"",(--TRIM(LEFT(K131,2)))*(--TRIM(LEFT(M131,2)))*(--TRIM(LEFT(O131,2))))</f>
        <v/>
      </c>
      <c r="Q131" s="21">
        <f>IF(OR(K131="",M131="",O131=""),"",INDEX(APGrid,COUNTIF(APS,"&gt;"&amp;(--TRIM(LEFT(K131,2))))*5+COUNTIF(APO,"&gt;"&amp;(--TRIM(LEFT(M131,2))))+1,COUNTIF(APD,"&gt;"&amp;(--TRIM(LEFT(O131,2))))+1))</f>
        <v/>
      </c>
      <c r="R131" s="21">
        <f>IF(P131="","",IF(OR((--TRIM(LEFT(K131,2)))&gt;=SThr,P131&gt;=RPNThr,Q131="H"),"Yes","No"))</f>
        <v/>
      </c>
      <c r="S131" s="5" t="n"/>
      <c r="T131" s="5" t="n"/>
      <c r="U131" s="5" t="n"/>
      <c r="V131" s="29" t="n"/>
      <c r="W131" s="17" t="n"/>
      <c r="X131" s="17" t="n"/>
      <c r="Y131" s="17" t="n"/>
      <c r="Z131" s="21">
        <f>IF(OR(W131="",X131="",Y131=""),"",(--TRIM(LEFT(W131,2)))*(--TRIM(LEFT(X131,2)))*(--TRIM(LEFT(Y131,2))))</f>
        <v/>
      </c>
      <c r="AA131" s="21">
        <f>IF(OR(W131="",X131="",Y131=""),"",INDEX(APGrid,COUNTIF(APS,"&gt;"&amp;(--TRIM(LEFT(W131,2))))*5+COUNTIF(APO,"&gt;"&amp;(--TRIM(LEFT(X131,2))))+1,COUNTIF(APD,"&gt;"&amp;(--TRIM(LEFT(Y131,2))))+1))</f>
        <v/>
      </c>
      <c r="AB131" s="5" t="n"/>
      <c r="AC131" s="5" t="n"/>
      <c r="AE131">
        <f>IFERROR(INDEX(EqTag,_xlfn.AGGREGATE(15,6,(ROW(EqTag)-4)/((EqSys=$D$3)*(EqTag&lt;&gt;"")),ROWS($AE$14:AE131))),"")</f>
        <v/>
      </c>
    </row>
    <row r="132" ht="30" customHeight="1">
      <c r="A132" s="21">
        <f>IF(F132="","",LEFT($D$3,3)&amp;"-"&amp;TEXT(COUNTIF(F$14:F132,"?*"),"00"))</f>
        <v/>
      </c>
      <c r="B132" s="5" t="n"/>
      <c r="C132" s="6">
        <f>IF(B132="","",IFERROR(INDEX(EqTypeCol,MATCH(B132,EqTag,0)),"Tag not in register"))</f>
        <v/>
      </c>
      <c r="D132" s="5" t="n"/>
      <c r="E132" s="5" t="n"/>
      <c r="F132" s="5" t="n"/>
      <c r="G132" s="5" t="n"/>
      <c r="H132" s="5" t="n"/>
      <c r="I132" s="5" t="n"/>
      <c r="J132" s="5" t="n"/>
      <c r="K132" s="17" t="n"/>
      <c r="L132" s="5" t="n"/>
      <c r="M132" s="17" t="n"/>
      <c r="N132" s="5" t="n"/>
      <c r="O132" s="17" t="n"/>
      <c r="P132" s="21">
        <f>IF(OR(K132="",M132="",O132=""),"",(--TRIM(LEFT(K132,2)))*(--TRIM(LEFT(M132,2)))*(--TRIM(LEFT(O132,2))))</f>
        <v/>
      </c>
      <c r="Q132" s="21">
        <f>IF(OR(K132="",M132="",O132=""),"",INDEX(APGrid,COUNTIF(APS,"&gt;"&amp;(--TRIM(LEFT(K132,2))))*5+COUNTIF(APO,"&gt;"&amp;(--TRIM(LEFT(M132,2))))+1,COUNTIF(APD,"&gt;"&amp;(--TRIM(LEFT(O132,2))))+1))</f>
        <v/>
      </c>
      <c r="R132" s="21">
        <f>IF(P132="","",IF(OR((--TRIM(LEFT(K132,2)))&gt;=SThr,P132&gt;=RPNThr,Q132="H"),"Yes","No"))</f>
        <v/>
      </c>
      <c r="S132" s="5" t="n"/>
      <c r="T132" s="5" t="n"/>
      <c r="U132" s="5" t="n"/>
      <c r="V132" s="29" t="n"/>
      <c r="W132" s="17" t="n"/>
      <c r="X132" s="17" t="n"/>
      <c r="Y132" s="17" t="n"/>
      <c r="Z132" s="21">
        <f>IF(OR(W132="",X132="",Y132=""),"",(--TRIM(LEFT(W132,2)))*(--TRIM(LEFT(X132,2)))*(--TRIM(LEFT(Y132,2))))</f>
        <v/>
      </c>
      <c r="AA132" s="21">
        <f>IF(OR(W132="",X132="",Y132=""),"",INDEX(APGrid,COUNTIF(APS,"&gt;"&amp;(--TRIM(LEFT(W132,2))))*5+COUNTIF(APO,"&gt;"&amp;(--TRIM(LEFT(X132,2))))+1,COUNTIF(APD,"&gt;"&amp;(--TRIM(LEFT(Y132,2))))+1))</f>
        <v/>
      </c>
      <c r="AB132" s="5" t="n"/>
      <c r="AC132" s="5" t="n"/>
      <c r="AE132">
        <f>IFERROR(INDEX(EqTag,_xlfn.AGGREGATE(15,6,(ROW(EqTag)-4)/((EqSys=$D$3)*(EqTag&lt;&gt;"")),ROWS($AE$14:AE132))),"")</f>
        <v/>
      </c>
    </row>
    <row r="133" ht="30" customHeight="1">
      <c r="A133" s="21">
        <f>IF(F133="","",LEFT($D$3,3)&amp;"-"&amp;TEXT(COUNTIF(F$14:F133,"?*"),"00"))</f>
        <v/>
      </c>
      <c r="B133" s="5" t="n"/>
      <c r="C133" s="6">
        <f>IF(B133="","",IFERROR(INDEX(EqTypeCol,MATCH(B133,EqTag,0)),"Tag not in register"))</f>
        <v/>
      </c>
      <c r="D133" s="5" t="n"/>
      <c r="E133" s="5" t="n"/>
      <c r="F133" s="5" t="n"/>
      <c r="G133" s="5" t="n"/>
      <c r="H133" s="5" t="n"/>
      <c r="I133" s="5" t="n"/>
      <c r="J133" s="5" t="n"/>
      <c r="K133" s="17" t="n"/>
      <c r="L133" s="5" t="n"/>
      <c r="M133" s="17" t="n"/>
      <c r="N133" s="5" t="n"/>
      <c r="O133" s="17" t="n"/>
      <c r="P133" s="21">
        <f>IF(OR(K133="",M133="",O133=""),"",(--TRIM(LEFT(K133,2)))*(--TRIM(LEFT(M133,2)))*(--TRIM(LEFT(O133,2))))</f>
        <v/>
      </c>
      <c r="Q133" s="21">
        <f>IF(OR(K133="",M133="",O133=""),"",INDEX(APGrid,COUNTIF(APS,"&gt;"&amp;(--TRIM(LEFT(K133,2))))*5+COUNTIF(APO,"&gt;"&amp;(--TRIM(LEFT(M133,2))))+1,COUNTIF(APD,"&gt;"&amp;(--TRIM(LEFT(O133,2))))+1))</f>
        <v/>
      </c>
      <c r="R133" s="21">
        <f>IF(P133="","",IF(OR((--TRIM(LEFT(K133,2)))&gt;=SThr,P133&gt;=RPNThr,Q133="H"),"Yes","No"))</f>
        <v/>
      </c>
      <c r="S133" s="5" t="n"/>
      <c r="T133" s="5" t="n"/>
      <c r="U133" s="5" t="n"/>
      <c r="V133" s="29" t="n"/>
      <c r="W133" s="17" t="n"/>
      <c r="X133" s="17" t="n"/>
      <c r="Y133" s="17" t="n"/>
      <c r="Z133" s="21">
        <f>IF(OR(W133="",X133="",Y133=""),"",(--TRIM(LEFT(W133,2)))*(--TRIM(LEFT(X133,2)))*(--TRIM(LEFT(Y133,2))))</f>
        <v/>
      </c>
      <c r="AA133" s="21">
        <f>IF(OR(W133="",X133="",Y133=""),"",INDEX(APGrid,COUNTIF(APS,"&gt;"&amp;(--TRIM(LEFT(W133,2))))*5+COUNTIF(APO,"&gt;"&amp;(--TRIM(LEFT(X133,2))))+1,COUNTIF(APD,"&gt;"&amp;(--TRIM(LEFT(Y133,2))))+1))</f>
        <v/>
      </c>
      <c r="AB133" s="5" t="n"/>
      <c r="AC133" s="5" t="n"/>
      <c r="AE133">
        <f>IFERROR(INDEX(EqTag,_xlfn.AGGREGATE(15,6,(ROW(EqTag)-4)/((EqSys=$D$3)*(EqTag&lt;&gt;"")),ROWS($AE$14:AE133))),"")</f>
        <v/>
      </c>
    </row>
    <row r="134" ht="30" customHeight="1">
      <c r="A134" s="21">
        <f>IF(F134="","",LEFT($D$3,3)&amp;"-"&amp;TEXT(COUNTIF(F$14:F134,"?*"),"00"))</f>
        <v/>
      </c>
      <c r="B134" s="5" t="n"/>
      <c r="C134" s="6">
        <f>IF(B134="","",IFERROR(INDEX(EqTypeCol,MATCH(B134,EqTag,0)),"Tag not in register"))</f>
        <v/>
      </c>
      <c r="D134" s="5" t="n"/>
      <c r="E134" s="5" t="n"/>
      <c r="F134" s="5" t="n"/>
      <c r="G134" s="5" t="n"/>
      <c r="H134" s="5" t="n"/>
      <c r="I134" s="5" t="n"/>
      <c r="J134" s="5" t="n"/>
      <c r="K134" s="17" t="n"/>
      <c r="L134" s="5" t="n"/>
      <c r="M134" s="17" t="n"/>
      <c r="N134" s="5" t="n"/>
      <c r="O134" s="17" t="n"/>
      <c r="P134" s="21">
        <f>IF(OR(K134="",M134="",O134=""),"",(--TRIM(LEFT(K134,2)))*(--TRIM(LEFT(M134,2)))*(--TRIM(LEFT(O134,2))))</f>
        <v/>
      </c>
      <c r="Q134" s="21">
        <f>IF(OR(K134="",M134="",O134=""),"",INDEX(APGrid,COUNTIF(APS,"&gt;"&amp;(--TRIM(LEFT(K134,2))))*5+COUNTIF(APO,"&gt;"&amp;(--TRIM(LEFT(M134,2))))+1,COUNTIF(APD,"&gt;"&amp;(--TRIM(LEFT(O134,2))))+1))</f>
        <v/>
      </c>
      <c r="R134" s="21">
        <f>IF(P134="","",IF(OR((--TRIM(LEFT(K134,2)))&gt;=SThr,P134&gt;=RPNThr,Q134="H"),"Yes","No"))</f>
        <v/>
      </c>
      <c r="S134" s="5" t="n"/>
      <c r="T134" s="5" t="n"/>
      <c r="U134" s="5" t="n"/>
      <c r="V134" s="29" t="n"/>
      <c r="W134" s="17" t="n"/>
      <c r="X134" s="17" t="n"/>
      <c r="Y134" s="17" t="n"/>
      <c r="Z134" s="21">
        <f>IF(OR(W134="",X134="",Y134=""),"",(--TRIM(LEFT(W134,2)))*(--TRIM(LEFT(X134,2)))*(--TRIM(LEFT(Y134,2))))</f>
        <v/>
      </c>
      <c r="AA134" s="21">
        <f>IF(OR(W134="",X134="",Y134=""),"",INDEX(APGrid,COUNTIF(APS,"&gt;"&amp;(--TRIM(LEFT(W134,2))))*5+COUNTIF(APO,"&gt;"&amp;(--TRIM(LEFT(X134,2))))+1,COUNTIF(APD,"&gt;"&amp;(--TRIM(LEFT(Y134,2))))+1))</f>
        <v/>
      </c>
      <c r="AB134" s="5" t="n"/>
      <c r="AC134" s="5" t="n"/>
      <c r="AE134">
        <f>IFERROR(INDEX(EqTag,_xlfn.AGGREGATE(15,6,(ROW(EqTag)-4)/((EqSys=$D$3)*(EqTag&lt;&gt;"")),ROWS($AE$14:AE134))),"")</f>
        <v/>
      </c>
    </row>
    <row r="135" ht="30" customHeight="1">
      <c r="A135" s="21">
        <f>IF(F135="","",LEFT($D$3,3)&amp;"-"&amp;TEXT(COUNTIF(F$14:F135,"?*"),"00"))</f>
        <v/>
      </c>
      <c r="B135" s="5" t="n"/>
      <c r="C135" s="6">
        <f>IF(B135="","",IFERROR(INDEX(EqTypeCol,MATCH(B135,EqTag,0)),"Tag not in register"))</f>
        <v/>
      </c>
      <c r="D135" s="5" t="n"/>
      <c r="E135" s="5" t="n"/>
      <c r="F135" s="5" t="n"/>
      <c r="G135" s="5" t="n"/>
      <c r="H135" s="5" t="n"/>
      <c r="I135" s="5" t="n"/>
      <c r="J135" s="5" t="n"/>
      <c r="K135" s="17" t="n"/>
      <c r="L135" s="5" t="n"/>
      <c r="M135" s="17" t="n"/>
      <c r="N135" s="5" t="n"/>
      <c r="O135" s="17" t="n"/>
      <c r="P135" s="21">
        <f>IF(OR(K135="",M135="",O135=""),"",(--TRIM(LEFT(K135,2)))*(--TRIM(LEFT(M135,2)))*(--TRIM(LEFT(O135,2))))</f>
        <v/>
      </c>
      <c r="Q135" s="21">
        <f>IF(OR(K135="",M135="",O135=""),"",INDEX(APGrid,COUNTIF(APS,"&gt;"&amp;(--TRIM(LEFT(K135,2))))*5+COUNTIF(APO,"&gt;"&amp;(--TRIM(LEFT(M135,2))))+1,COUNTIF(APD,"&gt;"&amp;(--TRIM(LEFT(O135,2))))+1))</f>
        <v/>
      </c>
      <c r="R135" s="21">
        <f>IF(P135="","",IF(OR((--TRIM(LEFT(K135,2)))&gt;=SThr,P135&gt;=RPNThr,Q135="H"),"Yes","No"))</f>
        <v/>
      </c>
      <c r="S135" s="5" t="n"/>
      <c r="T135" s="5" t="n"/>
      <c r="U135" s="5" t="n"/>
      <c r="V135" s="29" t="n"/>
      <c r="W135" s="17" t="n"/>
      <c r="X135" s="17" t="n"/>
      <c r="Y135" s="17" t="n"/>
      <c r="Z135" s="21">
        <f>IF(OR(W135="",X135="",Y135=""),"",(--TRIM(LEFT(W135,2)))*(--TRIM(LEFT(X135,2)))*(--TRIM(LEFT(Y135,2))))</f>
        <v/>
      </c>
      <c r="AA135" s="21">
        <f>IF(OR(W135="",X135="",Y135=""),"",INDEX(APGrid,COUNTIF(APS,"&gt;"&amp;(--TRIM(LEFT(W135,2))))*5+COUNTIF(APO,"&gt;"&amp;(--TRIM(LEFT(X135,2))))+1,COUNTIF(APD,"&gt;"&amp;(--TRIM(LEFT(Y135,2))))+1))</f>
        <v/>
      </c>
      <c r="AB135" s="5" t="n"/>
      <c r="AC135" s="5" t="n"/>
      <c r="AE135">
        <f>IFERROR(INDEX(EqTag,_xlfn.AGGREGATE(15,6,(ROW(EqTag)-4)/((EqSys=$D$3)*(EqTag&lt;&gt;"")),ROWS($AE$14:AE135))),"")</f>
        <v/>
      </c>
    </row>
    <row r="136" ht="30" customHeight="1">
      <c r="A136" s="21">
        <f>IF(F136="","",LEFT($D$3,3)&amp;"-"&amp;TEXT(COUNTIF(F$14:F136,"?*"),"00"))</f>
        <v/>
      </c>
      <c r="B136" s="5" t="n"/>
      <c r="C136" s="6">
        <f>IF(B136="","",IFERROR(INDEX(EqTypeCol,MATCH(B136,EqTag,0)),"Tag not in register"))</f>
        <v/>
      </c>
      <c r="D136" s="5" t="n"/>
      <c r="E136" s="5" t="n"/>
      <c r="F136" s="5" t="n"/>
      <c r="G136" s="5" t="n"/>
      <c r="H136" s="5" t="n"/>
      <c r="I136" s="5" t="n"/>
      <c r="J136" s="5" t="n"/>
      <c r="K136" s="17" t="n"/>
      <c r="L136" s="5" t="n"/>
      <c r="M136" s="17" t="n"/>
      <c r="N136" s="5" t="n"/>
      <c r="O136" s="17" t="n"/>
      <c r="P136" s="21">
        <f>IF(OR(K136="",M136="",O136=""),"",(--TRIM(LEFT(K136,2)))*(--TRIM(LEFT(M136,2)))*(--TRIM(LEFT(O136,2))))</f>
        <v/>
      </c>
      <c r="Q136" s="21">
        <f>IF(OR(K136="",M136="",O136=""),"",INDEX(APGrid,COUNTIF(APS,"&gt;"&amp;(--TRIM(LEFT(K136,2))))*5+COUNTIF(APO,"&gt;"&amp;(--TRIM(LEFT(M136,2))))+1,COUNTIF(APD,"&gt;"&amp;(--TRIM(LEFT(O136,2))))+1))</f>
        <v/>
      </c>
      <c r="R136" s="21">
        <f>IF(P136="","",IF(OR((--TRIM(LEFT(K136,2)))&gt;=SThr,P136&gt;=RPNThr,Q136="H"),"Yes","No"))</f>
        <v/>
      </c>
      <c r="S136" s="5" t="n"/>
      <c r="T136" s="5" t="n"/>
      <c r="U136" s="5" t="n"/>
      <c r="V136" s="29" t="n"/>
      <c r="W136" s="17" t="n"/>
      <c r="X136" s="17" t="n"/>
      <c r="Y136" s="17" t="n"/>
      <c r="Z136" s="21">
        <f>IF(OR(W136="",X136="",Y136=""),"",(--TRIM(LEFT(W136,2)))*(--TRIM(LEFT(X136,2)))*(--TRIM(LEFT(Y136,2))))</f>
        <v/>
      </c>
      <c r="AA136" s="21">
        <f>IF(OR(W136="",X136="",Y136=""),"",INDEX(APGrid,COUNTIF(APS,"&gt;"&amp;(--TRIM(LEFT(W136,2))))*5+COUNTIF(APO,"&gt;"&amp;(--TRIM(LEFT(X136,2))))+1,COUNTIF(APD,"&gt;"&amp;(--TRIM(LEFT(Y136,2))))+1))</f>
        <v/>
      </c>
      <c r="AB136" s="5" t="n"/>
      <c r="AC136" s="5" t="n"/>
      <c r="AE136">
        <f>IFERROR(INDEX(EqTag,_xlfn.AGGREGATE(15,6,(ROW(EqTag)-4)/((EqSys=$D$3)*(EqTag&lt;&gt;"")),ROWS($AE$14:AE136))),"")</f>
        <v/>
      </c>
    </row>
    <row r="137" ht="30" customHeight="1">
      <c r="A137" s="21">
        <f>IF(F137="","",LEFT($D$3,3)&amp;"-"&amp;TEXT(COUNTIF(F$14:F137,"?*"),"00"))</f>
        <v/>
      </c>
      <c r="B137" s="5" t="n"/>
      <c r="C137" s="6">
        <f>IF(B137="","",IFERROR(INDEX(EqTypeCol,MATCH(B137,EqTag,0)),"Tag not in register"))</f>
        <v/>
      </c>
      <c r="D137" s="5" t="n"/>
      <c r="E137" s="5" t="n"/>
      <c r="F137" s="5" t="n"/>
      <c r="G137" s="5" t="n"/>
      <c r="H137" s="5" t="n"/>
      <c r="I137" s="5" t="n"/>
      <c r="J137" s="5" t="n"/>
      <c r="K137" s="17" t="n"/>
      <c r="L137" s="5" t="n"/>
      <c r="M137" s="17" t="n"/>
      <c r="N137" s="5" t="n"/>
      <c r="O137" s="17" t="n"/>
      <c r="P137" s="21">
        <f>IF(OR(K137="",M137="",O137=""),"",(--TRIM(LEFT(K137,2)))*(--TRIM(LEFT(M137,2)))*(--TRIM(LEFT(O137,2))))</f>
        <v/>
      </c>
      <c r="Q137" s="21">
        <f>IF(OR(K137="",M137="",O137=""),"",INDEX(APGrid,COUNTIF(APS,"&gt;"&amp;(--TRIM(LEFT(K137,2))))*5+COUNTIF(APO,"&gt;"&amp;(--TRIM(LEFT(M137,2))))+1,COUNTIF(APD,"&gt;"&amp;(--TRIM(LEFT(O137,2))))+1))</f>
        <v/>
      </c>
      <c r="R137" s="21">
        <f>IF(P137="","",IF(OR((--TRIM(LEFT(K137,2)))&gt;=SThr,P137&gt;=RPNThr,Q137="H"),"Yes","No"))</f>
        <v/>
      </c>
      <c r="S137" s="5" t="n"/>
      <c r="T137" s="5" t="n"/>
      <c r="U137" s="5" t="n"/>
      <c r="V137" s="29" t="n"/>
      <c r="W137" s="17" t="n"/>
      <c r="X137" s="17" t="n"/>
      <c r="Y137" s="17" t="n"/>
      <c r="Z137" s="21">
        <f>IF(OR(W137="",X137="",Y137=""),"",(--TRIM(LEFT(W137,2)))*(--TRIM(LEFT(X137,2)))*(--TRIM(LEFT(Y137,2))))</f>
        <v/>
      </c>
      <c r="AA137" s="21">
        <f>IF(OR(W137="",X137="",Y137=""),"",INDEX(APGrid,COUNTIF(APS,"&gt;"&amp;(--TRIM(LEFT(W137,2))))*5+COUNTIF(APO,"&gt;"&amp;(--TRIM(LEFT(X137,2))))+1,COUNTIF(APD,"&gt;"&amp;(--TRIM(LEFT(Y137,2))))+1))</f>
        <v/>
      </c>
      <c r="AB137" s="5" t="n"/>
      <c r="AC137" s="5" t="n"/>
      <c r="AE137">
        <f>IFERROR(INDEX(EqTag,_xlfn.AGGREGATE(15,6,(ROW(EqTag)-4)/((EqSys=$D$3)*(EqTag&lt;&gt;"")),ROWS($AE$14:AE137))),"")</f>
        <v/>
      </c>
    </row>
    <row r="138" ht="30" customHeight="1">
      <c r="A138" s="21">
        <f>IF(F138="","",LEFT($D$3,3)&amp;"-"&amp;TEXT(COUNTIF(F$14:F138,"?*"),"00"))</f>
        <v/>
      </c>
      <c r="B138" s="5" t="n"/>
      <c r="C138" s="6">
        <f>IF(B138="","",IFERROR(INDEX(EqTypeCol,MATCH(B138,EqTag,0)),"Tag not in register"))</f>
        <v/>
      </c>
      <c r="D138" s="5" t="n"/>
      <c r="E138" s="5" t="n"/>
      <c r="F138" s="5" t="n"/>
      <c r="G138" s="5" t="n"/>
      <c r="H138" s="5" t="n"/>
      <c r="I138" s="5" t="n"/>
      <c r="J138" s="5" t="n"/>
      <c r="K138" s="17" t="n"/>
      <c r="L138" s="5" t="n"/>
      <c r="M138" s="17" t="n"/>
      <c r="N138" s="5" t="n"/>
      <c r="O138" s="17" t="n"/>
      <c r="P138" s="21">
        <f>IF(OR(K138="",M138="",O138=""),"",(--TRIM(LEFT(K138,2)))*(--TRIM(LEFT(M138,2)))*(--TRIM(LEFT(O138,2))))</f>
        <v/>
      </c>
      <c r="Q138" s="21">
        <f>IF(OR(K138="",M138="",O138=""),"",INDEX(APGrid,COUNTIF(APS,"&gt;"&amp;(--TRIM(LEFT(K138,2))))*5+COUNTIF(APO,"&gt;"&amp;(--TRIM(LEFT(M138,2))))+1,COUNTIF(APD,"&gt;"&amp;(--TRIM(LEFT(O138,2))))+1))</f>
        <v/>
      </c>
      <c r="R138" s="21">
        <f>IF(P138="","",IF(OR((--TRIM(LEFT(K138,2)))&gt;=SThr,P138&gt;=RPNThr,Q138="H"),"Yes","No"))</f>
        <v/>
      </c>
      <c r="S138" s="5" t="n"/>
      <c r="T138" s="5" t="n"/>
      <c r="U138" s="5" t="n"/>
      <c r="V138" s="29" t="n"/>
      <c r="W138" s="17" t="n"/>
      <c r="X138" s="17" t="n"/>
      <c r="Y138" s="17" t="n"/>
      <c r="Z138" s="21">
        <f>IF(OR(W138="",X138="",Y138=""),"",(--TRIM(LEFT(W138,2)))*(--TRIM(LEFT(X138,2)))*(--TRIM(LEFT(Y138,2))))</f>
        <v/>
      </c>
      <c r="AA138" s="21">
        <f>IF(OR(W138="",X138="",Y138=""),"",INDEX(APGrid,COUNTIF(APS,"&gt;"&amp;(--TRIM(LEFT(W138,2))))*5+COUNTIF(APO,"&gt;"&amp;(--TRIM(LEFT(X138,2))))+1,COUNTIF(APD,"&gt;"&amp;(--TRIM(LEFT(Y138,2))))+1))</f>
        <v/>
      </c>
      <c r="AB138" s="5" t="n"/>
      <c r="AC138" s="5" t="n"/>
      <c r="AE138">
        <f>IFERROR(INDEX(EqTag,_xlfn.AGGREGATE(15,6,(ROW(EqTag)-4)/((EqSys=$D$3)*(EqTag&lt;&gt;"")),ROWS($AE$14:AE138))),"")</f>
        <v/>
      </c>
    </row>
    <row r="139" ht="30" customHeight="1">
      <c r="A139" s="21">
        <f>IF(F139="","",LEFT($D$3,3)&amp;"-"&amp;TEXT(COUNTIF(F$14:F139,"?*"),"00"))</f>
        <v/>
      </c>
      <c r="B139" s="5" t="n"/>
      <c r="C139" s="6">
        <f>IF(B139="","",IFERROR(INDEX(EqTypeCol,MATCH(B139,EqTag,0)),"Tag not in register"))</f>
        <v/>
      </c>
      <c r="D139" s="5" t="n"/>
      <c r="E139" s="5" t="n"/>
      <c r="F139" s="5" t="n"/>
      <c r="G139" s="5" t="n"/>
      <c r="H139" s="5" t="n"/>
      <c r="I139" s="5" t="n"/>
      <c r="J139" s="5" t="n"/>
      <c r="K139" s="17" t="n"/>
      <c r="L139" s="5" t="n"/>
      <c r="M139" s="17" t="n"/>
      <c r="N139" s="5" t="n"/>
      <c r="O139" s="17" t="n"/>
      <c r="P139" s="21">
        <f>IF(OR(K139="",M139="",O139=""),"",(--TRIM(LEFT(K139,2)))*(--TRIM(LEFT(M139,2)))*(--TRIM(LEFT(O139,2))))</f>
        <v/>
      </c>
      <c r="Q139" s="21">
        <f>IF(OR(K139="",M139="",O139=""),"",INDEX(APGrid,COUNTIF(APS,"&gt;"&amp;(--TRIM(LEFT(K139,2))))*5+COUNTIF(APO,"&gt;"&amp;(--TRIM(LEFT(M139,2))))+1,COUNTIF(APD,"&gt;"&amp;(--TRIM(LEFT(O139,2))))+1))</f>
        <v/>
      </c>
      <c r="R139" s="21">
        <f>IF(P139="","",IF(OR((--TRIM(LEFT(K139,2)))&gt;=SThr,P139&gt;=RPNThr,Q139="H"),"Yes","No"))</f>
        <v/>
      </c>
      <c r="S139" s="5" t="n"/>
      <c r="T139" s="5" t="n"/>
      <c r="U139" s="5" t="n"/>
      <c r="V139" s="29" t="n"/>
      <c r="W139" s="17" t="n"/>
      <c r="X139" s="17" t="n"/>
      <c r="Y139" s="17" t="n"/>
      <c r="Z139" s="21">
        <f>IF(OR(W139="",X139="",Y139=""),"",(--TRIM(LEFT(W139,2)))*(--TRIM(LEFT(X139,2)))*(--TRIM(LEFT(Y139,2))))</f>
        <v/>
      </c>
      <c r="AA139" s="21">
        <f>IF(OR(W139="",X139="",Y139=""),"",INDEX(APGrid,COUNTIF(APS,"&gt;"&amp;(--TRIM(LEFT(W139,2))))*5+COUNTIF(APO,"&gt;"&amp;(--TRIM(LEFT(X139,2))))+1,COUNTIF(APD,"&gt;"&amp;(--TRIM(LEFT(Y139,2))))+1))</f>
        <v/>
      </c>
      <c r="AB139" s="5" t="n"/>
      <c r="AC139" s="5" t="n"/>
      <c r="AE139">
        <f>IFERROR(INDEX(EqTag,_xlfn.AGGREGATE(15,6,(ROW(EqTag)-4)/((EqSys=$D$3)*(EqTag&lt;&gt;"")),ROWS($AE$14:AE139))),"")</f>
        <v/>
      </c>
    </row>
    <row r="140" ht="30" customHeight="1">
      <c r="A140" s="21">
        <f>IF(F140="","",LEFT($D$3,3)&amp;"-"&amp;TEXT(COUNTIF(F$14:F140,"?*"),"00"))</f>
        <v/>
      </c>
      <c r="B140" s="5" t="n"/>
      <c r="C140" s="6">
        <f>IF(B140="","",IFERROR(INDEX(EqTypeCol,MATCH(B140,EqTag,0)),"Tag not in register"))</f>
        <v/>
      </c>
      <c r="D140" s="5" t="n"/>
      <c r="E140" s="5" t="n"/>
      <c r="F140" s="5" t="n"/>
      <c r="G140" s="5" t="n"/>
      <c r="H140" s="5" t="n"/>
      <c r="I140" s="5" t="n"/>
      <c r="J140" s="5" t="n"/>
      <c r="K140" s="17" t="n"/>
      <c r="L140" s="5" t="n"/>
      <c r="M140" s="17" t="n"/>
      <c r="N140" s="5" t="n"/>
      <c r="O140" s="17" t="n"/>
      <c r="P140" s="21">
        <f>IF(OR(K140="",M140="",O140=""),"",(--TRIM(LEFT(K140,2)))*(--TRIM(LEFT(M140,2)))*(--TRIM(LEFT(O140,2))))</f>
        <v/>
      </c>
      <c r="Q140" s="21">
        <f>IF(OR(K140="",M140="",O140=""),"",INDEX(APGrid,COUNTIF(APS,"&gt;"&amp;(--TRIM(LEFT(K140,2))))*5+COUNTIF(APO,"&gt;"&amp;(--TRIM(LEFT(M140,2))))+1,COUNTIF(APD,"&gt;"&amp;(--TRIM(LEFT(O140,2))))+1))</f>
        <v/>
      </c>
      <c r="R140" s="21">
        <f>IF(P140="","",IF(OR((--TRIM(LEFT(K140,2)))&gt;=SThr,P140&gt;=RPNThr,Q140="H"),"Yes","No"))</f>
        <v/>
      </c>
      <c r="S140" s="5" t="n"/>
      <c r="T140" s="5" t="n"/>
      <c r="U140" s="5" t="n"/>
      <c r="V140" s="29" t="n"/>
      <c r="W140" s="17" t="n"/>
      <c r="X140" s="17" t="n"/>
      <c r="Y140" s="17" t="n"/>
      <c r="Z140" s="21">
        <f>IF(OR(W140="",X140="",Y140=""),"",(--TRIM(LEFT(W140,2)))*(--TRIM(LEFT(X140,2)))*(--TRIM(LEFT(Y140,2))))</f>
        <v/>
      </c>
      <c r="AA140" s="21">
        <f>IF(OR(W140="",X140="",Y140=""),"",INDEX(APGrid,COUNTIF(APS,"&gt;"&amp;(--TRIM(LEFT(W140,2))))*5+COUNTIF(APO,"&gt;"&amp;(--TRIM(LEFT(X140,2))))+1,COUNTIF(APD,"&gt;"&amp;(--TRIM(LEFT(Y140,2))))+1))</f>
        <v/>
      </c>
      <c r="AB140" s="5" t="n"/>
      <c r="AC140" s="5" t="n"/>
      <c r="AE140">
        <f>IFERROR(INDEX(EqTag,_xlfn.AGGREGATE(15,6,(ROW(EqTag)-4)/((EqSys=$D$3)*(EqTag&lt;&gt;"")),ROWS($AE$14:AE140))),"")</f>
        <v/>
      </c>
    </row>
    <row r="141" ht="30" customHeight="1">
      <c r="A141" s="21">
        <f>IF(F141="","",LEFT($D$3,3)&amp;"-"&amp;TEXT(COUNTIF(F$14:F141,"?*"),"00"))</f>
        <v/>
      </c>
      <c r="B141" s="5" t="n"/>
      <c r="C141" s="6">
        <f>IF(B141="","",IFERROR(INDEX(EqTypeCol,MATCH(B141,EqTag,0)),"Tag not in register"))</f>
        <v/>
      </c>
      <c r="D141" s="5" t="n"/>
      <c r="E141" s="5" t="n"/>
      <c r="F141" s="5" t="n"/>
      <c r="G141" s="5" t="n"/>
      <c r="H141" s="5" t="n"/>
      <c r="I141" s="5" t="n"/>
      <c r="J141" s="5" t="n"/>
      <c r="K141" s="17" t="n"/>
      <c r="L141" s="5" t="n"/>
      <c r="M141" s="17" t="n"/>
      <c r="N141" s="5" t="n"/>
      <c r="O141" s="17" t="n"/>
      <c r="P141" s="21">
        <f>IF(OR(K141="",M141="",O141=""),"",(--TRIM(LEFT(K141,2)))*(--TRIM(LEFT(M141,2)))*(--TRIM(LEFT(O141,2))))</f>
        <v/>
      </c>
      <c r="Q141" s="21">
        <f>IF(OR(K141="",M141="",O141=""),"",INDEX(APGrid,COUNTIF(APS,"&gt;"&amp;(--TRIM(LEFT(K141,2))))*5+COUNTIF(APO,"&gt;"&amp;(--TRIM(LEFT(M141,2))))+1,COUNTIF(APD,"&gt;"&amp;(--TRIM(LEFT(O141,2))))+1))</f>
        <v/>
      </c>
      <c r="R141" s="21">
        <f>IF(P141="","",IF(OR((--TRIM(LEFT(K141,2)))&gt;=SThr,P141&gt;=RPNThr,Q141="H"),"Yes","No"))</f>
        <v/>
      </c>
      <c r="S141" s="5" t="n"/>
      <c r="T141" s="5" t="n"/>
      <c r="U141" s="5" t="n"/>
      <c r="V141" s="29" t="n"/>
      <c r="W141" s="17" t="n"/>
      <c r="X141" s="17" t="n"/>
      <c r="Y141" s="17" t="n"/>
      <c r="Z141" s="21">
        <f>IF(OR(W141="",X141="",Y141=""),"",(--TRIM(LEFT(W141,2)))*(--TRIM(LEFT(X141,2)))*(--TRIM(LEFT(Y141,2))))</f>
        <v/>
      </c>
      <c r="AA141" s="21">
        <f>IF(OR(W141="",X141="",Y141=""),"",INDEX(APGrid,COUNTIF(APS,"&gt;"&amp;(--TRIM(LEFT(W141,2))))*5+COUNTIF(APO,"&gt;"&amp;(--TRIM(LEFT(X141,2))))+1,COUNTIF(APD,"&gt;"&amp;(--TRIM(LEFT(Y141,2))))+1))</f>
        <v/>
      </c>
      <c r="AB141" s="5" t="n"/>
      <c r="AC141" s="5" t="n"/>
      <c r="AE141">
        <f>IFERROR(INDEX(EqTag,_xlfn.AGGREGATE(15,6,(ROW(EqTag)-4)/((EqSys=$D$3)*(EqTag&lt;&gt;"")),ROWS($AE$14:AE141))),"")</f>
        <v/>
      </c>
    </row>
    <row r="142" ht="30" customHeight="1">
      <c r="A142" s="21">
        <f>IF(F142="","",LEFT($D$3,3)&amp;"-"&amp;TEXT(COUNTIF(F$14:F142,"?*"),"00"))</f>
        <v/>
      </c>
      <c r="B142" s="5" t="n"/>
      <c r="C142" s="6">
        <f>IF(B142="","",IFERROR(INDEX(EqTypeCol,MATCH(B142,EqTag,0)),"Tag not in register"))</f>
        <v/>
      </c>
      <c r="D142" s="5" t="n"/>
      <c r="E142" s="5" t="n"/>
      <c r="F142" s="5" t="n"/>
      <c r="G142" s="5" t="n"/>
      <c r="H142" s="5" t="n"/>
      <c r="I142" s="5" t="n"/>
      <c r="J142" s="5" t="n"/>
      <c r="K142" s="17" t="n"/>
      <c r="L142" s="5" t="n"/>
      <c r="M142" s="17" t="n"/>
      <c r="N142" s="5" t="n"/>
      <c r="O142" s="17" t="n"/>
      <c r="P142" s="21">
        <f>IF(OR(K142="",M142="",O142=""),"",(--TRIM(LEFT(K142,2)))*(--TRIM(LEFT(M142,2)))*(--TRIM(LEFT(O142,2))))</f>
        <v/>
      </c>
      <c r="Q142" s="21">
        <f>IF(OR(K142="",M142="",O142=""),"",INDEX(APGrid,COUNTIF(APS,"&gt;"&amp;(--TRIM(LEFT(K142,2))))*5+COUNTIF(APO,"&gt;"&amp;(--TRIM(LEFT(M142,2))))+1,COUNTIF(APD,"&gt;"&amp;(--TRIM(LEFT(O142,2))))+1))</f>
        <v/>
      </c>
      <c r="R142" s="21">
        <f>IF(P142="","",IF(OR((--TRIM(LEFT(K142,2)))&gt;=SThr,P142&gt;=RPNThr,Q142="H"),"Yes","No"))</f>
        <v/>
      </c>
      <c r="S142" s="5" t="n"/>
      <c r="T142" s="5" t="n"/>
      <c r="U142" s="5" t="n"/>
      <c r="V142" s="29" t="n"/>
      <c r="W142" s="17" t="n"/>
      <c r="X142" s="17" t="n"/>
      <c r="Y142" s="17" t="n"/>
      <c r="Z142" s="21">
        <f>IF(OR(W142="",X142="",Y142=""),"",(--TRIM(LEFT(W142,2)))*(--TRIM(LEFT(X142,2)))*(--TRIM(LEFT(Y142,2))))</f>
        <v/>
      </c>
      <c r="AA142" s="21">
        <f>IF(OR(W142="",X142="",Y142=""),"",INDEX(APGrid,COUNTIF(APS,"&gt;"&amp;(--TRIM(LEFT(W142,2))))*5+COUNTIF(APO,"&gt;"&amp;(--TRIM(LEFT(X142,2))))+1,COUNTIF(APD,"&gt;"&amp;(--TRIM(LEFT(Y142,2))))+1))</f>
        <v/>
      </c>
      <c r="AB142" s="5" t="n"/>
      <c r="AC142" s="5" t="n"/>
      <c r="AE142">
        <f>IFERROR(INDEX(EqTag,_xlfn.AGGREGATE(15,6,(ROW(EqTag)-4)/((EqSys=$D$3)*(EqTag&lt;&gt;"")),ROWS($AE$14:AE142))),"")</f>
        <v/>
      </c>
    </row>
    <row r="143" ht="30" customHeight="1">
      <c r="A143" s="21">
        <f>IF(F143="","",LEFT($D$3,3)&amp;"-"&amp;TEXT(COUNTIF(F$14:F143,"?*"),"00"))</f>
        <v/>
      </c>
      <c r="B143" s="5" t="n"/>
      <c r="C143" s="6">
        <f>IF(B143="","",IFERROR(INDEX(EqTypeCol,MATCH(B143,EqTag,0)),"Tag not in register"))</f>
        <v/>
      </c>
      <c r="D143" s="5" t="n"/>
      <c r="E143" s="5" t="n"/>
      <c r="F143" s="5" t="n"/>
      <c r="G143" s="5" t="n"/>
      <c r="H143" s="5" t="n"/>
      <c r="I143" s="5" t="n"/>
      <c r="J143" s="5" t="n"/>
      <c r="K143" s="17" t="n"/>
      <c r="L143" s="5" t="n"/>
      <c r="M143" s="17" t="n"/>
      <c r="N143" s="5" t="n"/>
      <c r="O143" s="17" t="n"/>
      <c r="P143" s="21">
        <f>IF(OR(K143="",M143="",O143=""),"",(--TRIM(LEFT(K143,2)))*(--TRIM(LEFT(M143,2)))*(--TRIM(LEFT(O143,2))))</f>
        <v/>
      </c>
      <c r="Q143" s="21">
        <f>IF(OR(K143="",M143="",O143=""),"",INDEX(APGrid,COUNTIF(APS,"&gt;"&amp;(--TRIM(LEFT(K143,2))))*5+COUNTIF(APO,"&gt;"&amp;(--TRIM(LEFT(M143,2))))+1,COUNTIF(APD,"&gt;"&amp;(--TRIM(LEFT(O143,2))))+1))</f>
        <v/>
      </c>
      <c r="R143" s="21">
        <f>IF(P143="","",IF(OR((--TRIM(LEFT(K143,2)))&gt;=SThr,P143&gt;=RPNThr,Q143="H"),"Yes","No"))</f>
        <v/>
      </c>
      <c r="S143" s="5" t="n"/>
      <c r="T143" s="5" t="n"/>
      <c r="U143" s="5" t="n"/>
      <c r="V143" s="29" t="n"/>
      <c r="W143" s="17" t="n"/>
      <c r="X143" s="17" t="n"/>
      <c r="Y143" s="17" t="n"/>
      <c r="Z143" s="21">
        <f>IF(OR(W143="",X143="",Y143=""),"",(--TRIM(LEFT(W143,2)))*(--TRIM(LEFT(X143,2)))*(--TRIM(LEFT(Y143,2))))</f>
        <v/>
      </c>
      <c r="AA143" s="21">
        <f>IF(OR(W143="",X143="",Y143=""),"",INDEX(APGrid,COUNTIF(APS,"&gt;"&amp;(--TRIM(LEFT(W143,2))))*5+COUNTIF(APO,"&gt;"&amp;(--TRIM(LEFT(X143,2))))+1,COUNTIF(APD,"&gt;"&amp;(--TRIM(LEFT(Y143,2))))+1))</f>
        <v/>
      </c>
      <c r="AB143" s="5" t="n"/>
      <c r="AC143" s="5" t="n"/>
      <c r="AE143">
        <f>IFERROR(INDEX(EqTag,_xlfn.AGGREGATE(15,6,(ROW(EqTag)-4)/((EqSys=$D$3)*(EqTag&lt;&gt;"")),ROWS($AE$14:AE143))),"")</f>
        <v/>
      </c>
    </row>
    <row r="144" ht="30" customHeight="1">
      <c r="A144" s="21">
        <f>IF(F144="","",LEFT($D$3,3)&amp;"-"&amp;TEXT(COUNTIF(F$14:F144,"?*"),"00"))</f>
        <v/>
      </c>
      <c r="B144" s="5" t="n"/>
      <c r="C144" s="6">
        <f>IF(B144="","",IFERROR(INDEX(EqTypeCol,MATCH(B144,EqTag,0)),"Tag not in register"))</f>
        <v/>
      </c>
      <c r="D144" s="5" t="n"/>
      <c r="E144" s="5" t="n"/>
      <c r="F144" s="5" t="n"/>
      <c r="G144" s="5" t="n"/>
      <c r="H144" s="5" t="n"/>
      <c r="I144" s="5" t="n"/>
      <c r="J144" s="5" t="n"/>
      <c r="K144" s="17" t="n"/>
      <c r="L144" s="5" t="n"/>
      <c r="M144" s="17" t="n"/>
      <c r="N144" s="5" t="n"/>
      <c r="O144" s="17" t="n"/>
      <c r="P144" s="21">
        <f>IF(OR(K144="",M144="",O144=""),"",(--TRIM(LEFT(K144,2)))*(--TRIM(LEFT(M144,2)))*(--TRIM(LEFT(O144,2))))</f>
        <v/>
      </c>
      <c r="Q144" s="21">
        <f>IF(OR(K144="",M144="",O144=""),"",INDEX(APGrid,COUNTIF(APS,"&gt;"&amp;(--TRIM(LEFT(K144,2))))*5+COUNTIF(APO,"&gt;"&amp;(--TRIM(LEFT(M144,2))))+1,COUNTIF(APD,"&gt;"&amp;(--TRIM(LEFT(O144,2))))+1))</f>
        <v/>
      </c>
      <c r="R144" s="21">
        <f>IF(P144="","",IF(OR((--TRIM(LEFT(K144,2)))&gt;=SThr,P144&gt;=RPNThr,Q144="H"),"Yes","No"))</f>
        <v/>
      </c>
      <c r="S144" s="5" t="n"/>
      <c r="T144" s="5" t="n"/>
      <c r="U144" s="5" t="n"/>
      <c r="V144" s="29" t="n"/>
      <c r="W144" s="17" t="n"/>
      <c r="X144" s="17" t="n"/>
      <c r="Y144" s="17" t="n"/>
      <c r="Z144" s="21">
        <f>IF(OR(W144="",X144="",Y144=""),"",(--TRIM(LEFT(W144,2)))*(--TRIM(LEFT(X144,2)))*(--TRIM(LEFT(Y144,2))))</f>
        <v/>
      </c>
      <c r="AA144" s="21">
        <f>IF(OR(W144="",X144="",Y144=""),"",INDEX(APGrid,COUNTIF(APS,"&gt;"&amp;(--TRIM(LEFT(W144,2))))*5+COUNTIF(APO,"&gt;"&amp;(--TRIM(LEFT(X144,2))))+1,COUNTIF(APD,"&gt;"&amp;(--TRIM(LEFT(Y144,2))))+1))</f>
        <v/>
      </c>
      <c r="AB144" s="5" t="n"/>
      <c r="AC144" s="5" t="n"/>
      <c r="AE144">
        <f>IFERROR(INDEX(EqTag,_xlfn.AGGREGATE(15,6,(ROW(EqTag)-4)/((EqSys=$D$3)*(EqTag&lt;&gt;"")),ROWS($AE$14:AE144))),"")</f>
        <v/>
      </c>
    </row>
    <row r="145" ht="30" customHeight="1">
      <c r="A145" s="21">
        <f>IF(F145="","",LEFT($D$3,3)&amp;"-"&amp;TEXT(COUNTIF(F$14:F145,"?*"),"00"))</f>
        <v/>
      </c>
      <c r="B145" s="5" t="n"/>
      <c r="C145" s="6">
        <f>IF(B145="","",IFERROR(INDEX(EqTypeCol,MATCH(B145,EqTag,0)),"Tag not in register"))</f>
        <v/>
      </c>
      <c r="D145" s="5" t="n"/>
      <c r="E145" s="5" t="n"/>
      <c r="F145" s="5" t="n"/>
      <c r="G145" s="5" t="n"/>
      <c r="H145" s="5" t="n"/>
      <c r="I145" s="5" t="n"/>
      <c r="J145" s="5" t="n"/>
      <c r="K145" s="17" t="n"/>
      <c r="L145" s="5" t="n"/>
      <c r="M145" s="17" t="n"/>
      <c r="N145" s="5" t="n"/>
      <c r="O145" s="17" t="n"/>
      <c r="P145" s="21">
        <f>IF(OR(K145="",M145="",O145=""),"",(--TRIM(LEFT(K145,2)))*(--TRIM(LEFT(M145,2)))*(--TRIM(LEFT(O145,2))))</f>
        <v/>
      </c>
      <c r="Q145" s="21">
        <f>IF(OR(K145="",M145="",O145=""),"",INDEX(APGrid,COUNTIF(APS,"&gt;"&amp;(--TRIM(LEFT(K145,2))))*5+COUNTIF(APO,"&gt;"&amp;(--TRIM(LEFT(M145,2))))+1,COUNTIF(APD,"&gt;"&amp;(--TRIM(LEFT(O145,2))))+1))</f>
        <v/>
      </c>
      <c r="R145" s="21">
        <f>IF(P145="","",IF(OR((--TRIM(LEFT(K145,2)))&gt;=SThr,P145&gt;=RPNThr,Q145="H"),"Yes","No"))</f>
        <v/>
      </c>
      <c r="S145" s="5" t="n"/>
      <c r="T145" s="5" t="n"/>
      <c r="U145" s="5" t="n"/>
      <c r="V145" s="29" t="n"/>
      <c r="W145" s="17" t="n"/>
      <c r="X145" s="17" t="n"/>
      <c r="Y145" s="17" t="n"/>
      <c r="Z145" s="21">
        <f>IF(OR(W145="",X145="",Y145=""),"",(--TRIM(LEFT(W145,2)))*(--TRIM(LEFT(X145,2)))*(--TRIM(LEFT(Y145,2))))</f>
        <v/>
      </c>
      <c r="AA145" s="21">
        <f>IF(OR(W145="",X145="",Y145=""),"",INDEX(APGrid,COUNTIF(APS,"&gt;"&amp;(--TRIM(LEFT(W145,2))))*5+COUNTIF(APO,"&gt;"&amp;(--TRIM(LEFT(X145,2))))+1,COUNTIF(APD,"&gt;"&amp;(--TRIM(LEFT(Y145,2))))+1))</f>
        <v/>
      </c>
      <c r="AB145" s="5" t="n"/>
      <c r="AC145" s="5" t="n"/>
      <c r="AE145">
        <f>IFERROR(INDEX(EqTag,_xlfn.AGGREGATE(15,6,(ROW(EqTag)-4)/((EqSys=$D$3)*(EqTag&lt;&gt;"")),ROWS($AE$14:AE145))),"")</f>
        <v/>
      </c>
    </row>
    <row r="146" ht="30" customHeight="1">
      <c r="A146" s="21">
        <f>IF(F146="","",LEFT($D$3,3)&amp;"-"&amp;TEXT(COUNTIF(F$14:F146,"?*"),"00"))</f>
        <v/>
      </c>
      <c r="B146" s="5" t="n"/>
      <c r="C146" s="6">
        <f>IF(B146="","",IFERROR(INDEX(EqTypeCol,MATCH(B146,EqTag,0)),"Tag not in register"))</f>
        <v/>
      </c>
      <c r="D146" s="5" t="n"/>
      <c r="E146" s="5" t="n"/>
      <c r="F146" s="5" t="n"/>
      <c r="G146" s="5" t="n"/>
      <c r="H146" s="5" t="n"/>
      <c r="I146" s="5" t="n"/>
      <c r="J146" s="5" t="n"/>
      <c r="K146" s="17" t="n"/>
      <c r="L146" s="5" t="n"/>
      <c r="M146" s="17" t="n"/>
      <c r="N146" s="5" t="n"/>
      <c r="O146" s="17" t="n"/>
      <c r="P146" s="21">
        <f>IF(OR(K146="",M146="",O146=""),"",(--TRIM(LEFT(K146,2)))*(--TRIM(LEFT(M146,2)))*(--TRIM(LEFT(O146,2))))</f>
        <v/>
      </c>
      <c r="Q146" s="21">
        <f>IF(OR(K146="",M146="",O146=""),"",INDEX(APGrid,COUNTIF(APS,"&gt;"&amp;(--TRIM(LEFT(K146,2))))*5+COUNTIF(APO,"&gt;"&amp;(--TRIM(LEFT(M146,2))))+1,COUNTIF(APD,"&gt;"&amp;(--TRIM(LEFT(O146,2))))+1))</f>
        <v/>
      </c>
      <c r="R146" s="21">
        <f>IF(P146="","",IF(OR((--TRIM(LEFT(K146,2)))&gt;=SThr,P146&gt;=RPNThr,Q146="H"),"Yes","No"))</f>
        <v/>
      </c>
      <c r="S146" s="5" t="n"/>
      <c r="T146" s="5" t="n"/>
      <c r="U146" s="5" t="n"/>
      <c r="V146" s="29" t="n"/>
      <c r="W146" s="17" t="n"/>
      <c r="X146" s="17" t="n"/>
      <c r="Y146" s="17" t="n"/>
      <c r="Z146" s="21">
        <f>IF(OR(W146="",X146="",Y146=""),"",(--TRIM(LEFT(W146,2)))*(--TRIM(LEFT(X146,2)))*(--TRIM(LEFT(Y146,2))))</f>
        <v/>
      </c>
      <c r="AA146" s="21">
        <f>IF(OR(W146="",X146="",Y146=""),"",INDEX(APGrid,COUNTIF(APS,"&gt;"&amp;(--TRIM(LEFT(W146,2))))*5+COUNTIF(APO,"&gt;"&amp;(--TRIM(LEFT(X146,2))))+1,COUNTIF(APD,"&gt;"&amp;(--TRIM(LEFT(Y146,2))))+1))</f>
        <v/>
      </c>
      <c r="AB146" s="5" t="n"/>
      <c r="AC146" s="5" t="n"/>
      <c r="AE146">
        <f>IFERROR(INDEX(EqTag,_xlfn.AGGREGATE(15,6,(ROW(EqTag)-4)/((EqSys=$D$3)*(EqTag&lt;&gt;"")),ROWS($AE$14:AE146))),"")</f>
        <v/>
      </c>
    </row>
    <row r="147" ht="30" customHeight="1">
      <c r="A147" s="21">
        <f>IF(F147="","",LEFT($D$3,3)&amp;"-"&amp;TEXT(COUNTIF(F$14:F147,"?*"),"00"))</f>
        <v/>
      </c>
      <c r="B147" s="5" t="n"/>
      <c r="C147" s="6">
        <f>IF(B147="","",IFERROR(INDEX(EqTypeCol,MATCH(B147,EqTag,0)),"Tag not in register"))</f>
        <v/>
      </c>
      <c r="D147" s="5" t="n"/>
      <c r="E147" s="5" t="n"/>
      <c r="F147" s="5" t="n"/>
      <c r="G147" s="5" t="n"/>
      <c r="H147" s="5" t="n"/>
      <c r="I147" s="5" t="n"/>
      <c r="J147" s="5" t="n"/>
      <c r="K147" s="17" t="n"/>
      <c r="L147" s="5" t="n"/>
      <c r="M147" s="17" t="n"/>
      <c r="N147" s="5" t="n"/>
      <c r="O147" s="17" t="n"/>
      <c r="P147" s="21">
        <f>IF(OR(K147="",M147="",O147=""),"",(--TRIM(LEFT(K147,2)))*(--TRIM(LEFT(M147,2)))*(--TRIM(LEFT(O147,2))))</f>
        <v/>
      </c>
      <c r="Q147" s="21">
        <f>IF(OR(K147="",M147="",O147=""),"",INDEX(APGrid,COUNTIF(APS,"&gt;"&amp;(--TRIM(LEFT(K147,2))))*5+COUNTIF(APO,"&gt;"&amp;(--TRIM(LEFT(M147,2))))+1,COUNTIF(APD,"&gt;"&amp;(--TRIM(LEFT(O147,2))))+1))</f>
        <v/>
      </c>
      <c r="R147" s="21">
        <f>IF(P147="","",IF(OR((--TRIM(LEFT(K147,2)))&gt;=SThr,P147&gt;=RPNThr,Q147="H"),"Yes","No"))</f>
        <v/>
      </c>
      <c r="S147" s="5" t="n"/>
      <c r="T147" s="5" t="n"/>
      <c r="U147" s="5" t="n"/>
      <c r="V147" s="29" t="n"/>
      <c r="W147" s="17" t="n"/>
      <c r="X147" s="17" t="n"/>
      <c r="Y147" s="17" t="n"/>
      <c r="Z147" s="21">
        <f>IF(OR(W147="",X147="",Y147=""),"",(--TRIM(LEFT(W147,2)))*(--TRIM(LEFT(X147,2)))*(--TRIM(LEFT(Y147,2))))</f>
        <v/>
      </c>
      <c r="AA147" s="21">
        <f>IF(OR(W147="",X147="",Y147=""),"",INDEX(APGrid,COUNTIF(APS,"&gt;"&amp;(--TRIM(LEFT(W147,2))))*5+COUNTIF(APO,"&gt;"&amp;(--TRIM(LEFT(X147,2))))+1,COUNTIF(APD,"&gt;"&amp;(--TRIM(LEFT(Y147,2))))+1))</f>
        <v/>
      </c>
      <c r="AB147" s="5" t="n"/>
      <c r="AC147" s="5" t="n"/>
      <c r="AE147">
        <f>IFERROR(INDEX(EqTag,_xlfn.AGGREGATE(15,6,(ROW(EqTag)-4)/((EqSys=$D$3)*(EqTag&lt;&gt;"")),ROWS($AE$14:AE147))),"")</f>
        <v/>
      </c>
    </row>
    <row r="148" ht="30" customHeight="1">
      <c r="A148" s="21">
        <f>IF(F148="","",LEFT($D$3,3)&amp;"-"&amp;TEXT(COUNTIF(F$14:F148,"?*"),"00"))</f>
        <v/>
      </c>
      <c r="B148" s="5" t="n"/>
      <c r="C148" s="6">
        <f>IF(B148="","",IFERROR(INDEX(EqTypeCol,MATCH(B148,EqTag,0)),"Tag not in register"))</f>
        <v/>
      </c>
      <c r="D148" s="5" t="n"/>
      <c r="E148" s="5" t="n"/>
      <c r="F148" s="5" t="n"/>
      <c r="G148" s="5" t="n"/>
      <c r="H148" s="5" t="n"/>
      <c r="I148" s="5" t="n"/>
      <c r="J148" s="5" t="n"/>
      <c r="K148" s="17" t="n"/>
      <c r="L148" s="5" t="n"/>
      <c r="M148" s="17" t="n"/>
      <c r="N148" s="5" t="n"/>
      <c r="O148" s="17" t="n"/>
      <c r="P148" s="21">
        <f>IF(OR(K148="",M148="",O148=""),"",(--TRIM(LEFT(K148,2)))*(--TRIM(LEFT(M148,2)))*(--TRIM(LEFT(O148,2))))</f>
        <v/>
      </c>
      <c r="Q148" s="21">
        <f>IF(OR(K148="",M148="",O148=""),"",INDEX(APGrid,COUNTIF(APS,"&gt;"&amp;(--TRIM(LEFT(K148,2))))*5+COUNTIF(APO,"&gt;"&amp;(--TRIM(LEFT(M148,2))))+1,COUNTIF(APD,"&gt;"&amp;(--TRIM(LEFT(O148,2))))+1))</f>
        <v/>
      </c>
      <c r="R148" s="21">
        <f>IF(P148="","",IF(OR((--TRIM(LEFT(K148,2)))&gt;=SThr,P148&gt;=RPNThr,Q148="H"),"Yes","No"))</f>
        <v/>
      </c>
      <c r="S148" s="5" t="n"/>
      <c r="T148" s="5" t="n"/>
      <c r="U148" s="5" t="n"/>
      <c r="V148" s="29" t="n"/>
      <c r="W148" s="17" t="n"/>
      <c r="X148" s="17" t="n"/>
      <c r="Y148" s="17" t="n"/>
      <c r="Z148" s="21">
        <f>IF(OR(W148="",X148="",Y148=""),"",(--TRIM(LEFT(W148,2)))*(--TRIM(LEFT(X148,2)))*(--TRIM(LEFT(Y148,2))))</f>
        <v/>
      </c>
      <c r="AA148" s="21">
        <f>IF(OR(W148="",X148="",Y148=""),"",INDEX(APGrid,COUNTIF(APS,"&gt;"&amp;(--TRIM(LEFT(W148,2))))*5+COUNTIF(APO,"&gt;"&amp;(--TRIM(LEFT(X148,2))))+1,COUNTIF(APD,"&gt;"&amp;(--TRIM(LEFT(Y148,2))))+1))</f>
        <v/>
      </c>
      <c r="AB148" s="5" t="n"/>
      <c r="AC148" s="5" t="n"/>
      <c r="AE148">
        <f>IFERROR(INDEX(EqTag,_xlfn.AGGREGATE(15,6,(ROW(EqTag)-4)/((EqSys=$D$3)*(EqTag&lt;&gt;"")),ROWS($AE$14:AE148))),"")</f>
        <v/>
      </c>
    </row>
    <row r="149" ht="30" customHeight="1">
      <c r="A149" s="21">
        <f>IF(F149="","",LEFT($D$3,3)&amp;"-"&amp;TEXT(COUNTIF(F$14:F149,"?*"),"00"))</f>
        <v/>
      </c>
      <c r="B149" s="5" t="n"/>
      <c r="C149" s="6">
        <f>IF(B149="","",IFERROR(INDEX(EqTypeCol,MATCH(B149,EqTag,0)),"Tag not in register"))</f>
        <v/>
      </c>
      <c r="D149" s="5" t="n"/>
      <c r="E149" s="5" t="n"/>
      <c r="F149" s="5" t="n"/>
      <c r="G149" s="5" t="n"/>
      <c r="H149" s="5" t="n"/>
      <c r="I149" s="5" t="n"/>
      <c r="J149" s="5" t="n"/>
      <c r="K149" s="17" t="n"/>
      <c r="L149" s="5" t="n"/>
      <c r="M149" s="17" t="n"/>
      <c r="N149" s="5" t="n"/>
      <c r="O149" s="17" t="n"/>
      <c r="P149" s="21">
        <f>IF(OR(K149="",M149="",O149=""),"",(--TRIM(LEFT(K149,2)))*(--TRIM(LEFT(M149,2)))*(--TRIM(LEFT(O149,2))))</f>
        <v/>
      </c>
      <c r="Q149" s="21">
        <f>IF(OR(K149="",M149="",O149=""),"",INDEX(APGrid,COUNTIF(APS,"&gt;"&amp;(--TRIM(LEFT(K149,2))))*5+COUNTIF(APO,"&gt;"&amp;(--TRIM(LEFT(M149,2))))+1,COUNTIF(APD,"&gt;"&amp;(--TRIM(LEFT(O149,2))))+1))</f>
        <v/>
      </c>
      <c r="R149" s="21">
        <f>IF(P149="","",IF(OR((--TRIM(LEFT(K149,2)))&gt;=SThr,P149&gt;=RPNThr,Q149="H"),"Yes","No"))</f>
        <v/>
      </c>
      <c r="S149" s="5" t="n"/>
      <c r="T149" s="5" t="n"/>
      <c r="U149" s="5" t="n"/>
      <c r="V149" s="29" t="n"/>
      <c r="W149" s="17" t="n"/>
      <c r="X149" s="17" t="n"/>
      <c r="Y149" s="17" t="n"/>
      <c r="Z149" s="21">
        <f>IF(OR(W149="",X149="",Y149=""),"",(--TRIM(LEFT(W149,2)))*(--TRIM(LEFT(X149,2)))*(--TRIM(LEFT(Y149,2))))</f>
        <v/>
      </c>
      <c r="AA149" s="21">
        <f>IF(OR(W149="",X149="",Y149=""),"",INDEX(APGrid,COUNTIF(APS,"&gt;"&amp;(--TRIM(LEFT(W149,2))))*5+COUNTIF(APO,"&gt;"&amp;(--TRIM(LEFT(X149,2))))+1,COUNTIF(APD,"&gt;"&amp;(--TRIM(LEFT(Y149,2))))+1))</f>
        <v/>
      </c>
      <c r="AB149" s="5" t="n"/>
      <c r="AC149" s="5" t="n"/>
      <c r="AE149">
        <f>IFERROR(INDEX(EqTag,_xlfn.AGGREGATE(15,6,(ROW(EqTag)-4)/((EqSys=$D$3)*(EqTag&lt;&gt;"")),ROWS($AE$14:AE149))),"")</f>
        <v/>
      </c>
    </row>
    <row r="150" ht="30" customHeight="1">
      <c r="A150" s="21">
        <f>IF(F150="","",LEFT($D$3,3)&amp;"-"&amp;TEXT(COUNTIF(F$14:F150,"?*"),"00"))</f>
        <v/>
      </c>
      <c r="B150" s="5" t="n"/>
      <c r="C150" s="6">
        <f>IF(B150="","",IFERROR(INDEX(EqTypeCol,MATCH(B150,EqTag,0)),"Tag not in register"))</f>
        <v/>
      </c>
      <c r="D150" s="5" t="n"/>
      <c r="E150" s="5" t="n"/>
      <c r="F150" s="5" t="n"/>
      <c r="G150" s="5" t="n"/>
      <c r="H150" s="5" t="n"/>
      <c r="I150" s="5" t="n"/>
      <c r="J150" s="5" t="n"/>
      <c r="K150" s="17" t="n"/>
      <c r="L150" s="5" t="n"/>
      <c r="M150" s="17" t="n"/>
      <c r="N150" s="5" t="n"/>
      <c r="O150" s="17" t="n"/>
      <c r="P150" s="21">
        <f>IF(OR(K150="",M150="",O150=""),"",(--TRIM(LEFT(K150,2)))*(--TRIM(LEFT(M150,2)))*(--TRIM(LEFT(O150,2))))</f>
        <v/>
      </c>
      <c r="Q150" s="21">
        <f>IF(OR(K150="",M150="",O150=""),"",INDEX(APGrid,COUNTIF(APS,"&gt;"&amp;(--TRIM(LEFT(K150,2))))*5+COUNTIF(APO,"&gt;"&amp;(--TRIM(LEFT(M150,2))))+1,COUNTIF(APD,"&gt;"&amp;(--TRIM(LEFT(O150,2))))+1))</f>
        <v/>
      </c>
      <c r="R150" s="21">
        <f>IF(P150="","",IF(OR((--TRIM(LEFT(K150,2)))&gt;=SThr,P150&gt;=RPNThr,Q150="H"),"Yes","No"))</f>
        <v/>
      </c>
      <c r="S150" s="5" t="n"/>
      <c r="T150" s="5" t="n"/>
      <c r="U150" s="5" t="n"/>
      <c r="V150" s="29" t="n"/>
      <c r="W150" s="17" t="n"/>
      <c r="X150" s="17" t="n"/>
      <c r="Y150" s="17" t="n"/>
      <c r="Z150" s="21">
        <f>IF(OR(W150="",X150="",Y150=""),"",(--TRIM(LEFT(W150,2)))*(--TRIM(LEFT(X150,2)))*(--TRIM(LEFT(Y150,2))))</f>
        <v/>
      </c>
      <c r="AA150" s="21">
        <f>IF(OR(W150="",X150="",Y150=""),"",INDEX(APGrid,COUNTIF(APS,"&gt;"&amp;(--TRIM(LEFT(W150,2))))*5+COUNTIF(APO,"&gt;"&amp;(--TRIM(LEFT(X150,2))))+1,COUNTIF(APD,"&gt;"&amp;(--TRIM(LEFT(Y150,2))))+1))</f>
        <v/>
      </c>
      <c r="AB150" s="5" t="n"/>
      <c r="AC150" s="5" t="n"/>
      <c r="AE150">
        <f>IFERROR(INDEX(EqTag,_xlfn.AGGREGATE(15,6,(ROW(EqTag)-4)/((EqSys=$D$3)*(EqTag&lt;&gt;"")),ROWS($AE$14:AE150))),"")</f>
        <v/>
      </c>
    </row>
    <row r="151" ht="30" customHeight="1">
      <c r="A151" s="21">
        <f>IF(F151="","",LEFT($D$3,3)&amp;"-"&amp;TEXT(COUNTIF(F$14:F151,"?*"),"00"))</f>
        <v/>
      </c>
      <c r="B151" s="5" t="n"/>
      <c r="C151" s="6">
        <f>IF(B151="","",IFERROR(INDEX(EqTypeCol,MATCH(B151,EqTag,0)),"Tag not in register"))</f>
        <v/>
      </c>
      <c r="D151" s="5" t="n"/>
      <c r="E151" s="5" t="n"/>
      <c r="F151" s="5" t="n"/>
      <c r="G151" s="5" t="n"/>
      <c r="H151" s="5" t="n"/>
      <c r="I151" s="5" t="n"/>
      <c r="J151" s="5" t="n"/>
      <c r="K151" s="17" t="n"/>
      <c r="L151" s="5" t="n"/>
      <c r="M151" s="17" t="n"/>
      <c r="N151" s="5" t="n"/>
      <c r="O151" s="17" t="n"/>
      <c r="P151" s="21">
        <f>IF(OR(K151="",M151="",O151=""),"",(--TRIM(LEFT(K151,2)))*(--TRIM(LEFT(M151,2)))*(--TRIM(LEFT(O151,2))))</f>
        <v/>
      </c>
      <c r="Q151" s="21">
        <f>IF(OR(K151="",M151="",O151=""),"",INDEX(APGrid,COUNTIF(APS,"&gt;"&amp;(--TRIM(LEFT(K151,2))))*5+COUNTIF(APO,"&gt;"&amp;(--TRIM(LEFT(M151,2))))+1,COUNTIF(APD,"&gt;"&amp;(--TRIM(LEFT(O151,2))))+1))</f>
        <v/>
      </c>
      <c r="R151" s="21">
        <f>IF(P151="","",IF(OR((--TRIM(LEFT(K151,2)))&gt;=SThr,P151&gt;=RPNThr,Q151="H"),"Yes","No"))</f>
        <v/>
      </c>
      <c r="S151" s="5" t="n"/>
      <c r="T151" s="5" t="n"/>
      <c r="U151" s="5" t="n"/>
      <c r="V151" s="29" t="n"/>
      <c r="W151" s="17" t="n"/>
      <c r="X151" s="17" t="n"/>
      <c r="Y151" s="17" t="n"/>
      <c r="Z151" s="21">
        <f>IF(OR(W151="",X151="",Y151=""),"",(--TRIM(LEFT(W151,2)))*(--TRIM(LEFT(X151,2)))*(--TRIM(LEFT(Y151,2))))</f>
        <v/>
      </c>
      <c r="AA151" s="21">
        <f>IF(OR(W151="",X151="",Y151=""),"",INDEX(APGrid,COUNTIF(APS,"&gt;"&amp;(--TRIM(LEFT(W151,2))))*5+COUNTIF(APO,"&gt;"&amp;(--TRIM(LEFT(X151,2))))+1,COUNTIF(APD,"&gt;"&amp;(--TRIM(LEFT(Y151,2))))+1))</f>
        <v/>
      </c>
      <c r="AB151" s="5" t="n"/>
      <c r="AC151" s="5" t="n"/>
      <c r="AE151">
        <f>IFERROR(INDEX(EqTag,_xlfn.AGGREGATE(15,6,(ROW(EqTag)-4)/((EqSys=$D$3)*(EqTag&lt;&gt;"")),ROWS($AE$14:AE151))),"")</f>
        <v/>
      </c>
    </row>
    <row r="152" ht="30" customHeight="1">
      <c r="A152" s="21">
        <f>IF(F152="","",LEFT($D$3,3)&amp;"-"&amp;TEXT(COUNTIF(F$14:F152,"?*"),"00"))</f>
        <v/>
      </c>
      <c r="B152" s="5" t="n"/>
      <c r="C152" s="6">
        <f>IF(B152="","",IFERROR(INDEX(EqTypeCol,MATCH(B152,EqTag,0)),"Tag not in register"))</f>
        <v/>
      </c>
      <c r="D152" s="5" t="n"/>
      <c r="E152" s="5" t="n"/>
      <c r="F152" s="5" t="n"/>
      <c r="G152" s="5" t="n"/>
      <c r="H152" s="5" t="n"/>
      <c r="I152" s="5" t="n"/>
      <c r="J152" s="5" t="n"/>
      <c r="K152" s="17" t="n"/>
      <c r="L152" s="5" t="n"/>
      <c r="M152" s="17" t="n"/>
      <c r="N152" s="5" t="n"/>
      <c r="O152" s="17" t="n"/>
      <c r="P152" s="21">
        <f>IF(OR(K152="",M152="",O152=""),"",(--TRIM(LEFT(K152,2)))*(--TRIM(LEFT(M152,2)))*(--TRIM(LEFT(O152,2))))</f>
        <v/>
      </c>
      <c r="Q152" s="21">
        <f>IF(OR(K152="",M152="",O152=""),"",INDEX(APGrid,COUNTIF(APS,"&gt;"&amp;(--TRIM(LEFT(K152,2))))*5+COUNTIF(APO,"&gt;"&amp;(--TRIM(LEFT(M152,2))))+1,COUNTIF(APD,"&gt;"&amp;(--TRIM(LEFT(O152,2))))+1))</f>
        <v/>
      </c>
      <c r="R152" s="21">
        <f>IF(P152="","",IF(OR((--TRIM(LEFT(K152,2)))&gt;=SThr,P152&gt;=RPNThr,Q152="H"),"Yes","No"))</f>
        <v/>
      </c>
      <c r="S152" s="5" t="n"/>
      <c r="T152" s="5" t="n"/>
      <c r="U152" s="5" t="n"/>
      <c r="V152" s="29" t="n"/>
      <c r="W152" s="17" t="n"/>
      <c r="X152" s="17" t="n"/>
      <c r="Y152" s="17" t="n"/>
      <c r="Z152" s="21">
        <f>IF(OR(W152="",X152="",Y152=""),"",(--TRIM(LEFT(W152,2)))*(--TRIM(LEFT(X152,2)))*(--TRIM(LEFT(Y152,2))))</f>
        <v/>
      </c>
      <c r="AA152" s="21">
        <f>IF(OR(W152="",X152="",Y152=""),"",INDEX(APGrid,COUNTIF(APS,"&gt;"&amp;(--TRIM(LEFT(W152,2))))*5+COUNTIF(APO,"&gt;"&amp;(--TRIM(LEFT(X152,2))))+1,COUNTIF(APD,"&gt;"&amp;(--TRIM(LEFT(Y152,2))))+1))</f>
        <v/>
      </c>
      <c r="AB152" s="5" t="n"/>
      <c r="AC152" s="5" t="n"/>
      <c r="AE152">
        <f>IFERROR(INDEX(EqTag,_xlfn.AGGREGATE(15,6,(ROW(EqTag)-4)/((EqSys=$D$3)*(EqTag&lt;&gt;"")),ROWS($AE$14:AE152))),"")</f>
        <v/>
      </c>
    </row>
    <row r="153" ht="30" customHeight="1">
      <c r="A153" s="21">
        <f>IF(F153="","",LEFT($D$3,3)&amp;"-"&amp;TEXT(COUNTIF(F$14:F153,"?*"),"00"))</f>
        <v/>
      </c>
      <c r="B153" s="5" t="n"/>
      <c r="C153" s="6">
        <f>IF(B153="","",IFERROR(INDEX(EqTypeCol,MATCH(B153,EqTag,0)),"Tag not in register"))</f>
        <v/>
      </c>
      <c r="D153" s="5" t="n"/>
      <c r="E153" s="5" t="n"/>
      <c r="F153" s="5" t="n"/>
      <c r="G153" s="5" t="n"/>
      <c r="H153" s="5" t="n"/>
      <c r="I153" s="5" t="n"/>
      <c r="J153" s="5" t="n"/>
      <c r="K153" s="17" t="n"/>
      <c r="L153" s="5" t="n"/>
      <c r="M153" s="17" t="n"/>
      <c r="N153" s="5" t="n"/>
      <c r="O153" s="17" t="n"/>
      <c r="P153" s="21">
        <f>IF(OR(K153="",M153="",O153=""),"",(--TRIM(LEFT(K153,2)))*(--TRIM(LEFT(M153,2)))*(--TRIM(LEFT(O153,2))))</f>
        <v/>
      </c>
      <c r="Q153" s="21">
        <f>IF(OR(K153="",M153="",O153=""),"",INDEX(APGrid,COUNTIF(APS,"&gt;"&amp;(--TRIM(LEFT(K153,2))))*5+COUNTIF(APO,"&gt;"&amp;(--TRIM(LEFT(M153,2))))+1,COUNTIF(APD,"&gt;"&amp;(--TRIM(LEFT(O153,2))))+1))</f>
        <v/>
      </c>
      <c r="R153" s="21">
        <f>IF(P153="","",IF(OR((--TRIM(LEFT(K153,2)))&gt;=SThr,P153&gt;=RPNThr,Q153="H"),"Yes","No"))</f>
        <v/>
      </c>
      <c r="S153" s="5" t="n"/>
      <c r="T153" s="5" t="n"/>
      <c r="U153" s="5" t="n"/>
      <c r="V153" s="29" t="n"/>
      <c r="W153" s="17" t="n"/>
      <c r="X153" s="17" t="n"/>
      <c r="Y153" s="17" t="n"/>
      <c r="Z153" s="21">
        <f>IF(OR(W153="",X153="",Y153=""),"",(--TRIM(LEFT(W153,2)))*(--TRIM(LEFT(X153,2)))*(--TRIM(LEFT(Y153,2))))</f>
        <v/>
      </c>
      <c r="AA153" s="21">
        <f>IF(OR(W153="",X153="",Y153=""),"",INDEX(APGrid,COUNTIF(APS,"&gt;"&amp;(--TRIM(LEFT(W153,2))))*5+COUNTIF(APO,"&gt;"&amp;(--TRIM(LEFT(X153,2))))+1,COUNTIF(APD,"&gt;"&amp;(--TRIM(LEFT(Y153,2))))+1))</f>
        <v/>
      </c>
      <c r="AB153" s="5" t="n"/>
      <c r="AC153" s="5" t="n"/>
      <c r="AE153">
        <f>IFERROR(INDEX(EqTag,_xlfn.AGGREGATE(15,6,(ROW(EqTag)-4)/((EqSys=$D$3)*(EqTag&lt;&gt;"")),ROWS($AE$14:AE153))),"")</f>
        <v/>
      </c>
    </row>
    <row r="154" ht="30" customHeight="1">
      <c r="A154" s="21">
        <f>IF(F154="","",LEFT($D$3,3)&amp;"-"&amp;TEXT(COUNTIF(F$14:F154,"?*"),"00"))</f>
        <v/>
      </c>
      <c r="B154" s="5" t="n"/>
      <c r="C154" s="6">
        <f>IF(B154="","",IFERROR(INDEX(EqTypeCol,MATCH(B154,EqTag,0)),"Tag not in register"))</f>
        <v/>
      </c>
      <c r="D154" s="5" t="n"/>
      <c r="E154" s="5" t="n"/>
      <c r="F154" s="5" t="n"/>
      <c r="G154" s="5" t="n"/>
      <c r="H154" s="5" t="n"/>
      <c r="I154" s="5" t="n"/>
      <c r="J154" s="5" t="n"/>
      <c r="K154" s="17" t="n"/>
      <c r="L154" s="5" t="n"/>
      <c r="M154" s="17" t="n"/>
      <c r="N154" s="5" t="n"/>
      <c r="O154" s="17" t="n"/>
      <c r="P154" s="21">
        <f>IF(OR(K154="",M154="",O154=""),"",(--TRIM(LEFT(K154,2)))*(--TRIM(LEFT(M154,2)))*(--TRIM(LEFT(O154,2))))</f>
        <v/>
      </c>
      <c r="Q154" s="21">
        <f>IF(OR(K154="",M154="",O154=""),"",INDEX(APGrid,COUNTIF(APS,"&gt;"&amp;(--TRIM(LEFT(K154,2))))*5+COUNTIF(APO,"&gt;"&amp;(--TRIM(LEFT(M154,2))))+1,COUNTIF(APD,"&gt;"&amp;(--TRIM(LEFT(O154,2))))+1))</f>
        <v/>
      </c>
      <c r="R154" s="21">
        <f>IF(P154="","",IF(OR((--TRIM(LEFT(K154,2)))&gt;=SThr,P154&gt;=RPNThr,Q154="H"),"Yes","No"))</f>
        <v/>
      </c>
      <c r="S154" s="5" t="n"/>
      <c r="T154" s="5" t="n"/>
      <c r="U154" s="5" t="n"/>
      <c r="V154" s="29" t="n"/>
      <c r="W154" s="17" t="n"/>
      <c r="X154" s="17" t="n"/>
      <c r="Y154" s="17" t="n"/>
      <c r="Z154" s="21">
        <f>IF(OR(W154="",X154="",Y154=""),"",(--TRIM(LEFT(W154,2)))*(--TRIM(LEFT(X154,2)))*(--TRIM(LEFT(Y154,2))))</f>
        <v/>
      </c>
      <c r="AA154" s="21">
        <f>IF(OR(W154="",X154="",Y154=""),"",INDEX(APGrid,COUNTIF(APS,"&gt;"&amp;(--TRIM(LEFT(W154,2))))*5+COUNTIF(APO,"&gt;"&amp;(--TRIM(LEFT(X154,2))))+1,COUNTIF(APD,"&gt;"&amp;(--TRIM(LEFT(Y154,2))))+1))</f>
        <v/>
      </c>
      <c r="AB154" s="5" t="n"/>
      <c r="AC154" s="5" t="n"/>
      <c r="AE154">
        <f>IFERROR(INDEX(EqTag,_xlfn.AGGREGATE(15,6,(ROW(EqTag)-4)/((EqSys=$D$3)*(EqTag&lt;&gt;"")),ROWS($AE$14:AE154))),"")</f>
        <v/>
      </c>
    </row>
    <row r="155" ht="30" customHeight="1">
      <c r="A155" s="21">
        <f>IF(F155="","",LEFT($D$3,3)&amp;"-"&amp;TEXT(COUNTIF(F$14:F155,"?*"),"00"))</f>
        <v/>
      </c>
      <c r="B155" s="5" t="n"/>
      <c r="C155" s="6">
        <f>IF(B155="","",IFERROR(INDEX(EqTypeCol,MATCH(B155,EqTag,0)),"Tag not in register"))</f>
        <v/>
      </c>
      <c r="D155" s="5" t="n"/>
      <c r="E155" s="5" t="n"/>
      <c r="F155" s="5" t="n"/>
      <c r="G155" s="5" t="n"/>
      <c r="H155" s="5" t="n"/>
      <c r="I155" s="5" t="n"/>
      <c r="J155" s="5" t="n"/>
      <c r="K155" s="17" t="n"/>
      <c r="L155" s="5" t="n"/>
      <c r="M155" s="17" t="n"/>
      <c r="N155" s="5" t="n"/>
      <c r="O155" s="17" t="n"/>
      <c r="P155" s="21">
        <f>IF(OR(K155="",M155="",O155=""),"",(--TRIM(LEFT(K155,2)))*(--TRIM(LEFT(M155,2)))*(--TRIM(LEFT(O155,2))))</f>
        <v/>
      </c>
      <c r="Q155" s="21">
        <f>IF(OR(K155="",M155="",O155=""),"",INDEX(APGrid,COUNTIF(APS,"&gt;"&amp;(--TRIM(LEFT(K155,2))))*5+COUNTIF(APO,"&gt;"&amp;(--TRIM(LEFT(M155,2))))+1,COUNTIF(APD,"&gt;"&amp;(--TRIM(LEFT(O155,2))))+1))</f>
        <v/>
      </c>
      <c r="R155" s="21">
        <f>IF(P155="","",IF(OR((--TRIM(LEFT(K155,2)))&gt;=SThr,P155&gt;=RPNThr,Q155="H"),"Yes","No"))</f>
        <v/>
      </c>
      <c r="S155" s="5" t="n"/>
      <c r="T155" s="5" t="n"/>
      <c r="U155" s="5" t="n"/>
      <c r="V155" s="29" t="n"/>
      <c r="W155" s="17" t="n"/>
      <c r="X155" s="17" t="n"/>
      <c r="Y155" s="17" t="n"/>
      <c r="Z155" s="21">
        <f>IF(OR(W155="",X155="",Y155=""),"",(--TRIM(LEFT(W155,2)))*(--TRIM(LEFT(X155,2)))*(--TRIM(LEFT(Y155,2))))</f>
        <v/>
      </c>
      <c r="AA155" s="21">
        <f>IF(OR(W155="",X155="",Y155=""),"",INDEX(APGrid,COUNTIF(APS,"&gt;"&amp;(--TRIM(LEFT(W155,2))))*5+COUNTIF(APO,"&gt;"&amp;(--TRIM(LEFT(X155,2))))+1,COUNTIF(APD,"&gt;"&amp;(--TRIM(LEFT(Y155,2))))+1))</f>
        <v/>
      </c>
      <c r="AB155" s="5" t="n"/>
      <c r="AC155" s="5" t="n"/>
      <c r="AE155">
        <f>IFERROR(INDEX(EqTag,_xlfn.AGGREGATE(15,6,(ROW(EqTag)-4)/((EqSys=$D$3)*(EqTag&lt;&gt;"")),ROWS($AE$14:AE155))),"")</f>
        <v/>
      </c>
    </row>
    <row r="156" ht="30" customHeight="1">
      <c r="A156" s="21">
        <f>IF(F156="","",LEFT($D$3,3)&amp;"-"&amp;TEXT(COUNTIF(F$14:F156,"?*"),"00"))</f>
        <v/>
      </c>
      <c r="B156" s="5" t="n"/>
      <c r="C156" s="6">
        <f>IF(B156="","",IFERROR(INDEX(EqTypeCol,MATCH(B156,EqTag,0)),"Tag not in register"))</f>
        <v/>
      </c>
      <c r="D156" s="5" t="n"/>
      <c r="E156" s="5" t="n"/>
      <c r="F156" s="5" t="n"/>
      <c r="G156" s="5" t="n"/>
      <c r="H156" s="5" t="n"/>
      <c r="I156" s="5" t="n"/>
      <c r="J156" s="5" t="n"/>
      <c r="K156" s="17" t="n"/>
      <c r="L156" s="5" t="n"/>
      <c r="M156" s="17" t="n"/>
      <c r="N156" s="5" t="n"/>
      <c r="O156" s="17" t="n"/>
      <c r="P156" s="21">
        <f>IF(OR(K156="",M156="",O156=""),"",(--TRIM(LEFT(K156,2)))*(--TRIM(LEFT(M156,2)))*(--TRIM(LEFT(O156,2))))</f>
        <v/>
      </c>
      <c r="Q156" s="21">
        <f>IF(OR(K156="",M156="",O156=""),"",INDEX(APGrid,COUNTIF(APS,"&gt;"&amp;(--TRIM(LEFT(K156,2))))*5+COUNTIF(APO,"&gt;"&amp;(--TRIM(LEFT(M156,2))))+1,COUNTIF(APD,"&gt;"&amp;(--TRIM(LEFT(O156,2))))+1))</f>
        <v/>
      </c>
      <c r="R156" s="21">
        <f>IF(P156="","",IF(OR((--TRIM(LEFT(K156,2)))&gt;=SThr,P156&gt;=RPNThr,Q156="H"),"Yes","No"))</f>
        <v/>
      </c>
      <c r="S156" s="5" t="n"/>
      <c r="T156" s="5" t="n"/>
      <c r="U156" s="5" t="n"/>
      <c r="V156" s="29" t="n"/>
      <c r="W156" s="17" t="n"/>
      <c r="X156" s="17" t="n"/>
      <c r="Y156" s="17" t="n"/>
      <c r="Z156" s="21">
        <f>IF(OR(W156="",X156="",Y156=""),"",(--TRIM(LEFT(W156,2)))*(--TRIM(LEFT(X156,2)))*(--TRIM(LEFT(Y156,2))))</f>
        <v/>
      </c>
      <c r="AA156" s="21">
        <f>IF(OR(W156="",X156="",Y156=""),"",INDEX(APGrid,COUNTIF(APS,"&gt;"&amp;(--TRIM(LEFT(W156,2))))*5+COUNTIF(APO,"&gt;"&amp;(--TRIM(LEFT(X156,2))))+1,COUNTIF(APD,"&gt;"&amp;(--TRIM(LEFT(Y156,2))))+1))</f>
        <v/>
      </c>
      <c r="AB156" s="5" t="n"/>
      <c r="AC156" s="5" t="n"/>
      <c r="AE156">
        <f>IFERROR(INDEX(EqTag,_xlfn.AGGREGATE(15,6,(ROW(EqTag)-4)/((EqSys=$D$3)*(EqTag&lt;&gt;"")),ROWS($AE$14:AE156))),"")</f>
        <v/>
      </c>
    </row>
    <row r="157" ht="30" customHeight="1">
      <c r="A157" s="21">
        <f>IF(F157="","",LEFT($D$3,3)&amp;"-"&amp;TEXT(COUNTIF(F$14:F157,"?*"),"00"))</f>
        <v/>
      </c>
      <c r="B157" s="5" t="n"/>
      <c r="C157" s="6">
        <f>IF(B157="","",IFERROR(INDEX(EqTypeCol,MATCH(B157,EqTag,0)),"Tag not in register"))</f>
        <v/>
      </c>
      <c r="D157" s="5" t="n"/>
      <c r="E157" s="5" t="n"/>
      <c r="F157" s="5" t="n"/>
      <c r="G157" s="5" t="n"/>
      <c r="H157" s="5" t="n"/>
      <c r="I157" s="5" t="n"/>
      <c r="J157" s="5" t="n"/>
      <c r="K157" s="17" t="n"/>
      <c r="L157" s="5" t="n"/>
      <c r="M157" s="17" t="n"/>
      <c r="N157" s="5" t="n"/>
      <c r="O157" s="17" t="n"/>
      <c r="P157" s="21">
        <f>IF(OR(K157="",M157="",O157=""),"",(--TRIM(LEFT(K157,2)))*(--TRIM(LEFT(M157,2)))*(--TRIM(LEFT(O157,2))))</f>
        <v/>
      </c>
      <c r="Q157" s="21">
        <f>IF(OR(K157="",M157="",O157=""),"",INDEX(APGrid,COUNTIF(APS,"&gt;"&amp;(--TRIM(LEFT(K157,2))))*5+COUNTIF(APO,"&gt;"&amp;(--TRIM(LEFT(M157,2))))+1,COUNTIF(APD,"&gt;"&amp;(--TRIM(LEFT(O157,2))))+1))</f>
        <v/>
      </c>
      <c r="R157" s="21">
        <f>IF(P157="","",IF(OR((--TRIM(LEFT(K157,2)))&gt;=SThr,P157&gt;=RPNThr,Q157="H"),"Yes","No"))</f>
        <v/>
      </c>
      <c r="S157" s="5" t="n"/>
      <c r="T157" s="5" t="n"/>
      <c r="U157" s="5" t="n"/>
      <c r="V157" s="29" t="n"/>
      <c r="W157" s="17" t="n"/>
      <c r="X157" s="17" t="n"/>
      <c r="Y157" s="17" t="n"/>
      <c r="Z157" s="21">
        <f>IF(OR(W157="",X157="",Y157=""),"",(--TRIM(LEFT(W157,2)))*(--TRIM(LEFT(X157,2)))*(--TRIM(LEFT(Y157,2))))</f>
        <v/>
      </c>
      <c r="AA157" s="21">
        <f>IF(OR(W157="",X157="",Y157=""),"",INDEX(APGrid,COUNTIF(APS,"&gt;"&amp;(--TRIM(LEFT(W157,2))))*5+COUNTIF(APO,"&gt;"&amp;(--TRIM(LEFT(X157,2))))+1,COUNTIF(APD,"&gt;"&amp;(--TRIM(LEFT(Y157,2))))+1))</f>
        <v/>
      </c>
      <c r="AB157" s="5" t="n"/>
      <c r="AC157" s="5" t="n"/>
      <c r="AE157">
        <f>IFERROR(INDEX(EqTag,_xlfn.AGGREGATE(15,6,(ROW(EqTag)-4)/((EqSys=$D$3)*(EqTag&lt;&gt;"")),ROWS($AE$14:AE157))),"")</f>
        <v/>
      </c>
    </row>
    <row r="158" ht="30" customHeight="1">
      <c r="A158" s="21">
        <f>IF(F158="","",LEFT($D$3,3)&amp;"-"&amp;TEXT(COUNTIF(F$14:F158,"?*"),"00"))</f>
        <v/>
      </c>
      <c r="B158" s="5" t="n"/>
      <c r="C158" s="6">
        <f>IF(B158="","",IFERROR(INDEX(EqTypeCol,MATCH(B158,EqTag,0)),"Tag not in register"))</f>
        <v/>
      </c>
      <c r="D158" s="5" t="n"/>
      <c r="E158" s="5" t="n"/>
      <c r="F158" s="5" t="n"/>
      <c r="G158" s="5" t="n"/>
      <c r="H158" s="5" t="n"/>
      <c r="I158" s="5" t="n"/>
      <c r="J158" s="5" t="n"/>
      <c r="K158" s="17" t="n"/>
      <c r="L158" s="5" t="n"/>
      <c r="M158" s="17" t="n"/>
      <c r="N158" s="5" t="n"/>
      <c r="O158" s="17" t="n"/>
      <c r="P158" s="21">
        <f>IF(OR(K158="",M158="",O158=""),"",(--TRIM(LEFT(K158,2)))*(--TRIM(LEFT(M158,2)))*(--TRIM(LEFT(O158,2))))</f>
        <v/>
      </c>
      <c r="Q158" s="21">
        <f>IF(OR(K158="",M158="",O158=""),"",INDEX(APGrid,COUNTIF(APS,"&gt;"&amp;(--TRIM(LEFT(K158,2))))*5+COUNTIF(APO,"&gt;"&amp;(--TRIM(LEFT(M158,2))))+1,COUNTIF(APD,"&gt;"&amp;(--TRIM(LEFT(O158,2))))+1))</f>
        <v/>
      </c>
      <c r="R158" s="21">
        <f>IF(P158="","",IF(OR((--TRIM(LEFT(K158,2)))&gt;=SThr,P158&gt;=RPNThr,Q158="H"),"Yes","No"))</f>
        <v/>
      </c>
      <c r="S158" s="5" t="n"/>
      <c r="T158" s="5" t="n"/>
      <c r="U158" s="5" t="n"/>
      <c r="V158" s="29" t="n"/>
      <c r="W158" s="17" t="n"/>
      <c r="X158" s="17" t="n"/>
      <c r="Y158" s="17" t="n"/>
      <c r="Z158" s="21">
        <f>IF(OR(W158="",X158="",Y158=""),"",(--TRIM(LEFT(W158,2)))*(--TRIM(LEFT(X158,2)))*(--TRIM(LEFT(Y158,2))))</f>
        <v/>
      </c>
      <c r="AA158" s="21">
        <f>IF(OR(W158="",X158="",Y158=""),"",INDEX(APGrid,COUNTIF(APS,"&gt;"&amp;(--TRIM(LEFT(W158,2))))*5+COUNTIF(APO,"&gt;"&amp;(--TRIM(LEFT(X158,2))))+1,COUNTIF(APD,"&gt;"&amp;(--TRIM(LEFT(Y158,2))))+1))</f>
        <v/>
      </c>
      <c r="AB158" s="5" t="n"/>
      <c r="AC158" s="5" t="n"/>
      <c r="AE158">
        <f>IFERROR(INDEX(EqTag,_xlfn.AGGREGATE(15,6,(ROW(EqTag)-4)/((EqSys=$D$3)*(EqTag&lt;&gt;"")),ROWS($AE$14:AE158))),"")</f>
        <v/>
      </c>
    </row>
    <row r="159" ht="30" customHeight="1">
      <c r="A159" s="21">
        <f>IF(F159="","",LEFT($D$3,3)&amp;"-"&amp;TEXT(COUNTIF(F$14:F159,"?*"),"00"))</f>
        <v/>
      </c>
      <c r="B159" s="5" t="n"/>
      <c r="C159" s="6">
        <f>IF(B159="","",IFERROR(INDEX(EqTypeCol,MATCH(B159,EqTag,0)),"Tag not in register"))</f>
        <v/>
      </c>
      <c r="D159" s="5" t="n"/>
      <c r="E159" s="5" t="n"/>
      <c r="F159" s="5" t="n"/>
      <c r="G159" s="5" t="n"/>
      <c r="H159" s="5" t="n"/>
      <c r="I159" s="5" t="n"/>
      <c r="J159" s="5" t="n"/>
      <c r="K159" s="17" t="n"/>
      <c r="L159" s="5" t="n"/>
      <c r="M159" s="17" t="n"/>
      <c r="N159" s="5" t="n"/>
      <c r="O159" s="17" t="n"/>
      <c r="P159" s="21">
        <f>IF(OR(K159="",M159="",O159=""),"",(--TRIM(LEFT(K159,2)))*(--TRIM(LEFT(M159,2)))*(--TRIM(LEFT(O159,2))))</f>
        <v/>
      </c>
      <c r="Q159" s="21">
        <f>IF(OR(K159="",M159="",O159=""),"",INDEX(APGrid,COUNTIF(APS,"&gt;"&amp;(--TRIM(LEFT(K159,2))))*5+COUNTIF(APO,"&gt;"&amp;(--TRIM(LEFT(M159,2))))+1,COUNTIF(APD,"&gt;"&amp;(--TRIM(LEFT(O159,2))))+1))</f>
        <v/>
      </c>
      <c r="R159" s="21">
        <f>IF(P159="","",IF(OR((--TRIM(LEFT(K159,2)))&gt;=SThr,P159&gt;=RPNThr,Q159="H"),"Yes","No"))</f>
        <v/>
      </c>
      <c r="S159" s="5" t="n"/>
      <c r="T159" s="5" t="n"/>
      <c r="U159" s="5" t="n"/>
      <c r="V159" s="29" t="n"/>
      <c r="W159" s="17" t="n"/>
      <c r="X159" s="17" t="n"/>
      <c r="Y159" s="17" t="n"/>
      <c r="Z159" s="21">
        <f>IF(OR(W159="",X159="",Y159=""),"",(--TRIM(LEFT(W159,2)))*(--TRIM(LEFT(X159,2)))*(--TRIM(LEFT(Y159,2))))</f>
        <v/>
      </c>
      <c r="AA159" s="21">
        <f>IF(OR(W159="",X159="",Y159=""),"",INDEX(APGrid,COUNTIF(APS,"&gt;"&amp;(--TRIM(LEFT(W159,2))))*5+COUNTIF(APO,"&gt;"&amp;(--TRIM(LEFT(X159,2))))+1,COUNTIF(APD,"&gt;"&amp;(--TRIM(LEFT(Y159,2))))+1))</f>
        <v/>
      </c>
      <c r="AB159" s="5" t="n"/>
      <c r="AC159" s="5" t="n"/>
      <c r="AE159">
        <f>IFERROR(INDEX(EqTag,_xlfn.AGGREGATE(15,6,(ROW(EqTag)-4)/((EqSys=$D$3)*(EqTag&lt;&gt;"")),ROWS($AE$14:AE159))),"")</f>
        <v/>
      </c>
    </row>
    <row r="160" ht="30" customHeight="1">
      <c r="A160" s="21">
        <f>IF(F160="","",LEFT($D$3,3)&amp;"-"&amp;TEXT(COUNTIF(F$14:F160,"?*"),"00"))</f>
        <v/>
      </c>
      <c r="B160" s="5" t="n"/>
      <c r="C160" s="6">
        <f>IF(B160="","",IFERROR(INDEX(EqTypeCol,MATCH(B160,EqTag,0)),"Tag not in register"))</f>
        <v/>
      </c>
      <c r="D160" s="5" t="n"/>
      <c r="E160" s="5" t="n"/>
      <c r="F160" s="5" t="n"/>
      <c r="G160" s="5" t="n"/>
      <c r="H160" s="5" t="n"/>
      <c r="I160" s="5" t="n"/>
      <c r="J160" s="5" t="n"/>
      <c r="K160" s="17" t="n"/>
      <c r="L160" s="5" t="n"/>
      <c r="M160" s="17" t="n"/>
      <c r="N160" s="5" t="n"/>
      <c r="O160" s="17" t="n"/>
      <c r="P160" s="21">
        <f>IF(OR(K160="",M160="",O160=""),"",(--TRIM(LEFT(K160,2)))*(--TRIM(LEFT(M160,2)))*(--TRIM(LEFT(O160,2))))</f>
        <v/>
      </c>
      <c r="Q160" s="21">
        <f>IF(OR(K160="",M160="",O160=""),"",INDEX(APGrid,COUNTIF(APS,"&gt;"&amp;(--TRIM(LEFT(K160,2))))*5+COUNTIF(APO,"&gt;"&amp;(--TRIM(LEFT(M160,2))))+1,COUNTIF(APD,"&gt;"&amp;(--TRIM(LEFT(O160,2))))+1))</f>
        <v/>
      </c>
      <c r="R160" s="21">
        <f>IF(P160="","",IF(OR((--TRIM(LEFT(K160,2)))&gt;=SThr,P160&gt;=RPNThr,Q160="H"),"Yes","No"))</f>
        <v/>
      </c>
      <c r="S160" s="5" t="n"/>
      <c r="T160" s="5" t="n"/>
      <c r="U160" s="5" t="n"/>
      <c r="V160" s="29" t="n"/>
      <c r="W160" s="17" t="n"/>
      <c r="X160" s="17" t="n"/>
      <c r="Y160" s="17" t="n"/>
      <c r="Z160" s="21">
        <f>IF(OR(W160="",X160="",Y160=""),"",(--TRIM(LEFT(W160,2)))*(--TRIM(LEFT(X160,2)))*(--TRIM(LEFT(Y160,2))))</f>
        <v/>
      </c>
      <c r="AA160" s="21">
        <f>IF(OR(W160="",X160="",Y160=""),"",INDEX(APGrid,COUNTIF(APS,"&gt;"&amp;(--TRIM(LEFT(W160,2))))*5+COUNTIF(APO,"&gt;"&amp;(--TRIM(LEFT(X160,2))))+1,COUNTIF(APD,"&gt;"&amp;(--TRIM(LEFT(Y160,2))))+1))</f>
        <v/>
      </c>
      <c r="AB160" s="5" t="n"/>
      <c r="AC160" s="5" t="n"/>
      <c r="AE160">
        <f>IFERROR(INDEX(EqTag,_xlfn.AGGREGATE(15,6,(ROW(EqTag)-4)/((EqSys=$D$3)*(EqTag&lt;&gt;"")),ROWS($AE$14:AE160))),"")</f>
        <v/>
      </c>
    </row>
    <row r="161" ht="30" customHeight="1">
      <c r="A161" s="21">
        <f>IF(F161="","",LEFT($D$3,3)&amp;"-"&amp;TEXT(COUNTIF(F$14:F161,"?*"),"00"))</f>
        <v/>
      </c>
      <c r="B161" s="5" t="n"/>
      <c r="C161" s="6">
        <f>IF(B161="","",IFERROR(INDEX(EqTypeCol,MATCH(B161,EqTag,0)),"Tag not in register"))</f>
        <v/>
      </c>
      <c r="D161" s="5" t="n"/>
      <c r="E161" s="5" t="n"/>
      <c r="F161" s="5" t="n"/>
      <c r="G161" s="5" t="n"/>
      <c r="H161" s="5" t="n"/>
      <c r="I161" s="5" t="n"/>
      <c r="J161" s="5" t="n"/>
      <c r="K161" s="17" t="n"/>
      <c r="L161" s="5" t="n"/>
      <c r="M161" s="17" t="n"/>
      <c r="N161" s="5" t="n"/>
      <c r="O161" s="17" t="n"/>
      <c r="P161" s="21">
        <f>IF(OR(K161="",M161="",O161=""),"",(--TRIM(LEFT(K161,2)))*(--TRIM(LEFT(M161,2)))*(--TRIM(LEFT(O161,2))))</f>
        <v/>
      </c>
      <c r="Q161" s="21">
        <f>IF(OR(K161="",M161="",O161=""),"",INDEX(APGrid,COUNTIF(APS,"&gt;"&amp;(--TRIM(LEFT(K161,2))))*5+COUNTIF(APO,"&gt;"&amp;(--TRIM(LEFT(M161,2))))+1,COUNTIF(APD,"&gt;"&amp;(--TRIM(LEFT(O161,2))))+1))</f>
        <v/>
      </c>
      <c r="R161" s="21">
        <f>IF(P161="","",IF(OR((--TRIM(LEFT(K161,2)))&gt;=SThr,P161&gt;=RPNThr,Q161="H"),"Yes","No"))</f>
        <v/>
      </c>
      <c r="S161" s="5" t="n"/>
      <c r="T161" s="5" t="n"/>
      <c r="U161" s="5" t="n"/>
      <c r="V161" s="29" t="n"/>
      <c r="W161" s="17" t="n"/>
      <c r="X161" s="17" t="n"/>
      <c r="Y161" s="17" t="n"/>
      <c r="Z161" s="21">
        <f>IF(OR(W161="",X161="",Y161=""),"",(--TRIM(LEFT(W161,2)))*(--TRIM(LEFT(X161,2)))*(--TRIM(LEFT(Y161,2))))</f>
        <v/>
      </c>
      <c r="AA161" s="21">
        <f>IF(OR(W161="",X161="",Y161=""),"",INDEX(APGrid,COUNTIF(APS,"&gt;"&amp;(--TRIM(LEFT(W161,2))))*5+COUNTIF(APO,"&gt;"&amp;(--TRIM(LEFT(X161,2))))+1,COUNTIF(APD,"&gt;"&amp;(--TRIM(LEFT(Y161,2))))+1))</f>
        <v/>
      </c>
      <c r="AB161" s="5" t="n"/>
      <c r="AC161" s="5" t="n"/>
      <c r="AE161">
        <f>IFERROR(INDEX(EqTag,_xlfn.AGGREGATE(15,6,(ROW(EqTag)-4)/((EqSys=$D$3)*(EqTag&lt;&gt;"")),ROWS($AE$14:AE161))),"")</f>
        <v/>
      </c>
    </row>
    <row r="162" ht="30" customHeight="1">
      <c r="A162" s="21">
        <f>IF(F162="","",LEFT($D$3,3)&amp;"-"&amp;TEXT(COUNTIF(F$14:F162,"?*"),"00"))</f>
        <v/>
      </c>
      <c r="B162" s="5" t="n"/>
      <c r="C162" s="6">
        <f>IF(B162="","",IFERROR(INDEX(EqTypeCol,MATCH(B162,EqTag,0)),"Tag not in register"))</f>
        <v/>
      </c>
      <c r="D162" s="5" t="n"/>
      <c r="E162" s="5" t="n"/>
      <c r="F162" s="5" t="n"/>
      <c r="G162" s="5" t="n"/>
      <c r="H162" s="5" t="n"/>
      <c r="I162" s="5" t="n"/>
      <c r="J162" s="5" t="n"/>
      <c r="K162" s="17" t="n"/>
      <c r="L162" s="5" t="n"/>
      <c r="M162" s="17" t="n"/>
      <c r="N162" s="5" t="n"/>
      <c r="O162" s="17" t="n"/>
      <c r="P162" s="21">
        <f>IF(OR(K162="",M162="",O162=""),"",(--TRIM(LEFT(K162,2)))*(--TRIM(LEFT(M162,2)))*(--TRIM(LEFT(O162,2))))</f>
        <v/>
      </c>
      <c r="Q162" s="21">
        <f>IF(OR(K162="",M162="",O162=""),"",INDEX(APGrid,COUNTIF(APS,"&gt;"&amp;(--TRIM(LEFT(K162,2))))*5+COUNTIF(APO,"&gt;"&amp;(--TRIM(LEFT(M162,2))))+1,COUNTIF(APD,"&gt;"&amp;(--TRIM(LEFT(O162,2))))+1))</f>
        <v/>
      </c>
      <c r="R162" s="21">
        <f>IF(P162="","",IF(OR((--TRIM(LEFT(K162,2)))&gt;=SThr,P162&gt;=RPNThr,Q162="H"),"Yes","No"))</f>
        <v/>
      </c>
      <c r="S162" s="5" t="n"/>
      <c r="T162" s="5" t="n"/>
      <c r="U162" s="5" t="n"/>
      <c r="V162" s="29" t="n"/>
      <c r="W162" s="17" t="n"/>
      <c r="X162" s="17" t="n"/>
      <c r="Y162" s="17" t="n"/>
      <c r="Z162" s="21">
        <f>IF(OR(W162="",X162="",Y162=""),"",(--TRIM(LEFT(W162,2)))*(--TRIM(LEFT(X162,2)))*(--TRIM(LEFT(Y162,2))))</f>
        <v/>
      </c>
      <c r="AA162" s="21">
        <f>IF(OR(W162="",X162="",Y162=""),"",INDEX(APGrid,COUNTIF(APS,"&gt;"&amp;(--TRIM(LEFT(W162,2))))*5+COUNTIF(APO,"&gt;"&amp;(--TRIM(LEFT(X162,2))))+1,COUNTIF(APD,"&gt;"&amp;(--TRIM(LEFT(Y162,2))))+1))</f>
        <v/>
      </c>
      <c r="AB162" s="5" t="n"/>
      <c r="AC162" s="5" t="n"/>
      <c r="AE162">
        <f>IFERROR(INDEX(EqTag,_xlfn.AGGREGATE(15,6,(ROW(EqTag)-4)/((EqSys=$D$3)*(EqTag&lt;&gt;"")),ROWS($AE$14:AE162))),"")</f>
        <v/>
      </c>
    </row>
    <row r="163" ht="30" customHeight="1">
      <c r="A163" s="21">
        <f>IF(F163="","",LEFT($D$3,3)&amp;"-"&amp;TEXT(COUNTIF(F$14:F163,"?*"),"00"))</f>
        <v/>
      </c>
      <c r="B163" s="5" t="n"/>
      <c r="C163" s="6">
        <f>IF(B163="","",IFERROR(INDEX(EqTypeCol,MATCH(B163,EqTag,0)),"Tag not in register"))</f>
        <v/>
      </c>
      <c r="D163" s="5" t="n"/>
      <c r="E163" s="5" t="n"/>
      <c r="F163" s="5" t="n"/>
      <c r="G163" s="5" t="n"/>
      <c r="H163" s="5" t="n"/>
      <c r="I163" s="5" t="n"/>
      <c r="J163" s="5" t="n"/>
      <c r="K163" s="17" t="n"/>
      <c r="L163" s="5" t="n"/>
      <c r="M163" s="17" t="n"/>
      <c r="N163" s="5" t="n"/>
      <c r="O163" s="17" t="n"/>
      <c r="P163" s="21">
        <f>IF(OR(K163="",M163="",O163=""),"",(--TRIM(LEFT(K163,2)))*(--TRIM(LEFT(M163,2)))*(--TRIM(LEFT(O163,2))))</f>
        <v/>
      </c>
      <c r="Q163" s="21">
        <f>IF(OR(K163="",M163="",O163=""),"",INDEX(APGrid,COUNTIF(APS,"&gt;"&amp;(--TRIM(LEFT(K163,2))))*5+COUNTIF(APO,"&gt;"&amp;(--TRIM(LEFT(M163,2))))+1,COUNTIF(APD,"&gt;"&amp;(--TRIM(LEFT(O163,2))))+1))</f>
        <v/>
      </c>
      <c r="R163" s="21">
        <f>IF(P163="","",IF(OR((--TRIM(LEFT(K163,2)))&gt;=SThr,P163&gt;=RPNThr,Q163="H"),"Yes","No"))</f>
        <v/>
      </c>
      <c r="S163" s="5" t="n"/>
      <c r="T163" s="5" t="n"/>
      <c r="U163" s="5" t="n"/>
      <c r="V163" s="29" t="n"/>
      <c r="W163" s="17" t="n"/>
      <c r="X163" s="17" t="n"/>
      <c r="Y163" s="17" t="n"/>
      <c r="Z163" s="21">
        <f>IF(OR(W163="",X163="",Y163=""),"",(--TRIM(LEFT(W163,2)))*(--TRIM(LEFT(X163,2)))*(--TRIM(LEFT(Y163,2))))</f>
        <v/>
      </c>
      <c r="AA163" s="21">
        <f>IF(OR(W163="",X163="",Y163=""),"",INDEX(APGrid,COUNTIF(APS,"&gt;"&amp;(--TRIM(LEFT(W163,2))))*5+COUNTIF(APO,"&gt;"&amp;(--TRIM(LEFT(X163,2))))+1,COUNTIF(APD,"&gt;"&amp;(--TRIM(LEFT(Y163,2))))+1))</f>
        <v/>
      </c>
      <c r="AB163" s="5" t="n"/>
      <c r="AC163" s="5" t="n"/>
      <c r="AE163">
        <f>IFERROR(INDEX(EqTag,_xlfn.AGGREGATE(15,6,(ROW(EqTag)-4)/((EqSys=$D$3)*(EqTag&lt;&gt;"")),ROWS($AE$14:AE163))),"")</f>
        <v/>
      </c>
    </row>
  </sheetData>
  <mergeCells count="22"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S12:V12"/>
    <mergeCell ref="A4:C4"/>
    <mergeCell ref="D8:O8"/>
    <mergeCell ref="AB12:AC12"/>
    <mergeCell ref="K12:R12"/>
    <mergeCell ref="D5:O5"/>
    <mergeCell ref="W12:AA12"/>
    <mergeCell ref="A9:C9"/>
    <mergeCell ref="A6:C6"/>
    <mergeCell ref="A11:O11"/>
    <mergeCell ref="A7:C7"/>
    <mergeCell ref="D6:O6"/>
  </mergeCells>
  <conditionalFormatting sqref="Q14:Q163">
    <cfRule type="expression" priority="1" dxfId="0">
      <formula>Q14="H"</formula>
    </cfRule>
    <cfRule type="expression" priority="3" dxfId="1">
      <formula>Q14="M"</formula>
    </cfRule>
    <cfRule type="expression" priority="5" dxfId="2">
      <formula>Q14="L"</formula>
    </cfRule>
  </conditionalFormatting>
  <conditionalFormatting sqref="AA14:AA163">
    <cfRule type="expression" priority="2" dxfId="0">
      <formula>AA14="H"</formula>
    </cfRule>
    <cfRule type="expression" priority="4" dxfId="1">
      <formula>AA14="M"</formula>
    </cfRule>
    <cfRule type="expression" priority="6" dxfId="2">
      <formula>AA14="L"</formula>
    </cfRule>
  </conditionalFormatting>
  <conditionalFormatting sqref="R14:R163">
    <cfRule type="expression" priority="7" dxfId="3">
      <formula>R14="Yes"</formula>
    </cfRule>
  </conditionalFormatting>
  <conditionalFormatting sqref="P14:P163">
    <cfRule type="expression" priority="8" dxfId="4">
      <formula>AND(ISNUMBER(P14),P14&gt;=RPNThr)</formula>
    </cfRule>
  </conditionalFormatting>
  <conditionalFormatting sqref="Z14:Z163">
    <cfRule type="expression" priority="9" dxfId="4">
      <formula>AND(ISNUMBER(Z14),Z14&gt;=RPNThr)</formula>
    </cfRule>
  </conditionalFormatting>
  <dataValidations count="13">
    <dataValidation sqref="D3" showDropDown="0" showInputMessage="1" showErrorMessage="1" allowBlank="1" promptTitle="Select" prompt="Choose the system analysed on this sheet" type="list">
      <formula1>=SystemList</formula1>
    </dataValidation>
    <dataValidation sqref="B14:B163" showDropDown="0" showInputMessage="1" showErrorMessage="1" allowBlank="1" errorTitle="Not in list" error="Entry is not in the list – it will be accepted as free text." promptTitle="Select" prompt="Equipment tags of the selected system (from the Equipment Register)" type="list" errorStyle="information">
      <formula1>=OFFSET($AE$14,0,0,MAX(1,COUNTIFS(EqSys,$D$3,EqTag,"?*")),1)</formula1>
    </dataValidation>
    <dataValidation sqref="D14:D163" showDropDown="0" showInputMessage="1" showErrorMessage="1" allowBlank="1" errorTitle="Not in list" error="Entry is not in the list – it will be accepted as free text." promptTitle="Select" prompt="Components for this equipment type – or type your own" type="list" errorStyle="information">
      <formula1>=OFFSET(CompStart,MATCH($C14,CompType,0)-1,0,MAX(1,COUNTIF(CompType,$C14)),1)</formula1>
    </dataValidation>
    <dataValidation sqref="F14:F163" showDropDown="0" showInputMessage="1" showErrorMessage="1" allowBlank="1" errorTitle="Not in list" error="Entry is not in the list – it will be accepted as free text." promptTitle="Select" prompt="Failure modes for this equipment type – or type your own" type="list" errorStyle="information">
      <formula1>=OFFSET(FMStart,MATCH($C14,FMType,0)-1,0,MAX(1,COUNTIF(FMType,$C14)),1)</formula1>
    </dataValidation>
    <dataValidation sqref="G14:G163" showDropDown="0" showInputMessage="1" showErrorMessage="0" allowBlank="1" promptTitle="Multi-select" prompt="Pick a cause – each pick is added as a new line; pick again to remove." type="list">
      <formula1>=MechList</formula1>
    </dataValidation>
    <dataValidation sqref="N14:N163" showDropDown="0" showInputMessage="1" showErrorMessage="0" allowBlank="1" promptTitle="Multi-select" prompt="Pick a detection method – each pick is added as a new line; pick again to remove." type="list">
      <formula1>=DetList</formula1>
    </dataValidation>
    <dataValidation sqref="T14:T163" showDropDown="0" showInputMessage="0" showErrorMessage="1" allowBlank="1" errorTitle="Not in list" error="Entry is not in the list – it will be accepted as free text." type="list" errorStyle="information">
      <formula1>=TaskList</formula1>
    </dataValidation>
    <dataValidation sqref="K14:K163" showDropDown="0" showInputMessage="0" showErrorMessage="1" allowBlank="1" type="list">
      <formula1>=SevList</formula1>
    </dataValidation>
    <dataValidation sqref="M14:M163" showDropDown="0" showInputMessage="0" showErrorMessage="1" allowBlank="1" type="list">
      <formula1>=OccList</formula1>
    </dataValidation>
    <dataValidation sqref="O14:O163" showDropDown="0" showInputMessage="0" showErrorMessage="1" allowBlank="1" type="list">
      <formula1>=DetScaleList</formula1>
    </dataValidation>
    <dataValidation sqref="W14:W163" showDropDown="0" showInputMessage="0" showErrorMessage="1" allowBlank="1" type="list">
      <formula1>=SevList</formula1>
    </dataValidation>
    <dataValidation sqref="X14:X163" showDropDown="0" showInputMessage="0" showErrorMessage="1" allowBlank="1" type="list">
      <formula1>=OccList</formula1>
    </dataValidation>
    <dataValidation sqref="Y14:Y163" showDropDown="0" showInputMessage="0" showErrorMessage="1" allowBlank="1" type="list">
      <formula1>=DetScaleList</formula1>
    </dataValidation>
  </dataValidations>
  <pageMargins left="0.75" right="0.75" top="1" bottom="1" header="0.5" footer="0.5"/>
  <pageSetup orientation="landscape" paperSize="8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2026-10-05T19:26:17Z</dcterms:created>
  <dcterms:modified xmlns:dcterms="http://purl.org/dc/terms/" xmlns:xsi="http://www.w3.org/2001/XMLSchema-instance" xsi:type="dcterms:W3CDTF">2026-10-05T20:22:12Z</dcterms:modified>
</cp:coreProperties>
</file>