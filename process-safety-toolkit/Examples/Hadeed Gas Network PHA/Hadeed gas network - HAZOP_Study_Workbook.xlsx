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SI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Lists" sheetId="4" state="visible" r:id="rId4"/>
    <sheet xmlns:r="http://schemas.openxmlformats.org/officeDocument/2006/relationships" name="Risk Matrix" sheetId="5" state="visible" r:id="rId5"/>
    <sheet xmlns:r="http://schemas.openxmlformats.org/officeDocument/2006/relationships" name="Node 01" sheetId="6" state="visible" r:id="rId6"/>
    <sheet xmlns:r="http://schemas.openxmlformats.org/officeDocument/2006/relationships" name="Node 02" sheetId="7" state="visible" r:id="rId7"/>
    <sheet xmlns:r="http://schemas.openxmlformats.org/officeDocument/2006/relationships" name="Node 03" sheetId="8" state="visible" r:id="rId8"/>
    <sheet xmlns:r="http://schemas.openxmlformats.org/officeDocument/2006/relationships" name="Node 04" sheetId="9" state="visible" r:id="rId9"/>
    <sheet xmlns:r="http://schemas.openxmlformats.org/officeDocument/2006/relationships" name="Node 05" sheetId="10" state="visible" r:id="rId10"/>
    <sheet xmlns:r="http://schemas.openxmlformats.org/officeDocument/2006/relationships" name="Node 06" sheetId="11" state="visible" r:id="rId11"/>
    <sheet xmlns:r="http://schemas.openxmlformats.org/officeDocument/2006/relationships" name="Node 07" sheetId="12" state="visible" r:id="rId12"/>
    <sheet xmlns:r="http://schemas.openxmlformats.org/officeDocument/2006/relationships" name="Node 08" sheetId="13" state="visible" r:id="rId13"/>
    <sheet xmlns:r="http://schemas.openxmlformats.org/officeDocument/2006/relationships" name="Node 09" sheetId="14" state="visible" r:id="rId14"/>
    <sheet xmlns:r="http://schemas.openxmlformats.org/officeDocument/2006/relationships" name="Node 10" sheetId="15" state="visible" r:id="rId15"/>
  </sheets>
  <definedNames>
    <definedName name="ParamList">Lists!$A$5:$A$61</definedName>
    <definedName name="GWParam">Lists!$C$5:$C$96</definedName>
    <definedName name="GWStart">Lists!$D$5</definedName>
    <definedName name="CauseKey">Lists!$H$5:$H$833</definedName>
    <definedName name="CauseStart">Lists!$I$5</definedName>
    <definedName name="PSICategories">Lists!$N$5:$N$11</definedName>
    <definedName name="IPLList">Lists!$P$5:$P$6</definedName>
    <definedName name="NodeList">Nodes!$C$5:$C$34</definedName>
    <definedName name="RiskGrid">'Risk Matrix'!$C$5:$G$9</definedName>
    <definedName name="BandMed">'Risk Matrix'!$C$13</definedName>
    <definedName name="BandHigh">'Risk Matrix'!$C$14</definedName>
    <definedName name="BandVH">'Risk Matrix'!$C$15</definedName>
    <definedName name="SevList">'Risk Matrix'!$B$19:$B$23</definedName>
    <definedName name="LikList">'Risk Matrix'!$B$26:$B$30</definedName>
    <definedName name="_xlnm._FilterDatabase" localSheetId="1" hidden="1">'PSI'!$A$4:$J$54</definedName>
    <definedName name="_xlnm.Print_Titles" localSheetId="5">'Node 01'!$12:$13</definedName>
    <definedName name="_xlnm.Print_Titles" localSheetId="6">'Node 02'!$12:$13</definedName>
    <definedName name="_xlnm.Print_Titles" localSheetId="7">'Node 03'!$12:$13</definedName>
    <definedName name="_xlnm.Print_Titles" localSheetId="8">'Node 04'!$12:$13</definedName>
    <definedName name="_xlnm.Print_Titles" localSheetId="9">'Node 05'!$12:$13</definedName>
    <definedName name="_xlnm.Print_Titles" localSheetId="10">'Node 06'!$12:$13</definedName>
    <definedName name="_xlnm.Print_Titles" localSheetId="11">'Node 07'!$12:$13</definedName>
    <definedName name="_xlnm.Print_Titles" localSheetId="12">'Node 08'!$12:$13</definedName>
    <definedName name="_xlnm.Print_Titles" localSheetId="13">'Node 09'!$12:$13</definedName>
    <definedName name="_xlnm.Print_Titles" localSheetId="14">'Node 10'!$12:$13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color rgb="001F3864"/>
      <sz val="10"/>
    </font>
    <font>
      <name val="Arial"/>
      <b val="1"/>
      <color rgb="00000000"/>
      <sz val="12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i val="1"/>
      <color rgb="00C00000"/>
      <sz val="10"/>
    </font>
  </fonts>
  <fills count="11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8CBAD"/>
        <bgColor rgb="00F8CBAD"/>
      </patternFill>
    </fill>
    <fill>
      <patternFill patternType="solid">
        <fgColor rgb="00FF7C80"/>
        <bgColor rgb="00FF7C80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6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5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0" fillId="0" borderId="1" pivotButton="0" quotePrefix="0" xfId="0"/>
    <xf numFmtId="0" fontId="5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7C80"/>
          <bgColor rgb="00FF7C80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HAZOP</author>
  </authors>
  <commentList>
    <comment ref="C12" authorId="0" shapeId="0">
      <text>
        <t>Band thresholds are editable inputs (default for S x L matrix). Align with your company risk standard.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6" customWidth="1" min="3" max="3"/>
    <col width="26" customWidth="1" min="4" max="4"/>
    <col width="18" customWidth="1" min="5" max="5"/>
  </cols>
  <sheetData>
    <row r="1">
      <c r="A1" s="1" t="inlineStr">
        <is>
          <t>HAZOP STUDY WORKBOOK</t>
        </is>
      </c>
    </row>
    <row r="2">
      <c r="A2" s="2" t="inlineStr">
        <is>
          <t>Hazard and Operability Study – chemical, steel &amp; metals processes</t>
        </is>
      </c>
    </row>
    <row r="3"/>
    <row r="4">
      <c r="A4" s="3" t="inlineStr">
        <is>
          <t>Legend:</t>
        </is>
      </c>
      <c r="B4" s="4" t="inlineStr">
        <is>
          <t>Yellow = enter / select data</t>
        </is>
      </c>
      <c r="C4" s="5" t="inlineStr">
        <is>
          <t>Grey = formula (do not overwrite)</t>
        </is>
      </c>
      <c r="D4" s="6" t="inlineStr">
        <is>
          <t>Blue = returned from another sheet</t>
        </is>
      </c>
    </row>
    <row r="5"/>
    <row r="6">
      <c r="A6" s="7" t="inlineStr">
        <is>
          <t>STUDY DETAILS</t>
        </is>
      </c>
      <c r="B6" s="8" t="n"/>
      <c r="C6" s="8" t="n"/>
      <c r="D6" s="8" t="n"/>
      <c r="E6" s="9" t="n"/>
    </row>
    <row r="7">
      <c r="A7" s="10" t="inlineStr">
        <is>
          <t>Study title</t>
        </is>
      </c>
      <c r="B7" s="4" t="inlineStr">
        <is>
          <t>PHA / HAZOP – Natural gas distribution network (worked example)</t>
        </is>
      </c>
      <c r="C7" s="8" t="n"/>
      <c r="D7" s="8" t="n"/>
      <c r="E7" s="9" t="n"/>
    </row>
    <row r="8">
      <c r="A8" s="10" t="inlineStr">
        <is>
          <t>Company / site</t>
        </is>
      </c>
      <c r="B8" s="4" t="inlineStr">
        <is>
          <t>Hadeed – integrated DRI-EAF steel works (illustrative example)</t>
        </is>
      </c>
      <c r="C8" s="8" t="n"/>
      <c r="D8" s="8" t="n"/>
      <c r="E8" s="9" t="n"/>
    </row>
    <row r="9">
      <c r="A9" s="10" t="inlineStr">
        <is>
          <t>Plant / unit / area</t>
        </is>
      </c>
      <c r="B9" s="4" t="inlineStr">
        <is>
          <t>Utilities – natural gas receiving, pressure reduction and plant distribution</t>
        </is>
      </c>
      <c r="C9" s="8" t="n"/>
      <c r="D9" s="8" t="n"/>
      <c r="E9" s="9" t="n"/>
    </row>
    <row r="10">
      <c r="A10" s="10" t="inlineStr">
        <is>
          <t>Project / MOC reference</t>
        </is>
      </c>
      <c r="B10" s="4" t="inlineStr">
        <is>
          <t>PHA revalidation – plant natural gas network</t>
        </is>
      </c>
      <c r="C10" s="8" t="n"/>
      <c r="D10" s="8" t="n"/>
      <c r="E10" s="9" t="n"/>
    </row>
    <row r="11">
      <c r="A11" s="10" t="inlineStr">
        <is>
          <t>Study type</t>
        </is>
      </c>
      <c r="B11" s="4" t="inlineStr">
        <is>
          <t>HAZOP – revalidation</t>
        </is>
      </c>
      <c r="C11" s="8" t="n"/>
      <c r="D11" s="8" t="n"/>
      <c r="E11" s="9" t="n"/>
    </row>
    <row r="12">
      <c r="A12" s="10" t="inlineStr">
        <is>
          <t>Document number</t>
        </is>
      </c>
      <c r="B12" s="4" t="inlineStr">
        <is>
          <t>HZ-EX-GN-001</t>
        </is>
      </c>
      <c r="C12" s="8" t="n"/>
      <c r="D12" s="8" t="n"/>
      <c r="E12" s="9" t="n"/>
    </row>
    <row r="13">
      <c r="A13" s="10" t="inlineStr">
        <is>
          <t>Revision</t>
        </is>
      </c>
      <c r="B13" s="4" t="inlineStr">
        <is>
          <t>A</t>
        </is>
      </c>
      <c r="C13" s="8" t="n"/>
      <c r="D13" s="8" t="n"/>
      <c r="E13" s="9" t="n"/>
    </row>
    <row r="14">
      <c r="A14" s="10" t="inlineStr">
        <is>
          <t>Study start date</t>
        </is>
      </c>
      <c r="B14" s="4" t="inlineStr">
        <is>
          <t>2026-10-12</t>
        </is>
      </c>
      <c r="C14" s="8" t="n"/>
      <c r="D14" s="8" t="n"/>
      <c r="E14" s="9" t="n"/>
    </row>
    <row r="15">
      <c r="A15" s="10" t="inlineStr">
        <is>
          <t>Study end date</t>
        </is>
      </c>
      <c r="B15" s="4" t="inlineStr">
        <is>
          <t>2026-10-14</t>
        </is>
      </c>
      <c r="C15" s="8" t="n"/>
      <c r="D15" s="8" t="n"/>
      <c r="E15" s="9" t="n"/>
    </row>
    <row r="16">
      <c r="A16" s="10" t="inlineStr">
        <is>
          <t>Venue / platform</t>
        </is>
      </c>
      <c r="B16" s="4" t="inlineStr">
        <is>
          <t>Utilities training room</t>
        </is>
      </c>
      <c r="C16" s="8" t="n"/>
      <c r="D16" s="8" t="n"/>
      <c r="E16" s="9" t="n"/>
    </row>
    <row r="17" ht="45" customHeight="1">
      <c r="A17" s="10" t="inlineStr">
        <is>
          <t>Scope of study</t>
        </is>
      </c>
      <c r="B17" s="4" t="inlineStr">
        <is>
          <t>Natural gas from the supplier's custody-transfer battery limit through the gas receiving &amp; metering station (GRMS), gas heaters and pressure reduction station PRS-1, the 7 barg MP ring main, the district stations and fuel trains of the DRI plant (DS-2), melt shop (DS-3) and rolling-mill reheat furnace (DS-4 / fuel train), the purge / vent / blowdown facilities, and the gas detection &amp; ESD system protecting the network.</t>
        </is>
      </c>
      <c r="C17" s="8" t="n"/>
      <c r="D17" s="8" t="n"/>
      <c r="E17" s="9" t="n"/>
    </row>
    <row r="18" ht="45" customHeight="1">
      <c r="A18" s="10" t="inlineStr">
        <is>
          <t>Exclusions</t>
        </is>
      </c>
      <c r="B18" s="4" t="inlineStr">
        <is>
          <t>Supplier pipeline upstream of ESDV-1001; burner internals and combustion inside the DRI reformer (covered by the DRI plant HAZOP); oxygen plant and O2 distribution (except the NG/O2 interface at oxy-fuel burners); plant N2 generation.</t>
        </is>
      </c>
      <c r="C18" s="8" t="n"/>
      <c r="D18" s="8" t="n"/>
      <c r="E18" s="9" t="n"/>
    </row>
    <row r="19" ht="45" customHeight="1">
      <c r="A19" s="10" t="inlineStr">
        <is>
          <t>Design basis / design intent summary</t>
        </is>
      </c>
      <c r="B19" s="4" t="inlineStr">
        <is>
          <t>Receive natural gas at 35–42 barg (pipeline MAOP 50 barg), filter, meter and heat it, reduce it to 7 barg (MP header design 10 barg) and distribute it to the plant users at the pressure and quality they need, without loss of containment. All values are illustrative – confirm against the gas network design basis, P&amp;IDs and relief / SIL studies.</t>
        </is>
      </c>
      <c r="C19" s="8" t="n"/>
      <c r="D19" s="8" t="n"/>
      <c r="E19" s="9" t="n"/>
    </row>
    <row r="20">
      <c r="A20" s="10" t="inlineStr">
        <is>
          <t>Operating modes covered</t>
        </is>
      </c>
      <c r="B20" s="4" t="inlineStr">
        <is>
          <t>Normal operation, start-up / re-pressurisation after supply interruption, regulator-run change-over, pigging, purging and gas-in / gas-out for maintenance, emergency shutdown</t>
        </is>
      </c>
      <c r="C20" s="8" t="n"/>
      <c r="D20" s="8" t="n"/>
      <c r="E20" s="9" t="n"/>
    </row>
    <row r="21">
      <c r="A21" s="10" t="inlineStr">
        <is>
          <t>Facilitator</t>
        </is>
      </c>
      <c r="B21" s="4" t="inlineStr">
        <is>
          <t>A. Facilitator</t>
        </is>
      </c>
      <c r="C21" s="8" t="n"/>
      <c r="D21" s="8" t="n"/>
      <c r="E21" s="9" t="n"/>
    </row>
    <row r="22">
      <c r="A22" s="10" t="inlineStr">
        <is>
          <t>Scribe</t>
        </is>
      </c>
      <c r="B22" s="4" t="inlineStr">
        <is>
          <t>B. Scribe</t>
        </is>
      </c>
      <c r="C22" s="8" t="n"/>
      <c r="D22" s="8" t="n"/>
      <c r="E22" s="9" t="n"/>
    </row>
    <row r="23">
      <c r="A23" s="10" t="inlineStr">
        <is>
          <t>Risk matrix used</t>
        </is>
      </c>
      <c r="B23" s="4" t="inlineStr">
        <is>
          <t>5 x 5 matrix – see 'Risk Matrix' sheet</t>
        </is>
      </c>
      <c r="C23" s="8" t="n"/>
      <c r="D23" s="8" t="n"/>
      <c r="E23" s="9" t="n"/>
    </row>
    <row r="24">
      <c r="A24" s="10" t="inlineStr">
        <is>
          <t>Guideword set</t>
        </is>
      </c>
      <c r="B24" s="4" t="inlineStr">
        <is>
          <t>HAZOP Guidewords – Chemical, Steel &amp; Metals (see 'Lists' sheet)</t>
        </is>
      </c>
      <c r="C24" s="8" t="n"/>
      <c r="D24" s="8" t="n"/>
      <c r="E24" s="9" t="n"/>
    </row>
    <row r="25">
      <c r="A25" s="10" t="inlineStr">
        <is>
          <t>Number of nodes</t>
        </is>
      </c>
      <c r="B25" s="5">
        <f>COUNTA(Nodes!B5:B34)</f>
        <v/>
      </c>
      <c r="C25" s="8" t="n"/>
      <c r="D25" s="8" t="n"/>
      <c r="E25" s="9" t="n"/>
    </row>
    <row r="26"/>
    <row r="27">
      <c r="A27" s="7" t="inlineStr">
        <is>
          <t>STUDY TEAM</t>
        </is>
      </c>
      <c r="B27" s="8" t="n"/>
      <c r="C27" s="8" t="n"/>
      <c r="D27" s="8" t="n"/>
      <c r="E27" s="9" t="n"/>
    </row>
    <row r="28">
      <c r="A28" s="7" t="inlineStr">
        <is>
          <t>Name</t>
        </is>
      </c>
      <c r="B28" s="7" t="inlineStr">
        <is>
          <t>Company</t>
        </is>
      </c>
      <c r="C28" s="7" t="inlineStr">
        <is>
          <t>Discipline / role</t>
        </is>
      </c>
      <c r="D28" s="7" t="inlineStr">
        <is>
          <t>Sessions / days attended</t>
        </is>
      </c>
      <c r="E28" s="7" t="inlineStr">
        <is>
          <t>Signature</t>
        </is>
      </c>
    </row>
    <row r="29">
      <c r="A29" s="4" t="inlineStr">
        <is>
          <t>A. Facilitator</t>
        </is>
      </c>
      <c r="B29" s="4" t="inlineStr">
        <is>
          <t>Istec</t>
        </is>
      </c>
      <c r="C29" s="4" t="inlineStr">
        <is>
          <t>Facilitator</t>
        </is>
      </c>
      <c r="D29" s="4" t="inlineStr">
        <is>
          <t>Days 1–3</t>
        </is>
      </c>
      <c r="E29" s="4" t="n"/>
    </row>
    <row r="30">
      <c r="A30" s="4" t="inlineStr">
        <is>
          <t>B. Scribe</t>
        </is>
      </c>
      <c r="B30" s="4" t="inlineStr">
        <is>
          <t>Istec</t>
        </is>
      </c>
      <c r="C30" s="4" t="inlineStr">
        <is>
          <t>Scribe</t>
        </is>
      </c>
      <c r="D30" s="4" t="inlineStr">
        <is>
          <t>Days 1–3</t>
        </is>
      </c>
      <c r="E30" s="4" t="n"/>
    </row>
    <row r="31">
      <c r="A31" s="4" t="inlineStr">
        <is>
          <t>C. Gas Network</t>
        </is>
      </c>
      <c r="B31" s="4" t="inlineStr">
        <is>
          <t>Utilities</t>
        </is>
      </c>
      <c r="C31" s="4" t="inlineStr">
        <is>
          <t>Process engineer</t>
        </is>
      </c>
      <c r="D31" s="4" t="inlineStr">
        <is>
          <t>Days 1–3</t>
        </is>
      </c>
      <c r="E31" s="4" t="n"/>
    </row>
    <row r="32">
      <c r="A32" s="4" t="inlineStr">
        <is>
          <t>D. Operator</t>
        </is>
      </c>
      <c r="B32" s="4" t="inlineStr">
        <is>
          <t>Utilities</t>
        </is>
      </c>
      <c r="C32" s="4" t="inlineStr">
        <is>
          <t>Operations representative</t>
        </is>
      </c>
      <c r="D32" s="4" t="inlineStr">
        <is>
          <t>Days 1–3</t>
        </is>
      </c>
      <c r="E32" s="4" t="n"/>
    </row>
    <row r="33">
      <c r="A33" s="4" t="inlineStr">
        <is>
          <t>E. Instrument</t>
        </is>
      </c>
      <c r="B33" s="4" t="inlineStr">
        <is>
          <t>Maintenance</t>
        </is>
      </c>
      <c r="C33" s="4" t="inlineStr">
        <is>
          <t>Instrument / control engineer</t>
        </is>
      </c>
      <c r="D33" s="4" t="inlineStr">
        <is>
          <t>Days 1–3</t>
        </is>
      </c>
      <c r="E33" s="4" t="n"/>
    </row>
    <row r="34">
      <c r="A34" s="4" t="inlineStr">
        <is>
          <t>F. Mechanical</t>
        </is>
      </c>
      <c r="B34" s="4" t="inlineStr">
        <is>
          <t>Maintenance</t>
        </is>
      </c>
      <c r="C34" s="4" t="inlineStr">
        <is>
          <t>Mechanical engineer</t>
        </is>
      </c>
      <c r="D34" s="4" t="inlineStr">
        <is>
          <t>Days 1–2</t>
        </is>
      </c>
      <c r="E34" s="4" t="n"/>
    </row>
    <row r="35">
      <c r="A35" s="4" t="inlineStr">
        <is>
          <t>G. Safety</t>
        </is>
      </c>
      <c r="B35" s="4" t="inlineStr">
        <is>
          <t>HSE</t>
        </is>
      </c>
      <c r="C35" s="4" t="inlineStr">
        <is>
          <t>HSE / process safety</t>
        </is>
      </c>
      <c r="D35" s="4" t="inlineStr">
        <is>
          <t>Days 1–3</t>
        </is>
      </c>
      <c r="E35" s="4" t="n"/>
    </row>
    <row r="36">
      <c r="A36" s="4" t="inlineStr">
        <is>
          <t>H. Furnace</t>
        </is>
      </c>
      <c r="B36" s="4" t="inlineStr">
        <is>
          <t>Rolling mill</t>
        </is>
      </c>
      <c r="C36" s="4" t="inlineStr">
        <is>
          <t>Operations representative</t>
        </is>
      </c>
      <c r="D36" s="4" t="inlineStr">
        <is>
          <t>Day 3</t>
        </is>
      </c>
      <c r="E36" s="4" t="n"/>
    </row>
    <row r="37">
      <c r="A37" s="4" t="inlineStr">
        <is>
          <t>I. DRI</t>
        </is>
      </c>
      <c r="B37" s="4" t="inlineStr">
        <is>
          <t>DRI plant</t>
        </is>
      </c>
      <c r="C37" s="4" t="inlineStr">
        <is>
          <t>Process engineer</t>
        </is>
      </c>
      <c r="D37" s="4" t="inlineStr">
        <is>
          <t>Day 2</t>
        </is>
      </c>
      <c r="E37" s="4" t="n"/>
    </row>
    <row r="38">
      <c r="A38" s="4" t="n"/>
      <c r="B38" s="4" t="n"/>
      <c r="C38" s="4" t="n"/>
      <c r="D38" s="4" t="n"/>
      <c r="E38" s="4" t="n"/>
    </row>
    <row r="39">
      <c r="A39" s="4" t="n"/>
      <c r="B39" s="4" t="n"/>
      <c r="C39" s="4" t="n"/>
      <c r="D39" s="4" t="n"/>
      <c r="E39" s="4" t="n"/>
    </row>
    <row r="40">
      <c r="A40" s="4" t="n"/>
      <c r="B40" s="4" t="n"/>
      <c r="C40" s="4" t="n"/>
      <c r="D40" s="4" t="n"/>
      <c r="E40" s="4" t="n"/>
    </row>
    <row r="41"/>
    <row r="42">
      <c r="A42" s="7" t="inlineStr">
        <is>
          <t>APPROVAL</t>
        </is>
      </c>
      <c r="B42" s="8" t="n"/>
      <c r="C42" s="8" t="n"/>
      <c r="D42" s="8" t="n"/>
      <c r="E42" s="9" t="n"/>
    </row>
    <row r="43">
      <c r="A43" s="7" t="inlineStr"/>
      <c r="B43" s="7" t="inlineStr">
        <is>
          <t>Name</t>
        </is>
      </c>
      <c r="C43" s="7" t="inlineStr">
        <is>
          <t>Position</t>
        </is>
      </c>
      <c r="D43" s="7" t="inlineStr">
        <is>
          <t>Signature</t>
        </is>
      </c>
      <c r="E43" s="7" t="inlineStr">
        <is>
          <t>Date</t>
        </is>
      </c>
    </row>
    <row r="44">
      <c r="A44" s="10" t="inlineStr">
        <is>
          <t>Prepared by</t>
        </is>
      </c>
      <c r="B44" s="4" t="n"/>
      <c r="C44" s="4" t="n"/>
      <c r="D44" s="4" t="n"/>
      <c r="E44" s="4" t="n"/>
    </row>
    <row r="45">
      <c r="A45" s="10" t="inlineStr">
        <is>
          <t>Reviewed by</t>
        </is>
      </c>
      <c r="B45" s="4" t="n"/>
      <c r="C45" s="4" t="n"/>
      <c r="D45" s="4" t="n"/>
      <c r="E45" s="4" t="n"/>
    </row>
    <row r="46">
      <c r="A46" s="10" t="inlineStr">
        <is>
          <t>Approved by</t>
        </is>
      </c>
      <c r="B46" s="4" t="n"/>
      <c r="C46" s="4" t="n"/>
      <c r="D46" s="4" t="n"/>
      <c r="E46" s="4" t="n"/>
    </row>
    <row r="47"/>
    <row r="48">
      <c r="A48" s="7" t="inlineStr">
        <is>
          <t>WORKBOOK CONTENTS</t>
        </is>
      </c>
      <c r="B48" s="8" t="n"/>
      <c r="C48" s="8" t="n"/>
      <c r="D48" s="8" t="n"/>
      <c r="E48" s="9" t="n"/>
    </row>
    <row r="49">
      <c r="A49" s="11" t="inlineStr">
        <is>
          <t>Cover</t>
        </is>
      </c>
      <c r="B49" s="12" t="inlineStr">
        <is>
          <t>Study details, team, approval</t>
        </is>
      </c>
      <c r="C49" s="8" t="n"/>
      <c r="D49" s="8" t="n"/>
      <c r="E49" s="9" t="n"/>
    </row>
    <row r="50">
      <c r="A50" s="11" t="inlineStr">
        <is>
          <t>PSI</t>
        </is>
      </c>
      <c r="B50" s="12" t="inlineStr">
        <is>
          <t>Process safety information register – drawings, procedures, data used in the study</t>
        </is>
      </c>
      <c r="C50" s="8" t="n"/>
      <c r="D50" s="8" t="n"/>
      <c r="E50" s="9" t="n"/>
    </row>
    <row r="51">
      <c r="A51" s="11" t="inlineStr">
        <is>
          <t>Nodes</t>
        </is>
      </c>
      <c r="B51" s="12" t="inlineStr">
        <is>
          <t>Node list: name, drawings, battery limits, functional description, design and operating parameters</t>
        </is>
      </c>
      <c r="C51" s="8" t="n"/>
      <c r="D51" s="8" t="n"/>
      <c r="E51" s="9" t="n"/>
    </row>
    <row r="52">
      <c r="A52" s="11" t="inlineStr">
        <is>
          <t>Lists</t>
        </is>
      </c>
      <c r="B52" s="12" t="inlineStr">
        <is>
          <t>Drop-down sources: parameters, guidewords, potential causes, PSI categories (editable)</t>
        </is>
      </c>
      <c r="C52" s="8" t="n"/>
      <c r="D52" s="8" t="n"/>
      <c r="E52" s="9" t="n"/>
    </row>
    <row r="53">
      <c r="A53" s="11" t="inlineStr">
        <is>
          <t>Risk Matrix</t>
        </is>
      </c>
      <c r="B53" s="12" t="inlineStr">
        <is>
          <t>5 x 5 severity x likelihood matrix (scores 1–25), descriptors and risk bands (editable)</t>
        </is>
      </c>
      <c r="C53" s="8" t="n"/>
      <c r="D53" s="8" t="n"/>
      <c r="E53" s="9" t="n"/>
    </row>
    <row r="54">
      <c r="A54" s="11" t="inlineStr">
        <is>
          <t>Node 01 … Node 10</t>
        </is>
      </c>
      <c r="B54" s="12" t="inlineStr">
        <is>
          <t>One worksheet per node – select the node at the top; one row per cause / safeguard</t>
        </is>
      </c>
      <c r="C54" s="8" t="n"/>
      <c r="D54" s="8" t="n"/>
      <c r="E54" s="9" t="n"/>
    </row>
    <row r="55"/>
    <row r="56"/>
    <row r="57"/>
    <row r="58"/>
    <row r="59"/>
  </sheetData>
  <mergeCells count="29">
    <mergeCell ref="B9:E9"/>
    <mergeCell ref="A48:E48"/>
    <mergeCell ref="B49:E49"/>
    <mergeCell ref="B15:E15"/>
    <mergeCell ref="B24:E24"/>
    <mergeCell ref="B51:E51"/>
    <mergeCell ref="B20:E20"/>
    <mergeCell ref="A6:E6"/>
    <mergeCell ref="B50:E50"/>
    <mergeCell ref="B16:E16"/>
    <mergeCell ref="B54:E54"/>
    <mergeCell ref="B7:E7"/>
    <mergeCell ref="B25:E25"/>
    <mergeCell ref="B22:E22"/>
    <mergeCell ref="A27:E27"/>
    <mergeCell ref="B18:E18"/>
    <mergeCell ref="B12:E12"/>
    <mergeCell ref="A42:E42"/>
    <mergeCell ref="B52:E52"/>
    <mergeCell ref="B21:E21"/>
    <mergeCell ref="B11:E11"/>
    <mergeCell ref="B14:E14"/>
    <mergeCell ref="B17:E17"/>
    <mergeCell ref="B23:E23"/>
    <mergeCell ref="B8:E8"/>
    <mergeCell ref="B53:E53"/>
    <mergeCell ref="B13:E13"/>
    <mergeCell ref="B19:E19"/>
    <mergeCell ref="B10:E10"/>
  </mergeCells>
  <dataValidations count="2">
    <dataValidation sqref="B11" showDropDown="0" showInputMessage="0" showErrorMessage="1" allowBlank="1" errorTitle="Not in list" error="Entry is not in the list – it will be accepted as free text." type="list" errorStyle="information">
      <formula1>"HAZOP – new design,HAZOP – modification / MOC,HAZOP – revalidation,HAZOP – procedural / batch"</formula1>
    </dataValidation>
    <dataValidation sqref="C29:C40" showDropDown="0" showInputMessage="0" showErrorMessage="1" allowBlank="1" errorTitle="Not in list" error="Entry is not in the list – it will be accepted as free text." type="list" errorStyle="information">
      <formula1>"Facilitator,Scribe,Process engineer,Operations representative,Instrument / control engineer,Mechanical engineer,Electrical engineer,Maintenance,HSE / process safety,Vendor specialist,Metallurgist,Other"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0" customWidth="1" min="3" max="3"/>
    <col width="46" customWidth="1" min="4" max="4"/>
    <col width="9" customWidth="1" min="5" max="5"/>
    <col width="12" customWidth="1" min="6" max="6"/>
    <col width="18" customWidth="1" min="7" max="7"/>
    <col width="14" customWidth="1" min="8" max="8"/>
    <col width="16" customWidth="1" min="9" max="9"/>
    <col width="34" customWidth="1" min="10" max="10"/>
  </cols>
  <sheetData>
    <row r="1">
      <c r="A1" s="1" t="inlineStr">
        <is>
          <t>PROCESS SAFETY INFORMATION REGISTER</t>
        </is>
      </c>
    </row>
    <row r="2">
      <c r="A2" s="2" t="inlineStr">
        <is>
          <t>List every drawing, procedure and data source used by the team. Pre-filled with a typical checklist – delete or add rows as required.</t>
        </is>
      </c>
    </row>
    <row r="4">
      <c r="A4" s="7" t="inlineStr">
        <is>
          <t>Ref</t>
        </is>
      </c>
      <c r="B4" s="7" t="inlineStr">
        <is>
          <t>Category</t>
        </is>
      </c>
      <c r="C4" s="7" t="inlineStr">
        <is>
          <t>Document number</t>
        </is>
      </c>
      <c r="D4" s="7" t="inlineStr">
        <is>
          <t>Title / description</t>
        </is>
      </c>
      <c r="E4" s="7" t="inlineStr">
        <is>
          <t>Revision</t>
        </is>
      </c>
      <c r="F4" s="7" t="inlineStr">
        <is>
          <t>Date</t>
        </is>
      </c>
      <c r="G4" s="7" t="inlineStr">
        <is>
          <t>Owner / custodian</t>
        </is>
      </c>
      <c r="H4" s="7" t="inlineStr">
        <is>
          <t>Status</t>
        </is>
      </c>
      <c r="I4" s="7" t="inlineStr">
        <is>
          <t>Applicable nodes</t>
        </is>
      </c>
      <c r="J4" s="7" t="inlineStr">
        <is>
          <t>Comments</t>
        </is>
      </c>
    </row>
    <row r="5">
      <c r="A5" s="12" t="inlineStr">
        <is>
          <t>PSI-01</t>
        </is>
      </c>
      <c r="B5" s="4" t="inlineStr">
        <is>
          <t>Drawings</t>
        </is>
      </c>
      <c r="C5" s="4" t="inlineStr">
        <is>
          <t>P&amp;ID-GN-1001</t>
        </is>
      </c>
      <c r="D5" s="4" t="inlineStr">
        <is>
          <t>Gas receiving &amp; metering station (GRMS) P&amp;ID</t>
        </is>
      </c>
      <c r="E5" s="4" t="inlineStr">
        <is>
          <t>A</t>
        </is>
      </c>
      <c r="F5" s="13" t="n"/>
      <c r="G5" s="4" t="inlineStr">
        <is>
          <t>Utilities</t>
        </is>
      </c>
      <c r="H5" s="4" t="inlineStr">
        <is>
          <t>Available</t>
        </is>
      </c>
      <c r="I5" s="4" t="inlineStr">
        <is>
          <t>N01</t>
        </is>
      </c>
      <c r="J5" s="4" t="inlineStr"/>
    </row>
    <row r="6">
      <c r="A6" s="12" t="inlineStr">
        <is>
          <t>PSI-02</t>
        </is>
      </c>
      <c r="B6" s="4" t="inlineStr">
        <is>
          <t>Drawings</t>
        </is>
      </c>
      <c r="C6" s="4" t="inlineStr">
        <is>
          <t>P&amp;ID-GN-1101</t>
        </is>
      </c>
      <c r="D6" s="4" t="inlineStr">
        <is>
          <t>Gas heaters and pressure reduction station PRS-1 P&amp;ID</t>
        </is>
      </c>
      <c r="E6" s="4" t="inlineStr">
        <is>
          <t>A</t>
        </is>
      </c>
      <c r="F6" s="13" t="n"/>
      <c r="G6" s="4" t="inlineStr">
        <is>
          <t>Utilities</t>
        </is>
      </c>
      <c r="H6" s="4" t="inlineStr">
        <is>
          <t>Available</t>
        </is>
      </c>
      <c r="I6" s="4" t="inlineStr">
        <is>
          <t>N02</t>
        </is>
      </c>
      <c r="J6" s="4" t="inlineStr"/>
    </row>
    <row r="7">
      <c r="A7" s="12" t="inlineStr">
        <is>
          <t>PSI-03</t>
        </is>
      </c>
      <c r="B7" s="4" t="inlineStr">
        <is>
          <t>Drawings</t>
        </is>
      </c>
      <c r="C7" s="4" t="inlineStr">
        <is>
          <t>P&amp;ID-GN-1201/1202</t>
        </is>
      </c>
      <c r="D7" s="4" t="inlineStr">
        <is>
          <t>MP ring main and pipe-rack routing</t>
        </is>
      </c>
      <c r="E7" s="4" t="inlineStr">
        <is>
          <t>A</t>
        </is>
      </c>
      <c r="F7" s="13" t="n"/>
      <c r="G7" s="4" t="inlineStr">
        <is>
          <t>Utilities</t>
        </is>
      </c>
      <c r="H7" s="4" t="inlineStr">
        <is>
          <t>Available</t>
        </is>
      </c>
      <c r="I7" s="4" t="inlineStr">
        <is>
          <t>N03</t>
        </is>
      </c>
      <c r="J7" s="4" t="inlineStr"/>
    </row>
    <row r="8">
      <c r="A8" s="12" t="inlineStr">
        <is>
          <t>PSI-04</t>
        </is>
      </c>
      <c r="B8" s="4" t="inlineStr">
        <is>
          <t>Drawings</t>
        </is>
      </c>
      <c r="C8" s="4" t="inlineStr">
        <is>
          <t>P&amp;ID-GN-2001</t>
        </is>
      </c>
      <c r="D8" s="4" t="inlineStr">
        <is>
          <t>DRI plant district station DS-2</t>
        </is>
      </c>
      <c r="E8" s="4" t="inlineStr">
        <is>
          <t>A</t>
        </is>
      </c>
      <c r="F8" s="13" t="n"/>
      <c r="G8" s="4" t="inlineStr">
        <is>
          <t>Utilities</t>
        </is>
      </c>
      <c r="H8" s="4" t="inlineStr">
        <is>
          <t>Available</t>
        </is>
      </c>
      <c r="I8" s="4" t="inlineStr">
        <is>
          <t>N04</t>
        </is>
      </c>
      <c r="J8" s="4" t="inlineStr"/>
    </row>
    <row r="9">
      <c r="A9" s="12" t="inlineStr">
        <is>
          <t>PSI-05</t>
        </is>
      </c>
      <c r="B9" s="4" t="inlineStr">
        <is>
          <t>Drawings</t>
        </is>
      </c>
      <c r="C9" s="4" t="inlineStr">
        <is>
          <t>P&amp;ID-GN-3001</t>
        </is>
      </c>
      <c r="D9" s="4" t="inlineStr">
        <is>
          <t>Melt shop district station DS-3, oxy-fuel burners and ladle preheaters</t>
        </is>
      </c>
      <c r="E9" s="4" t="inlineStr">
        <is>
          <t>A</t>
        </is>
      </c>
      <c r="F9" s="13" t="n"/>
      <c r="G9" s="4" t="inlineStr">
        <is>
          <t>Utilities</t>
        </is>
      </c>
      <c r="H9" s="4" t="inlineStr">
        <is>
          <t>Available</t>
        </is>
      </c>
      <c r="I9" s="4" t="inlineStr">
        <is>
          <t>N05</t>
        </is>
      </c>
      <c r="J9" s="4" t="inlineStr"/>
    </row>
    <row r="10">
      <c r="A10" s="12" t="inlineStr">
        <is>
          <t>PSI-06</t>
        </is>
      </c>
      <c r="B10" s="4" t="inlineStr">
        <is>
          <t>Drawings</t>
        </is>
      </c>
      <c r="C10" s="4" t="inlineStr">
        <is>
          <t>P&amp;ID-GN-4001</t>
        </is>
      </c>
      <c r="D10" s="4" t="inlineStr">
        <is>
          <t>Rolling-mill reheat furnace fuel gas train and BMS</t>
        </is>
      </c>
      <c r="E10" s="4" t="inlineStr">
        <is>
          <t>A</t>
        </is>
      </c>
      <c r="F10" s="13" t="n"/>
      <c r="G10" s="4" t="inlineStr">
        <is>
          <t>Utilities</t>
        </is>
      </c>
      <c r="H10" s="4" t="inlineStr">
        <is>
          <t>Available</t>
        </is>
      </c>
      <c r="I10" s="4" t="inlineStr">
        <is>
          <t>N06</t>
        </is>
      </c>
      <c r="J10" s="4" t="inlineStr"/>
    </row>
    <row r="11">
      <c r="A11" s="12" t="inlineStr">
        <is>
          <t>PSI-07</t>
        </is>
      </c>
      <c r="B11" s="4" t="inlineStr">
        <is>
          <t>Drawings</t>
        </is>
      </c>
      <c r="C11" s="4" t="inlineStr">
        <is>
          <t>P&amp;ID-GN-1301</t>
        </is>
      </c>
      <c r="D11" s="4" t="inlineStr">
        <is>
          <t>Vent stack, blowdown and N2 purge connections</t>
        </is>
      </c>
      <c r="E11" s="4" t="inlineStr">
        <is>
          <t>A</t>
        </is>
      </c>
      <c r="F11" s="13" t="n"/>
      <c r="G11" s="4" t="inlineStr">
        <is>
          <t>Utilities</t>
        </is>
      </c>
      <c r="H11" s="4" t="inlineStr">
        <is>
          <t>Available</t>
        </is>
      </c>
      <c r="I11" s="4" t="inlineStr">
        <is>
          <t>N07</t>
        </is>
      </c>
      <c r="J11" s="4" t="inlineStr"/>
    </row>
    <row r="12">
      <c r="A12" s="12" t="inlineStr">
        <is>
          <t>PSI-08</t>
        </is>
      </c>
      <c r="B12" s="4" t="inlineStr">
        <is>
          <t>Drawings</t>
        </is>
      </c>
      <c r="C12" s="4" t="inlineStr">
        <is>
          <t>C&amp;E-GN-1000</t>
        </is>
      </c>
      <c r="D12" s="4" t="inlineStr">
        <is>
          <t>ESD / F&amp;G cause-and-effect charts</t>
        </is>
      </c>
      <c r="E12" s="4" t="inlineStr">
        <is>
          <t>A</t>
        </is>
      </c>
      <c r="F12" s="13" t="n"/>
      <c r="G12" s="4" t="inlineStr">
        <is>
          <t>Utilities</t>
        </is>
      </c>
      <c r="H12" s="4" t="inlineStr">
        <is>
          <t>Available</t>
        </is>
      </c>
      <c r="I12" s="4" t="inlineStr">
        <is>
          <t>N01, N02, N08</t>
        </is>
      </c>
      <c r="J12" s="4" t="inlineStr"/>
    </row>
    <row r="13">
      <c r="A13" s="12" t="inlineStr">
        <is>
          <t>PSI-09</t>
        </is>
      </c>
      <c r="B13" s="4" t="inlineStr">
        <is>
          <t>Drawings</t>
        </is>
      </c>
      <c r="C13" s="4" t="inlineStr">
        <is>
          <t>HAC-GN-001</t>
        </is>
      </c>
      <c r="D13" s="4" t="inlineStr">
        <is>
          <t>Hazardous area classification – gas network</t>
        </is>
      </c>
      <c r="E13" s="4" t="inlineStr">
        <is>
          <t>A</t>
        </is>
      </c>
      <c r="F13" s="13" t="n"/>
      <c r="G13" s="4" t="inlineStr">
        <is>
          <t>Utilities</t>
        </is>
      </c>
      <c r="H13" s="4" t="inlineStr">
        <is>
          <t>Available</t>
        </is>
      </c>
      <c r="I13" s="4" t="inlineStr">
        <is>
          <t>N01, N02, N03, N07</t>
        </is>
      </c>
      <c r="J13" s="4" t="inlineStr"/>
    </row>
    <row r="14">
      <c r="A14" s="12" t="inlineStr">
        <is>
          <t>PSI-10</t>
        </is>
      </c>
      <c r="B14" s="4" t="inlineStr">
        <is>
          <t>Process technology</t>
        </is>
      </c>
      <c r="C14" s="4" t="inlineStr">
        <is>
          <t>DB-GN-001</t>
        </is>
      </c>
      <c r="D14" s="4" t="inlineStr">
        <is>
          <t>Gas network design basis (pressures, set points, MDMT)</t>
        </is>
      </c>
      <c r="E14" s="4" t="inlineStr">
        <is>
          <t>A</t>
        </is>
      </c>
      <c r="F14" s="13" t="n"/>
      <c r="G14" s="4" t="inlineStr">
        <is>
          <t>Utilities</t>
        </is>
      </c>
      <c r="H14" s="4" t="inlineStr">
        <is>
          <t>Available</t>
        </is>
      </c>
      <c r="I14" s="4" t="inlineStr">
        <is>
          <t>N01, N02, N03</t>
        </is>
      </c>
      <c r="J14" s="4" t="inlineStr"/>
    </row>
    <row r="15">
      <c r="A15" s="12" t="inlineStr">
        <is>
          <t>PSI-11</t>
        </is>
      </c>
      <c r="B15" s="4" t="inlineStr">
        <is>
          <t>Equipment</t>
        </is>
      </c>
      <c r="C15" s="4" t="inlineStr">
        <is>
          <t>RS-GN-001</t>
        </is>
      </c>
      <c r="D15" s="4" t="inlineStr">
        <is>
          <t>Relief and overpressure protection study</t>
        </is>
      </c>
      <c r="E15" s="4" t="inlineStr">
        <is>
          <t>A</t>
        </is>
      </c>
      <c r="F15" s="13" t="n"/>
      <c r="G15" s="4" t="inlineStr">
        <is>
          <t>Utilities</t>
        </is>
      </c>
      <c r="H15" s="4" t="inlineStr">
        <is>
          <t>Available</t>
        </is>
      </c>
      <c r="I15" s="4" t="inlineStr">
        <is>
          <t>N01, N02, N07</t>
        </is>
      </c>
      <c r="J15" s="4" t="inlineStr"/>
    </row>
    <row r="16">
      <c r="A16" s="12" t="inlineStr">
        <is>
          <t>PSI-12</t>
        </is>
      </c>
      <c r="B16" s="4" t="inlineStr">
        <is>
          <t>Equipment</t>
        </is>
      </c>
      <c r="C16" s="4" t="inlineStr">
        <is>
          <t>SRS-GN-001</t>
        </is>
      </c>
      <c r="D16" s="4" t="inlineStr">
        <is>
          <t>Safety requirements specification – gas ESD and furnace BMS</t>
        </is>
      </c>
      <c r="E16" s="4" t="inlineStr">
        <is>
          <t>A</t>
        </is>
      </c>
      <c r="F16" s="13" t="n"/>
      <c r="G16" s="4" t="inlineStr">
        <is>
          <t>Utilities</t>
        </is>
      </c>
      <c r="H16" s="4" t="inlineStr">
        <is>
          <t>Available</t>
        </is>
      </c>
      <c r="I16" s="4" t="inlineStr">
        <is>
          <t>N06, N08</t>
        </is>
      </c>
      <c r="J16" s="4" t="inlineStr"/>
    </row>
    <row r="17">
      <c r="A17" s="12" t="inlineStr">
        <is>
          <t>PSI-13</t>
        </is>
      </c>
      <c r="B17" s="4" t="inlineStr">
        <is>
          <t>Hazardous materials</t>
        </is>
      </c>
      <c r="C17" s="4" t="inlineStr">
        <is>
          <t>SDS-NG-001</t>
        </is>
      </c>
      <c r="D17" s="4" t="inlineStr">
        <is>
          <t>Natural gas safety data sheet; gas supply quality specification</t>
        </is>
      </c>
      <c r="E17" s="4" t="inlineStr">
        <is>
          <t>A</t>
        </is>
      </c>
      <c r="F17" s="13" t="n"/>
      <c r="G17" s="4" t="inlineStr">
        <is>
          <t>Utilities</t>
        </is>
      </c>
      <c r="H17" s="4" t="inlineStr">
        <is>
          <t>Available</t>
        </is>
      </c>
      <c r="I17" s="4" t="inlineStr">
        <is>
          <t>N01</t>
        </is>
      </c>
      <c r="J17" s="4" t="inlineStr"/>
    </row>
    <row r="18">
      <c r="A18" s="12" t="inlineStr">
        <is>
          <t>PSI-14</t>
        </is>
      </c>
      <c r="B18" s="4" t="inlineStr">
        <is>
          <t>Procedures</t>
        </is>
      </c>
      <c r="C18" s="4" t="inlineStr">
        <is>
          <t>OP-GN-010</t>
        </is>
      </c>
      <c r="D18" s="4" t="inlineStr">
        <is>
          <t>Pigging procedure (pig receiver PR-1001)</t>
        </is>
      </c>
      <c r="E18" s="4" t="inlineStr">
        <is>
          <t>A</t>
        </is>
      </c>
      <c r="F18" s="13" t="n"/>
      <c r="G18" s="4" t="inlineStr">
        <is>
          <t>Utilities</t>
        </is>
      </c>
      <c r="H18" s="4" t="inlineStr">
        <is>
          <t>Available</t>
        </is>
      </c>
      <c r="I18" s="4" t="inlineStr">
        <is>
          <t>N01, N07</t>
        </is>
      </c>
      <c r="J18" s="4" t="inlineStr"/>
    </row>
    <row r="19">
      <c r="A19" s="12" t="inlineStr">
        <is>
          <t>PSI-15</t>
        </is>
      </c>
      <c r="B19" s="4" t="inlineStr">
        <is>
          <t>Procedures</t>
        </is>
      </c>
      <c r="C19" s="4" t="inlineStr">
        <is>
          <t>OP-GN-020</t>
        </is>
      </c>
      <c r="D19" s="4" t="inlineStr">
        <is>
          <t>Purging and gas-in / gas-out procedure</t>
        </is>
      </c>
      <c r="E19" s="4" t="inlineStr">
        <is>
          <t>A</t>
        </is>
      </c>
      <c r="F19" s="13" t="n"/>
      <c r="G19" s="4" t="inlineStr">
        <is>
          <t>Utilities</t>
        </is>
      </c>
      <c r="H19" s="4" t="inlineStr">
        <is>
          <t>Available</t>
        </is>
      </c>
      <c r="I19" s="4" t="inlineStr">
        <is>
          <t>N03, N07</t>
        </is>
      </c>
      <c r="J19" s="4" t="inlineStr"/>
    </row>
    <row r="20">
      <c r="A20" s="12" t="inlineStr">
        <is>
          <t>PSI-16</t>
        </is>
      </c>
      <c r="B20" s="4" t="inlineStr">
        <is>
          <t>Procedures</t>
        </is>
      </c>
      <c r="C20" s="4" t="inlineStr">
        <is>
          <t>OP-RM-040</t>
        </is>
      </c>
      <c r="D20" s="4" t="inlineStr">
        <is>
          <t>Reheat furnace light-off and shutdown procedure</t>
        </is>
      </c>
      <c r="E20" s="4" t="inlineStr">
        <is>
          <t>A</t>
        </is>
      </c>
      <c r="F20" s="13" t="n"/>
      <c r="G20" s="4" t="inlineStr">
        <is>
          <t>Utilities</t>
        </is>
      </c>
      <c r="H20" s="4" t="inlineStr">
        <is>
          <t>Available</t>
        </is>
      </c>
      <c r="I20" s="4" t="inlineStr">
        <is>
          <t>N06</t>
        </is>
      </c>
      <c r="J20" s="4" t="inlineStr"/>
    </row>
    <row r="21">
      <c r="A21" s="12" t="inlineStr">
        <is>
          <t>PSI-17</t>
        </is>
      </c>
      <c r="B21" s="4" t="inlineStr">
        <is>
          <t>Previous studies</t>
        </is>
      </c>
      <c r="C21" s="4" t="inlineStr">
        <is>
          <t>HZ-GN-2019</t>
        </is>
      </c>
      <c r="D21" s="4" t="inlineStr">
        <is>
          <t>Previous gas network HAZOP (2019) and close-out status</t>
        </is>
      </c>
      <c r="E21" s="4" t="inlineStr">
        <is>
          <t>A</t>
        </is>
      </c>
      <c r="F21" s="13" t="n"/>
      <c r="G21" s="4" t="inlineStr">
        <is>
          <t>Utilities</t>
        </is>
      </c>
      <c r="H21" s="4" t="inlineStr">
        <is>
          <t>Available</t>
        </is>
      </c>
      <c r="I21" s="4" t="inlineStr">
        <is>
          <t>N01, N02, N03</t>
        </is>
      </c>
      <c r="J21" s="4" t="inlineStr"/>
    </row>
    <row r="22">
      <c r="A22" s="12" t="inlineStr">
        <is>
          <t>PSI-18</t>
        </is>
      </c>
      <c r="B22" s="4" t="inlineStr">
        <is>
          <t>Previous studies</t>
        </is>
      </c>
      <c r="C22" s="4" t="inlineStr">
        <is>
          <t>INC-GN-LOG</t>
        </is>
      </c>
      <c r="D22" s="4" t="inlineStr">
        <is>
          <t>Gas incident / near-miss log (last 5 years)</t>
        </is>
      </c>
      <c r="E22" s="4" t="inlineStr">
        <is>
          <t>A</t>
        </is>
      </c>
      <c r="F22" s="13" t="n"/>
      <c r="G22" s="4" t="inlineStr">
        <is>
          <t>Utilities</t>
        </is>
      </c>
      <c r="H22" s="4" t="inlineStr">
        <is>
          <t>Available</t>
        </is>
      </c>
      <c r="I22" s="4" t="inlineStr">
        <is>
          <t>N03, N05, N06</t>
        </is>
      </c>
      <c r="J22" s="4" t="inlineStr"/>
    </row>
    <row r="23">
      <c r="A23" s="12" t="inlineStr">
        <is>
          <t>PSI-19</t>
        </is>
      </c>
      <c r="B23" s="4" t="n"/>
      <c r="C23" s="4" t="n"/>
      <c r="D23" s="4" t="n"/>
      <c r="E23" s="4" t="n"/>
      <c r="F23" s="13" t="n"/>
      <c r="G23" s="4" t="n"/>
      <c r="H23" s="4" t="n"/>
      <c r="I23" s="4" t="n"/>
      <c r="J23" s="4" t="n"/>
    </row>
    <row r="24">
      <c r="A24" s="12" t="inlineStr">
        <is>
          <t>PSI-20</t>
        </is>
      </c>
      <c r="B24" s="4" t="n"/>
      <c r="C24" s="4" t="n"/>
      <c r="D24" s="4" t="n"/>
      <c r="E24" s="4" t="n"/>
      <c r="F24" s="13" t="n"/>
      <c r="G24" s="4" t="n"/>
      <c r="H24" s="4" t="n"/>
      <c r="I24" s="4" t="n"/>
      <c r="J24" s="4" t="n"/>
    </row>
    <row r="25">
      <c r="A25" s="12" t="inlineStr">
        <is>
          <t>PSI-21</t>
        </is>
      </c>
      <c r="B25" s="4" t="n"/>
      <c r="C25" s="4" t="n"/>
      <c r="D25" s="4" t="n"/>
      <c r="E25" s="4" t="n"/>
      <c r="F25" s="13" t="n"/>
      <c r="G25" s="4" t="n"/>
      <c r="H25" s="4" t="n"/>
      <c r="I25" s="4" t="n"/>
      <c r="J25" s="4" t="n"/>
    </row>
    <row r="26">
      <c r="A26" s="12" t="inlineStr">
        <is>
          <t>PSI-22</t>
        </is>
      </c>
      <c r="B26" s="4" t="n"/>
      <c r="C26" s="4" t="n"/>
      <c r="D26" s="4" t="n"/>
      <c r="E26" s="4" t="n"/>
      <c r="F26" s="13" t="n"/>
      <c r="G26" s="4" t="n"/>
      <c r="H26" s="4" t="n"/>
      <c r="I26" s="4" t="n"/>
      <c r="J26" s="4" t="n"/>
    </row>
    <row r="27">
      <c r="A27" s="12" t="inlineStr">
        <is>
          <t>PSI-23</t>
        </is>
      </c>
      <c r="B27" s="4" t="n"/>
      <c r="C27" s="4" t="n"/>
      <c r="D27" s="4" t="n"/>
      <c r="E27" s="4" t="n"/>
      <c r="F27" s="13" t="n"/>
      <c r="G27" s="4" t="n"/>
      <c r="H27" s="4" t="n"/>
      <c r="I27" s="4" t="n"/>
      <c r="J27" s="4" t="n"/>
    </row>
    <row r="28">
      <c r="A28" s="12" t="inlineStr">
        <is>
          <t>PSI-24</t>
        </is>
      </c>
      <c r="B28" s="4" t="n"/>
      <c r="C28" s="4" t="n"/>
      <c r="D28" s="4" t="n"/>
      <c r="E28" s="4" t="n"/>
      <c r="F28" s="13" t="n"/>
      <c r="G28" s="4" t="n"/>
      <c r="H28" s="4" t="n"/>
      <c r="I28" s="4" t="n"/>
      <c r="J28" s="4" t="n"/>
    </row>
    <row r="29">
      <c r="A29" s="12" t="inlineStr">
        <is>
          <t>PSI-25</t>
        </is>
      </c>
      <c r="B29" s="4" t="n"/>
      <c r="C29" s="4" t="n"/>
      <c r="D29" s="4" t="n"/>
      <c r="E29" s="4" t="n"/>
      <c r="F29" s="13" t="n"/>
      <c r="G29" s="4" t="n"/>
      <c r="H29" s="4" t="n"/>
      <c r="I29" s="4" t="n"/>
      <c r="J29" s="4" t="n"/>
    </row>
    <row r="30">
      <c r="A30" s="12" t="inlineStr">
        <is>
          <t>PSI-26</t>
        </is>
      </c>
      <c r="B30" s="4" t="n"/>
      <c r="C30" s="4" t="n"/>
      <c r="D30" s="4" t="n"/>
      <c r="E30" s="4" t="n"/>
      <c r="F30" s="13" t="n"/>
      <c r="G30" s="4" t="n"/>
      <c r="H30" s="4" t="n"/>
      <c r="I30" s="4" t="n"/>
      <c r="J30" s="4" t="n"/>
    </row>
    <row r="31">
      <c r="A31" s="12" t="inlineStr">
        <is>
          <t>PSI-27</t>
        </is>
      </c>
      <c r="B31" s="4" t="n"/>
      <c r="C31" s="4" t="n"/>
      <c r="D31" s="4" t="n"/>
      <c r="E31" s="4" t="n"/>
      <c r="F31" s="13" t="n"/>
      <c r="G31" s="4" t="n"/>
      <c r="H31" s="4" t="n"/>
      <c r="I31" s="4" t="n"/>
      <c r="J31" s="4" t="n"/>
    </row>
    <row r="32">
      <c r="A32" s="12" t="inlineStr">
        <is>
          <t>PSI-28</t>
        </is>
      </c>
      <c r="B32" s="4" t="n"/>
      <c r="C32" s="4" t="n"/>
      <c r="D32" s="4" t="n"/>
      <c r="E32" s="4" t="n"/>
      <c r="F32" s="13" t="n"/>
      <c r="G32" s="4" t="n"/>
      <c r="H32" s="4" t="n"/>
      <c r="I32" s="4" t="n"/>
      <c r="J32" s="4" t="n"/>
    </row>
    <row r="33">
      <c r="A33" s="12" t="inlineStr">
        <is>
          <t>PSI-29</t>
        </is>
      </c>
      <c r="B33" s="4" t="n"/>
      <c r="C33" s="4" t="n"/>
      <c r="D33" s="4" t="n"/>
      <c r="E33" s="4" t="n"/>
      <c r="F33" s="13" t="n"/>
      <c r="G33" s="4" t="n"/>
      <c r="H33" s="4" t="n"/>
      <c r="I33" s="4" t="n"/>
      <c r="J33" s="4" t="n"/>
    </row>
    <row r="34">
      <c r="A34" s="12" t="inlineStr">
        <is>
          <t>PSI-30</t>
        </is>
      </c>
      <c r="B34" s="4" t="n"/>
      <c r="C34" s="4" t="n"/>
      <c r="D34" s="4" t="n"/>
      <c r="E34" s="4" t="n"/>
      <c r="F34" s="13" t="n"/>
      <c r="G34" s="4" t="n"/>
      <c r="H34" s="4" t="n"/>
      <c r="I34" s="4" t="n"/>
      <c r="J34" s="4" t="n"/>
    </row>
    <row r="35">
      <c r="A35" s="12" t="inlineStr">
        <is>
          <t>PSI-31</t>
        </is>
      </c>
      <c r="B35" s="4" t="n"/>
      <c r="C35" s="4" t="n"/>
      <c r="D35" s="4" t="n"/>
      <c r="E35" s="4" t="n"/>
      <c r="F35" s="13" t="n"/>
      <c r="G35" s="4" t="n"/>
      <c r="H35" s="4" t="n"/>
      <c r="I35" s="4" t="n"/>
      <c r="J35" s="4" t="n"/>
    </row>
    <row r="36">
      <c r="A36" s="12" t="inlineStr">
        <is>
          <t>PSI-32</t>
        </is>
      </c>
      <c r="B36" s="4" t="n"/>
      <c r="C36" s="4" t="n"/>
      <c r="D36" s="4" t="n"/>
      <c r="E36" s="4" t="n"/>
      <c r="F36" s="13" t="n"/>
      <c r="G36" s="4" t="n"/>
      <c r="H36" s="4" t="n"/>
      <c r="I36" s="4" t="n"/>
      <c r="J36" s="4" t="n"/>
    </row>
    <row r="37">
      <c r="A37" s="12" t="inlineStr">
        <is>
          <t>PSI-33</t>
        </is>
      </c>
      <c r="B37" s="4" t="n"/>
      <c r="C37" s="4" t="n"/>
      <c r="D37" s="4" t="n"/>
      <c r="E37" s="4" t="n"/>
      <c r="F37" s="13" t="n"/>
      <c r="G37" s="4" t="n"/>
      <c r="H37" s="4" t="n"/>
      <c r="I37" s="4" t="n"/>
      <c r="J37" s="4" t="n"/>
    </row>
    <row r="38">
      <c r="A38" s="12" t="inlineStr">
        <is>
          <t>PSI-34</t>
        </is>
      </c>
      <c r="B38" s="4" t="n"/>
      <c r="C38" s="4" t="n"/>
      <c r="D38" s="4" t="n"/>
      <c r="E38" s="4" t="n"/>
      <c r="F38" s="13" t="n"/>
      <c r="G38" s="4" t="n"/>
      <c r="H38" s="4" t="n"/>
      <c r="I38" s="4" t="n"/>
      <c r="J38" s="4" t="n"/>
    </row>
    <row r="39">
      <c r="A39" s="12" t="inlineStr">
        <is>
          <t>PSI-35</t>
        </is>
      </c>
      <c r="B39" s="4" t="n"/>
      <c r="C39" s="4" t="n"/>
      <c r="D39" s="4" t="n"/>
      <c r="E39" s="4" t="n"/>
      <c r="F39" s="13" t="n"/>
      <c r="G39" s="4" t="n"/>
      <c r="H39" s="4" t="n"/>
      <c r="I39" s="4" t="n"/>
      <c r="J39" s="4" t="n"/>
    </row>
    <row r="40">
      <c r="A40" s="12" t="inlineStr">
        <is>
          <t>PSI-36</t>
        </is>
      </c>
      <c r="B40" s="4" t="n"/>
      <c r="C40" s="4" t="n"/>
      <c r="D40" s="4" t="n"/>
      <c r="E40" s="4" t="n"/>
      <c r="F40" s="13" t="n"/>
      <c r="G40" s="4" t="n"/>
      <c r="H40" s="4" t="n"/>
      <c r="I40" s="4" t="n"/>
      <c r="J40" s="4" t="n"/>
    </row>
    <row r="41">
      <c r="A41" s="12" t="inlineStr">
        <is>
          <t>PSI-37</t>
        </is>
      </c>
      <c r="B41" s="4" t="n"/>
      <c r="C41" s="4" t="n"/>
      <c r="D41" s="4" t="n"/>
      <c r="E41" s="4" t="n"/>
      <c r="F41" s="13" t="n"/>
      <c r="G41" s="4" t="n"/>
      <c r="H41" s="4" t="n"/>
      <c r="I41" s="4" t="n"/>
      <c r="J41" s="4" t="n"/>
    </row>
    <row r="42">
      <c r="A42" s="12" t="inlineStr">
        <is>
          <t>PSI-38</t>
        </is>
      </c>
      <c r="B42" s="4" t="n"/>
      <c r="C42" s="4" t="n"/>
      <c r="D42" s="4" t="n"/>
      <c r="E42" s="4" t="n"/>
      <c r="F42" s="13" t="n"/>
      <c r="G42" s="4" t="n"/>
      <c r="H42" s="4" t="n"/>
      <c r="I42" s="4" t="n"/>
      <c r="J42" s="4" t="n"/>
    </row>
    <row r="43">
      <c r="A43" s="12" t="inlineStr">
        <is>
          <t>PSI-39</t>
        </is>
      </c>
      <c r="B43" s="4" t="n"/>
      <c r="C43" s="4" t="n"/>
      <c r="D43" s="4" t="n"/>
      <c r="E43" s="4" t="n"/>
      <c r="F43" s="13" t="n"/>
      <c r="G43" s="4" t="n"/>
      <c r="H43" s="4" t="n"/>
      <c r="I43" s="4" t="n"/>
      <c r="J43" s="4" t="n"/>
    </row>
    <row r="44">
      <c r="A44" s="12" t="inlineStr">
        <is>
          <t>PSI-40</t>
        </is>
      </c>
      <c r="B44" s="4" t="n"/>
      <c r="C44" s="4" t="n"/>
      <c r="D44" s="4" t="n"/>
      <c r="E44" s="4" t="n"/>
      <c r="F44" s="13" t="n"/>
      <c r="G44" s="4" t="n"/>
      <c r="H44" s="4" t="n"/>
      <c r="I44" s="4" t="n"/>
      <c r="J44" s="4" t="n"/>
    </row>
    <row r="45">
      <c r="A45" s="12" t="inlineStr">
        <is>
          <t>PSI-41</t>
        </is>
      </c>
      <c r="B45" s="4" t="n"/>
      <c r="C45" s="4" t="n"/>
      <c r="D45" s="4" t="n"/>
      <c r="E45" s="4" t="n"/>
      <c r="F45" s="13" t="n"/>
      <c r="G45" s="4" t="n"/>
      <c r="H45" s="4" t="n"/>
      <c r="I45" s="4" t="n"/>
      <c r="J45" s="4" t="n"/>
    </row>
    <row r="46">
      <c r="A46" s="12" t="inlineStr">
        <is>
          <t>PSI-42</t>
        </is>
      </c>
      <c r="B46" s="4" t="n"/>
      <c r="C46" s="4" t="n"/>
      <c r="D46" s="4" t="n"/>
      <c r="E46" s="4" t="n"/>
      <c r="F46" s="13" t="n"/>
      <c r="G46" s="4" t="n"/>
      <c r="H46" s="4" t="n"/>
      <c r="I46" s="4" t="n"/>
      <c r="J46" s="4" t="n"/>
    </row>
    <row r="47">
      <c r="A47" s="12" t="inlineStr">
        <is>
          <t>PSI-43</t>
        </is>
      </c>
      <c r="B47" s="4" t="n"/>
      <c r="C47" s="4" t="n"/>
      <c r="D47" s="4" t="n"/>
      <c r="E47" s="4" t="n"/>
      <c r="F47" s="13" t="n"/>
      <c r="G47" s="4" t="n"/>
      <c r="H47" s="4" t="n"/>
      <c r="I47" s="4" t="n"/>
      <c r="J47" s="4" t="n"/>
    </row>
    <row r="48">
      <c r="A48" s="12" t="inlineStr">
        <is>
          <t>PSI-44</t>
        </is>
      </c>
      <c r="B48" s="4" t="n"/>
      <c r="C48" s="4" t="n"/>
      <c r="D48" s="4" t="n"/>
      <c r="E48" s="4" t="n"/>
      <c r="F48" s="13" t="n"/>
      <c r="G48" s="4" t="n"/>
      <c r="H48" s="4" t="n"/>
      <c r="I48" s="4" t="n"/>
      <c r="J48" s="4" t="n"/>
    </row>
    <row r="49">
      <c r="A49" s="12" t="inlineStr">
        <is>
          <t>PSI-45</t>
        </is>
      </c>
      <c r="B49" s="4" t="n"/>
      <c r="C49" s="4" t="n"/>
      <c r="D49" s="4" t="n"/>
      <c r="E49" s="4" t="n"/>
      <c r="F49" s="13" t="n"/>
      <c r="G49" s="4" t="n"/>
      <c r="H49" s="4" t="n"/>
      <c r="I49" s="4" t="n"/>
      <c r="J49" s="4" t="n"/>
    </row>
    <row r="50">
      <c r="A50" s="12" t="inlineStr">
        <is>
          <t>PSI-46</t>
        </is>
      </c>
      <c r="B50" s="4" t="n"/>
      <c r="C50" s="4" t="n"/>
      <c r="D50" s="4" t="n"/>
      <c r="E50" s="4" t="n"/>
      <c r="F50" s="13" t="n"/>
      <c r="G50" s="4" t="n"/>
      <c r="H50" s="4" t="n"/>
      <c r="I50" s="4" t="n"/>
      <c r="J50" s="4" t="n"/>
    </row>
    <row r="51">
      <c r="A51" s="12" t="inlineStr">
        <is>
          <t>PSI-47</t>
        </is>
      </c>
      <c r="B51" s="4" t="n"/>
      <c r="C51" s="4" t="n"/>
      <c r="D51" s="4" t="n"/>
      <c r="E51" s="4" t="n"/>
      <c r="F51" s="13" t="n"/>
      <c r="G51" s="4" t="n"/>
      <c r="H51" s="4" t="n"/>
      <c r="I51" s="4" t="n"/>
      <c r="J51" s="4" t="n"/>
    </row>
    <row r="52">
      <c r="A52" s="12" t="inlineStr">
        <is>
          <t>PSI-48</t>
        </is>
      </c>
      <c r="B52" s="4" t="n"/>
      <c r="C52" s="4" t="n"/>
      <c r="D52" s="4" t="n"/>
      <c r="E52" s="4" t="n"/>
      <c r="F52" s="13" t="n"/>
      <c r="G52" s="4" t="n"/>
      <c r="H52" s="4" t="n"/>
      <c r="I52" s="4" t="n"/>
      <c r="J52" s="4" t="n"/>
    </row>
    <row r="53">
      <c r="A53" s="12" t="inlineStr">
        <is>
          <t>PSI-49</t>
        </is>
      </c>
      <c r="B53" s="4" t="n"/>
      <c r="C53" s="4" t="n"/>
      <c r="D53" s="4" t="n"/>
      <c r="E53" s="4" t="n"/>
      <c r="F53" s="13" t="n"/>
      <c r="G53" s="4" t="n"/>
      <c r="H53" s="4" t="n"/>
      <c r="I53" s="4" t="n"/>
      <c r="J53" s="4" t="n"/>
    </row>
    <row r="54">
      <c r="A54" s="12" t="inlineStr">
        <is>
          <t>PSI-50</t>
        </is>
      </c>
      <c r="B54" s="4" t="n"/>
      <c r="C54" s="4" t="n"/>
      <c r="D54" s="4" t="n"/>
      <c r="E54" s="4" t="n"/>
      <c r="F54" s="13" t="n"/>
      <c r="G54" s="4" t="n"/>
      <c r="H54" s="4" t="n"/>
      <c r="I54" s="4" t="n"/>
      <c r="J54" s="4" t="n"/>
    </row>
  </sheetData>
  <autoFilter ref="A4:J54"/>
  <dataValidations count="2">
    <dataValidation sqref="B5:B54" showDropDown="0" showInputMessage="0" showErrorMessage="1" allowBlank="1" errorTitle="Not in list" error="Entry is not in the list – it will be accepted as free text." type="list" errorStyle="information">
      <formula1>=PSICategories</formula1>
    </dataValidation>
    <dataValidation sqref="H5:H54" showDropDown="0" showInputMessage="0" showErrorMessage="1" allowBlank="1" type="list">
      <formula1>"Available,Outstanding,Superseded,Not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34" customWidth="1" min="3" max="3"/>
    <col width="20" customWidth="1" min="4" max="4"/>
    <col width="34" customWidth="1" min="5" max="5"/>
    <col width="48" customWidth="1" min="6" max="6"/>
    <col width="34" customWidth="1" min="7" max="7"/>
    <col width="34" customWidth="1" min="8" max="8"/>
    <col width="24" customWidth="1" min="9" max="9"/>
  </cols>
  <sheetData>
    <row r="1">
      <c r="A1" s="1" t="inlineStr">
        <is>
          <t>NODE LIST</t>
        </is>
      </c>
    </row>
    <row r="2">
      <c r="A2" s="2" t="inlineStr">
        <is>
          <t>One row per node. Node title (column C) feeds the drop-down at the top of each node worksheet.</t>
        </is>
      </c>
    </row>
    <row r="4">
      <c r="A4" s="7" t="inlineStr">
        <is>
          <t>Node No.</t>
        </is>
      </c>
      <c r="B4" s="7" t="inlineStr">
        <is>
          <t>Node name</t>
        </is>
      </c>
      <c r="C4" s="7" t="inlineStr">
        <is>
          <t>Node title (auto)</t>
        </is>
      </c>
      <c r="D4" s="7" t="inlineStr">
        <is>
          <t>P&amp;IDs / drawings</t>
        </is>
      </c>
      <c r="E4" s="7" t="inlineStr">
        <is>
          <t>Battery limits (from – to)</t>
        </is>
      </c>
      <c r="F4" s="7" t="inlineStr">
        <is>
          <t>Functional description / design intent</t>
        </is>
      </c>
      <c r="G4" s="7" t="inlineStr">
        <is>
          <t>Design parameters</t>
        </is>
      </c>
      <c r="H4" s="7" t="inlineStr">
        <is>
          <t>Operating parameters</t>
        </is>
      </c>
      <c r="I4" s="7" t="inlineStr">
        <is>
          <t>Comments</t>
        </is>
      </c>
    </row>
    <row r="5" ht="45" customHeight="1">
      <c r="A5" s="11" t="inlineStr">
        <is>
          <t>N01</t>
        </is>
      </c>
      <c r="B5" s="4" t="inlineStr">
        <is>
          <t>Gas receiving &amp; metering station (GRMS)</t>
        </is>
      </c>
      <c r="C5" s="5">
        <f>IF(B5="","",A5&amp;" – "&amp;B5)</f>
        <v/>
      </c>
      <c r="D5" s="4" t="inlineStr">
        <is>
          <t>P&amp;ID-GN-1001</t>
        </is>
      </c>
      <c r="E5" s="4" t="inlineStr">
        <is>
          <t>From the supplier battery-limit insulating joint IJ-1001 through inlet ESD valve ESDV-1001, pig receiver PR-1001, filter-separators F-1002A/B and ultrasonic meter runs FT-1003A/B to the inlet of the gas heaters</t>
        </is>
      </c>
      <c r="F5" s="4" t="inlineStr">
        <is>
          <t>Receive natural gas from the supplier's pipeline, remove liquids and solids and meter it for custody transfer</t>
        </is>
      </c>
      <c r="G5" s="4" t="inlineStr">
        <is>
          <t>Design 50 barg / -10 to 60 °C (= pipeline MAOP); 2 x 100 % filter-separators; 2 x 100 % meter runs</t>
        </is>
      </c>
      <c r="H5" s="4" t="inlineStr">
        <is>
          <t>35–42 barg; 20–35 °C; up to 120 000 Sm3/h</t>
        </is>
      </c>
      <c r="I5" s="14" t="inlineStr">
        <is>
          <t>Materials: Natural gas (methane &gt; 90 %, extremely flammable, asphyxiant); traces of H2S, condensate, black powder</t>
        </is>
      </c>
    </row>
    <row r="6" ht="45" customHeight="1">
      <c r="A6" s="11" t="inlineStr">
        <is>
          <t>N02</t>
        </is>
      </c>
      <c r="B6" s="4" t="inlineStr">
        <is>
          <t>Gas heaters H-1101A/B and pressure reduction station PRS-1</t>
        </is>
      </c>
      <c r="C6" s="5">
        <f>IF(B6="","",A6&amp;" – "&amp;B6)</f>
        <v/>
      </c>
      <c r="D6" s="4" t="inlineStr">
        <is>
          <t>P&amp;ID-GN-1101</t>
        </is>
      </c>
      <c r="E6" s="4" t="inlineStr">
        <is>
          <t>From the heater inlet through water-bath heaters H-1101A/B and regulator runs A/B (slam-shut SSV-1102, monitor PCV-1103, active PCV-1104) to outlet ESD valve ESDV-1107, incl. token relief PSV-1105</t>
        </is>
      </c>
      <c r="F6" s="4" t="inlineStr">
        <is>
          <t>Pre-heat the gas to offset Joule–Thomson cooling (~0.5 °C per bar) and reduce it from 35–42 barg to 7 barg without exceeding the MP design pressure</t>
        </is>
      </c>
      <c r="G6" s="4" t="inlineStr">
        <is>
          <t>Inlet 50 barg; outlet piping 10 barg design; set points: active 7.0, monitor 7.5, SSV OPSO 8.5, PSV-1105 9.0 barg; outlet temperature ≥ 5 °C</t>
        </is>
      </c>
      <c r="H6" s="4" t="inlineStr">
        <is>
          <t>Outlet 6.8–7.2 barg; heater outlet 30–40 °C upstream of the regulators; run A duty / run B standby (set 0.3 bar lower)</t>
        </is>
      </c>
      <c r="I6" s="4" t="inlineStr">
        <is>
          <t>Materials: Natural gas; hot water / glycol bath; heater flue gases</t>
        </is>
      </c>
    </row>
    <row r="7" ht="45" customHeight="1">
      <c r="A7" s="11" t="inlineStr">
        <is>
          <t>N03</t>
        </is>
      </c>
      <c r="B7" s="4" t="inlineStr">
        <is>
          <t>MP ring main (7 barg) and pipe racks</t>
        </is>
      </c>
      <c r="C7" s="5">
        <f>IF(B7="","",A7&amp;" – "&amp;B7)</f>
        <v/>
      </c>
      <c r="D7" s="4" t="inlineStr">
        <is>
          <t>P&amp;ID-GN-1201/1202</t>
        </is>
      </c>
      <c r="E7" s="4" t="inlineStr">
        <is>
          <t>From ESDV-1107 around the plant ring main (24") with sectionalising valves XV-1201…1204 to the inlet isolation of each district station (DS-2, DS-3, DS-4); buried road crossings with cathodic protection CP-1200</t>
        </is>
      </c>
      <c r="F7" s="4" t="inlineStr">
        <is>
          <t>Distribute 7 barg gas to all plant users with sectional isolation and without loss of containment</t>
        </is>
      </c>
      <c r="G7" s="4" t="inlineStr">
        <is>
          <t>Design 10 barg; API 5L carbon steel; buried sections coated + impressed-current CP</t>
        </is>
      </c>
      <c r="H7" s="4" t="inlineStr">
        <is>
          <t>6.8–7.2 barg; ambient temperature</t>
        </is>
      </c>
      <c r="I7" s="4" t="inlineStr">
        <is>
          <t>Materials: Natural gas</t>
        </is>
      </c>
    </row>
    <row r="8" ht="45" customHeight="1">
      <c r="A8" s="11" t="inlineStr">
        <is>
          <t>N04</t>
        </is>
      </c>
      <c r="B8" s="4" t="inlineStr">
        <is>
          <t>DRI plant gas supply – district station DS-2</t>
        </is>
      </c>
      <c r="C8" s="5">
        <f>IF(B8="","",A8&amp;" – "&amp;B8)</f>
        <v/>
      </c>
      <c r="D8" s="4" t="inlineStr">
        <is>
          <t>P&amp;ID-GN-2001</t>
        </is>
      </c>
      <c r="E8" s="4" t="inlineStr">
        <is>
          <t>From the DS-2 inlet ESDV-2001 via regulators PCV-2002A/B to the reformer fuel gas control valve FCV-2004 and the process-gas NG make-up point (XV-2008)</t>
        </is>
      </c>
      <c r="F8" s="4" t="inlineStr">
        <is>
          <t>Supply natural gas to the DRI reformer burners (fuel) and as make-up to the reducing-gas circuit at controlled pressure and flow</t>
        </is>
      </c>
      <c r="G8" s="4" t="inlineStr">
        <is>
          <t>Design 10 barg (full MP pressure); outlet 4.5 barg</t>
        </is>
      </c>
      <c r="H8" s="4" t="inlineStr">
        <is>
          <t>4.0–4.5 barg; flow on reformer firing demand</t>
        </is>
      </c>
      <c r="I8" s="4" t="inlineStr">
        <is>
          <t>Materials: Natural gas; reducing / process gas (H2, CO – toxic, flammable) at the make-up point</t>
        </is>
      </c>
    </row>
    <row r="9" ht="45" customHeight="1">
      <c r="A9" s="11" t="inlineStr">
        <is>
          <t>N05</t>
        </is>
      </c>
      <c r="B9" s="4" t="inlineStr">
        <is>
          <t>Melt shop gas supply – DS-3, EAF oxy-fuel burners and ladle preheaters</t>
        </is>
      </c>
      <c r="C9" s="5">
        <f>IF(B9="","",A9&amp;" – "&amp;B9)</f>
        <v/>
      </c>
      <c r="D9" s="4" t="inlineStr">
        <is>
          <t>P&amp;ID-GN-3001</t>
        </is>
      </c>
      <c r="E9" s="4" t="inlineStr">
        <is>
          <t>From DS-3 inlet ESDV-3001 via PCV-3002A, slam-shut SSV-3003 and PSV-3004 to the EAF oxy-fuel burner skids (XV-3011, NRV-3010) and ladle preheaters LPH-3020</t>
        </is>
      </c>
      <c r="F9" s="4" t="inlineStr">
        <is>
          <t>Supply natural gas to the EAF oxy-fuel burners and ladle / tundish preheaters at controlled pressure</t>
        </is>
      </c>
      <c r="G9" s="4" t="inlineStr">
        <is>
          <t>Design 10 barg; outlet 2.0 barg; O2 supply to burners 10 barg</t>
        </is>
      </c>
      <c r="H9" s="4" t="inlineStr">
        <is>
          <t>1.8–2.0 barg; intermittent firing</t>
        </is>
      </c>
      <c r="I9" s="4" t="inlineStr">
        <is>
          <t>Materials: Natural gas; oxygen (oxidiser); molten metal / slag nearby</t>
        </is>
      </c>
    </row>
    <row r="10" ht="45" customHeight="1">
      <c r="A10" s="11" t="inlineStr">
        <is>
          <t>N06</t>
        </is>
      </c>
      <c r="B10" s="4" t="inlineStr">
        <is>
          <t>Rolling-mill reheat furnace fuel gas train and burner management</t>
        </is>
      </c>
      <c r="C10" s="5">
        <f>IF(B10="","",A10&amp;" – "&amp;B10)</f>
        <v/>
      </c>
      <c r="D10" s="4" t="inlineStr">
        <is>
          <t>P&amp;ID-GN-4001</t>
        </is>
      </c>
      <c r="E10" s="4" t="inlineStr">
        <is>
          <t>From DS-4 regulator PCV-4001 through safety shut-off valves XV-4002A/B (with vent XV-4003 and valve proving VPS-4004) to the zone burners B-4020, incl. BMS-4000, flame scanners BS-4010 and combustion air fan FN-4007</t>
        </is>
      </c>
      <c r="F10" s="4" t="inlineStr">
        <is>
          <t>Deliver fuel gas to the reheat furnace burners only when safe to fire (purged, air proven, flame proven) and shut it off on any unsafe condition</t>
        </is>
      </c>
      <c r="G10" s="4" t="inlineStr">
        <is>
          <t>Design 10 barg upstream / 2 barg downstream of PCV-4001; SSOV closing time &lt; 1 s</t>
        </is>
      </c>
      <c r="H10" s="4" t="inlineStr">
        <is>
          <t>0.3–1.5 barg at the burners; furnace 900–1250 °C; light-off from cold after outages</t>
        </is>
      </c>
      <c r="I10" s="4" t="inlineStr">
        <is>
          <t>Materials: Natural gas; combustion air; flue gas (CO)</t>
        </is>
      </c>
    </row>
    <row r="11" ht="45" customHeight="1">
      <c r="A11" s="11" t="inlineStr">
        <is>
          <t>N07</t>
        </is>
      </c>
      <c r="B11" s="4" t="inlineStr">
        <is>
          <t>Purge, vent, blowdown and maintenance isolation</t>
        </is>
      </c>
      <c r="C11" s="5">
        <f>IF(B11="","",A11&amp;" – "&amp;B11)</f>
        <v/>
      </c>
      <c r="D11" s="4" t="inlineStr">
        <is>
          <t>P&amp;ID-GN-1301</t>
        </is>
      </c>
      <c r="E11" s="4" t="inlineStr">
        <is>
          <t>Vent stack VS-1301 and blowdown valve BDV-1302 at the PRS, spectacle blinds SB-1303 and N2 purge connections N2-1304 at GRMS, PRS and district stations</t>
        </is>
      </c>
      <c r="F11" s="4" t="inlineStr">
        <is>
          <t>Allow equipment to be depressurised, purged, isolated and returned to service without creating flammable mixtures, releases or asphyxiation hazards</t>
        </is>
      </c>
      <c r="G11" s="4" t="inlineStr">
        <is>
          <t>Vent stack 3 m above the highest platform within 15 m; N2 purge supply 8 barg</t>
        </is>
      </c>
      <c r="H11" s="4" t="inlineStr">
        <is>
          <t>Used during maintenance, pigging and gas-in / gas-out</t>
        </is>
      </c>
      <c r="I11" s="4" t="inlineStr">
        <is>
          <t>Materials: Natural gas; nitrogen (asphyxiant); air</t>
        </is>
      </c>
    </row>
    <row r="12" ht="45" customHeight="1">
      <c r="A12" s="11" t="inlineStr">
        <is>
          <t>N08</t>
        </is>
      </c>
      <c r="B12" s="4" t="inlineStr">
        <is>
          <t>Gas detection, F&amp;G and ESD system</t>
        </is>
      </c>
      <c r="C12" s="5">
        <f>IF(B12="","",A12&amp;" – "&amp;B12)</f>
        <v/>
      </c>
      <c r="D12" s="4" t="inlineStr">
        <is>
          <t>C&amp;E-GN-1000</t>
        </is>
      </c>
      <c r="E12" s="4" t="inlineStr">
        <is>
          <t>Gas detectors GD-1110A/B/C (PRS shelter, 2oo3), GRMS detectors, manual ESD stations HS-1000, SIS logic solver UCP-1000 and UPS-1000, acting on ESDV-1001 / ESDV-1107 and the district-station ESD valves</t>
        </is>
      </c>
      <c r="F12" s="4" t="inlineStr">
        <is>
          <t>Detect a gas release in the HP / MP system and isolate the gas inventory automatically or on manual demand</t>
        </is>
      </c>
      <c r="G12" s="4" t="inlineStr">
        <is>
          <t>SIS per SRS-GN-001; ESD valves fail-closed; UPS 30 min</t>
        </is>
      </c>
      <c r="H12" s="4" t="inlineStr">
        <is>
          <t>Normally on line; detectors 20 % / 40 % LEL alarm / trip</t>
        </is>
      </c>
      <c r="I12" s="4" t="inlineStr">
        <is>
          <t>Materials: Natural gas</t>
        </is>
      </c>
    </row>
    <row r="13" ht="45" customHeight="1">
      <c r="A13" s="11" t="inlineStr">
        <is>
          <t>N09</t>
        </is>
      </c>
      <c r="B13" s="4" t="n"/>
      <c r="C13" s="5">
        <f>IF(B13="","",A13&amp;" – "&amp;B13)</f>
        <v/>
      </c>
      <c r="D13" s="4" t="n"/>
      <c r="E13" s="4" t="n"/>
      <c r="F13" s="4" t="n"/>
      <c r="G13" s="4" t="n"/>
      <c r="H13" s="4" t="n"/>
      <c r="I13" s="4" t="n"/>
    </row>
    <row r="14" ht="45" customHeight="1">
      <c r="A14" s="11" t="inlineStr">
        <is>
          <t>N10</t>
        </is>
      </c>
      <c r="B14" s="4" t="n"/>
      <c r="C14" s="5">
        <f>IF(B14="","",A14&amp;" – "&amp;B14)</f>
        <v/>
      </c>
      <c r="D14" s="4" t="n"/>
      <c r="E14" s="4" t="n"/>
      <c r="F14" s="4" t="n"/>
      <c r="G14" s="4" t="n"/>
      <c r="H14" s="4" t="n"/>
      <c r="I14" s="4" t="n"/>
    </row>
    <row r="15" ht="45" customHeight="1">
      <c r="A15" s="11" t="inlineStr">
        <is>
          <t>N11</t>
        </is>
      </c>
      <c r="B15" s="4" t="n"/>
      <c r="C15" s="5">
        <f>IF(B15="","",A15&amp;" – "&amp;B15)</f>
        <v/>
      </c>
      <c r="D15" s="4" t="n"/>
      <c r="E15" s="4" t="n"/>
      <c r="F15" s="4" t="n"/>
      <c r="G15" s="4" t="n"/>
      <c r="H15" s="4" t="n"/>
      <c r="I15" s="4" t="n"/>
    </row>
    <row r="16" ht="45" customHeight="1">
      <c r="A16" s="11" t="inlineStr">
        <is>
          <t>N12</t>
        </is>
      </c>
      <c r="B16" s="4" t="n"/>
      <c r="C16" s="5">
        <f>IF(B16="","",A16&amp;" – "&amp;B16)</f>
        <v/>
      </c>
      <c r="D16" s="4" t="n"/>
      <c r="E16" s="4" t="n"/>
      <c r="F16" s="4" t="n"/>
      <c r="G16" s="4" t="n"/>
      <c r="H16" s="4" t="n"/>
      <c r="I16" s="4" t="n"/>
    </row>
    <row r="17" ht="45" customHeight="1">
      <c r="A17" s="11" t="inlineStr">
        <is>
          <t>N13</t>
        </is>
      </c>
      <c r="B17" s="4" t="n"/>
      <c r="C17" s="5">
        <f>IF(B17="","",A17&amp;" – "&amp;B17)</f>
        <v/>
      </c>
      <c r="D17" s="4" t="n"/>
      <c r="E17" s="4" t="n"/>
      <c r="F17" s="4" t="n"/>
      <c r="G17" s="4" t="n"/>
      <c r="H17" s="4" t="n"/>
      <c r="I17" s="4" t="n"/>
    </row>
    <row r="18" ht="45" customHeight="1">
      <c r="A18" s="11" t="inlineStr">
        <is>
          <t>N14</t>
        </is>
      </c>
      <c r="B18" s="4" t="n"/>
      <c r="C18" s="5">
        <f>IF(B18="","",A18&amp;" – "&amp;B18)</f>
        <v/>
      </c>
      <c r="D18" s="4" t="n"/>
      <c r="E18" s="4" t="n"/>
      <c r="F18" s="4" t="n"/>
      <c r="G18" s="4" t="n"/>
      <c r="H18" s="4" t="n"/>
      <c r="I18" s="4" t="n"/>
    </row>
    <row r="19" ht="45" customHeight="1">
      <c r="A19" s="11" t="inlineStr">
        <is>
          <t>N15</t>
        </is>
      </c>
      <c r="B19" s="4" t="n"/>
      <c r="C19" s="5">
        <f>IF(B19="","",A19&amp;" – "&amp;B19)</f>
        <v/>
      </c>
      <c r="D19" s="4" t="n"/>
      <c r="E19" s="4" t="n"/>
      <c r="F19" s="4" t="n"/>
      <c r="G19" s="4" t="n"/>
      <c r="H19" s="4" t="n"/>
      <c r="I19" s="4" t="n"/>
    </row>
    <row r="20" ht="45" customHeight="1">
      <c r="A20" s="11" t="inlineStr">
        <is>
          <t>N16</t>
        </is>
      </c>
      <c r="B20" s="4" t="n"/>
      <c r="C20" s="5">
        <f>IF(B20="","",A20&amp;" – "&amp;B20)</f>
        <v/>
      </c>
      <c r="D20" s="4" t="n"/>
      <c r="E20" s="4" t="n"/>
      <c r="F20" s="4" t="n"/>
      <c r="G20" s="4" t="n"/>
      <c r="H20" s="4" t="n"/>
      <c r="I20" s="4" t="n"/>
    </row>
    <row r="21" ht="45" customHeight="1">
      <c r="A21" s="11" t="inlineStr">
        <is>
          <t>N17</t>
        </is>
      </c>
      <c r="B21" s="4" t="n"/>
      <c r="C21" s="5">
        <f>IF(B21="","",A21&amp;" – "&amp;B21)</f>
        <v/>
      </c>
      <c r="D21" s="4" t="n"/>
      <c r="E21" s="4" t="n"/>
      <c r="F21" s="4" t="n"/>
      <c r="G21" s="4" t="n"/>
      <c r="H21" s="4" t="n"/>
      <c r="I21" s="4" t="n"/>
    </row>
    <row r="22" ht="45" customHeight="1">
      <c r="A22" s="11" t="inlineStr">
        <is>
          <t>N18</t>
        </is>
      </c>
      <c r="B22" s="4" t="n"/>
      <c r="C22" s="5">
        <f>IF(B22="","",A22&amp;" – "&amp;B22)</f>
        <v/>
      </c>
      <c r="D22" s="4" t="n"/>
      <c r="E22" s="4" t="n"/>
      <c r="F22" s="4" t="n"/>
      <c r="G22" s="4" t="n"/>
      <c r="H22" s="4" t="n"/>
      <c r="I22" s="4" t="n"/>
    </row>
    <row r="23" ht="45" customHeight="1">
      <c r="A23" s="11" t="inlineStr">
        <is>
          <t>N19</t>
        </is>
      </c>
      <c r="B23" s="4" t="n"/>
      <c r="C23" s="5">
        <f>IF(B23="","",A23&amp;" – "&amp;B23)</f>
        <v/>
      </c>
      <c r="D23" s="4" t="n"/>
      <c r="E23" s="4" t="n"/>
      <c r="F23" s="4" t="n"/>
      <c r="G23" s="4" t="n"/>
      <c r="H23" s="4" t="n"/>
      <c r="I23" s="4" t="n"/>
    </row>
    <row r="24" ht="45" customHeight="1">
      <c r="A24" s="11" t="inlineStr">
        <is>
          <t>N20</t>
        </is>
      </c>
      <c r="B24" s="4" t="n"/>
      <c r="C24" s="5">
        <f>IF(B24="","",A24&amp;" – "&amp;B24)</f>
        <v/>
      </c>
      <c r="D24" s="4" t="n"/>
      <c r="E24" s="4" t="n"/>
      <c r="F24" s="4" t="n"/>
      <c r="G24" s="4" t="n"/>
      <c r="H24" s="4" t="n"/>
      <c r="I24" s="4" t="n"/>
    </row>
    <row r="25" ht="45" customHeight="1">
      <c r="A25" s="11" t="inlineStr">
        <is>
          <t>N21</t>
        </is>
      </c>
      <c r="B25" s="4" t="n"/>
      <c r="C25" s="5">
        <f>IF(B25="","",A25&amp;" – "&amp;B25)</f>
        <v/>
      </c>
      <c r="D25" s="4" t="n"/>
      <c r="E25" s="4" t="n"/>
      <c r="F25" s="4" t="n"/>
      <c r="G25" s="4" t="n"/>
      <c r="H25" s="4" t="n"/>
      <c r="I25" s="4" t="n"/>
    </row>
    <row r="26" ht="45" customHeight="1">
      <c r="A26" s="11" t="inlineStr">
        <is>
          <t>N22</t>
        </is>
      </c>
      <c r="B26" s="4" t="n"/>
      <c r="C26" s="5">
        <f>IF(B26="","",A26&amp;" – "&amp;B26)</f>
        <v/>
      </c>
      <c r="D26" s="4" t="n"/>
      <c r="E26" s="4" t="n"/>
      <c r="F26" s="4" t="n"/>
      <c r="G26" s="4" t="n"/>
      <c r="H26" s="4" t="n"/>
      <c r="I26" s="4" t="n"/>
    </row>
    <row r="27" ht="45" customHeight="1">
      <c r="A27" s="11" t="inlineStr">
        <is>
          <t>N23</t>
        </is>
      </c>
      <c r="B27" s="4" t="n"/>
      <c r="C27" s="5">
        <f>IF(B27="","",A27&amp;" – "&amp;B27)</f>
        <v/>
      </c>
      <c r="D27" s="4" t="n"/>
      <c r="E27" s="4" t="n"/>
      <c r="F27" s="4" t="n"/>
      <c r="G27" s="4" t="n"/>
      <c r="H27" s="4" t="n"/>
      <c r="I27" s="4" t="n"/>
    </row>
    <row r="28" ht="45" customHeight="1">
      <c r="A28" s="11" t="inlineStr">
        <is>
          <t>N24</t>
        </is>
      </c>
      <c r="B28" s="4" t="n"/>
      <c r="C28" s="5">
        <f>IF(B28="","",A28&amp;" – "&amp;B28)</f>
        <v/>
      </c>
      <c r="D28" s="4" t="n"/>
      <c r="E28" s="4" t="n"/>
      <c r="F28" s="4" t="n"/>
      <c r="G28" s="4" t="n"/>
      <c r="H28" s="4" t="n"/>
      <c r="I28" s="4" t="n"/>
    </row>
    <row r="29" ht="45" customHeight="1">
      <c r="A29" s="11" t="inlineStr">
        <is>
          <t>N25</t>
        </is>
      </c>
      <c r="B29" s="4" t="n"/>
      <c r="C29" s="5">
        <f>IF(B29="","",A29&amp;" – "&amp;B29)</f>
        <v/>
      </c>
      <c r="D29" s="4" t="n"/>
      <c r="E29" s="4" t="n"/>
      <c r="F29" s="4" t="n"/>
      <c r="G29" s="4" t="n"/>
      <c r="H29" s="4" t="n"/>
      <c r="I29" s="4" t="n"/>
    </row>
    <row r="30" ht="45" customHeight="1">
      <c r="A30" s="11" t="inlineStr">
        <is>
          <t>N26</t>
        </is>
      </c>
      <c r="B30" s="4" t="n"/>
      <c r="C30" s="5">
        <f>IF(B30="","",A30&amp;" – "&amp;B30)</f>
        <v/>
      </c>
      <c r="D30" s="4" t="n"/>
      <c r="E30" s="4" t="n"/>
      <c r="F30" s="4" t="n"/>
      <c r="G30" s="4" t="n"/>
      <c r="H30" s="4" t="n"/>
      <c r="I30" s="4" t="n"/>
    </row>
    <row r="31" ht="45" customHeight="1">
      <c r="A31" s="11" t="inlineStr">
        <is>
          <t>N27</t>
        </is>
      </c>
      <c r="B31" s="4" t="n"/>
      <c r="C31" s="5">
        <f>IF(B31="","",A31&amp;" – "&amp;B31)</f>
        <v/>
      </c>
      <c r="D31" s="4" t="n"/>
      <c r="E31" s="4" t="n"/>
      <c r="F31" s="4" t="n"/>
      <c r="G31" s="4" t="n"/>
      <c r="H31" s="4" t="n"/>
      <c r="I31" s="4" t="n"/>
    </row>
    <row r="32" ht="45" customHeight="1">
      <c r="A32" s="11" t="inlineStr">
        <is>
          <t>N28</t>
        </is>
      </c>
      <c r="B32" s="4" t="n"/>
      <c r="C32" s="5">
        <f>IF(B32="","",A32&amp;" – "&amp;B32)</f>
        <v/>
      </c>
      <c r="D32" s="4" t="n"/>
      <c r="E32" s="4" t="n"/>
      <c r="F32" s="4" t="n"/>
      <c r="G32" s="4" t="n"/>
      <c r="H32" s="4" t="n"/>
      <c r="I32" s="4" t="n"/>
    </row>
    <row r="33" ht="45" customHeight="1">
      <c r="A33" s="11" t="inlineStr">
        <is>
          <t>N29</t>
        </is>
      </c>
      <c r="B33" s="4" t="n"/>
      <c r="C33" s="5">
        <f>IF(B33="","",A33&amp;" – "&amp;B33)</f>
        <v/>
      </c>
      <c r="D33" s="4" t="n"/>
      <c r="E33" s="4" t="n"/>
      <c r="F33" s="4" t="n"/>
      <c r="G33" s="4" t="n"/>
      <c r="H33" s="4" t="n"/>
      <c r="I33" s="4" t="n"/>
    </row>
    <row r="34" ht="45" customHeight="1">
      <c r="A34" s="11" t="inlineStr">
        <is>
          <t>N30</t>
        </is>
      </c>
      <c r="B34" s="4" t="n"/>
      <c r="C34" s="5">
        <f>IF(B34="","",A34&amp;" – "&amp;B34)</f>
        <v/>
      </c>
      <c r="D34" s="4" t="n"/>
      <c r="E34" s="4" t="n"/>
      <c r="F34" s="4" t="n"/>
      <c r="G34" s="4" t="n"/>
      <c r="H34" s="4" t="n"/>
      <c r="I3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3" max="3"/>
    <col width="14" customWidth="1" min="4" max="4"/>
    <col width="30" customWidth="1" min="5" max="5"/>
    <col width="40" customWidth="1" min="6" max="6"/>
    <col width="30" customWidth="1" min="8" max="8"/>
    <col width="80" customWidth="1" min="9" max="9"/>
    <col width="14" customWidth="1" min="11" max="11"/>
    <col width="34" customWidth="1" min="12" max="12"/>
    <col width="22" customWidth="1" min="14" max="14"/>
    <col width="8" customWidth="1" min="16" max="16"/>
  </cols>
  <sheetData>
    <row r="1">
      <c r="A1" s="1" t="inlineStr">
        <is>
          <t>DROP-DOWN LISTS</t>
        </is>
      </c>
    </row>
    <row r="2">
      <c r="A2" s="2" t="inlineStr">
        <is>
          <t>Source: HAZOP Guidewords – Chemical, Steel &amp; Metals. To add a cause, INSERT a row inside its key block (keys must stay grouped). [C] = mainly chemical, [S] = mainly steel &amp; metals.</t>
        </is>
      </c>
    </row>
    <row r="4">
      <c r="A4" s="7" t="inlineStr">
        <is>
          <t>Parameters</t>
        </is>
      </c>
      <c r="C4" s="7" t="inlineStr">
        <is>
          <t>Parameter</t>
        </is>
      </c>
      <c r="D4" s="7" t="inlineStr">
        <is>
          <t>Guideword</t>
        </is>
      </c>
      <c r="E4" s="7" t="inlineStr">
        <is>
          <t>Key</t>
        </is>
      </c>
      <c r="F4" s="7" t="inlineStr">
        <is>
          <t>Typical deviation (from guideword guide)</t>
        </is>
      </c>
      <c r="H4" s="7" t="inlineStr">
        <is>
          <t>Key (parameter|guideword)</t>
        </is>
      </c>
      <c r="I4" s="7" t="inlineStr">
        <is>
          <t>Potential cause</t>
        </is>
      </c>
      <c r="K4" s="7" t="inlineStr">
        <is>
          <t>Guideword</t>
        </is>
      </c>
      <c r="L4" s="7" t="inlineStr">
        <is>
          <t>Meaning</t>
        </is>
      </c>
      <c r="N4" s="7" t="inlineStr">
        <is>
          <t>PSI category</t>
        </is>
      </c>
      <c r="P4" s="7" t="inlineStr">
        <is>
          <t>IPL?</t>
        </is>
      </c>
    </row>
    <row r="5">
      <c r="A5" s="15" t="inlineStr">
        <is>
          <t>Flow</t>
        </is>
      </c>
      <c r="C5" s="15" t="inlineStr">
        <is>
          <t>Flow</t>
        </is>
      </c>
      <c r="D5" s="15" t="inlineStr">
        <is>
          <t>NO</t>
        </is>
      </c>
      <c r="E5" s="15" t="inlineStr">
        <is>
          <t>Flow|NO</t>
        </is>
      </c>
      <c r="F5" s="15" t="inlineStr">
        <is>
          <t>No flow</t>
        </is>
      </c>
      <c r="H5" s="15" t="inlineStr">
        <is>
          <t>Flow|NO</t>
        </is>
      </c>
      <c r="I5" s="15" t="inlineStr">
        <is>
          <t>Empty source vessel, feed tank, bin or gas holder</t>
        </is>
      </c>
      <c r="K5" s="15" t="inlineStr">
        <is>
          <t>NO</t>
        </is>
      </c>
      <c r="L5" s="15" t="inlineStr">
        <is>
          <t>Complete negation of intent</t>
        </is>
      </c>
      <c r="N5" s="15" t="inlineStr">
        <is>
          <t>Drawings</t>
        </is>
      </c>
      <c r="P5" s="15" t="inlineStr">
        <is>
          <t>Yes</t>
        </is>
      </c>
    </row>
    <row r="6">
      <c r="A6" s="15" t="inlineStr">
        <is>
          <t>Pressure</t>
        </is>
      </c>
      <c r="C6" s="15" t="inlineStr">
        <is>
          <t>Flow</t>
        </is>
      </c>
      <c r="D6" s="15" t="inlineStr">
        <is>
          <t>REVERSE</t>
        </is>
      </c>
      <c r="E6" s="15" t="inlineStr">
        <is>
          <t>Flow|REVERSE</t>
        </is>
      </c>
      <c r="F6" s="15" t="inlineStr">
        <is>
          <t>Reverse flow</t>
        </is>
      </c>
      <c r="H6" s="15" t="inlineStr">
        <is>
          <t>Flow|NO</t>
        </is>
      </c>
      <c r="I6" s="15" t="inlineStr">
        <is>
          <t>Wrong routing / incorrect valve line-up</t>
        </is>
      </c>
      <c r="K6" s="15" t="inlineStr">
        <is>
          <t>MORE</t>
        </is>
      </c>
      <c r="L6" s="15" t="inlineStr">
        <is>
          <t>Quantitative increase</t>
        </is>
      </c>
      <c r="N6" s="15" t="inlineStr">
        <is>
          <t>Process technology</t>
        </is>
      </c>
      <c r="P6" s="15" t="inlineStr">
        <is>
          <t>No</t>
        </is>
      </c>
    </row>
    <row r="7">
      <c r="A7" s="15" t="inlineStr">
        <is>
          <t>Temperature</t>
        </is>
      </c>
      <c r="C7" s="15" t="inlineStr">
        <is>
          <t>Flow</t>
        </is>
      </c>
      <c r="D7" s="15" t="inlineStr">
        <is>
          <t>MORE</t>
        </is>
      </c>
      <c r="E7" s="15" t="inlineStr">
        <is>
          <t>Flow|MORE</t>
        </is>
      </c>
      <c r="F7" s="15" t="inlineStr">
        <is>
          <t>More flow</t>
        </is>
      </c>
      <c r="H7" s="15" t="inlineStr">
        <is>
          <t>Flow|NO</t>
        </is>
      </c>
      <c r="I7" s="15" t="inlineStr">
        <is>
          <t>Blockage, gas lock or vapour lock</t>
        </is>
      </c>
      <c r="K7" s="15" t="inlineStr">
        <is>
          <t>LESS</t>
        </is>
      </c>
      <c r="L7" s="15" t="inlineStr">
        <is>
          <t>Quantitative decrease</t>
        </is>
      </c>
      <c r="N7" s="15" t="inlineStr">
        <is>
          <t>Hazardous materials</t>
        </is>
      </c>
    </row>
    <row r="8">
      <c r="A8" s="15" t="inlineStr">
        <is>
          <t>Level</t>
        </is>
      </c>
      <c r="C8" s="15" t="inlineStr">
        <is>
          <t>Flow</t>
        </is>
      </c>
      <c r="D8" s="15" t="inlineStr">
        <is>
          <t>LESS</t>
        </is>
      </c>
      <c r="E8" s="15" t="inlineStr">
        <is>
          <t>Flow|LESS</t>
        </is>
      </c>
      <c r="F8" s="15" t="inlineStr">
        <is>
          <t>Less flow</t>
        </is>
      </c>
      <c r="H8" s="15" t="inlineStr">
        <is>
          <t>Flow|NO</t>
        </is>
      </c>
      <c r="I8" s="15" t="inlineStr">
        <is>
          <t>Slip plate / spectacle blind left in or incorrectly installed</t>
        </is>
      </c>
      <c r="K8" s="15" t="inlineStr">
        <is>
          <t>AS WELL AS</t>
        </is>
      </c>
      <c r="L8" s="15" t="inlineStr">
        <is>
          <t>Something additional present</t>
        </is>
      </c>
      <c r="N8" s="15" t="inlineStr">
        <is>
          <t>Equipment</t>
        </is>
      </c>
    </row>
    <row r="9">
      <c r="A9" s="15" t="inlineStr">
        <is>
          <t>Composition</t>
        </is>
      </c>
      <c r="C9" s="15" t="inlineStr">
        <is>
          <t>Flow</t>
        </is>
      </c>
      <c r="D9" s="15" t="inlineStr">
        <is>
          <t>OTHER THAN</t>
        </is>
      </c>
      <c r="E9" s="15" t="inlineStr">
        <is>
          <t>Flow|OTHER THAN</t>
        </is>
      </c>
      <c r="F9" s="15" t="inlineStr">
        <is>
          <t>Misdirected flow (Other than – wrong destination)</t>
        </is>
      </c>
      <c r="H9" s="15" t="inlineStr">
        <is>
          <t>Flow|NO</t>
        </is>
      </c>
      <c r="I9" s="15" t="inlineStr">
        <is>
          <t>Non-return valve fitted the wrong way round</t>
        </is>
      </c>
      <c r="K9" s="15" t="inlineStr">
        <is>
          <t>PART OF</t>
        </is>
      </c>
      <c r="L9" s="15" t="inlineStr">
        <is>
          <t>Only part of intent achieved</t>
        </is>
      </c>
      <c r="N9" s="15" t="inlineStr">
        <is>
          <t>Procedures</t>
        </is>
      </c>
    </row>
    <row r="10">
      <c r="A10" s="15" t="inlineStr">
        <is>
          <t>Phase</t>
        </is>
      </c>
      <c r="C10" s="15" t="inlineStr">
        <is>
          <t>Flow</t>
        </is>
      </c>
      <c r="D10" s="15" t="inlineStr">
        <is>
          <t>AS WELL AS</t>
        </is>
      </c>
      <c r="E10" s="15" t="inlineStr">
        <is>
          <t>Flow|AS WELL AS</t>
        </is>
      </c>
      <c r="F10" s="15" t="inlineStr">
        <is>
          <t>As well as (additional material or phase in the flow)</t>
        </is>
      </c>
      <c r="H10" s="15" t="inlineStr">
        <is>
          <t>Flow|NO</t>
        </is>
      </c>
      <c r="I10" s="15" t="inlineStr">
        <is>
          <t>Burst pipe or large leak upstream</t>
        </is>
      </c>
      <c r="K10" s="15" t="inlineStr">
        <is>
          <t>REVERSE</t>
        </is>
      </c>
      <c r="L10" s="15" t="inlineStr">
        <is>
          <t>Logical opposite</t>
        </is>
      </c>
      <c r="N10" s="15" t="inlineStr">
        <is>
          <t>Previous studies</t>
        </is>
      </c>
    </row>
    <row r="11">
      <c r="A11" s="15" t="inlineStr">
        <is>
          <t>Reaction</t>
        </is>
      </c>
      <c r="C11" s="15" t="inlineStr">
        <is>
          <t>Pressure</t>
        </is>
      </c>
      <c r="D11" s="15" t="inlineStr">
        <is>
          <t>MORE</t>
        </is>
      </c>
      <c r="E11" s="15" t="inlineStr">
        <is>
          <t>Pressure|MORE</t>
        </is>
      </c>
      <c r="F11" s="15" t="inlineStr">
        <is>
          <t>More pressure</t>
        </is>
      </c>
      <c r="H11" s="15" t="inlineStr">
        <is>
          <t>Flow|NO</t>
        </is>
      </c>
      <c r="I11" s="15" t="inlineStr">
        <is>
          <t>Equipment failure – control valve fails closed, isolation valve, pump or compressor trip, vessel failure</t>
        </is>
      </c>
      <c r="K11" s="15" t="inlineStr">
        <is>
          <t>OTHER THAN</t>
        </is>
      </c>
      <c r="L11" s="15" t="inlineStr">
        <is>
          <t>Complete substitution</t>
        </is>
      </c>
      <c r="N11" s="15" t="inlineStr">
        <is>
          <t>Other</t>
        </is>
      </c>
    </row>
    <row r="12">
      <c r="A12" s="15" t="inlineStr">
        <is>
          <t>Mixing / agitation</t>
        </is>
      </c>
      <c r="C12" s="15" t="inlineStr">
        <is>
          <t>Pressure</t>
        </is>
      </c>
      <c r="D12" s="15" t="inlineStr">
        <is>
          <t>LESS</t>
        </is>
      </c>
      <c r="E12" s="15" t="inlineStr">
        <is>
          <t>Pressure|LESS</t>
        </is>
      </c>
      <c r="F12" s="15" t="inlineStr">
        <is>
          <t>Less pressure (vacuum)</t>
        </is>
      </c>
      <c r="H12" s="15" t="inlineStr">
        <is>
          <t>Flow|NO</t>
        </is>
      </c>
      <c r="I12" s="15" t="inlineStr">
        <is>
          <t>Incorrect pressure differential (downstream pressure higher than upstream)</t>
        </is>
      </c>
      <c r="K12" s="15" t="inlineStr">
        <is>
          <t>EARLY</t>
        </is>
      </c>
      <c r="L12" s="15" t="inlineStr">
        <is>
          <t>Relative to clock time</t>
        </is>
      </c>
    </row>
    <row r="13">
      <c r="A13" s="15" t="inlineStr">
        <is>
          <t>Timing / sequence</t>
        </is>
      </c>
      <c r="C13" s="15" t="inlineStr">
        <is>
          <t>Pressure</t>
        </is>
      </c>
      <c r="D13" s="15" t="inlineStr">
        <is>
          <t>FLUCTUATING</t>
        </is>
      </c>
      <c r="E13" s="15" t="inlineStr">
        <is>
          <t>Pressure|FLUCTUATING</t>
        </is>
      </c>
      <c r="F13" s="15" t="inlineStr">
        <is>
          <t>Pressure fluctuation / surge</t>
        </is>
      </c>
      <c r="H13" s="15" t="inlineStr">
        <is>
          <t>Flow|NO</t>
        </is>
      </c>
      <c r="I13" s="15" t="inlineStr">
        <is>
          <t>Isolation in error (wrong valve closed, LOTO on wrong equipment)</t>
        </is>
      </c>
      <c r="K13" s="15" t="inlineStr">
        <is>
          <t>LATE</t>
        </is>
      </c>
      <c r="L13" s="15" t="inlineStr">
        <is>
          <t>Relative to clock time</t>
        </is>
      </c>
    </row>
    <row r="14">
      <c r="A14" s="15" t="inlineStr">
        <is>
          <t>Rate of change</t>
        </is>
      </c>
      <c r="C14" s="15" t="inlineStr">
        <is>
          <t>Temperature</t>
        </is>
      </c>
      <c r="D14" s="15" t="inlineStr">
        <is>
          <t>MORE</t>
        </is>
      </c>
      <c r="E14" s="15" t="inlineStr">
        <is>
          <t>Temperature|MORE</t>
        </is>
      </c>
      <c r="F14" s="15" t="inlineStr">
        <is>
          <t>More temperature</t>
        </is>
      </c>
      <c r="H14" s="15" t="inlineStr">
        <is>
          <t>Flow|NO</t>
        </is>
      </c>
      <c r="I14" s="15" t="inlineStr">
        <is>
          <t>Power failure; instrument air failure (valves go to fail position)</t>
        </is>
      </c>
      <c r="K14" s="15" t="inlineStr">
        <is>
          <t>BEFORE</t>
        </is>
      </c>
      <c r="L14" s="15" t="inlineStr">
        <is>
          <t>Relative to sequence</t>
        </is>
      </c>
    </row>
    <row r="15">
      <c r="A15" s="15" t="inlineStr">
        <is>
          <t>Viscosity / density</t>
        </is>
      </c>
      <c r="C15" s="15" t="inlineStr">
        <is>
          <t>Temperature</t>
        </is>
      </c>
      <c r="D15" s="15" t="inlineStr">
        <is>
          <t>LESS</t>
        </is>
      </c>
      <c r="E15" s="15" t="inlineStr">
        <is>
          <t>Temperature|LESS</t>
        </is>
      </c>
      <c r="F15" s="15" t="inlineStr">
        <is>
          <t>Less temperature</t>
        </is>
      </c>
      <c r="H15" s="15" t="inlineStr">
        <is>
          <t>Flow|NO</t>
        </is>
      </c>
      <c r="I15" s="15" t="inlineStr">
        <is>
          <t>Control system / DCS / PLC failure; spurious trip</t>
        </is>
      </c>
      <c r="K15" s="15" t="inlineStr">
        <is>
          <t>AFTER</t>
        </is>
      </c>
      <c r="L15" s="15" t="inlineStr">
        <is>
          <t>Relative to sequence</t>
        </is>
      </c>
    </row>
    <row r="16">
      <c r="A16" s="15" t="inlineStr">
        <is>
          <t>Molten metal / slag containment</t>
        </is>
      </c>
      <c r="C16" s="15" t="inlineStr">
        <is>
          <t>Level</t>
        </is>
      </c>
      <c r="D16" s="15" t="inlineStr">
        <is>
          <t>MORE</t>
        </is>
      </c>
      <c r="E16" s="15" t="inlineStr">
        <is>
          <t>Level|MORE</t>
        </is>
      </c>
      <c r="F16" s="15" t="inlineStr">
        <is>
          <t>High level</t>
        </is>
      </c>
      <c r="H16" s="15" t="inlineStr">
        <is>
          <t>Flow|NO</t>
        </is>
      </c>
      <c r="I16" s="15" t="inlineStr">
        <is>
          <t>Line frozen or solidified (loss of heat tracing or jacket heating)</t>
        </is>
      </c>
      <c r="K16" s="15" t="inlineStr">
        <is>
          <t>FASTER</t>
        </is>
      </c>
      <c r="L16" s="15" t="inlineStr">
        <is>
          <t>Rate of step / change</t>
        </is>
      </c>
    </row>
    <row r="17">
      <c r="A17" s="15" t="inlineStr">
        <is>
          <t>Water contact with molten metal / slag</t>
        </is>
      </c>
      <c r="C17" s="15" t="inlineStr">
        <is>
          <t>Level</t>
        </is>
      </c>
      <c r="D17" s="15" t="inlineStr">
        <is>
          <t>LESS</t>
        </is>
      </c>
      <c r="E17" s="15" t="inlineStr">
        <is>
          <t>Level|LESS</t>
        </is>
      </c>
      <c r="F17" s="15" t="inlineStr">
        <is>
          <t>Low level / no level</t>
        </is>
      </c>
      <c r="H17" s="15" t="inlineStr">
        <is>
          <t>Flow|NO</t>
        </is>
      </c>
      <c r="I17" s="15" t="inlineStr">
        <is>
          <t>[C] Polymerisation, crystallisation or hydrate formation in the line</t>
        </is>
      </c>
      <c r="K17" s="15" t="inlineStr">
        <is>
          <t>SLOWER</t>
        </is>
      </c>
      <c r="L17" s="15" t="inlineStr">
        <is>
          <t>Rate of step / change</t>
        </is>
      </c>
    </row>
    <row r="18">
      <c r="A18" s="15" t="inlineStr">
        <is>
          <t>Cooling water flow (water-cooled elements)</t>
        </is>
      </c>
      <c r="C18" s="15" t="inlineStr">
        <is>
          <t>Level</t>
        </is>
      </c>
      <c r="D18" s="15" t="inlineStr">
        <is>
          <t>NO</t>
        </is>
      </c>
      <c r="E18" s="15" t="inlineStr">
        <is>
          <t>Level|NO</t>
        </is>
      </c>
      <c r="F18" s="15" t="inlineStr">
        <is>
          <t>Low level / no level</t>
        </is>
      </c>
      <c r="H18" s="15" t="inlineStr">
        <is>
          <t>Flow|NO</t>
        </is>
      </c>
      <c r="I18" s="15" t="inlineStr">
        <is>
          <t>[S] Molten metal or slag frozen in launder, runner, tap hole or nozzle (skull formation)</t>
        </is>
      </c>
      <c r="K18" s="15" t="inlineStr">
        <is>
          <t>FLUCTUATING</t>
        </is>
      </c>
      <c r="L18" s="15" t="inlineStr">
        <is>
          <t>Unstable / surging</t>
        </is>
      </c>
    </row>
    <row r="19">
      <c r="A19" s="15" t="inlineStr">
        <is>
          <t>Water-cooled element integrity</t>
        </is>
      </c>
      <c r="C19" s="15" t="inlineStr">
        <is>
          <t>Composition</t>
        </is>
      </c>
      <c r="D19" s="15" t="inlineStr">
        <is>
          <t>AS WELL AS</t>
        </is>
      </c>
      <c r="E19" s="15" t="inlineStr">
        <is>
          <t>Composition|AS WELL AS</t>
        </is>
      </c>
      <c r="F19" s="15" t="inlineStr">
        <is>
          <t>Contamination / composition change (As well as)</t>
        </is>
      </c>
      <c r="H19" s="15" t="inlineStr">
        <is>
          <t>Flow|NO</t>
        </is>
      </c>
      <c r="I19" s="15" t="inlineStr">
        <is>
          <t>[S] Blocked tuyere, lance tip, burner or porous plug</t>
        </is>
      </c>
      <c r="K19" s="15" t="inlineStr">
        <is>
          <t>LOSS OF</t>
        </is>
      </c>
      <c r="L19" s="15" t="inlineStr">
        <is>
          <t>Loss of function or containment</t>
        </is>
      </c>
    </row>
    <row r="20">
      <c r="A20" s="15" t="inlineStr">
        <is>
          <t>Process gas (CO, H2 – BFG, COG, LD gas, reducing gas)</t>
        </is>
      </c>
      <c r="C20" s="15" t="inlineStr">
        <is>
          <t>Composition</t>
        </is>
      </c>
      <c r="D20" s="15" t="inlineStr">
        <is>
          <t>PART OF</t>
        </is>
      </c>
      <c r="E20" s="15" t="inlineStr">
        <is>
          <t>Composition|PART OF</t>
        </is>
      </c>
      <c r="F20" s="15" t="inlineStr">
        <is>
          <t>Part of (wrong ratio / concentration)</t>
        </is>
      </c>
      <c r="H20" s="15" t="inlineStr">
        <is>
          <t>Flow|NO</t>
        </is>
      </c>
      <c r="I20" s="15" t="inlineStr">
        <is>
          <t>[S] Bridging / hang-up of burden, DRI, pellets or scrap in bins, chutes or shaft furnace</t>
        </is>
      </c>
      <c r="K20" s="15" t="inlineStr">
        <is>
          <t>LEAK OF</t>
        </is>
      </c>
      <c r="L20" s="15" t="inlineStr">
        <is>
          <t>Release from containment</t>
        </is>
      </c>
    </row>
    <row r="21">
      <c r="A21" s="15" t="inlineStr">
        <is>
          <t>Air / oxygen in process gas</t>
        </is>
      </c>
      <c r="C21" s="15" t="inlineStr">
        <is>
          <t>Composition</t>
        </is>
      </c>
      <c r="D21" s="15" t="inlineStr">
        <is>
          <t>OTHER THAN</t>
        </is>
      </c>
      <c r="E21" s="15" t="inlineStr">
        <is>
          <t>Composition|OTHER THAN</t>
        </is>
      </c>
      <c r="F21" s="15" t="inlineStr">
        <is>
          <t>Other than (wrong material)</t>
        </is>
      </c>
      <c r="H21" s="15" t="inlineStr">
        <is>
          <t>Flow|NO</t>
        </is>
      </c>
      <c r="I21" s="15" t="inlineStr">
        <is>
          <t>[S] Conveyor, feeder or vibratory feeder stopped (belt tear, drive trip, chute blockage)</t>
        </is>
      </c>
      <c r="K21" s="15" t="inlineStr">
        <is>
          <t>INADEQUATE</t>
        </is>
      </c>
      <c r="L21" s="15" t="inlineStr">
        <is>
          <t>Auxiliary topic not adequately provided</t>
        </is>
      </c>
    </row>
    <row r="22">
      <c r="A22" s="15" t="inlineStr">
        <is>
          <t>Oxygen (lances, burners, pipelines)</t>
        </is>
      </c>
      <c r="C22" s="15" t="inlineStr">
        <is>
          <t>Phase</t>
        </is>
      </c>
      <c r="D22" s="15" t="inlineStr">
        <is>
          <t>OTHER THAN</t>
        </is>
      </c>
      <c r="E22" s="15" t="inlineStr">
        <is>
          <t>Phase|OTHER THAN</t>
        </is>
      </c>
      <c r="F22" s="15" t="inlineStr">
        <is>
          <t>Unintended phase change</t>
        </is>
      </c>
      <c r="H22" s="15" t="inlineStr">
        <is>
          <t>Flow|REVERSE</t>
        </is>
      </c>
      <c r="I22" s="15" t="inlineStr">
        <is>
          <t>Defective or passing non-return valve</t>
        </is>
      </c>
      <c r="K22" s="15" t="inlineStr">
        <is>
          <t>REVIEW</t>
        </is>
      </c>
      <c r="L22" s="15" t="inlineStr">
        <is>
          <t>Overview topic (whole-study review)</t>
        </is>
      </c>
    </row>
    <row r="23">
      <c r="A23" s="15" t="inlineStr">
        <is>
          <t>Inert gas (N2, Ar)</t>
        </is>
      </c>
      <c r="C23" s="15" t="inlineStr">
        <is>
          <t>Reaction</t>
        </is>
      </c>
      <c r="D23" s="15" t="inlineStr">
        <is>
          <t>MORE</t>
        </is>
      </c>
      <c r="E23" s="15" t="inlineStr">
        <is>
          <t>Reaction|MORE</t>
        </is>
      </c>
      <c r="F23" s="15" t="inlineStr">
        <is>
          <t>More reaction / runaway</t>
        </is>
      </c>
      <c r="H23" s="15" t="inlineStr">
        <is>
          <t>Flow|REVERSE</t>
        </is>
      </c>
      <c r="I23" s="15" t="inlineStr">
        <is>
          <t>Siphon effect</t>
        </is>
      </c>
    </row>
    <row r="24">
      <c r="A24" s="15" t="inlineStr">
        <is>
          <t>Electrical energy (furnace / electrolysis)</t>
        </is>
      </c>
      <c r="C24" s="15" t="inlineStr">
        <is>
          <t>Reaction</t>
        </is>
      </c>
      <c r="D24" s="15" t="inlineStr">
        <is>
          <t>LESS</t>
        </is>
      </c>
      <c r="E24" s="15" t="inlineStr">
        <is>
          <t>Reaction|LESS</t>
        </is>
      </c>
      <c r="F24" s="15" t="inlineStr">
        <is>
          <t>Less / no reaction</t>
        </is>
      </c>
      <c r="H24" s="15" t="inlineStr">
        <is>
          <t>Flow|REVERSE</t>
        </is>
      </c>
      <c r="I24" s="15" t="inlineStr">
        <is>
          <t>Incorrect differential pressure</t>
        </is>
      </c>
    </row>
    <row r="25">
      <c r="A25" s="15" t="inlineStr">
        <is>
          <t>Solid charge materials</t>
        </is>
      </c>
      <c r="C25" s="15" t="inlineStr">
        <is>
          <t>Reaction</t>
        </is>
      </c>
      <c r="D25" s="15" t="inlineStr">
        <is>
          <t>NO</t>
        </is>
      </c>
      <c r="E25" s="15" t="inlineStr">
        <is>
          <t>Reaction|NO</t>
        </is>
      </c>
      <c r="F25" s="15" t="inlineStr">
        <is>
          <t>Less / no reaction</t>
        </is>
      </c>
      <c r="H25" s="15" t="inlineStr">
        <is>
          <t>Flow|REVERSE</t>
        </is>
      </c>
      <c r="I25" s="15" t="inlineStr">
        <is>
          <t>Two-way flow in common headers</t>
        </is>
      </c>
    </row>
    <row r="26">
      <c r="A26" s="15" t="inlineStr">
        <is>
          <t>Hot DRI / HBI temperature</t>
        </is>
      </c>
      <c r="C26" s="15" t="inlineStr">
        <is>
          <t>Reaction</t>
        </is>
      </c>
      <c r="D26" s="15" t="inlineStr">
        <is>
          <t>OTHER THAN</t>
        </is>
      </c>
      <c r="E26" s="15" t="inlineStr">
        <is>
          <t>Reaction|OTHER THAN</t>
        </is>
      </c>
      <c r="F26" s="15" t="inlineStr">
        <is>
          <t>Unwanted side reaction (Other than)</t>
        </is>
      </c>
      <c r="H26" s="15" t="inlineStr">
        <is>
          <t>Flow|REVERSE</t>
        </is>
      </c>
      <c r="I26" s="15" t="inlineStr">
        <is>
          <t>Poor isolation / passing valves</t>
        </is>
      </c>
    </row>
    <row r="27">
      <c r="A27" s="15" t="inlineStr">
        <is>
          <t>Combustible dust</t>
        </is>
      </c>
      <c r="C27" s="15" t="inlineStr">
        <is>
          <t>Mixing / agitation</t>
        </is>
      </c>
      <c r="D27" s="15" t="inlineStr">
        <is>
          <t>NO</t>
        </is>
      </c>
      <c r="E27" s="15" t="inlineStr">
        <is>
          <t>Mixing / agitation|NO</t>
        </is>
      </c>
      <c r="F27" s="15" t="inlineStr">
        <is>
          <t>No / less / more mixing</t>
        </is>
      </c>
      <c r="H27" s="15" t="inlineStr">
        <is>
          <t>Flow|REVERSE</t>
        </is>
      </c>
      <c r="I27" s="15" t="inlineStr">
        <is>
          <t>Emergency venting or depressurisation</t>
        </is>
      </c>
    </row>
    <row r="28">
      <c r="A28" s="15" t="inlineStr">
        <is>
          <t>Hydraulic / lube oil</t>
        </is>
      </c>
      <c r="C28" s="15" t="inlineStr">
        <is>
          <t>Mixing / agitation</t>
        </is>
      </c>
      <c r="D28" s="15" t="inlineStr">
        <is>
          <t>LESS</t>
        </is>
      </c>
      <c r="E28" s="15" t="inlineStr">
        <is>
          <t>Mixing / agitation|LESS</t>
        </is>
      </c>
      <c r="F28" s="15" t="inlineStr">
        <is>
          <t>No / less / more mixing</t>
        </is>
      </c>
      <c r="H28" s="15" t="inlineStr">
        <is>
          <t>Flow|REVERSE</t>
        </is>
      </c>
      <c r="I28" s="15" t="inlineStr">
        <is>
          <t>Incorrect operation (valve opened out of sequence)</t>
        </is>
      </c>
    </row>
    <row r="29">
      <c r="A29" s="15" t="inlineStr">
        <is>
          <t>Load control (cranes, ladle / transfer cars)</t>
        </is>
      </c>
      <c r="C29" s="15" t="inlineStr">
        <is>
          <t>Mixing / agitation</t>
        </is>
      </c>
      <c r="D29" s="15" t="inlineStr">
        <is>
          <t>MORE</t>
        </is>
      </c>
      <c r="E29" s="15" t="inlineStr">
        <is>
          <t>Mixing / agitation|MORE</t>
        </is>
      </c>
      <c r="F29" s="15" t="inlineStr">
        <is>
          <t>No / less / more mixing</t>
        </is>
      </c>
      <c r="H29" s="15" t="inlineStr">
        <is>
          <t>Flow|REVERSE</t>
        </is>
      </c>
      <c r="I29" s="15" t="inlineStr">
        <is>
          <t>Pump failure or pump running in reverse (wrong rotation after motor rewiring)</t>
        </is>
      </c>
    </row>
    <row r="30">
      <c r="A30" s="15" t="inlineStr">
        <is>
          <t>Casting speed / mould level</t>
        </is>
      </c>
      <c r="C30" s="15" t="inlineStr">
        <is>
          <t>Timing / sequence</t>
        </is>
      </c>
      <c r="D30" s="15" t="inlineStr">
        <is>
          <t>EARLY</t>
        </is>
      </c>
      <c r="E30" s="15" t="inlineStr">
        <is>
          <t>Timing / sequence|EARLY</t>
        </is>
      </c>
      <c r="F30" s="15" t="inlineStr">
        <is>
          <t>Early / late / before / after / step omitted</t>
        </is>
      </c>
      <c r="H30" s="15" t="inlineStr">
        <is>
          <t>Flow|REVERSE</t>
        </is>
      </c>
      <c r="I30" s="15" t="inlineStr">
        <is>
          <t>[C] Process fluid backflow into utility lines (nitrogen, steam, cooling water, potable water) when utility pressure is lower than process</t>
        </is>
      </c>
    </row>
    <row r="31">
      <c r="A31" s="15" t="inlineStr">
        <is>
          <t>Refractory</t>
        </is>
      </c>
      <c r="C31" s="15" t="inlineStr">
        <is>
          <t>Timing / sequence</t>
        </is>
      </c>
      <c r="D31" s="15" t="inlineStr">
        <is>
          <t>LATE</t>
        </is>
      </c>
      <c r="E31" s="15" t="inlineStr">
        <is>
          <t>Timing / sequence|LATE</t>
        </is>
      </c>
      <c r="F31" s="15" t="inlineStr">
        <is>
          <t>Early / late / before / after / step omitted</t>
        </is>
      </c>
      <c r="H31" s="15" t="inlineStr">
        <is>
          <t>Flow|REVERSE</t>
        </is>
      </c>
      <c r="I31" s="15" t="inlineStr">
        <is>
          <t>[S] CO-rich process gas (BFG, COG, BOF/LD gas, DRI top gas) backflowing into nitrogen, air or steam headers</t>
        </is>
      </c>
    </row>
    <row r="32">
      <c r="A32" s="15" t="inlineStr">
        <is>
          <t>Pickling acid / zinc bath</t>
        </is>
      </c>
      <c r="C32" s="15" t="inlineStr">
        <is>
          <t>Timing / sequence</t>
        </is>
      </c>
      <c r="D32" s="15" t="inlineStr">
        <is>
          <t>BEFORE</t>
        </is>
      </c>
      <c r="E32" s="15" t="inlineStr">
        <is>
          <t>Timing / sequence|BEFORE</t>
        </is>
      </c>
      <c r="F32" s="15" t="inlineStr">
        <is>
          <t>Early / late / before / after / step omitted</t>
        </is>
      </c>
      <c r="H32" s="15" t="inlineStr">
        <is>
          <t>Flow|REVERSE</t>
        </is>
      </c>
      <c r="I32" s="15" t="inlineStr">
        <is>
          <t>[S] Flashback in fuel-gas, oxygen or oxy-fuel lines (flame arrestor missing or failed)</t>
        </is>
      </c>
    </row>
    <row r="33">
      <c r="A33" s="15" t="inlineStr">
        <is>
          <t>Relief</t>
        </is>
      </c>
      <c r="C33" s="15" t="inlineStr">
        <is>
          <t>Timing / sequence</t>
        </is>
      </c>
      <c r="D33" s="15" t="inlineStr">
        <is>
          <t>AFTER</t>
        </is>
      </c>
      <c r="E33" s="15" t="inlineStr">
        <is>
          <t>Timing / sequence|AFTER</t>
        </is>
      </c>
      <c r="F33" s="15" t="inlineStr">
        <is>
          <t>Early / late / before / after / step omitted</t>
        </is>
      </c>
      <c r="H33" s="15" t="inlineStr">
        <is>
          <t>Flow|REVERSE</t>
        </is>
      </c>
      <c r="I33" s="15" t="inlineStr">
        <is>
          <t>[S] Loss of water seal / seal pot allowing gas back-flow into the plant or atmosphere</t>
        </is>
      </c>
    </row>
    <row r="34">
      <c r="A34" s="15" t="inlineStr">
        <is>
          <t>Process control / instrumentation</t>
        </is>
      </c>
      <c r="C34" s="15" t="inlineStr">
        <is>
          <t>Timing / sequence</t>
        </is>
      </c>
      <c r="D34" s="15" t="inlineStr">
        <is>
          <t>NO</t>
        </is>
      </c>
      <c r="E34" s="15" t="inlineStr">
        <is>
          <t>Timing / sequence|NO</t>
        </is>
      </c>
      <c r="F34" s="15" t="inlineStr">
        <is>
          <t>Early / late / before / after / step omitted</t>
        </is>
      </c>
      <c r="H34" s="15" t="inlineStr">
        <is>
          <t>Flow|REVERSE</t>
        </is>
      </c>
      <c r="I34" s="15" t="inlineStr">
        <is>
          <t>[S] Reverse flow of cooling water due to loss of pump with elevated header (draining of cooling circuits)</t>
        </is>
      </c>
    </row>
    <row r="35">
      <c r="A35" s="15" t="inlineStr">
        <is>
          <t>Sampling</t>
        </is>
      </c>
      <c r="C35" s="15" t="inlineStr">
        <is>
          <t>Rate of change</t>
        </is>
      </c>
      <c r="D35" s="15" t="inlineStr">
        <is>
          <t>FASTER</t>
        </is>
      </c>
      <c r="E35" s="15" t="inlineStr">
        <is>
          <t>Rate of change|FASTER</t>
        </is>
      </c>
      <c r="F35" s="15" t="inlineStr">
        <is>
          <t>Faster / slower</t>
        </is>
      </c>
      <c r="H35" s="15" t="inlineStr">
        <is>
          <t>Flow|MORE</t>
        </is>
      </c>
      <c r="I35" s="15" t="inlineStr">
        <is>
          <t>High level in upstream vessel (higher static head)</t>
        </is>
      </c>
    </row>
    <row r="36">
      <c r="A36" s="15" t="inlineStr">
        <is>
          <t>Corrosion / erosion</t>
        </is>
      </c>
      <c r="C36" s="15" t="inlineStr">
        <is>
          <t>Rate of change</t>
        </is>
      </c>
      <c r="D36" s="15" t="inlineStr">
        <is>
          <t>SLOWER</t>
        </is>
      </c>
      <c r="E36" s="15" t="inlineStr">
        <is>
          <t>Rate of change|SLOWER</t>
        </is>
      </c>
      <c r="F36" s="15" t="inlineStr">
        <is>
          <t>Faster / slower</t>
        </is>
      </c>
      <c r="H36" s="15" t="inlineStr">
        <is>
          <t>Flow|MORE</t>
        </is>
      </c>
      <c r="I36" s="15" t="inlineStr">
        <is>
          <t>Increased pumping capacity (parallel pumps started, larger impeller fitted)</t>
        </is>
      </c>
    </row>
    <row r="37">
      <c r="A37" s="15" t="inlineStr">
        <is>
          <t>Utilities / services</t>
        </is>
      </c>
      <c r="C37" s="15" t="inlineStr">
        <is>
          <t>Viscosity / density</t>
        </is>
      </c>
      <c r="D37" s="15" t="inlineStr">
        <is>
          <t>MORE</t>
        </is>
      </c>
      <c r="E37" s="15" t="inlineStr">
        <is>
          <t>Viscosity / density|MORE</t>
        </is>
      </c>
      <c r="F37" s="15" t="inlineStr">
        <is>
          <t>More / less viscosity or density</t>
        </is>
      </c>
      <c r="H37" s="15" t="inlineStr">
        <is>
          <t>Flow|MORE</t>
        </is>
      </c>
      <c r="I37" s="15" t="inlineStr">
        <is>
          <t>Increased suction pressure / reduced delivery head</t>
        </is>
      </c>
    </row>
    <row r="38">
      <c r="A38" s="15" t="inlineStr">
        <is>
          <t>Maintenance</t>
        </is>
      </c>
      <c r="C38" s="15" t="inlineStr">
        <is>
          <t>Viscosity / density</t>
        </is>
      </c>
      <c r="D38" s="15" t="inlineStr">
        <is>
          <t>LESS</t>
        </is>
      </c>
      <c r="E38" s="15" t="inlineStr">
        <is>
          <t>Viscosity / density|LESS</t>
        </is>
      </c>
      <c r="F38" s="15" t="inlineStr">
        <is>
          <t>More / less viscosity or density</t>
        </is>
      </c>
      <c r="H38" s="15" t="inlineStr">
        <is>
          <t>Flow|MORE</t>
        </is>
      </c>
      <c r="I38" s="15" t="inlineStr">
        <is>
          <t>Greater fluid density</t>
        </is>
      </c>
    </row>
    <row r="39">
      <c r="A39" s="15" t="inlineStr">
        <is>
          <t>Spare equipment</t>
        </is>
      </c>
      <c r="C39" s="15" t="inlineStr">
        <is>
          <t>Molten metal / slag containment</t>
        </is>
      </c>
      <c r="D39" s="15" t="inlineStr">
        <is>
          <t>LOSS OF</t>
        </is>
      </c>
      <c r="E39" s="15" t="inlineStr">
        <is>
          <t>Molten metal / slag containment|LOSS OF</t>
        </is>
      </c>
      <c r="F39" s="15" t="inlineStr">
        <is>
          <t>Loss of containment (breakout, spill, splash)</t>
        </is>
      </c>
      <c r="H39" s="15" t="inlineStr">
        <is>
          <t>Flow|MORE</t>
        </is>
      </c>
      <c r="I39" s="15" t="inlineStr">
        <is>
          <t>Exchanger tube leaks (high-pressure side into low-pressure side)</t>
        </is>
      </c>
    </row>
    <row r="40">
      <c r="A40" s="15" t="inlineStr">
        <is>
          <t>Electrical safety / static</t>
        </is>
      </c>
      <c r="C40" s="15" t="inlineStr">
        <is>
          <t>Water contact with molten metal / slag</t>
        </is>
      </c>
      <c r="D40" s="15" t="inlineStr">
        <is>
          <t>AS WELL AS</t>
        </is>
      </c>
      <c r="E40" s="15" t="inlineStr">
        <is>
          <t>Water contact with molten metal / slag|AS WELL AS</t>
        </is>
      </c>
      <c r="F40" s="15" t="inlineStr">
        <is>
          <t>Molten metal / slag contact with water (As well as)</t>
        </is>
      </c>
      <c r="H40" s="15" t="inlineStr">
        <is>
          <t>Flow|MORE</t>
        </is>
      </c>
      <c r="I40" s="15" t="inlineStr">
        <is>
          <t>Restriction orifice plates deleted or scale dislodged</t>
        </is>
      </c>
    </row>
    <row r="41">
      <c r="A41" s="15" t="inlineStr">
        <is>
          <t>Operator action</t>
        </is>
      </c>
      <c r="C41" s="15" t="inlineStr">
        <is>
          <t>Cooling water flow (water-cooled elements)</t>
        </is>
      </c>
      <c r="D41" s="15" t="inlineStr">
        <is>
          <t>NO</t>
        </is>
      </c>
      <c r="E41" s="15" t="inlineStr">
        <is>
          <t>Cooling water flow (water-cooled elements)|NO</t>
        </is>
      </c>
      <c r="F41" s="15" t="inlineStr">
        <is>
          <t>No / less cooling water</t>
        </is>
      </c>
      <c r="H41" s="15" t="inlineStr">
        <is>
          <t>Flow|MORE</t>
        </is>
      </c>
      <c r="I41" s="15" t="inlineStr">
        <is>
          <t>Cross-connection of systems</t>
        </is>
      </c>
    </row>
    <row r="42">
      <c r="A42" s="15" t="inlineStr">
        <is>
          <t>Simplicity</t>
        </is>
      </c>
      <c r="C42" s="15" t="inlineStr">
        <is>
          <t>Cooling water flow (water-cooled elements)</t>
        </is>
      </c>
      <c r="D42" s="15" t="inlineStr">
        <is>
          <t>LESS</t>
        </is>
      </c>
      <c r="E42" s="15" t="inlineStr">
        <is>
          <t>Cooling water flow (water-cooled elements)|LESS</t>
        </is>
      </c>
      <c r="F42" s="15" t="inlineStr">
        <is>
          <t>No / less cooling water</t>
        </is>
      </c>
      <c r="H42" s="15" t="inlineStr">
        <is>
          <t>Flow|MORE</t>
        </is>
      </c>
      <c r="I42" s="15" t="inlineStr">
        <is>
          <t>Control faults – control valve fails open, bypass left open, wrong set point</t>
        </is>
      </c>
    </row>
    <row r="43">
      <c r="A43" s="15" t="inlineStr">
        <is>
          <t>Output – reliability and bottlenecks</t>
        </is>
      </c>
      <c r="C43" s="15" t="inlineStr">
        <is>
          <t>Water-cooled element integrity</t>
        </is>
      </c>
      <c r="D43" s="15" t="inlineStr">
        <is>
          <t>LOSS OF</t>
        </is>
      </c>
      <c r="E43" s="15" t="inlineStr">
        <is>
          <t>Water-cooled element integrity|LOSS OF</t>
        </is>
      </c>
      <c r="F43" s="15" t="inlineStr">
        <is>
          <t>Water leak into furnace / vessel</t>
        </is>
      </c>
      <c r="H43" s="15" t="inlineStr">
        <is>
          <t>Flow|MORE</t>
        </is>
      </c>
      <c r="I43" s="15" t="inlineStr">
        <is>
          <t>Two-phase flow</t>
        </is>
      </c>
    </row>
    <row r="44">
      <c r="A44" s="15" t="inlineStr">
        <is>
          <t>Efficiency – losses</t>
        </is>
      </c>
      <c r="C44" s="15" t="inlineStr">
        <is>
          <t>Process gas (CO, H2 – BFG, COG, LD gas, reducing gas)</t>
        </is>
      </c>
      <c r="D44" s="15" t="inlineStr">
        <is>
          <t>LEAK OF</t>
        </is>
      </c>
      <c r="E44" s="15" t="inlineStr">
        <is>
          <t>Process gas (CO, H2 – BFG, COG, LD gas, reducing gas)|LEAK OF</t>
        </is>
      </c>
      <c r="F44" s="15" t="inlineStr">
        <is>
          <t>Toxic release (Other than / As well as)</t>
        </is>
      </c>
      <c r="H44" s="15" t="inlineStr">
        <is>
          <t>Flow|MORE</t>
        </is>
      </c>
      <c r="I44" s="15" t="inlineStr">
        <is>
          <t>Power failure (valves failing open)</t>
        </is>
      </c>
    </row>
    <row r="45">
      <c r="A45" s="15" t="inlineStr">
        <is>
          <t>Construction</t>
        </is>
      </c>
      <c r="C45" s="15" t="inlineStr">
        <is>
          <t>Air / oxygen in process gas</t>
        </is>
      </c>
      <c r="D45" s="15" t="inlineStr">
        <is>
          <t>AS WELL AS</t>
        </is>
      </c>
      <c r="E45" s="15" t="inlineStr">
        <is>
          <t>Air / oxygen in process gas|AS WELL AS</t>
        </is>
      </c>
      <c r="F45" s="15" t="inlineStr">
        <is>
          <t>Explosive mixture (air or oxygen in gas)</t>
        </is>
      </c>
      <c r="H45" s="15" t="inlineStr">
        <is>
          <t>Flow|MORE</t>
        </is>
      </c>
      <c r="I45" s="15" t="inlineStr">
        <is>
          <t>[C] Reagent dosing pump over-delivery (wrong stroke setting)</t>
        </is>
      </c>
    </row>
    <row r="46">
      <c r="A46" s="15" t="inlineStr">
        <is>
          <t>Commissioning</t>
        </is>
      </c>
      <c r="C46" s="15" t="inlineStr">
        <is>
          <t>Oxygen (lances, burners, pipelines)</t>
        </is>
      </c>
      <c r="D46" s="15" t="inlineStr">
        <is>
          <t>LEAK OF</t>
        </is>
      </c>
      <c r="E46" s="15" t="inlineStr">
        <is>
          <t>Oxygen (lances, burners, pipelines)|LEAK OF</t>
        </is>
      </c>
      <c r="F46" s="15" t="inlineStr">
        <is>
          <t>Oxygen fire / oxygen enrichment</t>
        </is>
      </c>
      <c r="H46" s="15" t="inlineStr">
        <is>
          <t>Flow|MORE</t>
        </is>
      </c>
      <c r="I46" s="15" t="inlineStr">
        <is>
          <t>[S] Excessive oxygen flow to lance, burners or tuyeres (flow controller fault, wrong recipe)</t>
        </is>
      </c>
    </row>
    <row r="47">
      <c r="A47" s="15" t="inlineStr">
        <is>
          <t>Start-up</t>
        </is>
      </c>
      <c r="C47" s="15" t="inlineStr">
        <is>
          <t>Oxygen (lances, burners, pipelines)</t>
        </is>
      </c>
      <c r="D47" s="15" t="inlineStr">
        <is>
          <t>AS WELL AS</t>
        </is>
      </c>
      <c r="E47" s="15" t="inlineStr">
        <is>
          <t>Oxygen (lances, burners, pipelines)|AS WELL AS</t>
        </is>
      </c>
      <c r="F47" s="15" t="inlineStr">
        <is>
          <t>Oxygen fire / oxygen enrichment</t>
        </is>
      </c>
      <c r="H47" s="15" t="inlineStr">
        <is>
          <t>Flow|MORE</t>
        </is>
      </c>
      <c r="I47" s="15" t="inlineStr">
        <is>
          <t>[S] Over-feeding of DRI, scrap, fluxes or alloys (feeder speed, weigh-hopper failure)</t>
        </is>
      </c>
    </row>
    <row r="48">
      <c r="A48" s="15" t="inlineStr">
        <is>
          <t>Shutdown (isolation, purging)</t>
        </is>
      </c>
      <c r="C48" s="15" t="inlineStr">
        <is>
          <t>Inert gas (N2, Ar)</t>
        </is>
      </c>
      <c r="D48" s="15" t="inlineStr">
        <is>
          <t>LEAK OF</t>
        </is>
      </c>
      <c r="E48" s="15" t="inlineStr">
        <is>
          <t>Inert gas (N2, Ar)|LEAK OF</t>
        </is>
      </c>
      <c r="F48" s="15" t="inlineStr">
        <is>
          <t>Asphyxiation / loss of inerting</t>
        </is>
      </c>
      <c r="H48" s="15" t="inlineStr">
        <is>
          <t>Flow|MORE</t>
        </is>
      </c>
      <c r="I48" s="15" t="inlineStr">
        <is>
          <t>[S] Excess fuel gas to reheat furnace, ladle pre-heater or stove burners</t>
        </is>
      </c>
    </row>
    <row r="49">
      <c r="A49" s="15" t="inlineStr">
        <is>
          <t>Breakdown (including service failure)</t>
        </is>
      </c>
      <c r="C49" s="15" t="inlineStr">
        <is>
          <t>Inert gas (N2, Ar)</t>
        </is>
      </c>
      <c r="D49" s="15" t="inlineStr">
        <is>
          <t>LOSS OF</t>
        </is>
      </c>
      <c r="E49" s="15" t="inlineStr">
        <is>
          <t>Inert gas (N2, Ar)|LOSS OF</t>
        </is>
      </c>
      <c r="F49" s="15" t="inlineStr">
        <is>
          <t>Asphyxiation / loss of inerting</t>
        </is>
      </c>
      <c r="H49" s="15" t="inlineStr">
        <is>
          <t>Flow|LESS</t>
        </is>
      </c>
      <c r="I49" s="15" t="inlineStr">
        <is>
          <t>Low level in upstream vessel</t>
        </is>
      </c>
    </row>
    <row r="50">
      <c r="A50" s="15" t="inlineStr">
        <is>
          <t>Materials</t>
        </is>
      </c>
      <c r="C50" s="15" t="inlineStr">
        <is>
          <t>Electrical energy (furnace / electrolysis)</t>
        </is>
      </c>
      <c r="D50" s="15" t="inlineStr">
        <is>
          <t>MORE</t>
        </is>
      </c>
      <c r="E50" s="15" t="inlineStr">
        <is>
          <t>Electrical energy (furnace / electrolysis)|MORE</t>
        </is>
      </c>
      <c r="F50" s="15" t="inlineStr">
        <is>
          <t>More / less / other than intended</t>
        </is>
      </c>
      <c r="H50" s="15" t="inlineStr">
        <is>
          <t>Flow|LESS</t>
        </is>
      </c>
      <c r="I50" s="15" t="inlineStr">
        <is>
          <t>Line restriction; valve partly closed</t>
        </is>
      </c>
    </row>
    <row r="51">
      <c r="A51" s="15" t="inlineStr">
        <is>
          <t>Utilities and services</t>
        </is>
      </c>
      <c r="C51" s="15" t="inlineStr">
        <is>
          <t>Electrical energy (furnace / electrolysis)</t>
        </is>
      </c>
      <c r="D51" s="15" t="inlineStr">
        <is>
          <t>LESS</t>
        </is>
      </c>
      <c r="E51" s="15" t="inlineStr">
        <is>
          <t>Electrical energy (furnace / electrolysis)|LESS</t>
        </is>
      </c>
      <c r="F51" s="15" t="inlineStr">
        <is>
          <t>More / less / other than intended</t>
        </is>
      </c>
      <c r="H51" s="15" t="inlineStr">
        <is>
          <t>Flow|LESS</t>
        </is>
      </c>
      <c r="I51" s="15" t="inlineStr">
        <is>
          <t>Filter or strainer blockage</t>
        </is>
      </c>
    </row>
    <row r="52">
      <c r="A52" s="15" t="inlineStr">
        <is>
          <t>Toxicity</t>
        </is>
      </c>
      <c r="C52" s="15" t="inlineStr">
        <is>
          <t>Electrical energy (furnace / electrolysis)</t>
        </is>
      </c>
      <c r="D52" s="15" t="inlineStr">
        <is>
          <t>OTHER THAN</t>
        </is>
      </c>
      <c r="E52" s="15" t="inlineStr">
        <is>
          <t>Electrical energy (furnace / electrolysis)|OTHER THAN</t>
        </is>
      </c>
      <c r="F52" s="15" t="inlineStr">
        <is>
          <t>More / less / other than intended</t>
        </is>
      </c>
      <c r="H52" s="15" t="inlineStr">
        <is>
          <t>Flow|LESS</t>
        </is>
      </c>
      <c r="I52" s="15" t="inlineStr">
        <is>
          <t>Pipe or vessel leakage</t>
        </is>
      </c>
    </row>
    <row r="53">
      <c r="A53" s="15" t="inlineStr">
        <is>
          <t>Fire and explosion</t>
        </is>
      </c>
      <c r="C53" s="15" t="inlineStr">
        <is>
          <t>Solid charge materials</t>
        </is>
      </c>
      <c r="D53" s="15" t="inlineStr">
        <is>
          <t>OTHER THAN</t>
        </is>
      </c>
      <c r="E53" s="15" t="inlineStr">
        <is>
          <t>Solid charge materials|OTHER THAN</t>
        </is>
      </c>
      <c r="F53" s="15" t="inlineStr">
        <is>
          <t>Wrong / contaminated / excess charge</t>
        </is>
      </c>
      <c r="H53" s="15" t="inlineStr">
        <is>
          <t>Flow|LESS</t>
        </is>
      </c>
      <c r="I53" s="15" t="inlineStr">
        <is>
          <t>Defective pumps (worn impeller, cavitation, air ingress, seal failure)</t>
        </is>
      </c>
    </row>
    <row r="54">
      <c r="A54" s="15" t="inlineStr">
        <is>
          <t>Environmental impact</t>
        </is>
      </c>
      <c r="C54" s="15" t="inlineStr">
        <is>
          <t>Solid charge materials</t>
        </is>
      </c>
      <c r="D54" s="15" t="inlineStr">
        <is>
          <t>AS WELL AS</t>
        </is>
      </c>
      <c r="E54" s="15" t="inlineStr">
        <is>
          <t>Solid charge materials|AS WELL AS</t>
        </is>
      </c>
      <c r="F54" s="15" t="inlineStr">
        <is>
          <t>Wrong / contaminated / excess charge</t>
        </is>
      </c>
      <c r="H54" s="15" t="inlineStr">
        <is>
          <t>Flow|LESS</t>
        </is>
      </c>
      <c r="I54" s="15" t="inlineStr">
        <is>
          <t>Fouling of vessels, valves, restrictors or orifice plates</t>
        </is>
      </c>
    </row>
    <row r="55">
      <c r="A55" s="15" t="inlineStr">
        <is>
          <t>Natural hazards</t>
        </is>
      </c>
      <c r="C55" s="15" t="inlineStr">
        <is>
          <t>Solid charge materials</t>
        </is>
      </c>
      <c r="D55" s="15" t="inlineStr">
        <is>
          <t>MORE</t>
        </is>
      </c>
      <c r="E55" s="15" t="inlineStr">
        <is>
          <t>Solid charge materials|MORE</t>
        </is>
      </c>
      <c r="F55" s="15" t="inlineStr">
        <is>
          <t>Wrong / contaminated / excess charge</t>
        </is>
      </c>
      <c r="H55" s="15" t="inlineStr">
        <is>
          <t>Flow|LESS</t>
        </is>
      </c>
      <c r="I55" s="15" t="inlineStr">
        <is>
          <t>Density or viscosity problems</t>
        </is>
      </c>
    </row>
    <row r="56">
      <c r="A56" s="15" t="inlineStr">
        <is>
          <t>Quality and consistency</t>
        </is>
      </c>
      <c r="C56" s="15" t="inlineStr">
        <is>
          <t>Hot DRI / HBI temperature</t>
        </is>
      </c>
      <c r="D56" s="15" t="inlineStr">
        <is>
          <t>MORE</t>
        </is>
      </c>
      <c r="E56" s="15" t="inlineStr">
        <is>
          <t>Hot DRI / HBI temperature|MORE</t>
        </is>
      </c>
      <c r="F56" s="15" t="inlineStr">
        <is>
          <t>Self-heating / fire / gas generation</t>
        </is>
      </c>
      <c r="H56" s="15" t="inlineStr">
        <is>
          <t>Flow|LESS</t>
        </is>
      </c>
      <c r="I56" s="15" t="inlineStr">
        <is>
          <t>Incorrect specification of process fluid</t>
        </is>
      </c>
    </row>
    <row r="57">
      <c r="A57" s="15" t="inlineStr">
        <is>
          <t>Procedures – development and documentation</t>
        </is>
      </c>
      <c r="C57" s="15" t="inlineStr">
        <is>
          <t>Combustible dust</t>
        </is>
      </c>
      <c r="D57" s="15" t="inlineStr">
        <is>
          <t>MORE</t>
        </is>
      </c>
      <c r="E57" s="15" t="inlineStr">
        <is>
          <t>Combustible dust|MORE</t>
        </is>
      </c>
      <c r="F57" s="15" t="inlineStr">
        <is>
          <t>Dust cloud / ignition</t>
        </is>
      </c>
      <c r="H57" s="15" t="inlineStr">
        <is>
          <t>Flow|LESS</t>
        </is>
      </c>
      <c r="I57" s="15" t="inlineStr">
        <is>
          <t>Two-phase flow</t>
        </is>
      </c>
    </row>
    <row r="58">
      <c r="A58" s="15" t="inlineStr">
        <is>
          <t>Safety equipment</t>
        </is>
      </c>
      <c r="C58" s="15" t="inlineStr">
        <is>
          <t>Hydraulic / lube oil</t>
        </is>
      </c>
      <c r="D58" s="15" t="inlineStr">
        <is>
          <t>LEAK OF</t>
        </is>
      </c>
      <c r="E58" s="15" t="inlineStr">
        <is>
          <t>Hydraulic / lube oil|LEAK OF</t>
        </is>
      </c>
      <c r="F58" s="15" t="inlineStr">
        <is>
          <t>Leak / fire / loss of pressure</t>
        </is>
      </c>
      <c r="H58" s="15" t="inlineStr">
        <is>
          <t>Flow|LESS</t>
        </is>
      </c>
      <c r="I58" s="15" t="inlineStr">
        <is>
          <t>[C] Catalyst bed plugging or high pressure drop</t>
        </is>
      </c>
    </row>
    <row r="59">
      <c r="A59" s="15" t="inlineStr">
        <is>
          <t>Egress / access</t>
        </is>
      </c>
      <c r="C59" s="15" t="inlineStr">
        <is>
          <t>Hydraulic / lube oil</t>
        </is>
      </c>
      <c r="D59" s="15" t="inlineStr">
        <is>
          <t>LESS</t>
        </is>
      </c>
      <c r="E59" s="15" t="inlineStr">
        <is>
          <t>Hydraulic / lube oil|LESS</t>
        </is>
      </c>
      <c r="F59" s="15" t="inlineStr">
        <is>
          <t>Leak / fire / loss of pressure</t>
        </is>
      </c>
      <c r="H59" s="15" t="inlineStr">
        <is>
          <t>Flow|LESS</t>
        </is>
      </c>
      <c r="I59" s="15" t="inlineStr">
        <is>
          <t>[S] Scale, silt or biological fouling in cooling passages of panels, roof, tuyeres, staves, lances or copper moulds</t>
        </is>
      </c>
    </row>
    <row r="60">
      <c r="A60" s="15" t="inlineStr">
        <is>
          <t>Entry / exit points</t>
        </is>
      </c>
      <c r="C60" s="15" t="inlineStr">
        <is>
          <t>Load control (cranes, ladle / transfer cars)</t>
        </is>
      </c>
      <c r="D60" s="15" t="inlineStr">
        <is>
          <t>LOSS OF</t>
        </is>
      </c>
      <c r="E60" s="15" t="inlineStr">
        <is>
          <t>Load control (cranes, ladle / transfer cars)|LOSS OF</t>
        </is>
      </c>
      <c r="F60" s="15" t="inlineStr">
        <is>
          <t>Failure / collision / dropped load</t>
        </is>
      </c>
      <c r="H60" s="15" t="inlineStr">
        <is>
          <t>Flow|LESS</t>
        </is>
      </c>
      <c r="I60" s="15" t="inlineStr">
        <is>
          <t>[S] Partly blocked tap hole or nozzle (low tapping rate)</t>
        </is>
      </c>
    </row>
    <row r="61">
      <c r="A61" s="15" t="inlineStr">
        <is>
          <t>Layout and facility siting</t>
        </is>
      </c>
      <c r="C61" s="15" t="inlineStr">
        <is>
          <t>Casting speed / mould level</t>
        </is>
      </c>
      <c r="D61" s="15" t="inlineStr">
        <is>
          <t>MORE</t>
        </is>
      </c>
      <c r="E61" s="15" t="inlineStr">
        <is>
          <t>Casting speed / mould level|MORE</t>
        </is>
      </c>
      <c r="F61" s="15" t="inlineStr">
        <is>
          <t>Casting speed / mould level / product handling deviations</t>
        </is>
      </c>
      <c r="H61" s="15" t="inlineStr">
        <is>
          <t>Flow|LESS</t>
        </is>
      </c>
      <c r="I61" s="15" t="inlineStr">
        <is>
          <t>[S] Dust build-up in off-gas ducts, fans, baghouses or venturi scrubbers</t>
        </is>
      </c>
    </row>
    <row r="62">
      <c r="C62" s="15" t="inlineStr">
        <is>
          <t>Casting speed / mould level</t>
        </is>
      </c>
      <c r="D62" s="15" t="inlineStr">
        <is>
          <t>LESS</t>
        </is>
      </c>
      <c r="E62" s="15" t="inlineStr">
        <is>
          <t>Casting speed / mould level|LESS</t>
        </is>
      </c>
      <c r="F62" s="15" t="inlineStr">
        <is>
          <t>Casting speed / mould level / product handling deviations</t>
        </is>
      </c>
      <c r="H62" s="15" t="inlineStr">
        <is>
          <t>Flow|OTHER THAN</t>
        </is>
      </c>
      <c r="I62" s="15" t="inlineStr">
        <is>
          <t>Cross-connection between systems; wrong hose connected</t>
        </is>
      </c>
    </row>
    <row r="63">
      <c r="C63" s="15" t="inlineStr">
        <is>
          <t>Refractory</t>
        </is>
      </c>
      <c r="D63" s="15" t="inlineStr">
        <is>
          <t>LESS</t>
        </is>
      </c>
      <c r="E63" s="15" t="inlineStr">
        <is>
          <t>Refractory|LESS</t>
        </is>
      </c>
      <c r="F63" s="15" t="inlineStr">
        <is>
          <t>Less / failed refractory</t>
        </is>
      </c>
      <c r="H63" s="15" t="inlineStr">
        <is>
          <t>Flow|OTHER THAN</t>
        </is>
      </c>
      <c r="I63" s="15" t="inlineStr">
        <is>
          <t>Road / rail tanker discharged into wrong storage tank</t>
        </is>
      </c>
    </row>
    <row r="64">
      <c r="C64" s="15" t="inlineStr">
        <is>
          <t>Pickling acid / zinc bath</t>
        </is>
      </c>
      <c r="D64" s="15" t="inlineStr">
        <is>
          <t>MORE</t>
        </is>
      </c>
      <c r="E64" s="15" t="inlineStr">
        <is>
          <t>Pickling acid / zinc bath|MORE</t>
        </is>
      </c>
      <c r="F64" s="15" t="inlineStr">
        <is>
          <t>Concentration / temperature / contamination deviations</t>
        </is>
      </c>
      <c r="H64" s="15" t="inlineStr">
        <is>
          <t>Flow|OTHER THAN</t>
        </is>
      </c>
      <c r="I64" s="15" t="inlineStr">
        <is>
          <t>Drain or vent valves left open</t>
        </is>
      </c>
    </row>
    <row r="65">
      <c r="C65" s="15" t="inlineStr">
        <is>
          <t>Pickling acid / zinc bath</t>
        </is>
      </c>
      <c r="D65" s="15" t="inlineStr">
        <is>
          <t>LESS</t>
        </is>
      </c>
      <c r="E65" s="15" t="inlineStr">
        <is>
          <t>Pickling acid / zinc bath|LESS</t>
        </is>
      </c>
      <c r="F65" s="15" t="inlineStr">
        <is>
          <t>Concentration / temperature / contamination deviations</t>
        </is>
      </c>
      <c r="H65" s="15" t="inlineStr">
        <is>
          <t>Flow|OTHER THAN</t>
        </is>
      </c>
      <c r="I65" s="15" t="inlineStr">
        <is>
          <t>Utility station connected to process (nitrogen hose left connected)</t>
        </is>
      </c>
    </row>
    <row r="66">
      <c r="C66" s="15" t="inlineStr">
        <is>
          <t>Pickling acid / zinc bath</t>
        </is>
      </c>
      <c r="D66" s="15" t="inlineStr">
        <is>
          <t>AS WELL AS</t>
        </is>
      </c>
      <c r="E66" s="15" t="inlineStr">
        <is>
          <t>Pickling acid / zinc bath|AS WELL AS</t>
        </is>
      </c>
      <c r="F66" s="15" t="inlineStr">
        <is>
          <t>Concentration / temperature / contamination deviations</t>
        </is>
      </c>
      <c r="H66" s="15" t="inlineStr">
        <is>
          <t>Flow|OTHER THAN</t>
        </is>
      </c>
      <c r="I66" s="15" t="inlineStr">
        <is>
          <t>[S] Molten metal or slag spilled outside ladle, pot or mould (ladle misaligned, crane positioning error, tilting over-travel)</t>
        </is>
      </c>
    </row>
    <row r="67">
      <c r="C67" s="15" t="inlineStr">
        <is>
          <t>Relief</t>
        </is>
      </c>
      <c r="D67" s="15" t="inlineStr">
        <is>
          <t>INADEQUATE</t>
        </is>
      </c>
      <c r="E67" s="15" t="inlineStr">
        <is>
          <t>Relief|INADEQUATE</t>
        </is>
      </c>
      <c r="F67" s="15" t="inlineStr">
        <is>
          <t>Inadequate / inappropriate relief</t>
        </is>
      </c>
      <c r="H67" s="15" t="inlineStr">
        <is>
          <t>Flow|OTHER THAN</t>
        </is>
      </c>
      <c r="I67" s="15" t="inlineStr">
        <is>
          <t>[S] Slag carry-over into ladle or tundish</t>
        </is>
      </c>
    </row>
    <row r="68">
      <c r="C68" s="15" t="inlineStr">
        <is>
          <t>Process control / instrumentation</t>
        </is>
      </c>
      <c r="D68" s="15" t="inlineStr">
        <is>
          <t>LOSS OF</t>
        </is>
      </c>
      <c r="E68" s="15" t="inlineStr">
        <is>
          <t>Process control / instrumentation|LOSS OF</t>
        </is>
      </c>
      <c r="F68" s="15" t="inlineStr">
        <is>
          <t>Control or safety instrumented function failure</t>
        </is>
      </c>
      <c r="H68" s="15" t="inlineStr">
        <is>
          <t>Flow|OTHER THAN</t>
        </is>
      </c>
      <c r="I68" s="15" t="inlineStr">
        <is>
          <t>[S] Off-gas diverted to the wrong system (flare / stack / gas holder change-over error)</t>
        </is>
      </c>
    </row>
    <row r="69">
      <c r="C69" s="15" t="inlineStr">
        <is>
          <t>Sampling</t>
        </is>
      </c>
      <c r="D69" s="15" t="inlineStr">
        <is>
          <t>INADEQUATE</t>
        </is>
      </c>
      <c r="E69" s="15" t="inlineStr">
        <is>
          <t>Sampling|INADEQUATE</t>
        </is>
      </c>
      <c r="F69" s="15" t="inlineStr">
        <is>
          <t>Sampling error / exposure</t>
        </is>
      </c>
      <c r="H69" s="15" t="inlineStr">
        <is>
          <t>Flow|AS WELL AS</t>
        </is>
      </c>
      <c r="I69" s="15" t="inlineStr">
        <is>
          <t>Gas or air entrainment in liquid; liquid carry-over in gas</t>
        </is>
      </c>
    </row>
    <row r="70">
      <c r="C70" s="15" t="inlineStr">
        <is>
          <t>Corrosion / erosion</t>
        </is>
      </c>
      <c r="D70" s="15" t="inlineStr">
        <is>
          <t>MORE</t>
        </is>
      </c>
      <c r="E70" s="15" t="inlineStr">
        <is>
          <t>Corrosion / erosion|MORE</t>
        </is>
      </c>
      <c r="F70" s="15" t="inlineStr">
        <is>
          <t>More corrosion / erosion</t>
        </is>
      </c>
      <c r="H70" s="15" t="inlineStr">
        <is>
          <t>Flow|AS WELL AS</t>
        </is>
      </c>
      <c r="I70" s="15" t="inlineStr">
        <is>
          <t>Water in hydrocarbon or solvent</t>
        </is>
      </c>
    </row>
    <row r="71">
      <c r="C71" s="15" t="inlineStr">
        <is>
          <t>Utilities / services</t>
        </is>
      </c>
      <c r="D71" s="15" t="inlineStr">
        <is>
          <t>LOSS OF</t>
        </is>
      </c>
      <c r="E71" s="15" t="inlineStr">
        <is>
          <t>Utilities / services|LOSS OF</t>
        </is>
      </c>
      <c r="F71" s="15" t="inlineStr">
        <is>
          <t>Loss of utility / service</t>
        </is>
      </c>
      <c r="H71" s="15" t="inlineStr">
        <is>
          <t>Flow|AS WELL AS</t>
        </is>
      </c>
      <c r="I71" s="15" t="inlineStr">
        <is>
          <t>[C] Unreacted material carried forward to next stage</t>
        </is>
      </c>
    </row>
    <row r="72">
      <c r="C72" s="15" t="inlineStr">
        <is>
          <t>Maintenance</t>
        </is>
      </c>
      <c r="D72" s="15" t="inlineStr">
        <is>
          <t>INADEQUATE</t>
        </is>
      </c>
      <c r="E72" s="15" t="inlineStr">
        <is>
          <t>Maintenance|INADEQUATE</t>
        </is>
      </c>
      <c r="F72" s="15" t="inlineStr">
        <is>
          <t>Unsafe maintenance conditions</t>
        </is>
      </c>
      <c r="H72" s="15" t="inlineStr">
        <is>
          <t>Flow|AS WELL AS</t>
        </is>
      </c>
      <c r="I72" s="15" t="inlineStr">
        <is>
          <t>[S] Water, ice or snow carried into the furnace with wet scrap, DRI or fluxes</t>
        </is>
      </c>
    </row>
    <row r="73">
      <c r="C73" s="15" t="inlineStr">
        <is>
          <t>Spare equipment</t>
        </is>
      </c>
      <c r="D73" s="15" t="inlineStr">
        <is>
          <t>NO</t>
        </is>
      </c>
      <c r="E73" s="15" t="inlineStr">
        <is>
          <t>Spare equipment|NO</t>
        </is>
      </c>
      <c r="F73" s="15" t="inlineStr">
        <is>
          <t>Unavailability / wrong spares</t>
        </is>
      </c>
      <c r="H73" s="15" t="inlineStr">
        <is>
          <t>Flow|AS WELL AS</t>
        </is>
      </c>
      <c r="I73" s="15" t="inlineStr">
        <is>
          <t>[S] Entrained dust or fines in process gas (cyclone or scrubber failure)</t>
        </is>
      </c>
    </row>
    <row r="74">
      <c r="C74" s="15" t="inlineStr">
        <is>
          <t>Electrical safety / static</t>
        </is>
      </c>
      <c r="D74" s="15" t="inlineStr">
        <is>
          <t>INADEQUATE</t>
        </is>
      </c>
      <c r="E74" s="15" t="inlineStr">
        <is>
          <t>Electrical safety / static|INADEQUATE</t>
        </is>
      </c>
      <c r="F74" s="15" t="inlineStr">
        <is>
          <t>Ignition source / electrical hazard</t>
        </is>
      </c>
      <c r="H74" s="15" t="inlineStr">
        <is>
          <t>Flow|AS WELL AS</t>
        </is>
      </c>
      <c r="I74" s="15" t="inlineStr">
        <is>
          <t>[S] Oil, grease or paint on scrap generating fume and fire</t>
        </is>
      </c>
    </row>
    <row r="75">
      <c r="C75" s="15" t="inlineStr">
        <is>
          <t>Operator action</t>
        </is>
      </c>
      <c r="D75" s="15" t="inlineStr">
        <is>
          <t>OTHER THAN</t>
        </is>
      </c>
      <c r="E75" s="15" t="inlineStr">
        <is>
          <t>Operator action|OTHER THAN</t>
        </is>
      </c>
      <c r="F75" s="15" t="inlineStr">
        <is>
          <t>Operator error / omission</t>
        </is>
      </c>
      <c r="H75" s="15" t="inlineStr">
        <is>
          <t>Pressure|MORE</t>
        </is>
      </c>
      <c r="I75" s="15" t="inlineStr">
        <is>
          <t>Surge problems (water hammer, fast-closing valves)</t>
        </is>
      </c>
    </row>
    <row r="76">
      <c r="C76" s="15" t="inlineStr">
        <is>
          <t>Operator action</t>
        </is>
      </c>
      <c r="D76" s="15" t="inlineStr">
        <is>
          <t>NO</t>
        </is>
      </c>
      <c r="E76" s="15" t="inlineStr">
        <is>
          <t>Operator action|NO</t>
        </is>
      </c>
      <c r="F76" s="15" t="inlineStr">
        <is>
          <t>Operator error / omission</t>
        </is>
      </c>
      <c r="H76" s="15" t="inlineStr">
        <is>
          <t>Pressure|MORE</t>
        </is>
      </c>
      <c r="I76" s="15" t="inlineStr">
        <is>
          <t>Leakage from interconnected high-pressure system</t>
        </is>
      </c>
    </row>
    <row r="77">
      <c r="C77" s="15" t="inlineStr">
        <is>
          <t>Simplicity</t>
        </is>
      </c>
      <c r="D77" s="15" t="inlineStr">
        <is>
          <t>REVIEW</t>
        </is>
      </c>
      <c r="E77" s="15" t="inlineStr">
        <is>
          <t>Simplicity|REVIEW</t>
        </is>
      </c>
      <c r="F77" s="15" t="inlineStr">
        <is>
          <t>Unnecessary complexity</t>
        </is>
      </c>
      <c r="H77" s="15" t="inlineStr">
        <is>
          <t>Pressure|MORE</t>
        </is>
      </c>
      <c r="I77" s="15" t="inlineStr">
        <is>
          <t>Gas breakthrough (inadequate venting / pressure relief)</t>
        </is>
      </c>
    </row>
    <row r="78">
      <c r="C78" s="15" t="inlineStr">
        <is>
          <t>Output – reliability and bottlenecks</t>
        </is>
      </c>
      <c r="D78" s="15" t="inlineStr">
        <is>
          <t>REVIEW</t>
        </is>
      </c>
      <c r="E78" s="15" t="inlineStr">
        <is>
          <t>Output – reliability and bottlenecks|REVIEW</t>
        </is>
      </c>
      <c r="F78" s="15" t="inlineStr">
        <is>
          <t>Less output / unreliability</t>
        </is>
      </c>
      <c r="H78" s="15" t="inlineStr">
        <is>
          <t>Pressure|MORE</t>
        </is>
      </c>
      <c r="I78" s="15" t="inlineStr">
        <is>
          <t>Isolation procedures for relief valves defective (relief valve isolated)</t>
        </is>
      </c>
    </row>
    <row r="79">
      <c r="C79" s="15" t="inlineStr">
        <is>
          <t>Efficiency – losses</t>
        </is>
      </c>
      <c r="D79" s="15" t="inlineStr">
        <is>
          <t>REVIEW</t>
        </is>
      </c>
      <c r="E79" s="15" t="inlineStr">
        <is>
          <t>Efficiency – losses|REVIEW</t>
        </is>
      </c>
      <c r="F79" s="15" t="inlineStr">
        <is>
          <t>Loss of material, energy or conversion</t>
        </is>
      </c>
      <c r="H79" s="15" t="inlineStr">
        <is>
          <t>Pressure|MORE</t>
        </is>
      </c>
      <c r="I79" s="15" t="inlineStr">
        <is>
          <t>Thermal overpressure / flashing / boiling / external fire</t>
        </is>
      </c>
    </row>
    <row r="80">
      <c r="C80" s="15" t="inlineStr">
        <is>
          <t>Construction</t>
        </is>
      </c>
      <c r="D80" s="15" t="inlineStr">
        <is>
          <t>REVIEW</t>
        </is>
      </c>
      <c r="E80" s="15" t="inlineStr">
        <is>
          <t>Construction|REVIEW</t>
        </is>
      </c>
      <c r="F80" s="15" t="inlineStr">
        <is>
          <t>Construction hazards and impacts</t>
        </is>
      </c>
      <c r="H80" s="15" t="inlineStr">
        <is>
          <t>Pressure|MORE</t>
        </is>
      </c>
      <c r="I80" s="15" t="inlineStr">
        <is>
          <t>Decomposition / gas evolution</t>
        </is>
      </c>
    </row>
    <row r="81">
      <c r="C81" s="15" t="inlineStr">
        <is>
          <t>Commissioning</t>
        </is>
      </c>
      <c r="D81" s="15" t="inlineStr">
        <is>
          <t>REVIEW</t>
        </is>
      </c>
      <c r="E81" s="15" t="inlineStr">
        <is>
          <t>Commissioning|REVIEW</t>
        </is>
      </c>
      <c r="F81" s="15" t="inlineStr">
        <is>
          <t>Commissioning not controlled</t>
        </is>
      </c>
      <c r="H81" s="15" t="inlineStr">
        <is>
          <t>Pressure|MORE</t>
        </is>
      </c>
      <c r="I81" s="15" t="inlineStr">
        <is>
          <t>Runaway reaction</t>
        </is>
      </c>
    </row>
    <row r="82">
      <c r="C82" s="15" t="inlineStr">
        <is>
          <t>Start-up</t>
        </is>
      </c>
      <c r="D82" s="15" t="inlineStr">
        <is>
          <t>REVIEW</t>
        </is>
      </c>
      <c r="E82" s="15" t="inlineStr">
        <is>
          <t>Start-up|REVIEW</t>
        </is>
      </c>
      <c r="F82" s="15" t="inlineStr">
        <is>
          <t>Unsafe start-up</t>
        </is>
      </c>
      <c r="H82" s="15" t="inlineStr">
        <is>
          <t>Pressure|MORE</t>
        </is>
      </c>
      <c r="I82" s="15" t="inlineStr">
        <is>
          <t>Positive displacement pumps or compressors against closed outlet</t>
        </is>
      </c>
    </row>
    <row r="83">
      <c r="C83" s="15" t="inlineStr">
        <is>
          <t>Shutdown (isolation, purging)</t>
        </is>
      </c>
      <c r="D83" s="15" t="inlineStr">
        <is>
          <t>REVIEW</t>
        </is>
      </c>
      <c r="E83" s="15" t="inlineStr">
        <is>
          <t>Shutdown (isolation, purging)|REVIEW</t>
        </is>
      </c>
      <c r="F83" s="15" t="inlineStr">
        <is>
          <t>Unsafe shutdown</t>
        </is>
      </c>
      <c r="H83" s="15" t="inlineStr">
        <is>
          <t>Pressure|MORE</t>
        </is>
      </c>
      <c r="I83" s="15" t="inlineStr">
        <is>
          <t>Failed-open pressure control valves (PCVs)</t>
        </is>
      </c>
    </row>
    <row r="84">
      <c r="C84" s="15" t="inlineStr">
        <is>
          <t>Breakdown (including service failure)</t>
        </is>
      </c>
      <c r="D84" s="15" t="inlineStr">
        <is>
          <t>REVIEW</t>
        </is>
      </c>
      <c r="E84" s="15" t="inlineStr">
        <is>
          <t>Breakdown (including service failure)|REVIEW</t>
        </is>
      </c>
      <c r="F84" s="15" t="inlineStr">
        <is>
          <t>Breakdown / loss of services</t>
        </is>
      </c>
      <c r="H84" s="15" t="inlineStr">
        <is>
          <t>Pressure|MORE</t>
        </is>
      </c>
      <c r="I84" s="15" t="inlineStr">
        <is>
          <t>Incorrect operation</t>
        </is>
      </c>
    </row>
    <row r="85">
      <c r="C85" s="15" t="inlineStr">
        <is>
          <t>Materials</t>
        </is>
      </c>
      <c r="D85" s="15" t="inlineStr">
        <is>
          <t>REVIEW</t>
        </is>
      </c>
      <c r="E85" s="15" t="inlineStr">
        <is>
          <t>Materials|REVIEW</t>
        </is>
      </c>
      <c r="F85" s="15" t="inlineStr">
        <is>
          <t>Wrong / inadequate materials of construction</t>
        </is>
      </c>
      <c r="H85" s="15" t="inlineStr">
        <is>
          <t>Pressure|MORE</t>
        </is>
      </c>
      <c r="I85" s="15" t="inlineStr">
        <is>
          <t>Blocked outlet, blocked vent or blocked flare / stack</t>
        </is>
      </c>
    </row>
    <row r="86">
      <c r="C86" s="15" t="inlineStr">
        <is>
          <t>Utilities and services</t>
        </is>
      </c>
      <c r="D86" s="15" t="inlineStr">
        <is>
          <t>REVIEW</t>
        </is>
      </c>
      <c r="E86" s="15" t="inlineStr">
        <is>
          <t>Utilities and services|REVIEW</t>
        </is>
      </c>
      <c r="F86" s="15" t="inlineStr">
        <is>
          <t>Inadequate utilities</t>
        </is>
      </c>
      <c r="H86" s="15" t="inlineStr">
        <is>
          <t>Pressure|MORE</t>
        </is>
      </c>
      <c r="I86" s="15" t="inlineStr">
        <is>
          <t>Thermal expansion of trapped (blocked-in) liquid</t>
        </is>
      </c>
    </row>
    <row r="87">
      <c r="C87" s="15" t="inlineStr">
        <is>
          <t>Toxicity</t>
        </is>
      </c>
      <c r="D87" s="15" t="inlineStr">
        <is>
          <t>REVIEW</t>
        </is>
      </c>
      <c r="E87" s="15" t="inlineStr">
        <is>
          <t>Toxicity|REVIEW</t>
        </is>
      </c>
      <c r="F87" s="15" t="inlineStr">
        <is>
          <t>Toxic exposure</t>
        </is>
      </c>
      <c r="H87" s="15" t="inlineStr">
        <is>
          <t>Pressure|MORE</t>
        </is>
      </c>
      <c r="I87" s="15" t="inlineStr">
        <is>
          <t>[S] Steam generation from water contacting molten metal or slag (water-cooled element leak, wet charge)</t>
        </is>
      </c>
    </row>
    <row r="88">
      <c r="C88" s="15" t="inlineStr">
        <is>
          <t>Fire and explosion</t>
        </is>
      </c>
      <c r="D88" s="15" t="inlineStr">
        <is>
          <t>REVIEW</t>
        </is>
      </c>
      <c r="E88" s="15" t="inlineStr">
        <is>
          <t>Fire and explosion|REVIEW</t>
        </is>
      </c>
      <c r="F88" s="15" t="inlineStr">
        <is>
          <t>Fire / explosion</t>
        </is>
      </c>
      <c r="H88" s="15" t="inlineStr">
        <is>
          <t>Pressure|MORE</t>
        </is>
      </c>
      <c r="I88" s="15" t="inlineStr">
        <is>
          <t>[S] Furnace or converter off-gas pressure excursion (loss of draft fan, damper closed, slopping)</t>
        </is>
      </c>
    </row>
    <row r="89">
      <c r="C89" s="15" t="inlineStr">
        <is>
          <t>Environmental impact</t>
        </is>
      </c>
      <c r="D89" s="15" t="inlineStr">
        <is>
          <t>REVIEW</t>
        </is>
      </c>
      <c r="E89" s="15" t="inlineStr">
        <is>
          <t>Environmental impact|REVIEW</t>
        </is>
      </c>
      <c r="F89" s="15" t="inlineStr">
        <is>
          <t>Release to environment</t>
        </is>
      </c>
      <c r="H89" s="15" t="inlineStr">
        <is>
          <t>Pressure|MORE</t>
        </is>
      </c>
      <c r="I89" s="15" t="inlineStr">
        <is>
          <t>[S] Blast-furnace top-pressure surge from burden slip / hanging; hot-blast stove valve fault</t>
        </is>
      </c>
    </row>
    <row r="90">
      <c r="C90" s="15" t="inlineStr">
        <is>
          <t>Natural hazards</t>
        </is>
      </c>
      <c r="D90" s="15" t="inlineStr">
        <is>
          <t>REVIEW</t>
        </is>
      </c>
      <c r="E90" s="15" t="inlineStr">
        <is>
          <t>Natural hazards|REVIEW</t>
        </is>
      </c>
      <c r="F90" s="15" t="inlineStr">
        <is>
          <t>External natural event</t>
        </is>
      </c>
      <c r="H90" s="15" t="inlineStr">
        <is>
          <t>Pressure|MORE</t>
        </is>
      </c>
      <c r="I90" s="15" t="inlineStr">
        <is>
          <t>[S] Gas holder over-fill or seal failure (BFG, COG, LD gas)</t>
        </is>
      </c>
    </row>
    <row r="91">
      <c r="C91" s="15" t="inlineStr">
        <is>
          <t>Quality and consistency</t>
        </is>
      </c>
      <c r="D91" s="15" t="inlineStr">
        <is>
          <t>REVIEW</t>
        </is>
      </c>
      <c r="E91" s="15" t="inlineStr">
        <is>
          <t>Quality and consistency|REVIEW</t>
        </is>
      </c>
      <c r="F91" s="15" t="inlineStr">
        <is>
          <t>Off-spec product / variability</t>
        </is>
      </c>
      <c r="H91" s="15" t="inlineStr">
        <is>
          <t>Pressure|MORE</t>
        </is>
      </c>
      <c r="I91" s="15" t="inlineStr">
        <is>
          <t>[S] Hydraulic system overpressure (relief valve set wrongly, accumulator)</t>
        </is>
      </c>
    </row>
    <row r="92">
      <c r="C92" s="15" t="inlineStr">
        <is>
          <t>Procedures – development and documentation</t>
        </is>
      </c>
      <c r="D92" s="15" t="inlineStr">
        <is>
          <t>REVIEW</t>
        </is>
      </c>
      <c r="E92" s="15" t="inlineStr">
        <is>
          <t>Procedures – development and documentation|REVIEW</t>
        </is>
      </c>
      <c r="F92" s="15" t="inlineStr">
        <is>
          <t>Missing / inadequate procedures</t>
        </is>
      </c>
      <c r="H92" s="15" t="inlineStr">
        <is>
          <t>Pressure|LESS</t>
        </is>
      </c>
      <c r="I92" s="15" t="inlineStr">
        <is>
          <t>Generation of vacuum condition (pumping out with vent closed, steam-out then cooling)</t>
        </is>
      </c>
    </row>
    <row r="93">
      <c r="C93" s="15" t="inlineStr">
        <is>
          <t>Safety equipment</t>
        </is>
      </c>
      <c r="D93" s="15" t="inlineStr">
        <is>
          <t>REVIEW</t>
        </is>
      </c>
      <c r="E93" s="15" t="inlineStr">
        <is>
          <t>Safety equipment|REVIEW</t>
        </is>
      </c>
      <c r="F93" s="15" t="inlineStr">
        <is>
          <t>Missing / inadequate safety equipment</t>
        </is>
      </c>
      <c r="H93" s="15" t="inlineStr">
        <is>
          <t>Pressure|LESS</t>
        </is>
      </c>
      <c r="I93" s="15" t="inlineStr">
        <is>
          <t>Condensation</t>
        </is>
      </c>
    </row>
    <row r="94">
      <c r="C94" s="15" t="inlineStr">
        <is>
          <t>Egress / access</t>
        </is>
      </c>
      <c r="D94" s="15" t="inlineStr">
        <is>
          <t>REVIEW</t>
        </is>
      </c>
      <c r="E94" s="15" t="inlineStr">
        <is>
          <t>Egress / access|REVIEW</t>
        </is>
      </c>
      <c r="F94" s="15" t="inlineStr">
        <is>
          <t>Inadequate egress or access</t>
        </is>
      </c>
      <c r="H94" s="15" t="inlineStr">
        <is>
          <t>Pressure|LESS</t>
        </is>
      </c>
      <c r="I94" s="15" t="inlineStr">
        <is>
          <t>Gas dissolving in liquid</t>
        </is>
      </c>
    </row>
    <row r="95">
      <c r="C95" s="15" t="inlineStr">
        <is>
          <t>Entry / exit points</t>
        </is>
      </c>
      <c r="D95" s="15" t="inlineStr">
        <is>
          <t>REVIEW</t>
        </is>
      </c>
      <c r="E95" s="15" t="inlineStr">
        <is>
          <t>Entry / exit points|REVIEW</t>
        </is>
      </c>
      <c r="F95" s="15" t="inlineStr">
        <is>
          <t>Unsafe entry / exit arrangement</t>
        </is>
      </c>
      <c r="H95" s="15" t="inlineStr">
        <is>
          <t>Pressure|LESS</t>
        </is>
      </c>
      <c r="I95" s="15" t="inlineStr">
        <is>
          <t>Restricted pump / compressor suction line</t>
        </is>
      </c>
    </row>
    <row r="96">
      <c r="C96" s="15" t="inlineStr">
        <is>
          <t>Layout and facility siting</t>
        </is>
      </c>
      <c r="D96" s="15" t="inlineStr">
        <is>
          <t>REVIEW</t>
        </is>
      </c>
      <c r="E96" s="15" t="inlineStr">
        <is>
          <t>Layout and facility siting|REVIEW</t>
        </is>
      </c>
      <c r="F96" s="15" t="inlineStr">
        <is>
          <t>Domino / escalation effects</t>
        </is>
      </c>
      <c r="H96" s="15" t="inlineStr">
        <is>
          <t>Pressure|LESS</t>
        </is>
      </c>
      <c r="I96" s="15" t="inlineStr">
        <is>
          <t>Undetected leakage</t>
        </is>
      </c>
    </row>
    <row r="97">
      <c r="H97" s="15" t="inlineStr">
        <is>
          <t>Pressure|LESS</t>
        </is>
      </c>
      <c r="I97" s="15" t="inlineStr">
        <is>
          <t>Vessel drainage</t>
        </is>
      </c>
    </row>
    <row r="98">
      <c r="H98" s="15" t="inlineStr">
        <is>
          <t>Pressure|LESS</t>
        </is>
      </c>
      <c r="I98" s="15" t="inlineStr">
        <is>
          <t>Power failure</t>
        </is>
      </c>
    </row>
    <row r="99">
      <c r="H99" s="15" t="inlineStr">
        <is>
          <t>Pressure|LESS</t>
        </is>
      </c>
      <c r="I99" s="15" t="inlineStr">
        <is>
          <t>Incorrect operation</t>
        </is>
      </c>
    </row>
    <row r="100">
      <c r="H100" s="15" t="inlineStr">
        <is>
          <t>Pressure|LESS</t>
        </is>
      </c>
      <c r="I100" s="15" t="inlineStr">
        <is>
          <t>Vacuum breaker or vent blocked or frozen</t>
        </is>
      </c>
    </row>
    <row r="101">
      <c r="H101" s="15" t="inlineStr">
        <is>
          <t>Pressure|LESS</t>
        </is>
      </c>
      <c r="I101" s="15" t="inlineStr">
        <is>
          <t>[S] Loss of furnace pressure control – air drawn into CO-rich or H2-rich system forming a flammable mixture</t>
        </is>
      </c>
    </row>
    <row r="102">
      <c r="H102" s="15" t="inlineStr">
        <is>
          <t>Pressure|LESS</t>
        </is>
      </c>
      <c r="I102" s="15" t="inlineStr">
        <is>
          <t>[S] Vacuum degassing (RH / VD / VOD) – vacuum pump or steam ejector failure, vessel seal leak</t>
        </is>
      </c>
    </row>
    <row r="103">
      <c r="H103" s="15" t="inlineStr">
        <is>
          <t>Pressure|LESS</t>
        </is>
      </c>
      <c r="I103" s="15" t="inlineStr">
        <is>
          <t>[S] Low fuel-gas pressure at burners (flame-out followed by re-ignition of accumulated gas)</t>
        </is>
      </c>
    </row>
    <row r="104">
      <c r="H104" s="15" t="inlineStr">
        <is>
          <t>Pressure|LESS</t>
        </is>
      </c>
      <c r="I104" s="15" t="inlineStr">
        <is>
          <t>[S] Low cooling-water pressure to water-cooled elements (pump trip, header leak)</t>
        </is>
      </c>
    </row>
    <row r="105">
      <c r="H105" s="15" t="inlineStr">
        <is>
          <t>Pressure|FLUCTUATING</t>
        </is>
      </c>
      <c r="I105" s="15" t="inlineStr">
        <is>
          <t>Water hammer; rapid valve closure; pump start/stop</t>
        </is>
      </c>
    </row>
    <row r="106">
      <c r="H106" s="15" t="inlineStr">
        <is>
          <t>Pressure|FLUCTUATING</t>
        </is>
      </c>
      <c r="I106" s="15" t="inlineStr">
        <is>
          <t>Compressor or fan surge</t>
        </is>
      </c>
    </row>
    <row r="107">
      <c r="H107" s="15" t="inlineStr">
        <is>
          <t>Pressure|FLUCTUATING</t>
        </is>
      </c>
      <c r="I107" s="15" t="inlineStr">
        <is>
          <t>Slug flow / two-phase flow</t>
        </is>
      </c>
    </row>
    <row r="108">
      <c r="H108" s="15" t="inlineStr">
        <is>
          <t>Pressure|FLUCTUATING</t>
        </is>
      </c>
      <c r="I108" s="15" t="inlineStr">
        <is>
          <t>Control loop instability</t>
        </is>
      </c>
    </row>
    <row r="109">
      <c r="H109" s="15" t="inlineStr">
        <is>
          <t>Pressure|FLUCTUATING</t>
        </is>
      </c>
      <c r="I109" s="15" t="inlineStr">
        <is>
          <t>[S] Converter slopping or foaming slag eruption</t>
        </is>
      </c>
    </row>
    <row r="110">
      <c r="H110" s="15" t="inlineStr">
        <is>
          <t>Pressure|FLUCTUATING</t>
        </is>
      </c>
      <c r="I110" s="15" t="inlineStr">
        <is>
          <t>[S] Explosive spalling of wet refractory</t>
        </is>
      </c>
    </row>
    <row r="111">
      <c r="H111" s="15" t="inlineStr">
        <is>
          <t>Temperature|MORE</t>
        </is>
      </c>
      <c r="I111" s="15" t="inlineStr">
        <is>
          <t>Ambient conditions (hot weather, solar gain)</t>
        </is>
      </c>
    </row>
    <row r="112">
      <c r="H112" s="15" t="inlineStr">
        <is>
          <t>Temperature|MORE</t>
        </is>
      </c>
      <c r="I112" s="15" t="inlineStr">
        <is>
          <t>Fouled or failed exchanger tubes</t>
        </is>
      </c>
    </row>
    <row r="113">
      <c r="H113" s="15" t="inlineStr">
        <is>
          <t>Temperature|MORE</t>
        </is>
      </c>
      <c r="I113" s="15" t="inlineStr">
        <is>
          <t>Fire situation</t>
        </is>
      </c>
    </row>
    <row r="114">
      <c r="H114" s="15" t="inlineStr">
        <is>
          <t>Temperature|MORE</t>
        </is>
      </c>
      <c r="I114" s="15" t="inlineStr">
        <is>
          <t>Cooling water failure</t>
        </is>
      </c>
    </row>
    <row r="115">
      <c r="H115" s="15" t="inlineStr">
        <is>
          <t>Temperature|MORE</t>
        </is>
      </c>
      <c r="I115" s="15" t="inlineStr">
        <is>
          <t>Defective control (TIC fault, heater fails on)</t>
        </is>
      </c>
    </row>
    <row r="116">
      <c r="H116" s="15" t="inlineStr">
        <is>
          <t>Temperature|MORE</t>
        </is>
      </c>
      <c r="I116" s="15" t="inlineStr">
        <is>
          <t>Reaction control failures</t>
        </is>
      </c>
    </row>
    <row r="117">
      <c r="H117" s="15" t="inlineStr">
        <is>
          <t>Temperature|MORE</t>
        </is>
      </c>
      <c r="I117" s="15" t="inlineStr">
        <is>
          <t>Power failure (loss of cooling fans or pumps)</t>
        </is>
      </c>
    </row>
    <row r="118">
      <c r="H118" s="15" t="inlineStr">
        <is>
          <t>Temperature|MORE</t>
        </is>
      </c>
      <c r="I118" s="15" t="inlineStr">
        <is>
          <t>Heat tracing or jacket heating fails on</t>
        </is>
      </c>
    </row>
    <row r="119">
      <c r="H119" s="15" t="inlineStr">
        <is>
          <t>Temperature|MORE</t>
        </is>
      </c>
      <c r="I119" s="15" t="inlineStr">
        <is>
          <t>[C] Exothermic reaction / catalyst hot-spot; loss of quench</t>
        </is>
      </c>
    </row>
    <row r="120">
      <c r="H120" s="15" t="inlineStr">
        <is>
          <t>Temperature|MORE</t>
        </is>
      </c>
      <c r="I120" s="15" t="inlineStr">
        <is>
          <t>[S] Loss of cooling water to panels, roof, tuyeres, staves, lances or moulds – burn-through</t>
        </is>
      </c>
    </row>
    <row r="121">
      <c r="H121" s="15" t="inlineStr">
        <is>
          <t>Temperature|MORE</t>
        </is>
      </c>
      <c r="I121" s="15" t="inlineStr">
        <is>
          <t>[S] Refractory wear or loss – shell hot-spot, breakout</t>
        </is>
      </c>
    </row>
    <row r="122">
      <c r="H122" s="15" t="inlineStr">
        <is>
          <t>Temperature|MORE</t>
        </is>
      </c>
      <c r="I122" s="15" t="inlineStr">
        <is>
          <t>[S] Excessive metal superheat (power-on time too long, temperature measurement error)</t>
        </is>
      </c>
    </row>
    <row r="123">
      <c r="H123" s="15" t="inlineStr">
        <is>
          <t>Temperature|MORE</t>
        </is>
      </c>
      <c r="I123" s="15" t="inlineStr">
        <is>
          <t>[S] Hot DRI / HBI self-heating and re-oxidation in bins, silos or conveyors</t>
        </is>
      </c>
    </row>
    <row r="124">
      <c r="H124" s="15" t="inlineStr">
        <is>
          <t>Temperature|MORE</t>
        </is>
      </c>
      <c r="I124" s="15" t="inlineStr">
        <is>
          <t>[S] Reheat furnace over-firing; burner management failure</t>
        </is>
      </c>
    </row>
    <row r="125">
      <c r="H125" s="15" t="inlineStr">
        <is>
          <t>Temperature|MORE</t>
        </is>
      </c>
      <c r="I125" s="15" t="inlineStr">
        <is>
          <t>[S] Hot material on conveyors not rated for the temperature (belt fire)</t>
        </is>
      </c>
    </row>
    <row r="126">
      <c r="H126" s="15" t="inlineStr">
        <is>
          <t>Temperature|LESS</t>
        </is>
      </c>
      <c r="I126" s="15" t="inlineStr">
        <is>
          <t>Ambient conditions (cold weather, freezing)</t>
        </is>
      </c>
    </row>
    <row r="127">
      <c r="H127" s="15" t="inlineStr">
        <is>
          <t>Temperature|LESS</t>
        </is>
      </c>
      <c r="I127" s="15" t="inlineStr">
        <is>
          <t>Reducing pressure (auto-refrigeration of LPG, CO2, ammonia)</t>
        </is>
      </c>
    </row>
    <row r="128">
      <c r="H128" s="15" t="inlineStr">
        <is>
          <t>Temperature|LESS</t>
        </is>
      </c>
      <c r="I128" s="15" t="inlineStr">
        <is>
          <t>Fouled or failed exchanger tubes</t>
        </is>
      </c>
    </row>
    <row r="129">
      <c r="H129" s="15" t="inlineStr">
        <is>
          <t>Temperature|LESS</t>
        </is>
      </c>
      <c r="I129" s="15" t="inlineStr">
        <is>
          <t>Loss of heating (steam, hot oil, electric tracing)</t>
        </is>
      </c>
    </row>
    <row r="130">
      <c r="H130" s="15" t="inlineStr">
        <is>
          <t>Temperature|LESS</t>
        </is>
      </c>
      <c r="I130" s="15" t="inlineStr">
        <is>
          <t>Power failure</t>
        </is>
      </c>
    </row>
    <row r="131">
      <c r="H131" s="15" t="inlineStr">
        <is>
          <t>Temperature|LESS</t>
        </is>
      </c>
      <c r="I131" s="15" t="inlineStr">
        <is>
          <t>Brittle fracture of carbon steel below its minimum design metal temperature</t>
        </is>
      </c>
    </row>
    <row r="132">
      <c r="H132" s="15" t="inlineStr">
        <is>
          <t>Temperature|LESS</t>
        </is>
      </c>
      <c r="I132" s="15" t="inlineStr">
        <is>
          <t>[C] Crystallisation, hydrate formation or high viscosity</t>
        </is>
      </c>
    </row>
    <row r="133">
      <c r="H133" s="15" t="inlineStr">
        <is>
          <t>Temperature|LESS</t>
        </is>
      </c>
      <c r="I133" s="15" t="inlineStr">
        <is>
          <t>[S] Metal freeze in ladle, tundish, launder or nozzle (low tap temperature, delays)</t>
        </is>
      </c>
    </row>
    <row r="134">
      <c r="H134" s="15" t="inlineStr">
        <is>
          <t>Temperature|LESS</t>
        </is>
      </c>
      <c r="I134" s="15" t="inlineStr">
        <is>
          <t>[S] Insufficient pre-heat of ladles, tundishes, moulds or tools – moisture and thermal shock</t>
        </is>
      </c>
    </row>
    <row r="135">
      <c r="H135" s="15" t="inlineStr">
        <is>
          <t>Temperature|LESS</t>
        </is>
      </c>
      <c r="I135" s="15" t="inlineStr">
        <is>
          <t>[S] Low reducing-gas temperature – incomplete reduction / carbon deposition</t>
        </is>
      </c>
    </row>
    <row r="136">
      <c r="H136" s="15" t="inlineStr">
        <is>
          <t>Level|MORE</t>
        </is>
      </c>
      <c r="I136" s="15" t="inlineStr">
        <is>
          <t>Inlet flow greater than outlet; outlet blocked or valve closed</t>
        </is>
      </c>
    </row>
    <row r="137">
      <c r="H137" s="15" t="inlineStr">
        <is>
          <t>Level|MORE</t>
        </is>
      </c>
      <c r="I137" s="15" t="inlineStr">
        <is>
          <t>Level controller or level transmitter failure</t>
        </is>
      </c>
    </row>
    <row r="138">
      <c r="H138" s="15" t="inlineStr">
        <is>
          <t>Level|MORE</t>
        </is>
      </c>
      <c r="I138" s="15" t="inlineStr">
        <is>
          <t>Wrong vessel being filled</t>
        </is>
      </c>
    </row>
    <row r="139">
      <c r="H139" s="15" t="inlineStr">
        <is>
          <t>Level|MORE</t>
        </is>
      </c>
      <c r="I139" s="15" t="inlineStr">
        <is>
          <t>Overfill during transfer or tanker offloading</t>
        </is>
      </c>
    </row>
    <row r="140">
      <c r="H140" s="15" t="inlineStr">
        <is>
          <t>Level|MORE</t>
        </is>
      </c>
      <c r="I140" s="15" t="inlineStr">
        <is>
          <t>[C] Foaming</t>
        </is>
      </c>
    </row>
    <row r="141">
      <c r="H141" s="15" t="inlineStr">
        <is>
          <t>Level|MORE</t>
        </is>
      </c>
      <c r="I141" s="15" t="inlineStr">
        <is>
          <t>[S] Over-filling of ladle at tap (molten metal / slag spill)</t>
        </is>
      </c>
    </row>
    <row r="142">
      <c r="H142" s="15" t="inlineStr">
        <is>
          <t>Level|MORE</t>
        </is>
      </c>
      <c r="I142" s="15" t="inlineStr">
        <is>
          <t>[S] High mould level in continuous caster (overflow)</t>
        </is>
      </c>
    </row>
    <row r="143">
      <c r="H143" s="15" t="inlineStr">
        <is>
          <t>Level|MORE</t>
        </is>
      </c>
      <c r="I143" s="15" t="inlineStr">
        <is>
          <t>[S] Foaming slag over the sill / door</t>
        </is>
      </c>
    </row>
    <row r="144">
      <c r="H144" s="15" t="inlineStr">
        <is>
          <t>Level|MORE</t>
        </is>
      </c>
      <c r="I144" s="15" t="inlineStr">
        <is>
          <t>[S] Bin, silo or hopper over-fill (DRI, pellets, coal, lime) – spillage, structural overload</t>
        </is>
      </c>
    </row>
    <row r="145">
      <c r="H145" s="15" t="inlineStr">
        <is>
          <t>Level|LESS</t>
        </is>
      </c>
      <c r="I145" s="15" t="inlineStr">
        <is>
          <t>Loss of feed; drain left open; leak</t>
        </is>
      </c>
    </row>
    <row r="146">
      <c r="H146" s="15" t="inlineStr">
        <is>
          <t>Level|LESS</t>
        </is>
      </c>
      <c r="I146" s="15" t="inlineStr">
        <is>
          <t>Level indication fails high (false reading)</t>
        </is>
      </c>
    </row>
    <row r="147">
      <c r="H147" s="15" t="inlineStr">
        <is>
          <t>Level|LESS</t>
        </is>
      </c>
      <c r="I147" s="15" t="inlineStr">
        <is>
          <t>Pump cavitation or loss of suction</t>
        </is>
      </c>
    </row>
    <row r="148">
      <c r="H148" s="15" t="inlineStr">
        <is>
          <t>Level|LESS</t>
        </is>
      </c>
      <c r="I148" s="15" t="inlineStr">
        <is>
          <t>Gas blow-by to downstream low-pressure vessel</t>
        </is>
      </c>
    </row>
    <row r="149">
      <c r="H149" s="15" t="inlineStr">
        <is>
          <t>Level|LESS</t>
        </is>
      </c>
      <c r="I149" s="15" t="inlineStr">
        <is>
          <t>[S] Low tundish level – slag entrainment, vortexing</t>
        </is>
      </c>
    </row>
    <row r="150">
      <c r="H150" s="15" t="inlineStr">
        <is>
          <t>Level|LESS</t>
        </is>
      </c>
      <c r="I150" s="15" t="inlineStr">
        <is>
          <t>[S] Low water level in seal pots or water seals – gas escape</t>
        </is>
      </c>
    </row>
    <row r="151">
      <c r="H151" s="15" t="inlineStr">
        <is>
          <t>Level|LESS</t>
        </is>
      </c>
      <c r="I151" s="15" t="inlineStr">
        <is>
          <t>[S] Low level in boiler drum or evaporative cooling system – overheating</t>
        </is>
      </c>
    </row>
    <row r="152">
      <c r="H152" s="15" t="inlineStr">
        <is>
          <t>Level|LESS</t>
        </is>
      </c>
      <c r="I152" s="15" t="inlineStr">
        <is>
          <t>[S] Empty bin or hopper allowing gas to pass back through feed system (loss of material seal)</t>
        </is>
      </c>
    </row>
    <row r="153">
      <c r="H153" s="15" t="inlineStr">
        <is>
          <t>Level|NO</t>
        </is>
      </c>
      <c r="I153" s="15" t="inlineStr">
        <is>
          <t>Loss of feed; drain left open; leak</t>
        </is>
      </c>
    </row>
    <row r="154">
      <c r="H154" s="15" t="inlineStr">
        <is>
          <t>Level|NO</t>
        </is>
      </c>
      <c r="I154" s="15" t="inlineStr">
        <is>
          <t>Level indication fails high (false reading)</t>
        </is>
      </c>
    </row>
    <row r="155">
      <c r="H155" s="15" t="inlineStr">
        <is>
          <t>Level|NO</t>
        </is>
      </c>
      <c r="I155" s="15" t="inlineStr">
        <is>
          <t>Pump cavitation or loss of suction</t>
        </is>
      </c>
    </row>
    <row r="156">
      <c r="H156" s="15" t="inlineStr">
        <is>
          <t>Level|NO</t>
        </is>
      </c>
      <c r="I156" s="15" t="inlineStr">
        <is>
          <t>Gas blow-by to downstream low-pressure vessel</t>
        </is>
      </c>
    </row>
    <row r="157">
      <c r="H157" s="15" t="inlineStr">
        <is>
          <t>Level|NO</t>
        </is>
      </c>
      <c r="I157" s="15" t="inlineStr">
        <is>
          <t>[S] Low tundish level – slag entrainment, vortexing</t>
        </is>
      </c>
    </row>
    <row r="158">
      <c r="H158" s="15" t="inlineStr">
        <is>
          <t>Level|NO</t>
        </is>
      </c>
      <c r="I158" s="15" t="inlineStr">
        <is>
          <t>[S] Low water level in seal pots or water seals – gas escape</t>
        </is>
      </c>
    </row>
    <row r="159">
      <c r="H159" s="15" t="inlineStr">
        <is>
          <t>Level|NO</t>
        </is>
      </c>
      <c r="I159" s="15" t="inlineStr">
        <is>
          <t>[S] Low level in boiler drum or evaporative cooling system – overheating</t>
        </is>
      </c>
    </row>
    <row r="160">
      <c r="H160" s="15" t="inlineStr">
        <is>
          <t>Level|NO</t>
        </is>
      </c>
      <c r="I160" s="15" t="inlineStr">
        <is>
          <t>[S] Empty bin or hopper allowing gas to pass back through feed system (loss of material seal)</t>
        </is>
      </c>
    </row>
    <row r="161">
      <c r="H161" s="15" t="inlineStr">
        <is>
          <t>Composition|AS WELL AS</t>
        </is>
      </c>
      <c r="I161" s="15" t="inlineStr">
        <is>
          <t>Leaking exchanger tubes or isolation valves</t>
        </is>
      </c>
    </row>
    <row r="162">
      <c r="H162" s="15" t="inlineStr">
        <is>
          <t>Composition|AS WELL AS</t>
        </is>
      </c>
      <c r="I162" s="15" t="inlineStr">
        <is>
          <t>Incorrect operation of system</t>
        </is>
      </c>
    </row>
    <row r="163">
      <c r="H163" s="15" t="inlineStr">
        <is>
          <t>Composition|AS WELL AS</t>
        </is>
      </c>
      <c r="I163" s="15" t="inlineStr">
        <is>
          <t>Interconnected systems</t>
        </is>
      </c>
    </row>
    <row r="164">
      <c r="H164" s="15" t="inlineStr">
        <is>
          <t>Composition|AS WELL AS</t>
        </is>
      </c>
      <c r="I164" s="15" t="inlineStr">
        <is>
          <t>Effect of corrosion</t>
        </is>
      </c>
    </row>
    <row r="165">
      <c r="H165" s="15" t="inlineStr">
        <is>
          <t>Composition|AS WELL AS</t>
        </is>
      </c>
      <c r="I165" s="15" t="inlineStr">
        <is>
          <t>Wrong additives</t>
        </is>
      </c>
    </row>
    <row r="166">
      <c r="H166" s="15" t="inlineStr">
        <is>
          <t>Composition|AS WELL AS</t>
        </is>
      </c>
      <c r="I166" s="15" t="inlineStr">
        <is>
          <t>Ingress of air, water or lubricant</t>
        </is>
      </c>
    </row>
    <row r="167">
      <c r="H167" s="15" t="inlineStr">
        <is>
          <t>Composition|AS WELL AS</t>
        </is>
      </c>
      <c r="I167" s="15" t="inlineStr">
        <is>
          <t>Shutdown and start-up conditions</t>
        </is>
      </c>
    </row>
    <row r="168">
      <c r="H168" s="15" t="inlineStr">
        <is>
          <t>Composition|AS WELL AS</t>
        </is>
      </c>
      <c r="I168" s="15" t="inlineStr">
        <is>
          <t>Phase change</t>
        </is>
      </c>
    </row>
    <row r="169">
      <c r="H169" s="15" t="inlineStr">
        <is>
          <t>Composition|AS WELL AS</t>
        </is>
      </c>
      <c r="I169" s="15" t="inlineStr">
        <is>
          <t>Sediments / scale</t>
        </is>
      </c>
    </row>
    <row r="170">
      <c r="H170" s="15" t="inlineStr">
        <is>
          <t>Composition|AS WELL AS</t>
        </is>
      </c>
      <c r="I170" s="15" t="inlineStr">
        <is>
          <t>Biological activity</t>
        </is>
      </c>
    </row>
    <row r="171">
      <c r="H171" s="15" t="inlineStr">
        <is>
          <t>Composition|AS WELL AS</t>
        </is>
      </c>
      <c r="I171" s="15" t="inlineStr">
        <is>
          <t>Reaction by-products / breakdown products</t>
        </is>
      </c>
    </row>
    <row r="172">
      <c r="H172" s="15" t="inlineStr">
        <is>
          <t>Composition|AS WELL AS</t>
        </is>
      </c>
      <c r="I172" s="15" t="inlineStr">
        <is>
          <t>[C] Catalyst poisons in feed</t>
        </is>
      </c>
    </row>
    <row r="173">
      <c r="H173" s="15" t="inlineStr">
        <is>
          <t>Composition|AS WELL AS</t>
        </is>
      </c>
      <c r="I173" s="15" t="inlineStr">
        <is>
          <t>[S] Wet or contaminated scrap – sealed containers, explosives, oil, paint, plastics, radioactive sources</t>
        </is>
      </c>
    </row>
    <row r="174">
      <c r="H174" s="15" t="inlineStr">
        <is>
          <t>Composition|AS WELL AS</t>
        </is>
      </c>
      <c r="I174" s="15" t="inlineStr">
        <is>
          <t>[S] Moisture in ferro-alloys, fluxes, ladle additions or tundish powders</t>
        </is>
      </c>
    </row>
    <row r="175">
      <c r="H175" s="15" t="inlineStr">
        <is>
          <t>Composition|AS WELL AS</t>
        </is>
      </c>
      <c r="I175" s="15" t="inlineStr">
        <is>
          <t>[S] Oxygen or air ingress into reducing gas or inerted systems</t>
        </is>
      </c>
    </row>
    <row r="176">
      <c r="H176" s="15" t="inlineStr">
        <is>
          <t>Composition|AS WELL AS</t>
        </is>
      </c>
      <c r="I176" s="15" t="inlineStr">
        <is>
          <t>[S] Hydrogen, CO or H2S in process gas above design values</t>
        </is>
      </c>
    </row>
    <row r="177">
      <c r="H177" s="15" t="inlineStr">
        <is>
          <t>Composition|PART OF</t>
        </is>
      </c>
      <c r="I177" s="15" t="inlineStr">
        <is>
          <t>Feed ratio controller failure; one feed lost</t>
        </is>
      </c>
    </row>
    <row r="178">
      <c r="H178" s="15" t="inlineStr">
        <is>
          <t>Composition|PART OF</t>
        </is>
      </c>
      <c r="I178" s="15" t="inlineStr">
        <is>
          <t>Dosing pump stopped or air-locked</t>
        </is>
      </c>
    </row>
    <row r="179">
      <c r="H179" s="15" t="inlineStr">
        <is>
          <t>Composition|PART OF</t>
        </is>
      </c>
      <c r="I179" s="15" t="inlineStr">
        <is>
          <t>Analyser or sample error</t>
        </is>
      </c>
    </row>
    <row r="180">
      <c r="H180" s="15" t="inlineStr">
        <is>
          <t>Composition|PART OF</t>
        </is>
      </c>
      <c r="I180" s="15" t="inlineStr">
        <is>
          <t>[C] Wrong acid or caustic concentration</t>
        </is>
      </c>
    </row>
    <row r="181">
      <c r="H181" s="15" t="inlineStr">
        <is>
          <t>Composition|PART OF</t>
        </is>
      </c>
      <c r="I181" s="15" t="inlineStr">
        <is>
          <t>[S] Carbon, sulphur or metallisation of DRI outside specification</t>
        </is>
      </c>
    </row>
    <row r="182">
      <c r="H182" s="15" t="inlineStr">
        <is>
          <t>Composition|PART OF</t>
        </is>
      </c>
      <c r="I182" s="15" t="inlineStr">
        <is>
          <t>[S] Wrong fuel / air ratio – incomplete combustion, CO formation</t>
        </is>
      </c>
    </row>
    <row r="183">
      <c r="H183" s="15" t="inlineStr">
        <is>
          <t>Composition|PART OF</t>
        </is>
      </c>
      <c r="I183" s="15" t="inlineStr">
        <is>
          <t>[S] Pickling acid strength out of range</t>
        </is>
      </c>
    </row>
    <row r="184">
      <c r="H184" s="15" t="inlineStr">
        <is>
          <t>Composition|OTHER THAN</t>
        </is>
      </c>
      <c r="I184" s="15" t="inlineStr">
        <is>
          <t>Wrong raw material delivered or unloaded</t>
        </is>
      </c>
    </row>
    <row r="185">
      <c r="H185" s="15" t="inlineStr">
        <is>
          <t>Composition|OTHER THAN</t>
        </is>
      </c>
      <c r="I185" s="15" t="inlineStr">
        <is>
          <t>Mislabelled drums, IBCs or cylinders</t>
        </is>
      </c>
    </row>
    <row r="186">
      <c r="H186" s="15" t="inlineStr">
        <is>
          <t>Composition|OTHER THAN</t>
        </is>
      </c>
      <c r="I186" s="15" t="inlineStr">
        <is>
          <t>Wrong gas connected (e.g. oxygen in place of nitrogen, nitrogen in place of breathing air)</t>
        </is>
      </c>
    </row>
    <row r="187">
      <c r="H187" s="15" t="inlineStr">
        <is>
          <t>Composition|OTHER THAN</t>
        </is>
      </c>
      <c r="I187" s="15" t="inlineStr">
        <is>
          <t>Incorrect hose / coupling standardisation</t>
        </is>
      </c>
    </row>
    <row r="188">
      <c r="H188" s="15" t="inlineStr">
        <is>
          <t>Composition|OTHER THAN</t>
        </is>
      </c>
      <c r="I188" s="15" t="inlineStr">
        <is>
          <t>[S] Wrong alloy addition or wrong grade of scrap charged</t>
        </is>
      </c>
    </row>
    <row r="189">
      <c r="H189" s="15" t="inlineStr">
        <is>
          <t>Phase|OTHER THAN</t>
        </is>
      </c>
      <c r="I189" s="15" t="inlineStr">
        <is>
          <t>Flashing, boiling or condensation</t>
        </is>
      </c>
    </row>
    <row r="190">
      <c r="H190" s="15" t="inlineStr">
        <is>
          <t>Phase|OTHER THAN</t>
        </is>
      </c>
      <c r="I190" s="15" t="inlineStr">
        <is>
          <t>Freezing or solidification</t>
        </is>
      </c>
    </row>
    <row r="191">
      <c r="H191" s="15" t="inlineStr">
        <is>
          <t>Phase|OTHER THAN</t>
        </is>
      </c>
      <c r="I191" s="15" t="inlineStr">
        <is>
          <t>Two-phase flow in single-phase design</t>
        </is>
      </c>
    </row>
    <row r="192">
      <c r="H192" s="15" t="inlineStr">
        <is>
          <t>Phase|OTHER THAN</t>
        </is>
      </c>
      <c r="I192" s="15" t="inlineStr">
        <is>
          <t>[C] Vapour lock; liquid in compressor suction</t>
        </is>
      </c>
    </row>
    <row r="193">
      <c r="H193" s="15" t="inlineStr">
        <is>
          <t>Phase|OTHER THAN</t>
        </is>
      </c>
      <c r="I193" s="15" t="inlineStr">
        <is>
          <t>[S] Molten metal–water contact – steam explosion</t>
        </is>
      </c>
    </row>
    <row r="194">
      <c r="H194" s="15" t="inlineStr">
        <is>
          <t>Phase|OTHER THAN</t>
        </is>
      </c>
      <c r="I194" s="15" t="inlineStr">
        <is>
          <t>[S] Solidification of slag or metal in transfer equipment</t>
        </is>
      </c>
    </row>
    <row r="195">
      <c r="H195" s="15" t="inlineStr">
        <is>
          <t>Reaction|MORE</t>
        </is>
      </c>
      <c r="I195" s="15" t="inlineStr">
        <is>
          <t>Loss of cooling or agitation</t>
        </is>
      </c>
    </row>
    <row r="196">
      <c r="H196" s="15" t="inlineStr">
        <is>
          <t>Reaction|MORE</t>
        </is>
      </c>
      <c r="I196" s="15" t="inlineStr">
        <is>
          <t>Excess catalyst or initiator; wrong reactant order</t>
        </is>
      </c>
    </row>
    <row r="197">
      <c r="H197" s="15" t="inlineStr">
        <is>
          <t>Reaction|MORE</t>
        </is>
      </c>
      <c r="I197" s="15" t="inlineStr">
        <is>
          <t>Higher feed concentration or temperature</t>
        </is>
      </c>
    </row>
    <row r="198">
      <c r="H198" s="15" t="inlineStr">
        <is>
          <t>Reaction|MORE</t>
        </is>
      </c>
      <c r="I198" s="15" t="inlineStr">
        <is>
          <t>Accumulation of unreacted material followed by sudden reaction</t>
        </is>
      </c>
    </row>
    <row r="199">
      <c r="H199" s="15" t="inlineStr">
        <is>
          <t>Reaction|MORE</t>
        </is>
      </c>
      <c r="I199" s="15" t="inlineStr">
        <is>
          <t>[C] Contamination promoting decomposition</t>
        </is>
      </c>
    </row>
    <row r="200">
      <c r="H200" s="15" t="inlineStr">
        <is>
          <t>Reaction|MORE</t>
        </is>
      </c>
      <c r="I200" s="15" t="inlineStr">
        <is>
          <t>[S] Excessive oxygen blowing – violent carbon boil / slopping</t>
        </is>
      </c>
    </row>
    <row r="201">
      <c r="H201" s="15" t="inlineStr">
        <is>
          <t>Reaction|MORE</t>
        </is>
      </c>
      <c r="I201" s="15" t="inlineStr">
        <is>
          <t>[S] Metal–water reaction generating hydrogen</t>
        </is>
      </c>
    </row>
    <row r="202">
      <c r="H202" s="15" t="inlineStr">
        <is>
          <t>Reaction|MORE</t>
        </is>
      </c>
      <c r="I202" s="15" t="inlineStr">
        <is>
          <t>[S] Aluminium, magnesium or other reactive metal powders in contact with water</t>
        </is>
      </c>
    </row>
    <row r="203">
      <c r="H203" s="15" t="inlineStr">
        <is>
          <t>Reaction|LESS</t>
        </is>
      </c>
      <c r="I203" s="15" t="inlineStr">
        <is>
          <t>Low temperature; catalyst deactivated</t>
        </is>
      </c>
    </row>
    <row r="204">
      <c r="H204" s="15" t="inlineStr">
        <is>
          <t>Reaction|LESS</t>
        </is>
      </c>
      <c r="I204" s="15" t="inlineStr">
        <is>
          <t>Wrong or missing reactant; inhibitor excess</t>
        </is>
      </c>
    </row>
    <row r="205">
      <c r="H205" s="15" t="inlineStr">
        <is>
          <t>Reaction|LESS</t>
        </is>
      </c>
      <c r="I205" s="15" t="inlineStr">
        <is>
          <t>[C] Accumulation of unreacted material (later runaway)</t>
        </is>
      </c>
    </row>
    <row r="206">
      <c r="H206" s="15" t="inlineStr">
        <is>
          <t>Reaction|LESS</t>
        </is>
      </c>
      <c r="I206" s="15" t="inlineStr">
        <is>
          <t>[S] Incomplete reduction in DRI shaft / kiln (low metallisation)</t>
        </is>
      </c>
    </row>
    <row r="207">
      <c r="H207" s="15" t="inlineStr">
        <is>
          <t>Reaction|LESS</t>
        </is>
      </c>
      <c r="I207" s="15" t="inlineStr">
        <is>
          <t>[S] Low reducing-gas quality or temperature</t>
        </is>
      </c>
    </row>
    <row r="208">
      <c r="H208" s="15" t="inlineStr">
        <is>
          <t>Reaction|NO</t>
        </is>
      </c>
      <c r="I208" s="15" t="inlineStr">
        <is>
          <t>Low temperature; catalyst deactivated</t>
        </is>
      </c>
    </row>
    <row r="209">
      <c r="H209" s="15" t="inlineStr">
        <is>
          <t>Reaction|NO</t>
        </is>
      </c>
      <c r="I209" s="15" t="inlineStr">
        <is>
          <t>Wrong or missing reactant; inhibitor excess</t>
        </is>
      </c>
    </row>
    <row r="210">
      <c r="H210" s="15" t="inlineStr">
        <is>
          <t>Reaction|NO</t>
        </is>
      </c>
      <c r="I210" s="15" t="inlineStr">
        <is>
          <t>[C] Accumulation of unreacted material (later runaway)</t>
        </is>
      </c>
    </row>
    <row r="211">
      <c r="H211" s="15" t="inlineStr">
        <is>
          <t>Reaction|NO</t>
        </is>
      </c>
      <c r="I211" s="15" t="inlineStr">
        <is>
          <t>[S] Incomplete reduction in DRI shaft / kiln (low metallisation)</t>
        </is>
      </c>
    </row>
    <row r="212">
      <c r="H212" s="15" t="inlineStr">
        <is>
          <t>Reaction|NO</t>
        </is>
      </c>
      <c r="I212" s="15" t="inlineStr">
        <is>
          <t>[S] Low reducing-gas quality or temperature</t>
        </is>
      </c>
    </row>
    <row r="213">
      <c r="H213" s="15" t="inlineStr">
        <is>
          <t>Reaction|OTHER THAN</t>
        </is>
      </c>
      <c r="I213" s="15" t="inlineStr">
        <is>
          <t>[C] Decomposition, polymerisation, oxidation</t>
        </is>
      </c>
    </row>
    <row r="214">
      <c r="H214" s="15" t="inlineStr">
        <is>
          <t>Reaction|OTHER THAN</t>
        </is>
      </c>
      <c r="I214" s="15" t="inlineStr">
        <is>
          <t>[S] Carbon deposition (Boudouard reaction) in reducing-gas systems</t>
        </is>
      </c>
    </row>
    <row r="215">
      <c r="H215" s="15" t="inlineStr">
        <is>
          <t>Reaction|OTHER THAN</t>
        </is>
      </c>
      <c r="I215" s="15" t="inlineStr">
        <is>
          <t>[S] Carbonyl formation where CO contacts nickel or iron surfaces at low temperature</t>
        </is>
      </c>
    </row>
    <row r="216">
      <c r="H216" s="15" t="inlineStr">
        <is>
          <t>Reaction|OTHER THAN</t>
        </is>
      </c>
      <c r="I216" s="15" t="inlineStr">
        <is>
          <t>[S] Re-oxidation of DRI / HBI (heat and hydrogen release)</t>
        </is>
      </c>
    </row>
    <row r="217">
      <c r="H217" s="15" t="inlineStr">
        <is>
          <t>Reaction|OTHER THAN</t>
        </is>
      </c>
      <c r="I217" s="15" t="inlineStr">
        <is>
          <t>Toxic gas evolution (H2S, HCN, NOx, phosphine from wetted ferro-silicon)</t>
        </is>
      </c>
    </row>
    <row r="218">
      <c r="H218" s="15" t="inlineStr">
        <is>
          <t>Mixing / agitation|NO</t>
        </is>
      </c>
      <c r="I218" s="15" t="inlineStr">
        <is>
          <t>Agitator, mixer or circulation pump trip</t>
        </is>
      </c>
    </row>
    <row r="219">
      <c r="H219" s="15" t="inlineStr">
        <is>
          <t>Mixing / agitation|NO</t>
        </is>
      </c>
      <c r="I219" s="15" t="inlineStr">
        <is>
          <t>Wrong agitator speed</t>
        </is>
      </c>
    </row>
    <row r="220">
      <c r="H220" s="15" t="inlineStr">
        <is>
          <t>Mixing / agitation|NO</t>
        </is>
      </c>
      <c r="I220" s="15" t="inlineStr">
        <is>
          <t>[C] Stratification of reactants</t>
        </is>
      </c>
    </row>
    <row r="221">
      <c r="H221" s="15" t="inlineStr">
        <is>
          <t>Mixing / agitation|NO</t>
        </is>
      </c>
      <c r="I221" s="15" t="inlineStr">
        <is>
          <t>[S] Argon / nitrogen stirring – porous plug blocked or leaking</t>
        </is>
      </c>
    </row>
    <row r="222">
      <c r="H222" s="15" t="inlineStr">
        <is>
          <t>Mixing / agitation|NO</t>
        </is>
      </c>
      <c r="I222" s="15" t="inlineStr">
        <is>
          <t>[S] Excessive stirring – metal splash, slag entrainment</t>
        </is>
      </c>
    </row>
    <row r="223">
      <c r="H223" s="15" t="inlineStr">
        <is>
          <t>Mixing / agitation|NO</t>
        </is>
      </c>
      <c r="I223" s="15" t="inlineStr">
        <is>
          <t>[S] Electromagnetic stirrer failure</t>
        </is>
      </c>
    </row>
    <row r="224">
      <c r="H224" s="15" t="inlineStr">
        <is>
          <t>Mixing / agitation|LESS</t>
        </is>
      </c>
      <c r="I224" s="15" t="inlineStr">
        <is>
          <t>Agitator, mixer or circulation pump trip</t>
        </is>
      </c>
    </row>
    <row r="225">
      <c r="H225" s="15" t="inlineStr">
        <is>
          <t>Mixing / agitation|LESS</t>
        </is>
      </c>
      <c r="I225" s="15" t="inlineStr">
        <is>
          <t>Wrong agitator speed</t>
        </is>
      </c>
    </row>
    <row r="226">
      <c r="H226" s="15" t="inlineStr">
        <is>
          <t>Mixing / agitation|LESS</t>
        </is>
      </c>
      <c r="I226" s="15" t="inlineStr">
        <is>
          <t>[C] Stratification of reactants</t>
        </is>
      </c>
    </row>
    <row r="227">
      <c r="H227" s="15" t="inlineStr">
        <is>
          <t>Mixing / agitation|LESS</t>
        </is>
      </c>
      <c r="I227" s="15" t="inlineStr">
        <is>
          <t>[S] Argon / nitrogen stirring – porous plug blocked or leaking</t>
        </is>
      </c>
    </row>
    <row r="228">
      <c r="H228" s="15" t="inlineStr">
        <is>
          <t>Mixing / agitation|LESS</t>
        </is>
      </c>
      <c r="I228" s="15" t="inlineStr">
        <is>
          <t>[S] Excessive stirring – metal splash, slag entrainment</t>
        </is>
      </c>
    </row>
    <row r="229">
      <c r="H229" s="15" t="inlineStr">
        <is>
          <t>Mixing / agitation|LESS</t>
        </is>
      </c>
      <c r="I229" s="15" t="inlineStr">
        <is>
          <t>[S] Electromagnetic stirrer failure</t>
        </is>
      </c>
    </row>
    <row r="230">
      <c r="H230" s="15" t="inlineStr">
        <is>
          <t>Mixing / agitation|MORE</t>
        </is>
      </c>
      <c r="I230" s="15" t="inlineStr">
        <is>
          <t>Agitator, mixer or circulation pump trip</t>
        </is>
      </c>
    </row>
    <row r="231">
      <c r="H231" s="15" t="inlineStr">
        <is>
          <t>Mixing / agitation|MORE</t>
        </is>
      </c>
      <c r="I231" s="15" t="inlineStr">
        <is>
          <t>Wrong agitator speed</t>
        </is>
      </c>
    </row>
    <row r="232">
      <c r="H232" s="15" t="inlineStr">
        <is>
          <t>Mixing / agitation|MORE</t>
        </is>
      </c>
      <c r="I232" s="15" t="inlineStr">
        <is>
          <t>[C] Stratification of reactants</t>
        </is>
      </c>
    </row>
    <row r="233">
      <c r="H233" s="15" t="inlineStr">
        <is>
          <t>Mixing / agitation|MORE</t>
        </is>
      </c>
      <c r="I233" s="15" t="inlineStr">
        <is>
          <t>[S] Argon / nitrogen stirring – porous plug blocked or leaking</t>
        </is>
      </c>
    </row>
    <row r="234">
      <c r="H234" s="15" t="inlineStr">
        <is>
          <t>Mixing / agitation|MORE</t>
        </is>
      </c>
      <c r="I234" s="15" t="inlineStr">
        <is>
          <t>[S] Excessive stirring – metal splash, slag entrainment</t>
        </is>
      </c>
    </row>
    <row r="235">
      <c r="H235" s="15" t="inlineStr">
        <is>
          <t>Mixing / agitation|MORE</t>
        </is>
      </c>
      <c r="I235" s="15" t="inlineStr">
        <is>
          <t>[S] Electromagnetic stirrer failure</t>
        </is>
      </c>
    </row>
    <row r="236">
      <c r="H236" s="15" t="inlineStr">
        <is>
          <t>Timing / sequence|EARLY</t>
        </is>
      </c>
      <c r="I236" s="15" t="inlineStr">
        <is>
          <t>Procedure step skipped or done out of order</t>
        </is>
      </c>
    </row>
    <row r="237">
      <c r="H237" s="15" t="inlineStr">
        <is>
          <t>Timing / sequence|EARLY</t>
        </is>
      </c>
      <c r="I237" s="15" t="inlineStr">
        <is>
          <t>Batch timer or sequence controller failure</t>
        </is>
      </c>
    </row>
    <row r="238">
      <c r="H238" s="15" t="inlineStr">
        <is>
          <t>Timing / sequence|EARLY</t>
        </is>
      </c>
      <c r="I238" s="15" t="inlineStr">
        <is>
          <t>Purge time too short before light-up (burner management)</t>
        </is>
      </c>
    </row>
    <row r="239">
      <c r="H239" s="15" t="inlineStr">
        <is>
          <t>Timing / sequence|EARLY</t>
        </is>
      </c>
      <c r="I239" s="15" t="inlineStr">
        <is>
          <t>Operator distraction or shift changeover</t>
        </is>
      </c>
    </row>
    <row r="240">
      <c r="H240" s="15" t="inlineStr">
        <is>
          <t>Timing / sequence|EARLY</t>
        </is>
      </c>
      <c r="I240" s="15" t="inlineStr">
        <is>
          <t>[C] Reagent added before reaction mass at temperature</t>
        </is>
      </c>
    </row>
    <row r="241">
      <c r="H241" s="15" t="inlineStr">
        <is>
          <t>Timing / sequence|EARLY</t>
        </is>
      </c>
      <c r="I241" s="15" t="inlineStr">
        <is>
          <t>[S] Tapping late (over-oxidation, high temperature) or early (low temperature)</t>
        </is>
      </c>
    </row>
    <row r="242">
      <c r="H242" s="15" t="inlineStr">
        <is>
          <t>Timing / sequence|EARLY</t>
        </is>
      </c>
      <c r="I242" s="15" t="inlineStr">
        <is>
          <t>[S] Oxygen on before lance in correct position; lance not withdrawn at end of blow</t>
        </is>
      </c>
    </row>
    <row r="243">
      <c r="H243" s="15" t="inlineStr">
        <is>
          <t>Timing / sequence|EARLY</t>
        </is>
      </c>
      <c r="I243" s="15" t="inlineStr">
        <is>
          <t>[S] Charging scrap into a furnace with water present or hot heel too large</t>
        </is>
      </c>
    </row>
    <row r="244">
      <c r="H244" s="15" t="inlineStr">
        <is>
          <t>Timing / sequence|EARLY</t>
        </is>
      </c>
      <c r="I244" s="15" t="inlineStr">
        <is>
          <t>[S] Ladle not dried out / pre-heated before use</t>
        </is>
      </c>
    </row>
    <row r="245">
      <c r="H245" s="15" t="inlineStr">
        <is>
          <t>Timing / sequence|LATE</t>
        </is>
      </c>
      <c r="I245" s="15" t="inlineStr">
        <is>
          <t>Procedure step skipped or done out of order</t>
        </is>
      </c>
    </row>
    <row r="246">
      <c r="H246" s="15" t="inlineStr">
        <is>
          <t>Timing / sequence|LATE</t>
        </is>
      </c>
      <c r="I246" s="15" t="inlineStr">
        <is>
          <t>Batch timer or sequence controller failure</t>
        </is>
      </c>
    </row>
    <row r="247">
      <c r="H247" s="15" t="inlineStr">
        <is>
          <t>Timing / sequence|LATE</t>
        </is>
      </c>
      <c r="I247" s="15" t="inlineStr">
        <is>
          <t>Purge time too short before light-up (burner management)</t>
        </is>
      </c>
    </row>
    <row r="248">
      <c r="H248" s="15" t="inlineStr">
        <is>
          <t>Timing / sequence|LATE</t>
        </is>
      </c>
      <c r="I248" s="15" t="inlineStr">
        <is>
          <t>Operator distraction or shift changeover</t>
        </is>
      </c>
    </row>
    <row r="249">
      <c r="H249" s="15" t="inlineStr">
        <is>
          <t>Timing / sequence|LATE</t>
        </is>
      </c>
      <c r="I249" s="15" t="inlineStr">
        <is>
          <t>[C] Reagent added before reaction mass at temperature</t>
        </is>
      </c>
    </row>
    <row r="250">
      <c r="H250" s="15" t="inlineStr">
        <is>
          <t>Timing / sequence|LATE</t>
        </is>
      </c>
      <c r="I250" s="15" t="inlineStr">
        <is>
          <t>[S] Tapping late (over-oxidation, high temperature) or early (low temperature)</t>
        </is>
      </c>
    </row>
    <row r="251">
      <c r="H251" s="15" t="inlineStr">
        <is>
          <t>Timing / sequence|LATE</t>
        </is>
      </c>
      <c r="I251" s="15" t="inlineStr">
        <is>
          <t>[S] Oxygen on before lance in correct position; lance not withdrawn at end of blow</t>
        </is>
      </c>
    </row>
    <row r="252">
      <c r="H252" s="15" t="inlineStr">
        <is>
          <t>Timing / sequence|LATE</t>
        </is>
      </c>
      <c r="I252" s="15" t="inlineStr">
        <is>
          <t>[S] Charging scrap into a furnace with water present or hot heel too large</t>
        </is>
      </c>
    </row>
    <row r="253">
      <c r="H253" s="15" t="inlineStr">
        <is>
          <t>Timing / sequence|LATE</t>
        </is>
      </c>
      <c r="I253" s="15" t="inlineStr">
        <is>
          <t>[S] Ladle not dried out / pre-heated before use</t>
        </is>
      </c>
    </row>
    <row r="254">
      <c r="H254" s="15" t="inlineStr">
        <is>
          <t>Timing / sequence|BEFORE</t>
        </is>
      </c>
      <c r="I254" s="15" t="inlineStr">
        <is>
          <t>Procedure step skipped or done out of order</t>
        </is>
      </c>
    </row>
    <row r="255">
      <c r="H255" s="15" t="inlineStr">
        <is>
          <t>Timing / sequence|BEFORE</t>
        </is>
      </c>
      <c r="I255" s="15" t="inlineStr">
        <is>
          <t>Batch timer or sequence controller failure</t>
        </is>
      </c>
    </row>
    <row r="256">
      <c r="H256" s="15" t="inlineStr">
        <is>
          <t>Timing / sequence|BEFORE</t>
        </is>
      </c>
      <c r="I256" s="15" t="inlineStr">
        <is>
          <t>Purge time too short before light-up (burner management)</t>
        </is>
      </c>
    </row>
    <row r="257">
      <c r="H257" s="15" t="inlineStr">
        <is>
          <t>Timing / sequence|BEFORE</t>
        </is>
      </c>
      <c r="I257" s="15" t="inlineStr">
        <is>
          <t>Operator distraction or shift changeover</t>
        </is>
      </c>
    </row>
    <row r="258">
      <c r="H258" s="15" t="inlineStr">
        <is>
          <t>Timing / sequence|BEFORE</t>
        </is>
      </c>
      <c r="I258" s="15" t="inlineStr">
        <is>
          <t>[C] Reagent added before reaction mass at temperature</t>
        </is>
      </c>
    </row>
    <row r="259">
      <c r="H259" s="15" t="inlineStr">
        <is>
          <t>Timing / sequence|BEFORE</t>
        </is>
      </c>
      <c r="I259" s="15" t="inlineStr">
        <is>
          <t>[S] Tapping late (over-oxidation, high temperature) or early (low temperature)</t>
        </is>
      </c>
    </row>
    <row r="260">
      <c r="H260" s="15" t="inlineStr">
        <is>
          <t>Timing / sequence|BEFORE</t>
        </is>
      </c>
      <c r="I260" s="15" t="inlineStr">
        <is>
          <t>[S] Oxygen on before lance in correct position; lance not withdrawn at end of blow</t>
        </is>
      </c>
    </row>
    <row r="261">
      <c r="H261" s="15" t="inlineStr">
        <is>
          <t>Timing / sequence|BEFORE</t>
        </is>
      </c>
      <c r="I261" s="15" t="inlineStr">
        <is>
          <t>[S] Charging scrap into a furnace with water present or hot heel too large</t>
        </is>
      </c>
    </row>
    <row r="262">
      <c r="H262" s="15" t="inlineStr">
        <is>
          <t>Timing / sequence|BEFORE</t>
        </is>
      </c>
      <c r="I262" s="15" t="inlineStr">
        <is>
          <t>[S] Ladle not dried out / pre-heated before use</t>
        </is>
      </c>
    </row>
    <row r="263">
      <c r="H263" s="15" t="inlineStr">
        <is>
          <t>Timing / sequence|AFTER</t>
        </is>
      </c>
      <c r="I263" s="15" t="inlineStr">
        <is>
          <t>Procedure step skipped or done out of order</t>
        </is>
      </c>
    </row>
    <row r="264">
      <c r="H264" s="15" t="inlineStr">
        <is>
          <t>Timing / sequence|AFTER</t>
        </is>
      </c>
      <c r="I264" s="15" t="inlineStr">
        <is>
          <t>Batch timer or sequence controller failure</t>
        </is>
      </c>
    </row>
    <row r="265">
      <c r="H265" s="15" t="inlineStr">
        <is>
          <t>Timing / sequence|AFTER</t>
        </is>
      </c>
      <c r="I265" s="15" t="inlineStr">
        <is>
          <t>Purge time too short before light-up (burner management)</t>
        </is>
      </c>
    </row>
    <row r="266">
      <c r="H266" s="15" t="inlineStr">
        <is>
          <t>Timing / sequence|AFTER</t>
        </is>
      </c>
      <c r="I266" s="15" t="inlineStr">
        <is>
          <t>Operator distraction or shift changeover</t>
        </is>
      </c>
    </row>
    <row r="267">
      <c r="H267" s="15" t="inlineStr">
        <is>
          <t>Timing / sequence|AFTER</t>
        </is>
      </c>
      <c r="I267" s="15" t="inlineStr">
        <is>
          <t>[C] Reagent added before reaction mass at temperature</t>
        </is>
      </c>
    </row>
    <row r="268">
      <c r="H268" s="15" t="inlineStr">
        <is>
          <t>Timing / sequence|AFTER</t>
        </is>
      </c>
      <c r="I268" s="15" t="inlineStr">
        <is>
          <t>[S] Tapping late (over-oxidation, high temperature) or early (low temperature)</t>
        </is>
      </c>
    </row>
    <row r="269">
      <c r="H269" s="15" t="inlineStr">
        <is>
          <t>Timing / sequence|AFTER</t>
        </is>
      </c>
      <c r="I269" s="15" t="inlineStr">
        <is>
          <t>[S] Oxygen on before lance in correct position; lance not withdrawn at end of blow</t>
        </is>
      </c>
    </row>
    <row r="270">
      <c r="H270" s="15" t="inlineStr">
        <is>
          <t>Timing / sequence|AFTER</t>
        </is>
      </c>
      <c r="I270" s="15" t="inlineStr">
        <is>
          <t>[S] Charging scrap into a furnace with water present or hot heel too large</t>
        </is>
      </c>
    </row>
    <row r="271">
      <c r="H271" s="15" t="inlineStr">
        <is>
          <t>Timing / sequence|AFTER</t>
        </is>
      </c>
      <c r="I271" s="15" t="inlineStr">
        <is>
          <t>[S] Ladle not dried out / pre-heated before use</t>
        </is>
      </c>
    </row>
    <row r="272">
      <c r="H272" s="15" t="inlineStr">
        <is>
          <t>Timing / sequence|NO</t>
        </is>
      </c>
      <c r="I272" s="15" t="inlineStr">
        <is>
          <t>Procedure step skipped or done out of order</t>
        </is>
      </c>
    </row>
    <row r="273">
      <c r="H273" s="15" t="inlineStr">
        <is>
          <t>Timing / sequence|NO</t>
        </is>
      </c>
      <c r="I273" s="15" t="inlineStr">
        <is>
          <t>Batch timer or sequence controller failure</t>
        </is>
      </c>
    </row>
    <row r="274">
      <c r="H274" s="15" t="inlineStr">
        <is>
          <t>Timing / sequence|NO</t>
        </is>
      </c>
      <c r="I274" s="15" t="inlineStr">
        <is>
          <t>Purge time too short before light-up (burner management)</t>
        </is>
      </c>
    </row>
    <row r="275">
      <c r="H275" s="15" t="inlineStr">
        <is>
          <t>Timing / sequence|NO</t>
        </is>
      </c>
      <c r="I275" s="15" t="inlineStr">
        <is>
          <t>Operator distraction or shift changeover</t>
        </is>
      </c>
    </row>
    <row r="276">
      <c r="H276" s="15" t="inlineStr">
        <is>
          <t>Timing / sequence|NO</t>
        </is>
      </c>
      <c r="I276" s="15" t="inlineStr">
        <is>
          <t>[C] Reagent added before reaction mass at temperature</t>
        </is>
      </c>
    </row>
    <row r="277">
      <c r="H277" s="15" t="inlineStr">
        <is>
          <t>Timing / sequence|NO</t>
        </is>
      </c>
      <c r="I277" s="15" t="inlineStr">
        <is>
          <t>[S] Tapping late (over-oxidation, high temperature) or early (low temperature)</t>
        </is>
      </c>
    </row>
    <row r="278">
      <c r="H278" s="15" t="inlineStr">
        <is>
          <t>Timing / sequence|NO</t>
        </is>
      </c>
      <c r="I278" s="15" t="inlineStr">
        <is>
          <t>[S] Oxygen on before lance in correct position; lance not withdrawn at end of blow</t>
        </is>
      </c>
    </row>
    <row r="279">
      <c r="H279" s="15" t="inlineStr">
        <is>
          <t>Timing / sequence|NO</t>
        </is>
      </c>
      <c r="I279" s="15" t="inlineStr">
        <is>
          <t>[S] Charging scrap into a furnace with water present or hot heel too large</t>
        </is>
      </c>
    </row>
    <row r="280">
      <c r="H280" s="15" t="inlineStr">
        <is>
          <t>Timing / sequence|NO</t>
        </is>
      </c>
      <c r="I280" s="15" t="inlineStr">
        <is>
          <t>[S] Ladle not dried out / pre-heated before use</t>
        </is>
      </c>
    </row>
    <row r="281">
      <c r="H281" s="15" t="inlineStr">
        <is>
          <t>Rate of change|FASTER</t>
        </is>
      </c>
      <c r="I281" s="15" t="inlineStr">
        <is>
          <t>Ramp rate too fast for equipment or refractory</t>
        </is>
      </c>
    </row>
    <row r="282">
      <c r="H282" s="15" t="inlineStr">
        <is>
          <t>Rate of change|FASTER</t>
        </is>
      </c>
      <c r="I282" s="15" t="inlineStr">
        <is>
          <t>[S] Casting speed too fast – breakout</t>
        </is>
      </c>
    </row>
    <row r="283">
      <c r="H283" s="15" t="inlineStr">
        <is>
          <t>Rate of change|FASTER</t>
        </is>
      </c>
      <c r="I283" s="15" t="inlineStr">
        <is>
          <t>[S] Heat-up / dry-out of new refractory too fast – spalling</t>
        </is>
      </c>
    </row>
    <row r="284">
      <c r="H284" s="15" t="inlineStr">
        <is>
          <t>Rate of change|FASTER</t>
        </is>
      </c>
      <c r="I284" s="15" t="inlineStr">
        <is>
          <t>[S] Crane travel or tilting too fast – metal splash</t>
        </is>
      </c>
    </row>
    <row r="285">
      <c r="H285" s="15" t="inlineStr">
        <is>
          <t>Rate of change|SLOWER</t>
        </is>
      </c>
      <c r="I285" s="15" t="inlineStr">
        <is>
          <t>Ramp rate too fast for equipment or refractory</t>
        </is>
      </c>
    </row>
    <row r="286">
      <c r="H286" s="15" t="inlineStr">
        <is>
          <t>Rate of change|SLOWER</t>
        </is>
      </c>
      <c r="I286" s="15" t="inlineStr">
        <is>
          <t>[S] Casting speed too fast – breakout</t>
        </is>
      </c>
    </row>
    <row r="287">
      <c r="H287" s="15" t="inlineStr">
        <is>
          <t>Rate of change|SLOWER</t>
        </is>
      </c>
      <c r="I287" s="15" t="inlineStr">
        <is>
          <t>[S] Heat-up / dry-out of new refractory too fast – spalling</t>
        </is>
      </c>
    </row>
    <row r="288">
      <c r="H288" s="15" t="inlineStr">
        <is>
          <t>Rate of change|SLOWER</t>
        </is>
      </c>
      <c r="I288" s="15" t="inlineStr">
        <is>
          <t>[S] Crane travel or tilting too fast – metal splash</t>
        </is>
      </c>
    </row>
    <row r="289">
      <c r="H289" s="15" t="inlineStr">
        <is>
          <t>Viscosity / density|MORE</t>
        </is>
      </c>
      <c r="I289" s="15" t="inlineStr">
        <is>
          <t>Temperature change</t>
        </is>
      </c>
    </row>
    <row r="290">
      <c r="H290" s="15" t="inlineStr">
        <is>
          <t>Viscosity / density|MORE</t>
        </is>
      </c>
      <c r="I290" s="15" t="inlineStr">
        <is>
          <t>Wrong material or concentration</t>
        </is>
      </c>
    </row>
    <row r="291">
      <c r="H291" s="15" t="inlineStr">
        <is>
          <t>Viscosity / density|MORE</t>
        </is>
      </c>
      <c r="I291" s="15" t="inlineStr">
        <is>
          <t>Solids content too high</t>
        </is>
      </c>
    </row>
    <row r="292">
      <c r="H292" s="15" t="inlineStr">
        <is>
          <t>Viscosity / density|MORE</t>
        </is>
      </c>
      <c r="I292" s="15" t="inlineStr">
        <is>
          <t>[S] Slag basicity or chemistry wrong – viscous slag, poor fluidity</t>
        </is>
      </c>
    </row>
    <row r="293">
      <c r="H293" s="15" t="inlineStr">
        <is>
          <t>Viscosity / density|LESS</t>
        </is>
      </c>
      <c r="I293" s="15" t="inlineStr">
        <is>
          <t>Temperature change</t>
        </is>
      </c>
    </row>
    <row r="294">
      <c r="H294" s="15" t="inlineStr">
        <is>
          <t>Viscosity / density|LESS</t>
        </is>
      </c>
      <c r="I294" s="15" t="inlineStr">
        <is>
          <t>Wrong material or concentration</t>
        </is>
      </c>
    </row>
    <row r="295">
      <c r="H295" s="15" t="inlineStr">
        <is>
          <t>Viscosity / density|LESS</t>
        </is>
      </c>
      <c r="I295" s="15" t="inlineStr">
        <is>
          <t>Solids content too high</t>
        </is>
      </c>
    </row>
    <row r="296">
      <c r="H296" s="15" t="inlineStr">
        <is>
          <t>Viscosity / density|LESS</t>
        </is>
      </c>
      <c r="I296" s="15" t="inlineStr">
        <is>
          <t>[S] Slag basicity or chemistry wrong – viscous slag, poor fluidity</t>
        </is>
      </c>
    </row>
    <row r="297">
      <c r="H297" s="15" t="inlineStr">
        <is>
          <t>Molten metal / slag containment|LOSS OF</t>
        </is>
      </c>
      <c r="I297" s="15" t="inlineStr">
        <is>
          <t>Refractory wear, erosion or spalling; missed refractory inspection</t>
        </is>
      </c>
    </row>
    <row r="298">
      <c r="H298" s="15" t="inlineStr">
        <is>
          <t>Molten metal / slag containment|LOSS OF</t>
        </is>
      </c>
      <c r="I298" s="15" t="inlineStr">
        <is>
          <t>Furnace shell or ladle shell burn-through</t>
        </is>
      </c>
    </row>
    <row r="299">
      <c r="H299" s="15" t="inlineStr">
        <is>
          <t>Molten metal / slag containment|LOSS OF</t>
        </is>
      </c>
      <c r="I299" s="15" t="inlineStr">
        <is>
          <t>Tap-hole or slide-gate failure; nozzle failure</t>
        </is>
      </c>
    </row>
    <row r="300">
      <c r="H300" s="15" t="inlineStr">
        <is>
          <t>Molten metal / slag containment|LOSS OF</t>
        </is>
      </c>
      <c r="I300" s="15" t="inlineStr">
        <is>
          <t>Ladle over-filling</t>
        </is>
      </c>
    </row>
    <row r="301">
      <c r="H301" s="15" t="inlineStr">
        <is>
          <t>Molten metal / slag containment|LOSS OF</t>
        </is>
      </c>
      <c r="I301" s="15" t="inlineStr">
        <is>
          <t>Crane failure or dropped ladle; ladle trunnion failure</t>
        </is>
      </c>
    </row>
    <row r="302">
      <c r="H302" s="15" t="inlineStr">
        <is>
          <t>Molten metal / slag containment|LOSS OF</t>
        </is>
      </c>
      <c r="I302" s="15" t="inlineStr">
        <is>
          <t>Ladle or pot not correctly seated on car or stand</t>
        </is>
      </c>
    </row>
    <row r="303">
      <c r="H303" s="15" t="inlineStr">
        <is>
          <t>Molten metal / slag containment|LOSS OF</t>
        </is>
      </c>
      <c r="I303" s="15" t="inlineStr">
        <is>
          <t>Tilting drive over-travel; loss of hydraulic or electrical control</t>
        </is>
      </c>
    </row>
    <row r="304">
      <c r="H304" s="15" t="inlineStr">
        <is>
          <t>Molten metal / slag containment|LOSS OF</t>
        </is>
      </c>
      <c r="I304" s="15" t="inlineStr">
        <is>
          <t>Breakout at caster (mould level, casting speed, lubrication, sticker)</t>
        </is>
      </c>
    </row>
    <row r="305">
      <c r="H305" s="15" t="inlineStr">
        <is>
          <t>Molten metal / slag containment|LOSS OF</t>
        </is>
      </c>
      <c r="I305" s="15" t="inlineStr">
        <is>
          <t>Vehicle or ladle-car collision; derailment</t>
        </is>
      </c>
    </row>
    <row r="306">
      <c r="H306" s="15" t="inlineStr">
        <is>
          <t>Water contact with molten metal / slag|AS WELL AS</t>
        </is>
      </c>
      <c r="I306" s="15" t="inlineStr">
        <is>
          <t>Leaking water-cooled panel, roof, tuyere, stave, lance or copper mould</t>
        </is>
      </c>
    </row>
    <row r="307">
      <c r="H307" s="15" t="inlineStr">
        <is>
          <t>Water contact with molten metal / slag|AS WELL AS</t>
        </is>
      </c>
      <c r="I307" s="15" t="inlineStr">
        <is>
          <t>Wet scrap, DRI, fluxes or ladle additions; snow or ice</t>
        </is>
      </c>
    </row>
    <row r="308">
      <c r="H308" s="15" t="inlineStr">
        <is>
          <t>Water contact with molten metal / slag|AS WELL AS</t>
        </is>
      </c>
      <c r="I308" s="15" t="inlineStr">
        <is>
          <t>Wet or damp ladles, tundishes, moulds, tools or slag pots</t>
        </is>
      </c>
    </row>
    <row r="309">
      <c r="H309" s="15" t="inlineStr">
        <is>
          <t>Water contact with molten metal / slag|AS WELL AS</t>
        </is>
      </c>
      <c r="I309" s="15" t="inlineStr">
        <is>
          <t>Water on floor or in pits under tapping areas</t>
        </is>
      </c>
    </row>
    <row r="310">
      <c r="H310" s="15" t="inlineStr">
        <is>
          <t>Water contact with molten metal / slag|AS WELL AS</t>
        </is>
      </c>
      <c r="I310" s="15" t="inlineStr">
        <is>
          <t>Rain ingress through damaged roofs; flooding</t>
        </is>
      </c>
    </row>
    <row r="311">
      <c r="H311" s="15" t="inlineStr">
        <is>
          <t>Water contact with molten metal / slag|AS WELL AS</t>
        </is>
      </c>
      <c r="I311" s="15" t="inlineStr">
        <is>
          <t>Spray cooling water impinging on spilled metal</t>
        </is>
      </c>
    </row>
    <row r="312">
      <c r="H312" s="15" t="inlineStr">
        <is>
          <t>Water contact with molten metal / slag|AS WELL AS</t>
        </is>
      </c>
      <c r="I312" s="15" t="inlineStr">
        <is>
          <t>Granulation / slag-pit water management failure</t>
        </is>
      </c>
    </row>
    <row r="313">
      <c r="H313" s="15" t="inlineStr">
        <is>
          <t>Cooling water flow (water-cooled elements)|NO</t>
        </is>
      </c>
      <c r="I313" s="15" t="inlineStr">
        <is>
          <t>Pump trip or power failure without emergency (gravity / diesel) supply</t>
        </is>
      </c>
    </row>
    <row r="314">
      <c r="H314" s="15" t="inlineStr">
        <is>
          <t>Cooling water flow (water-cooled elements)|NO</t>
        </is>
      </c>
      <c r="I314" s="15" t="inlineStr">
        <is>
          <t>Valve closed in error; header isolation</t>
        </is>
      </c>
    </row>
    <row r="315">
      <c r="H315" s="15" t="inlineStr">
        <is>
          <t>Cooling water flow (water-cooled elements)|NO</t>
        </is>
      </c>
      <c r="I315" s="15" t="inlineStr">
        <is>
          <t>Scale, silt or biological fouling</t>
        </is>
      </c>
    </row>
    <row r="316">
      <c r="H316" s="15" t="inlineStr">
        <is>
          <t>Cooling water flow (water-cooled elements)|NO</t>
        </is>
      </c>
      <c r="I316" s="15" t="inlineStr">
        <is>
          <t>Air locking of circuits</t>
        </is>
      </c>
    </row>
    <row r="317">
      <c r="H317" s="15" t="inlineStr">
        <is>
          <t>Cooling water flow (water-cooled elements)|NO</t>
        </is>
      </c>
      <c r="I317" s="15" t="inlineStr">
        <is>
          <t>Low header pressure or tank level</t>
        </is>
      </c>
    </row>
    <row r="318">
      <c r="H318" s="15" t="inlineStr">
        <is>
          <t>Cooling water flow (water-cooled elements)|NO</t>
        </is>
      </c>
      <c r="I318" s="15" t="inlineStr">
        <is>
          <t>Cooling tower failure (fans, basin level)</t>
        </is>
      </c>
    </row>
    <row r="319">
      <c r="H319" s="15" t="inlineStr">
        <is>
          <t>Cooling water flow (water-cooled elements)|LESS</t>
        </is>
      </c>
      <c r="I319" s="15" t="inlineStr">
        <is>
          <t>Pump trip or power failure without emergency (gravity / diesel) supply</t>
        </is>
      </c>
    </row>
    <row r="320">
      <c r="H320" s="15" t="inlineStr">
        <is>
          <t>Cooling water flow (water-cooled elements)|LESS</t>
        </is>
      </c>
      <c r="I320" s="15" t="inlineStr">
        <is>
          <t>Valve closed in error; header isolation</t>
        </is>
      </c>
    </row>
    <row r="321">
      <c r="H321" s="15" t="inlineStr">
        <is>
          <t>Cooling water flow (water-cooled elements)|LESS</t>
        </is>
      </c>
      <c r="I321" s="15" t="inlineStr">
        <is>
          <t>Scale, silt or biological fouling</t>
        </is>
      </c>
    </row>
    <row r="322">
      <c r="H322" s="15" t="inlineStr">
        <is>
          <t>Cooling water flow (water-cooled elements)|LESS</t>
        </is>
      </c>
      <c r="I322" s="15" t="inlineStr">
        <is>
          <t>Air locking of circuits</t>
        </is>
      </c>
    </row>
    <row r="323">
      <c r="H323" s="15" t="inlineStr">
        <is>
          <t>Cooling water flow (water-cooled elements)|LESS</t>
        </is>
      </c>
      <c r="I323" s="15" t="inlineStr">
        <is>
          <t>Low header pressure or tank level</t>
        </is>
      </c>
    </row>
    <row r="324">
      <c r="H324" s="15" t="inlineStr">
        <is>
          <t>Cooling water flow (water-cooled elements)|LESS</t>
        </is>
      </c>
      <c r="I324" s="15" t="inlineStr">
        <is>
          <t>Cooling tower failure (fans, basin level)</t>
        </is>
      </c>
    </row>
    <row r="325">
      <c r="H325" s="15" t="inlineStr">
        <is>
          <t>Water-cooled element integrity|LOSS OF</t>
        </is>
      </c>
      <c r="I325" s="15" t="inlineStr">
        <is>
          <t>Thermal fatigue cracking of panels or lance</t>
        </is>
      </c>
    </row>
    <row r="326">
      <c r="H326" s="15" t="inlineStr">
        <is>
          <t>Water-cooled element integrity|LOSS OF</t>
        </is>
      </c>
      <c r="I326" s="15" t="inlineStr">
        <is>
          <t>Arc or flame impingement damage</t>
        </is>
      </c>
    </row>
    <row r="327">
      <c r="H327" s="15" t="inlineStr">
        <is>
          <t>Water-cooled element integrity|LOSS OF</t>
        </is>
      </c>
      <c r="I327" s="15" t="inlineStr">
        <is>
          <t>Mechanical damage from scrap charging</t>
        </is>
      </c>
    </row>
    <row r="328">
      <c r="H328" s="15" t="inlineStr">
        <is>
          <t>Water-cooled element integrity|LOSS OF</t>
        </is>
      </c>
      <c r="I328" s="15" t="inlineStr">
        <is>
          <t>Erosion or corrosion (water chemistry)</t>
        </is>
      </c>
    </row>
    <row r="329">
      <c r="H329" s="15" t="inlineStr">
        <is>
          <t>Water-cooled element integrity|LOSS OF</t>
        </is>
      </c>
      <c r="I329" s="15" t="inlineStr">
        <is>
          <t>Poor weld or repair quality</t>
        </is>
      </c>
    </row>
    <row r="330">
      <c r="H330" s="15" t="inlineStr">
        <is>
          <t>Water-cooled element integrity|LOSS OF</t>
        </is>
      </c>
      <c r="I330" s="15" t="inlineStr">
        <is>
          <t>Over-pressure of closed circuit</t>
        </is>
      </c>
    </row>
    <row r="331">
      <c r="H331" s="15" t="inlineStr">
        <is>
          <t>Water-cooled element integrity|LOSS OF</t>
        </is>
      </c>
      <c r="I331" s="15" t="inlineStr">
        <is>
          <t>Leak detection (flow in/out differential) failed or not fitted</t>
        </is>
      </c>
    </row>
    <row r="332">
      <c r="H332" s="15" t="inlineStr">
        <is>
          <t>Process gas (CO, H2 – BFG, COG, LD gas, reducing gas)|LEAK OF</t>
        </is>
      </c>
      <c r="I332" s="15" t="inlineStr">
        <is>
          <t>Flange, valve or seal leak; water-seal blown</t>
        </is>
      </c>
    </row>
    <row r="333">
      <c r="H333" s="15" t="inlineStr">
        <is>
          <t>Process gas (CO, H2 – BFG, COG, LD gas, reducing gas)|LEAK OF</t>
        </is>
      </c>
      <c r="I333" s="15" t="inlineStr">
        <is>
          <t>Gas back-flow into buildings via drains or cable ducts</t>
        </is>
      </c>
    </row>
    <row r="334">
      <c r="H334" s="15" t="inlineStr">
        <is>
          <t>Process gas (CO, H2 – BFG, COG, LD gas, reducing gas)|LEAK OF</t>
        </is>
      </c>
      <c r="I334" s="15" t="inlineStr">
        <is>
          <t>Bleeder / relief opening near work areas</t>
        </is>
      </c>
    </row>
    <row r="335">
      <c r="H335" s="15" t="inlineStr">
        <is>
          <t>Process gas (CO, H2 – BFG, COG, LD gas, reducing gas)|LEAK OF</t>
        </is>
      </c>
      <c r="I335" s="15" t="inlineStr">
        <is>
          <t>Isolation failure during maintenance (no double block and bleed, no blinding)</t>
        </is>
      </c>
    </row>
    <row r="336">
      <c r="H336" s="15" t="inlineStr">
        <is>
          <t>Process gas (CO, H2 – BFG, COG, LD gas, reducing gas)|LEAK OF</t>
        </is>
      </c>
      <c r="I336" s="15" t="inlineStr">
        <is>
          <t>Gas detection inoperative or poorly located</t>
        </is>
      </c>
    </row>
    <row r="337">
      <c r="H337" s="15" t="inlineStr">
        <is>
          <t>Process gas (CO, H2 – BFG, COG, LD gas, reducing gas)|LEAK OF</t>
        </is>
      </c>
      <c r="I337" s="15" t="inlineStr">
        <is>
          <t>Confined spaces near gas mains</t>
        </is>
      </c>
    </row>
    <row r="338">
      <c r="H338" s="15" t="inlineStr">
        <is>
          <t>Air / oxygen in process gas|AS WELL AS</t>
        </is>
      </c>
      <c r="I338" s="15" t="inlineStr">
        <is>
          <t>Air ingress through leaks at negative pressure</t>
        </is>
      </c>
    </row>
    <row r="339">
      <c r="H339" s="15" t="inlineStr">
        <is>
          <t>Air / oxygen in process gas|AS WELL AS</t>
        </is>
      </c>
      <c r="I339" s="15" t="inlineStr">
        <is>
          <t>Inadequate purging at start-up / shutdown</t>
        </is>
      </c>
    </row>
    <row r="340">
      <c r="H340" s="15" t="inlineStr">
        <is>
          <t>Air / oxygen in process gas|AS WELL AS</t>
        </is>
      </c>
      <c r="I340" s="15" t="inlineStr">
        <is>
          <t>Gas holder or collector low pressure</t>
        </is>
      </c>
    </row>
    <row r="341">
      <c r="H341" s="15" t="inlineStr">
        <is>
          <t>Air / oxygen in process gas|AS WELL AS</t>
        </is>
      </c>
      <c r="I341" s="15" t="inlineStr">
        <is>
          <t>Oxygen analyser failure on LD gas recovery</t>
        </is>
      </c>
    </row>
    <row r="342">
      <c r="H342" s="15" t="inlineStr">
        <is>
          <t>Air / oxygen in process gas|AS WELL AS</t>
        </is>
      </c>
      <c r="I342" s="15" t="inlineStr">
        <is>
          <t>Burner flame-out with continued fuel supply</t>
        </is>
      </c>
    </row>
    <row r="343">
      <c r="H343" s="15" t="inlineStr">
        <is>
          <t>Oxygen (lances, burners, pipelines)|LEAK OF</t>
        </is>
      </c>
      <c r="I343" s="15" t="inlineStr">
        <is>
          <t>Oil, grease or debris contamination in oxygen service</t>
        </is>
      </c>
    </row>
    <row r="344">
      <c r="H344" s="15" t="inlineStr">
        <is>
          <t>Oxygen (lances, burners, pipelines)|LEAK OF</t>
        </is>
      </c>
      <c r="I344" s="15" t="inlineStr">
        <is>
          <t>High gas velocity / particle impingement in valves and bends</t>
        </is>
      </c>
    </row>
    <row r="345">
      <c r="H345" s="15" t="inlineStr">
        <is>
          <t>Oxygen (lances, burners, pipelines)|LEAK OF</t>
        </is>
      </c>
      <c r="I345" s="15" t="inlineStr">
        <is>
          <t>Incompatible materials of construction or gaskets</t>
        </is>
      </c>
    </row>
    <row r="346">
      <c r="H346" s="15" t="inlineStr">
        <is>
          <t>Oxygen (lances, burners, pipelines)|LEAK OF</t>
        </is>
      </c>
      <c r="I346" s="15" t="inlineStr">
        <is>
          <t>Fast-opening valves (adiabatic compression)</t>
        </is>
      </c>
    </row>
    <row r="347">
      <c r="H347" s="15" t="inlineStr">
        <is>
          <t>Oxygen (lances, burners, pipelines)|LEAK OF</t>
        </is>
      </c>
      <c r="I347" s="15" t="inlineStr">
        <is>
          <t>Leak into enclosed areas – enriched atmosphere, clothing fire</t>
        </is>
      </c>
    </row>
    <row r="348">
      <c r="H348" s="15" t="inlineStr">
        <is>
          <t>Oxygen (lances, burners, pipelines)|LEAK OF</t>
        </is>
      </c>
      <c r="I348" s="15" t="inlineStr">
        <is>
          <t>Lance blocked or burned back</t>
        </is>
      </c>
    </row>
    <row r="349">
      <c r="H349" s="15" t="inlineStr">
        <is>
          <t>Oxygen (lances, burners, pipelines)|AS WELL AS</t>
        </is>
      </c>
      <c r="I349" s="15" t="inlineStr">
        <is>
          <t>Oil, grease or debris contamination in oxygen service</t>
        </is>
      </c>
    </row>
    <row r="350">
      <c r="H350" s="15" t="inlineStr">
        <is>
          <t>Oxygen (lances, burners, pipelines)|AS WELL AS</t>
        </is>
      </c>
      <c r="I350" s="15" t="inlineStr">
        <is>
          <t>High gas velocity / particle impingement in valves and bends</t>
        </is>
      </c>
    </row>
    <row r="351">
      <c r="H351" s="15" t="inlineStr">
        <is>
          <t>Oxygen (lances, burners, pipelines)|AS WELL AS</t>
        </is>
      </c>
      <c r="I351" s="15" t="inlineStr">
        <is>
          <t>Incompatible materials of construction or gaskets</t>
        </is>
      </c>
    </row>
    <row r="352">
      <c r="H352" s="15" t="inlineStr">
        <is>
          <t>Oxygen (lances, burners, pipelines)|AS WELL AS</t>
        </is>
      </c>
      <c r="I352" s="15" t="inlineStr">
        <is>
          <t>Fast-opening valves (adiabatic compression)</t>
        </is>
      </c>
    </row>
    <row r="353">
      <c r="H353" s="15" t="inlineStr">
        <is>
          <t>Oxygen (lances, burners, pipelines)|AS WELL AS</t>
        </is>
      </c>
      <c r="I353" s="15" t="inlineStr">
        <is>
          <t>Leak into enclosed areas – enriched atmosphere, clothing fire</t>
        </is>
      </c>
    </row>
    <row r="354">
      <c r="H354" s="15" t="inlineStr">
        <is>
          <t>Oxygen (lances, burners, pipelines)|AS WELL AS</t>
        </is>
      </c>
      <c r="I354" s="15" t="inlineStr">
        <is>
          <t>Lance blocked or burned back</t>
        </is>
      </c>
    </row>
    <row r="355">
      <c r="H355" s="15" t="inlineStr">
        <is>
          <t>Inert gas (N2, Ar)|LEAK OF</t>
        </is>
      </c>
      <c r="I355" s="15" t="inlineStr">
        <is>
          <t>Leak or purge into enclosed or confined area</t>
        </is>
      </c>
    </row>
    <row r="356">
      <c r="H356" s="15" t="inlineStr">
        <is>
          <t>Inert gas (N2, Ar)|LEAK OF</t>
        </is>
      </c>
      <c r="I356" s="15" t="inlineStr">
        <is>
          <t>Inert gas used as breathing air (wrong connection)</t>
        </is>
      </c>
    </row>
    <row r="357">
      <c r="H357" s="15" t="inlineStr">
        <is>
          <t>Inert gas (N2, Ar)|LEAK OF</t>
        </is>
      </c>
      <c r="I357" s="15" t="inlineStr">
        <is>
          <t>Pit, tunnel or bin atmosphere not tested before entry</t>
        </is>
      </c>
    </row>
    <row r="358">
      <c r="H358" s="15" t="inlineStr">
        <is>
          <t>Inert gas (N2, Ar)|LEAK OF</t>
        </is>
      </c>
      <c r="I358" s="15" t="inlineStr">
        <is>
          <t>Loss of inert blanketing on DRI bins, coal mills or dust filters</t>
        </is>
      </c>
    </row>
    <row r="359">
      <c r="H359" s="15" t="inlineStr">
        <is>
          <t>Inert gas (N2, Ar)|LEAK OF</t>
        </is>
      </c>
      <c r="I359" s="15" t="inlineStr">
        <is>
          <t>Nitrogen supply failure (plant trip)</t>
        </is>
      </c>
    </row>
    <row r="360">
      <c r="H360" s="15" t="inlineStr">
        <is>
          <t>Inert gas (N2, Ar)|LOSS OF</t>
        </is>
      </c>
      <c r="I360" s="15" t="inlineStr">
        <is>
          <t>Leak or purge into enclosed or confined area</t>
        </is>
      </c>
    </row>
    <row r="361">
      <c r="H361" s="15" t="inlineStr">
        <is>
          <t>Inert gas (N2, Ar)|LOSS OF</t>
        </is>
      </c>
      <c r="I361" s="15" t="inlineStr">
        <is>
          <t>Inert gas used as breathing air (wrong connection)</t>
        </is>
      </c>
    </row>
    <row r="362">
      <c r="H362" s="15" t="inlineStr">
        <is>
          <t>Inert gas (N2, Ar)|LOSS OF</t>
        </is>
      </c>
      <c r="I362" s="15" t="inlineStr">
        <is>
          <t>Pit, tunnel or bin atmosphere not tested before entry</t>
        </is>
      </c>
    </row>
    <row r="363">
      <c r="H363" s="15" t="inlineStr">
        <is>
          <t>Inert gas (N2, Ar)|LOSS OF</t>
        </is>
      </c>
      <c r="I363" s="15" t="inlineStr">
        <is>
          <t>Loss of inert blanketing on DRI bins, coal mills or dust filters</t>
        </is>
      </c>
    </row>
    <row r="364">
      <c r="H364" s="15" t="inlineStr">
        <is>
          <t>Inert gas (N2, Ar)|LOSS OF</t>
        </is>
      </c>
      <c r="I364" s="15" t="inlineStr">
        <is>
          <t>Nitrogen supply failure (plant trip)</t>
        </is>
      </c>
    </row>
    <row r="365">
      <c r="H365" s="15" t="inlineStr">
        <is>
          <t>Electrical energy (furnace / electrolysis)|MORE</t>
        </is>
      </c>
      <c r="I365" s="15" t="inlineStr">
        <is>
          <t>Electrode breakage or slipping</t>
        </is>
      </c>
    </row>
    <row r="366">
      <c r="H366" s="15" t="inlineStr">
        <is>
          <t>Electrical energy (furnace / electrolysis)|MORE</t>
        </is>
      </c>
      <c r="I366" s="15" t="inlineStr">
        <is>
          <t>Transformer or reactor cooling failure; transformer fire</t>
        </is>
      </c>
    </row>
    <row r="367">
      <c r="H367" s="15" t="inlineStr">
        <is>
          <t>Electrical energy (furnace / electrolysis)|MORE</t>
        </is>
      </c>
      <c r="I367" s="15" t="inlineStr">
        <is>
          <t>Over-current or short circuit; regulation fault</t>
        </is>
      </c>
    </row>
    <row r="368">
      <c r="H368" s="15" t="inlineStr">
        <is>
          <t>Electrical energy (furnace / electrolysis)|MORE</t>
        </is>
      </c>
      <c r="I368" s="15" t="inlineStr">
        <is>
          <t>Arc flash on high-current bus bars</t>
        </is>
      </c>
    </row>
    <row r="369">
      <c r="H369" s="15" t="inlineStr">
        <is>
          <t>Electrical energy (furnace / electrolysis)|MORE</t>
        </is>
      </c>
      <c r="I369" s="15" t="inlineStr">
        <is>
          <t>Loss of furnace power at critical stage (metal freeze)</t>
        </is>
      </c>
    </row>
    <row r="370">
      <c r="H370" s="15" t="inlineStr">
        <is>
          <t>Electrical energy (furnace / electrolysis)|MORE</t>
        </is>
      </c>
      <c r="I370" s="15" t="inlineStr">
        <is>
          <t>[S] Electrolysis cells / potlines – DC magnetic fields, anode effect, cell tapping errors</t>
        </is>
      </c>
    </row>
    <row r="371">
      <c r="H371" s="15" t="inlineStr">
        <is>
          <t>Electrical energy (furnace / electrolysis)|LESS</t>
        </is>
      </c>
      <c r="I371" s="15" t="inlineStr">
        <is>
          <t>Electrode breakage or slipping</t>
        </is>
      </c>
    </row>
    <row r="372">
      <c r="H372" s="15" t="inlineStr">
        <is>
          <t>Electrical energy (furnace / electrolysis)|LESS</t>
        </is>
      </c>
      <c r="I372" s="15" t="inlineStr">
        <is>
          <t>Transformer or reactor cooling failure; transformer fire</t>
        </is>
      </c>
    </row>
    <row r="373">
      <c r="H373" s="15" t="inlineStr">
        <is>
          <t>Electrical energy (furnace / electrolysis)|LESS</t>
        </is>
      </c>
      <c r="I373" s="15" t="inlineStr">
        <is>
          <t>Over-current or short circuit; regulation fault</t>
        </is>
      </c>
    </row>
    <row r="374">
      <c r="H374" s="15" t="inlineStr">
        <is>
          <t>Electrical energy (furnace / electrolysis)|LESS</t>
        </is>
      </c>
      <c r="I374" s="15" t="inlineStr">
        <is>
          <t>Arc flash on high-current bus bars</t>
        </is>
      </c>
    </row>
    <row r="375">
      <c r="H375" s="15" t="inlineStr">
        <is>
          <t>Electrical energy (furnace / electrolysis)|LESS</t>
        </is>
      </c>
      <c r="I375" s="15" t="inlineStr">
        <is>
          <t>Loss of furnace power at critical stage (metal freeze)</t>
        </is>
      </c>
    </row>
    <row r="376">
      <c r="H376" s="15" t="inlineStr">
        <is>
          <t>Electrical energy (furnace / electrolysis)|LESS</t>
        </is>
      </c>
      <c r="I376" s="15" t="inlineStr">
        <is>
          <t>[S] Electrolysis cells / potlines – DC magnetic fields, anode effect, cell tapping errors</t>
        </is>
      </c>
    </row>
    <row r="377">
      <c r="H377" s="15" t="inlineStr">
        <is>
          <t>Electrical energy (furnace / electrolysis)|OTHER THAN</t>
        </is>
      </c>
      <c r="I377" s="15" t="inlineStr">
        <is>
          <t>Electrode breakage or slipping</t>
        </is>
      </c>
    </row>
    <row r="378">
      <c r="H378" s="15" t="inlineStr">
        <is>
          <t>Electrical energy (furnace / electrolysis)|OTHER THAN</t>
        </is>
      </c>
      <c r="I378" s="15" t="inlineStr">
        <is>
          <t>Transformer or reactor cooling failure; transformer fire</t>
        </is>
      </c>
    </row>
    <row r="379">
      <c r="H379" s="15" t="inlineStr">
        <is>
          <t>Electrical energy (furnace / electrolysis)|OTHER THAN</t>
        </is>
      </c>
      <c r="I379" s="15" t="inlineStr">
        <is>
          <t>Over-current or short circuit; regulation fault</t>
        </is>
      </c>
    </row>
    <row r="380">
      <c r="H380" s="15" t="inlineStr">
        <is>
          <t>Electrical energy (furnace / electrolysis)|OTHER THAN</t>
        </is>
      </c>
      <c r="I380" s="15" t="inlineStr">
        <is>
          <t>Arc flash on high-current bus bars</t>
        </is>
      </c>
    </row>
    <row r="381">
      <c r="H381" s="15" t="inlineStr">
        <is>
          <t>Electrical energy (furnace / electrolysis)|OTHER THAN</t>
        </is>
      </c>
      <c r="I381" s="15" t="inlineStr">
        <is>
          <t>Loss of furnace power at critical stage (metal freeze)</t>
        </is>
      </c>
    </row>
    <row r="382">
      <c r="H382" s="15" t="inlineStr">
        <is>
          <t>Electrical energy (furnace / electrolysis)|OTHER THAN</t>
        </is>
      </c>
      <c r="I382" s="15" t="inlineStr">
        <is>
          <t>[S] Electrolysis cells / potlines – DC magnetic fields, anode effect, cell tapping errors</t>
        </is>
      </c>
    </row>
    <row r="383">
      <c r="H383" s="15" t="inlineStr">
        <is>
          <t>Solid charge materials|OTHER THAN</t>
        </is>
      </c>
      <c r="I383" s="15" t="inlineStr">
        <is>
          <t>Sealed containers, gas cylinders, explosives in scrap</t>
        </is>
      </c>
    </row>
    <row r="384">
      <c r="H384" s="15" t="inlineStr">
        <is>
          <t>Solid charge materials|OTHER THAN</t>
        </is>
      </c>
      <c r="I384" s="15" t="inlineStr">
        <is>
          <t>Radioactive sources in scrap (portal monitor failure)</t>
        </is>
      </c>
    </row>
    <row r="385">
      <c r="H385" s="15" t="inlineStr">
        <is>
          <t>Solid charge materials|OTHER THAN</t>
        </is>
      </c>
      <c r="I385" s="15" t="inlineStr">
        <is>
          <t>Moisture in charge</t>
        </is>
      </c>
    </row>
    <row r="386">
      <c r="H386" s="15" t="inlineStr">
        <is>
          <t>Solid charge materials|OTHER THAN</t>
        </is>
      </c>
      <c r="I386" s="15" t="inlineStr">
        <is>
          <t>Oversize pieces – bridging, mechanical damage</t>
        </is>
      </c>
    </row>
    <row r="387">
      <c r="H387" s="15" t="inlineStr">
        <is>
          <t>Solid charge materials|OTHER THAN</t>
        </is>
      </c>
      <c r="I387" s="15" t="inlineStr">
        <is>
          <t>Segregation – inconsistent chemistry</t>
        </is>
      </c>
    </row>
    <row r="388">
      <c r="H388" s="15" t="inlineStr">
        <is>
          <t>Solid charge materials|OTHER THAN</t>
        </is>
      </c>
      <c r="I388" s="15" t="inlineStr">
        <is>
          <t>Fines – dust generation</t>
        </is>
      </c>
    </row>
    <row r="389">
      <c r="H389" s="15" t="inlineStr">
        <is>
          <t>Solid charge materials|AS WELL AS</t>
        </is>
      </c>
      <c r="I389" s="15" t="inlineStr">
        <is>
          <t>Sealed containers, gas cylinders, explosives in scrap</t>
        </is>
      </c>
    </row>
    <row r="390">
      <c r="H390" s="15" t="inlineStr">
        <is>
          <t>Solid charge materials|AS WELL AS</t>
        </is>
      </c>
      <c r="I390" s="15" t="inlineStr">
        <is>
          <t>Radioactive sources in scrap (portal monitor failure)</t>
        </is>
      </c>
    </row>
    <row r="391">
      <c r="H391" s="15" t="inlineStr">
        <is>
          <t>Solid charge materials|AS WELL AS</t>
        </is>
      </c>
      <c r="I391" s="15" t="inlineStr">
        <is>
          <t>Moisture in charge</t>
        </is>
      </c>
    </row>
    <row r="392">
      <c r="H392" s="15" t="inlineStr">
        <is>
          <t>Solid charge materials|AS WELL AS</t>
        </is>
      </c>
      <c r="I392" s="15" t="inlineStr">
        <is>
          <t>Oversize pieces – bridging, mechanical damage</t>
        </is>
      </c>
    </row>
    <row r="393">
      <c r="H393" s="15" t="inlineStr">
        <is>
          <t>Solid charge materials|AS WELL AS</t>
        </is>
      </c>
      <c r="I393" s="15" t="inlineStr">
        <is>
          <t>Segregation – inconsistent chemistry</t>
        </is>
      </c>
    </row>
    <row r="394">
      <c r="H394" s="15" t="inlineStr">
        <is>
          <t>Solid charge materials|AS WELL AS</t>
        </is>
      </c>
      <c r="I394" s="15" t="inlineStr">
        <is>
          <t>Fines – dust generation</t>
        </is>
      </c>
    </row>
    <row r="395">
      <c r="H395" s="15" t="inlineStr">
        <is>
          <t>Solid charge materials|MORE</t>
        </is>
      </c>
      <c r="I395" s="15" t="inlineStr">
        <is>
          <t>Sealed containers, gas cylinders, explosives in scrap</t>
        </is>
      </c>
    </row>
    <row r="396">
      <c r="H396" s="15" t="inlineStr">
        <is>
          <t>Solid charge materials|MORE</t>
        </is>
      </c>
      <c r="I396" s="15" t="inlineStr">
        <is>
          <t>Radioactive sources in scrap (portal monitor failure)</t>
        </is>
      </c>
    </row>
    <row r="397">
      <c r="H397" s="15" t="inlineStr">
        <is>
          <t>Solid charge materials|MORE</t>
        </is>
      </c>
      <c r="I397" s="15" t="inlineStr">
        <is>
          <t>Moisture in charge</t>
        </is>
      </c>
    </row>
    <row r="398">
      <c r="H398" s="15" t="inlineStr">
        <is>
          <t>Solid charge materials|MORE</t>
        </is>
      </c>
      <c r="I398" s="15" t="inlineStr">
        <is>
          <t>Oversize pieces – bridging, mechanical damage</t>
        </is>
      </c>
    </row>
    <row r="399">
      <c r="H399" s="15" t="inlineStr">
        <is>
          <t>Solid charge materials|MORE</t>
        </is>
      </c>
      <c r="I399" s="15" t="inlineStr">
        <is>
          <t>Segregation – inconsistent chemistry</t>
        </is>
      </c>
    </row>
    <row r="400">
      <c r="H400" s="15" t="inlineStr">
        <is>
          <t>Solid charge materials|MORE</t>
        </is>
      </c>
      <c r="I400" s="15" t="inlineStr">
        <is>
          <t>Fines – dust generation</t>
        </is>
      </c>
    </row>
    <row r="401">
      <c r="H401" s="15" t="inlineStr">
        <is>
          <t>Hot DRI / HBI temperature|MORE</t>
        </is>
      </c>
      <c r="I401" s="15" t="inlineStr">
        <is>
          <t>Re-oxidation in air (insufficient inerting or cooling)</t>
        </is>
      </c>
    </row>
    <row r="402">
      <c r="H402" s="15" t="inlineStr">
        <is>
          <t>Hot DRI / HBI temperature|MORE</t>
        </is>
      </c>
      <c r="I402" s="15" t="inlineStr">
        <is>
          <t>Water contact – heat and hydrogen generation</t>
        </is>
      </c>
    </row>
    <row r="403">
      <c r="H403" s="15" t="inlineStr">
        <is>
          <t>Hot DRI / HBI temperature|MORE</t>
        </is>
      </c>
      <c r="I403" s="15" t="inlineStr">
        <is>
          <t>Dust and fines accumulation</t>
        </is>
      </c>
    </row>
    <row r="404">
      <c r="H404" s="15" t="inlineStr">
        <is>
          <t>Hot DRI / HBI temperature|MORE</t>
        </is>
      </c>
      <c r="I404" s="15" t="inlineStr">
        <is>
          <t>Conveyor or transport vessel over-temperature</t>
        </is>
      </c>
    </row>
    <row r="405">
      <c r="H405" s="15" t="inlineStr">
        <is>
          <t>Hot DRI / HBI temperature|MORE</t>
        </is>
      </c>
      <c r="I405" s="15" t="inlineStr">
        <is>
          <t>Long storage times; poor bin ventilation</t>
        </is>
      </c>
    </row>
    <row r="406">
      <c r="H406" s="15" t="inlineStr">
        <is>
          <t>Combustible dust|MORE</t>
        </is>
      </c>
      <c r="I406" s="15" t="inlineStr">
        <is>
          <t>Dust accumulation on structures; poor housekeeping</t>
        </is>
      </c>
    </row>
    <row r="407">
      <c r="H407" s="15" t="inlineStr">
        <is>
          <t>Combustible dust|MORE</t>
        </is>
      </c>
      <c r="I407" s="15" t="inlineStr">
        <is>
          <t>Dust collector or baghouse fire / explosion</t>
        </is>
      </c>
    </row>
    <row r="408">
      <c r="H408" s="15" t="inlineStr">
        <is>
          <t>Combustible dust|MORE</t>
        </is>
      </c>
      <c r="I408" s="15" t="inlineStr">
        <is>
          <t>Hot surfaces, sparks, static, hot work</t>
        </is>
      </c>
    </row>
    <row r="409">
      <c r="H409" s="15" t="inlineStr">
        <is>
          <t>Combustible dust|MORE</t>
        </is>
      </c>
      <c r="I409" s="15" t="inlineStr">
        <is>
          <t>Loss of inerting in coal mill or PCI system</t>
        </is>
      </c>
    </row>
    <row r="410">
      <c r="H410" s="15" t="inlineStr">
        <is>
          <t>Combustible dust|MORE</t>
        </is>
      </c>
      <c r="I410" s="15" t="inlineStr">
        <is>
          <t>Explosion venting / suppression / isolation missing or ineffective</t>
        </is>
      </c>
    </row>
    <row r="411">
      <c r="H411" s="15" t="inlineStr">
        <is>
          <t>Hydraulic / lube oil|LEAK OF</t>
        </is>
      </c>
      <c r="I411" s="15" t="inlineStr">
        <is>
          <t>Hose or fitting failure near hot metal or hot product</t>
        </is>
      </c>
    </row>
    <row r="412">
      <c r="H412" s="15" t="inlineStr">
        <is>
          <t>Hydraulic / lube oil|LEAK OF</t>
        </is>
      </c>
      <c r="I412" s="15" t="inlineStr">
        <is>
          <t>Use of mineral oil instead of fire-resistant fluid near hot areas</t>
        </is>
      </c>
    </row>
    <row r="413">
      <c r="H413" s="15" t="inlineStr">
        <is>
          <t>Hydraulic / lube oil|LEAK OF</t>
        </is>
      </c>
      <c r="I413" s="15" t="inlineStr">
        <is>
          <t>Accumulator failure – uncontrolled movement</t>
        </is>
      </c>
    </row>
    <row r="414">
      <c r="H414" s="15" t="inlineStr">
        <is>
          <t>Hydraulic / lube oil|LEAK OF</t>
        </is>
      </c>
      <c r="I414" s="15" t="inlineStr">
        <is>
          <t>Loss of pressure – uncontrolled tilt, roll gap or clamp release</t>
        </is>
      </c>
    </row>
    <row r="415">
      <c r="H415" s="15" t="inlineStr">
        <is>
          <t>Hydraulic / lube oil|LEAK OF</t>
        </is>
      </c>
      <c r="I415" s="15" t="inlineStr">
        <is>
          <t>Contaminated oil – valve sticking</t>
        </is>
      </c>
    </row>
    <row r="416">
      <c r="H416" s="15" t="inlineStr">
        <is>
          <t>Hydraulic / lube oil|LESS</t>
        </is>
      </c>
      <c r="I416" s="15" t="inlineStr">
        <is>
          <t>Hose or fitting failure near hot metal or hot product</t>
        </is>
      </c>
    </row>
    <row r="417">
      <c r="H417" s="15" t="inlineStr">
        <is>
          <t>Hydraulic / lube oil|LESS</t>
        </is>
      </c>
      <c r="I417" s="15" t="inlineStr">
        <is>
          <t>Use of mineral oil instead of fire-resistant fluid near hot areas</t>
        </is>
      </c>
    </row>
    <row r="418">
      <c r="H418" s="15" t="inlineStr">
        <is>
          <t>Hydraulic / lube oil|LESS</t>
        </is>
      </c>
      <c r="I418" s="15" t="inlineStr">
        <is>
          <t>Accumulator failure – uncontrolled movement</t>
        </is>
      </c>
    </row>
    <row r="419">
      <c r="H419" s="15" t="inlineStr">
        <is>
          <t>Hydraulic / lube oil|LESS</t>
        </is>
      </c>
      <c r="I419" s="15" t="inlineStr">
        <is>
          <t>Loss of pressure – uncontrolled tilt, roll gap or clamp release</t>
        </is>
      </c>
    </row>
    <row r="420">
      <c r="H420" s="15" t="inlineStr">
        <is>
          <t>Hydraulic / lube oil|LESS</t>
        </is>
      </c>
      <c r="I420" s="15" t="inlineStr">
        <is>
          <t>Contaminated oil – valve sticking</t>
        </is>
      </c>
    </row>
    <row r="421">
      <c r="H421" s="15" t="inlineStr">
        <is>
          <t>Load control (cranes, ladle / transfer cars)|LOSS OF</t>
        </is>
      </c>
      <c r="I421" s="15" t="inlineStr">
        <is>
          <t>Crane brake, rope or hook failure while carrying molten metal</t>
        </is>
      </c>
    </row>
    <row r="422">
      <c r="H422" s="15" t="inlineStr">
        <is>
          <t>Load control (cranes, ladle / transfer cars)|LOSS OF</t>
        </is>
      </c>
      <c r="I422" s="15" t="inlineStr">
        <is>
          <t>Power failure with ladle suspended</t>
        </is>
      </c>
    </row>
    <row r="423">
      <c r="H423" s="15" t="inlineStr">
        <is>
          <t>Load control (cranes, ladle / transfer cars)|LOSS OF</t>
        </is>
      </c>
      <c r="I423" s="15" t="inlineStr">
        <is>
          <t>Anti-collision or limit switch failure</t>
        </is>
      </c>
    </row>
    <row r="424">
      <c r="H424" s="15" t="inlineStr">
        <is>
          <t>Load control (cranes, ladle / transfer cars)|LOSS OF</t>
        </is>
      </c>
      <c r="I424" s="15" t="inlineStr">
        <is>
          <t>Overload; incorrect lifting accessory</t>
        </is>
      </c>
    </row>
    <row r="425">
      <c r="H425" s="15" t="inlineStr">
        <is>
          <t>Load control (cranes, ladle / transfer cars)|LOSS OF</t>
        </is>
      </c>
      <c r="I425" s="15" t="inlineStr">
        <is>
          <t>Poor visibility from steam or fume</t>
        </is>
      </c>
    </row>
    <row r="426">
      <c r="H426" s="15" t="inlineStr">
        <is>
          <t>Casting speed / mould level|MORE</t>
        </is>
      </c>
      <c r="I426" s="15" t="inlineStr">
        <is>
          <t>Mould level control failure – overflow or breakout</t>
        </is>
      </c>
    </row>
    <row r="427">
      <c r="H427" s="15" t="inlineStr">
        <is>
          <t>Casting speed / mould level|MORE</t>
        </is>
      </c>
      <c r="I427" s="15" t="inlineStr">
        <is>
          <t>Secondary cooling water failure</t>
        </is>
      </c>
    </row>
    <row r="428">
      <c r="H428" s="15" t="inlineStr">
        <is>
          <t>Casting speed / mould level|MORE</t>
        </is>
      </c>
      <c r="I428" s="15" t="inlineStr">
        <is>
          <t>Cobbles in rolling mill; product jumping guides</t>
        </is>
      </c>
    </row>
    <row r="429">
      <c r="H429" s="15" t="inlineStr">
        <is>
          <t>Casting speed / mould level|MORE</t>
        </is>
      </c>
      <c r="I429" s="15" t="inlineStr">
        <is>
          <t>Roll breakage; drive failure</t>
        </is>
      </c>
    </row>
    <row r="430">
      <c r="H430" s="15" t="inlineStr">
        <is>
          <t>Casting speed / mould level|MORE</t>
        </is>
      </c>
      <c r="I430" s="15" t="inlineStr">
        <is>
          <t>Scale-breaker high-pressure water hazards</t>
        </is>
      </c>
    </row>
    <row r="431">
      <c r="H431" s="15" t="inlineStr">
        <is>
          <t>Casting speed / mould level|LESS</t>
        </is>
      </c>
      <c r="I431" s="15" t="inlineStr">
        <is>
          <t>Mould level control failure – overflow or breakout</t>
        </is>
      </c>
    </row>
    <row r="432">
      <c r="H432" s="15" t="inlineStr">
        <is>
          <t>Casting speed / mould level|LESS</t>
        </is>
      </c>
      <c r="I432" s="15" t="inlineStr">
        <is>
          <t>Secondary cooling water failure</t>
        </is>
      </c>
    </row>
    <row r="433">
      <c r="H433" s="15" t="inlineStr">
        <is>
          <t>Casting speed / mould level|LESS</t>
        </is>
      </c>
      <c r="I433" s="15" t="inlineStr">
        <is>
          <t>Cobbles in rolling mill; product jumping guides</t>
        </is>
      </c>
    </row>
    <row r="434">
      <c r="H434" s="15" t="inlineStr">
        <is>
          <t>Casting speed / mould level|LESS</t>
        </is>
      </c>
      <c r="I434" s="15" t="inlineStr">
        <is>
          <t>Roll breakage; drive failure</t>
        </is>
      </c>
    </row>
    <row r="435">
      <c r="H435" s="15" t="inlineStr">
        <is>
          <t>Casting speed / mould level|LESS</t>
        </is>
      </c>
      <c r="I435" s="15" t="inlineStr">
        <is>
          <t>Scale-breaker high-pressure water hazards</t>
        </is>
      </c>
    </row>
    <row r="436">
      <c r="H436" s="15" t="inlineStr">
        <is>
          <t>Refractory|LESS</t>
        </is>
      </c>
      <c r="I436" s="15" t="inlineStr">
        <is>
          <t>Wear beyond limit; inspection missed</t>
        </is>
      </c>
    </row>
    <row r="437">
      <c r="H437" s="15" t="inlineStr">
        <is>
          <t>Refractory|LESS</t>
        </is>
      </c>
      <c r="I437" s="15" t="inlineStr">
        <is>
          <t>Wrong refractory specification</t>
        </is>
      </c>
    </row>
    <row r="438">
      <c r="H438" s="15" t="inlineStr">
        <is>
          <t>Refractory|LESS</t>
        </is>
      </c>
      <c r="I438" s="15" t="inlineStr">
        <is>
          <t>Inadequate dry-out (moisture – spalling, steam)</t>
        </is>
      </c>
    </row>
    <row r="439">
      <c r="H439" s="15" t="inlineStr">
        <is>
          <t>Refractory|LESS</t>
        </is>
      </c>
      <c r="I439" s="15" t="inlineStr">
        <is>
          <t>Thermal shock from rapid heating or cooling</t>
        </is>
      </c>
    </row>
    <row r="440">
      <c r="H440" s="15" t="inlineStr">
        <is>
          <t>Refractory|LESS</t>
        </is>
      </c>
      <c r="I440" s="15" t="inlineStr">
        <is>
          <t>Chemical attack by slag</t>
        </is>
      </c>
    </row>
    <row r="441">
      <c r="H441" s="15" t="inlineStr">
        <is>
          <t>Pickling acid / zinc bath|MORE</t>
        </is>
      </c>
      <c r="I441" s="15" t="inlineStr">
        <is>
          <t>Acid concentration out of range – fume, over-pickling</t>
        </is>
      </c>
    </row>
    <row r="442">
      <c r="H442" s="15" t="inlineStr">
        <is>
          <t>Pickling acid / zinc bath|MORE</t>
        </is>
      </c>
      <c r="I442" s="15" t="inlineStr">
        <is>
          <t>Acid regeneration plant upset – HCl release</t>
        </is>
      </c>
    </row>
    <row r="443">
      <c r="H443" s="15" t="inlineStr">
        <is>
          <t>Pickling acid / zinc bath|MORE</t>
        </is>
      </c>
      <c r="I443" s="15" t="inlineStr">
        <is>
          <t>Fume extraction failure</t>
        </is>
      </c>
    </row>
    <row r="444">
      <c r="H444" s="15" t="inlineStr">
        <is>
          <t>Pickling acid / zinc bath|MORE</t>
        </is>
      </c>
      <c r="I444" s="15" t="inlineStr">
        <is>
          <t>Wet or contaminated steel entering molten zinc bath – eruption</t>
        </is>
      </c>
    </row>
    <row r="445">
      <c r="H445" s="15" t="inlineStr">
        <is>
          <t>Pickling acid / zinc bath|MORE</t>
        </is>
      </c>
      <c r="I445" s="15" t="inlineStr">
        <is>
          <t>Flux or zinc ash handling exposures</t>
        </is>
      </c>
    </row>
    <row r="446">
      <c r="H446" s="15" t="inlineStr">
        <is>
          <t>Pickling acid / zinc bath|LESS</t>
        </is>
      </c>
      <c r="I446" s="15" t="inlineStr">
        <is>
          <t>Acid concentration out of range – fume, over-pickling</t>
        </is>
      </c>
    </row>
    <row r="447">
      <c r="H447" s="15" t="inlineStr">
        <is>
          <t>Pickling acid / zinc bath|LESS</t>
        </is>
      </c>
      <c r="I447" s="15" t="inlineStr">
        <is>
          <t>Acid regeneration plant upset – HCl release</t>
        </is>
      </c>
    </row>
    <row r="448">
      <c r="H448" s="15" t="inlineStr">
        <is>
          <t>Pickling acid / zinc bath|LESS</t>
        </is>
      </c>
      <c r="I448" s="15" t="inlineStr">
        <is>
          <t>Fume extraction failure</t>
        </is>
      </c>
    </row>
    <row r="449">
      <c r="H449" s="15" t="inlineStr">
        <is>
          <t>Pickling acid / zinc bath|LESS</t>
        </is>
      </c>
      <c r="I449" s="15" t="inlineStr">
        <is>
          <t>Wet or contaminated steel entering molten zinc bath – eruption</t>
        </is>
      </c>
    </row>
    <row r="450">
      <c r="H450" s="15" t="inlineStr">
        <is>
          <t>Pickling acid / zinc bath|LESS</t>
        </is>
      </c>
      <c r="I450" s="15" t="inlineStr">
        <is>
          <t>Flux or zinc ash handling exposures</t>
        </is>
      </c>
    </row>
    <row r="451">
      <c r="H451" s="15" t="inlineStr">
        <is>
          <t>Pickling acid / zinc bath|AS WELL AS</t>
        </is>
      </c>
      <c r="I451" s="15" t="inlineStr">
        <is>
          <t>Acid concentration out of range – fume, over-pickling</t>
        </is>
      </c>
    </row>
    <row r="452">
      <c r="H452" s="15" t="inlineStr">
        <is>
          <t>Pickling acid / zinc bath|AS WELL AS</t>
        </is>
      </c>
      <c r="I452" s="15" t="inlineStr">
        <is>
          <t>Acid regeneration plant upset – HCl release</t>
        </is>
      </c>
    </row>
    <row r="453">
      <c r="H453" s="15" t="inlineStr">
        <is>
          <t>Pickling acid / zinc bath|AS WELL AS</t>
        </is>
      </c>
      <c r="I453" s="15" t="inlineStr">
        <is>
          <t>Fume extraction failure</t>
        </is>
      </c>
    </row>
    <row r="454">
      <c r="H454" s="15" t="inlineStr">
        <is>
          <t>Pickling acid / zinc bath|AS WELL AS</t>
        </is>
      </c>
      <c r="I454" s="15" t="inlineStr">
        <is>
          <t>Wet or contaminated steel entering molten zinc bath – eruption</t>
        </is>
      </c>
    </row>
    <row r="455">
      <c r="H455" s="15" t="inlineStr">
        <is>
          <t>Pickling acid / zinc bath|AS WELL AS</t>
        </is>
      </c>
      <c r="I455" s="15" t="inlineStr">
        <is>
          <t>Flux or zinc ash handling exposures</t>
        </is>
      </c>
    </row>
    <row r="456">
      <c r="H456" s="15" t="inlineStr">
        <is>
          <t>Relief|INADEQUATE</t>
        </is>
      </c>
      <c r="I456" s="15" t="inlineStr">
        <is>
          <t>Relief philosophy not defined for all scenarios (fire, blocked outlet, runaway, tube rupture)</t>
        </is>
      </c>
    </row>
    <row r="457">
      <c r="H457" s="15" t="inlineStr">
        <is>
          <t>Relief|INADEQUATE</t>
        </is>
      </c>
      <c r="I457" s="15" t="inlineStr">
        <is>
          <t>Type of relief device and its reliability</t>
        </is>
      </c>
    </row>
    <row r="458">
      <c r="H458" s="15" t="inlineStr">
        <is>
          <t>Relief|INADEQUATE</t>
        </is>
      </c>
      <c r="I458" s="15" t="inlineStr">
        <is>
          <t>Relief valve discharge location unsafe (to work areas, ignition sources)</t>
        </is>
      </c>
    </row>
    <row r="459">
      <c r="H459" s="15" t="inlineStr">
        <is>
          <t>Relief|INADEQUATE</t>
        </is>
      </c>
      <c r="I459" s="15" t="inlineStr">
        <is>
          <t>Pollution implications of discharge</t>
        </is>
      </c>
    </row>
    <row r="460">
      <c r="H460" s="15" t="inlineStr">
        <is>
          <t>Relief|INADEQUATE</t>
        </is>
      </c>
      <c r="I460" s="15" t="inlineStr">
        <is>
          <t>Relief isolated or blocked; incorrect set pressure</t>
        </is>
      </c>
    </row>
    <row r="461">
      <c r="H461" s="15" t="inlineStr">
        <is>
          <t>Relief|INADEQUATE</t>
        </is>
      </c>
      <c r="I461" s="15" t="inlineStr">
        <is>
          <t>[S] Explosion doors / bleeders on furnaces and gas mains – location and maintenance</t>
        </is>
      </c>
    </row>
    <row r="462">
      <c r="H462" s="15" t="inlineStr">
        <is>
          <t>Process control / instrumentation|LOSS OF</t>
        </is>
      </c>
      <c r="I462" s="15" t="inlineStr">
        <is>
          <t>Control philosophy unclear</t>
        </is>
      </c>
    </row>
    <row r="463">
      <c r="H463" s="15" t="inlineStr">
        <is>
          <t>Process control / instrumentation|LOSS OF</t>
        </is>
      </c>
      <c r="I463" s="15" t="inlineStr">
        <is>
          <t>Location of instruments unsuitable</t>
        </is>
      </c>
    </row>
    <row r="464">
      <c r="H464" s="15" t="inlineStr">
        <is>
          <t>Process control / instrumentation|LOSS OF</t>
        </is>
      </c>
      <c r="I464" s="15" t="inlineStr">
        <is>
          <t>Response time; set points of alarms and trips</t>
        </is>
      </c>
    </row>
    <row r="465">
      <c r="H465" s="15" t="inlineStr">
        <is>
          <t>Process control / instrumentation|LOSS OF</t>
        </is>
      </c>
      <c r="I465" s="15" t="inlineStr">
        <is>
          <t>Time available for operator intervention</t>
        </is>
      </c>
    </row>
    <row r="466">
      <c r="H466" s="15" t="inlineStr">
        <is>
          <t>Process control / instrumentation|LOSS OF</t>
        </is>
      </c>
      <c r="I466" s="15" t="inlineStr">
        <is>
          <t>Alarm and trip testing not done</t>
        </is>
      </c>
    </row>
    <row r="467">
      <c r="H467" s="15" t="inlineStr">
        <is>
          <t>Process control / instrumentation|LOSS OF</t>
        </is>
      </c>
      <c r="I467" s="15" t="inlineStr">
        <is>
          <t>Fire protection of instruments and cables</t>
        </is>
      </c>
    </row>
    <row r="468">
      <c r="H468" s="15" t="inlineStr">
        <is>
          <t>Process control / instrumentation|LOSS OF</t>
        </is>
      </c>
      <c r="I468" s="15" t="inlineStr">
        <is>
          <t>Electronic trip / control amplifiers</t>
        </is>
      </c>
    </row>
    <row r="469">
      <c r="H469" s="15" t="inlineStr">
        <is>
          <t>Process control / instrumentation|LOSS OF</t>
        </is>
      </c>
      <c r="I469" s="15" t="inlineStr">
        <is>
          <t>Panel arrangement and location</t>
        </is>
      </c>
    </row>
    <row r="470">
      <c r="H470" s="15" t="inlineStr">
        <is>
          <t>Process control / instrumentation|LOSS OF</t>
        </is>
      </c>
      <c r="I470" s="15" t="inlineStr">
        <is>
          <t>Auto / manual facility and human error</t>
        </is>
      </c>
    </row>
    <row r="471">
      <c r="H471" s="15" t="inlineStr">
        <is>
          <t>Process control / instrumentation|LOSS OF</t>
        </is>
      </c>
      <c r="I471" s="15" t="inlineStr">
        <is>
          <t>Alarm flooding; bypassed trips</t>
        </is>
      </c>
    </row>
    <row r="472">
      <c r="H472" s="15" t="inlineStr">
        <is>
          <t>Process control / instrumentation|LOSS OF</t>
        </is>
      </c>
      <c r="I472" s="15" t="inlineStr">
        <is>
          <t>[S] Instruments in high temperature, dust and EMF environments (temperature probes, level radars, leak detection)</t>
        </is>
      </c>
    </row>
    <row r="473">
      <c r="H473" s="15" t="inlineStr">
        <is>
          <t>Sampling|INADEQUATE</t>
        </is>
      </c>
      <c r="I473" s="15" t="inlineStr">
        <is>
          <t>Sampling procedure inadequate</t>
        </is>
      </c>
    </row>
    <row r="474">
      <c r="H474" s="15" t="inlineStr">
        <is>
          <t>Sampling|INADEQUATE</t>
        </is>
      </c>
      <c r="I474" s="15" t="inlineStr">
        <is>
          <t>Time for analysis result too long</t>
        </is>
      </c>
    </row>
    <row r="475">
      <c r="H475" s="15" t="inlineStr">
        <is>
          <t>Sampling|INADEQUATE</t>
        </is>
      </c>
      <c r="I475" s="15" t="inlineStr">
        <is>
          <t>Calibration of automatic samplers / reliability</t>
        </is>
      </c>
    </row>
    <row r="476">
      <c r="H476" s="15" t="inlineStr">
        <is>
          <t>Sampling|INADEQUATE</t>
        </is>
      </c>
      <c r="I476" s="15" t="inlineStr">
        <is>
          <t>Accuracy of representative sample</t>
        </is>
      </c>
    </row>
    <row r="477">
      <c r="H477" s="15" t="inlineStr">
        <is>
          <t>Sampling|INADEQUATE</t>
        </is>
      </c>
      <c r="I477" s="15" t="inlineStr">
        <is>
          <t>Diagnosis of result</t>
        </is>
      </c>
    </row>
    <row r="478">
      <c r="H478" s="15" t="inlineStr">
        <is>
          <t>Sampling|INADEQUATE</t>
        </is>
      </c>
      <c r="I478" s="15" t="inlineStr">
        <is>
          <t>Exposure of sampler to toxic, hot or pressurised material</t>
        </is>
      </c>
    </row>
    <row r="479">
      <c r="H479" s="15" t="inlineStr">
        <is>
          <t>Sampling|INADEQUATE</t>
        </is>
      </c>
      <c r="I479" s="15" t="inlineStr">
        <is>
          <t>[S] Molten metal sampling and temperature measurement at the furnace door or ladle</t>
        </is>
      </c>
    </row>
    <row r="480">
      <c r="H480" s="15" t="inlineStr">
        <is>
          <t>Corrosion / erosion|MORE</t>
        </is>
      </c>
      <c r="I480" s="15" t="inlineStr">
        <is>
          <t>Cathodic protection arrangements inadequate</t>
        </is>
      </c>
    </row>
    <row r="481">
      <c r="H481" s="15" t="inlineStr">
        <is>
          <t>Corrosion / erosion|MORE</t>
        </is>
      </c>
      <c r="I481" s="15" t="inlineStr">
        <is>
          <t>Internal / external corrosion protection</t>
        </is>
      </c>
    </row>
    <row r="482">
      <c r="H482" s="15" t="inlineStr">
        <is>
          <t>Corrosion / erosion|MORE</t>
        </is>
      </c>
      <c r="I482" s="15" t="inlineStr">
        <is>
          <t>Engineering specifications</t>
        </is>
      </c>
    </row>
    <row r="483">
      <c r="H483" s="15" t="inlineStr">
        <is>
          <t>Corrosion / erosion|MORE</t>
        </is>
      </c>
      <c r="I483" s="15" t="inlineStr">
        <is>
          <t>Zinc embrittlement</t>
        </is>
      </c>
    </row>
    <row r="484">
      <c r="H484" s="15" t="inlineStr">
        <is>
          <t>Corrosion / erosion|MORE</t>
        </is>
      </c>
      <c r="I484" s="15" t="inlineStr">
        <is>
          <t>Stress corrosion cracking (chlorides)</t>
        </is>
      </c>
    </row>
    <row r="485">
      <c r="H485" s="15" t="inlineStr">
        <is>
          <t>Corrosion / erosion|MORE</t>
        </is>
      </c>
      <c r="I485" s="15" t="inlineStr">
        <is>
          <t>Fluid velocities too high</t>
        </is>
      </c>
    </row>
    <row r="486">
      <c r="H486" s="15" t="inlineStr">
        <is>
          <t>Corrosion / erosion|MORE</t>
        </is>
      </c>
      <c r="I486" s="15" t="inlineStr">
        <is>
          <t>Corrosion under insulation</t>
        </is>
      </c>
    </row>
    <row r="487">
      <c r="H487" s="15" t="inlineStr">
        <is>
          <t>Corrosion / erosion|MORE</t>
        </is>
      </c>
      <c r="I487" s="15" t="inlineStr">
        <is>
          <t>[S] Abrasive slurries, dust-laden gas, acid dew-point corrosion in off-gas ducts</t>
        </is>
      </c>
    </row>
    <row r="488">
      <c r="H488" s="15" t="inlineStr">
        <is>
          <t>Utilities / services|LOSS OF</t>
        </is>
      </c>
      <c r="I488" s="15" t="inlineStr">
        <is>
          <t>Failure of dry instrument air</t>
        </is>
      </c>
    </row>
    <row r="489">
      <c r="H489" s="15" t="inlineStr">
        <is>
          <t>Utilities / services|LOSS OF</t>
        </is>
      </c>
      <c r="I489" s="15" t="inlineStr">
        <is>
          <t>Failure of steam / nitrogen / cooling water</t>
        </is>
      </c>
    </row>
    <row r="490">
      <c r="H490" s="15" t="inlineStr">
        <is>
          <t>Utilities / services|LOSS OF</t>
        </is>
      </c>
      <c r="I490" s="15" t="inlineStr">
        <is>
          <t>Failure of hydraulic power / electric power</t>
        </is>
      </c>
    </row>
    <row r="491">
      <c r="H491" s="15" t="inlineStr">
        <is>
          <t>Utilities / services|LOSS OF</t>
        </is>
      </c>
      <c r="I491" s="15" t="inlineStr">
        <is>
          <t>Telecommunications</t>
        </is>
      </c>
    </row>
    <row r="492">
      <c r="H492" s="15" t="inlineStr">
        <is>
          <t>Utilities / services|LOSS OF</t>
        </is>
      </c>
      <c r="I492" s="15" t="inlineStr">
        <is>
          <t>Heating and ventilating systems</t>
        </is>
      </c>
    </row>
    <row r="493">
      <c r="H493" s="15" t="inlineStr">
        <is>
          <t>Utilities / services|LOSS OF</t>
        </is>
      </c>
      <c r="I493" s="15" t="inlineStr">
        <is>
          <t>Computers / control system / network</t>
        </is>
      </c>
    </row>
    <row r="494">
      <c r="H494" s="15" t="inlineStr">
        <is>
          <t>Utilities / services|LOSS OF</t>
        </is>
      </c>
      <c r="I494" s="15" t="inlineStr">
        <is>
          <t>[S] Loss of oxygen, argon or natural gas supply from air-separation plant or pipeline</t>
        </is>
      </c>
    </row>
    <row r="495">
      <c r="H495" s="15" t="inlineStr">
        <is>
          <t>Maintenance|INADEQUATE</t>
        </is>
      </c>
      <c r="I495" s="15" t="inlineStr">
        <is>
          <t>Isolation, drainage, purging</t>
        </is>
      </c>
    </row>
    <row r="496">
      <c r="H496" s="15" t="inlineStr">
        <is>
          <t>Maintenance|INADEQUATE</t>
        </is>
      </c>
      <c r="I496" s="15" t="inlineStr">
        <is>
          <t>Cleaning, drying</t>
        </is>
      </c>
    </row>
    <row r="497">
      <c r="H497" s="15" t="inlineStr">
        <is>
          <t>Maintenance|INADEQUATE</t>
        </is>
      </c>
      <c r="I497" s="15" t="inlineStr">
        <is>
          <t>Slip plates</t>
        </is>
      </c>
    </row>
    <row r="498">
      <c r="H498" s="15" t="inlineStr">
        <is>
          <t>Maintenance|INADEQUATE</t>
        </is>
      </c>
      <c r="I498" s="15" t="inlineStr">
        <is>
          <t>Access</t>
        </is>
      </c>
    </row>
    <row r="499">
      <c r="H499" s="15" t="inlineStr">
        <is>
          <t>Maintenance|INADEQUATE</t>
        </is>
      </c>
      <c r="I499" s="15" t="inlineStr">
        <is>
          <t>Rescue plan</t>
        </is>
      </c>
    </row>
    <row r="500">
      <c r="H500" s="15" t="inlineStr">
        <is>
          <t>Maintenance|INADEQUATE</t>
        </is>
      </c>
      <c r="I500" s="15" t="inlineStr">
        <is>
          <t>Training</t>
        </is>
      </c>
    </row>
    <row r="501">
      <c r="H501" s="15" t="inlineStr">
        <is>
          <t>Maintenance|INADEQUATE</t>
        </is>
      </c>
      <c r="I501" s="15" t="inlineStr">
        <is>
          <t>Pressure testing</t>
        </is>
      </c>
    </row>
    <row r="502">
      <c r="H502" s="15" t="inlineStr">
        <is>
          <t>Maintenance|INADEQUATE</t>
        </is>
      </c>
      <c r="I502" s="15" t="inlineStr">
        <is>
          <t>Work permit system</t>
        </is>
      </c>
    </row>
    <row r="503">
      <c r="H503" s="15" t="inlineStr">
        <is>
          <t>Maintenance|INADEQUATE</t>
        </is>
      </c>
      <c r="I503" s="15" t="inlineStr">
        <is>
          <t>Condition monitoring</t>
        </is>
      </c>
    </row>
    <row r="504">
      <c r="H504" s="15" t="inlineStr">
        <is>
          <t>Maintenance|INADEQUATE</t>
        </is>
      </c>
      <c r="I504" s="15" t="inlineStr">
        <is>
          <t>[S] Hot work near gas mains or dust; work under suspended loads; work inside cooled-down furnaces</t>
        </is>
      </c>
    </row>
    <row r="505">
      <c r="H505" s="15" t="inlineStr">
        <is>
          <t>Spare equipment|NO</t>
        </is>
      </c>
      <c r="I505" s="15" t="inlineStr">
        <is>
          <t>Installed / non-installed spare equipment</t>
        </is>
      </c>
    </row>
    <row r="506">
      <c r="H506" s="15" t="inlineStr">
        <is>
          <t>Spare equipment|NO</t>
        </is>
      </c>
      <c r="I506" s="15" t="inlineStr">
        <is>
          <t>Availability of spares</t>
        </is>
      </c>
    </row>
    <row r="507">
      <c r="H507" s="15" t="inlineStr">
        <is>
          <t>Spare equipment|NO</t>
        </is>
      </c>
      <c r="I507" s="15" t="inlineStr">
        <is>
          <t>Modified specifications</t>
        </is>
      </c>
    </row>
    <row r="508">
      <c r="H508" s="15" t="inlineStr">
        <is>
          <t>Spare equipment|NO</t>
        </is>
      </c>
      <c r="I508" s="15" t="inlineStr">
        <is>
          <t>Storage of spares</t>
        </is>
      </c>
    </row>
    <row r="509">
      <c r="H509" s="15" t="inlineStr">
        <is>
          <t>Spare equipment|NO</t>
        </is>
      </c>
      <c r="I509" s="15" t="inlineStr">
        <is>
          <t>Catalogue of spares</t>
        </is>
      </c>
    </row>
    <row r="510">
      <c r="H510" s="15" t="inlineStr">
        <is>
          <t>Electrical safety / static|INADEQUATE</t>
        </is>
      </c>
      <c r="I510" s="15" t="inlineStr">
        <is>
          <t>Static discharge</t>
        </is>
      </c>
    </row>
    <row r="511">
      <c r="H511" s="15" t="inlineStr">
        <is>
          <t>Electrical safety / static|INADEQUATE</t>
        </is>
      </c>
      <c r="I511" s="15" t="inlineStr">
        <is>
          <t>Earthing arrangements</t>
        </is>
      </c>
    </row>
    <row r="512">
      <c r="H512" s="15" t="inlineStr">
        <is>
          <t>Electrical safety / static|INADEQUATE</t>
        </is>
      </c>
      <c r="I512" s="15" t="inlineStr">
        <is>
          <t>Insulated vessels / equipment</t>
        </is>
      </c>
    </row>
    <row r="513">
      <c r="H513" s="15" t="inlineStr">
        <is>
          <t>Electrical safety / static|INADEQUATE</t>
        </is>
      </c>
      <c r="I513" s="15" t="inlineStr">
        <is>
          <t>Low-conductance fluids</t>
        </is>
      </c>
    </row>
    <row r="514">
      <c r="H514" s="15" t="inlineStr">
        <is>
          <t>Electrical safety / static|INADEQUATE</t>
        </is>
      </c>
      <c r="I514" s="15" t="inlineStr">
        <is>
          <t>Splash filling of vessels</t>
        </is>
      </c>
    </row>
    <row r="515">
      <c r="H515" s="15" t="inlineStr">
        <is>
          <t>Electrical safety / static|INADEQUATE</t>
        </is>
      </c>
      <c r="I515" s="15" t="inlineStr">
        <is>
          <t>Insulated strainers and valve components</t>
        </is>
      </c>
    </row>
    <row r="516">
      <c r="H516" s="15" t="inlineStr">
        <is>
          <t>Electrical safety / static|INADEQUATE</t>
        </is>
      </c>
      <c r="I516" s="15" t="inlineStr">
        <is>
          <t>Dust generation and handling</t>
        </is>
      </c>
    </row>
    <row r="517">
      <c r="H517" s="15" t="inlineStr">
        <is>
          <t>Electrical safety / static|INADEQUATE</t>
        </is>
      </c>
      <c r="I517" s="15" t="inlineStr">
        <is>
          <t>Hoses</t>
        </is>
      </c>
    </row>
    <row r="518">
      <c r="H518" s="15" t="inlineStr">
        <is>
          <t>Electrical safety / static|INADEQUATE</t>
        </is>
      </c>
      <c r="I518" s="15" t="inlineStr">
        <is>
          <t>Area classification</t>
        </is>
      </c>
    </row>
    <row r="519">
      <c r="H519" s="15" t="inlineStr">
        <is>
          <t>Electrical safety / static|INADEQUATE</t>
        </is>
      </c>
      <c r="I519" s="15" t="inlineStr">
        <is>
          <t>[S] High-current bus bars, induced currents and magnetic fields</t>
        </is>
      </c>
    </row>
    <row r="520">
      <c r="H520" s="15" t="inlineStr">
        <is>
          <t>Operator action|OTHER THAN</t>
        </is>
      </c>
      <c r="I520" s="15" t="inlineStr">
        <is>
          <t>Unclear or absent procedures</t>
        </is>
      </c>
    </row>
    <row r="521">
      <c r="H521" s="15" t="inlineStr">
        <is>
          <t>Operator action|OTHER THAN</t>
        </is>
      </c>
      <c r="I521" s="15" t="inlineStr">
        <is>
          <t>Poor labelling and identification</t>
        </is>
      </c>
    </row>
    <row r="522">
      <c r="H522" s="15" t="inlineStr">
        <is>
          <t>Operator action|OTHER THAN</t>
        </is>
      </c>
      <c r="I522" s="15" t="inlineStr">
        <is>
          <t>Workload, fatigue, shift handover</t>
        </is>
      </c>
    </row>
    <row r="523">
      <c r="H523" s="15" t="inlineStr">
        <is>
          <t>Operator action|OTHER THAN</t>
        </is>
      </c>
      <c r="I523" s="15" t="inlineStr">
        <is>
          <t>Alarm overload; poor HMI design</t>
        </is>
      </c>
    </row>
    <row r="524">
      <c r="H524" s="15" t="inlineStr">
        <is>
          <t>Operator action|OTHER THAN</t>
        </is>
      </c>
      <c r="I524" s="15" t="inlineStr">
        <is>
          <t>Inadequate training or competence</t>
        </is>
      </c>
    </row>
    <row r="525">
      <c r="H525" s="15" t="inlineStr">
        <is>
          <t>Operator action|NO</t>
        </is>
      </c>
      <c r="I525" s="15" t="inlineStr">
        <is>
          <t>Unclear or absent procedures</t>
        </is>
      </c>
    </row>
    <row r="526">
      <c r="H526" s="15" t="inlineStr">
        <is>
          <t>Operator action|NO</t>
        </is>
      </c>
      <c r="I526" s="15" t="inlineStr">
        <is>
          <t>Poor labelling and identification</t>
        </is>
      </c>
    </row>
    <row r="527">
      <c r="H527" s="15" t="inlineStr">
        <is>
          <t>Operator action|NO</t>
        </is>
      </c>
      <c r="I527" s="15" t="inlineStr">
        <is>
          <t>Workload, fatigue, shift handover</t>
        </is>
      </c>
    </row>
    <row r="528">
      <c r="H528" s="15" t="inlineStr">
        <is>
          <t>Operator action|NO</t>
        </is>
      </c>
      <c r="I528" s="15" t="inlineStr">
        <is>
          <t>Alarm overload; poor HMI design</t>
        </is>
      </c>
    </row>
    <row r="529">
      <c r="H529" s="15" t="inlineStr">
        <is>
          <t>Operator action|NO</t>
        </is>
      </c>
      <c r="I529" s="15" t="inlineStr">
        <is>
          <t>Inadequate training or competence</t>
        </is>
      </c>
    </row>
    <row r="530">
      <c r="H530" s="15" t="inlineStr">
        <is>
          <t>Simplicity|REVIEW</t>
        </is>
      </c>
      <c r="I530" s="15" t="inlineStr">
        <is>
          <t>Can we omit plant or simplify control?</t>
        </is>
      </c>
    </row>
    <row r="531">
      <c r="H531" s="15" t="inlineStr">
        <is>
          <t>Simplicity|REVIEW</t>
        </is>
      </c>
      <c r="I531" s="15" t="inlineStr">
        <is>
          <t>Too many interlocks or bypasses</t>
        </is>
      </c>
    </row>
    <row r="532">
      <c r="H532" s="15" t="inlineStr">
        <is>
          <t>Output – reliability and bottlenecks|REVIEW</t>
        </is>
      </c>
      <c r="I532" s="15" t="inlineStr">
        <is>
          <t>Least reliable components</t>
        </is>
      </c>
    </row>
    <row r="533">
      <c r="H533" s="15" t="inlineStr">
        <is>
          <t>Output – reliability and bottlenecks|REVIEW</t>
        </is>
      </c>
      <c r="I533" s="15" t="inlineStr">
        <is>
          <t>Most limiting components</t>
        </is>
      </c>
    </row>
    <row r="534">
      <c r="H534" s="15" t="inlineStr">
        <is>
          <t>Efficiency – losses|REVIEW</t>
        </is>
      </c>
      <c r="I534" s="15" t="inlineStr">
        <is>
          <t>Where will we lose material, conversion, yield or energy?</t>
        </is>
      </c>
    </row>
    <row r="535">
      <c r="H535" s="15" t="inlineStr">
        <is>
          <t>Construction|REVIEW</t>
        </is>
      </c>
      <c r="I535" s="15" t="inlineStr">
        <is>
          <t>Demolition</t>
        </is>
      </c>
    </row>
    <row r="536">
      <c r="H536" s="15" t="inlineStr">
        <is>
          <t>Construction|REVIEW</t>
        </is>
      </c>
      <c r="I536" s="15" t="inlineStr">
        <is>
          <t>Impacts on existing site, existing operations and environment</t>
        </is>
      </c>
    </row>
    <row r="537">
      <c r="H537" s="15" t="inlineStr">
        <is>
          <t>Construction|REVIEW</t>
        </is>
      </c>
      <c r="I537" s="15" t="inlineStr">
        <is>
          <t>Size of equipment</t>
        </is>
      </c>
    </row>
    <row r="538">
      <c r="H538" s="15" t="inlineStr">
        <is>
          <t>Construction|REVIEW</t>
        </is>
      </c>
      <c r="I538" s="15" t="inlineStr">
        <is>
          <t>Special hazards – chemicals / dangerous goods, to workers, structural</t>
        </is>
      </c>
    </row>
    <row r="539">
      <c r="H539" s="15" t="inlineStr">
        <is>
          <t>Construction|REVIEW</t>
        </is>
      </c>
      <c r="I539" s="15" t="inlineStr">
        <is>
          <t>Personal protective equipment</t>
        </is>
      </c>
    </row>
    <row r="540">
      <c r="H540" s="15" t="inlineStr">
        <is>
          <t>Commissioning|REVIEW</t>
        </is>
      </c>
      <c r="I540" s="15" t="inlineStr">
        <is>
          <t>Broadly how it will be done</t>
        </is>
      </c>
    </row>
    <row r="541">
      <c r="H541" s="15" t="inlineStr">
        <is>
          <t>Commissioning|REVIEW</t>
        </is>
      </c>
      <c r="I541" s="15" t="inlineStr">
        <is>
          <t>Sequence</t>
        </is>
      </c>
    </row>
    <row r="542">
      <c r="H542" s="15" t="inlineStr">
        <is>
          <t>Commissioning|REVIEW</t>
        </is>
      </c>
      <c r="I542" s="15" t="inlineStr">
        <is>
          <t>What difficulties and hazards can be foreseen</t>
        </is>
      </c>
    </row>
    <row r="543">
      <c r="H543" s="15" t="inlineStr">
        <is>
          <t>Commissioning|REVIEW</t>
        </is>
      </c>
      <c r="I543" s="15" t="inlineStr">
        <is>
          <t>Review of procedures</t>
        </is>
      </c>
    </row>
    <row r="544">
      <c r="H544" s="15" t="inlineStr">
        <is>
          <t>Commissioning|REVIEW</t>
        </is>
      </c>
      <c r="I544" s="15" t="inlineStr">
        <is>
          <t>Signage / tags / locks</t>
        </is>
      </c>
    </row>
    <row r="545">
      <c r="H545" s="15" t="inlineStr">
        <is>
          <t>Commissioning|REVIEW</t>
        </is>
      </c>
      <c r="I545" s="15" t="inlineStr">
        <is>
          <t>Responsibilities</t>
        </is>
      </c>
    </row>
    <row r="546">
      <c r="H546" s="15" t="inlineStr">
        <is>
          <t>Commissioning|REVIEW</t>
        </is>
      </c>
      <c r="I546" s="15" t="inlineStr">
        <is>
          <t>[S] Refractory dry-out and first heat</t>
        </is>
      </c>
    </row>
    <row r="547">
      <c r="H547" s="15" t="inlineStr">
        <is>
          <t>Start-up|REVIEW</t>
        </is>
      </c>
      <c r="I547" s="15" t="inlineStr">
        <is>
          <t>First start-up methods, difficulties, hazards</t>
        </is>
      </c>
    </row>
    <row r="548">
      <c r="H548" s="15" t="inlineStr">
        <is>
          <t>Start-up|REVIEW</t>
        </is>
      </c>
      <c r="I548" s="15" t="inlineStr">
        <is>
          <t>Routine start-up methods, difficulties, hazards</t>
        </is>
      </c>
    </row>
    <row r="549">
      <c r="H549" s="15" t="inlineStr">
        <is>
          <t>Start-up|REVIEW</t>
        </is>
      </c>
      <c r="I549" s="15" t="inlineStr">
        <is>
          <t>Philosophy of control (auto, manual, local)</t>
        </is>
      </c>
    </row>
    <row r="550">
      <c r="H550" s="15" t="inlineStr">
        <is>
          <t>Start-up|REVIEW</t>
        </is>
      </c>
      <c r="I550" s="15" t="inlineStr">
        <is>
          <t>Too many interlocks?</t>
        </is>
      </c>
    </row>
    <row r="551">
      <c r="H551" s="15" t="inlineStr">
        <is>
          <t>Start-up|REVIEW</t>
        </is>
      </c>
      <c r="I551" s="15" t="inlineStr">
        <is>
          <t>Procedures</t>
        </is>
      </c>
    </row>
    <row r="552">
      <c r="H552" s="15" t="inlineStr">
        <is>
          <t>Start-up|REVIEW</t>
        </is>
      </c>
      <c r="I552" s="15" t="inlineStr">
        <is>
          <t>Purging and gas-freeing before light-up</t>
        </is>
      </c>
    </row>
    <row r="553">
      <c r="H553" s="15" t="inlineStr">
        <is>
          <t>Shutdown (isolation, purging)|REVIEW</t>
        </is>
      </c>
      <c r="I553" s="15" t="inlineStr">
        <is>
          <t>Planned shutdown</t>
        </is>
      </c>
    </row>
    <row r="554">
      <c r="H554" s="15" t="inlineStr">
        <is>
          <t>Shutdown (isolation, purging)|REVIEW</t>
        </is>
      </c>
      <c r="I554" s="15" t="inlineStr">
        <is>
          <t>Emergency shutdown</t>
        </is>
      </c>
    </row>
    <row r="555">
      <c r="H555" s="15" t="inlineStr">
        <is>
          <t>Shutdown (isolation, purging)|REVIEW</t>
        </is>
      </c>
      <c r="I555" s="15" t="inlineStr">
        <is>
          <t>Difficulties, hazards</t>
        </is>
      </c>
    </row>
    <row r="556">
      <c r="H556" s="15" t="inlineStr">
        <is>
          <t>Shutdown (isolation, purging)|REVIEW</t>
        </is>
      </c>
      <c r="I556" s="15" t="inlineStr">
        <is>
          <t>[S] Holding molten metal during an extended stop; emptying furnaces and ladles</t>
        </is>
      </c>
    </row>
    <row r="557">
      <c r="H557" s="15" t="inlineStr">
        <is>
          <t>Breakdown (including service failure)|REVIEW</t>
        </is>
      </c>
      <c r="I557" s="15" t="inlineStr">
        <is>
          <t>Power failure</t>
        </is>
      </c>
    </row>
    <row r="558">
      <c r="H558" s="15" t="inlineStr">
        <is>
          <t>Breakdown (including service failure)|REVIEW</t>
        </is>
      </c>
      <c r="I558" s="15" t="inlineStr">
        <is>
          <t>Air, steam, water, vacuum, fuel</t>
        </is>
      </c>
    </row>
    <row r="559">
      <c r="H559" s="15" t="inlineStr">
        <is>
          <t>Breakdown (including service failure)|REVIEW</t>
        </is>
      </c>
      <c r="I559" s="15" t="inlineStr">
        <is>
          <t>Vents</t>
        </is>
      </c>
    </row>
    <row r="560">
      <c r="H560" s="15" t="inlineStr">
        <is>
          <t>Breakdown (including service failure)|REVIEW</t>
        </is>
      </c>
      <c r="I560" s="15" t="inlineStr">
        <is>
          <t>Computer</t>
        </is>
      </c>
    </row>
    <row r="561">
      <c r="H561" s="15" t="inlineStr">
        <is>
          <t>Breakdown (including service failure)|REVIEW</t>
        </is>
      </c>
      <c r="I561" s="15" t="inlineStr">
        <is>
          <t>Other</t>
        </is>
      </c>
    </row>
    <row r="562">
      <c r="H562" s="15" t="inlineStr">
        <is>
          <t>Breakdown (including service failure)|REVIEW</t>
        </is>
      </c>
      <c r="I562" s="15" t="inlineStr">
        <is>
          <t>Major causes of breakdown</t>
        </is>
      </c>
    </row>
    <row r="563">
      <c r="H563" s="15" t="inlineStr">
        <is>
          <t>Breakdown (including service failure)|REVIEW</t>
        </is>
      </c>
      <c r="I563" s="15" t="inlineStr">
        <is>
          <t>Emergency procedures and communications</t>
        </is>
      </c>
    </row>
    <row r="564">
      <c r="H564" s="15" t="inlineStr">
        <is>
          <t>Breakdown (including service failure)|REVIEW</t>
        </is>
      </c>
      <c r="I564" s="15" t="inlineStr">
        <is>
          <t>Which way should valves move (fail-safe positions)?</t>
        </is>
      </c>
    </row>
    <row r="565">
      <c r="H565" s="15" t="inlineStr">
        <is>
          <t>Materials|REVIEW</t>
        </is>
      </c>
      <c r="I565" s="15" t="inlineStr">
        <is>
          <t>Vessels</t>
        </is>
      </c>
    </row>
    <row r="566">
      <c r="H566" s="15" t="inlineStr">
        <is>
          <t>Materials|REVIEW</t>
        </is>
      </c>
      <c r="I566" s="15" t="inlineStr">
        <is>
          <t>Pipelines</t>
        </is>
      </c>
    </row>
    <row r="567">
      <c r="H567" s="15" t="inlineStr">
        <is>
          <t>Materials|REVIEW</t>
        </is>
      </c>
      <c r="I567" s="15" t="inlineStr">
        <is>
          <t>Pumps</t>
        </is>
      </c>
    </row>
    <row r="568">
      <c r="H568" s="15" t="inlineStr">
        <is>
          <t>Materials|REVIEW</t>
        </is>
      </c>
      <c r="I568" s="15" t="inlineStr">
        <is>
          <t>Valves</t>
        </is>
      </c>
    </row>
    <row r="569">
      <c r="H569" s="15" t="inlineStr">
        <is>
          <t>Materials|REVIEW</t>
        </is>
      </c>
      <c r="I569" s="15" t="inlineStr">
        <is>
          <t>Gaskets / seals</t>
        </is>
      </c>
    </row>
    <row r="570">
      <c r="H570" s="15" t="inlineStr">
        <is>
          <t>Materials|REVIEW</t>
        </is>
      </c>
      <c r="I570" s="15" t="inlineStr">
        <is>
          <t>Protective coatings</t>
        </is>
      </c>
    </row>
    <row r="571">
      <c r="H571" s="15" t="inlineStr">
        <is>
          <t>Materials|REVIEW</t>
        </is>
      </c>
      <c r="I571" s="15" t="inlineStr">
        <is>
          <t>Others (refractory, copper, hoses)</t>
        </is>
      </c>
    </row>
    <row r="572">
      <c r="H572" s="15" t="inlineStr">
        <is>
          <t>Utilities and services|REVIEW</t>
        </is>
      </c>
      <c r="I572" s="15" t="inlineStr">
        <is>
          <t>Lighting</t>
        </is>
      </c>
    </row>
    <row r="573">
      <c r="H573" s="15" t="inlineStr">
        <is>
          <t>Utilities and services|REVIEW</t>
        </is>
      </c>
      <c r="I573" s="15" t="inlineStr">
        <is>
          <t>Compressed air; instrument air</t>
        </is>
      </c>
    </row>
    <row r="574">
      <c r="H574" s="15" t="inlineStr">
        <is>
          <t>Utilities and services|REVIEW</t>
        </is>
      </c>
      <c r="I574" s="15" t="inlineStr">
        <is>
          <t>Nitrogen</t>
        </is>
      </c>
    </row>
    <row r="575">
      <c r="H575" s="15" t="inlineStr">
        <is>
          <t>Utilities and services|REVIEW</t>
        </is>
      </c>
      <c r="I575" s="15" t="inlineStr">
        <is>
          <t>Water (cooling, process, service, potable)</t>
        </is>
      </c>
    </row>
    <row r="576">
      <c r="H576" s="15" t="inlineStr">
        <is>
          <t>Utilities and services|REVIEW</t>
        </is>
      </c>
      <c r="I576" s="15" t="inlineStr">
        <is>
          <t>Steam</t>
        </is>
      </c>
    </row>
    <row r="577">
      <c r="H577" s="15" t="inlineStr">
        <is>
          <t>Utilities and services|REVIEW</t>
        </is>
      </c>
      <c r="I577" s="15" t="inlineStr">
        <is>
          <t>Power</t>
        </is>
      </c>
    </row>
    <row r="578">
      <c r="H578" s="15" t="inlineStr">
        <is>
          <t>Utilities and services|REVIEW</t>
        </is>
      </c>
      <c r="I578" s="15" t="inlineStr">
        <is>
          <t>Oxygen</t>
        </is>
      </c>
    </row>
    <row r="579">
      <c r="H579" s="15" t="inlineStr">
        <is>
          <t>Toxicity|REVIEW</t>
        </is>
      </c>
      <c r="I579" s="15" t="inlineStr">
        <is>
          <t>Material safety data sheets</t>
        </is>
      </c>
    </row>
    <row r="580">
      <c r="H580" s="15" t="inlineStr">
        <is>
          <t>Toxicity|REVIEW</t>
        </is>
      </c>
      <c r="I580" s="15" t="inlineStr">
        <is>
          <t>Handling procedures</t>
        </is>
      </c>
    </row>
    <row r="581">
      <c r="H581" s="15" t="inlineStr">
        <is>
          <t>Toxicity|REVIEW</t>
        </is>
      </c>
      <c r="I581" s="15" t="inlineStr">
        <is>
          <t>Precautions</t>
        </is>
      </c>
    </row>
    <row r="582">
      <c r="H582" s="15" t="inlineStr">
        <is>
          <t>Toxicity|REVIEW</t>
        </is>
      </c>
      <c r="I582" s="15" t="inlineStr">
        <is>
          <t>Exposure monitoring</t>
        </is>
      </c>
    </row>
    <row r="583">
      <c r="H583" s="15" t="inlineStr">
        <is>
          <t>Toxicity|REVIEW</t>
        </is>
      </c>
      <c r="I583" s="15" t="inlineStr">
        <is>
          <t>Emergency procedures</t>
        </is>
      </c>
    </row>
    <row r="584">
      <c r="H584" s="15" t="inlineStr">
        <is>
          <t>Toxicity|REVIEW</t>
        </is>
      </c>
      <c r="I584" s="15" t="inlineStr">
        <is>
          <t>Ventilation</t>
        </is>
      </c>
    </row>
    <row r="585">
      <c r="H585" s="15" t="inlineStr">
        <is>
          <t>Toxicity|REVIEW</t>
        </is>
      </c>
      <c r="I585" s="15" t="inlineStr">
        <is>
          <t>[S] CO, metal fume, silica, PAHs from coke and pitch</t>
        </is>
      </c>
    </row>
    <row r="586">
      <c r="H586" s="15" t="inlineStr">
        <is>
          <t>Fire and explosion|REVIEW</t>
        </is>
      </c>
      <c r="I586" s="15" t="inlineStr">
        <is>
          <t>Broad overview</t>
        </is>
      </c>
    </row>
    <row r="587">
      <c r="H587" s="15" t="inlineStr">
        <is>
          <t>Fire and explosion|REVIEW</t>
        </is>
      </c>
      <c r="I587" s="15" t="inlineStr">
        <is>
          <t>Protection, prevention, control</t>
        </is>
      </c>
    </row>
    <row r="588">
      <c r="H588" s="15" t="inlineStr">
        <is>
          <t>Fire and explosion|REVIEW</t>
        </is>
      </c>
      <c r="I588" s="15" t="inlineStr">
        <is>
          <t>Location of safety showers, deluges</t>
        </is>
      </c>
    </row>
    <row r="589">
      <c r="H589" s="15" t="inlineStr">
        <is>
          <t>Fire and explosion|REVIEW</t>
        </is>
      </c>
      <c r="I589" s="15" t="inlineStr">
        <is>
          <t>Location of shut-off valves and controls</t>
        </is>
      </c>
    </row>
    <row r="590">
      <c r="H590" s="15" t="inlineStr">
        <is>
          <t>Fire and explosion|REVIEW</t>
        </is>
      </c>
      <c r="I590" s="15" t="inlineStr">
        <is>
          <t>[S] Molten metal explosions, dust explosions, gas explosions, hydraulic oil fires</t>
        </is>
      </c>
    </row>
    <row r="591">
      <c r="H591" s="15" t="inlineStr">
        <is>
          <t>Environmental impact|REVIEW</t>
        </is>
      </c>
      <c r="I591" s="15" t="inlineStr">
        <is>
          <t>Vapour emissions</t>
        </is>
      </c>
    </row>
    <row r="592">
      <c r="H592" s="15" t="inlineStr">
        <is>
          <t>Environmental impact|REVIEW</t>
        </is>
      </c>
      <c r="I592" s="15" t="inlineStr">
        <is>
          <t>Dust emissions</t>
        </is>
      </c>
    </row>
    <row r="593">
      <c r="H593" s="15" t="inlineStr">
        <is>
          <t>Environmental impact|REVIEW</t>
        </is>
      </c>
      <c r="I593" s="15" t="inlineStr">
        <is>
          <t>Effluent</t>
        </is>
      </c>
    </row>
    <row r="594">
      <c r="H594" s="15" t="inlineStr">
        <is>
          <t>Environmental impact|REVIEW</t>
        </is>
      </c>
      <c r="I594" s="15" t="inlineStr">
        <is>
          <t>Noise</t>
        </is>
      </c>
    </row>
    <row r="595">
      <c r="H595" s="15" t="inlineStr">
        <is>
          <t>Environmental impact|REVIEW</t>
        </is>
      </c>
      <c r="I595" s="15" t="inlineStr">
        <is>
          <t>Ground seepage</t>
        </is>
      </c>
    </row>
    <row r="596">
      <c r="H596" s="15" t="inlineStr">
        <is>
          <t>Environmental impact|REVIEW</t>
        </is>
      </c>
      <c r="I596" s="15" t="inlineStr">
        <is>
          <t>Waste minimisation</t>
        </is>
      </c>
    </row>
    <row r="597">
      <c r="H597" s="15" t="inlineStr">
        <is>
          <t>Environmental impact|REVIEW</t>
        </is>
      </c>
      <c r="I597" s="15" t="inlineStr">
        <is>
          <t>[S] Slag, mill scale, sludge, EAF dust disposal</t>
        </is>
      </c>
    </row>
    <row r="598">
      <c r="H598" s="15" t="inlineStr">
        <is>
          <t>Natural hazards|REVIEW</t>
        </is>
      </c>
      <c r="I598" s="15" t="inlineStr">
        <is>
          <t>Earthquake</t>
        </is>
      </c>
    </row>
    <row r="599">
      <c r="H599" s="15" t="inlineStr">
        <is>
          <t>Natural hazards|REVIEW</t>
        </is>
      </c>
      <c r="I599" s="15" t="inlineStr">
        <is>
          <t>Flooding</t>
        </is>
      </c>
    </row>
    <row r="600">
      <c r="H600" s="15" t="inlineStr">
        <is>
          <t>Natural hazards|REVIEW</t>
        </is>
      </c>
      <c r="I600" s="15" t="inlineStr">
        <is>
          <t>Thunderstorm (lightning protection)</t>
        </is>
      </c>
    </row>
    <row r="601">
      <c r="H601" s="15" t="inlineStr">
        <is>
          <t>Natural hazards|REVIEW</t>
        </is>
      </c>
      <c r="I601" s="15" t="inlineStr">
        <is>
          <t>High winds</t>
        </is>
      </c>
    </row>
    <row r="602">
      <c r="H602" s="15" t="inlineStr">
        <is>
          <t>Natural hazards|REVIEW</t>
        </is>
      </c>
      <c r="I602" s="15" t="inlineStr">
        <is>
          <t>Sandstorms; extreme heat</t>
        </is>
      </c>
    </row>
    <row r="603">
      <c r="H603" s="15" t="inlineStr">
        <is>
          <t>Quality and consistency|REVIEW</t>
        </is>
      </c>
      <c r="I603" s="15" t="inlineStr">
        <is>
          <t>What will most cause quality to fail or vary?</t>
        </is>
      </c>
    </row>
    <row r="604">
      <c r="H604" s="15" t="inlineStr">
        <is>
          <t>Quality and consistency|REVIEW</t>
        </is>
      </c>
      <c r="I604" s="15" t="inlineStr">
        <is>
          <t>How to prevent it</t>
        </is>
      </c>
    </row>
    <row r="605">
      <c r="H605" s="15" t="inlineStr">
        <is>
          <t>Procedures – development and documentation|REVIEW</t>
        </is>
      </c>
      <c r="I605" s="15" t="inlineStr">
        <is>
          <t>Operations</t>
        </is>
      </c>
    </row>
    <row r="606">
      <c r="H606" s="15" t="inlineStr">
        <is>
          <t>Procedures – development and documentation|REVIEW</t>
        </is>
      </c>
      <c r="I606" s="15" t="inlineStr">
        <is>
          <t>Maintenance</t>
        </is>
      </c>
    </row>
    <row r="607">
      <c r="H607" s="15" t="inlineStr">
        <is>
          <t>Procedures – development and documentation|REVIEW</t>
        </is>
      </c>
      <c r="I607" s="15" t="inlineStr">
        <is>
          <t>Confined space</t>
        </is>
      </c>
    </row>
    <row r="608">
      <c r="H608" s="15" t="inlineStr">
        <is>
          <t>Procedures – development and documentation|REVIEW</t>
        </is>
      </c>
      <c r="I608" s="15" t="inlineStr">
        <is>
          <t>Inspection and testing</t>
        </is>
      </c>
    </row>
    <row r="609">
      <c r="H609" s="15" t="inlineStr">
        <is>
          <t>Procedures – development and documentation|REVIEW</t>
        </is>
      </c>
      <c r="I609" s="15" t="inlineStr">
        <is>
          <t>Emergency</t>
        </is>
      </c>
    </row>
    <row r="610">
      <c r="H610" s="15" t="inlineStr">
        <is>
          <t>Procedures – development and documentation|REVIEW</t>
        </is>
      </c>
      <c r="I610" s="15" t="inlineStr">
        <is>
          <t>Engineering drawings</t>
        </is>
      </c>
    </row>
    <row r="611">
      <c r="H611" s="15" t="inlineStr">
        <is>
          <t>Safety equipment|REVIEW</t>
        </is>
      </c>
      <c r="I611" s="15" t="inlineStr">
        <is>
          <t>Personal protective equipment (PPE)</t>
        </is>
      </c>
    </row>
    <row r="612">
      <c r="H612" s="15" t="inlineStr">
        <is>
          <t>Safety equipment|REVIEW</t>
        </is>
      </c>
      <c r="I612" s="15" t="inlineStr">
        <is>
          <t>Fire detection</t>
        </is>
      </c>
    </row>
    <row r="613">
      <c r="H613" s="15" t="inlineStr">
        <is>
          <t>Safety equipment|REVIEW</t>
        </is>
      </c>
      <c r="I613" s="15" t="inlineStr">
        <is>
          <t>Fire fighting</t>
        </is>
      </c>
    </row>
    <row r="614">
      <c r="H614" s="15" t="inlineStr">
        <is>
          <t>Safety equipment|REVIEW</t>
        </is>
      </c>
      <c r="I614" s="15" t="inlineStr">
        <is>
          <t>Means of escape</t>
        </is>
      </c>
    </row>
    <row r="615">
      <c r="H615" s="15" t="inlineStr">
        <is>
          <t>Safety equipment|REVIEW</t>
        </is>
      </c>
      <c r="I615" s="15" t="inlineStr">
        <is>
          <t>Gas monitors</t>
        </is>
      </c>
    </row>
    <row r="616">
      <c r="H616" s="15" t="inlineStr">
        <is>
          <t>Safety equipment|REVIEW</t>
        </is>
      </c>
      <c r="I616" s="15" t="inlineStr">
        <is>
          <t>Breathing apparatus</t>
        </is>
      </c>
    </row>
    <row r="617">
      <c r="H617" s="15" t="inlineStr">
        <is>
          <t>Safety equipment|REVIEW</t>
        </is>
      </c>
      <c r="I617" s="15" t="inlineStr">
        <is>
          <t>Safety shower</t>
        </is>
      </c>
    </row>
    <row r="618">
      <c r="H618" s="15" t="inlineStr">
        <is>
          <t>Safety equipment|REVIEW</t>
        </is>
      </c>
      <c r="I618" s="15" t="inlineStr">
        <is>
          <t>Barriers / guards</t>
        </is>
      </c>
    </row>
    <row r="619">
      <c r="H619" s="15" t="inlineStr">
        <is>
          <t>Safety equipment|REVIEW</t>
        </is>
      </c>
      <c r="I619" s="15" t="inlineStr">
        <is>
          <t>[S] Heat-protective clothing; molten-metal splash protection</t>
        </is>
      </c>
    </row>
    <row r="620">
      <c r="H620" s="15" t="inlineStr">
        <is>
          <t>Egress / access|REVIEW</t>
        </is>
      </c>
      <c r="I620" s="15" t="inlineStr">
        <is>
          <t>Number of exit points</t>
        </is>
      </c>
    </row>
    <row r="621">
      <c r="H621" s="15" t="inlineStr">
        <is>
          <t>Egress / access|REVIEW</t>
        </is>
      </c>
      <c r="I621" s="15" t="inlineStr">
        <is>
          <t>Emergency egress</t>
        </is>
      </c>
    </row>
    <row r="622">
      <c r="H622" s="15" t="inlineStr">
        <is>
          <t>Egress / access|REVIEW</t>
        </is>
      </c>
      <c r="I622" s="15" t="inlineStr">
        <is>
          <t>Size – width, height, length</t>
        </is>
      </c>
    </row>
    <row r="623">
      <c r="H623" s="15" t="inlineStr">
        <is>
          <t>Egress / access|REVIEW</t>
        </is>
      </c>
      <c r="I623" s="15" t="inlineStr">
        <is>
          <t>Obstructions</t>
        </is>
      </c>
    </row>
    <row r="624">
      <c r="H624" s="15" t="inlineStr">
        <is>
          <t>Egress / access|REVIEW</t>
        </is>
      </c>
      <c r="I624" s="15" t="inlineStr">
        <is>
          <t>Lighting</t>
        </is>
      </c>
    </row>
    <row r="625">
      <c r="H625" s="15" t="inlineStr">
        <is>
          <t>Egress / access|REVIEW</t>
        </is>
      </c>
      <c r="I625" s="15" t="inlineStr">
        <is>
          <t>Fire protection</t>
        </is>
      </c>
    </row>
    <row r="626">
      <c r="H626" s="15" t="inlineStr">
        <is>
          <t>Entry / exit points|REVIEW</t>
        </is>
      </c>
      <c r="I626" s="15" t="inlineStr">
        <is>
          <t>Location</t>
        </is>
      </c>
    </row>
    <row r="627">
      <c r="H627" s="15" t="inlineStr">
        <is>
          <t>Entry / exit points|REVIEW</t>
        </is>
      </c>
      <c r="I627" s="15" t="inlineStr">
        <is>
          <t>Arrangement</t>
        </is>
      </c>
    </row>
    <row r="628">
      <c r="H628" s="15" t="inlineStr">
        <is>
          <t>Entry / exit points|REVIEW</t>
        </is>
      </c>
      <c r="I628" s="15" t="inlineStr">
        <is>
          <t>Communications</t>
        </is>
      </c>
    </row>
    <row r="629">
      <c r="H629" s="15" t="inlineStr">
        <is>
          <t>Entry / exit points|REVIEW</t>
        </is>
      </c>
      <c r="I629" s="15" t="inlineStr">
        <is>
          <t>External impacts</t>
        </is>
      </c>
    </row>
    <row r="630">
      <c r="H630" s="15" t="inlineStr">
        <is>
          <t>Layout and facility siting|REVIEW</t>
        </is>
      </c>
      <c r="I630" s="15" t="inlineStr">
        <is>
          <t>Spacing between hazardous units</t>
        </is>
      </c>
    </row>
    <row r="631">
      <c r="H631" s="15" t="inlineStr">
        <is>
          <t>Layout and facility siting|REVIEW</t>
        </is>
      </c>
      <c r="I631" s="15" t="inlineStr">
        <is>
          <t>Occupied buildings near hazards</t>
        </is>
      </c>
    </row>
    <row r="632">
      <c r="H632" s="15" t="inlineStr">
        <is>
          <t>Layout and facility siting|REVIEW</t>
        </is>
      </c>
      <c r="I632" s="15" t="inlineStr">
        <is>
          <t>Vehicle routes near molten metal or gas mains</t>
        </is>
      </c>
    </row>
    <row r="633">
      <c r="H633" s="15" t="inlineStr">
        <is>
          <t>Layout and facility siting|REVIEW</t>
        </is>
      </c>
      <c r="I633" s="15" t="inlineStr">
        <is>
          <t>Simultaneous operations (SIMOPS)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RISK MATRIX (5 x 5)</t>
        </is>
      </c>
    </row>
    <row r="2">
      <c r="A2" s="2" t="inlineStr">
        <is>
          <t>Risk score = value in the matrix cell for Severity (row) x Likelihood (column). Default scores are S x L (1–25); overwrite the yellow cells to use your company's matrix.</t>
        </is>
      </c>
    </row>
    <row r="3">
      <c r="C3" s="16" t="inlineStr">
        <is>
          <t>LIKELIHOOD →</t>
        </is>
      </c>
    </row>
    <row r="4">
      <c r="B4" s="7" t="inlineStr">
        <is>
          <t>Severity \ Likelihood</t>
        </is>
      </c>
      <c r="C4" s="7" t="inlineStr">
        <is>
          <t>1 – Rare</t>
        </is>
      </c>
      <c r="D4" s="7" t="inlineStr">
        <is>
          <t>2 – Unlikely</t>
        </is>
      </c>
      <c r="E4" s="7" t="inlineStr">
        <is>
          <t>3 – Possible</t>
        </is>
      </c>
      <c r="F4" s="7" t="inlineStr">
        <is>
          <t>4 – Likely</t>
        </is>
      </c>
      <c r="G4" s="7" t="inlineStr">
        <is>
          <t>5 – Almost certain</t>
        </is>
      </c>
    </row>
    <row r="5" ht="28" customHeight="1">
      <c r="A5" s="16" t="inlineStr">
        <is>
          <t>SEVERITY ↓</t>
        </is>
      </c>
      <c r="B5" s="7" t="inlineStr">
        <is>
          <t>5 – Catastrophic</t>
        </is>
      </c>
      <c r="C5" s="17" t="n">
        <v>5</v>
      </c>
      <c r="D5" s="17" t="n">
        <v>10</v>
      </c>
      <c r="E5" s="17" t="n">
        <v>15</v>
      </c>
      <c r="F5" s="17" t="n">
        <v>20</v>
      </c>
      <c r="G5" s="17" t="n">
        <v>25</v>
      </c>
    </row>
    <row r="6" ht="28" customHeight="1">
      <c r="B6" s="7" t="inlineStr">
        <is>
          <t>4 – Major</t>
        </is>
      </c>
      <c r="C6" s="17" t="n">
        <v>4</v>
      </c>
      <c r="D6" s="17" t="n">
        <v>8</v>
      </c>
      <c r="E6" s="17" t="n">
        <v>12</v>
      </c>
      <c r="F6" s="17" t="n">
        <v>16</v>
      </c>
      <c r="G6" s="17" t="n">
        <v>20</v>
      </c>
    </row>
    <row r="7" ht="28" customHeight="1">
      <c r="B7" s="7" t="inlineStr">
        <is>
          <t>3 – Moderate</t>
        </is>
      </c>
      <c r="C7" s="17" t="n">
        <v>3</v>
      </c>
      <c r="D7" s="17" t="n">
        <v>6</v>
      </c>
      <c r="E7" s="17" t="n">
        <v>9</v>
      </c>
      <c r="F7" s="17" t="n">
        <v>12</v>
      </c>
      <c r="G7" s="17" t="n">
        <v>15</v>
      </c>
    </row>
    <row r="8" ht="28" customHeight="1">
      <c r="B8" s="7" t="inlineStr">
        <is>
          <t>2 – Minor</t>
        </is>
      </c>
      <c r="C8" s="17" t="n">
        <v>2</v>
      </c>
      <c r="D8" s="17" t="n">
        <v>4</v>
      </c>
      <c r="E8" s="17" t="n">
        <v>6</v>
      </c>
      <c r="F8" s="17" t="n">
        <v>8</v>
      </c>
      <c r="G8" s="17" t="n">
        <v>10</v>
      </c>
    </row>
    <row r="9" ht="28" customHeight="1">
      <c r="B9" s="7" t="inlineStr">
        <is>
          <t>1 – Negligible</t>
        </is>
      </c>
      <c r="C9" s="17" t="n">
        <v>1</v>
      </c>
      <c r="D9" s="17" t="n">
        <v>2</v>
      </c>
      <c r="E9" s="17" t="n">
        <v>3</v>
      </c>
      <c r="F9" s="17" t="n">
        <v>4</v>
      </c>
      <c r="G9" s="17" t="n">
        <v>5</v>
      </c>
    </row>
    <row r="11">
      <c r="B11" s="3" t="inlineStr">
        <is>
          <t>Risk bands (minimum score):</t>
        </is>
      </c>
    </row>
    <row r="12">
      <c r="B12" s="18" t="inlineStr">
        <is>
          <t>Low</t>
        </is>
      </c>
      <c r="C12" s="19" t="n">
        <v>1</v>
      </c>
      <c r="D12" s="12" t="inlineStr">
        <is>
          <t>Tolerable – manage by procedures</t>
        </is>
      </c>
      <c r="E12" s="8" t="n"/>
      <c r="F12" s="8" t="n"/>
      <c r="G12" s="9" t="n"/>
    </row>
    <row r="13">
      <c r="B13" s="20" t="inlineStr">
        <is>
          <t>Medium</t>
        </is>
      </c>
      <c r="C13" s="19" t="n">
        <v>5</v>
      </c>
      <c r="D13" s="12" t="inlineStr">
        <is>
          <t>Tolerable if ALARP – review safeguards</t>
        </is>
      </c>
      <c r="E13" s="8" t="n"/>
      <c r="F13" s="8" t="n"/>
      <c r="G13" s="9" t="n"/>
    </row>
    <row r="14">
      <c r="B14" s="21" t="inlineStr">
        <is>
          <t>High</t>
        </is>
      </c>
      <c r="C14" s="19" t="n">
        <v>10</v>
      </c>
      <c r="D14" s="12" t="inlineStr">
        <is>
          <t>Recommendation required to reduce risk</t>
        </is>
      </c>
      <c r="E14" s="8" t="n"/>
      <c r="F14" s="8" t="n"/>
      <c r="G14" s="9" t="n"/>
    </row>
    <row r="15">
      <c r="B15" s="22" t="inlineStr">
        <is>
          <t>Very High</t>
        </is>
      </c>
      <c r="C15" s="19" t="n">
        <v>20</v>
      </c>
      <c r="D15" s="12" t="inlineStr">
        <is>
          <t>Intolerable – mandatory risk reduction</t>
        </is>
      </c>
      <c r="E15" s="8" t="n"/>
      <c r="F15" s="8" t="n"/>
      <c r="G15" s="9" t="n"/>
    </row>
    <row r="18">
      <c r="B18" s="7" t="inlineStr">
        <is>
          <t>Severity level</t>
        </is>
      </c>
      <c r="C18" s="7" t="inlineStr">
        <is>
          <t>People</t>
        </is>
      </c>
      <c r="D18" s="7" t="inlineStr">
        <is>
          <t>Environment</t>
        </is>
      </c>
      <c r="E18" s="7" t="inlineStr">
        <is>
          <t>Asset / production</t>
        </is>
      </c>
      <c r="F18" s="8" t="n"/>
      <c r="G18" s="9" t="n"/>
    </row>
    <row r="19" ht="30" customHeight="1">
      <c r="B19" s="10" t="inlineStr">
        <is>
          <t>1 – Negligible</t>
        </is>
      </c>
      <c r="C19" s="12" t="inlineStr">
        <is>
          <t>First aid case; no lost time</t>
        </is>
      </c>
      <c r="D19" s="12" t="inlineStr">
        <is>
          <t>Minor release contained on site; no impact</t>
        </is>
      </c>
      <c r="E19" s="12" t="inlineStr">
        <is>
          <t>Negligible damage / production loss</t>
        </is>
      </c>
      <c r="F19" s="8" t="n"/>
      <c r="G19" s="9" t="n"/>
    </row>
    <row r="20" ht="30" customHeight="1">
      <c r="B20" s="10" t="inlineStr">
        <is>
          <t>2 – Minor</t>
        </is>
      </c>
      <c r="C20" s="12" t="inlineStr">
        <is>
          <t>Medical treatment case / restricted work</t>
        </is>
      </c>
      <c r="D20" s="12" t="inlineStr">
        <is>
          <t>Reportable release, contained on site, short-term impact</t>
        </is>
      </c>
      <c r="E20" s="12" t="inlineStr">
        <is>
          <t>Minor damage; short production loss</t>
        </is>
      </c>
      <c r="F20" s="8" t="n"/>
      <c r="G20" s="9" t="n"/>
    </row>
    <row r="21" ht="30" customHeight="1">
      <c r="B21" s="10" t="inlineStr">
        <is>
          <t>3 – Moderate</t>
        </is>
      </c>
      <c r="C21" s="12" t="inlineStr">
        <is>
          <t>Lost-time injury; reversible health effect</t>
        </is>
      </c>
      <c r="D21" s="12" t="inlineStr">
        <is>
          <t>Off-site release with short-term impact</t>
        </is>
      </c>
      <c r="E21" s="12" t="inlineStr">
        <is>
          <t>Significant damage; production loss of days</t>
        </is>
      </c>
      <c r="F21" s="8" t="n"/>
      <c r="G21" s="9" t="n"/>
    </row>
    <row r="22" ht="30" customHeight="1">
      <c r="B22" s="10" t="inlineStr">
        <is>
          <t>4 – Major</t>
        </is>
      </c>
      <c r="C22" s="12" t="inlineStr">
        <is>
          <t>Single fatality or permanent disability</t>
        </is>
      </c>
      <c r="D22" s="12" t="inlineStr">
        <is>
          <t>Off-site release with significant medium-term impact</t>
        </is>
      </c>
      <c r="E22" s="12" t="inlineStr">
        <is>
          <t>Major damage; extended production loss</t>
        </is>
      </c>
      <c r="F22" s="8" t="n"/>
      <c r="G22" s="9" t="n"/>
    </row>
    <row r="23" ht="30" customHeight="1">
      <c r="B23" s="10" t="inlineStr">
        <is>
          <t>5 – Catastrophic</t>
        </is>
      </c>
      <c r="C23" s="12" t="inlineStr">
        <is>
          <t>Multiple fatalities; off-site injuries</t>
        </is>
      </c>
      <c r="D23" s="12" t="inlineStr">
        <is>
          <t>Major off-site release; long-term environmental damage</t>
        </is>
      </c>
      <c r="E23" s="12" t="inlineStr">
        <is>
          <t>Loss of unit / plant; extended outage</t>
        </is>
      </c>
      <c r="F23" s="8" t="n"/>
      <c r="G23" s="9" t="n"/>
    </row>
    <row r="25">
      <c r="B25" s="7" t="inlineStr">
        <is>
          <t>Likelihood level</t>
        </is>
      </c>
      <c r="C25" s="7" t="inlineStr">
        <is>
          <t>Description</t>
        </is>
      </c>
      <c r="D25" s="8" t="n"/>
      <c r="E25" s="8" t="n"/>
      <c r="F25" s="8" t="n"/>
      <c r="G25" s="9" t="n"/>
    </row>
    <row r="26">
      <c r="B26" s="10" t="inlineStr">
        <is>
          <t>1 – Rare</t>
        </is>
      </c>
      <c r="C26" s="12" t="inlineStr">
        <is>
          <t>Not expected to occur in the life of the facility (&lt; 1 in 10 000 years)</t>
        </is>
      </c>
      <c r="D26" s="8" t="n"/>
      <c r="E26" s="8" t="n"/>
      <c r="F26" s="8" t="n"/>
      <c r="G26" s="9" t="n"/>
    </row>
    <row r="27">
      <c r="B27" s="10" t="inlineStr">
        <is>
          <t>2 – Unlikely</t>
        </is>
      </c>
      <c r="C27" s="12" t="inlineStr">
        <is>
          <t>Has occurred in the industry; not expected here (1 in 1 000 – 10 000 years)</t>
        </is>
      </c>
      <c r="D27" s="8" t="n"/>
      <c r="E27" s="8" t="n"/>
      <c r="F27" s="8" t="n"/>
      <c r="G27" s="9" t="n"/>
    </row>
    <row r="28">
      <c r="B28" s="10" t="inlineStr">
        <is>
          <t>3 – Possible</t>
        </is>
      </c>
      <c r="C28" s="12" t="inlineStr">
        <is>
          <t>Could occur in the life of the facility (1 in 100 – 1 000 years)</t>
        </is>
      </c>
      <c r="D28" s="8" t="n"/>
      <c r="E28" s="8" t="n"/>
      <c r="F28" s="8" t="n"/>
      <c r="G28" s="9" t="n"/>
    </row>
    <row r="29">
      <c r="B29" s="10" t="inlineStr">
        <is>
          <t>4 – Likely</t>
        </is>
      </c>
      <c r="C29" s="12" t="inlineStr">
        <is>
          <t>Expected to occur several times in the life of the facility (1 in 10 – 100 years)</t>
        </is>
      </c>
      <c r="D29" s="8" t="n"/>
      <c r="E29" s="8" t="n"/>
      <c r="F29" s="8" t="n"/>
      <c r="G29" s="9" t="n"/>
    </row>
    <row r="30">
      <c r="B30" s="10" t="inlineStr">
        <is>
          <t>5 – Almost certain</t>
        </is>
      </c>
      <c r="C30" s="12" t="inlineStr">
        <is>
          <t>Expected to occur within the year (&gt; 1 in 10 years)</t>
        </is>
      </c>
      <c r="D30" s="8" t="n"/>
      <c r="E30" s="8" t="n"/>
      <c r="F30" s="8" t="n"/>
      <c r="G30" s="9" t="n"/>
    </row>
    <row r="32">
      <c r="B32" s="23" t="inlineStr">
        <is>
          <t>Descriptors and frequencies are typical examples – replace with the client's approved risk matrix before the study.</t>
        </is>
      </c>
    </row>
  </sheetData>
  <mergeCells count="18">
    <mergeCell ref="C29:G29"/>
    <mergeCell ref="C30:G30"/>
    <mergeCell ref="D14:G14"/>
    <mergeCell ref="E22:G22"/>
    <mergeCell ref="E19:G19"/>
    <mergeCell ref="A5:A9"/>
    <mergeCell ref="D12:G12"/>
    <mergeCell ref="E23:G23"/>
    <mergeCell ref="C25:G25"/>
    <mergeCell ref="C28:G28"/>
    <mergeCell ref="C27:G27"/>
    <mergeCell ref="E18:G18"/>
    <mergeCell ref="D15:G15"/>
    <mergeCell ref="D13:G13"/>
    <mergeCell ref="E21:G21"/>
    <mergeCell ref="E20:G20"/>
    <mergeCell ref="C3:G3"/>
    <mergeCell ref="C26:G26"/>
  </mergeCells>
  <conditionalFormatting sqref="C5:G9">
    <cfRule type="expression" priority="1" dxfId="0" stopIfTrue="1">
      <formula>C5&gt;=BandVH</formula>
    </cfRule>
    <cfRule type="expression" priority="2" dxfId="1" stopIfTrue="1">
      <formula>C5&gt;=BandHigh</formula>
    </cfRule>
    <cfRule type="expression" priority="3" dxfId="2" stopIfTrue="1">
      <formula>C5&gt;=BandMed</formula>
    </cfRule>
    <cfRule type="expression" priority="4" dxfId="3" stopIfTrue="1">
      <formula>C5&gt;=1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M113"/>
  <sheetViews>
    <sheetView workbookViewId="0">
      <pane xSplit="4" ySplit="13" topLeftCell="E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4" customWidth="1" min="4" max="4"/>
    <col outlineLevel="1" width="26" customWidth="1" min="5" max="10"/>
    <col width="48" customWidth="1" min="11" max="11"/>
    <col width="42" customWidth="1" min="12" max="12"/>
    <col width="13" customWidth="1" min="13" max="13"/>
    <col width="13" customWidth="1" min="14" max="14"/>
    <col width="7" customWidth="1" min="15" max="15"/>
    <col width="10" customWidth="1" min="16" max="16"/>
    <col outlineLevel="1" width="28" customWidth="1" min="17" max="28"/>
    <col width="48" customWidth="1" min="29" max="29"/>
    <col width="7" customWidth="1" min="30" max="30"/>
    <col width="13" customWidth="1" min="31" max="31"/>
    <col width="13" customWidth="1" min="32" max="32"/>
    <col width="7" customWidth="1" min="33" max="33"/>
    <col width="10" customWidth="1" min="34" max="34"/>
    <col width="36" customWidth="1" min="35" max="35"/>
    <col width="14" customWidth="1" min="36" max="36"/>
  </cols>
  <sheetData>
    <row r="1">
      <c r="A1" s="24" t="inlineStr">
        <is>
          <t>HAZOP WORKSHEET</t>
        </is>
      </c>
      <c r="E1" s="25">
        <f>Cover!B7</f>
        <v/>
      </c>
    </row>
    <row r="3">
      <c r="A3" s="26" t="inlineStr">
        <is>
          <t>Select node ▸</t>
        </is>
      </c>
      <c r="B3" s="8" t="n"/>
      <c r="C3" s="9" t="n"/>
      <c r="D3" s="27" t="inlineStr">
        <is>
          <t>N01 – Gas receiving &amp; metering station (GRMS)</t>
        </is>
      </c>
      <c r="E3" s="8" t="n"/>
      <c r="F3" s="8" t="n"/>
      <c r="G3" s="8" t="n"/>
      <c r="H3" s="8" t="n"/>
      <c r="I3" s="8" t="n"/>
      <c r="J3" s="8" t="n"/>
      <c r="K3" s="8" t="n"/>
      <c r="L3" s="9" t="n"/>
      <c r="M3" s="26" t="inlineStr">
        <is>
          <t>Session date</t>
        </is>
      </c>
      <c r="N3" s="13" t="n">
        <v>46307</v>
      </c>
      <c r="O3" s="9" t="n"/>
      <c r="P3" s="26" t="inlineStr">
        <is>
          <t>Revision</t>
        </is>
      </c>
      <c r="Q3" s="4" t="inlineStr">
        <is>
          <t>A</t>
        </is>
      </c>
    </row>
    <row r="4" ht="16" customHeight="1">
      <c r="A4" s="10" t="inlineStr">
        <is>
          <t>Node title</t>
        </is>
      </c>
      <c r="B4" s="8" t="n"/>
      <c r="C4" s="9" t="n"/>
      <c r="D4" s="6">
        <f>IF($D$3="","",IFERROR(INDEX(Nodes!$B$5:$B$34,MATCH($D$3,Nodes!$C$5:$C$34,0))&amp;"",""))</f>
        <v/>
      </c>
      <c r="E4" s="8" t="n"/>
      <c r="F4" s="8" t="n"/>
      <c r="G4" s="8" t="n"/>
      <c r="H4" s="8" t="n"/>
      <c r="I4" s="8" t="n"/>
      <c r="J4" s="8" t="n"/>
      <c r="K4" s="8" t="n"/>
      <c r="L4" s="9" t="n"/>
    </row>
    <row r="5" ht="16" customHeight="1">
      <c r="A5" s="10" t="inlineStr">
        <is>
          <t>P&amp;IDs / drawings</t>
        </is>
      </c>
      <c r="B5" s="8" t="n"/>
      <c r="C5" s="9" t="n"/>
      <c r="D5" s="6">
        <f>IF($D$3="","",IFERROR(INDEX(Nodes!$D$5:$D$34,MATCH($D$3,Nodes!$C$5:$C$34,0))&amp;"",""))</f>
        <v/>
      </c>
      <c r="E5" s="8" t="n"/>
      <c r="F5" s="8" t="n"/>
      <c r="G5" s="8" t="n"/>
      <c r="H5" s="8" t="n"/>
      <c r="I5" s="8" t="n"/>
      <c r="J5" s="8" t="n"/>
      <c r="K5" s="8" t="n"/>
      <c r="L5" s="9" t="n"/>
    </row>
    <row r="6" ht="30" customHeight="1">
      <c r="A6" s="10" t="inlineStr">
        <is>
          <t>Battery limits</t>
        </is>
      </c>
      <c r="B6" s="8" t="n"/>
      <c r="C6" s="9" t="n"/>
      <c r="D6" s="6">
        <f>IF($D$3="","",IFERROR(INDEX(Nodes!$E$5:$E$34,MATCH($D$3,Nodes!$C$5:$C$34,0))&amp;"",""))</f>
        <v/>
      </c>
      <c r="E6" s="8" t="n"/>
      <c r="F6" s="8" t="n"/>
      <c r="G6" s="8" t="n"/>
      <c r="H6" s="8" t="n"/>
      <c r="I6" s="8" t="n"/>
      <c r="J6" s="8" t="n"/>
      <c r="K6" s="8" t="n"/>
      <c r="L6" s="9" t="n"/>
    </row>
    <row r="7" ht="30" customHeight="1">
      <c r="A7" s="10" t="inlineStr">
        <is>
          <t>Functional description / design intent</t>
        </is>
      </c>
      <c r="B7" s="8" t="n"/>
      <c r="C7" s="9" t="n"/>
      <c r="D7" s="6">
        <f>IF($D$3="","",IFERROR(INDEX(Nodes!$F$5:$F$34,MATCH($D$3,Nodes!$C$5:$C$34,0))&amp;"",""))</f>
        <v/>
      </c>
      <c r="E7" s="8" t="n"/>
      <c r="F7" s="8" t="n"/>
      <c r="G7" s="8" t="n"/>
      <c r="H7" s="8" t="n"/>
      <c r="I7" s="8" t="n"/>
      <c r="J7" s="8" t="n"/>
      <c r="K7" s="8" t="n"/>
      <c r="L7" s="9" t="n"/>
    </row>
    <row r="8" ht="16" customHeight="1">
      <c r="A8" s="10" t="inlineStr">
        <is>
          <t>Design parameters</t>
        </is>
      </c>
      <c r="B8" s="8" t="n"/>
      <c r="C8" s="9" t="n"/>
      <c r="D8" s="6">
        <f>IF($D$3="","",IFERROR(INDEX(Nodes!$G$5:$G$34,MATCH($D$3,Nodes!$C$5:$C$34,0))&amp;"",""))</f>
        <v/>
      </c>
      <c r="E8" s="8" t="n"/>
      <c r="F8" s="8" t="n"/>
      <c r="G8" s="8" t="n"/>
      <c r="H8" s="8" t="n"/>
      <c r="I8" s="8" t="n"/>
      <c r="J8" s="8" t="n"/>
      <c r="K8" s="8" t="n"/>
      <c r="L8" s="9" t="n"/>
    </row>
    <row r="9" ht="16" customHeight="1">
      <c r="A9" s="10" t="inlineStr">
        <is>
          <t>Operating parameters</t>
        </is>
      </c>
      <c r="B9" s="8" t="n"/>
      <c r="C9" s="9" t="n"/>
      <c r="D9" s="6">
        <f>IF($D$3="","",IFERROR(INDEX(Nodes!$H$5:$H$34,MATCH($D$3,Nodes!$C$5:$C$34,0))&amp;"",""))</f>
        <v/>
      </c>
      <c r="E9" s="8" t="n"/>
      <c r="F9" s="8" t="n"/>
      <c r="G9" s="8" t="n"/>
      <c r="H9" s="8" t="n"/>
      <c r="I9" s="8" t="n"/>
      <c r="J9" s="8" t="n"/>
      <c r="K9" s="8" t="n"/>
      <c r="L9" s="9" t="n"/>
    </row>
    <row r="11">
      <c r="A11" s="2" t="inlineStr">
        <is>
          <t>ONE ROW PER DEVIATION. Choose Parameter + Guideword, then pick up to 6 causes in Cause 1–6 (or type your own) – they are listed line by line in 'Potential causes'. Enter up to 6 safeguards, each marked IPL Yes/No – listed in 'Safeguards'. Use the [–] buttons above the columns to collapse the pick columns.</t>
        </is>
      </c>
    </row>
    <row r="12">
      <c r="A12" s="7" t="inlineStr">
        <is>
          <t>DEVIATION</t>
        </is>
      </c>
      <c r="B12" s="8" t="n"/>
      <c r="C12" s="8" t="n"/>
      <c r="D12" s="9" t="n"/>
      <c r="E12" s="7" t="inlineStr">
        <is>
          <t>CAUSE PICK-LIST</t>
        </is>
      </c>
      <c r="F12" s="8" t="n"/>
      <c r="G12" s="8" t="n"/>
      <c r="H12" s="8" t="n"/>
      <c r="I12" s="8" t="n"/>
      <c r="J12" s="9" t="n"/>
      <c r="K12" s="7" t="inlineStr">
        <is>
          <t>CAUSES &amp; CONSEQUENCES</t>
        </is>
      </c>
      <c r="L12" s="9" t="n"/>
      <c r="M12" s="7" t="inlineStr">
        <is>
          <t>RISK BEFORE SAFEGUARDS</t>
        </is>
      </c>
      <c r="N12" s="8" t="n"/>
      <c r="O12" s="8" t="n"/>
      <c r="P12" s="9" t="n"/>
      <c r="Q12" s="7" t="inlineStr">
        <is>
          <t>SAFEGUARD ENTRY (mark each IPL Yes / No)</t>
        </is>
      </c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9" t="n"/>
      <c r="AC12" s="7" t="inlineStr">
        <is>
          <t>SAFEGUARDS</t>
        </is>
      </c>
      <c r="AD12" s="9" t="n"/>
      <c r="AE12" s="7" t="inlineStr">
        <is>
          <t>RISK AFTER SAFEGUARDS</t>
        </is>
      </c>
      <c r="AF12" s="8" t="n"/>
      <c r="AG12" s="8" t="n"/>
      <c r="AH12" s="9" t="n"/>
      <c r="AI12" s="7" t="inlineStr">
        <is>
          <t>RECOMMENDATIONS</t>
        </is>
      </c>
      <c r="AJ12" s="9" t="n"/>
    </row>
    <row r="13" ht="30" customHeight="1">
      <c r="A13" s="7" t="inlineStr">
        <is>
          <t>Dev. No.</t>
        </is>
      </c>
      <c r="B13" s="7" t="inlineStr">
        <is>
          <t>Parameter</t>
        </is>
      </c>
      <c r="C13" s="7" t="inlineStr">
        <is>
          <t>Guideword</t>
        </is>
      </c>
      <c r="D13" s="7" t="inlineStr">
        <is>
          <t>Deviation</t>
        </is>
      </c>
      <c r="E13" s="29" t="inlineStr">
        <is>
          <t>Cause 1</t>
        </is>
      </c>
      <c r="F13" s="29" t="inlineStr">
        <is>
          <t>Cause 2</t>
        </is>
      </c>
      <c r="G13" s="29" t="inlineStr">
        <is>
          <t>Cause 3</t>
        </is>
      </c>
      <c r="H13" s="29" t="inlineStr">
        <is>
          <t>Cause 4</t>
        </is>
      </c>
      <c r="I13" s="29" t="inlineStr">
        <is>
          <t>Cause 5</t>
        </is>
      </c>
      <c r="J13" s="29" t="inlineStr">
        <is>
          <t>Cause 6</t>
        </is>
      </c>
      <c r="K13" s="7" t="inlineStr">
        <is>
          <t>Potential causes</t>
        </is>
      </c>
      <c r="L13" s="7" t="inlineStr">
        <is>
          <t>Consequences</t>
        </is>
      </c>
      <c r="M13" s="7" t="inlineStr">
        <is>
          <t>Severity (S)</t>
        </is>
      </c>
      <c r="N13" s="7" t="inlineStr">
        <is>
          <t>Likelihood (L)</t>
        </is>
      </c>
      <c r="O13" s="7" t="inlineStr">
        <is>
          <t>Risk score</t>
        </is>
      </c>
      <c r="P13" s="7" t="inlineStr">
        <is>
          <t>Risk rank</t>
        </is>
      </c>
      <c r="Q13" s="29" t="inlineStr">
        <is>
          <t>Safeguard 1</t>
        </is>
      </c>
      <c r="R13" s="29" t="inlineStr">
        <is>
          <t>IPL? 1</t>
        </is>
      </c>
      <c r="S13" s="29" t="inlineStr">
        <is>
          <t>Safeguard 2</t>
        </is>
      </c>
      <c r="T13" s="29" t="inlineStr">
        <is>
          <t>IPL? 2</t>
        </is>
      </c>
      <c r="U13" s="29" t="inlineStr">
        <is>
          <t>Safeguard 3</t>
        </is>
      </c>
      <c r="V13" s="29" t="inlineStr">
        <is>
          <t>IPL? 3</t>
        </is>
      </c>
      <c r="W13" s="29" t="inlineStr">
        <is>
          <t>Safeguard 4</t>
        </is>
      </c>
      <c r="X13" s="29" t="inlineStr">
        <is>
          <t>IPL? 4</t>
        </is>
      </c>
      <c r="Y13" s="29" t="inlineStr">
        <is>
          <t>Safeguard 5</t>
        </is>
      </c>
      <c r="Z13" s="29" t="inlineStr">
        <is>
          <t>IPL? 5</t>
        </is>
      </c>
      <c r="AA13" s="29" t="inlineStr">
        <is>
          <t>Safeguard 6</t>
        </is>
      </c>
      <c r="AB13" s="29" t="inlineStr">
        <is>
          <t>IPL? 6</t>
        </is>
      </c>
      <c r="AC13" s="7" t="inlineStr">
        <is>
          <t>Safeguards</t>
        </is>
      </c>
      <c r="AD13" s="7" t="inlineStr">
        <is>
          <t>No. of IPLs</t>
        </is>
      </c>
      <c r="AE13" s="7" t="inlineStr">
        <is>
          <t>Severity (S)</t>
        </is>
      </c>
      <c r="AF13" s="7" t="inlineStr">
        <is>
          <t>Likelihood (L)</t>
        </is>
      </c>
      <c r="AG13" s="7" t="inlineStr">
        <is>
          <t>Risk score</t>
        </is>
      </c>
      <c r="AH13" s="7" t="inlineStr">
        <is>
          <t>Risk rank</t>
        </is>
      </c>
      <c r="AI13" s="7" t="inlineStr">
        <is>
          <t>Recommendations / actions</t>
        </is>
      </c>
      <c r="AJ13" s="7" t="inlineStr">
        <is>
          <t>Action by</t>
        </is>
      </c>
    </row>
    <row r="14" ht="90" customHeight="1">
      <c r="A14" s="30">
        <f>IF(B14="","",COUNTIF(B$14:B14,"?*"))</f>
        <v/>
      </c>
      <c r="B14" s="4" t="inlineStr">
        <is>
          <t>Flow</t>
        </is>
      </c>
      <c r="C14" s="19" t="inlineStr">
        <is>
          <t>NO</t>
        </is>
      </c>
      <c r="D14" s="5">
        <f>IF(OR(B14="",C14=""),"",UPPER(LEFT(C14,1))&amp;LOWER(MID(C14,2,30))&amp;" "&amp;LOWER(LEFT(B14,1))&amp;MID(B14,2,200))</f>
        <v/>
      </c>
      <c r="E14" s="4" t="inlineStr">
        <is>
          <t>Supplier pipeline trip / supplier ESD</t>
        </is>
      </c>
      <c r="F14" s="4" t="inlineStr">
        <is>
          <t>Spurious closure of ESDV-1001 (solenoid, power or air failure)</t>
        </is>
      </c>
      <c r="G14" s="4" t="inlineStr">
        <is>
          <t>Both filter-separators F-1002A/B blocked (black powder)</t>
        </is>
      </c>
      <c r="H14" s="4" t="n"/>
      <c r="I14" s="4" t="n"/>
      <c r="J14" s="4" t="n"/>
      <c r="K14" s="5">
        <f>_xlfn.TEXTJOIN(CHAR(10),TRUE,IF(E14="","","• "&amp;E14),IF(F14="","","• "&amp;F14),IF(G14="","","• "&amp;G14),IF(H14="","","• "&amp;H14),IF(I14="","","• "&amp;I14),IF(J14="","","• "&amp;J14))</f>
        <v/>
      </c>
      <c r="L14" s="4" t="inlineStr">
        <is>
          <t>Loss of gas to all users: reformer, reheat furnace, preheater and oxy-fuel burner flame-outs and trips; on uncontrolled restoration of supply, gas may enter burners that are not proven shut – accumulation and explosion on relight (see N06-01); production loss
[N01-01] Restoration after an interruption is the hazardous phase – see N06 and R-006.</t>
        </is>
      </c>
      <c r="M14" s="19" t="inlineStr">
        <is>
          <t>3 – Moderate</t>
        </is>
      </c>
      <c r="N14" s="19" t="inlineStr">
        <is>
          <t>3 – Possible</t>
        </is>
      </c>
      <c r="O14" s="30">
        <f>IF(OR(M14="",N14=""),"",INDEX(RiskGrid,6-VALUE(LEFT(M14,1)),VALUE(LEFT(N14,1))))</f>
        <v/>
      </c>
      <c r="P14" s="30">
        <f>IF(O14="","",IF(O14&gt;=BandVH,"Very High",IF(O14&gt;=BandHigh,"High",IF(O14&gt;=BandMed,"Medium","Low"))))</f>
        <v/>
      </c>
      <c r="Q14" s="4" t="inlineStr">
        <is>
          <t>PSLL-2006 / PSLL-4005 – Low-low gas pressure trips in the user burner management systems (reformer, reheat furnace, preheaters)</t>
        </is>
      </c>
      <c r="R14" s="19" t="inlineStr">
        <is>
          <t>Yes</t>
        </is>
      </c>
      <c r="S14" s="4" t="inlineStr">
        <is>
          <t>F-1002A/B – Duty / standby filter-separators with LSH-1002 high-liquid alarm and PDIT-1002 differential-pressure alarm</t>
        </is>
      </c>
      <c r="T14" s="19" t="inlineStr">
        <is>
          <t>No</t>
        </is>
      </c>
      <c r="U14" s="4" t="inlineStr">
        <is>
          <t>Gas supply agreement quality specification; supplier notification of off-spec gas and supply interruptions</t>
        </is>
      </c>
      <c r="V14" s="19" t="inlineStr">
        <is>
          <t>No</t>
        </is>
      </c>
      <c r="W14" s="4" t="n"/>
      <c r="X14" s="19" t="n"/>
      <c r="Y14" s="4" t="n"/>
      <c r="Z14" s="19" t="n"/>
      <c r="AA14" s="4" t="n"/>
      <c r="AB14" s="19" t="n"/>
      <c r="AC14" s="5">
        <f>_xlfn.TEXTJOIN(CHAR(10),TRUE,IF(Q14="","","• "&amp;Q14&amp;IF(R14="Yes","  [IPL]","")),IF(S14="","","• "&amp;S14&amp;IF(T14="Yes","  [IPL]","")),IF(U14="","","• "&amp;U14&amp;IF(V14="Yes","  [IPL]","")),IF(W14="","","• "&amp;W14&amp;IF(X14="Yes","  [IPL]","")),IF(Y14="","","• "&amp;Y14&amp;IF(Z14="Yes","  [IPL]","")),IF(AA14="","","• "&amp;AA14&amp;IF(AB14="Yes","  [IPL]","")))</f>
        <v/>
      </c>
      <c r="AD14" s="30">
        <f>IF(AC14="","",COUNTIF(Q14:AB14,"Yes"))</f>
        <v/>
      </c>
      <c r="AE14" s="19" t="inlineStr">
        <is>
          <t>3 – Moderate</t>
        </is>
      </c>
      <c r="AF14" s="19" t="inlineStr">
        <is>
          <t>2 – Unlikely</t>
        </is>
      </c>
      <c r="AG14" s="30">
        <f>IF(OR(AE14="",AF14=""),"",INDEX(RiskGrid,6-VALUE(LEFT(AE14,1)),VALUE(LEFT(AF14,1))))</f>
        <v/>
      </c>
      <c r="AH14" s="30">
        <f>IF(AG14="","",IF(AG14&gt;=BandVH,"Very High",IF(AG14&gt;=BandHigh,"High",IF(AG14&gt;=BandMed,"Medium","Low"))))</f>
        <v/>
      </c>
      <c r="AI14" s="4" t="inlineStr">
        <is>
          <t>R-006 Agree a supply-interruption and restoration protocol with the gas supplier: users isolated before re-pressurisation, controlled restoration sequence, BMS re-start only after confirmed header pressure.</t>
        </is>
      </c>
      <c r="AJ14" s="4" t="inlineStr">
        <is>
          <t>Utilities manager</t>
        </is>
      </c>
      <c r="AK14" s="31" t="n"/>
    </row>
    <row r="15" ht="90" customHeight="1">
      <c r="A15" s="30">
        <f>IF(B15="","",COUNTIF(B$14:B15,"?*"))</f>
        <v/>
      </c>
      <c r="B15" s="4" t="inlineStr">
        <is>
          <t>Pressure</t>
        </is>
      </c>
      <c r="C15" s="19" t="inlineStr">
        <is>
          <t>MORE</t>
        </is>
      </c>
      <c r="D15" s="5">
        <f>IF(OR(B15="",C15=""),"",UPPER(LEFT(C15,1))&amp;LOWER(MID(C15,2,30))&amp;" "&amp;LOWER(LEFT(B15,1))&amp;MID(B15,2,200))</f>
        <v/>
      </c>
      <c r="E15" s="4" t="inlineStr">
        <is>
          <t>Failed-open pressure control valves (PCVs)</t>
        </is>
      </c>
      <c r="F15" s="4" t="inlineStr">
        <is>
          <t>Supplier pressure excursion above normal operating range</t>
        </is>
      </c>
      <c r="G15" s="4" t="inlineStr">
        <is>
          <t>Thermal expansion of trapped (blocked-in) liquid</t>
        </is>
      </c>
      <c r="H15" s="4" t="n"/>
      <c r="I15" s="4" t="n"/>
      <c r="J15" s="4" t="n"/>
      <c r="K15" s="5">
        <f>_xlfn.TEXTJOIN(CHAR(10),TRUE,IF(E15="","","• "&amp;E15),IF(F15="","","• "&amp;F15),IF(G15="","","• "&amp;G15),IF(H15="","","• "&amp;H15),IF(I15="","","• "&amp;I15),IF(J15="","","• "&amp;J15))</f>
        <v/>
      </c>
      <c r="L15" s="4" t="inlineStr">
        <is>
          <t>Overpressure of filter-separators / meter runs only if their design pressure were below the pipeline MAOP; blocked-in sections heated by the sun – flange leak, release of high-pressure gas (bow tie BT-GN-01)
[N01-02] GRMS designed for the pipeline MAOP (50 barg) – overpressure from the supplier not credible.</t>
        </is>
      </c>
      <c r="M15" s="19" t="inlineStr">
        <is>
          <t>5 – Catastrophic</t>
        </is>
      </c>
      <c r="N15" s="19" t="inlineStr">
        <is>
          <t>2 – Unlikely</t>
        </is>
      </c>
      <c r="O15" s="30">
        <f>IF(OR(M15="",N15=""),"",INDEX(RiskGrid,6-VALUE(LEFT(M15,1)),VALUE(LEFT(N15,1))))</f>
        <v/>
      </c>
      <c r="P15" s="30">
        <f>IF(O15="","",IF(O15&gt;=BandVH,"Very High",IF(O15&gt;=BandHigh,"High",IF(O15&gt;=BandMed,"Medium","Low"))))</f>
        <v/>
      </c>
      <c r="Q15" s="4" t="inlineStr">
        <is>
          <t>GRMS piping, filter-separators and meter runs designed for the pipeline MAOP (no overpressure from the supplier)</t>
        </is>
      </c>
      <c r="R15" s="19" t="inlineStr">
        <is>
          <t>Yes</t>
        </is>
      </c>
      <c r="S15" s="4" t="inlineStr">
        <is>
          <t>PSV-1006A/B – Filter-separator fire-case / thermal relief valves</t>
        </is>
      </c>
      <c r="T15" s="19" t="inlineStr">
        <is>
          <t>Yes</t>
        </is>
      </c>
      <c r="U15" s="4" t="inlineStr">
        <is>
          <t>PT-1005 – GRMS inlet pressure high alarm PAH-1005 with operator response</t>
        </is>
      </c>
      <c r="V15" s="19" t="inlineStr">
        <is>
          <t>No</t>
        </is>
      </c>
      <c r="W15" s="4" t="n"/>
      <c r="X15" s="19" t="n"/>
      <c r="Y15" s="4" t="n"/>
      <c r="Z15" s="19" t="n"/>
      <c r="AA15" s="4" t="n"/>
      <c r="AB15" s="19" t="n"/>
      <c r="AC15" s="5">
        <f>_xlfn.TEXTJOIN(CHAR(10),TRUE,IF(Q15="","","• "&amp;Q15&amp;IF(R15="Yes","  [IPL]","")),IF(S15="","","• "&amp;S15&amp;IF(T15="Yes","  [IPL]","")),IF(U15="","","• "&amp;U15&amp;IF(V15="Yes","  [IPL]","")),IF(W15="","","• "&amp;W15&amp;IF(X15="Yes","  [IPL]","")),IF(Y15="","","• "&amp;Y15&amp;IF(Z15="Yes","  [IPL]","")),IF(AA15="","","• "&amp;AA15&amp;IF(AB15="Yes","  [IPL]","")))</f>
        <v/>
      </c>
      <c r="AD15" s="30">
        <f>IF(AC15="","",COUNTIF(Q15:AB15,"Yes"))</f>
        <v/>
      </c>
      <c r="AE15" s="19" t="inlineStr">
        <is>
          <t>5 – Catastrophic</t>
        </is>
      </c>
      <c r="AF15" s="19" t="inlineStr">
        <is>
          <t>1 – Rare</t>
        </is>
      </c>
      <c r="AG15" s="30">
        <f>IF(OR(AE15="",AF15=""),"",INDEX(RiskGrid,6-VALUE(LEFT(AE15,1)),VALUE(LEFT(AF15,1))))</f>
        <v/>
      </c>
      <c r="AH15" s="30">
        <f>IF(AG15="","",IF(AG15&gt;=BandVH,"Very High",IF(AG15&gt;=BandHigh,"High",IF(AG15&gt;=BandMed,"Medium","Low"))))</f>
        <v/>
      </c>
      <c r="AI15" s="4" t="inlineStr"/>
      <c r="AJ15" s="4" t="inlineStr"/>
    </row>
    <row r="16" ht="90" customHeight="1">
      <c r="A16" s="30">
        <f>IF(B16="","",COUNTIF(B$14:B16,"?*"))</f>
        <v/>
      </c>
      <c r="B16" s="4" t="inlineStr">
        <is>
          <t>Flow</t>
        </is>
      </c>
      <c r="C16" s="19" t="inlineStr">
        <is>
          <t>AS WELL AS</t>
        </is>
      </c>
      <c r="D16" s="5">
        <f>IF(OR(B16="",C16=""),"",UPPER(LEFT(C16,1))&amp;LOWER(MID(C16,2,30))&amp;" "&amp;LOWER(LEFT(B16,1))&amp;MID(B16,2,200))</f>
        <v/>
      </c>
      <c r="E16" s="4" t="inlineStr">
        <is>
          <t>Gas or air entrainment in liquid; liquid carry-over in gas</t>
        </is>
      </c>
      <c r="F16" s="4" t="inlineStr">
        <is>
          <t>Pigging debris and black powder from the supplier pipeline</t>
        </is>
      </c>
      <c r="G16" s="4" t="inlineStr">
        <is>
          <t>Condensate from the pipeline after cold weather / pigging</t>
        </is>
      </c>
      <c r="H16" s="4" t="n"/>
      <c r="I16" s="4" t="n"/>
      <c r="J16" s="4" t="n"/>
      <c r="K16" s="5">
        <f>_xlfn.TEXTJOIN(CHAR(10),TRUE,IF(E16="","","• "&amp;E16),IF(F16="","","• "&amp;F16),IF(G16="","","• "&amp;G16),IF(H16="","","• "&amp;H16),IF(I16="","","• "&amp;I16),IF(J16="","","• "&amp;J16))</f>
        <v/>
      </c>
      <c r="L16" s="4" t="inlineStr">
        <is>
          <t>Filter-separator overload; liquid / dust carry-over to meters and regulator pilots – active regulator may stick open (demand on overpressure protection, N02-02); erosion; liquid slugs cause flame instability at burners
[N01-03] Carry-over is one of the initiating causes in fault tree FT-GN-01 (active regulator fails open).</t>
        </is>
      </c>
      <c r="M16" s="19" t="inlineStr">
        <is>
          <t>4 – Major</t>
        </is>
      </c>
      <c r="N16" s="19" t="inlineStr">
        <is>
          <t>3 – Possible</t>
        </is>
      </c>
      <c r="O16" s="30">
        <f>IF(OR(M16="",N16=""),"",INDEX(RiskGrid,6-VALUE(LEFT(M16,1)),VALUE(LEFT(N16,1))))</f>
        <v/>
      </c>
      <c r="P16" s="30">
        <f>IF(O16="","",IF(O16&gt;=BandVH,"Very High",IF(O16&gt;=BandHigh,"High",IF(O16&gt;=BandMed,"Medium","Low"))))</f>
        <v/>
      </c>
      <c r="Q16" s="4" t="inlineStr">
        <is>
          <t>F-1002A/B – Duty / standby filter-separators with LSH-1002 high-liquid alarm and PDIT-1002 differential-pressure alarm</t>
        </is>
      </c>
      <c r="R16" s="19" t="inlineStr">
        <is>
          <t>No</t>
        </is>
      </c>
      <c r="S16" s="4" t="inlineStr">
        <is>
          <t>Operator rounds with portable gas detector; annual acoustic leak survey</t>
        </is>
      </c>
      <c r="T16" s="19" t="inlineStr">
        <is>
          <t>No</t>
        </is>
      </c>
      <c r="U16" s="4" t="n"/>
      <c r="V16" s="19" t="n"/>
      <c r="W16" s="4" t="n"/>
      <c r="X16" s="19" t="n"/>
      <c r="Y16" s="4" t="n"/>
      <c r="Z16" s="19" t="n"/>
      <c r="AA16" s="4" t="n"/>
      <c r="AB16" s="19" t="n"/>
      <c r="AC16" s="5">
        <f>_xlfn.TEXTJOIN(CHAR(10),TRUE,IF(Q16="","","• "&amp;Q16&amp;IF(R16="Yes","  [IPL]","")),IF(S16="","","• "&amp;S16&amp;IF(T16="Yes","  [IPL]","")),IF(U16="","","• "&amp;U16&amp;IF(V16="Yes","  [IPL]","")),IF(W16="","","• "&amp;W16&amp;IF(X16="Yes","  [IPL]","")),IF(Y16="","","• "&amp;Y16&amp;IF(Z16="Yes","  [IPL]","")),IF(AA16="","","• "&amp;AA16&amp;IF(AB16="Yes","  [IPL]","")))</f>
        <v/>
      </c>
      <c r="AD16" s="30">
        <f>IF(AC16="","",COUNTIF(Q16:AB16,"Yes"))</f>
        <v/>
      </c>
      <c r="AE16" s="19" t="inlineStr">
        <is>
          <t>4 – Major</t>
        </is>
      </c>
      <c r="AF16" s="19" t="inlineStr">
        <is>
          <t>2 – Unlikely</t>
        </is>
      </c>
      <c r="AG16" s="30">
        <f>IF(OR(AE16="",AF16=""),"",INDEX(RiskGrid,6-VALUE(LEFT(AE16,1)),VALUE(LEFT(AF16,1))))</f>
        <v/>
      </c>
      <c r="AH16" s="30">
        <f>IF(AG16="","",IF(AG16&gt;=BandVH,"Very High",IF(AG16&gt;=BandHigh,"High",IF(AG16&gt;=BandMed,"Medium","Low"))))</f>
        <v/>
      </c>
      <c r="AI16" s="4" t="inlineStr">
        <is>
          <t>R-016 Route the filter-separator drains to a closed drain vessel instead of an open drain; review the LSH-1002 alarm response.</t>
        </is>
      </c>
      <c r="AJ16" s="4" t="inlineStr">
        <is>
          <t>Process engineer</t>
        </is>
      </c>
    </row>
    <row r="17" ht="90" customHeight="1">
      <c r="A17" s="30">
        <f>IF(B17="","",COUNTIF(B$14:B17,"?*"))</f>
        <v/>
      </c>
      <c r="B17" s="4" t="inlineStr">
        <is>
          <t>Composition</t>
        </is>
      </c>
      <c r="C17" s="19" t="inlineStr">
        <is>
          <t>OTHER THAN</t>
        </is>
      </c>
      <c r="D17" s="5">
        <f>IF(OR(B17="",C17=""),"",UPPER(LEFT(C17,1))&amp;LOWER(MID(C17,2,30))&amp;" "&amp;LOWER(LEFT(B17,1))&amp;MID(B17,2,200))</f>
        <v/>
      </c>
      <c r="E17" s="4" t="inlineStr">
        <is>
          <t>Wrong raw material delivered or unloaded</t>
        </is>
      </c>
      <c r="F17" s="4" t="inlineStr">
        <is>
          <t>H2S / higher hydrocarbons above the supply specification</t>
        </is>
      </c>
      <c r="G17" s="4" t="inlineStr">
        <is>
          <t>Wobbe index change (supplier gas source change)</t>
        </is>
      </c>
      <c r="H17" s="4" t="n"/>
      <c r="I17" s="4" t="n"/>
      <c r="J17" s="4" t="n"/>
      <c r="K17" s="5">
        <f>_xlfn.TEXTJOIN(CHAR(10),TRUE,IF(E17="","","• "&amp;E17),IF(F17="","","• "&amp;F17),IF(G17="","","• "&amp;G17),IF(H17="","","• "&amp;H17),IF(I17="","","• "&amp;I17),IF(J17="","","• "&amp;J17))</f>
        <v/>
      </c>
      <c r="L17" s="4" t="inlineStr">
        <is>
          <t>H2S poisons the DRI reformer catalyst and is toxic on release; Wobbe index change alters burner heat release – over-firing or flame instability in the reheat furnace and preheaters
[N01-04] Composition is also reviewed for the DRI plant in N04-04.</t>
        </is>
      </c>
      <c r="M17" s="19" t="inlineStr">
        <is>
          <t>3 – Moderate</t>
        </is>
      </c>
      <c r="N17" s="19" t="inlineStr">
        <is>
          <t>3 – Possible</t>
        </is>
      </c>
      <c r="O17" s="30">
        <f>IF(OR(M17="",N17=""),"",INDEX(RiskGrid,6-VALUE(LEFT(M17,1)),VALUE(LEFT(N17,1))))</f>
        <v/>
      </c>
      <c r="P17" s="30">
        <f>IF(O17="","",IF(O17&gt;=BandVH,"Very High",IF(O17&gt;=BandHigh,"High",IF(O17&gt;=BandMed,"Medium","Low"))))</f>
        <v/>
      </c>
      <c r="Q17" s="4" t="inlineStr">
        <is>
          <t>AT-1004 – Gas chromatograph – composition, Wobbe index and H2S monitoring with alarm</t>
        </is>
      </c>
      <c r="R17" s="19" t="inlineStr">
        <is>
          <t>No</t>
        </is>
      </c>
      <c r="S17" s="4" t="inlineStr">
        <is>
          <t>Gas supply agreement quality specification; supplier notification of off-spec gas and supply interruptions</t>
        </is>
      </c>
      <c r="T17" s="19" t="inlineStr">
        <is>
          <t>No</t>
        </is>
      </c>
      <c r="U17" s="4" t="n"/>
      <c r="V17" s="19" t="n"/>
      <c r="W17" s="4" t="n"/>
      <c r="X17" s="19" t="n"/>
      <c r="Y17" s="4" t="n"/>
      <c r="Z17" s="19" t="n"/>
      <c r="AA17" s="4" t="n"/>
      <c r="AB17" s="19" t="n"/>
      <c r="AC17" s="5">
        <f>_xlfn.TEXTJOIN(CHAR(10),TRUE,IF(Q17="","","• "&amp;Q17&amp;IF(R17="Yes","  [IPL]","")),IF(S17="","","• "&amp;S17&amp;IF(T17="Yes","  [IPL]","")),IF(U17="","","• "&amp;U17&amp;IF(V17="Yes","  [IPL]","")),IF(W17="","","• "&amp;W17&amp;IF(X17="Yes","  [IPL]","")),IF(Y17="","","• "&amp;Y17&amp;IF(Z17="Yes","  [IPL]","")),IF(AA17="","","• "&amp;AA17&amp;IF(AB17="Yes","  [IPL]","")))</f>
        <v/>
      </c>
      <c r="AD17" s="30">
        <f>IF(AC17="","",COUNTIF(Q17:AB17,"Yes"))</f>
        <v/>
      </c>
      <c r="AE17" s="19" t="inlineStr">
        <is>
          <t>3 – Moderate</t>
        </is>
      </c>
      <c r="AF17" s="19" t="inlineStr">
        <is>
          <t>2 – Unlikely</t>
        </is>
      </c>
      <c r="AG17" s="30">
        <f>IF(OR(AE17="",AF17=""),"",INDEX(RiskGrid,6-VALUE(LEFT(AE17,1)),VALUE(LEFT(AF17,1))))</f>
        <v/>
      </c>
      <c r="AH17" s="30">
        <f>IF(AG17="","",IF(AG17&gt;=BandVH,"Very High",IF(AG17&gt;=BandHigh,"High",IF(AG17&gt;=BandMed,"Medium","Low"))))</f>
        <v/>
      </c>
      <c r="AI17" s="4" t="inlineStr"/>
      <c r="AJ17" s="4" t="inlineStr"/>
    </row>
    <row r="18" ht="90" customHeight="1">
      <c r="A18" s="30">
        <f>IF(B18="","",COUNTIF(B$14:B18,"?*"))</f>
        <v/>
      </c>
      <c r="B18" s="4" t="inlineStr">
        <is>
          <t>Process gas (CO, H2 – BFG, COG, LD gas, reducing gas)</t>
        </is>
      </c>
      <c r="C18" s="19" t="inlineStr">
        <is>
          <t>LEAK OF</t>
        </is>
      </c>
      <c r="D18" s="5">
        <f>IF(OR(B18="",C18=""),"",UPPER(LEFT(C18,1))&amp;LOWER(MID(C18,2,30))&amp;" "&amp;LOWER(LEFT(B18,1))&amp;MID(B18,2,200))</f>
        <v/>
      </c>
      <c r="E18" s="4" t="inlineStr">
        <is>
          <t>Flange, valve or seal leak; water-seal blown</t>
        </is>
      </c>
      <c r="F18" s="4" t="inlineStr">
        <is>
          <t>Small-bore fitting fatigue (meter-run vibration)</t>
        </is>
      </c>
      <c r="G18" s="4" t="inlineStr">
        <is>
          <t>Pig receiver closure opened or leaking under pressure</t>
        </is>
      </c>
      <c r="H18" s="4" t="n"/>
      <c r="I18" s="4" t="n"/>
      <c r="J18" s="4" t="n"/>
      <c r="K18" s="5">
        <f>_xlfn.TEXTJOIN(CHAR(10),TRUE,IF(E18="","","• "&amp;E18),IF(F18="","","• "&amp;F18),IF(G18="","","• "&amp;G18),IF(H18="","","• "&amp;H18),IF(I18="","","• "&amp;I18),IF(J18="","","• "&amp;J18))</f>
        <v/>
      </c>
      <c r="L18" s="4" t="inlineStr">
        <is>
          <t>High-pressure natural gas release fed from the pipeline inventory: jet fire if ignited immediately; flash fire or vapour cloud explosion if ignited later – potential multiple fatalities and loss of gas to the whole works (event tree ETA-GN-01)
[N01-05] Quantified: bow tie BT-GN-01 (top event = loss of containment of the HP / MP system), event tree ETA-GN-01 (initiating event = BT-GN-01 top), fault tree FT-GN-02 (ESD). Likelihood after safeguards from the calculated frequency 4.3E-6 /yr.</t>
        </is>
      </c>
      <c r="M18" s="19" t="inlineStr">
        <is>
          <t>5 – Catastrophic</t>
        </is>
      </c>
      <c r="N18" s="19" t="inlineStr">
        <is>
          <t>3 – Possible</t>
        </is>
      </c>
      <c r="O18" s="30">
        <f>IF(OR(M18="",N18=""),"",INDEX(RiskGrid,6-VALUE(LEFT(M18,1)),VALUE(LEFT(N18,1))))</f>
        <v/>
      </c>
      <c r="P18" s="30">
        <f>IF(O18="","",IF(O18&gt;=BandVH,"Very High",IF(O18&gt;=BandHigh,"High",IF(O18&gt;=BandMed,"Medium","Low"))))</f>
        <v/>
      </c>
      <c r="Q18" s="4" t="inlineStr">
        <is>
          <t>UCP-1000 – Gas detection GD-1110A/B/C (2oo3) and ESD isolation of the HP / MP system – ESDV-1001 and ESDV-1107 close (SIS UCP-1000)</t>
        </is>
      </c>
      <c r="R18" s="19" t="inlineStr">
        <is>
          <t>Yes</t>
        </is>
      </c>
      <c r="S18" s="4" t="inlineStr">
        <is>
          <t>Ignition source control – hazardous area classification with Ex equipment, hot-work permit, vehicle control</t>
        </is>
      </c>
      <c r="T18" s="19" t="inlineStr">
        <is>
          <t>No</t>
        </is>
      </c>
      <c r="U18" s="4" t="inlineStr">
        <is>
          <t>PR-1001 – Pig receiver quick-opening closure with pressure-warning / locking device (key interlock with vent valve)</t>
        </is>
      </c>
      <c r="V18" s="19" t="inlineStr">
        <is>
          <t>Yes</t>
        </is>
      </c>
      <c r="W18" s="4" t="inlineStr">
        <is>
          <t>Separation distances and fire-proofing of supports in the GRMS / PRS</t>
        </is>
      </c>
      <c r="X18" s="19" t="inlineStr">
        <is>
          <t>No</t>
        </is>
      </c>
      <c r="Y18" s="4" t="inlineStr">
        <is>
          <t>Emergency response team / fire brigade; emergency response plan for gas releases and fires</t>
        </is>
      </c>
      <c r="Z18" s="19" t="inlineStr">
        <is>
          <t>No</t>
        </is>
      </c>
      <c r="AA18" s="4" t="n"/>
      <c r="AB18" s="19" t="n"/>
      <c r="AC18" s="5">
        <f>_xlfn.TEXTJOIN(CHAR(10),TRUE,IF(Q18="","","• "&amp;Q18&amp;IF(R18="Yes","  [IPL]","")),IF(S18="","","• "&amp;S18&amp;IF(T18="Yes","  [IPL]","")),IF(U18="","","• "&amp;U18&amp;IF(V18="Yes","  [IPL]","")),IF(W18="","","• "&amp;W18&amp;IF(X18="Yes","  [IPL]","")),IF(Y18="","","• "&amp;Y18&amp;IF(Z18="Yes","  [IPL]","")),IF(AA18="","","• "&amp;AA18&amp;IF(AB18="Yes","  [IPL]","")))</f>
        <v/>
      </c>
      <c r="AD18" s="30">
        <f>IF(AC18="","",COUNTIF(Q18:AB18,"Yes"))</f>
        <v/>
      </c>
      <c r="AE18" s="19" t="inlineStr">
        <is>
          <t>5 – Catastrophic</t>
        </is>
      </c>
      <c r="AF18" s="19" t="inlineStr">
        <is>
          <t>1 – Rare</t>
        </is>
      </c>
      <c r="AG18" s="30">
        <f>IF(OR(AE18="",AF18=""),"",INDEX(RiskGrid,6-VALUE(LEFT(AE18,1)),VALUE(LEFT(AF18,1))))</f>
        <v/>
      </c>
      <c r="AH18" s="30">
        <f>IF(AG18="","",IF(AG18&gt;=BandVH,"Very High",IF(AG18&gt;=BandHigh,"High",IF(AG18&gt;=BandMed,"Medium","Low"))))</f>
        <v/>
      </c>
      <c r="AI18" s="4" t="inlineStr">
        <is>
          <t>R-001 Verify the HP / MP gas detection &amp; ESD function against the required risk reduction. Fault tree FT-GN-02 gives PFDavg 2.6E-2 (RRF 38); test the effect of six-monthly partial-stroke testing of ESDV-1001 / ESDV-1107 and quarterly detector bump tests (FMECA S01 / S08).
R-017 Verify the pig-receiver quick-opening closure safety device (pressure-warning / key interlock with the vent valve) and include it in the pigging procedure and its training.
R-021 Assess the vapour cloud explosion overpressure at the PRS / GRMS and verify the siting of the utilities control room (bow tie BT-GN-01 / event tree ETA-GN-01 VCE end state).</t>
        </is>
      </c>
      <c r="AJ18" s="4" t="inlineStr">
        <is>
          <t>Instrument engineer / Mechanical engineer / HSE / process safety</t>
        </is>
      </c>
    </row>
    <row r="19" ht="90" customHeight="1">
      <c r="A19" s="30">
        <f>IF(B19="","",COUNTIF(B$14:B19,"?*"))</f>
        <v/>
      </c>
      <c r="B19" s="4" t="inlineStr">
        <is>
          <t>Corrosion / erosion</t>
        </is>
      </c>
      <c r="C19" s="19" t="inlineStr">
        <is>
          <t>MORE</t>
        </is>
      </c>
      <c r="D19" s="5">
        <f>IF(OR(B19="",C19=""),"",UPPER(LEFT(C19,1))&amp;LOWER(MID(C19,2,30))&amp;" "&amp;LOWER(LEFT(B19,1))&amp;MID(B19,2,200))</f>
        <v/>
      </c>
      <c r="E19" s="4" t="inlineStr">
        <is>
          <t>Cathodic protection arrangements inadequate</t>
        </is>
      </c>
      <c r="F19" s="4" t="inlineStr">
        <is>
          <t>Insulating joint IJ-1001 shorted (debris, bonding cable)</t>
        </is>
      </c>
      <c r="G19" s="4" t="inlineStr">
        <is>
          <t>Coating damage at road crossings</t>
        </is>
      </c>
      <c r="H19" s="4" t="n"/>
      <c r="I19" s="4" t="n"/>
      <c r="J19" s="4" t="n"/>
      <c r="K19" s="5">
        <f>_xlfn.TEXTJOIN(CHAR(10),TRUE,IF(E19="","","• "&amp;E19),IF(F19="","","• "&amp;F19),IF(G19="","","• "&amp;G19),IF(H19="","","• "&amp;H19),IF(I19="","","• "&amp;I19),IF(J19="","","• "&amp;J19))</f>
        <v/>
      </c>
      <c r="L19" s="4" t="inlineStr">
        <is>
          <t>Wall loss leading to a leak or rupture of the buried section – gas migrates through soil into trenches / buildings (bow tie BT-GN-01 threat 2)
[N01-06] FMECA S03 CP-1200; bow tie BT-GN-01 threat T2.</t>
        </is>
      </c>
      <c r="M19" s="19" t="inlineStr">
        <is>
          <t>5 – Catastrophic</t>
        </is>
      </c>
      <c r="N19" s="19" t="inlineStr">
        <is>
          <t>3 – Possible</t>
        </is>
      </c>
      <c r="O19" s="30">
        <f>IF(OR(M19="",N19=""),"",INDEX(RiskGrid,6-VALUE(LEFT(M19,1)),VALUE(LEFT(N19,1))))</f>
        <v/>
      </c>
      <c r="P19" s="30">
        <f>IF(O19="","",IF(O19&gt;=BandVH,"Very High",IF(O19&gt;=BandHigh,"High",IF(O19&gt;=BandMed,"Medium","Low"))))</f>
        <v/>
      </c>
      <c r="Q19" s="4" t="inlineStr">
        <is>
          <t>CP-1200 – Coating and impressed-current cathodic protection of buried sections; annual CP / DCVG survey</t>
        </is>
      </c>
      <c r="R19" s="19" t="inlineStr">
        <is>
          <t>No</t>
        </is>
      </c>
      <c r="S19" s="4" t="inlineStr">
        <is>
          <t>Piping inspection programme – thickness monitoring at supports, rack crossings and low points</t>
        </is>
      </c>
      <c r="T19" s="19" t="inlineStr">
        <is>
          <t>No</t>
        </is>
      </c>
      <c r="U19" s="4" t="n"/>
      <c r="V19" s="19" t="n"/>
      <c r="W19" s="4" t="n"/>
      <c r="X19" s="19" t="n"/>
      <c r="Y19" s="4" t="n"/>
      <c r="Z19" s="19" t="n"/>
      <c r="AA19" s="4" t="n"/>
      <c r="AB19" s="19" t="n"/>
      <c r="AC19" s="5">
        <f>_xlfn.TEXTJOIN(CHAR(10),TRUE,IF(Q19="","","• "&amp;Q19&amp;IF(R19="Yes","  [IPL]","")),IF(S19="","","• "&amp;S19&amp;IF(T19="Yes","  [IPL]","")),IF(U19="","","• "&amp;U19&amp;IF(V19="Yes","  [IPL]","")),IF(W19="","","• "&amp;W19&amp;IF(X19="Yes","  [IPL]","")),IF(Y19="","","• "&amp;Y19&amp;IF(Z19="Yes","  [IPL]","")),IF(AA19="","","• "&amp;AA19&amp;IF(AB19="Yes","  [IPL]","")))</f>
        <v/>
      </c>
      <c r="AD19" s="30">
        <f>IF(AC19="","",COUNTIF(Q19:AB19,"Yes"))</f>
        <v/>
      </c>
      <c r="AE19" s="19" t="inlineStr">
        <is>
          <t>5 – Catastrophic</t>
        </is>
      </c>
      <c r="AF19" s="19" t="inlineStr">
        <is>
          <t>2 – Unlikely</t>
        </is>
      </c>
      <c r="AG19" s="30">
        <f>IF(OR(AE19="",AF19=""),"",INDEX(RiskGrid,6-VALUE(LEFT(AE19,1)),VALUE(LEFT(AF19,1))))</f>
        <v/>
      </c>
      <c r="AH19" s="30">
        <f>IF(AG19="","",IF(AG19&gt;=BandVH,"Very High",IF(AG19&gt;=BandHigh,"High",IF(AG19&gt;=BandMed,"Medium","Low"))))</f>
        <v/>
      </c>
      <c r="AI19" s="4" t="inlineStr">
        <is>
          <t>R-008 Survey stray currents and induced voltages on gas pipework near the EAF / LF high-current systems; verify insulating joints and bonding; include in CP interference testing.</t>
        </is>
      </c>
      <c r="AJ19" s="4" t="inlineStr">
        <is>
          <t>Electrical engineer</t>
        </is>
      </c>
    </row>
    <row r="20" ht="90" customHeight="1">
      <c r="A20" s="30">
        <f>IF(B20="","",COUNTIF(B$14:B20,"?*"))</f>
        <v/>
      </c>
      <c r="B20" s="4" t="inlineStr">
        <is>
          <t>Maintenance</t>
        </is>
      </c>
      <c r="C20" s="19" t="inlineStr">
        <is>
          <t>INADEQUATE</t>
        </is>
      </c>
      <c r="D20" s="5">
        <f>IF(OR(B20="",C20=""),"",UPPER(LEFT(C20,1))&amp;LOWER(MID(C20,2,30))&amp;" "&amp;LOWER(LEFT(B20,1))&amp;MID(B20,2,200))</f>
        <v/>
      </c>
      <c r="E20" s="4" t="inlineStr">
        <is>
          <t>Isolation, drainage, purging</t>
        </is>
      </c>
      <c r="F20" s="4" t="inlineStr">
        <is>
          <t>Pig receiver opened before full depressurisation</t>
        </is>
      </c>
      <c r="G20" s="4" t="inlineStr">
        <is>
          <t>Work permit system</t>
        </is>
      </c>
      <c r="H20" s="4" t="n"/>
      <c r="I20" s="4" t="n"/>
      <c r="J20" s="4" t="n"/>
      <c r="K20" s="5">
        <f>_xlfn.TEXTJOIN(CHAR(10),TRUE,IF(E20="","","• "&amp;E20),IF(F20="","","• "&amp;F20),IF(G20="","","• "&amp;G20),IF(H20="","","• "&amp;H20),IF(I20="","","• "&amp;I20),IF(J20="","","• "&amp;J20))</f>
        <v/>
      </c>
      <c r="L20" s="4" t="inlineStr">
        <is>
          <t>Pig receiver door blown open or gas release onto the operator; pyrophoric iron sulphide in pig debris ignites on exposure to air
[N01-07] Bow tie BT-GN-01 threat T5 (maintenance error).</t>
        </is>
      </c>
      <c r="M20" s="19" t="inlineStr">
        <is>
          <t>5 – Catastrophic</t>
        </is>
      </c>
      <c r="N20" s="19" t="inlineStr">
        <is>
          <t>3 – Possible</t>
        </is>
      </c>
      <c r="O20" s="30">
        <f>IF(OR(M20="",N20=""),"",INDEX(RiskGrid,6-VALUE(LEFT(M20,1)),VALUE(LEFT(N20,1))))</f>
        <v/>
      </c>
      <c r="P20" s="30">
        <f>IF(O20="","",IF(O20&gt;=BandVH,"Very High",IF(O20&gt;=BandHigh,"High",IF(O20&gt;=BandMed,"Medium","Low"))))</f>
        <v/>
      </c>
      <c r="Q20" s="4" t="inlineStr">
        <is>
          <t>PR-1001 – Pig receiver quick-opening closure with pressure-warning / locking device (key interlock with vent valve)</t>
        </is>
      </c>
      <c r="R20" s="19" t="inlineStr">
        <is>
          <t>Yes</t>
        </is>
      </c>
      <c r="S20" s="4" t="inlineStr">
        <is>
          <t>Pigging procedure OP-GN-010: depressurise, N2 purge and gas test before opening the pig receiver</t>
        </is>
      </c>
      <c r="T20" s="19" t="inlineStr">
        <is>
          <t>No</t>
        </is>
      </c>
      <c r="U20" s="4" t="inlineStr">
        <is>
          <t>Permit-to-work with isolation verification (DBB / spades), gas-free test and fire watch</t>
        </is>
      </c>
      <c r="V20" s="19" t="inlineStr">
        <is>
          <t>No</t>
        </is>
      </c>
      <c r="W20" s="4" t="n"/>
      <c r="X20" s="19" t="n"/>
      <c r="Y20" s="4" t="n"/>
      <c r="Z20" s="19" t="n"/>
      <c r="AA20" s="4" t="n"/>
      <c r="AB20" s="19" t="n"/>
      <c r="AC20" s="5">
        <f>_xlfn.TEXTJOIN(CHAR(10),TRUE,IF(Q20="","","• "&amp;Q20&amp;IF(R20="Yes","  [IPL]","")),IF(S20="","","• "&amp;S20&amp;IF(T20="Yes","  [IPL]","")),IF(U20="","","• "&amp;U20&amp;IF(V20="Yes","  [IPL]","")),IF(W20="","","• "&amp;W20&amp;IF(X20="Yes","  [IPL]","")),IF(Y20="","","• "&amp;Y20&amp;IF(Z20="Yes","  [IPL]","")),IF(AA20="","","• "&amp;AA20&amp;IF(AB20="Yes","  [IPL]","")))</f>
        <v/>
      </c>
      <c r="AD20" s="30">
        <f>IF(AC20="","",COUNTIF(Q20:AB20,"Yes"))</f>
        <v/>
      </c>
      <c r="AE20" s="19" t="inlineStr">
        <is>
          <t>5 – Catastrophic</t>
        </is>
      </c>
      <c r="AF20" s="19" t="inlineStr">
        <is>
          <t>1 – Rare</t>
        </is>
      </c>
      <c r="AG20" s="30">
        <f>IF(OR(AE20="",AF20=""),"",INDEX(RiskGrid,6-VALUE(LEFT(AE20,1)),VALUE(LEFT(AF20,1))))</f>
        <v/>
      </c>
      <c r="AH20" s="30">
        <f>IF(AG20="","",IF(AG20&gt;=BandVH,"Very High",IF(AG20&gt;=BandHigh,"High",IF(AG20&gt;=BandMed,"Medium","Low"))))</f>
        <v/>
      </c>
      <c r="AI20" s="4" t="inlineStr">
        <is>
          <t>R-017 Verify the pig-receiver quick-opening closure safety device (pressure-warning / key interlock with the vent valve) and include it in the pigging procedure and its training.</t>
        </is>
      </c>
      <c r="AJ20" s="4" t="inlineStr">
        <is>
          <t>Mechanical engineer</t>
        </is>
      </c>
    </row>
    <row r="21">
      <c r="A21" s="30">
        <f>IF(B21="","",COUNTIF(B$14:B21,"?*"))</f>
        <v/>
      </c>
      <c r="B21" s="4" t="n"/>
      <c r="C21" s="19" t="n"/>
      <c r="D21" s="5">
        <f>IF(OR(B21="",C21=""),"",UPPER(LEFT(C21,1))&amp;LOWER(MID(C21,2,30))&amp;" "&amp;LOWER(LEFT(B21,1))&amp;MID(B21,2,200))</f>
        <v/>
      </c>
      <c r="E21" s="4" t="n"/>
      <c r="F21" s="4" t="n"/>
      <c r="G21" s="4" t="n"/>
      <c r="H21" s="4" t="n"/>
      <c r="I21" s="4" t="n"/>
      <c r="J21" s="4" t="n"/>
      <c r="K21" s="5">
        <f>_xlfn.TEXTJOIN(CHAR(10),TRUE,IF(E21="","","• "&amp;E21),IF(F21="","","• "&amp;F21),IF(G21="","","• "&amp;G21),IF(H21="","","• "&amp;H21),IF(I21="","","• "&amp;I21),IF(J21="","","• "&amp;J21))</f>
        <v/>
      </c>
      <c r="L21" s="4" t="n"/>
      <c r="M21" s="19" t="n"/>
      <c r="N21" s="19" t="n"/>
      <c r="O21" s="30">
        <f>IF(OR(M21="",N21=""),"",INDEX(RiskGrid,6-VALUE(LEFT(M21,1)),VALUE(LEFT(N21,1))))</f>
        <v/>
      </c>
      <c r="P21" s="30">
        <f>IF(O21="","",IF(O21&gt;=BandVH,"Very High",IF(O21&gt;=BandHigh,"High",IF(O21&gt;=BandMed,"Medium","Low"))))</f>
        <v/>
      </c>
      <c r="Q21" s="4" t="n"/>
      <c r="R21" s="19" t="n"/>
      <c r="S21" s="4" t="n"/>
      <c r="T21" s="19" t="n"/>
      <c r="U21" s="4" t="n"/>
      <c r="V21" s="19" t="n"/>
      <c r="W21" s="4" t="n"/>
      <c r="X21" s="19" t="n"/>
      <c r="Y21" s="4" t="n"/>
      <c r="Z21" s="19" t="n"/>
      <c r="AA21" s="4" t="n"/>
      <c r="AB21" s="19" t="n"/>
      <c r="AC21" s="5">
        <f>_xlfn.TEXTJOIN(CHAR(10),TRUE,IF(Q21="","","• "&amp;Q21&amp;IF(R21="Yes","  [IPL]","")),IF(S21="","","• "&amp;S21&amp;IF(T21="Yes","  [IPL]","")),IF(U21="","","• "&amp;U21&amp;IF(V21="Yes","  [IPL]","")),IF(W21="","","• "&amp;W21&amp;IF(X21="Yes","  [IPL]","")),IF(Y21="","","• "&amp;Y21&amp;IF(Z21="Yes","  [IPL]","")),IF(AA21="","","• "&amp;AA21&amp;IF(AB21="Yes","  [IPL]","")))</f>
        <v/>
      </c>
      <c r="AD21" s="30">
        <f>IF(AC21="","",COUNTIF(Q21:AB21,"Yes"))</f>
        <v/>
      </c>
      <c r="AE21" s="19" t="n"/>
      <c r="AF21" s="19" t="n"/>
      <c r="AG21" s="30">
        <f>IF(OR(AE21="",AF21=""),"",INDEX(RiskGrid,6-VALUE(LEFT(AE21,1)),VALUE(LEFT(AF21,1))))</f>
        <v/>
      </c>
      <c r="AH21" s="30">
        <f>IF(AG21="","",IF(AG21&gt;=BandVH,"Very High",IF(AG21&gt;=BandHigh,"High",IF(AG21&gt;=BandMed,"Medium","Low"))))</f>
        <v/>
      </c>
      <c r="AI21" s="4" t="n"/>
      <c r="AJ21" s="4" t="n"/>
    </row>
    <row r="22">
      <c r="A22" s="30">
        <f>IF(B22="","",COUNTIF(B$14:B22,"?*"))</f>
        <v/>
      </c>
      <c r="B22" s="4" t="n"/>
      <c r="C22" s="19" t="n"/>
      <c r="D22" s="5">
        <f>IF(OR(B22="",C22=""),"",UPPER(LEFT(C22,1))&amp;LOWER(MID(C22,2,30))&amp;" "&amp;LOWER(LEFT(B22,1))&amp;MID(B22,2,200))</f>
        <v/>
      </c>
      <c r="E22" s="4" t="n"/>
      <c r="F22" s="4" t="n"/>
      <c r="G22" s="4" t="n"/>
      <c r="H22" s="4" t="n"/>
      <c r="I22" s="4" t="n"/>
      <c r="J22" s="4" t="n"/>
      <c r="K22" s="5">
        <f>_xlfn.TEXTJOIN(CHAR(10),TRUE,IF(E22="","","• "&amp;E22),IF(F22="","","• "&amp;F22),IF(G22="","","• "&amp;G22),IF(H22="","","• "&amp;H22),IF(I22="","","• "&amp;I22),IF(J22="","","• "&amp;J22))</f>
        <v/>
      </c>
      <c r="L22" s="4" t="n"/>
      <c r="M22" s="19" t="n"/>
      <c r="N22" s="19" t="n"/>
      <c r="O22" s="30">
        <f>IF(OR(M22="",N22=""),"",INDEX(RiskGrid,6-VALUE(LEFT(M22,1)),VALUE(LEFT(N22,1))))</f>
        <v/>
      </c>
      <c r="P22" s="30">
        <f>IF(O22="","",IF(O22&gt;=BandVH,"Very High",IF(O22&gt;=BandHigh,"High",IF(O22&gt;=BandMed,"Medium","Low"))))</f>
        <v/>
      </c>
      <c r="Q22" s="4" t="n"/>
      <c r="R22" s="19" t="n"/>
      <c r="S22" s="4" t="n"/>
      <c r="T22" s="19" t="n"/>
      <c r="U22" s="4" t="n"/>
      <c r="V22" s="19" t="n"/>
      <c r="W22" s="4" t="n"/>
      <c r="X22" s="19" t="n"/>
      <c r="Y22" s="4" t="n"/>
      <c r="Z22" s="19" t="n"/>
      <c r="AA22" s="4" t="n"/>
      <c r="AB22" s="19" t="n"/>
      <c r="AC22" s="5">
        <f>_xlfn.TEXTJOIN(CHAR(10),TRUE,IF(Q22="","","• "&amp;Q22&amp;IF(R22="Yes","  [IPL]","")),IF(S22="","","• "&amp;S22&amp;IF(T22="Yes","  [IPL]","")),IF(U22="","","• "&amp;U22&amp;IF(V22="Yes","  [IPL]","")),IF(W22="","","• "&amp;W22&amp;IF(X22="Yes","  [IPL]","")),IF(Y22="","","• "&amp;Y22&amp;IF(Z22="Yes","  [IPL]","")),IF(AA22="","","• "&amp;AA22&amp;IF(AB22="Yes","  [IPL]","")))</f>
        <v/>
      </c>
      <c r="AD22" s="30">
        <f>IF(AC22="","",COUNTIF(Q22:AB22,"Yes"))</f>
        <v/>
      </c>
      <c r="AE22" s="19" t="n"/>
      <c r="AF22" s="19" t="n"/>
      <c r="AG22" s="30">
        <f>IF(OR(AE22="",AF22=""),"",INDEX(RiskGrid,6-VALUE(LEFT(AE22,1)),VALUE(LEFT(AF22,1))))</f>
        <v/>
      </c>
      <c r="AH22" s="30">
        <f>IF(AG22="","",IF(AG22&gt;=BandVH,"Very High",IF(AG22&gt;=BandHigh,"High",IF(AG22&gt;=BandMed,"Medium","Low"))))</f>
        <v/>
      </c>
      <c r="AI22" s="4" t="n"/>
      <c r="AJ22" s="4" t="n"/>
    </row>
    <row r="23">
      <c r="A23" s="30">
        <f>IF(B23="","",COUNTIF(B$14:B23,"?*"))</f>
        <v/>
      </c>
      <c r="B23" s="4" t="n"/>
      <c r="C23" s="19" t="n"/>
      <c r="D23" s="5">
        <f>IF(OR(B23="",C23=""),"",UPPER(LEFT(C23,1))&amp;LOWER(MID(C23,2,30))&amp;" "&amp;LOWER(LEFT(B23,1))&amp;MID(B23,2,200))</f>
        <v/>
      </c>
      <c r="E23" s="4" t="n"/>
      <c r="F23" s="4" t="n"/>
      <c r="G23" s="4" t="n"/>
      <c r="H23" s="4" t="n"/>
      <c r="I23" s="4" t="n"/>
      <c r="J23" s="4" t="n"/>
      <c r="K23" s="5">
        <f>_xlfn.TEXTJOIN(CHAR(10),TRUE,IF(E23="","","• "&amp;E23),IF(F23="","","• "&amp;F23),IF(G23="","","• "&amp;G23),IF(H23="","","• "&amp;H23),IF(I23="","","• "&amp;I23),IF(J23="","","• "&amp;J23))</f>
        <v/>
      </c>
      <c r="L23" s="4" t="n"/>
      <c r="M23" s="19" t="n"/>
      <c r="N23" s="19" t="n"/>
      <c r="O23" s="30">
        <f>IF(OR(M23="",N23=""),"",INDEX(RiskGrid,6-VALUE(LEFT(M23,1)),VALUE(LEFT(N23,1))))</f>
        <v/>
      </c>
      <c r="P23" s="30">
        <f>IF(O23="","",IF(O23&gt;=BandVH,"Very High",IF(O23&gt;=BandHigh,"High",IF(O23&gt;=BandMed,"Medium","Low"))))</f>
        <v/>
      </c>
      <c r="Q23" s="4" t="n"/>
      <c r="R23" s="19" t="n"/>
      <c r="S23" s="4" t="n"/>
      <c r="T23" s="19" t="n"/>
      <c r="U23" s="4" t="n"/>
      <c r="V23" s="19" t="n"/>
      <c r="W23" s="4" t="n"/>
      <c r="X23" s="19" t="n"/>
      <c r="Y23" s="4" t="n"/>
      <c r="Z23" s="19" t="n"/>
      <c r="AA23" s="4" t="n"/>
      <c r="AB23" s="19" t="n"/>
      <c r="AC23" s="5">
        <f>_xlfn.TEXTJOIN(CHAR(10),TRUE,IF(Q23="","","• "&amp;Q23&amp;IF(R23="Yes","  [IPL]","")),IF(S23="","","• "&amp;S23&amp;IF(T23="Yes","  [IPL]","")),IF(U23="","","• "&amp;U23&amp;IF(V23="Yes","  [IPL]","")),IF(W23="","","• "&amp;W23&amp;IF(X23="Yes","  [IPL]","")),IF(Y23="","","• "&amp;Y23&amp;IF(Z23="Yes","  [IPL]","")),IF(AA23="","","• "&amp;AA23&amp;IF(AB23="Yes","  [IPL]","")))</f>
        <v/>
      </c>
      <c r="AD23" s="30">
        <f>IF(AC23="","",COUNTIF(Q23:AB23,"Yes"))</f>
        <v/>
      </c>
      <c r="AE23" s="19" t="n"/>
      <c r="AF23" s="19" t="n"/>
      <c r="AG23" s="30">
        <f>IF(OR(AE23="",AF23=""),"",INDEX(RiskGrid,6-VALUE(LEFT(AE23,1)),VALUE(LEFT(AF23,1))))</f>
        <v/>
      </c>
      <c r="AH23" s="30">
        <f>IF(AG23="","",IF(AG23&gt;=BandVH,"Very High",IF(AG23&gt;=BandHigh,"High",IF(AG23&gt;=BandMed,"Medium","Low"))))</f>
        <v/>
      </c>
      <c r="AI23" s="4" t="n"/>
      <c r="AJ23" s="4" t="n"/>
    </row>
    <row r="24">
      <c r="A24" s="30">
        <f>IF(B24="","",COUNTIF(B$14:B24,"?*"))</f>
        <v/>
      </c>
      <c r="B24" s="4" t="n"/>
      <c r="C24" s="19" t="n"/>
      <c r="D24" s="5">
        <f>IF(OR(B24="",C24=""),"",UPPER(LEFT(C24,1))&amp;LOWER(MID(C24,2,30))&amp;" "&amp;LOWER(LEFT(B24,1))&amp;MID(B24,2,200))</f>
        <v/>
      </c>
      <c r="E24" s="4" t="n"/>
      <c r="F24" s="4" t="n"/>
      <c r="G24" s="4" t="n"/>
      <c r="H24" s="4" t="n"/>
      <c r="I24" s="4" t="n"/>
      <c r="J24" s="4" t="n"/>
      <c r="K24" s="5">
        <f>_xlfn.TEXTJOIN(CHAR(10),TRUE,IF(E24="","","• "&amp;E24),IF(F24="","","• "&amp;F24),IF(G24="","","• "&amp;G24),IF(H24="","","• "&amp;H24),IF(I24="","","• "&amp;I24),IF(J24="","","• "&amp;J24))</f>
        <v/>
      </c>
      <c r="L24" s="4" t="n"/>
      <c r="M24" s="19" t="n"/>
      <c r="N24" s="19" t="n"/>
      <c r="O24" s="30">
        <f>IF(OR(M24="",N24=""),"",INDEX(RiskGrid,6-VALUE(LEFT(M24,1)),VALUE(LEFT(N24,1))))</f>
        <v/>
      </c>
      <c r="P24" s="30">
        <f>IF(O24="","",IF(O24&gt;=BandVH,"Very High",IF(O24&gt;=BandHigh,"High",IF(O24&gt;=BandMed,"Medium","Low"))))</f>
        <v/>
      </c>
      <c r="Q24" s="4" t="n"/>
      <c r="R24" s="19" t="n"/>
      <c r="S24" s="4" t="n"/>
      <c r="T24" s="19" t="n"/>
      <c r="U24" s="4" t="n"/>
      <c r="V24" s="19" t="n"/>
      <c r="W24" s="4" t="n"/>
      <c r="X24" s="19" t="n"/>
      <c r="Y24" s="4" t="n"/>
      <c r="Z24" s="19" t="n"/>
      <c r="AA24" s="4" t="n"/>
      <c r="AB24" s="19" t="n"/>
      <c r="AC24" s="5">
        <f>_xlfn.TEXTJOIN(CHAR(10),TRUE,IF(Q24="","","• "&amp;Q24&amp;IF(R24="Yes","  [IPL]","")),IF(S24="","","• "&amp;S24&amp;IF(T24="Yes","  [IPL]","")),IF(U24="","","• "&amp;U24&amp;IF(V24="Yes","  [IPL]","")),IF(W24="","","• "&amp;W24&amp;IF(X24="Yes","  [IPL]","")),IF(Y24="","","• "&amp;Y24&amp;IF(Z24="Yes","  [IPL]","")),IF(AA24="","","• "&amp;AA24&amp;IF(AB24="Yes","  [IPL]","")))</f>
        <v/>
      </c>
      <c r="AD24" s="30">
        <f>IF(AC24="","",COUNTIF(Q24:AB24,"Yes"))</f>
        <v/>
      </c>
      <c r="AE24" s="19" t="n"/>
      <c r="AF24" s="19" t="n"/>
      <c r="AG24" s="30">
        <f>IF(OR(AE24="",AF24=""),"",INDEX(RiskGrid,6-VALUE(LEFT(AE24,1)),VALUE(LEFT(AF24,1))))</f>
        <v/>
      </c>
      <c r="AH24" s="30">
        <f>IF(AG24="","",IF(AG24&gt;=BandVH,"Very High",IF(AG24&gt;=BandHigh,"High",IF(AG24&gt;=BandMed,"Medium","Low"))))</f>
        <v/>
      </c>
      <c r="AI24" s="4" t="n"/>
      <c r="AJ24" s="4" t="n"/>
    </row>
    <row r="25">
      <c r="A25" s="30">
        <f>IF(B25="","",COUNTIF(B$14:B25,"?*"))</f>
        <v/>
      </c>
      <c r="B25" s="4" t="n"/>
      <c r="C25" s="19" t="n"/>
      <c r="D25" s="5">
        <f>IF(OR(B25="",C25=""),"",UPPER(LEFT(C25,1))&amp;LOWER(MID(C25,2,30))&amp;" "&amp;LOWER(LEFT(B25,1))&amp;MID(B25,2,200))</f>
        <v/>
      </c>
      <c r="E25" s="4" t="n"/>
      <c r="F25" s="4" t="n"/>
      <c r="G25" s="4" t="n"/>
      <c r="H25" s="4" t="n"/>
      <c r="I25" s="4" t="n"/>
      <c r="J25" s="4" t="n"/>
      <c r="K25" s="5">
        <f>_xlfn.TEXTJOIN(CHAR(10),TRUE,IF(E25="","","• "&amp;E25),IF(F25="","","• "&amp;F25),IF(G25="","","• "&amp;G25),IF(H25="","","• "&amp;H25),IF(I25="","","• "&amp;I25),IF(J25="","","• "&amp;J25))</f>
        <v/>
      </c>
      <c r="L25" s="4" t="n"/>
      <c r="M25" s="19" t="n"/>
      <c r="N25" s="19" t="n"/>
      <c r="O25" s="30">
        <f>IF(OR(M25="",N25=""),"",INDEX(RiskGrid,6-VALUE(LEFT(M25,1)),VALUE(LEFT(N25,1))))</f>
        <v/>
      </c>
      <c r="P25" s="30">
        <f>IF(O25="","",IF(O25&gt;=BandVH,"Very High",IF(O25&gt;=BandHigh,"High",IF(O25&gt;=BandMed,"Medium","Low"))))</f>
        <v/>
      </c>
      <c r="Q25" s="4" t="n"/>
      <c r="R25" s="19" t="n"/>
      <c r="S25" s="4" t="n"/>
      <c r="T25" s="19" t="n"/>
      <c r="U25" s="4" t="n"/>
      <c r="V25" s="19" t="n"/>
      <c r="W25" s="4" t="n"/>
      <c r="X25" s="19" t="n"/>
      <c r="Y25" s="4" t="n"/>
      <c r="Z25" s="19" t="n"/>
      <c r="AA25" s="4" t="n"/>
      <c r="AB25" s="19" t="n"/>
      <c r="AC25" s="5">
        <f>_xlfn.TEXTJOIN(CHAR(10),TRUE,IF(Q25="","","• "&amp;Q25&amp;IF(R25="Yes","  [IPL]","")),IF(S25="","","• "&amp;S25&amp;IF(T25="Yes","  [IPL]","")),IF(U25="","","• "&amp;U25&amp;IF(V25="Yes","  [IPL]","")),IF(W25="","","• "&amp;W25&amp;IF(X25="Yes","  [IPL]","")),IF(Y25="","","• "&amp;Y25&amp;IF(Z25="Yes","  [IPL]","")),IF(AA25="","","• "&amp;AA25&amp;IF(AB25="Yes","  [IPL]","")))</f>
        <v/>
      </c>
      <c r="AD25" s="30">
        <f>IF(AC25="","",COUNTIF(Q25:AB25,"Yes"))</f>
        <v/>
      </c>
      <c r="AE25" s="19" t="n"/>
      <c r="AF25" s="19" t="n"/>
      <c r="AG25" s="30">
        <f>IF(OR(AE25="",AF25=""),"",INDEX(RiskGrid,6-VALUE(LEFT(AE25,1)),VALUE(LEFT(AF25,1))))</f>
        <v/>
      </c>
      <c r="AH25" s="30">
        <f>IF(AG25="","",IF(AG25&gt;=BandVH,"Very High",IF(AG25&gt;=BandHigh,"High",IF(AG25&gt;=BandMed,"Medium","Low"))))</f>
        <v/>
      </c>
      <c r="AI25" s="4" t="n"/>
      <c r="AJ25" s="4" t="n"/>
    </row>
    <row r="26">
      <c r="A26" s="30">
        <f>IF(B26="","",COUNTIF(B$14:B26,"?*"))</f>
        <v/>
      </c>
      <c r="B26" s="4" t="n"/>
      <c r="C26" s="19" t="n"/>
      <c r="D26" s="5">
        <f>IF(OR(B26="",C26=""),"",UPPER(LEFT(C26,1))&amp;LOWER(MID(C26,2,30))&amp;" "&amp;LOWER(LEFT(B26,1))&amp;MID(B26,2,200))</f>
        <v/>
      </c>
      <c r="E26" s="4" t="n"/>
      <c r="F26" s="4" t="n"/>
      <c r="G26" s="4" t="n"/>
      <c r="H26" s="4" t="n"/>
      <c r="I26" s="4" t="n"/>
      <c r="J26" s="4" t="n"/>
      <c r="K26" s="5">
        <f>_xlfn.TEXTJOIN(CHAR(10),TRUE,IF(E26="","","• "&amp;E26),IF(F26="","","• "&amp;F26),IF(G26="","","• "&amp;G26),IF(H26="","","• "&amp;H26),IF(I26="","","• "&amp;I26),IF(J26="","","• "&amp;J26))</f>
        <v/>
      </c>
      <c r="L26" s="4" t="n"/>
      <c r="M26" s="19" t="n"/>
      <c r="N26" s="19" t="n"/>
      <c r="O26" s="30">
        <f>IF(OR(M26="",N26=""),"",INDEX(RiskGrid,6-VALUE(LEFT(M26,1)),VALUE(LEFT(N26,1))))</f>
        <v/>
      </c>
      <c r="P26" s="30">
        <f>IF(O26="","",IF(O26&gt;=BandVH,"Very High",IF(O26&gt;=BandHigh,"High",IF(O26&gt;=BandMed,"Medium","Low"))))</f>
        <v/>
      </c>
      <c r="Q26" s="4" t="n"/>
      <c r="R26" s="19" t="n"/>
      <c r="S26" s="4" t="n"/>
      <c r="T26" s="19" t="n"/>
      <c r="U26" s="4" t="n"/>
      <c r="V26" s="19" t="n"/>
      <c r="W26" s="4" t="n"/>
      <c r="X26" s="19" t="n"/>
      <c r="Y26" s="4" t="n"/>
      <c r="Z26" s="19" t="n"/>
      <c r="AA26" s="4" t="n"/>
      <c r="AB26" s="19" t="n"/>
      <c r="AC26" s="5">
        <f>_xlfn.TEXTJOIN(CHAR(10),TRUE,IF(Q26="","","• "&amp;Q26&amp;IF(R26="Yes","  [IPL]","")),IF(S26="","","• "&amp;S26&amp;IF(T26="Yes","  [IPL]","")),IF(U26="","","• "&amp;U26&amp;IF(V26="Yes","  [IPL]","")),IF(W26="","","• "&amp;W26&amp;IF(X26="Yes","  [IPL]","")),IF(Y26="","","• "&amp;Y26&amp;IF(Z26="Yes","  [IPL]","")),IF(AA26="","","• "&amp;AA26&amp;IF(AB26="Yes","  [IPL]","")))</f>
        <v/>
      </c>
      <c r="AD26" s="30">
        <f>IF(AC26="","",COUNTIF(Q26:AB26,"Yes"))</f>
        <v/>
      </c>
      <c r="AE26" s="19" t="n"/>
      <c r="AF26" s="19" t="n"/>
      <c r="AG26" s="30">
        <f>IF(OR(AE26="",AF26=""),"",INDEX(RiskGrid,6-VALUE(LEFT(AE26,1)),VALUE(LEFT(AF26,1))))</f>
        <v/>
      </c>
      <c r="AH26" s="30">
        <f>IF(AG26="","",IF(AG26&gt;=BandVH,"Very High",IF(AG26&gt;=BandHigh,"High",IF(AG26&gt;=BandMed,"Medium","Low"))))</f>
        <v/>
      </c>
      <c r="AI26" s="4" t="n"/>
      <c r="AJ26" s="4" t="n"/>
    </row>
    <row r="27">
      <c r="A27" s="30">
        <f>IF(B27="","",COUNTIF(B$14:B27,"?*"))</f>
        <v/>
      </c>
      <c r="B27" s="4" t="n"/>
      <c r="C27" s="19" t="n"/>
      <c r="D27" s="5">
        <f>IF(OR(B27="",C27=""),"",UPPER(LEFT(C27,1))&amp;LOWER(MID(C27,2,30))&amp;" "&amp;LOWER(LEFT(B27,1))&amp;MID(B27,2,200))</f>
        <v/>
      </c>
      <c r="E27" s="4" t="n"/>
      <c r="F27" s="4" t="n"/>
      <c r="G27" s="4" t="n"/>
      <c r="H27" s="4" t="n"/>
      <c r="I27" s="4" t="n"/>
      <c r="J27" s="4" t="n"/>
      <c r="K27" s="5">
        <f>_xlfn.TEXTJOIN(CHAR(10),TRUE,IF(E27="","","• "&amp;E27),IF(F27="","","• "&amp;F27),IF(G27="","","• "&amp;G27),IF(H27="","","• "&amp;H27),IF(I27="","","• "&amp;I27),IF(J27="","","• "&amp;J27))</f>
        <v/>
      </c>
      <c r="L27" s="4" t="n"/>
      <c r="M27" s="19" t="n"/>
      <c r="N27" s="19" t="n"/>
      <c r="O27" s="30">
        <f>IF(OR(M27="",N27=""),"",INDEX(RiskGrid,6-VALUE(LEFT(M27,1)),VALUE(LEFT(N27,1))))</f>
        <v/>
      </c>
      <c r="P27" s="30">
        <f>IF(O27="","",IF(O27&gt;=BandVH,"Very High",IF(O27&gt;=BandHigh,"High",IF(O27&gt;=BandMed,"Medium","Low"))))</f>
        <v/>
      </c>
      <c r="Q27" s="4" t="n"/>
      <c r="R27" s="19" t="n"/>
      <c r="S27" s="4" t="n"/>
      <c r="T27" s="19" t="n"/>
      <c r="U27" s="4" t="n"/>
      <c r="V27" s="19" t="n"/>
      <c r="W27" s="4" t="n"/>
      <c r="X27" s="19" t="n"/>
      <c r="Y27" s="4" t="n"/>
      <c r="Z27" s="19" t="n"/>
      <c r="AA27" s="4" t="n"/>
      <c r="AB27" s="19" t="n"/>
      <c r="AC27" s="5">
        <f>_xlfn.TEXTJOIN(CHAR(10),TRUE,IF(Q27="","","• "&amp;Q27&amp;IF(R27="Yes","  [IPL]","")),IF(S27="","","• "&amp;S27&amp;IF(T27="Yes","  [IPL]","")),IF(U27="","","• "&amp;U27&amp;IF(V27="Yes","  [IPL]","")),IF(W27="","","• "&amp;W27&amp;IF(X27="Yes","  [IPL]","")),IF(Y27="","","• "&amp;Y27&amp;IF(Z27="Yes","  [IPL]","")),IF(AA27="","","• "&amp;AA27&amp;IF(AB27="Yes","  [IPL]","")))</f>
        <v/>
      </c>
      <c r="AD27" s="30">
        <f>IF(AC27="","",COUNTIF(Q27:AB27,"Yes"))</f>
        <v/>
      </c>
      <c r="AE27" s="19" t="n"/>
      <c r="AF27" s="19" t="n"/>
      <c r="AG27" s="30">
        <f>IF(OR(AE27="",AF27=""),"",INDEX(RiskGrid,6-VALUE(LEFT(AE27,1)),VALUE(LEFT(AF27,1))))</f>
        <v/>
      </c>
      <c r="AH27" s="30">
        <f>IF(AG27="","",IF(AG27&gt;=BandVH,"Very High",IF(AG27&gt;=BandHigh,"High",IF(AG27&gt;=BandMed,"Medium","Low"))))</f>
        <v/>
      </c>
      <c r="AI27" s="4" t="n"/>
      <c r="AJ27" s="4" t="n"/>
    </row>
    <row r="28">
      <c r="A28" s="30">
        <f>IF(B28="","",COUNTIF(B$14:B28,"?*"))</f>
        <v/>
      </c>
      <c r="B28" s="4" t="n"/>
      <c r="C28" s="19" t="n"/>
      <c r="D28" s="5">
        <f>IF(OR(B28="",C28=""),"",UPPER(LEFT(C28,1))&amp;LOWER(MID(C28,2,30))&amp;" "&amp;LOWER(LEFT(B28,1))&amp;MID(B28,2,200))</f>
        <v/>
      </c>
      <c r="E28" s="4" t="n"/>
      <c r="F28" s="4" t="n"/>
      <c r="G28" s="4" t="n"/>
      <c r="H28" s="4" t="n"/>
      <c r="I28" s="4" t="n"/>
      <c r="J28" s="4" t="n"/>
      <c r="K28" s="5">
        <f>_xlfn.TEXTJOIN(CHAR(10),TRUE,IF(E28="","","• "&amp;E28),IF(F28="","","• "&amp;F28),IF(G28="","","• "&amp;G28),IF(H28="","","• "&amp;H28),IF(I28="","","• "&amp;I28),IF(J28="","","• "&amp;J28))</f>
        <v/>
      </c>
      <c r="L28" s="4" t="n"/>
      <c r="M28" s="19" t="n"/>
      <c r="N28" s="19" t="n"/>
      <c r="O28" s="30">
        <f>IF(OR(M28="",N28=""),"",INDEX(RiskGrid,6-VALUE(LEFT(M28,1)),VALUE(LEFT(N28,1))))</f>
        <v/>
      </c>
      <c r="P28" s="30">
        <f>IF(O28="","",IF(O28&gt;=BandVH,"Very High",IF(O28&gt;=BandHigh,"High",IF(O28&gt;=BandMed,"Medium","Low"))))</f>
        <v/>
      </c>
      <c r="Q28" s="4" t="n"/>
      <c r="R28" s="19" t="n"/>
      <c r="S28" s="4" t="n"/>
      <c r="T28" s="19" t="n"/>
      <c r="U28" s="4" t="n"/>
      <c r="V28" s="19" t="n"/>
      <c r="W28" s="4" t="n"/>
      <c r="X28" s="19" t="n"/>
      <c r="Y28" s="4" t="n"/>
      <c r="Z28" s="19" t="n"/>
      <c r="AA28" s="4" t="n"/>
      <c r="AB28" s="19" t="n"/>
      <c r="AC28" s="5">
        <f>_xlfn.TEXTJOIN(CHAR(10),TRUE,IF(Q28="","","• "&amp;Q28&amp;IF(R28="Yes","  [IPL]","")),IF(S28="","","• "&amp;S28&amp;IF(T28="Yes","  [IPL]","")),IF(U28="","","• "&amp;U28&amp;IF(V28="Yes","  [IPL]","")),IF(W28="","","• "&amp;W28&amp;IF(X28="Yes","  [IPL]","")),IF(Y28="","","• "&amp;Y28&amp;IF(Z28="Yes","  [IPL]","")),IF(AA28="","","• "&amp;AA28&amp;IF(AB28="Yes","  [IPL]","")))</f>
        <v/>
      </c>
      <c r="AD28" s="30">
        <f>IF(AC28="","",COUNTIF(Q28:AB28,"Yes"))</f>
        <v/>
      </c>
      <c r="AE28" s="19" t="n"/>
      <c r="AF28" s="19" t="n"/>
      <c r="AG28" s="30">
        <f>IF(OR(AE28="",AF28=""),"",INDEX(RiskGrid,6-VALUE(LEFT(AE28,1)),VALUE(LEFT(AF28,1))))</f>
        <v/>
      </c>
      <c r="AH28" s="30">
        <f>IF(AG28="","",IF(AG28&gt;=BandVH,"Very High",IF(AG28&gt;=BandHigh,"High",IF(AG28&gt;=BandMed,"Medium","Low"))))</f>
        <v/>
      </c>
      <c r="AI28" s="4" t="n"/>
      <c r="AJ28" s="4" t="n"/>
    </row>
    <row r="29">
      <c r="A29" s="30">
        <f>IF(B29="","",COUNTIF(B$14:B29,"?*"))</f>
        <v/>
      </c>
      <c r="B29" s="4" t="n"/>
      <c r="C29" s="19" t="n"/>
      <c r="D29" s="5">
        <f>IF(OR(B29="",C29=""),"",UPPER(LEFT(C29,1))&amp;LOWER(MID(C29,2,30))&amp;" "&amp;LOWER(LEFT(B29,1))&amp;MID(B29,2,200))</f>
        <v/>
      </c>
      <c r="E29" s="4" t="n"/>
      <c r="F29" s="4" t="n"/>
      <c r="G29" s="4" t="n"/>
      <c r="H29" s="4" t="n"/>
      <c r="I29" s="4" t="n"/>
      <c r="J29" s="4" t="n"/>
      <c r="K29" s="5">
        <f>_xlfn.TEXTJOIN(CHAR(10),TRUE,IF(E29="","","• "&amp;E29),IF(F29="","","• "&amp;F29),IF(G29="","","• "&amp;G29),IF(H29="","","• "&amp;H29),IF(I29="","","• "&amp;I29),IF(J29="","","• "&amp;J29))</f>
        <v/>
      </c>
      <c r="L29" s="4" t="n"/>
      <c r="M29" s="19" t="n"/>
      <c r="N29" s="19" t="n"/>
      <c r="O29" s="30">
        <f>IF(OR(M29="",N29=""),"",INDEX(RiskGrid,6-VALUE(LEFT(M29,1)),VALUE(LEFT(N29,1))))</f>
        <v/>
      </c>
      <c r="P29" s="30">
        <f>IF(O29="","",IF(O29&gt;=BandVH,"Very High",IF(O29&gt;=BandHigh,"High",IF(O29&gt;=BandMed,"Medium","Low"))))</f>
        <v/>
      </c>
      <c r="Q29" s="4" t="n"/>
      <c r="R29" s="19" t="n"/>
      <c r="S29" s="4" t="n"/>
      <c r="T29" s="19" t="n"/>
      <c r="U29" s="4" t="n"/>
      <c r="V29" s="19" t="n"/>
      <c r="W29" s="4" t="n"/>
      <c r="X29" s="19" t="n"/>
      <c r="Y29" s="4" t="n"/>
      <c r="Z29" s="19" t="n"/>
      <c r="AA29" s="4" t="n"/>
      <c r="AB29" s="19" t="n"/>
      <c r="AC29" s="5">
        <f>_xlfn.TEXTJOIN(CHAR(10),TRUE,IF(Q29="","","• "&amp;Q29&amp;IF(R29="Yes","  [IPL]","")),IF(S29="","","• "&amp;S29&amp;IF(T29="Yes","  [IPL]","")),IF(U29="","","• "&amp;U29&amp;IF(V29="Yes","  [IPL]","")),IF(W29="","","• "&amp;W29&amp;IF(X29="Yes","  [IPL]","")),IF(Y29="","","• "&amp;Y29&amp;IF(Z29="Yes","  [IPL]","")),IF(AA29="","","• "&amp;AA29&amp;IF(AB29="Yes","  [IPL]","")))</f>
        <v/>
      </c>
      <c r="AD29" s="30">
        <f>IF(AC29="","",COUNTIF(Q29:AB29,"Yes"))</f>
        <v/>
      </c>
      <c r="AE29" s="19" t="n"/>
      <c r="AF29" s="19" t="n"/>
      <c r="AG29" s="30">
        <f>IF(OR(AE29="",AF29=""),"",INDEX(RiskGrid,6-VALUE(LEFT(AE29,1)),VALUE(LEFT(AF29,1))))</f>
        <v/>
      </c>
      <c r="AH29" s="30">
        <f>IF(AG29="","",IF(AG29&gt;=BandVH,"Very High",IF(AG29&gt;=BandHigh,"High",IF(AG29&gt;=BandMed,"Medium","Low"))))</f>
        <v/>
      </c>
      <c r="AI29" s="4" t="n"/>
      <c r="AJ29" s="4" t="n"/>
    </row>
    <row r="30">
      <c r="A30" s="30">
        <f>IF(B30="","",COUNTIF(B$14:B30,"?*"))</f>
        <v/>
      </c>
      <c r="B30" s="4" t="n"/>
      <c r="C30" s="19" t="n"/>
      <c r="D30" s="5">
        <f>IF(OR(B30="",C30=""),"",UPPER(LEFT(C30,1))&amp;LOWER(MID(C30,2,30))&amp;" "&amp;LOWER(LEFT(B30,1))&amp;MID(B30,2,200))</f>
        <v/>
      </c>
      <c r="E30" s="4" t="n"/>
      <c r="F30" s="4" t="n"/>
      <c r="G30" s="4" t="n"/>
      <c r="H30" s="4" t="n"/>
      <c r="I30" s="4" t="n"/>
      <c r="J30" s="4" t="n"/>
      <c r="K30" s="5">
        <f>_xlfn.TEXTJOIN(CHAR(10),TRUE,IF(E30="","","• "&amp;E30),IF(F30="","","• "&amp;F30),IF(G30="","","• "&amp;G30),IF(H30="","","• "&amp;H30),IF(I30="","","• "&amp;I30),IF(J30="","","• "&amp;J30))</f>
        <v/>
      </c>
      <c r="L30" s="4" t="n"/>
      <c r="M30" s="19" t="n"/>
      <c r="N30" s="19" t="n"/>
      <c r="O30" s="30">
        <f>IF(OR(M30="",N30=""),"",INDEX(RiskGrid,6-VALUE(LEFT(M30,1)),VALUE(LEFT(N30,1))))</f>
        <v/>
      </c>
      <c r="P30" s="30">
        <f>IF(O30="","",IF(O30&gt;=BandVH,"Very High",IF(O30&gt;=BandHigh,"High",IF(O30&gt;=BandMed,"Medium","Low"))))</f>
        <v/>
      </c>
      <c r="Q30" s="4" t="n"/>
      <c r="R30" s="19" t="n"/>
      <c r="S30" s="4" t="n"/>
      <c r="T30" s="19" t="n"/>
      <c r="U30" s="4" t="n"/>
      <c r="V30" s="19" t="n"/>
      <c r="W30" s="4" t="n"/>
      <c r="X30" s="19" t="n"/>
      <c r="Y30" s="4" t="n"/>
      <c r="Z30" s="19" t="n"/>
      <c r="AA30" s="4" t="n"/>
      <c r="AB30" s="19" t="n"/>
      <c r="AC30" s="5">
        <f>_xlfn.TEXTJOIN(CHAR(10),TRUE,IF(Q30="","","• "&amp;Q30&amp;IF(R30="Yes","  [IPL]","")),IF(S30="","","• "&amp;S30&amp;IF(T30="Yes","  [IPL]","")),IF(U30="","","• "&amp;U30&amp;IF(V30="Yes","  [IPL]","")),IF(W30="","","• "&amp;W30&amp;IF(X30="Yes","  [IPL]","")),IF(Y30="","","• "&amp;Y30&amp;IF(Z30="Yes","  [IPL]","")),IF(AA30="","","• "&amp;AA30&amp;IF(AB30="Yes","  [IPL]","")))</f>
        <v/>
      </c>
      <c r="AD30" s="30">
        <f>IF(AC30="","",COUNTIF(Q30:AB30,"Yes"))</f>
        <v/>
      </c>
      <c r="AE30" s="19" t="n"/>
      <c r="AF30" s="19" t="n"/>
      <c r="AG30" s="30">
        <f>IF(OR(AE30="",AF30=""),"",INDEX(RiskGrid,6-VALUE(LEFT(AE30,1)),VALUE(LEFT(AF30,1))))</f>
        <v/>
      </c>
      <c r="AH30" s="30">
        <f>IF(AG30="","",IF(AG30&gt;=BandVH,"Very High",IF(AG30&gt;=BandHigh,"High",IF(AG30&gt;=BandMed,"Medium","Low"))))</f>
        <v/>
      </c>
      <c r="AI30" s="4" t="n"/>
      <c r="AJ30" s="4" t="n"/>
    </row>
    <row r="31">
      <c r="A31" s="30">
        <f>IF(B31="","",COUNTIF(B$14:B31,"?*"))</f>
        <v/>
      </c>
      <c r="B31" s="4" t="n"/>
      <c r="C31" s="19" t="n"/>
      <c r="D31" s="5">
        <f>IF(OR(B31="",C31=""),"",UPPER(LEFT(C31,1))&amp;LOWER(MID(C31,2,30))&amp;" "&amp;LOWER(LEFT(B31,1))&amp;MID(B31,2,200))</f>
        <v/>
      </c>
      <c r="E31" s="4" t="n"/>
      <c r="F31" s="4" t="n"/>
      <c r="G31" s="4" t="n"/>
      <c r="H31" s="4" t="n"/>
      <c r="I31" s="4" t="n"/>
      <c r="J31" s="4" t="n"/>
      <c r="K31" s="5">
        <f>_xlfn.TEXTJOIN(CHAR(10),TRUE,IF(E31="","","• "&amp;E31),IF(F31="","","• "&amp;F31),IF(G31="","","• "&amp;G31),IF(H31="","","• "&amp;H31),IF(I31="","","• "&amp;I31),IF(J31="","","• "&amp;J31))</f>
        <v/>
      </c>
      <c r="L31" s="4" t="n"/>
      <c r="M31" s="19" t="n"/>
      <c r="N31" s="19" t="n"/>
      <c r="O31" s="30">
        <f>IF(OR(M31="",N31=""),"",INDEX(RiskGrid,6-VALUE(LEFT(M31,1)),VALUE(LEFT(N31,1))))</f>
        <v/>
      </c>
      <c r="P31" s="30">
        <f>IF(O31="","",IF(O31&gt;=BandVH,"Very High",IF(O31&gt;=BandHigh,"High",IF(O31&gt;=BandMed,"Medium","Low"))))</f>
        <v/>
      </c>
      <c r="Q31" s="4" t="n"/>
      <c r="R31" s="19" t="n"/>
      <c r="S31" s="4" t="n"/>
      <c r="T31" s="19" t="n"/>
      <c r="U31" s="4" t="n"/>
      <c r="V31" s="19" t="n"/>
      <c r="W31" s="4" t="n"/>
      <c r="X31" s="19" t="n"/>
      <c r="Y31" s="4" t="n"/>
      <c r="Z31" s="19" t="n"/>
      <c r="AA31" s="4" t="n"/>
      <c r="AB31" s="19" t="n"/>
      <c r="AC31" s="5">
        <f>_xlfn.TEXTJOIN(CHAR(10),TRUE,IF(Q31="","","• "&amp;Q31&amp;IF(R31="Yes","  [IPL]","")),IF(S31="","","• "&amp;S31&amp;IF(T31="Yes","  [IPL]","")),IF(U31="","","• "&amp;U31&amp;IF(V31="Yes","  [IPL]","")),IF(W31="","","• "&amp;W31&amp;IF(X31="Yes","  [IPL]","")),IF(Y31="","","• "&amp;Y31&amp;IF(Z31="Yes","  [IPL]","")),IF(AA31="","","• "&amp;AA31&amp;IF(AB31="Yes","  [IPL]","")))</f>
        <v/>
      </c>
      <c r="AD31" s="30">
        <f>IF(AC31="","",COUNTIF(Q31:AB31,"Yes"))</f>
        <v/>
      </c>
      <c r="AE31" s="19" t="n"/>
      <c r="AF31" s="19" t="n"/>
      <c r="AG31" s="30">
        <f>IF(OR(AE31="",AF31=""),"",INDEX(RiskGrid,6-VALUE(LEFT(AE31,1)),VALUE(LEFT(AF31,1))))</f>
        <v/>
      </c>
      <c r="AH31" s="30">
        <f>IF(AG31="","",IF(AG31&gt;=BandVH,"Very High",IF(AG31&gt;=BandHigh,"High",IF(AG31&gt;=BandMed,"Medium","Low"))))</f>
        <v/>
      </c>
      <c r="AI31" s="4" t="n"/>
      <c r="AJ31" s="4" t="n"/>
    </row>
    <row r="32">
      <c r="A32" s="30">
        <f>IF(B32="","",COUNTIF(B$14:B32,"?*"))</f>
        <v/>
      </c>
      <c r="B32" s="4" t="n"/>
      <c r="C32" s="19" t="n"/>
      <c r="D32" s="5">
        <f>IF(OR(B32="",C32=""),"",UPPER(LEFT(C32,1))&amp;LOWER(MID(C32,2,30))&amp;" "&amp;LOWER(LEFT(B32,1))&amp;MID(B32,2,200))</f>
        <v/>
      </c>
      <c r="E32" s="4" t="n"/>
      <c r="F32" s="4" t="n"/>
      <c r="G32" s="4" t="n"/>
      <c r="H32" s="4" t="n"/>
      <c r="I32" s="4" t="n"/>
      <c r="J32" s="4" t="n"/>
      <c r="K32" s="5">
        <f>_xlfn.TEXTJOIN(CHAR(10),TRUE,IF(E32="","","• "&amp;E32),IF(F32="","","• "&amp;F32),IF(G32="","","• "&amp;G32),IF(H32="","","• "&amp;H32),IF(I32="","","• "&amp;I32),IF(J32="","","• "&amp;J32))</f>
        <v/>
      </c>
      <c r="L32" s="4" t="n"/>
      <c r="M32" s="19" t="n"/>
      <c r="N32" s="19" t="n"/>
      <c r="O32" s="30">
        <f>IF(OR(M32="",N32=""),"",INDEX(RiskGrid,6-VALUE(LEFT(M32,1)),VALUE(LEFT(N32,1))))</f>
        <v/>
      </c>
      <c r="P32" s="30">
        <f>IF(O32="","",IF(O32&gt;=BandVH,"Very High",IF(O32&gt;=BandHigh,"High",IF(O32&gt;=BandMed,"Medium","Low"))))</f>
        <v/>
      </c>
      <c r="Q32" s="4" t="n"/>
      <c r="R32" s="19" t="n"/>
      <c r="S32" s="4" t="n"/>
      <c r="T32" s="19" t="n"/>
      <c r="U32" s="4" t="n"/>
      <c r="V32" s="19" t="n"/>
      <c r="W32" s="4" t="n"/>
      <c r="X32" s="19" t="n"/>
      <c r="Y32" s="4" t="n"/>
      <c r="Z32" s="19" t="n"/>
      <c r="AA32" s="4" t="n"/>
      <c r="AB32" s="19" t="n"/>
      <c r="AC32" s="5">
        <f>_xlfn.TEXTJOIN(CHAR(10),TRUE,IF(Q32="","","• "&amp;Q32&amp;IF(R32="Yes","  [IPL]","")),IF(S32="","","• "&amp;S32&amp;IF(T32="Yes","  [IPL]","")),IF(U32="","","• "&amp;U32&amp;IF(V32="Yes","  [IPL]","")),IF(W32="","","• "&amp;W32&amp;IF(X32="Yes","  [IPL]","")),IF(Y32="","","• "&amp;Y32&amp;IF(Z32="Yes","  [IPL]","")),IF(AA32="","","• "&amp;AA32&amp;IF(AB32="Yes","  [IPL]","")))</f>
        <v/>
      </c>
      <c r="AD32" s="30">
        <f>IF(AC32="","",COUNTIF(Q32:AB32,"Yes"))</f>
        <v/>
      </c>
      <c r="AE32" s="19" t="n"/>
      <c r="AF32" s="19" t="n"/>
      <c r="AG32" s="30">
        <f>IF(OR(AE32="",AF32=""),"",INDEX(RiskGrid,6-VALUE(LEFT(AE32,1)),VALUE(LEFT(AF32,1))))</f>
        <v/>
      </c>
      <c r="AH32" s="30">
        <f>IF(AG32="","",IF(AG32&gt;=BandVH,"Very High",IF(AG32&gt;=BandHigh,"High",IF(AG32&gt;=BandMed,"Medium","Low"))))</f>
        <v/>
      </c>
      <c r="AI32" s="4" t="n"/>
      <c r="AJ32" s="4" t="n"/>
    </row>
    <row r="33">
      <c r="A33" s="30">
        <f>IF(B33="","",COUNTIF(B$14:B33,"?*"))</f>
        <v/>
      </c>
      <c r="B33" s="4" t="n"/>
      <c r="C33" s="19" t="n"/>
      <c r="D33" s="5">
        <f>IF(OR(B33="",C33=""),"",UPPER(LEFT(C33,1))&amp;LOWER(MID(C33,2,30))&amp;" "&amp;LOWER(LEFT(B33,1))&amp;MID(B33,2,200))</f>
        <v/>
      </c>
      <c r="E33" s="4" t="n"/>
      <c r="F33" s="4" t="n"/>
      <c r="G33" s="4" t="n"/>
      <c r="H33" s="4" t="n"/>
      <c r="I33" s="4" t="n"/>
      <c r="J33" s="4" t="n"/>
      <c r="K33" s="5">
        <f>_xlfn.TEXTJOIN(CHAR(10),TRUE,IF(E33="","","• "&amp;E33),IF(F33="","","• "&amp;F33),IF(G33="","","• "&amp;G33),IF(H33="","","• "&amp;H33),IF(I33="","","• "&amp;I33),IF(J33="","","• "&amp;J33))</f>
        <v/>
      </c>
      <c r="L33" s="4" t="n"/>
      <c r="M33" s="19" t="n"/>
      <c r="N33" s="19" t="n"/>
      <c r="O33" s="30">
        <f>IF(OR(M33="",N33=""),"",INDEX(RiskGrid,6-VALUE(LEFT(M33,1)),VALUE(LEFT(N33,1))))</f>
        <v/>
      </c>
      <c r="P33" s="30">
        <f>IF(O33="","",IF(O33&gt;=BandVH,"Very High",IF(O33&gt;=BandHigh,"High",IF(O33&gt;=BandMed,"Medium","Low"))))</f>
        <v/>
      </c>
      <c r="Q33" s="4" t="n"/>
      <c r="R33" s="19" t="n"/>
      <c r="S33" s="4" t="n"/>
      <c r="T33" s="19" t="n"/>
      <c r="U33" s="4" t="n"/>
      <c r="V33" s="19" t="n"/>
      <c r="W33" s="4" t="n"/>
      <c r="X33" s="19" t="n"/>
      <c r="Y33" s="4" t="n"/>
      <c r="Z33" s="19" t="n"/>
      <c r="AA33" s="4" t="n"/>
      <c r="AB33" s="19" t="n"/>
      <c r="AC33" s="5">
        <f>_xlfn.TEXTJOIN(CHAR(10),TRUE,IF(Q33="","","• "&amp;Q33&amp;IF(R33="Yes","  [IPL]","")),IF(S33="","","• "&amp;S33&amp;IF(T33="Yes","  [IPL]","")),IF(U33="","","• "&amp;U33&amp;IF(V33="Yes","  [IPL]","")),IF(W33="","","• "&amp;W33&amp;IF(X33="Yes","  [IPL]","")),IF(Y33="","","• "&amp;Y33&amp;IF(Z33="Yes","  [IPL]","")),IF(AA33="","","• "&amp;AA33&amp;IF(AB33="Yes","  [IPL]","")))</f>
        <v/>
      </c>
      <c r="AD33" s="30">
        <f>IF(AC33="","",COUNTIF(Q33:AB33,"Yes"))</f>
        <v/>
      </c>
      <c r="AE33" s="19" t="n"/>
      <c r="AF33" s="19" t="n"/>
      <c r="AG33" s="30">
        <f>IF(OR(AE33="",AF33=""),"",INDEX(RiskGrid,6-VALUE(LEFT(AE33,1)),VALUE(LEFT(AF33,1))))</f>
        <v/>
      </c>
      <c r="AH33" s="30">
        <f>IF(AG33="","",IF(AG33&gt;=BandVH,"Very High",IF(AG33&gt;=BandHigh,"High",IF(AG33&gt;=BandMed,"Medium","Low"))))</f>
        <v/>
      </c>
      <c r="AI33" s="4" t="n"/>
      <c r="AJ33" s="4" t="n"/>
    </row>
    <row r="34">
      <c r="A34" s="30">
        <f>IF(B34="","",COUNTIF(B$14:B34,"?*"))</f>
        <v/>
      </c>
      <c r="B34" s="4" t="n"/>
      <c r="C34" s="19" t="n"/>
      <c r="D34" s="5">
        <f>IF(OR(B34="",C34=""),"",UPPER(LEFT(C34,1))&amp;LOWER(MID(C34,2,30))&amp;" "&amp;LOWER(LEFT(B34,1))&amp;MID(B34,2,200))</f>
        <v/>
      </c>
      <c r="E34" s="4" t="n"/>
      <c r="F34" s="4" t="n"/>
      <c r="G34" s="4" t="n"/>
      <c r="H34" s="4" t="n"/>
      <c r="I34" s="4" t="n"/>
      <c r="J34" s="4" t="n"/>
      <c r="K34" s="5">
        <f>_xlfn.TEXTJOIN(CHAR(10),TRUE,IF(E34="","","• "&amp;E34),IF(F34="","","• "&amp;F34),IF(G34="","","• "&amp;G34),IF(H34="","","• "&amp;H34),IF(I34="","","• "&amp;I34),IF(J34="","","• "&amp;J34))</f>
        <v/>
      </c>
      <c r="L34" s="4" t="n"/>
      <c r="M34" s="19" t="n"/>
      <c r="N34" s="19" t="n"/>
      <c r="O34" s="30">
        <f>IF(OR(M34="",N34=""),"",INDEX(RiskGrid,6-VALUE(LEFT(M34,1)),VALUE(LEFT(N34,1))))</f>
        <v/>
      </c>
      <c r="P34" s="30">
        <f>IF(O34="","",IF(O34&gt;=BandVH,"Very High",IF(O34&gt;=BandHigh,"High",IF(O34&gt;=BandMed,"Medium","Low"))))</f>
        <v/>
      </c>
      <c r="Q34" s="4" t="n"/>
      <c r="R34" s="19" t="n"/>
      <c r="S34" s="4" t="n"/>
      <c r="T34" s="19" t="n"/>
      <c r="U34" s="4" t="n"/>
      <c r="V34" s="19" t="n"/>
      <c r="W34" s="4" t="n"/>
      <c r="X34" s="19" t="n"/>
      <c r="Y34" s="4" t="n"/>
      <c r="Z34" s="19" t="n"/>
      <c r="AA34" s="4" t="n"/>
      <c r="AB34" s="19" t="n"/>
      <c r="AC34" s="5">
        <f>_xlfn.TEXTJOIN(CHAR(10),TRUE,IF(Q34="","","• "&amp;Q34&amp;IF(R34="Yes","  [IPL]","")),IF(S34="","","• "&amp;S34&amp;IF(T34="Yes","  [IPL]","")),IF(U34="","","• "&amp;U34&amp;IF(V34="Yes","  [IPL]","")),IF(W34="","","• "&amp;W34&amp;IF(X34="Yes","  [IPL]","")),IF(Y34="","","• "&amp;Y34&amp;IF(Z34="Yes","  [IPL]","")),IF(AA34="","","• "&amp;AA34&amp;IF(AB34="Yes","  [IPL]","")))</f>
        <v/>
      </c>
      <c r="AD34" s="30">
        <f>IF(AC34="","",COUNTIF(Q34:AB34,"Yes"))</f>
        <v/>
      </c>
      <c r="AE34" s="19" t="n"/>
      <c r="AF34" s="19" t="n"/>
      <c r="AG34" s="30">
        <f>IF(OR(AE34="",AF34=""),"",INDEX(RiskGrid,6-VALUE(LEFT(AE34,1)),VALUE(LEFT(AF34,1))))</f>
        <v/>
      </c>
      <c r="AH34" s="30">
        <f>IF(AG34="","",IF(AG34&gt;=BandVH,"Very High",IF(AG34&gt;=BandHigh,"High",IF(AG34&gt;=BandMed,"Medium","Low"))))</f>
        <v/>
      </c>
      <c r="AI34" s="4" t="n"/>
      <c r="AJ34" s="4" t="n"/>
    </row>
    <row r="35">
      <c r="A35" s="30">
        <f>IF(B35="","",COUNTIF(B$14:B35,"?*"))</f>
        <v/>
      </c>
      <c r="B35" s="4" t="n"/>
      <c r="C35" s="19" t="n"/>
      <c r="D35" s="5">
        <f>IF(OR(B35="",C35=""),"",UPPER(LEFT(C35,1))&amp;LOWER(MID(C35,2,30))&amp;" "&amp;LOWER(LEFT(B35,1))&amp;MID(B35,2,200))</f>
        <v/>
      </c>
      <c r="E35" s="4" t="n"/>
      <c r="F35" s="4" t="n"/>
      <c r="G35" s="4" t="n"/>
      <c r="H35" s="4" t="n"/>
      <c r="I35" s="4" t="n"/>
      <c r="J35" s="4" t="n"/>
      <c r="K35" s="5">
        <f>_xlfn.TEXTJOIN(CHAR(10),TRUE,IF(E35="","","• "&amp;E35),IF(F35="","","• "&amp;F35),IF(G35="","","• "&amp;G35),IF(H35="","","• "&amp;H35),IF(I35="","","• "&amp;I35),IF(J35="","","• "&amp;J35))</f>
        <v/>
      </c>
      <c r="L35" s="4" t="n"/>
      <c r="M35" s="19" t="n"/>
      <c r="N35" s="19" t="n"/>
      <c r="O35" s="30">
        <f>IF(OR(M35="",N35=""),"",INDEX(RiskGrid,6-VALUE(LEFT(M35,1)),VALUE(LEFT(N35,1))))</f>
        <v/>
      </c>
      <c r="P35" s="30">
        <f>IF(O35="","",IF(O35&gt;=BandVH,"Very High",IF(O35&gt;=BandHigh,"High",IF(O35&gt;=BandMed,"Medium","Low"))))</f>
        <v/>
      </c>
      <c r="Q35" s="4" t="n"/>
      <c r="R35" s="19" t="n"/>
      <c r="S35" s="4" t="n"/>
      <c r="T35" s="19" t="n"/>
      <c r="U35" s="4" t="n"/>
      <c r="V35" s="19" t="n"/>
      <c r="W35" s="4" t="n"/>
      <c r="X35" s="19" t="n"/>
      <c r="Y35" s="4" t="n"/>
      <c r="Z35" s="19" t="n"/>
      <c r="AA35" s="4" t="n"/>
      <c r="AB35" s="19" t="n"/>
      <c r="AC35" s="5">
        <f>_xlfn.TEXTJOIN(CHAR(10),TRUE,IF(Q35="","","• "&amp;Q35&amp;IF(R35="Yes","  [IPL]","")),IF(S35="","","• "&amp;S35&amp;IF(T35="Yes","  [IPL]","")),IF(U35="","","• "&amp;U35&amp;IF(V35="Yes","  [IPL]","")),IF(W35="","","• "&amp;W35&amp;IF(X35="Yes","  [IPL]","")),IF(Y35="","","• "&amp;Y35&amp;IF(Z35="Yes","  [IPL]","")),IF(AA35="","","• "&amp;AA35&amp;IF(AB35="Yes","  [IPL]","")))</f>
        <v/>
      </c>
      <c r="AD35" s="30">
        <f>IF(AC35="","",COUNTIF(Q35:AB35,"Yes"))</f>
        <v/>
      </c>
      <c r="AE35" s="19" t="n"/>
      <c r="AF35" s="19" t="n"/>
      <c r="AG35" s="30">
        <f>IF(OR(AE35="",AF35=""),"",INDEX(RiskGrid,6-VALUE(LEFT(AE35,1)),VALUE(LEFT(AF35,1))))</f>
        <v/>
      </c>
      <c r="AH35" s="30">
        <f>IF(AG35="","",IF(AG35&gt;=BandVH,"Very High",IF(AG35&gt;=BandHigh,"High",IF(AG35&gt;=BandMed,"Medium","Low"))))</f>
        <v/>
      </c>
      <c r="AI35" s="4" t="n"/>
      <c r="AJ35" s="4" t="n"/>
    </row>
    <row r="36">
      <c r="A36" s="30">
        <f>IF(B36="","",COUNTIF(B$14:B36,"?*"))</f>
        <v/>
      </c>
      <c r="B36" s="4" t="n"/>
      <c r="C36" s="19" t="n"/>
      <c r="D36" s="5">
        <f>IF(OR(B36="",C36=""),"",UPPER(LEFT(C36,1))&amp;LOWER(MID(C36,2,30))&amp;" "&amp;LOWER(LEFT(B36,1))&amp;MID(B36,2,200))</f>
        <v/>
      </c>
      <c r="E36" s="4" t="n"/>
      <c r="F36" s="4" t="n"/>
      <c r="G36" s="4" t="n"/>
      <c r="H36" s="4" t="n"/>
      <c r="I36" s="4" t="n"/>
      <c r="J36" s="4" t="n"/>
      <c r="K36" s="5">
        <f>_xlfn.TEXTJOIN(CHAR(10),TRUE,IF(E36="","","• "&amp;E36),IF(F36="","","• "&amp;F36),IF(G36="","","• "&amp;G36),IF(H36="","","• "&amp;H36),IF(I36="","","• "&amp;I36),IF(J36="","","• "&amp;J36))</f>
        <v/>
      </c>
      <c r="L36" s="4" t="n"/>
      <c r="M36" s="19" t="n"/>
      <c r="N36" s="19" t="n"/>
      <c r="O36" s="30">
        <f>IF(OR(M36="",N36=""),"",INDEX(RiskGrid,6-VALUE(LEFT(M36,1)),VALUE(LEFT(N36,1))))</f>
        <v/>
      </c>
      <c r="P36" s="30">
        <f>IF(O36="","",IF(O36&gt;=BandVH,"Very High",IF(O36&gt;=BandHigh,"High",IF(O36&gt;=BandMed,"Medium","Low"))))</f>
        <v/>
      </c>
      <c r="Q36" s="4" t="n"/>
      <c r="R36" s="19" t="n"/>
      <c r="S36" s="4" t="n"/>
      <c r="T36" s="19" t="n"/>
      <c r="U36" s="4" t="n"/>
      <c r="V36" s="19" t="n"/>
      <c r="W36" s="4" t="n"/>
      <c r="X36" s="19" t="n"/>
      <c r="Y36" s="4" t="n"/>
      <c r="Z36" s="19" t="n"/>
      <c r="AA36" s="4" t="n"/>
      <c r="AB36" s="19" t="n"/>
      <c r="AC36" s="5">
        <f>_xlfn.TEXTJOIN(CHAR(10),TRUE,IF(Q36="","","• "&amp;Q36&amp;IF(R36="Yes","  [IPL]","")),IF(S36="","","• "&amp;S36&amp;IF(T36="Yes","  [IPL]","")),IF(U36="","","• "&amp;U36&amp;IF(V36="Yes","  [IPL]","")),IF(W36="","","• "&amp;W36&amp;IF(X36="Yes","  [IPL]","")),IF(Y36="","","• "&amp;Y36&amp;IF(Z36="Yes","  [IPL]","")),IF(AA36="","","• "&amp;AA36&amp;IF(AB36="Yes","  [IPL]","")))</f>
        <v/>
      </c>
      <c r="AD36" s="30">
        <f>IF(AC36="","",COUNTIF(Q36:AB36,"Yes"))</f>
        <v/>
      </c>
      <c r="AE36" s="19" t="n"/>
      <c r="AF36" s="19" t="n"/>
      <c r="AG36" s="30">
        <f>IF(OR(AE36="",AF36=""),"",INDEX(RiskGrid,6-VALUE(LEFT(AE36,1)),VALUE(LEFT(AF36,1))))</f>
        <v/>
      </c>
      <c r="AH36" s="30">
        <f>IF(AG36="","",IF(AG36&gt;=BandVH,"Very High",IF(AG36&gt;=BandHigh,"High",IF(AG36&gt;=BandMed,"Medium","Low"))))</f>
        <v/>
      </c>
      <c r="AI36" s="4" t="n"/>
      <c r="AJ36" s="4" t="n"/>
    </row>
    <row r="37">
      <c r="A37" s="30">
        <f>IF(B37="","",COUNTIF(B$14:B37,"?*"))</f>
        <v/>
      </c>
      <c r="B37" s="4" t="n"/>
      <c r="C37" s="19" t="n"/>
      <c r="D37" s="5">
        <f>IF(OR(B37="",C37=""),"",UPPER(LEFT(C37,1))&amp;LOWER(MID(C37,2,30))&amp;" "&amp;LOWER(LEFT(B37,1))&amp;MID(B37,2,200))</f>
        <v/>
      </c>
      <c r="E37" s="4" t="n"/>
      <c r="F37" s="4" t="n"/>
      <c r="G37" s="4" t="n"/>
      <c r="H37" s="4" t="n"/>
      <c r="I37" s="4" t="n"/>
      <c r="J37" s="4" t="n"/>
      <c r="K37" s="5">
        <f>_xlfn.TEXTJOIN(CHAR(10),TRUE,IF(E37="","","• "&amp;E37),IF(F37="","","• "&amp;F37),IF(G37="","","• "&amp;G37),IF(H37="","","• "&amp;H37),IF(I37="","","• "&amp;I37),IF(J37="","","• "&amp;J37))</f>
        <v/>
      </c>
      <c r="L37" s="4" t="n"/>
      <c r="M37" s="19" t="n"/>
      <c r="N37" s="19" t="n"/>
      <c r="O37" s="30">
        <f>IF(OR(M37="",N37=""),"",INDEX(RiskGrid,6-VALUE(LEFT(M37,1)),VALUE(LEFT(N37,1))))</f>
        <v/>
      </c>
      <c r="P37" s="30">
        <f>IF(O37="","",IF(O37&gt;=BandVH,"Very High",IF(O37&gt;=BandHigh,"High",IF(O37&gt;=BandMed,"Medium","Low"))))</f>
        <v/>
      </c>
      <c r="Q37" s="4" t="n"/>
      <c r="R37" s="19" t="n"/>
      <c r="S37" s="4" t="n"/>
      <c r="T37" s="19" t="n"/>
      <c r="U37" s="4" t="n"/>
      <c r="V37" s="19" t="n"/>
      <c r="W37" s="4" t="n"/>
      <c r="X37" s="19" t="n"/>
      <c r="Y37" s="4" t="n"/>
      <c r="Z37" s="19" t="n"/>
      <c r="AA37" s="4" t="n"/>
      <c r="AB37" s="19" t="n"/>
      <c r="AC37" s="5">
        <f>_xlfn.TEXTJOIN(CHAR(10),TRUE,IF(Q37="","","• "&amp;Q37&amp;IF(R37="Yes","  [IPL]","")),IF(S37="","","• "&amp;S37&amp;IF(T37="Yes","  [IPL]","")),IF(U37="","","• "&amp;U37&amp;IF(V37="Yes","  [IPL]","")),IF(W37="","","• "&amp;W37&amp;IF(X37="Yes","  [IPL]","")),IF(Y37="","","• "&amp;Y37&amp;IF(Z37="Yes","  [IPL]","")),IF(AA37="","","• "&amp;AA37&amp;IF(AB37="Yes","  [IPL]","")))</f>
        <v/>
      </c>
      <c r="AD37" s="30">
        <f>IF(AC37="","",COUNTIF(Q37:AB37,"Yes"))</f>
        <v/>
      </c>
      <c r="AE37" s="19" t="n"/>
      <c r="AF37" s="19" t="n"/>
      <c r="AG37" s="30">
        <f>IF(OR(AE37="",AF37=""),"",INDEX(RiskGrid,6-VALUE(LEFT(AE37,1)),VALUE(LEFT(AF37,1))))</f>
        <v/>
      </c>
      <c r="AH37" s="30">
        <f>IF(AG37="","",IF(AG37&gt;=BandVH,"Very High",IF(AG37&gt;=BandHigh,"High",IF(AG37&gt;=BandMed,"Medium","Low"))))</f>
        <v/>
      </c>
      <c r="AI37" s="4" t="n"/>
      <c r="AJ37" s="4" t="n"/>
    </row>
    <row r="38">
      <c r="A38" s="30">
        <f>IF(B38="","",COUNTIF(B$14:B38,"?*"))</f>
        <v/>
      </c>
      <c r="B38" s="4" t="n"/>
      <c r="C38" s="19" t="n"/>
      <c r="D38" s="5">
        <f>IF(OR(B38="",C38=""),"",UPPER(LEFT(C38,1))&amp;LOWER(MID(C38,2,30))&amp;" "&amp;LOWER(LEFT(B38,1))&amp;MID(B38,2,200))</f>
        <v/>
      </c>
      <c r="E38" s="4" t="n"/>
      <c r="F38" s="4" t="n"/>
      <c r="G38" s="4" t="n"/>
      <c r="H38" s="4" t="n"/>
      <c r="I38" s="4" t="n"/>
      <c r="J38" s="4" t="n"/>
      <c r="K38" s="5">
        <f>_xlfn.TEXTJOIN(CHAR(10),TRUE,IF(E38="","","• "&amp;E38),IF(F38="","","• "&amp;F38),IF(G38="","","• "&amp;G38),IF(H38="","","• "&amp;H38),IF(I38="","","• "&amp;I38),IF(J38="","","• "&amp;J38))</f>
        <v/>
      </c>
      <c r="L38" s="4" t="n"/>
      <c r="M38" s="19" t="n"/>
      <c r="N38" s="19" t="n"/>
      <c r="O38" s="30">
        <f>IF(OR(M38="",N38=""),"",INDEX(RiskGrid,6-VALUE(LEFT(M38,1)),VALUE(LEFT(N38,1))))</f>
        <v/>
      </c>
      <c r="P38" s="30">
        <f>IF(O38="","",IF(O38&gt;=BandVH,"Very High",IF(O38&gt;=BandHigh,"High",IF(O38&gt;=BandMed,"Medium","Low"))))</f>
        <v/>
      </c>
      <c r="Q38" s="4" t="n"/>
      <c r="R38" s="19" t="n"/>
      <c r="S38" s="4" t="n"/>
      <c r="T38" s="19" t="n"/>
      <c r="U38" s="4" t="n"/>
      <c r="V38" s="19" t="n"/>
      <c r="W38" s="4" t="n"/>
      <c r="X38" s="19" t="n"/>
      <c r="Y38" s="4" t="n"/>
      <c r="Z38" s="19" t="n"/>
      <c r="AA38" s="4" t="n"/>
      <c r="AB38" s="19" t="n"/>
      <c r="AC38" s="5">
        <f>_xlfn.TEXTJOIN(CHAR(10),TRUE,IF(Q38="","","• "&amp;Q38&amp;IF(R38="Yes","  [IPL]","")),IF(S38="","","• "&amp;S38&amp;IF(T38="Yes","  [IPL]","")),IF(U38="","","• "&amp;U38&amp;IF(V38="Yes","  [IPL]","")),IF(W38="","","• "&amp;W38&amp;IF(X38="Yes","  [IPL]","")),IF(Y38="","","• "&amp;Y38&amp;IF(Z38="Yes","  [IPL]","")),IF(AA38="","","• "&amp;AA38&amp;IF(AB38="Yes","  [IPL]","")))</f>
        <v/>
      </c>
      <c r="AD38" s="30">
        <f>IF(AC38="","",COUNTIF(Q38:AB38,"Yes"))</f>
        <v/>
      </c>
      <c r="AE38" s="19" t="n"/>
      <c r="AF38" s="19" t="n"/>
      <c r="AG38" s="30">
        <f>IF(OR(AE38="",AF38=""),"",INDEX(RiskGrid,6-VALUE(LEFT(AE38,1)),VALUE(LEFT(AF38,1))))</f>
        <v/>
      </c>
      <c r="AH38" s="30">
        <f>IF(AG38="","",IF(AG38&gt;=BandVH,"Very High",IF(AG38&gt;=BandHigh,"High",IF(AG38&gt;=BandMed,"Medium","Low"))))</f>
        <v/>
      </c>
      <c r="AI38" s="4" t="n"/>
      <c r="AJ38" s="4" t="n"/>
    </row>
    <row r="39">
      <c r="A39" s="30">
        <f>IF(B39="","",COUNTIF(B$14:B39,"?*"))</f>
        <v/>
      </c>
      <c r="B39" s="4" t="n"/>
      <c r="C39" s="19" t="n"/>
      <c r="D39" s="5">
        <f>IF(OR(B39="",C39=""),"",UPPER(LEFT(C39,1))&amp;LOWER(MID(C39,2,30))&amp;" "&amp;LOWER(LEFT(B39,1))&amp;MID(B39,2,200))</f>
        <v/>
      </c>
      <c r="E39" s="4" t="n"/>
      <c r="F39" s="4" t="n"/>
      <c r="G39" s="4" t="n"/>
      <c r="H39" s="4" t="n"/>
      <c r="I39" s="4" t="n"/>
      <c r="J39" s="4" t="n"/>
      <c r="K39" s="5">
        <f>_xlfn.TEXTJOIN(CHAR(10),TRUE,IF(E39="","","• "&amp;E39),IF(F39="","","• "&amp;F39),IF(G39="","","• "&amp;G39),IF(H39="","","• "&amp;H39),IF(I39="","","• "&amp;I39),IF(J39="","","• "&amp;J39))</f>
        <v/>
      </c>
      <c r="L39" s="4" t="n"/>
      <c r="M39" s="19" t="n"/>
      <c r="N39" s="19" t="n"/>
      <c r="O39" s="30">
        <f>IF(OR(M39="",N39=""),"",INDEX(RiskGrid,6-VALUE(LEFT(M39,1)),VALUE(LEFT(N39,1))))</f>
        <v/>
      </c>
      <c r="P39" s="30">
        <f>IF(O39="","",IF(O39&gt;=BandVH,"Very High",IF(O39&gt;=BandHigh,"High",IF(O39&gt;=BandMed,"Medium","Low"))))</f>
        <v/>
      </c>
      <c r="Q39" s="4" t="n"/>
      <c r="R39" s="19" t="n"/>
      <c r="S39" s="4" t="n"/>
      <c r="T39" s="19" t="n"/>
      <c r="U39" s="4" t="n"/>
      <c r="V39" s="19" t="n"/>
      <c r="W39" s="4" t="n"/>
      <c r="X39" s="19" t="n"/>
      <c r="Y39" s="4" t="n"/>
      <c r="Z39" s="19" t="n"/>
      <c r="AA39" s="4" t="n"/>
      <c r="AB39" s="19" t="n"/>
      <c r="AC39" s="5">
        <f>_xlfn.TEXTJOIN(CHAR(10),TRUE,IF(Q39="","","• "&amp;Q39&amp;IF(R39="Yes","  [IPL]","")),IF(S39="","","• "&amp;S39&amp;IF(T39="Yes","  [IPL]","")),IF(U39="","","• "&amp;U39&amp;IF(V39="Yes","  [IPL]","")),IF(W39="","","• "&amp;W39&amp;IF(X39="Yes","  [IPL]","")),IF(Y39="","","• "&amp;Y39&amp;IF(Z39="Yes","  [IPL]","")),IF(AA39="","","• "&amp;AA39&amp;IF(AB39="Yes","  [IPL]","")))</f>
        <v/>
      </c>
      <c r="AD39" s="30">
        <f>IF(AC39="","",COUNTIF(Q39:AB39,"Yes"))</f>
        <v/>
      </c>
      <c r="AE39" s="19" t="n"/>
      <c r="AF39" s="19" t="n"/>
      <c r="AG39" s="30">
        <f>IF(OR(AE39="",AF39=""),"",INDEX(RiskGrid,6-VALUE(LEFT(AE39,1)),VALUE(LEFT(AF39,1))))</f>
        <v/>
      </c>
      <c r="AH39" s="30">
        <f>IF(AG39="","",IF(AG39&gt;=BandVH,"Very High",IF(AG39&gt;=BandHigh,"High",IF(AG39&gt;=BandMed,"Medium","Low"))))</f>
        <v/>
      </c>
      <c r="AI39" s="4" t="n"/>
      <c r="AJ39" s="4" t="n"/>
    </row>
    <row r="40">
      <c r="A40" s="30">
        <f>IF(B40="","",COUNTIF(B$14:B40,"?*"))</f>
        <v/>
      </c>
      <c r="B40" s="4" t="n"/>
      <c r="C40" s="19" t="n"/>
      <c r="D40" s="5">
        <f>IF(OR(B40="",C40=""),"",UPPER(LEFT(C40,1))&amp;LOWER(MID(C40,2,30))&amp;" "&amp;LOWER(LEFT(B40,1))&amp;MID(B40,2,200))</f>
        <v/>
      </c>
      <c r="E40" s="4" t="n"/>
      <c r="F40" s="4" t="n"/>
      <c r="G40" s="4" t="n"/>
      <c r="H40" s="4" t="n"/>
      <c r="I40" s="4" t="n"/>
      <c r="J40" s="4" t="n"/>
      <c r="K40" s="5">
        <f>_xlfn.TEXTJOIN(CHAR(10),TRUE,IF(E40="","","• "&amp;E40),IF(F40="","","• "&amp;F40),IF(G40="","","• "&amp;G40),IF(H40="","","• "&amp;H40),IF(I40="","","• "&amp;I40),IF(J40="","","• "&amp;J40))</f>
        <v/>
      </c>
      <c r="L40" s="4" t="n"/>
      <c r="M40" s="19" t="n"/>
      <c r="N40" s="19" t="n"/>
      <c r="O40" s="30">
        <f>IF(OR(M40="",N40=""),"",INDEX(RiskGrid,6-VALUE(LEFT(M40,1)),VALUE(LEFT(N40,1))))</f>
        <v/>
      </c>
      <c r="P40" s="30">
        <f>IF(O40="","",IF(O40&gt;=BandVH,"Very High",IF(O40&gt;=BandHigh,"High",IF(O40&gt;=BandMed,"Medium","Low"))))</f>
        <v/>
      </c>
      <c r="Q40" s="4" t="n"/>
      <c r="R40" s="19" t="n"/>
      <c r="S40" s="4" t="n"/>
      <c r="T40" s="19" t="n"/>
      <c r="U40" s="4" t="n"/>
      <c r="V40" s="19" t="n"/>
      <c r="W40" s="4" t="n"/>
      <c r="X40" s="19" t="n"/>
      <c r="Y40" s="4" t="n"/>
      <c r="Z40" s="19" t="n"/>
      <c r="AA40" s="4" t="n"/>
      <c r="AB40" s="19" t="n"/>
      <c r="AC40" s="5">
        <f>_xlfn.TEXTJOIN(CHAR(10),TRUE,IF(Q40="","","• "&amp;Q40&amp;IF(R40="Yes","  [IPL]","")),IF(S40="","","• "&amp;S40&amp;IF(T40="Yes","  [IPL]","")),IF(U40="","","• "&amp;U40&amp;IF(V40="Yes","  [IPL]","")),IF(W40="","","• "&amp;W40&amp;IF(X40="Yes","  [IPL]","")),IF(Y40="","","• "&amp;Y40&amp;IF(Z40="Yes","  [IPL]","")),IF(AA40="","","• "&amp;AA40&amp;IF(AB40="Yes","  [IPL]","")))</f>
        <v/>
      </c>
      <c r="AD40" s="30">
        <f>IF(AC40="","",COUNTIF(Q40:AB40,"Yes"))</f>
        <v/>
      </c>
      <c r="AE40" s="19" t="n"/>
      <c r="AF40" s="19" t="n"/>
      <c r="AG40" s="30">
        <f>IF(OR(AE40="",AF40=""),"",INDEX(RiskGrid,6-VALUE(LEFT(AE40,1)),VALUE(LEFT(AF40,1))))</f>
        <v/>
      </c>
      <c r="AH40" s="30">
        <f>IF(AG40="","",IF(AG40&gt;=BandVH,"Very High",IF(AG40&gt;=BandHigh,"High",IF(AG40&gt;=BandMed,"Medium","Low"))))</f>
        <v/>
      </c>
      <c r="AI40" s="4" t="n"/>
      <c r="AJ40" s="4" t="n"/>
    </row>
    <row r="41">
      <c r="A41" s="30">
        <f>IF(B41="","",COUNTIF(B$14:B41,"?*"))</f>
        <v/>
      </c>
      <c r="B41" s="4" t="n"/>
      <c r="C41" s="19" t="n"/>
      <c r="D41" s="5">
        <f>IF(OR(B41="",C41=""),"",UPPER(LEFT(C41,1))&amp;LOWER(MID(C41,2,30))&amp;" "&amp;LOWER(LEFT(B41,1))&amp;MID(B41,2,200))</f>
        <v/>
      </c>
      <c r="E41" s="4" t="n"/>
      <c r="F41" s="4" t="n"/>
      <c r="G41" s="4" t="n"/>
      <c r="H41" s="4" t="n"/>
      <c r="I41" s="4" t="n"/>
      <c r="J41" s="4" t="n"/>
      <c r="K41" s="5">
        <f>_xlfn.TEXTJOIN(CHAR(10),TRUE,IF(E41="","","• "&amp;E41),IF(F41="","","• "&amp;F41),IF(G41="","","• "&amp;G41),IF(H41="","","• "&amp;H41),IF(I41="","","• "&amp;I41),IF(J41="","","• "&amp;J41))</f>
        <v/>
      </c>
      <c r="L41" s="4" t="n"/>
      <c r="M41" s="19" t="n"/>
      <c r="N41" s="19" t="n"/>
      <c r="O41" s="30">
        <f>IF(OR(M41="",N41=""),"",INDEX(RiskGrid,6-VALUE(LEFT(M41,1)),VALUE(LEFT(N41,1))))</f>
        <v/>
      </c>
      <c r="P41" s="30">
        <f>IF(O41="","",IF(O41&gt;=BandVH,"Very High",IF(O41&gt;=BandHigh,"High",IF(O41&gt;=BandMed,"Medium","Low"))))</f>
        <v/>
      </c>
      <c r="Q41" s="4" t="n"/>
      <c r="R41" s="19" t="n"/>
      <c r="S41" s="4" t="n"/>
      <c r="T41" s="19" t="n"/>
      <c r="U41" s="4" t="n"/>
      <c r="V41" s="19" t="n"/>
      <c r="W41" s="4" t="n"/>
      <c r="X41" s="19" t="n"/>
      <c r="Y41" s="4" t="n"/>
      <c r="Z41" s="19" t="n"/>
      <c r="AA41" s="4" t="n"/>
      <c r="AB41" s="19" t="n"/>
      <c r="AC41" s="5">
        <f>_xlfn.TEXTJOIN(CHAR(10),TRUE,IF(Q41="","","• "&amp;Q41&amp;IF(R41="Yes","  [IPL]","")),IF(S41="","","• "&amp;S41&amp;IF(T41="Yes","  [IPL]","")),IF(U41="","","• "&amp;U41&amp;IF(V41="Yes","  [IPL]","")),IF(W41="","","• "&amp;W41&amp;IF(X41="Yes","  [IPL]","")),IF(Y41="","","• "&amp;Y41&amp;IF(Z41="Yes","  [IPL]","")),IF(AA41="","","• "&amp;AA41&amp;IF(AB41="Yes","  [IPL]","")))</f>
        <v/>
      </c>
      <c r="AD41" s="30">
        <f>IF(AC41="","",COUNTIF(Q41:AB41,"Yes"))</f>
        <v/>
      </c>
      <c r="AE41" s="19" t="n"/>
      <c r="AF41" s="19" t="n"/>
      <c r="AG41" s="30">
        <f>IF(OR(AE41="",AF41=""),"",INDEX(RiskGrid,6-VALUE(LEFT(AE41,1)),VALUE(LEFT(AF41,1))))</f>
        <v/>
      </c>
      <c r="AH41" s="30">
        <f>IF(AG41="","",IF(AG41&gt;=BandVH,"Very High",IF(AG41&gt;=BandHigh,"High",IF(AG41&gt;=BandMed,"Medium","Low"))))</f>
        <v/>
      </c>
      <c r="AI41" s="4" t="n"/>
      <c r="AJ41" s="4" t="n"/>
    </row>
    <row r="42">
      <c r="A42" s="30">
        <f>IF(B42="","",COUNTIF(B$14:B42,"?*"))</f>
        <v/>
      </c>
      <c r="B42" s="4" t="n"/>
      <c r="C42" s="19" t="n"/>
      <c r="D42" s="5">
        <f>IF(OR(B42="",C42=""),"",UPPER(LEFT(C42,1))&amp;LOWER(MID(C42,2,30))&amp;" "&amp;LOWER(LEFT(B42,1))&amp;MID(B42,2,200))</f>
        <v/>
      </c>
      <c r="E42" s="4" t="n"/>
      <c r="F42" s="4" t="n"/>
      <c r="G42" s="4" t="n"/>
      <c r="H42" s="4" t="n"/>
      <c r="I42" s="4" t="n"/>
      <c r="J42" s="4" t="n"/>
      <c r="K42" s="5">
        <f>_xlfn.TEXTJOIN(CHAR(10),TRUE,IF(E42="","","• "&amp;E42),IF(F42="","","• "&amp;F42),IF(G42="","","• "&amp;G42),IF(H42="","","• "&amp;H42),IF(I42="","","• "&amp;I42),IF(J42="","","• "&amp;J42))</f>
        <v/>
      </c>
      <c r="L42" s="4" t="n"/>
      <c r="M42" s="19" t="n"/>
      <c r="N42" s="19" t="n"/>
      <c r="O42" s="30">
        <f>IF(OR(M42="",N42=""),"",INDEX(RiskGrid,6-VALUE(LEFT(M42,1)),VALUE(LEFT(N42,1))))</f>
        <v/>
      </c>
      <c r="P42" s="30">
        <f>IF(O42="","",IF(O42&gt;=BandVH,"Very High",IF(O42&gt;=BandHigh,"High",IF(O42&gt;=BandMed,"Medium","Low"))))</f>
        <v/>
      </c>
      <c r="Q42" s="4" t="n"/>
      <c r="R42" s="19" t="n"/>
      <c r="S42" s="4" t="n"/>
      <c r="T42" s="19" t="n"/>
      <c r="U42" s="4" t="n"/>
      <c r="V42" s="19" t="n"/>
      <c r="W42" s="4" t="n"/>
      <c r="X42" s="19" t="n"/>
      <c r="Y42" s="4" t="n"/>
      <c r="Z42" s="19" t="n"/>
      <c r="AA42" s="4" t="n"/>
      <c r="AB42" s="19" t="n"/>
      <c r="AC42" s="5">
        <f>_xlfn.TEXTJOIN(CHAR(10),TRUE,IF(Q42="","","• "&amp;Q42&amp;IF(R42="Yes","  [IPL]","")),IF(S42="","","• "&amp;S42&amp;IF(T42="Yes","  [IPL]","")),IF(U42="","","• "&amp;U42&amp;IF(V42="Yes","  [IPL]","")),IF(W42="","","• "&amp;W42&amp;IF(X42="Yes","  [IPL]","")),IF(Y42="","","• "&amp;Y42&amp;IF(Z42="Yes","  [IPL]","")),IF(AA42="","","• "&amp;AA42&amp;IF(AB42="Yes","  [IPL]","")))</f>
        <v/>
      </c>
      <c r="AD42" s="30">
        <f>IF(AC42="","",COUNTIF(Q42:AB42,"Yes"))</f>
        <v/>
      </c>
      <c r="AE42" s="19" t="n"/>
      <c r="AF42" s="19" t="n"/>
      <c r="AG42" s="30">
        <f>IF(OR(AE42="",AF42=""),"",INDEX(RiskGrid,6-VALUE(LEFT(AE42,1)),VALUE(LEFT(AF42,1))))</f>
        <v/>
      </c>
      <c r="AH42" s="30">
        <f>IF(AG42="","",IF(AG42&gt;=BandVH,"Very High",IF(AG42&gt;=BandHigh,"High",IF(AG42&gt;=BandMed,"Medium","Low"))))</f>
        <v/>
      </c>
      <c r="AI42" s="4" t="n"/>
      <c r="AJ42" s="4" t="n"/>
    </row>
    <row r="43">
      <c r="A43" s="30">
        <f>IF(B43="","",COUNTIF(B$14:B43,"?*"))</f>
        <v/>
      </c>
      <c r="B43" s="4" t="n"/>
      <c r="C43" s="19" t="n"/>
      <c r="D43" s="5">
        <f>IF(OR(B43="",C43=""),"",UPPER(LEFT(C43,1))&amp;LOWER(MID(C43,2,30))&amp;" "&amp;LOWER(LEFT(B43,1))&amp;MID(B43,2,200))</f>
        <v/>
      </c>
      <c r="E43" s="4" t="n"/>
      <c r="F43" s="4" t="n"/>
      <c r="G43" s="4" t="n"/>
      <c r="H43" s="4" t="n"/>
      <c r="I43" s="4" t="n"/>
      <c r="J43" s="4" t="n"/>
      <c r="K43" s="5">
        <f>_xlfn.TEXTJOIN(CHAR(10),TRUE,IF(E43="","","• "&amp;E43),IF(F43="","","• "&amp;F43),IF(G43="","","• "&amp;G43),IF(H43="","","• "&amp;H43),IF(I43="","","• "&amp;I43),IF(J43="","","• "&amp;J43))</f>
        <v/>
      </c>
      <c r="L43" s="4" t="n"/>
      <c r="M43" s="19" t="n"/>
      <c r="N43" s="19" t="n"/>
      <c r="O43" s="30">
        <f>IF(OR(M43="",N43=""),"",INDEX(RiskGrid,6-VALUE(LEFT(M43,1)),VALUE(LEFT(N43,1))))</f>
        <v/>
      </c>
      <c r="P43" s="30">
        <f>IF(O43="","",IF(O43&gt;=BandVH,"Very High",IF(O43&gt;=BandHigh,"High",IF(O43&gt;=BandMed,"Medium","Low"))))</f>
        <v/>
      </c>
      <c r="Q43" s="4" t="n"/>
      <c r="R43" s="19" t="n"/>
      <c r="S43" s="4" t="n"/>
      <c r="T43" s="19" t="n"/>
      <c r="U43" s="4" t="n"/>
      <c r="V43" s="19" t="n"/>
      <c r="W43" s="4" t="n"/>
      <c r="X43" s="19" t="n"/>
      <c r="Y43" s="4" t="n"/>
      <c r="Z43" s="19" t="n"/>
      <c r="AA43" s="4" t="n"/>
      <c r="AB43" s="19" t="n"/>
      <c r="AC43" s="5">
        <f>_xlfn.TEXTJOIN(CHAR(10),TRUE,IF(Q43="","","• "&amp;Q43&amp;IF(R43="Yes","  [IPL]","")),IF(S43="","","• "&amp;S43&amp;IF(T43="Yes","  [IPL]","")),IF(U43="","","• "&amp;U43&amp;IF(V43="Yes","  [IPL]","")),IF(W43="","","• "&amp;W43&amp;IF(X43="Yes","  [IPL]","")),IF(Y43="","","• "&amp;Y43&amp;IF(Z43="Yes","  [IPL]","")),IF(AA43="","","• "&amp;AA43&amp;IF(AB43="Yes","  [IPL]","")))</f>
        <v/>
      </c>
      <c r="AD43" s="30">
        <f>IF(AC43="","",COUNTIF(Q43:AB43,"Yes"))</f>
        <v/>
      </c>
      <c r="AE43" s="19" t="n"/>
      <c r="AF43" s="19" t="n"/>
      <c r="AG43" s="30">
        <f>IF(OR(AE43="",AF43=""),"",INDEX(RiskGrid,6-VALUE(LEFT(AE43,1)),VALUE(LEFT(AF43,1))))</f>
        <v/>
      </c>
      <c r="AH43" s="30">
        <f>IF(AG43="","",IF(AG43&gt;=BandVH,"Very High",IF(AG43&gt;=BandHigh,"High",IF(AG43&gt;=BandMed,"Medium","Low"))))</f>
        <v/>
      </c>
      <c r="AI43" s="4" t="n"/>
      <c r="AJ43" s="4" t="n"/>
    </row>
    <row r="44">
      <c r="A44" s="30">
        <f>IF(B44="","",COUNTIF(B$14:B44,"?*"))</f>
        <v/>
      </c>
      <c r="B44" s="4" t="n"/>
      <c r="C44" s="19" t="n"/>
      <c r="D44" s="5">
        <f>IF(OR(B44="",C44=""),"",UPPER(LEFT(C44,1))&amp;LOWER(MID(C44,2,30))&amp;" "&amp;LOWER(LEFT(B44,1))&amp;MID(B44,2,200))</f>
        <v/>
      </c>
      <c r="E44" s="4" t="n"/>
      <c r="F44" s="4" t="n"/>
      <c r="G44" s="4" t="n"/>
      <c r="H44" s="4" t="n"/>
      <c r="I44" s="4" t="n"/>
      <c r="J44" s="4" t="n"/>
      <c r="K44" s="5">
        <f>_xlfn.TEXTJOIN(CHAR(10),TRUE,IF(E44="","","• "&amp;E44),IF(F44="","","• "&amp;F44),IF(G44="","","• "&amp;G44),IF(H44="","","• "&amp;H44),IF(I44="","","• "&amp;I44),IF(J44="","","• "&amp;J44))</f>
        <v/>
      </c>
      <c r="L44" s="4" t="n"/>
      <c r="M44" s="19" t="n"/>
      <c r="N44" s="19" t="n"/>
      <c r="O44" s="30">
        <f>IF(OR(M44="",N44=""),"",INDEX(RiskGrid,6-VALUE(LEFT(M44,1)),VALUE(LEFT(N44,1))))</f>
        <v/>
      </c>
      <c r="P44" s="30">
        <f>IF(O44="","",IF(O44&gt;=BandVH,"Very High",IF(O44&gt;=BandHigh,"High",IF(O44&gt;=BandMed,"Medium","Low"))))</f>
        <v/>
      </c>
      <c r="Q44" s="4" t="n"/>
      <c r="R44" s="19" t="n"/>
      <c r="S44" s="4" t="n"/>
      <c r="T44" s="19" t="n"/>
      <c r="U44" s="4" t="n"/>
      <c r="V44" s="19" t="n"/>
      <c r="W44" s="4" t="n"/>
      <c r="X44" s="19" t="n"/>
      <c r="Y44" s="4" t="n"/>
      <c r="Z44" s="19" t="n"/>
      <c r="AA44" s="4" t="n"/>
      <c r="AB44" s="19" t="n"/>
      <c r="AC44" s="5">
        <f>_xlfn.TEXTJOIN(CHAR(10),TRUE,IF(Q44="","","• "&amp;Q44&amp;IF(R44="Yes","  [IPL]","")),IF(S44="","","• "&amp;S44&amp;IF(T44="Yes","  [IPL]","")),IF(U44="","","• "&amp;U44&amp;IF(V44="Yes","  [IPL]","")),IF(W44="","","• "&amp;W44&amp;IF(X44="Yes","  [IPL]","")),IF(Y44="","","• "&amp;Y44&amp;IF(Z44="Yes","  [IPL]","")),IF(AA44="","","• "&amp;AA44&amp;IF(AB44="Yes","  [IPL]","")))</f>
        <v/>
      </c>
      <c r="AD44" s="30">
        <f>IF(AC44="","",COUNTIF(Q44:AB44,"Yes"))</f>
        <v/>
      </c>
      <c r="AE44" s="19" t="n"/>
      <c r="AF44" s="19" t="n"/>
      <c r="AG44" s="30">
        <f>IF(OR(AE44="",AF44=""),"",INDEX(RiskGrid,6-VALUE(LEFT(AE44,1)),VALUE(LEFT(AF44,1))))</f>
        <v/>
      </c>
      <c r="AH44" s="30">
        <f>IF(AG44="","",IF(AG44&gt;=BandVH,"Very High",IF(AG44&gt;=BandHigh,"High",IF(AG44&gt;=BandMed,"Medium","Low"))))</f>
        <v/>
      </c>
      <c r="AI44" s="4" t="n"/>
      <c r="AJ44" s="4" t="n"/>
    </row>
    <row r="45">
      <c r="A45" s="30">
        <f>IF(B45="","",COUNTIF(B$14:B45,"?*"))</f>
        <v/>
      </c>
      <c r="B45" s="4" t="n"/>
      <c r="C45" s="19" t="n"/>
      <c r="D45" s="5">
        <f>IF(OR(B45="",C45=""),"",UPPER(LEFT(C45,1))&amp;LOWER(MID(C45,2,30))&amp;" "&amp;LOWER(LEFT(B45,1))&amp;MID(B45,2,200))</f>
        <v/>
      </c>
      <c r="E45" s="4" t="n"/>
      <c r="F45" s="4" t="n"/>
      <c r="G45" s="4" t="n"/>
      <c r="H45" s="4" t="n"/>
      <c r="I45" s="4" t="n"/>
      <c r="J45" s="4" t="n"/>
      <c r="K45" s="5">
        <f>_xlfn.TEXTJOIN(CHAR(10),TRUE,IF(E45="","","• "&amp;E45),IF(F45="","","• "&amp;F45),IF(G45="","","• "&amp;G45),IF(H45="","","• "&amp;H45),IF(I45="","","• "&amp;I45),IF(J45="","","• "&amp;J45))</f>
        <v/>
      </c>
      <c r="L45" s="4" t="n"/>
      <c r="M45" s="19" t="n"/>
      <c r="N45" s="19" t="n"/>
      <c r="O45" s="30">
        <f>IF(OR(M45="",N45=""),"",INDEX(RiskGrid,6-VALUE(LEFT(M45,1)),VALUE(LEFT(N45,1))))</f>
        <v/>
      </c>
      <c r="P45" s="30">
        <f>IF(O45="","",IF(O45&gt;=BandVH,"Very High",IF(O45&gt;=BandHigh,"High",IF(O45&gt;=BandMed,"Medium","Low"))))</f>
        <v/>
      </c>
      <c r="Q45" s="4" t="n"/>
      <c r="R45" s="19" t="n"/>
      <c r="S45" s="4" t="n"/>
      <c r="T45" s="19" t="n"/>
      <c r="U45" s="4" t="n"/>
      <c r="V45" s="19" t="n"/>
      <c r="W45" s="4" t="n"/>
      <c r="X45" s="19" t="n"/>
      <c r="Y45" s="4" t="n"/>
      <c r="Z45" s="19" t="n"/>
      <c r="AA45" s="4" t="n"/>
      <c r="AB45" s="19" t="n"/>
      <c r="AC45" s="5">
        <f>_xlfn.TEXTJOIN(CHAR(10),TRUE,IF(Q45="","","• "&amp;Q45&amp;IF(R45="Yes","  [IPL]","")),IF(S45="","","• "&amp;S45&amp;IF(T45="Yes","  [IPL]","")),IF(U45="","","• "&amp;U45&amp;IF(V45="Yes","  [IPL]","")),IF(W45="","","• "&amp;W45&amp;IF(X45="Yes","  [IPL]","")),IF(Y45="","","• "&amp;Y45&amp;IF(Z45="Yes","  [IPL]","")),IF(AA45="","","• "&amp;AA45&amp;IF(AB45="Yes","  [IPL]","")))</f>
        <v/>
      </c>
      <c r="AD45" s="30">
        <f>IF(AC45="","",COUNTIF(Q45:AB45,"Yes"))</f>
        <v/>
      </c>
      <c r="AE45" s="19" t="n"/>
      <c r="AF45" s="19" t="n"/>
      <c r="AG45" s="30">
        <f>IF(OR(AE45="",AF45=""),"",INDEX(RiskGrid,6-VALUE(LEFT(AE45,1)),VALUE(LEFT(AF45,1))))</f>
        <v/>
      </c>
      <c r="AH45" s="30">
        <f>IF(AG45="","",IF(AG45&gt;=BandVH,"Very High",IF(AG45&gt;=BandHigh,"High",IF(AG45&gt;=BandMed,"Medium","Low"))))</f>
        <v/>
      </c>
      <c r="AI45" s="4" t="n"/>
      <c r="AJ45" s="4" t="n"/>
    </row>
    <row r="46">
      <c r="A46" s="30">
        <f>IF(B46="","",COUNTIF(B$14:B46,"?*"))</f>
        <v/>
      </c>
      <c r="B46" s="4" t="n"/>
      <c r="C46" s="19" t="n"/>
      <c r="D46" s="5">
        <f>IF(OR(B46="",C46=""),"",UPPER(LEFT(C46,1))&amp;LOWER(MID(C46,2,30))&amp;" "&amp;LOWER(LEFT(B46,1))&amp;MID(B46,2,200))</f>
        <v/>
      </c>
      <c r="E46" s="4" t="n"/>
      <c r="F46" s="4" t="n"/>
      <c r="G46" s="4" t="n"/>
      <c r="H46" s="4" t="n"/>
      <c r="I46" s="4" t="n"/>
      <c r="J46" s="4" t="n"/>
      <c r="K46" s="5">
        <f>_xlfn.TEXTJOIN(CHAR(10),TRUE,IF(E46="","","• "&amp;E46),IF(F46="","","• "&amp;F46),IF(G46="","","• "&amp;G46),IF(H46="","","• "&amp;H46),IF(I46="","","• "&amp;I46),IF(J46="","","• "&amp;J46))</f>
        <v/>
      </c>
      <c r="L46" s="4" t="n"/>
      <c r="M46" s="19" t="n"/>
      <c r="N46" s="19" t="n"/>
      <c r="O46" s="30">
        <f>IF(OR(M46="",N46=""),"",INDEX(RiskGrid,6-VALUE(LEFT(M46,1)),VALUE(LEFT(N46,1))))</f>
        <v/>
      </c>
      <c r="P46" s="30">
        <f>IF(O46="","",IF(O46&gt;=BandVH,"Very High",IF(O46&gt;=BandHigh,"High",IF(O46&gt;=BandMed,"Medium","Low"))))</f>
        <v/>
      </c>
      <c r="Q46" s="4" t="n"/>
      <c r="R46" s="19" t="n"/>
      <c r="S46" s="4" t="n"/>
      <c r="T46" s="19" t="n"/>
      <c r="U46" s="4" t="n"/>
      <c r="V46" s="19" t="n"/>
      <c r="W46" s="4" t="n"/>
      <c r="X46" s="19" t="n"/>
      <c r="Y46" s="4" t="n"/>
      <c r="Z46" s="19" t="n"/>
      <c r="AA46" s="4" t="n"/>
      <c r="AB46" s="19" t="n"/>
      <c r="AC46" s="5">
        <f>_xlfn.TEXTJOIN(CHAR(10),TRUE,IF(Q46="","","• "&amp;Q46&amp;IF(R46="Yes","  [IPL]","")),IF(S46="","","• "&amp;S46&amp;IF(T46="Yes","  [IPL]","")),IF(U46="","","• "&amp;U46&amp;IF(V46="Yes","  [IPL]","")),IF(W46="","","• "&amp;W46&amp;IF(X46="Yes","  [IPL]","")),IF(Y46="","","• "&amp;Y46&amp;IF(Z46="Yes","  [IPL]","")),IF(AA46="","","• "&amp;AA46&amp;IF(AB46="Yes","  [IPL]","")))</f>
        <v/>
      </c>
      <c r="AD46" s="30">
        <f>IF(AC46="","",COUNTIF(Q46:AB46,"Yes"))</f>
        <v/>
      </c>
      <c r="AE46" s="19" t="n"/>
      <c r="AF46" s="19" t="n"/>
      <c r="AG46" s="30">
        <f>IF(OR(AE46="",AF46=""),"",INDEX(RiskGrid,6-VALUE(LEFT(AE46,1)),VALUE(LEFT(AF46,1))))</f>
        <v/>
      </c>
      <c r="AH46" s="30">
        <f>IF(AG46="","",IF(AG46&gt;=BandVH,"Very High",IF(AG46&gt;=BandHigh,"High",IF(AG46&gt;=BandMed,"Medium","Low"))))</f>
        <v/>
      </c>
      <c r="AI46" s="4" t="n"/>
      <c r="AJ46" s="4" t="n"/>
    </row>
    <row r="47">
      <c r="A47" s="30">
        <f>IF(B47="","",COUNTIF(B$14:B47,"?*"))</f>
        <v/>
      </c>
      <c r="B47" s="4" t="n"/>
      <c r="C47" s="19" t="n"/>
      <c r="D47" s="5">
        <f>IF(OR(B47="",C47=""),"",UPPER(LEFT(C47,1))&amp;LOWER(MID(C47,2,30))&amp;" "&amp;LOWER(LEFT(B47,1))&amp;MID(B47,2,200))</f>
        <v/>
      </c>
      <c r="E47" s="4" t="n"/>
      <c r="F47" s="4" t="n"/>
      <c r="G47" s="4" t="n"/>
      <c r="H47" s="4" t="n"/>
      <c r="I47" s="4" t="n"/>
      <c r="J47" s="4" t="n"/>
      <c r="K47" s="5">
        <f>_xlfn.TEXTJOIN(CHAR(10),TRUE,IF(E47="","","• "&amp;E47),IF(F47="","","• "&amp;F47),IF(G47="","","• "&amp;G47),IF(H47="","","• "&amp;H47),IF(I47="","","• "&amp;I47),IF(J47="","","• "&amp;J47))</f>
        <v/>
      </c>
      <c r="L47" s="4" t="n"/>
      <c r="M47" s="19" t="n"/>
      <c r="N47" s="19" t="n"/>
      <c r="O47" s="30">
        <f>IF(OR(M47="",N47=""),"",INDEX(RiskGrid,6-VALUE(LEFT(M47,1)),VALUE(LEFT(N47,1))))</f>
        <v/>
      </c>
      <c r="P47" s="30">
        <f>IF(O47="","",IF(O47&gt;=BandVH,"Very High",IF(O47&gt;=BandHigh,"High",IF(O47&gt;=BandMed,"Medium","Low"))))</f>
        <v/>
      </c>
      <c r="Q47" s="4" t="n"/>
      <c r="R47" s="19" t="n"/>
      <c r="S47" s="4" t="n"/>
      <c r="T47" s="19" t="n"/>
      <c r="U47" s="4" t="n"/>
      <c r="V47" s="19" t="n"/>
      <c r="W47" s="4" t="n"/>
      <c r="X47" s="19" t="n"/>
      <c r="Y47" s="4" t="n"/>
      <c r="Z47" s="19" t="n"/>
      <c r="AA47" s="4" t="n"/>
      <c r="AB47" s="19" t="n"/>
      <c r="AC47" s="5">
        <f>_xlfn.TEXTJOIN(CHAR(10),TRUE,IF(Q47="","","• "&amp;Q47&amp;IF(R47="Yes","  [IPL]","")),IF(S47="","","• "&amp;S47&amp;IF(T47="Yes","  [IPL]","")),IF(U47="","","• "&amp;U47&amp;IF(V47="Yes","  [IPL]","")),IF(W47="","","• "&amp;W47&amp;IF(X47="Yes","  [IPL]","")),IF(Y47="","","• "&amp;Y47&amp;IF(Z47="Yes","  [IPL]","")),IF(AA47="","","• "&amp;AA47&amp;IF(AB47="Yes","  [IPL]","")))</f>
        <v/>
      </c>
      <c r="AD47" s="30">
        <f>IF(AC47="","",COUNTIF(Q47:AB47,"Yes"))</f>
        <v/>
      </c>
      <c r="AE47" s="19" t="n"/>
      <c r="AF47" s="19" t="n"/>
      <c r="AG47" s="30">
        <f>IF(OR(AE47="",AF47=""),"",INDEX(RiskGrid,6-VALUE(LEFT(AE47,1)),VALUE(LEFT(AF47,1))))</f>
        <v/>
      </c>
      <c r="AH47" s="30">
        <f>IF(AG47="","",IF(AG47&gt;=BandVH,"Very High",IF(AG47&gt;=BandHigh,"High",IF(AG47&gt;=BandMed,"Medium","Low"))))</f>
        <v/>
      </c>
      <c r="AI47" s="4" t="n"/>
      <c r="AJ47" s="4" t="n"/>
    </row>
    <row r="48">
      <c r="A48" s="30">
        <f>IF(B48="","",COUNTIF(B$14:B48,"?*"))</f>
        <v/>
      </c>
      <c r="B48" s="4" t="n"/>
      <c r="C48" s="19" t="n"/>
      <c r="D48" s="5">
        <f>IF(OR(B48="",C48=""),"",UPPER(LEFT(C48,1))&amp;LOWER(MID(C48,2,30))&amp;" "&amp;LOWER(LEFT(B48,1))&amp;MID(B48,2,200))</f>
        <v/>
      </c>
      <c r="E48" s="4" t="n"/>
      <c r="F48" s="4" t="n"/>
      <c r="G48" s="4" t="n"/>
      <c r="H48" s="4" t="n"/>
      <c r="I48" s="4" t="n"/>
      <c r="J48" s="4" t="n"/>
      <c r="K48" s="5">
        <f>_xlfn.TEXTJOIN(CHAR(10),TRUE,IF(E48="","","• "&amp;E48),IF(F48="","","• "&amp;F48),IF(G48="","","• "&amp;G48),IF(H48="","","• "&amp;H48),IF(I48="","","• "&amp;I48),IF(J48="","","• "&amp;J48))</f>
        <v/>
      </c>
      <c r="L48" s="4" t="n"/>
      <c r="M48" s="19" t="n"/>
      <c r="N48" s="19" t="n"/>
      <c r="O48" s="30">
        <f>IF(OR(M48="",N48=""),"",INDEX(RiskGrid,6-VALUE(LEFT(M48,1)),VALUE(LEFT(N48,1))))</f>
        <v/>
      </c>
      <c r="P48" s="30">
        <f>IF(O48="","",IF(O48&gt;=BandVH,"Very High",IF(O48&gt;=BandHigh,"High",IF(O48&gt;=BandMed,"Medium","Low"))))</f>
        <v/>
      </c>
      <c r="Q48" s="4" t="n"/>
      <c r="R48" s="19" t="n"/>
      <c r="S48" s="4" t="n"/>
      <c r="T48" s="19" t="n"/>
      <c r="U48" s="4" t="n"/>
      <c r="V48" s="19" t="n"/>
      <c r="W48" s="4" t="n"/>
      <c r="X48" s="19" t="n"/>
      <c r="Y48" s="4" t="n"/>
      <c r="Z48" s="19" t="n"/>
      <c r="AA48" s="4" t="n"/>
      <c r="AB48" s="19" t="n"/>
      <c r="AC48" s="5">
        <f>_xlfn.TEXTJOIN(CHAR(10),TRUE,IF(Q48="","","• "&amp;Q48&amp;IF(R48="Yes","  [IPL]","")),IF(S48="","","• "&amp;S48&amp;IF(T48="Yes","  [IPL]","")),IF(U48="","","• "&amp;U48&amp;IF(V48="Yes","  [IPL]","")),IF(W48="","","• "&amp;W48&amp;IF(X48="Yes","  [IPL]","")),IF(Y48="","","• "&amp;Y48&amp;IF(Z48="Yes","  [IPL]","")),IF(AA48="","","• "&amp;AA48&amp;IF(AB48="Yes","  [IPL]","")))</f>
        <v/>
      </c>
      <c r="AD48" s="30">
        <f>IF(AC48="","",COUNTIF(Q48:AB48,"Yes"))</f>
        <v/>
      </c>
      <c r="AE48" s="19" t="n"/>
      <c r="AF48" s="19" t="n"/>
      <c r="AG48" s="30">
        <f>IF(OR(AE48="",AF48=""),"",INDEX(RiskGrid,6-VALUE(LEFT(AE48,1)),VALUE(LEFT(AF48,1))))</f>
        <v/>
      </c>
      <c r="AH48" s="30">
        <f>IF(AG48="","",IF(AG48&gt;=BandVH,"Very High",IF(AG48&gt;=BandHigh,"High",IF(AG48&gt;=BandMed,"Medium","Low"))))</f>
        <v/>
      </c>
      <c r="AI48" s="4" t="n"/>
      <c r="AJ48" s="4" t="n"/>
    </row>
    <row r="49">
      <c r="A49" s="30">
        <f>IF(B49="","",COUNTIF(B$14:B49,"?*"))</f>
        <v/>
      </c>
      <c r="B49" s="4" t="n"/>
      <c r="C49" s="19" t="n"/>
      <c r="D49" s="5">
        <f>IF(OR(B49="",C49=""),"",UPPER(LEFT(C49,1))&amp;LOWER(MID(C49,2,30))&amp;" "&amp;LOWER(LEFT(B49,1))&amp;MID(B49,2,200))</f>
        <v/>
      </c>
      <c r="E49" s="4" t="n"/>
      <c r="F49" s="4" t="n"/>
      <c r="G49" s="4" t="n"/>
      <c r="H49" s="4" t="n"/>
      <c r="I49" s="4" t="n"/>
      <c r="J49" s="4" t="n"/>
      <c r="K49" s="5">
        <f>_xlfn.TEXTJOIN(CHAR(10),TRUE,IF(E49="","","• "&amp;E49),IF(F49="","","• "&amp;F49),IF(G49="","","• "&amp;G49),IF(H49="","","• "&amp;H49),IF(I49="","","• "&amp;I49),IF(J49="","","• "&amp;J49))</f>
        <v/>
      </c>
      <c r="L49" s="4" t="n"/>
      <c r="M49" s="19" t="n"/>
      <c r="N49" s="19" t="n"/>
      <c r="O49" s="30">
        <f>IF(OR(M49="",N49=""),"",INDEX(RiskGrid,6-VALUE(LEFT(M49,1)),VALUE(LEFT(N49,1))))</f>
        <v/>
      </c>
      <c r="P49" s="30">
        <f>IF(O49="","",IF(O49&gt;=BandVH,"Very High",IF(O49&gt;=BandHigh,"High",IF(O49&gt;=BandMed,"Medium","Low"))))</f>
        <v/>
      </c>
      <c r="Q49" s="4" t="n"/>
      <c r="R49" s="19" t="n"/>
      <c r="S49" s="4" t="n"/>
      <c r="T49" s="19" t="n"/>
      <c r="U49" s="4" t="n"/>
      <c r="V49" s="19" t="n"/>
      <c r="W49" s="4" t="n"/>
      <c r="X49" s="19" t="n"/>
      <c r="Y49" s="4" t="n"/>
      <c r="Z49" s="19" t="n"/>
      <c r="AA49" s="4" t="n"/>
      <c r="AB49" s="19" t="n"/>
      <c r="AC49" s="5">
        <f>_xlfn.TEXTJOIN(CHAR(10),TRUE,IF(Q49="","","• "&amp;Q49&amp;IF(R49="Yes","  [IPL]","")),IF(S49="","","• "&amp;S49&amp;IF(T49="Yes","  [IPL]","")),IF(U49="","","• "&amp;U49&amp;IF(V49="Yes","  [IPL]","")),IF(W49="","","• "&amp;W49&amp;IF(X49="Yes","  [IPL]","")),IF(Y49="","","• "&amp;Y49&amp;IF(Z49="Yes","  [IPL]","")),IF(AA49="","","• "&amp;AA49&amp;IF(AB49="Yes","  [IPL]","")))</f>
        <v/>
      </c>
      <c r="AD49" s="30">
        <f>IF(AC49="","",COUNTIF(Q49:AB49,"Yes"))</f>
        <v/>
      </c>
      <c r="AE49" s="19" t="n"/>
      <c r="AF49" s="19" t="n"/>
      <c r="AG49" s="30">
        <f>IF(OR(AE49="",AF49=""),"",INDEX(RiskGrid,6-VALUE(LEFT(AE49,1)),VALUE(LEFT(AF49,1))))</f>
        <v/>
      </c>
      <c r="AH49" s="30">
        <f>IF(AG49="","",IF(AG49&gt;=BandVH,"Very High",IF(AG49&gt;=BandHigh,"High",IF(AG49&gt;=BandMed,"Medium","Low"))))</f>
        <v/>
      </c>
      <c r="AI49" s="4" t="n"/>
      <c r="AJ49" s="4" t="n"/>
    </row>
    <row r="50">
      <c r="A50" s="30">
        <f>IF(B50="","",COUNTIF(B$14:B50,"?*"))</f>
        <v/>
      </c>
      <c r="B50" s="4" t="n"/>
      <c r="C50" s="19" t="n"/>
      <c r="D50" s="5">
        <f>IF(OR(B50="",C50=""),"",UPPER(LEFT(C50,1))&amp;LOWER(MID(C50,2,30))&amp;" "&amp;LOWER(LEFT(B50,1))&amp;MID(B50,2,200))</f>
        <v/>
      </c>
      <c r="E50" s="4" t="n"/>
      <c r="F50" s="4" t="n"/>
      <c r="G50" s="4" t="n"/>
      <c r="H50" s="4" t="n"/>
      <c r="I50" s="4" t="n"/>
      <c r="J50" s="4" t="n"/>
      <c r="K50" s="5">
        <f>_xlfn.TEXTJOIN(CHAR(10),TRUE,IF(E50="","","• "&amp;E50),IF(F50="","","• "&amp;F50),IF(G50="","","• "&amp;G50),IF(H50="","","• "&amp;H50),IF(I50="","","• "&amp;I50),IF(J50="","","• "&amp;J50))</f>
        <v/>
      </c>
      <c r="L50" s="4" t="n"/>
      <c r="M50" s="19" t="n"/>
      <c r="N50" s="19" t="n"/>
      <c r="O50" s="30">
        <f>IF(OR(M50="",N50=""),"",INDEX(RiskGrid,6-VALUE(LEFT(M50,1)),VALUE(LEFT(N50,1))))</f>
        <v/>
      </c>
      <c r="P50" s="30">
        <f>IF(O50="","",IF(O50&gt;=BandVH,"Very High",IF(O50&gt;=BandHigh,"High",IF(O50&gt;=BandMed,"Medium","Low"))))</f>
        <v/>
      </c>
      <c r="Q50" s="4" t="n"/>
      <c r="R50" s="19" t="n"/>
      <c r="S50" s="4" t="n"/>
      <c r="T50" s="19" t="n"/>
      <c r="U50" s="4" t="n"/>
      <c r="V50" s="19" t="n"/>
      <c r="W50" s="4" t="n"/>
      <c r="X50" s="19" t="n"/>
      <c r="Y50" s="4" t="n"/>
      <c r="Z50" s="19" t="n"/>
      <c r="AA50" s="4" t="n"/>
      <c r="AB50" s="19" t="n"/>
      <c r="AC50" s="5">
        <f>_xlfn.TEXTJOIN(CHAR(10),TRUE,IF(Q50="","","• "&amp;Q50&amp;IF(R50="Yes","  [IPL]","")),IF(S50="","","• "&amp;S50&amp;IF(T50="Yes","  [IPL]","")),IF(U50="","","• "&amp;U50&amp;IF(V50="Yes","  [IPL]","")),IF(W50="","","• "&amp;W50&amp;IF(X50="Yes","  [IPL]","")),IF(Y50="","","• "&amp;Y50&amp;IF(Z50="Yes","  [IPL]","")),IF(AA50="","","• "&amp;AA50&amp;IF(AB50="Yes","  [IPL]","")))</f>
        <v/>
      </c>
      <c r="AD50" s="30">
        <f>IF(AC50="","",COUNTIF(Q50:AB50,"Yes"))</f>
        <v/>
      </c>
      <c r="AE50" s="19" t="n"/>
      <c r="AF50" s="19" t="n"/>
      <c r="AG50" s="30">
        <f>IF(OR(AE50="",AF50=""),"",INDEX(RiskGrid,6-VALUE(LEFT(AE50,1)),VALUE(LEFT(AF50,1))))</f>
        <v/>
      </c>
      <c r="AH50" s="30">
        <f>IF(AG50="","",IF(AG50&gt;=BandVH,"Very High",IF(AG50&gt;=BandHigh,"High",IF(AG50&gt;=BandMed,"Medium","Low"))))</f>
        <v/>
      </c>
      <c r="AI50" s="4" t="n"/>
      <c r="AJ50" s="4" t="n"/>
    </row>
    <row r="51">
      <c r="A51" s="30">
        <f>IF(B51="","",COUNTIF(B$14:B51,"?*"))</f>
        <v/>
      </c>
      <c r="B51" s="4" t="n"/>
      <c r="C51" s="19" t="n"/>
      <c r="D51" s="5">
        <f>IF(OR(B51="",C51=""),"",UPPER(LEFT(C51,1))&amp;LOWER(MID(C51,2,30))&amp;" "&amp;LOWER(LEFT(B51,1))&amp;MID(B51,2,200))</f>
        <v/>
      </c>
      <c r="E51" s="4" t="n"/>
      <c r="F51" s="4" t="n"/>
      <c r="G51" s="4" t="n"/>
      <c r="H51" s="4" t="n"/>
      <c r="I51" s="4" t="n"/>
      <c r="J51" s="4" t="n"/>
      <c r="K51" s="5">
        <f>_xlfn.TEXTJOIN(CHAR(10),TRUE,IF(E51="","","• "&amp;E51),IF(F51="","","• "&amp;F51),IF(G51="","","• "&amp;G51),IF(H51="","","• "&amp;H51),IF(I51="","","• "&amp;I51),IF(J51="","","• "&amp;J51))</f>
        <v/>
      </c>
      <c r="L51" s="4" t="n"/>
      <c r="M51" s="19" t="n"/>
      <c r="N51" s="19" t="n"/>
      <c r="O51" s="30">
        <f>IF(OR(M51="",N51=""),"",INDEX(RiskGrid,6-VALUE(LEFT(M51,1)),VALUE(LEFT(N51,1))))</f>
        <v/>
      </c>
      <c r="P51" s="30">
        <f>IF(O51="","",IF(O51&gt;=BandVH,"Very High",IF(O51&gt;=BandHigh,"High",IF(O51&gt;=BandMed,"Medium","Low"))))</f>
        <v/>
      </c>
      <c r="Q51" s="4" t="n"/>
      <c r="R51" s="19" t="n"/>
      <c r="S51" s="4" t="n"/>
      <c r="T51" s="19" t="n"/>
      <c r="U51" s="4" t="n"/>
      <c r="V51" s="19" t="n"/>
      <c r="W51" s="4" t="n"/>
      <c r="X51" s="19" t="n"/>
      <c r="Y51" s="4" t="n"/>
      <c r="Z51" s="19" t="n"/>
      <c r="AA51" s="4" t="n"/>
      <c r="AB51" s="19" t="n"/>
      <c r="AC51" s="5">
        <f>_xlfn.TEXTJOIN(CHAR(10),TRUE,IF(Q51="","","• "&amp;Q51&amp;IF(R51="Yes","  [IPL]","")),IF(S51="","","• "&amp;S51&amp;IF(T51="Yes","  [IPL]","")),IF(U51="","","• "&amp;U51&amp;IF(V51="Yes","  [IPL]","")),IF(W51="","","• "&amp;W51&amp;IF(X51="Yes","  [IPL]","")),IF(Y51="","","• "&amp;Y51&amp;IF(Z51="Yes","  [IPL]","")),IF(AA51="","","• "&amp;AA51&amp;IF(AB51="Yes","  [IPL]","")))</f>
        <v/>
      </c>
      <c r="AD51" s="30">
        <f>IF(AC51="","",COUNTIF(Q51:AB51,"Yes"))</f>
        <v/>
      </c>
      <c r="AE51" s="19" t="n"/>
      <c r="AF51" s="19" t="n"/>
      <c r="AG51" s="30">
        <f>IF(OR(AE51="",AF51=""),"",INDEX(RiskGrid,6-VALUE(LEFT(AE51,1)),VALUE(LEFT(AF51,1))))</f>
        <v/>
      </c>
      <c r="AH51" s="30">
        <f>IF(AG51="","",IF(AG51&gt;=BandVH,"Very High",IF(AG51&gt;=BandHigh,"High",IF(AG51&gt;=BandMed,"Medium","Low"))))</f>
        <v/>
      </c>
      <c r="AI51" s="4" t="n"/>
      <c r="AJ51" s="4" t="n"/>
    </row>
    <row r="52">
      <c r="A52" s="30">
        <f>IF(B52="","",COUNTIF(B$14:B52,"?*"))</f>
        <v/>
      </c>
      <c r="B52" s="4" t="n"/>
      <c r="C52" s="19" t="n"/>
      <c r="D52" s="5">
        <f>IF(OR(B52="",C52=""),"",UPPER(LEFT(C52,1))&amp;LOWER(MID(C52,2,30))&amp;" "&amp;LOWER(LEFT(B52,1))&amp;MID(B52,2,200))</f>
        <v/>
      </c>
      <c r="E52" s="4" t="n"/>
      <c r="F52" s="4" t="n"/>
      <c r="G52" s="4" t="n"/>
      <c r="H52" s="4" t="n"/>
      <c r="I52" s="4" t="n"/>
      <c r="J52" s="4" t="n"/>
      <c r="K52" s="5">
        <f>_xlfn.TEXTJOIN(CHAR(10),TRUE,IF(E52="","","• "&amp;E52),IF(F52="","","• "&amp;F52),IF(G52="","","• "&amp;G52),IF(H52="","","• "&amp;H52),IF(I52="","","• "&amp;I52),IF(J52="","","• "&amp;J52))</f>
        <v/>
      </c>
      <c r="L52" s="4" t="n"/>
      <c r="M52" s="19" t="n"/>
      <c r="N52" s="19" t="n"/>
      <c r="O52" s="30">
        <f>IF(OR(M52="",N52=""),"",INDEX(RiskGrid,6-VALUE(LEFT(M52,1)),VALUE(LEFT(N52,1))))</f>
        <v/>
      </c>
      <c r="P52" s="30">
        <f>IF(O52="","",IF(O52&gt;=BandVH,"Very High",IF(O52&gt;=BandHigh,"High",IF(O52&gt;=BandMed,"Medium","Low"))))</f>
        <v/>
      </c>
      <c r="Q52" s="4" t="n"/>
      <c r="R52" s="19" t="n"/>
      <c r="S52" s="4" t="n"/>
      <c r="T52" s="19" t="n"/>
      <c r="U52" s="4" t="n"/>
      <c r="V52" s="19" t="n"/>
      <c r="W52" s="4" t="n"/>
      <c r="X52" s="19" t="n"/>
      <c r="Y52" s="4" t="n"/>
      <c r="Z52" s="19" t="n"/>
      <c r="AA52" s="4" t="n"/>
      <c r="AB52" s="19" t="n"/>
      <c r="AC52" s="5">
        <f>_xlfn.TEXTJOIN(CHAR(10),TRUE,IF(Q52="","","• "&amp;Q52&amp;IF(R52="Yes","  [IPL]","")),IF(S52="","","• "&amp;S52&amp;IF(T52="Yes","  [IPL]","")),IF(U52="","","• "&amp;U52&amp;IF(V52="Yes","  [IPL]","")),IF(W52="","","• "&amp;W52&amp;IF(X52="Yes","  [IPL]","")),IF(Y52="","","• "&amp;Y52&amp;IF(Z52="Yes","  [IPL]","")),IF(AA52="","","• "&amp;AA52&amp;IF(AB52="Yes","  [IPL]","")))</f>
        <v/>
      </c>
      <c r="AD52" s="30">
        <f>IF(AC52="","",COUNTIF(Q52:AB52,"Yes"))</f>
        <v/>
      </c>
      <c r="AE52" s="19" t="n"/>
      <c r="AF52" s="19" t="n"/>
      <c r="AG52" s="30">
        <f>IF(OR(AE52="",AF52=""),"",INDEX(RiskGrid,6-VALUE(LEFT(AE52,1)),VALUE(LEFT(AF52,1))))</f>
        <v/>
      </c>
      <c r="AH52" s="30">
        <f>IF(AG52="","",IF(AG52&gt;=BandVH,"Very High",IF(AG52&gt;=BandHigh,"High",IF(AG52&gt;=BandMed,"Medium","Low"))))</f>
        <v/>
      </c>
      <c r="AI52" s="4" t="n"/>
      <c r="AJ52" s="4" t="n"/>
    </row>
    <row r="53">
      <c r="A53" s="30">
        <f>IF(B53="","",COUNTIF(B$14:B53,"?*"))</f>
        <v/>
      </c>
      <c r="B53" s="4" t="n"/>
      <c r="C53" s="19" t="n"/>
      <c r="D53" s="5">
        <f>IF(OR(B53="",C53=""),"",UPPER(LEFT(C53,1))&amp;LOWER(MID(C53,2,30))&amp;" "&amp;LOWER(LEFT(B53,1))&amp;MID(B53,2,200))</f>
        <v/>
      </c>
      <c r="E53" s="4" t="n"/>
      <c r="F53" s="4" t="n"/>
      <c r="G53" s="4" t="n"/>
      <c r="H53" s="4" t="n"/>
      <c r="I53" s="4" t="n"/>
      <c r="J53" s="4" t="n"/>
      <c r="K53" s="5">
        <f>_xlfn.TEXTJOIN(CHAR(10),TRUE,IF(E53="","","• "&amp;E53),IF(F53="","","• "&amp;F53),IF(G53="","","• "&amp;G53),IF(H53="","","• "&amp;H53),IF(I53="","","• "&amp;I53),IF(J53="","","• "&amp;J53))</f>
        <v/>
      </c>
      <c r="L53" s="4" t="n"/>
      <c r="M53" s="19" t="n"/>
      <c r="N53" s="19" t="n"/>
      <c r="O53" s="30">
        <f>IF(OR(M53="",N53=""),"",INDEX(RiskGrid,6-VALUE(LEFT(M53,1)),VALUE(LEFT(N53,1))))</f>
        <v/>
      </c>
      <c r="P53" s="30">
        <f>IF(O53="","",IF(O53&gt;=BandVH,"Very High",IF(O53&gt;=BandHigh,"High",IF(O53&gt;=BandMed,"Medium","Low"))))</f>
        <v/>
      </c>
      <c r="Q53" s="4" t="n"/>
      <c r="R53" s="19" t="n"/>
      <c r="S53" s="4" t="n"/>
      <c r="T53" s="19" t="n"/>
      <c r="U53" s="4" t="n"/>
      <c r="V53" s="19" t="n"/>
      <c r="W53" s="4" t="n"/>
      <c r="X53" s="19" t="n"/>
      <c r="Y53" s="4" t="n"/>
      <c r="Z53" s="19" t="n"/>
      <c r="AA53" s="4" t="n"/>
      <c r="AB53" s="19" t="n"/>
      <c r="AC53" s="5">
        <f>_xlfn.TEXTJOIN(CHAR(10),TRUE,IF(Q53="","","• "&amp;Q53&amp;IF(R53="Yes","  [IPL]","")),IF(S53="","","• "&amp;S53&amp;IF(T53="Yes","  [IPL]","")),IF(U53="","","• "&amp;U53&amp;IF(V53="Yes","  [IPL]","")),IF(W53="","","• "&amp;W53&amp;IF(X53="Yes","  [IPL]","")),IF(Y53="","","• "&amp;Y53&amp;IF(Z53="Yes","  [IPL]","")),IF(AA53="","","• "&amp;AA53&amp;IF(AB53="Yes","  [IPL]","")))</f>
        <v/>
      </c>
      <c r="AD53" s="30">
        <f>IF(AC53="","",COUNTIF(Q53:AB53,"Yes"))</f>
        <v/>
      </c>
      <c r="AE53" s="19" t="n"/>
      <c r="AF53" s="19" t="n"/>
      <c r="AG53" s="30">
        <f>IF(OR(AE53="",AF53=""),"",INDEX(RiskGrid,6-VALUE(LEFT(AE53,1)),VALUE(LEFT(AF53,1))))</f>
        <v/>
      </c>
      <c r="AH53" s="30">
        <f>IF(AG53="","",IF(AG53&gt;=BandVH,"Very High",IF(AG53&gt;=BandHigh,"High",IF(AG53&gt;=BandMed,"Medium","Low"))))</f>
        <v/>
      </c>
      <c r="AI53" s="4" t="n"/>
      <c r="AJ53" s="4" t="n"/>
    </row>
    <row r="54">
      <c r="A54" s="30">
        <f>IF(B54="","",COUNTIF(B$14:B54,"?*"))</f>
        <v/>
      </c>
      <c r="B54" s="4" t="n"/>
      <c r="C54" s="19" t="n"/>
      <c r="D54" s="5">
        <f>IF(OR(B54="",C54=""),"",UPPER(LEFT(C54,1))&amp;LOWER(MID(C54,2,30))&amp;" "&amp;LOWER(LEFT(B54,1))&amp;MID(B54,2,200))</f>
        <v/>
      </c>
      <c r="E54" s="4" t="n"/>
      <c r="F54" s="4" t="n"/>
      <c r="G54" s="4" t="n"/>
      <c r="H54" s="4" t="n"/>
      <c r="I54" s="4" t="n"/>
      <c r="J54" s="4" t="n"/>
      <c r="K54" s="5">
        <f>_xlfn.TEXTJOIN(CHAR(10),TRUE,IF(E54="","","• "&amp;E54),IF(F54="","","• "&amp;F54),IF(G54="","","• "&amp;G54),IF(H54="","","• "&amp;H54),IF(I54="","","• "&amp;I54),IF(J54="","","• "&amp;J54))</f>
        <v/>
      </c>
      <c r="L54" s="4" t="n"/>
      <c r="M54" s="19" t="n"/>
      <c r="N54" s="19" t="n"/>
      <c r="O54" s="30">
        <f>IF(OR(M54="",N54=""),"",INDEX(RiskGrid,6-VALUE(LEFT(M54,1)),VALUE(LEFT(N54,1))))</f>
        <v/>
      </c>
      <c r="P54" s="30">
        <f>IF(O54="","",IF(O54&gt;=BandVH,"Very High",IF(O54&gt;=BandHigh,"High",IF(O54&gt;=BandMed,"Medium","Low"))))</f>
        <v/>
      </c>
      <c r="Q54" s="4" t="n"/>
      <c r="R54" s="19" t="n"/>
      <c r="S54" s="4" t="n"/>
      <c r="T54" s="19" t="n"/>
      <c r="U54" s="4" t="n"/>
      <c r="V54" s="19" t="n"/>
      <c r="W54" s="4" t="n"/>
      <c r="X54" s="19" t="n"/>
      <c r="Y54" s="4" t="n"/>
      <c r="Z54" s="19" t="n"/>
      <c r="AA54" s="4" t="n"/>
      <c r="AB54" s="19" t="n"/>
      <c r="AC54" s="5">
        <f>_xlfn.TEXTJOIN(CHAR(10),TRUE,IF(Q54="","","• "&amp;Q54&amp;IF(R54="Yes","  [IPL]","")),IF(S54="","","• "&amp;S54&amp;IF(T54="Yes","  [IPL]","")),IF(U54="","","• "&amp;U54&amp;IF(V54="Yes","  [IPL]","")),IF(W54="","","• "&amp;W54&amp;IF(X54="Yes","  [IPL]","")),IF(Y54="","","• "&amp;Y54&amp;IF(Z54="Yes","  [IPL]","")),IF(AA54="","","• "&amp;AA54&amp;IF(AB54="Yes","  [IPL]","")))</f>
        <v/>
      </c>
      <c r="AD54" s="30">
        <f>IF(AC54="","",COUNTIF(Q54:AB54,"Yes"))</f>
        <v/>
      </c>
      <c r="AE54" s="19" t="n"/>
      <c r="AF54" s="19" t="n"/>
      <c r="AG54" s="30">
        <f>IF(OR(AE54="",AF54=""),"",INDEX(RiskGrid,6-VALUE(LEFT(AE54,1)),VALUE(LEFT(AF54,1))))</f>
        <v/>
      </c>
      <c r="AH54" s="30">
        <f>IF(AG54="","",IF(AG54&gt;=BandVH,"Very High",IF(AG54&gt;=BandHigh,"High",IF(AG54&gt;=BandMed,"Medium","Low"))))</f>
        <v/>
      </c>
      <c r="AI54" s="4" t="n"/>
      <c r="AJ54" s="4" t="n"/>
    </row>
    <row r="55">
      <c r="A55" s="30">
        <f>IF(B55="","",COUNTIF(B$14:B55,"?*"))</f>
        <v/>
      </c>
      <c r="B55" s="4" t="n"/>
      <c r="C55" s="19" t="n"/>
      <c r="D55" s="5">
        <f>IF(OR(B55="",C55=""),"",UPPER(LEFT(C55,1))&amp;LOWER(MID(C55,2,30))&amp;" "&amp;LOWER(LEFT(B55,1))&amp;MID(B55,2,200))</f>
        <v/>
      </c>
      <c r="E55" s="4" t="n"/>
      <c r="F55" s="4" t="n"/>
      <c r="G55" s="4" t="n"/>
      <c r="H55" s="4" t="n"/>
      <c r="I55" s="4" t="n"/>
      <c r="J55" s="4" t="n"/>
      <c r="K55" s="5">
        <f>_xlfn.TEXTJOIN(CHAR(10),TRUE,IF(E55="","","• "&amp;E55),IF(F55="","","• "&amp;F55),IF(G55="","","• "&amp;G55),IF(H55="","","• "&amp;H55),IF(I55="","","• "&amp;I55),IF(J55="","","• "&amp;J55))</f>
        <v/>
      </c>
      <c r="L55" s="4" t="n"/>
      <c r="M55" s="19" t="n"/>
      <c r="N55" s="19" t="n"/>
      <c r="O55" s="30">
        <f>IF(OR(M55="",N55=""),"",INDEX(RiskGrid,6-VALUE(LEFT(M55,1)),VALUE(LEFT(N55,1))))</f>
        <v/>
      </c>
      <c r="P55" s="30">
        <f>IF(O55="","",IF(O55&gt;=BandVH,"Very High",IF(O55&gt;=BandHigh,"High",IF(O55&gt;=BandMed,"Medium","Low"))))</f>
        <v/>
      </c>
      <c r="Q55" s="4" t="n"/>
      <c r="R55" s="19" t="n"/>
      <c r="S55" s="4" t="n"/>
      <c r="T55" s="19" t="n"/>
      <c r="U55" s="4" t="n"/>
      <c r="V55" s="19" t="n"/>
      <c r="W55" s="4" t="n"/>
      <c r="X55" s="19" t="n"/>
      <c r="Y55" s="4" t="n"/>
      <c r="Z55" s="19" t="n"/>
      <c r="AA55" s="4" t="n"/>
      <c r="AB55" s="19" t="n"/>
      <c r="AC55" s="5">
        <f>_xlfn.TEXTJOIN(CHAR(10),TRUE,IF(Q55="","","• "&amp;Q55&amp;IF(R55="Yes","  [IPL]","")),IF(S55="","","• "&amp;S55&amp;IF(T55="Yes","  [IPL]","")),IF(U55="","","• "&amp;U55&amp;IF(V55="Yes","  [IPL]","")),IF(W55="","","• "&amp;W55&amp;IF(X55="Yes","  [IPL]","")),IF(Y55="","","• "&amp;Y55&amp;IF(Z55="Yes","  [IPL]","")),IF(AA55="","","• "&amp;AA55&amp;IF(AB55="Yes","  [IPL]","")))</f>
        <v/>
      </c>
      <c r="AD55" s="30">
        <f>IF(AC55="","",COUNTIF(Q55:AB55,"Yes"))</f>
        <v/>
      </c>
      <c r="AE55" s="19" t="n"/>
      <c r="AF55" s="19" t="n"/>
      <c r="AG55" s="30">
        <f>IF(OR(AE55="",AF55=""),"",INDEX(RiskGrid,6-VALUE(LEFT(AE55,1)),VALUE(LEFT(AF55,1))))</f>
        <v/>
      </c>
      <c r="AH55" s="30">
        <f>IF(AG55="","",IF(AG55&gt;=BandVH,"Very High",IF(AG55&gt;=BandHigh,"High",IF(AG55&gt;=BandMed,"Medium","Low"))))</f>
        <v/>
      </c>
      <c r="AI55" s="4" t="n"/>
      <c r="AJ55" s="4" t="n"/>
    </row>
    <row r="56">
      <c r="A56" s="30">
        <f>IF(B56="","",COUNTIF(B$14:B56,"?*"))</f>
        <v/>
      </c>
      <c r="B56" s="4" t="n"/>
      <c r="C56" s="19" t="n"/>
      <c r="D56" s="5">
        <f>IF(OR(B56="",C56=""),"",UPPER(LEFT(C56,1))&amp;LOWER(MID(C56,2,30))&amp;" "&amp;LOWER(LEFT(B56,1))&amp;MID(B56,2,200))</f>
        <v/>
      </c>
      <c r="E56" s="4" t="n"/>
      <c r="F56" s="4" t="n"/>
      <c r="G56" s="4" t="n"/>
      <c r="H56" s="4" t="n"/>
      <c r="I56" s="4" t="n"/>
      <c r="J56" s="4" t="n"/>
      <c r="K56" s="5">
        <f>_xlfn.TEXTJOIN(CHAR(10),TRUE,IF(E56="","","• "&amp;E56),IF(F56="","","• "&amp;F56),IF(G56="","","• "&amp;G56),IF(H56="","","• "&amp;H56),IF(I56="","","• "&amp;I56),IF(J56="","","• "&amp;J56))</f>
        <v/>
      </c>
      <c r="L56" s="4" t="n"/>
      <c r="M56" s="19" t="n"/>
      <c r="N56" s="19" t="n"/>
      <c r="O56" s="30">
        <f>IF(OR(M56="",N56=""),"",INDEX(RiskGrid,6-VALUE(LEFT(M56,1)),VALUE(LEFT(N56,1))))</f>
        <v/>
      </c>
      <c r="P56" s="30">
        <f>IF(O56="","",IF(O56&gt;=BandVH,"Very High",IF(O56&gt;=BandHigh,"High",IF(O56&gt;=BandMed,"Medium","Low"))))</f>
        <v/>
      </c>
      <c r="Q56" s="4" t="n"/>
      <c r="R56" s="19" t="n"/>
      <c r="S56" s="4" t="n"/>
      <c r="T56" s="19" t="n"/>
      <c r="U56" s="4" t="n"/>
      <c r="V56" s="19" t="n"/>
      <c r="W56" s="4" t="n"/>
      <c r="X56" s="19" t="n"/>
      <c r="Y56" s="4" t="n"/>
      <c r="Z56" s="19" t="n"/>
      <c r="AA56" s="4" t="n"/>
      <c r="AB56" s="19" t="n"/>
      <c r="AC56" s="5">
        <f>_xlfn.TEXTJOIN(CHAR(10),TRUE,IF(Q56="","","• "&amp;Q56&amp;IF(R56="Yes","  [IPL]","")),IF(S56="","","• "&amp;S56&amp;IF(T56="Yes","  [IPL]","")),IF(U56="","","• "&amp;U56&amp;IF(V56="Yes","  [IPL]","")),IF(W56="","","• "&amp;W56&amp;IF(X56="Yes","  [IPL]","")),IF(Y56="","","• "&amp;Y56&amp;IF(Z56="Yes","  [IPL]","")),IF(AA56="","","• "&amp;AA56&amp;IF(AB56="Yes","  [IPL]","")))</f>
        <v/>
      </c>
      <c r="AD56" s="30">
        <f>IF(AC56="","",COUNTIF(Q56:AB56,"Yes"))</f>
        <v/>
      </c>
      <c r="AE56" s="19" t="n"/>
      <c r="AF56" s="19" t="n"/>
      <c r="AG56" s="30">
        <f>IF(OR(AE56="",AF56=""),"",INDEX(RiskGrid,6-VALUE(LEFT(AE56,1)),VALUE(LEFT(AF56,1))))</f>
        <v/>
      </c>
      <c r="AH56" s="30">
        <f>IF(AG56="","",IF(AG56&gt;=BandVH,"Very High",IF(AG56&gt;=BandHigh,"High",IF(AG56&gt;=BandMed,"Medium","Low"))))</f>
        <v/>
      </c>
      <c r="AI56" s="4" t="n"/>
      <c r="AJ56" s="4" t="n"/>
    </row>
    <row r="57">
      <c r="A57" s="30">
        <f>IF(B57="","",COUNTIF(B$14:B57,"?*"))</f>
        <v/>
      </c>
      <c r="B57" s="4" t="n"/>
      <c r="C57" s="19" t="n"/>
      <c r="D57" s="5">
        <f>IF(OR(B57="",C57=""),"",UPPER(LEFT(C57,1))&amp;LOWER(MID(C57,2,30))&amp;" "&amp;LOWER(LEFT(B57,1))&amp;MID(B57,2,200))</f>
        <v/>
      </c>
      <c r="E57" s="4" t="n"/>
      <c r="F57" s="4" t="n"/>
      <c r="G57" s="4" t="n"/>
      <c r="H57" s="4" t="n"/>
      <c r="I57" s="4" t="n"/>
      <c r="J57" s="4" t="n"/>
      <c r="K57" s="5">
        <f>_xlfn.TEXTJOIN(CHAR(10),TRUE,IF(E57="","","• "&amp;E57),IF(F57="","","• "&amp;F57),IF(G57="","","• "&amp;G57),IF(H57="","","• "&amp;H57),IF(I57="","","• "&amp;I57),IF(J57="","","• "&amp;J57))</f>
        <v/>
      </c>
      <c r="L57" s="4" t="n"/>
      <c r="M57" s="19" t="n"/>
      <c r="N57" s="19" t="n"/>
      <c r="O57" s="30">
        <f>IF(OR(M57="",N57=""),"",INDEX(RiskGrid,6-VALUE(LEFT(M57,1)),VALUE(LEFT(N57,1))))</f>
        <v/>
      </c>
      <c r="P57" s="30">
        <f>IF(O57="","",IF(O57&gt;=BandVH,"Very High",IF(O57&gt;=BandHigh,"High",IF(O57&gt;=BandMed,"Medium","Low"))))</f>
        <v/>
      </c>
      <c r="Q57" s="4" t="n"/>
      <c r="R57" s="19" t="n"/>
      <c r="S57" s="4" t="n"/>
      <c r="T57" s="19" t="n"/>
      <c r="U57" s="4" t="n"/>
      <c r="V57" s="19" t="n"/>
      <c r="W57" s="4" t="n"/>
      <c r="X57" s="19" t="n"/>
      <c r="Y57" s="4" t="n"/>
      <c r="Z57" s="19" t="n"/>
      <c r="AA57" s="4" t="n"/>
      <c r="AB57" s="19" t="n"/>
      <c r="AC57" s="5">
        <f>_xlfn.TEXTJOIN(CHAR(10),TRUE,IF(Q57="","","• "&amp;Q57&amp;IF(R57="Yes","  [IPL]","")),IF(S57="","","• "&amp;S57&amp;IF(T57="Yes","  [IPL]","")),IF(U57="","","• "&amp;U57&amp;IF(V57="Yes","  [IPL]","")),IF(W57="","","• "&amp;W57&amp;IF(X57="Yes","  [IPL]","")),IF(Y57="","","• "&amp;Y57&amp;IF(Z57="Yes","  [IPL]","")),IF(AA57="","","• "&amp;AA57&amp;IF(AB57="Yes","  [IPL]","")))</f>
        <v/>
      </c>
      <c r="AD57" s="30">
        <f>IF(AC57="","",COUNTIF(Q57:AB57,"Yes"))</f>
        <v/>
      </c>
      <c r="AE57" s="19" t="n"/>
      <c r="AF57" s="19" t="n"/>
      <c r="AG57" s="30">
        <f>IF(OR(AE57="",AF57=""),"",INDEX(RiskGrid,6-VALUE(LEFT(AE57,1)),VALUE(LEFT(AF57,1))))</f>
        <v/>
      </c>
      <c r="AH57" s="30">
        <f>IF(AG57="","",IF(AG57&gt;=BandVH,"Very High",IF(AG57&gt;=BandHigh,"High",IF(AG57&gt;=BandMed,"Medium","Low"))))</f>
        <v/>
      </c>
      <c r="AI57" s="4" t="n"/>
      <c r="AJ57" s="4" t="n"/>
    </row>
    <row r="58">
      <c r="A58" s="30">
        <f>IF(B58="","",COUNTIF(B$14:B58,"?*"))</f>
        <v/>
      </c>
      <c r="B58" s="4" t="n"/>
      <c r="C58" s="19" t="n"/>
      <c r="D58" s="5">
        <f>IF(OR(B58="",C58=""),"",UPPER(LEFT(C58,1))&amp;LOWER(MID(C58,2,30))&amp;" "&amp;LOWER(LEFT(B58,1))&amp;MID(B58,2,200))</f>
        <v/>
      </c>
      <c r="E58" s="4" t="n"/>
      <c r="F58" s="4" t="n"/>
      <c r="G58" s="4" t="n"/>
      <c r="H58" s="4" t="n"/>
      <c r="I58" s="4" t="n"/>
      <c r="J58" s="4" t="n"/>
      <c r="K58" s="5">
        <f>_xlfn.TEXTJOIN(CHAR(10),TRUE,IF(E58="","","• "&amp;E58),IF(F58="","","• "&amp;F58),IF(G58="","","• "&amp;G58),IF(H58="","","• "&amp;H58),IF(I58="","","• "&amp;I58),IF(J58="","","• "&amp;J58))</f>
        <v/>
      </c>
      <c r="L58" s="4" t="n"/>
      <c r="M58" s="19" t="n"/>
      <c r="N58" s="19" t="n"/>
      <c r="O58" s="30">
        <f>IF(OR(M58="",N58=""),"",INDEX(RiskGrid,6-VALUE(LEFT(M58,1)),VALUE(LEFT(N58,1))))</f>
        <v/>
      </c>
      <c r="P58" s="30">
        <f>IF(O58="","",IF(O58&gt;=BandVH,"Very High",IF(O58&gt;=BandHigh,"High",IF(O58&gt;=BandMed,"Medium","Low"))))</f>
        <v/>
      </c>
      <c r="Q58" s="4" t="n"/>
      <c r="R58" s="19" t="n"/>
      <c r="S58" s="4" t="n"/>
      <c r="T58" s="19" t="n"/>
      <c r="U58" s="4" t="n"/>
      <c r="V58" s="19" t="n"/>
      <c r="W58" s="4" t="n"/>
      <c r="X58" s="19" t="n"/>
      <c r="Y58" s="4" t="n"/>
      <c r="Z58" s="19" t="n"/>
      <c r="AA58" s="4" t="n"/>
      <c r="AB58" s="19" t="n"/>
      <c r="AC58" s="5">
        <f>_xlfn.TEXTJOIN(CHAR(10),TRUE,IF(Q58="","","• "&amp;Q58&amp;IF(R58="Yes","  [IPL]","")),IF(S58="","","• "&amp;S58&amp;IF(T58="Yes","  [IPL]","")),IF(U58="","","• "&amp;U58&amp;IF(V58="Yes","  [IPL]","")),IF(W58="","","• "&amp;W58&amp;IF(X58="Yes","  [IPL]","")),IF(Y58="","","• "&amp;Y58&amp;IF(Z58="Yes","  [IPL]","")),IF(AA58="","","• "&amp;AA58&amp;IF(AB58="Yes","  [IPL]","")))</f>
        <v/>
      </c>
      <c r="AD58" s="30">
        <f>IF(AC58="","",COUNTIF(Q58:AB58,"Yes"))</f>
        <v/>
      </c>
      <c r="AE58" s="19" t="n"/>
      <c r="AF58" s="19" t="n"/>
      <c r="AG58" s="30">
        <f>IF(OR(AE58="",AF58=""),"",INDEX(RiskGrid,6-VALUE(LEFT(AE58,1)),VALUE(LEFT(AF58,1))))</f>
        <v/>
      </c>
      <c r="AH58" s="30">
        <f>IF(AG58="","",IF(AG58&gt;=BandVH,"Very High",IF(AG58&gt;=BandHigh,"High",IF(AG58&gt;=BandMed,"Medium","Low"))))</f>
        <v/>
      </c>
      <c r="AI58" s="4" t="n"/>
      <c r="AJ58" s="4" t="n"/>
    </row>
    <row r="59">
      <c r="A59" s="30">
        <f>IF(B59="","",COUNTIF(B$14:B59,"?*"))</f>
        <v/>
      </c>
      <c r="B59" s="4" t="n"/>
      <c r="C59" s="19" t="n"/>
      <c r="D59" s="5">
        <f>IF(OR(B59="",C59=""),"",UPPER(LEFT(C59,1))&amp;LOWER(MID(C59,2,30))&amp;" "&amp;LOWER(LEFT(B59,1))&amp;MID(B59,2,200))</f>
        <v/>
      </c>
      <c r="E59" s="4" t="n"/>
      <c r="F59" s="4" t="n"/>
      <c r="G59" s="4" t="n"/>
      <c r="H59" s="4" t="n"/>
      <c r="I59" s="4" t="n"/>
      <c r="J59" s="4" t="n"/>
      <c r="K59" s="5">
        <f>_xlfn.TEXTJOIN(CHAR(10),TRUE,IF(E59="","","• "&amp;E59),IF(F59="","","• "&amp;F59),IF(G59="","","• "&amp;G59),IF(H59="","","• "&amp;H59),IF(I59="","","• "&amp;I59),IF(J59="","","• "&amp;J59))</f>
        <v/>
      </c>
      <c r="L59" s="4" t="n"/>
      <c r="M59" s="19" t="n"/>
      <c r="N59" s="19" t="n"/>
      <c r="O59" s="30">
        <f>IF(OR(M59="",N59=""),"",INDEX(RiskGrid,6-VALUE(LEFT(M59,1)),VALUE(LEFT(N59,1))))</f>
        <v/>
      </c>
      <c r="P59" s="30">
        <f>IF(O59="","",IF(O59&gt;=BandVH,"Very High",IF(O59&gt;=BandHigh,"High",IF(O59&gt;=BandMed,"Medium","Low"))))</f>
        <v/>
      </c>
      <c r="Q59" s="4" t="n"/>
      <c r="R59" s="19" t="n"/>
      <c r="S59" s="4" t="n"/>
      <c r="T59" s="19" t="n"/>
      <c r="U59" s="4" t="n"/>
      <c r="V59" s="19" t="n"/>
      <c r="W59" s="4" t="n"/>
      <c r="X59" s="19" t="n"/>
      <c r="Y59" s="4" t="n"/>
      <c r="Z59" s="19" t="n"/>
      <c r="AA59" s="4" t="n"/>
      <c r="AB59" s="19" t="n"/>
      <c r="AC59" s="5">
        <f>_xlfn.TEXTJOIN(CHAR(10),TRUE,IF(Q59="","","• "&amp;Q59&amp;IF(R59="Yes","  [IPL]","")),IF(S59="","","• "&amp;S59&amp;IF(T59="Yes","  [IPL]","")),IF(U59="","","• "&amp;U59&amp;IF(V59="Yes","  [IPL]","")),IF(W59="","","• "&amp;W59&amp;IF(X59="Yes","  [IPL]","")),IF(Y59="","","• "&amp;Y59&amp;IF(Z59="Yes","  [IPL]","")),IF(AA59="","","• "&amp;AA59&amp;IF(AB59="Yes","  [IPL]","")))</f>
        <v/>
      </c>
      <c r="AD59" s="30">
        <f>IF(AC59="","",COUNTIF(Q59:AB59,"Yes"))</f>
        <v/>
      </c>
      <c r="AE59" s="19" t="n"/>
      <c r="AF59" s="19" t="n"/>
      <c r="AG59" s="30">
        <f>IF(OR(AE59="",AF59=""),"",INDEX(RiskGrid,6-VALUE(LEFT(AE59,1)),VALUE(LEFT(AF59,1))))</f>
        <v/>
      </c>
      <c r="AH59" s="30">
        <f>IF(AG59="","",IF(AG59&gt;=BandVH,"Very High",IF(AG59&gt;=BandHigh,"High",IF(AG59&gt;=BandMed,"Medium","Low"))))</f>
        <v/>
      </c>
      <c r="AI59" s="4" t="n"/>
      <c r="AJ59" s="4" t="n"/>
    </row>
    <row r="60">
      <c r="A60" s="30">
        <f>IF(B60="","",COUNTIF(B$14:B60,"?*"))</f>
        <v/>
      </c>
      <c r="B60" s="4" t="n"/>
      <c r="C60" s="19" t="n"/>
      <c r="D60" s="5">
        <f>IF(OR(B60="",C60=""),"",UPPER(LEFT(C60,1))&amp;LOWER(MID(C60,2,30))&amp;" "&amp;LOWER(LEFT(B60,1))&amp;MID(B60,2,200))</f>
        <v/>
      </c>
      <c r="E60" s="4" t="n"/>
      <c r="F60" s="4" t="n"/>
      <c r="G60" s="4" t="n"/>
      <c r="H60" s="4" t="n"/>
      <c r="I60" s="4" t="n"/>
      <c r="J60" s="4" t="n"/>
      <c r="K60" s="5">
        <f>_xlfn.TEXTJOIN(CHAR(10),TRUE,IF(E60="","","• "&amp;E60),IF(F60="","","• "&amp;F60),IF(G60="","","• "&amp;G60),IF(H60="","","• "&amp;H60),IF(I60="","","• "&amp;I60),IF(J60="","","• "&amp;J60))</f>
        <v/>
      </c>
      <c r="L60" s="4" t="n"/>
      <c r="M60" s="19" t="n"/>
      <c r="N60" s="19" t="n"/>
      <c r="O60" s="30">
        <f>IF(OR(M60="",N60=""),"",INDEX(RiskGrid,6-VALUE(LEFT(M60,1)),VALUE(LEFT(N60,1))))</f>
        <v/>
      </c>
      <c r="P60" s="30">
        <f>IF(O60="","",IF(O60&gt;=BandVH,"Very High",IF(O60&gt;=BandHigh,"High",IF(O60&gt;=BandMed,"Medium","Low"))))</f>
        <v/>
      </c>
      <c r="Q60" s="4" t="n"/>
      <c r="R60" s="19" t="n"/>
      <c r="S60" s="4" t="n"/>
      <c r="T60" s="19" t="n"/>
      <c r="U60" s="4" t="n"/>
      <c r="V60" s="19" t="n"/>
      <c r="W60" s="4" t="n"/>
      <c r="X60" s="19" t="n"/>
      <c r="Y60" s="4" t="n"/>
      <c r="Z60" s="19" t="n"/>
      <c r="AA60" s="4" t="n"/>
      <c r="AB60" s="19" t="n"/>
      <c r="AC60" s="5">
        <f>_xlfn.TEXTJOIN(CHAR(10),TRUE,IF(Q60="","","• "&amp;Q60&amp;IF(R60="Yes","  [IPL]","")),IF(S60="","","• "&amp;S60&amp;IF(T60="Yes","  [IPL]","")),IF(U60="","","• "&amp;U60&amp;IF(V60="Yes","  [IPL]","")),IF(W60="","","• "&amp;W60&amp;IF(X60="Yes","  [IPL]","")),IF(Y60="","","• "&amp;Y60&amp;IF(Z60="Yes","  [IPL]","")),IF(AA60="","","• "&amp;AA60&amp;IF(AB60="Yes","  [IPL]","")))</f>
        <v/>
      </c>
      <c r="AD60" s="30">
        <f>IF(AC60="","",COUNTIF(Q60:AB60,"Yes"))</f>
        <v/>
      </c>
      <c r="AE60" s="19" t="n"/>
      <c r="AF60" s="19" t="n"/>
      <c r="AG60" s="30">
        <f>IF(OR(AE60="",AF60=""),"",INDEX(RiskGrid,6-VALUE(LEFT(AE60,1)),VALUE(LEFT(AF60,1))))</f>
        <v/>
      </c>
      <c r="AH60" s="30">
        <f>IF(AG60="","",IF(AG60&gt;=BandVH,"Very High",IF(AG60&gt;=BandHigh,"High",IF(AG60&gt;=BandMed,"Medium","Low"))))</f>
        <v/>
      </c>
      <c r="AI60" s="4" t="n"/>
      <c r="AJ60" s="4" t="n"/>
    </row>
    <row r="61">
      <c r="A61" s="30">
        <f>IF(B61="","",COUNTIF(B$14:B61,"?*"))</f>
        <v/>
      </c>
      <c r="B61" s="4" t="n"/>
      <c r="C61" s="19" t="n"/>
      <c r="D61" s="5">
        <f>IF(OR(B61="",C61=""),"",UPPER(LEFT(C61,1))&amp;LOWER(MID(C61,2,30))&amp;" "&amp;LOWER(LEFT(B61,1))&amp;MID(B61,2,200))</f>
        <v/>
      </c>
      <c r="E61" s="4" t="n"/>
      <c r="F61" s="4" t="n"/>
      <c r="G61" s="4" t="n"/>
      <c r="H61" s="4" t="n"/>
      <c r="I61" s="4" t="n"/>
      <c r="J61" s="4" t="n"/>
      <c r="K61" s="5">
        <f>_xlfn.TEXTJOIN(CHAR(10),TRUE,IF(E61="","","• "&amp;E61),IF(F61="","","• "&amp;F61),IF(G61="","","• "&amp;G61),IF(H61="","","• "&amp;H61),IF(I61="","","• "&amp;I61),IF(J61="","","• "&amp;J61))</f>
        <v/>
      </c>
      <c r="L61" s="4" t="n"/>
      <c r="M61" s="19" t="n"/>
      <c r="N61" s="19" t="n"/>
      <c r="O61" s="30">
        <f>IF(OR(M61="",N61=""),"",INDEX(RiskGrid,6-VALUE(LEFT(M61,1)),VALUE(LEFT(N61,1))))</f>
        <v/>
      </c>
      <c r="P61" s="30">
        <f>IF(O61="","",IF(O61&gt;=BandVH,"Very High",IF(O61&gt;=BandHigh,"High",IF(O61&gt;=BandMed,"Medium","Low"))))</f>
        <v/>
      </c>
      <c r="Q61" s="4" t="n"/>
      <c r="R61" s="19" t="n"/>
      <c r="S61" s="4" t="n"/>
      <c r="T61" s="19" t="n"/>
      <c r="U61" s="4" t="n"/>
      <c r="V61" s="19" t="n"/>
      <c r="W61" s="4" t="n"/>
      <c r="X61" s="19" t="n"/>
      <c r="Y61" s="4" t="n"/>
      <c r="Z61" s="19" t="n"/>
      <c r="AA61" s="4" t="n"/>
      <c r="AB61" s="19" t="n"/>
      <c r="AC61" s="5">
        <f>_xlfn.TEXTJOIN(CHAR(10),TRUE,IF(Q61="","","• "&amp;Q61&amp;IF(R61="Yes","  [IPL]","")),IF(S61="","","• "&amp;S61&amp;IF(T61="Yes","  [IPL]","")),IF(U61="","","• "&amp;U61&amp;IF(V61="Yes","  [IPL]","")),IF(W61="","","• "&amp;W61&amp;IF(X61="Yes","  [IPL]","")),IF(Y61="","","• "&amp;Y61&amp;IF(Z61="Yes","  [IPL]","")),IF(AA61="","","• "&amp;AA61&amp;IF(AB61="Yes","  [IPL]","")))</f>
        <v/>
      </c>
      <c r="AD61" s="30">
        <f>IF(AC61="","",COUNTIF(Q61:AB61,"Yes"))</f>
        <v/>
      </c>
      <c r="AE61" s="19" t="n"/>
      <c r="AF61" s="19" t="n"/>
      <c r="AG61" s="30">
        <f>IF(OR(AE61="",AF61=""),"",INDEX(RiskGrid,6-VALUE(LEFT(AE61,1)),VALUE(LEFT(AF61,1))))</f>
        <v/>
      </c>
      <c r="AH61" s="30">
        <f>IF(AG61="","",IF(AG61&gt;=BandVH,"Very High",IF(AG61&gt;=BandHigh,"High",IF(AG61&gt;=BandMed,"Medium","Low"))))</f>
        <v/>
      </c>
      <c r="AI61" s="4" t="n"/>
      <c r="AJ61" s="4" t="n"/>
    </row>
    <row r="62">
      <c r="A62" s="30">
        <f>IF(B62="","",COUNTIF(B$14:B62,"?*"))</f>
        <v/>
      </c>
      <c r="B62" s="4" t="n"/>
      <c r="C62" s="19" t="n"/>
      <c r="D62" s="5">
        <f>IF(OR(B62="",C62=""),"",UPPER(LEFT(C62,1))&amp;LOWER(MID(C62,2,30))&amp;" "&amp;LOWER(LEFT(B62,1))&amp;MID(B62,2,200))</f>
        <v/>
      </c>
      <c r="E62" s="4" t="n"/>
      <c r="F62" s="4" t="n"/>
      <c r="G62" s="4" t="n"/>
      <c r="H62" s="4" t="n"/>
      <c r="I62" s="4" t="n"/>
      <c r="J62" s="4" t="n"/>
      <c r="K62" s="5">
        <f>_xlfn.TEXTJOIN(CHAR(10),TRUE,IF(E62="","","• "&amp;E62),IF(F62="","","• "&amp;F62),IF(G62="","","• "&amp;G62),IF(H62="","","• "&amp;H62),IF(I62="","","• "&amp;I62),IF(J62="","","• "&amp;J62))</f>
        <v/>
      </c>
      <c r="L62" s="4" t="n"/>
      <c r="M62" s="19" t="n"/>
      <c r="N62" s="19" t="n"/>
      <c r="O62" s="30">
        <f>IF(OR(M62="",N62=""),"",INDEX(RiskGrid,6-VALUE(LEFT(M62,1)),VALUE(LEFT(N62,1))))</f>
        <v/>
      </c>
      <c r="P62" s="30">
        <f>IF(O62="","",IF(O62&gt;=BandVH,"Very High",IF(O62&gt;=BandHigh,"High",IF(O62&gt;=BandMed,"Medium","Low"))))</f>
        <v/>
      </c>
      <c r="Q62" s="4" t="n"/>
      <c r="R62" s="19" t="n"/>
      <c r="S62" s="4" t="n"/>
      <c r="T62" s="19" t="n"/>
      <c r="U62" s="4" t="n"/>
      <c r="V62" s="19" t="n"/>
      <c r="W62" s="4" t="n"/>
      <c r="X62" s="19" t="n"/>
      <c r="Y62" s="4" t="n"/>
      <c r="Z62" s="19" t="n"/>
      <c r="AA62" s="4" t="n"/>
      <c r="AB62" s="19" t="n"/>
      <c r="AC62" s="5">
        <f>_xlfn.TEXTJOIN(CHAR(10),TRUE,IF(Q62="","","• "&amp;Q62&amp;IF(R62="Yes","  [IPL]","")),IF(S62="","","• "&amp;S62&amp;IF(T62="Yes","  [IPL]","")),IF(U62="","","• "&amp;U62&amp;IF(V62="Yes","  [IPL]","")),IF(W62="","","• "&amp;W62&amp;IF(X62="Yes","  [IPL]","")),IF(Y62="","","• "&amp;Y62&amp;IF(Z62="Yes","  [IPL]","")),IF(AA62="","","• "&amp;AA62&amp;IF(AB62="Yes","  [IPL]","")))</f>
        <v/>
      </c>
      <c r="AD62" s="30">
        <f>IF(AC62="","",COUNTIF(Q62:AB62,"Yes"))</f>
        <v/>
      </c>
      <c r="AE62" s="19" t="n"/>
      <c r="AF62" s="19" t="n"/>
      <c r="AG62" s="30">
        <f>IF(OR(AE62="",AF62=""),"",INDEX(RiskGrid,6-VALUE(LEFT(AE62,1)),VALUE(LEFT(AF62,1))))</f>
        <v/>
      </c>
      <c r="AH62" s="30">
        <f>IF(AG62="","",IF(AG62&gt;=BandVH,"Very High",IF(AG62&gt;=BandHigh,"High",IF(AG62&gt;=BandMed,"Medium","Low"))))</f>
        <v/>
      </c>
      <c r="AI62" s="4" t="n"/>
      <c r="AJ62" s="4" t="n"/>
    </row>
    <row r="63">
      <c r="A63" s="30">
        <f>IF(B63="","",COUNTIF(B$14:B63,"?*"))</f>
        <v/>
      </c>
      <c r="B63" s="4" t="n"/>
      <c r="C63" s="19" t="n"/>
      <c r="D63" s="5">
        <f>IF(OR(B63="",C63=""),"",UPPER(LEFT(C63,1))&amp;LOWER(MID(C63,2,30))&amp;" "&amp;LOWER(LEFT(B63,1))&amp;MID(B63,2,200))</f>
        <v/>
      </c>
      <c r="E63" s="4" t="n"/>
      <c r="F63" s="4" t="n"/>
      <c r="G63" s="4" t="n"/>
      <c r="H63" s="4" t="n"/>
      <c r="I63" s="4" t="n"/>
      <c r="J63" s="4" t="n"/>
      <c r="K63" s="5">
        <f>_xlfn.TEXTJOIN(CHAR(10),TRUE,IF(E63="","","• "&amp;E63),IF(F63="","","• "&amp;F63),IF(G63="","","• "&amp;G63),IF(H63="","","• "&amp;H63),IF(I63="","","• "&amp;I63),IF(J63="","","• "&amp;J63))</f>
        <v/>
      </c>
      <c r="L63" s="4" t="n"/>
      <c r="M63" s="19" t="n"/>
      <c r="N63" s="19" t="n"/>
      <c r="O63" s="30">
        <f>IF(OR(M63="",N63=""),"",INDEX(RiskGrid,6-VALUE(LEFT(M63,1)),VALUE(LEFT(N63,1))))</f>
        <v/>
      </c>
      <c r="P63" s="30">
        <f>IF(O63="","",IF(O63&gt;=BandVH,"Very High",IF(O63&gt;=BandHigh,"High",IF(O63&gt;=BandMed,"Medium","Low"))))</f>
        <v/>
      </c>
      <c r="Q63" s="4" t="n"/>
      <c r="R63" s="19" t="n"/>
      <c r="S63" s="4" t="n"/>
      <c r="T63" s="19" t="n"/>
      <c r="U63" s="4" t="n"/>
      <c r="V63" s="19" t="n"/>
      <c r="W63" s="4" t="n"/>
      <c r="X63" s="19" t="n"/>
      <c r="Y63" s="4" t="n"/>
      <c r="Z63" s="19" t="n"/>
      <c r="AA63" s="4" t="n"/>
      <c r="AB63" s="19" t="n"/>
      <c r="AC63" s="5">
        <f>_xlfn.TEXTJOIN(CHAR(10),TRUE,IF(Q63="","","• "&amp;Q63&amp;IF(R63="Yes","  [IPL]","")),IF(S63="","","• "&amp;S63&amp;IF(T63="Yes","  [IPL]","")),IF(U63="","","• "&amp;U63&amp;IF(V63="Yes","  [IPL]","")),IF(W63="","","• "&amp;W63&amp;IF(X63="Yes","  [IPL]","")),IF(Y63="","","• "&amp;Y63&amp;IF(Z63="Yes","  [IPL]","")),IF(AA63="","","• "&amp;AA63&amp;IF(AB63="Yes","  [IPL]","")))</f>
        <v/>
      </c>
      <c r="AD63" s="30">
        <f>IF(AC63="","",COUNTIF(Q63:AB63,"Yes"))</f>
        <v/>
      </c>
      <c r="AE63" s="19" t="n"/>
      <c r="AF63" s="19" t="n"/>
      <c r="AG63" s="30">
        <f>IF(OR(AE63="",AF63=""),"",INDEX(RiskGrid,6-VALUE(LEFT(AE63,1)),VALUE(LEFT(AF63,1))))</f>
        <v/>
      </c>
      <c r="AH63" s="30">
        <f>IF(AG63="","",IF(AG63&gt;=BandVH,"Very High",IF(AG63&gt;=BandHigh,"High",IF(AG63&gt;=BandMed,"Medium","Low"))))</f>
        <v/>
      </c>
      <c r="AI63" s="4" t="n"/>
      <c r="AJ63" s="4" t="n"/>
    </row>
    <row r="64">
      <c r="A64" s="30">
        <f>IF(B64="","",COUNTIF(B$14:B64,"?*"))</f>
        <v/>
      </c>
      <c r="B64" s="4" t="n"/>
      <c r="C64" s="19" t="n"/>
      <c r="D64" s="5">
        <f>IF(OR(B64="",C64=""),"",UPPER(LEFT(C64,1))&amp;LOWER(MID(C64,2,30))&amp;" "&amp;LOWER(LEFT(B64,1))&amp;MID(B64,2,200))</f>
        <v/>
      </c>
      <c r="E64" s="4" t="n"/>
      <c r="F64" s="4" t="n"/>
      <c r="G64" s="4" t="n"/>
      <c r="H64" s="4" t="n"/>
      <c r="I64" s="4" t="n"/>
      <c r="J64" s="4" t="n"/>
      <c r="K64" s="5">
        <f>_xlfn.TEXTJOIN(CHAR(10),TRUE,IF(E64="","","• "&amp;E64),IF(F64="","","• "&amp;F64),IF(G64="","","• "&amp;G64),IF(H64="","","• "&amp;H64),IF(I64="","","• "&amp;I64),IF(J64="","","• "&amp;J64))</f>
        <v/>
      </c>
      <c r="L64" s="4" t="n"/>
      <c r="M64" s="19" t="n"/>
      <c r="N64" s="19" t="n"/>
      <c r="O64" s="30">
        <f>IF(OR(M64="",N64=""),"",INDEX(RiskGrid,6-VALUE(LEFT(M64,1)),VALUE(LEFT(N64,1))))</f>
        <v/>
      </c>
      <c r="P64" s="30">
        <f>IF(O64="","",IF(O64&gt;=BandVH,"Very High",IF(O64&gt;=BandHigh,"High",IF(O64&gt;=BandMed,"Medium","Low"))))</f>
        <v/>
      </c>
      <c r="Q64" s="4" t="n"/>
      <c r="R64" s="19" t="n"/>
      <c r="S64" s="4" t="n"/>
      <c r="T64" s="19" t="n"/>
      <c r="U64" s="4" t="n"/>
      <c r="V64" s="19" t="n"/>
      <c r="W64" s="4" t="n"/>
      <c r="X64" s="19" t="n"/>
      <c r="Y64" s="4" t="n"/>
      <c r="Z64" s="19" t="n"/>
      <c r="AA64" s="4" t="n"/>
      <c r="AB64" s="19" t="n"/>
      <c r="AC64" s="5">
        <f>_xlfn.TEXTJOIN(CHAR(10),TRUE,IF(Q64="","","• "&amp;Q64&amp;IF(R64="Yes","  [IPL]","")),IF(S64="","","• "&amp;S64&amp;IF(T64="Yes","  [IPL]","")),IF(U64="","","• "&amp;U64&amp;IF(V64="Yes","  [IPL]","")),IF(W64="","","• "&amp;W64&amp;IF(X64="Yes","  [IPL]","")),IF(Y64="","","• "&amp;Y64&amp;IF(Z64="Yes","  [IPL]","")),IF(AA64="","","• "&amp;AA64&amp;IF(AB64="Yes","  [IPL]","")))</f>
        <v/>
      </c>
      <c r="AD64" s="30">
        <f>IF(AC64="","",COUNTIF(Q64:AB64,"Yes"))</f>
        <v/>
      </c>
      <c r="AE64" s="19" t="n"/>
      <c r="AF64" s="19" t="n"/>
      <c r="AG64" s="30">
        <f>IF(OR(AE64="",AF64=""),"",INDEX(RiskGrid,6-VALUE(LEFT(AE64,1)),VALUE(LEFT(AF64,1))))</f>
        <v/>
      </c>
      <c r="AH64" s="30">
        <f>IF(AG64="","",IF(AG64&gt;=BandVH,"Very High",IF(AG64&gt;=BandHigh,"High",IF(AG64&gt;=BandMed,"Medium","Low"))))</f>
        <v/>
      </c>
      <c r="AI64" s="4" t="n"/>
      <c r="AJ64" s="4" t="n"/>
    </row>
    <row r="65">
      <c r="A65" s="30">
        <f>IF(B65="","",COUNTIF(B$14:B65,"?*"))</f>
        <v/>
      </c>
      <c r="B65" s="4" t="n"/>
      <c r="C65" s="19" t="n"/>
      <c r="D65" s="5">
        <f>IF(OR(B65="",C65=""),"",UPPER(LEFT(C65,1))&amp;LOWER(MID(C65,2,30))&amp;" "&amp;LOWER(LEFT(B65,1))&amp;MID(B65,2,200))</f>
        <v/>
      </c>
      <c r="E65" s="4" t="n"/>
      <c r="F65" s="4" t="n"/>
      <c r="G65" s="4" t="n"/>
      <c r="H65" s="4" t="n"/>
      <c r="I65" s="4" t="n"/>
      <c r="J65" s="4" t="n"/>
      <c r="K65" s="5">
        <f>_xlfn.TEXTJOIN(CHAR(10),TRUE,IF(E65="","","• "&amp;E65),IF(F65="","","• "&amp;F65),IF(G65="","","• "&amp;G65),IF(H65="","","• "&amp;H65),IF(I65="","","• "&amp;I65),IF(J65="","","• "&amp;J65))</f>
        <v/>
      </c>
      <c r="L65" s="4" t="n"/>
      <c r="M65" s="19" t="n"/>
      <c r="N65" s="19" t="n"/>
      <c r="O65" s="30">
        <f>IF(OR(M65="",N65=""),"",INDEX(RiskGrid,6-VALUE(LEFT(M65,1)),VALUE(LEFT(N65,1))))</f>
        <v/>
      </c>
      <c r="P65" s="30">
        <f>IF(O65="","",IF(O65&gt;=BandVH,"Very High",IF(O65&gt;=BandHigh,"High",IF(O65&gt;=BandMed,"Medium","Low"))))</f>
        <v/>
      </c>
      <c r="Q65" s="4" t="n"/>
      <c r="R65" s="19" t="n"/>
      <c r="S65" s="4" t="n"/>
      <c r="T65" s="19" t="n"/>
      <c r="U65" s="4" t="n"/>
      <c r="V65" s="19" t="n"/>
      <c r="W65" s="4" t="n"/>
      <c r="X65" s="19" t="n"/>
      <c r="Y65" s="4" t="n"/>
      <c r="Z65" s="19" t="n"/>
      <c r="AA65" s="4" t="n"/>
      <c r="AB65" s="19" t="n"/>
      <c r="AC65" s="5">
        <f>_xlfn.TEXTJOIN(CHAR(10),TRUE,IF(Q65="","","• "&amp;Q65&amp;IF(R65="Yes","  [IPL]","")),IF(S65="","","• "&amp;S65&amp;IF(T65="Yes","  [IPL]","")),IF(U65="","","• "&amp;U65&amp;IF(V65="Yes","  [IPL]","")),IF(W65="","","• "&amp;W65&amp;IF(X65="Yes","  [IPL]","")),IF(Y65="","","• "&amp;Y65&amp;IF(Z65="Yes","  [IPL]","")),IF(AA65="","","• "&amp;AA65&amp;IF(AB65="Yes","  [IPL]","")))</f>
        <v/>
      </c>
      <c r="AD65" s="30">
        <f>IF(AC65="","",COUNTIF(Q65:AB65,"Yes"))</f>
        <v/>
      </c>
      <c r="AE65" s="19" t="n"/>
      <c r="AF65" s="19" t="n"/>
      <c r="AG65" s="30">
        <f>IF(OR(AE65="",AF65=""),"",INDEX(RiskGrid,6-VALUE(LEFT(AE65,1)),VALUE(LEFT(AF65,1))))</f>
        <v/>
      </c>
      <c r="AH65" s="30">
        <f>IF(AG65="","",IF(AG65&gt;=BandVH,"Very High",IF(AG65&gt;=BandHigh,"High",IF(AG65&gt;=BandMed,"Medium","Low"))))</f>
        <v/>
      </c>
      <c r="AI65" s="4" t="n"/>
      <c r="AJ65" s="4" t="n"/>
    </row>
    <row r="66">
      <c r="A66" s="30">
        <f>IF(B66="","",COUNTIF(B$14:B66,"?*"))</f>
        <v/>
      </c>
      <c r="B66" s="4" t="n"/>
      <c r="C66" s="19" t="n"/>
      <c r="D66" s="5">
        <f>IF(OR(B66="",C66=""),"",UPPER(LEFT(C66,1))&amp;LOWER(MID(C66,2,30))&amp;" "&amp;LOWER(LEFT(B66,1))&amp;MID(B66,2,200))</f>
        <v/>
      </c>
      <c r="E66" s="4" t="n"/>
      <c r="F66" s="4" t="n"/>
      <c r="G66" s="4" t="n"/>
      <c r="H66" s="4" t="n"/>
      <c r="I66" s="4" t="n"/>
      <c r="J66" s="4" t="n"/>
      <c r="K66" s="5">
        <f>_xlfn.TEXTJOIN(CHAR(10),TRUE,IF(E66="","","• "&amp;E66),IF(F66="","","• "&amp;F66),IF(G66="","","• "&amp;G66),IF(H66="","","• "&amp;H66),IF(I66="","","• "&amp;I66),IF(J66="","","• "&amp;J66))</f>
        <v/>
      </c>
      <c r="L66" s="4" t="n"/>
      <c r="M66" s="19" t="n"/>
      <c r="N66" s="19" t="n"/>
      <c r="O66" s="30">
        <f>IF(OR(M66="",N66=""),"",INDEX(RiskGrid,6-VALUE(LEFT(M66,1)),VALUE(LEFT(N66,1))))</f>
        <v/>
      </c>
      <c r="P66" s="30">
        <f>IF(O66="","",IF(O66&gt;=BandVH,"Very High",IF(O66&gt;=BandHigh,"High",IF(O66&gt;=BandMed,"Medium","Low"))))</f>
        <v/>
      </c>
      <c r="Q66" s="4" t="n"/>
      <c r="R66" s="19" t="n"/>
      <c r="S66" s="4" t="n"/>
      <c r="T66" s="19" t="n"/>
      <c r="U66" s="4" t="n"/>
      <c r="V66" s="19" t="n"/>
      <c r="W66" s="4" t="n"/>
      <c r="X66" s="19" t="n"/>
      <c r="Y66" s="4" t="n"/>
      <c r="Z66" s="19" t="n"/>
      <c r="AA66" s="4" t="n"/>
      <c r="AB66" s="19" t="n"/>
      <c r="AC66" s="5">
        <f>_xlfn.TEXTJOIN(CHAR(10),TRUE,IF(Q66="","","• "&amp;Q66&amp;IF(R66="Yes","  [IPL]","")),IF(S66="","","• "&amp;S66&amp;IF(T66="Yes","  [IPL]","")),IF(U66="","","• "&amp;U66&amp;IF(V66="Yes","  [IPL]","")),IF(W66="","","• "&amp;W66&amp;IF(X66="Yes","  [IPL]","")),IF(Y66="","","• "&amp;Y66&amp;IF(Z66="Yes","  [IPL]","")),IF(AA66="","","• "&amp;AA66&amp;IF(AB66="Yes","  [IPL]","")))</f>
        <v/>
      </c>
      <c r="AD66" s="30">
        <f>IF(AC66="","",COUNTIF(Q66:AB66,"Yes"))</f>
        <v/>
      </c>
      <c r="AE66" s="19" t="n"/>
      <c r="AF66" s="19" t="n"/>
      <c r="AG66" s="30">
        <f>IF(OR(AE66="",AF66=""),"",INDEX(RiskGrid,6-VALUE(LEFT(AE66,1)),VALUE(LEFT(AF66,1))))</f>
        <v/>
      </c>
      <c r="AH66" s="30">
        <f>IF(AG66="","",IF(AG66&gt;=BandVH,"Very High",IF(AG66&gt;=BandHigh,"High",IF(AG66&gt;=BandMed,"Medium","Low"))))</f>
        <v/>
      </c>
      <c r="AI66" s="4" t="n"/>
      <c r="AJ66" s="4" t="n"/>
    </row>
    <row r="67">
      <c r="A67" s="30">
        <f>IF(B67="","",COUNTIF(B$14:B67,"?*"))</f>
        <v/>
      </c>
      <c r="B67" s="4" t="n"/>
      <c r="C67" s="19" t="n"/>
      <c r="D67" s="5">
        <f>IF(OR(B67="",C67=""),"",UPPER(LEFT(C67,1))&amp;LOWER(MID(C67,2,30))&amp;" "&amp;LOWER(LEFT(B67,1))&amp;MID(B67,2,200))</f>
        <v/>
      </c>
      <c r="E67" s="4" t="n"/>
      <c r="F67" s="4" t="n"/>
      <c r="G67" s="4" t="n"/>
      <c r="H67" s="4" t="n"/>
      <c r="I67" s="4" t="n"/>
      <c r="J67" s="4" t="n"/>
      <c r="K67" s="5">
        <f>_xlfn.TEXTJOIN(CHAR(10),TRUE,IF(E67="","","• "&amp;E67),IF(F67="","","• "&amp;F67),IF(G67="","","• "&amp;G67),IF(H67="","","• "&amp;H67),IF(I67="","","• "&amp;I67),IF(J67="","","• "&amp;J67))</f>
        <v/>
      </c>
      <c r="L67" s="4" t="n"/>
      <c r="M67" s="19" t="n"/>
      <c r="N67" s="19" t="n"/>
      <c r="O67" s="30">
        <f>IF(OR(M67="",N67=""),"",INDEX(RiskGrid,6-VALUE(LEFT(M67,1)),VALUE(LEFT(N67,1))))</f>
        <v/>
      </c>
      <c r="P67" s="30">
        <f>IF(O67="","",IF(O67&gt;=BandVH,"Very High",IF(O67&gt;=BandHigh,"High",IF(O67&gt;=BandMed,"Medium","Low"))))</f>
        <v/>
      </c>
      <c r="Q67" s="4" t="n"/>
      <c r="R67" s="19" t="n"/>
      <c r="S67" s="4" t="n"/>
      <c r="T67" s="19" t="n"/>
      <c r="U67" s="4" t="n"/>
      <c r="V67" s="19" t="n"/>
      <c r="W67" s="4" t="n"/>
      <c r="X67" s="19" t="n"/>
      <c r="Y67" s="4" t="n"/>
      <c r="Z67" s="19" t="n"/>
      <c r="AA67" s="4" t="n"/>
      <c r="AB67" s="19" t="n"/>
      <c r="AC67" s="5">
        <f>_xlfn.TEXTJOIN(CHAR(10),TRUE,IF(Q67="","","• "&amp;Q67&amp;IF(R67="Yes","  [IPL]","")),IF(S67="","","• "&amp;S67&amp;IF(T67="Yes","  [IPL]","")),IF(U67="","","• "&amp;U67&amp;IF(V67="Yes","  [IPL]","")),IF(W67="","","• "&amp;W67&amp;IF(X67="Yes","  [IPL]","")),IF(Y67="","","• "&amp;Y67&amp;IF(Z67="Yes","  [IPL]","")),IF(AA67="","","• "&amp;AA67&amp;IF(AB67="Yes","  [IPL]","")))</f>
        <v/>
      </c>
      <c r="AD67" s="30">
        <f>IF(AC67="","",COUNTIF(Q67:AB67,"Yes"))</f>
        <v/>
      </c>
      <c r="AE67" s="19" t="n"/>
      <c r="AF67" s="19" t="n"/>
      <c r="AG67" s="30">
        <f>IF(OR(AE67="",AF67=""),"",INDEX(RiskGrid,6-VALUE(LEFT(AE67,1)),VALUE(LEFT(AF67,1))))</f>
        <v/>
      </c>
      <c r="AH67" s="30">
        <f>IF(AG67="","",IF(AG67&gt;=BandVH,"Very High",IF(AG67&gt;=BandHigh,"High",IF(AG67&gt;=BandMed,"Medium","Low"))))</f>
        <v/>
      </c>
      <c r="AI67" s="4" t="n"/>
      <c r="AJ67" s="4" t="n"/>
    </row>
    <row r="68">
      <c r="A68" s="30">
        <f>IF(B68="","",COUNTIF(B$14:B68,"?*"))</f>
        <v/>
      </c>
      <c r="B68" s="4" t="n"/>
      <c r="C68" s="19" t="n"/>
      <c r="D68" s="5">
        <f>IF(OR(B68="",C68=""),"",UPPER(LEFT(C68,1))&amp;LOWER(MID(C68,2,30))&amp;" "&amp;LOWER(LEFT(B68,1))&amp;MID(B68,2,200))</f>
        <v/>
      </c>
      <c r="E68" s="4" t="n"/>
      <c r="F68" s="4" t="n"/>
      <c r="G68" s="4" t="n"/>
      <c r="H68" s="4" t="n"/>
      <c r="I68" s="4" t="n"/>
      <c r="J68" s="4" t="n"/>
      <c r="K68" s="5">
        <f>_xlfn.TEXTJOIN(CHAR(10),TRUE,IF(E68="","","• "&amp;E68),IF(F68="","","• "&amp;F68),IF(G68="","","• "&amp;G68),IF(H68="","","• "&amp;H68),IF(I68="","","• "&amp;I68),IF(J68="","","• "&amp;J68))</f>
        <v/>
      </c>
      <c r="L68" s="4" t="n"/>
      <c r="M68" s="19" t="n"/>
      <c r="N68" s="19" t="n"/>
      <c r="O68" s="30">
        <f>IF(OR(M68="",N68=""),"",INDEX(RiskGrid,6-VALUE(LEFT(M68,1)),VALUE(LEFT(N68,1))))</f>
        <v/>
      </c>
      <c r="P68" s="30">
        <f>IF(O68="","",IF(O68&gt;=BandVH,"Very High",IF(O68&gt;=BandHigh,"High",IF(O68&gt;=BandMed,"Medium","Low"))))</f>
        <v/>
      </c>
      <c r="Q68" s="4" t="n"/>
      <c r="R68" s="19" t="n"/>
      <c r="S68" s="4" t="n"/>
      <c r="T68" s="19" t="n"/>
      <c r="U68" s="4" t="n"/>
      <c r="V68" s="19" t="n"/>
      <c r="W68" s="4" t="n"/>
      <c r="X68" s="19" t="n"/>
      <c r="Y68" s="4" t="n"/>
      <c r="Z68" s="19" t="n"/>
      <c r="AA68" s="4" t="n"/>
      <c r="AB68" s="19" t="n"/>
      <c r="AC68" s="5">
        <f>_xlfn.TEXTJOIN(CHAR(10),TRUE,IF(Q68="","","• "&amp;Q68&amp;IF(R68="Yes","  [IPL]","")),IF(S68="","","• "&amp;S68&amp;IF(T68="Yes","  [IPL]","")),IF(U68="","","• "&amp;U68&amp;IF(V68="Yes","  [IPL]","")),IF(W68="","","• "&amp;W68&amp;IF(X68="Yes","  [IPL]","")),IF(Y68="","","• "&amp;Y68&amp;IF(Z68="Yes","  [IPL]","")),IF(AA68="","","• "&amp;AA68&amp;IF(AB68="Yes","  [IPL]","")))</f>
        <v/>
      </c>
      <c r="AD68" s="30">
        <f>IF(AC68="","",COUNTIF(Q68:AB68,"Yes"))</f>
        <v/>
      </c>
      <c r="AE68" s="19" t="n"/>
      <c r="AF68" s="19" t="n"/>
      <c r="AG68" s="30">
        <f>IF(OR(AE68="",AF68=""),"",INDEX(RiskGrid,6-VALUE(LEFT(AE68,1)),VALUE(LEFT(AF68,1))))</f>
        <v/>
      </c>
      <c r="AH68" s="30">
        <f>IF(AG68="","",IF(AG68&gt;=BandVH,"Very High",IF(AG68&gt;=BandHigh,"High",IF(AG68&gt;=BandMed,"Medium","Low"))))</f>
        <v/>
      </c>
      <c r="AI68" s="4" t="n"/>
      <c r="AJ68" s="4" t="n"/>
    </row>
    <row r="69">
      <c r="A69" s="30">
        <f>IF(B69="","",COUNTIF(B$14:B69,"?*"))</f>
        <v/>
      </c>
      <c r="B69" s="4" t="n"/>
      <c r="C69" s="19" t="n"/>
      <c r="D69" s="5">
        <f>IF(OR(B69="",C69=""),"",UPPER(LEFT(C69,1))&amp;LOWER(MID(C69,2,30))&amp;" "&amp;LOWER(LEFT(B69,1))&amp;MID(B69,2,200))</f>
        <v/>
      </c>
      <c r="E69" s="4" t="n"/>
      <c r="F69" s="4" t="n"/>
      <c r="G69" s="4" t="n"/>
      <c r="H69" s="4" t="n"/>
      <c r="I69" s="4" t="n"/>
      <c r="J69" s="4" t="n"/>
      <c r="K69" s="5">
        <f>_xlfn.TEXTJOIN(CHAR(10),TRUE,IF(E69="","","• "&amp;E69),IF(F69="","","• "&amp;F69),IF(G69="","","• "&amp;G69),IF(H69="","","• "&amp;H69),IF(I69="","","• "&amp;I69),IF(J69="","","• "&amp;J69))</f>
        <v/>
      </c>
      <c r="L69" s="4" t="n"/>
      <c r="M69" s="19" t="n"/>
      <c r="N69" s="19" t="n"/>
      <c r="O69" s="30">
        <f>IF(OR(M69="",N69=""),"",INDEX(RiskGrid,6-VALUE(LEFT(M69,1)),VALUE(LEFT(N69,1))))</f>
        <v/>
      </c>
      <c r="P69" s="30">
        <f>IF(O69="","",IF(O69&gt;=BandVH,"Very High",IF(O69&gt;=BandHigh,"High",IF(O69&gt;=BandMed,"Medium","Low"))))</f>
        <v/>
      </c>
      <c r="Q69" s="4" t="n"/>
      <c r="R69" s="19" t="n"/>
      <c r="S69" s="4" t="n"/>
      <c r="T69" s="19" t="n"/>
      <c r="U69" s="4" t="n"/>
      <c r="V69" s="19" t="n"/>
      <c r="W69" s="4" t="n"/>
      <c r="X69" s="19" t="n"/>
      <c r="Y69" s="4" t="n"/>
      <c r="Z69" s="19" t="n"/>
      <c r="AA69" s="4" t="n"/>
      <c r="AB69" s="19" t="n"/>
      <c r="AC69" s="5">
        <f>_xlfn.TEXTJOIN(CHAR(10),TRUE,IF(Q69="","","• "&amp;Q69&amp;IF(R69="Yes","  [IPL]","")),IF(S69="","","• "&amp;S69&amp;IF(T69="Yes","  [IPL]","")),IF(U69="","","• "&amp;U69&amp;IF(V69="Yes","  [IPL]","")),IF(W69="","","• "&amp;W69&amp;IF(X69="Yes","  [IPL]","")),IF(Y69="","","• "&amp;Y69&amp;IF(Z69="Yes","  [IPL]","")),IF(AA69="","","• "&amp;AA69&amp;IF(AB69="Yes","  [IPL]","")))</f>
        <v/>
      </c>
      <c r="AD69" s="30">
        <f>IF(AC69="","",COUNTIF(Q69:AB69,"Yes"))</f>
        <v/>
      </c>
      <c r="AE69" s="19" t="n"/>
      <c r="AF69" s="19" t="n"/>
      <c r="AG69" s="30">
        <f>IF(OR(AE69="",AF69=""),"",INDEX(RiskGrid,6-VALUE(LEFT(AE69,1)),VALUE(LEFT(AF69,1))))</f>
        <v/>
      </c>
      <c r="AH69" s="30">
        <f>IF(AG69="","",IF(AG69&gt;=BandVH,"Very High",IF(AG69&gt;=BandHigh,"High",IF(AG69&gt;=BandMed,"Medium","Low"))))</f>
        <v/>
      </c>
      <c r="AI69" s="4" t="n"/>
      <c r="AJ69" s="4" t="n"/>
    </row>
    <row r="70">
      <c r="A70" s="30">
        <f>IF(B70="","",COUNTIF(B$14:B70,"?*"))</f>
        <v/>
      </c>
      <c r="B70" s="4" t="n"/>
      <c r="C70" s="19" t="n"/>
      <c r="D70" s="5">
        <f>IF(OR(B70="",C70=""),"",UPPER(LEFT(C70,1))&amp;LOWER(MID(C70,2,30))&amp;" "&amp;LOWER(LEFT(B70,1))&amp;MID(B70,2,200))</f>
        <v/>
      </c>
      <c r="E70" s="4" t="n"/>
      <c r="F70" s="4" t="n"/>
      <c r="G70" s="4" t="n"/>
      <c r="H70" s="4" t="n"/>
      <c r="I70" s="4" t="n"/>
      <c r="J70" s="4" t="n"/>
      <c r="K70" s="5">
        <f>_xlfn.TEXTJOIN(CHAR(10),TRUE,IF(E70="","","• "&amp;E70),IF(F70="","","• "&amp;F70),IF(G70="","","• "&amp;G70),IF(H70="","","• "&amp;H70),IF(I70="","","• "&amp;I70),IF(J70="","","• "&amp;J70))</f>
        <v/>
      </c>
      <c r="L70" s="4" t="n"/>
      <c r="M70" s="19" t="n"/>
      <c r="N70" s="19" t="n"/>
      <c r="O70" s="30">
        <f>IF(OR(M70="",N70=""),"",INDEX(RiskGrid,6-VALUE(LEFT(M70,1)),VALUE(LEFT(N70,1))))</f>
        <v/>
      </c>
      <c r="P70" s="30">
        <f>IF(O70="","",IF(O70&gt;=BandVH,"Very High",IF(O70&gt;=BandHigh,"High",IF(O70&gt;=BandMed,"Medium","Low"))))</f>
        <v/>
      </c>
      <c r="Q70" s="4" t="n"/>
      <c r="R70" s="19" t="n"/>
      <c r="S70" s="4" t="n"/>
      <c r="T70" s="19" t="n"/>
      <c r="U70" s="4" t="n"/>
      <c r="V70" s="19" t="n"/>
      <c r="W70" s="4" t="n"/>
      <c r="X70" s="19" t="n"/>
      <c r="Y70" s="4" t="n"/>
      <c r="Z70" s="19" t="n"/>
      <c r="AA70" s="4" t="n"/>
      <c r="AB70" s="19" t="n"/>
      <c r="AC70" s="5">
        <f>_xlfn.TEXTJOIN(CHAR(10),TRUE,IF(Q70="","","• "&amp;Q70&amp;IF(R70="Yes","  [IPL]","")),IF(S70="","","• "&amp;S70&amp;IF(T70="Yes","  [IPL]","")),IF(U70="","","• "&amp;U70&amp;IF(V70="Yes","  [IPL]","")),IF(W70="","","• "&amp;W70&amp;IF(X70="Yes","  [IPL]","")),IF(Y70="","","• "&amp;Y70&amp;IF(Z70="Yes","  [IPL]","")),IF(AA70="","","• "&amp;AA70&amp;IF(AB70="Yes","  [IPL]","")))</f>
        <v/>
      </c>
      <c r="AD70" s="30">
        <f>IF(AC70="","",COUNTIF(Q70:AB70,"Yes"))</f>
        <v/>
      </c>
      <c r="AE70" s="19" t="n"/>
      <c r="AF70" s="19" t="n"/>
      <c r="AG70" s="30">
        <f>IF(OR(AE70="",AF70=""),"",INDEX(RiskGrid,6-VALUE(LEFT(AE70,1)),VALUE(LEFT(AF70,1))))</f>
        <v/>
      </c>
      <c r="AH70" s="30">
        <f>IF(AG70="","",IF(AG70&gt;=BandVH,"Very High",IF(AG70&gt;=BandHigh,"High",IF(AG70&gt;=BandMed,"Medium","Low"))))</f>
        <v/>
      </c>
      <c r="AI70" s="4" t="n"/>
      <c r="AJ70" s="4" t="n"/>
    </row>
    <row r="71">
      <c r="A71" s="30">
        <f>IF(B71="","",COUNTIF(B$14:B71,"?*"))</f>
        <v/>
      </c>
      <c r="B71" s="4" t="n"/>
      <c r="C71" s="19" t="n"/>
      <c r="D71" s="5">
        <f>IF(OR(B71="",C71=""),"",UPPER(LEFT(C71,1))&amp;LOWER(MID(C71,2,30))&amp;" "&amp;LOWER(LEFT(B71,1))&amp;MID(B71,2,200))</f>
        <v/>
      </c>
      <c r="E71" s="4" t="n"/>
      <c r="F71" s="4" t="n"/>
      <c r="G71" s="4" t="n"/>
      <c r="H71" s="4" t="n"/>
      <c r="I71" s="4" t="n"/>
      <c r="J71" s="4" t="n"/>
      <c r="K71" s="5">
        <f>_xlfn.TEXTJOIN(CHAR(10),TRUE,IF(E71="","","• "&amp;E71),IF(F71="","","• "&amp;F71),IF(G71="","","• "&amp;G71),IF(H71="","","• "&amp;H71),IF(I71="","","• "&amp;I71),IF(J71="","","• "&amp;J71))</f>
        <v/>
      </c>
      <c r="L71" s="4" t="n"/>
      <c r="M71" s="19" t="n"/>
      <c r="N71" s="19" t="n"/>
      <c r="O71" s="30">
        <f>IF(OR(M71="",N71=""),"",INDEX(RiskGrid,6-VALUE(LEFT(M71,1)),VALUE(LEFT(N71,1))))</f>
        <v/>
      </c>
      <c r="P71" s="30">
        <f>IF(O71="","",IF(O71&gt;=BandVH,"Very High",IF(O71&gt;=BandHigh,"High",IF(O71&gt;=BandMed,"Medium","Low"))))</f>
        <v/>
      </c>
      <c r="Q71" s="4" t="n"/>
      <c r="R71" s="19" t="n"/>
      <c r="S71" s="4" t="n"/>
      <c r="T71" s="19" t="n"/>
      <c r="U71" s="4" t="n"/>
      <c r="V71" s="19" t="n"/>
      <c r="W71" s="4" t="n"/>
      <c r="X71" s="19" t="n"/>
      <c r="Y71" s="4" t="n"/>
      <c r="Z71" s="19" t="n"/>
      <c r="AA71" s="4" t="n"/>
      <c r="AB71" s="19" t="n"/>
      <c r="AC71" s="5">
        <f>_xlfn.TEXTJOIN(CHAR(10),TRUE,IF(Q71="","","• "&amp;Q71&amp;IF(R71="Yes","  [IPL]","")),IF(S71="","","• "&amp;S71&amp;IF(T71="Yes","  [IPL]","")),IF(U71="","","• "&amp;U71&amp;IF(V71="Yes","  [IPL]","")),IF(W71="","","• "&amp;W71&amp;IF(X71="Yes","  [IPL]","")),IF(Y71="","","• "&amp;Y71&amp;IF(Z71="Yes","  [IPL]","")),IF(AA71="","","• "&amp;AA71&amp;IF(AB71="Yes","  [IPL]","")))</f>
        <v/>
      </c>
      <c r="AD71" s="30">
        <f>IF(AC71="","",COUNTIF(Q71:AB71,"Yes"))</f>
        <v/>
      </c>
      <c r="AE71" s="19" t="n"/>
      <c r="AF71" s="19" t="n"/>
      <c r="AG71" s="30">
        <f>IF(OR(AE71="",AF71=""),"",INDEX(RiskGrid,6-VALUE(LEFT(AE71,1)),VALUE(LEFT(AF71,1))))</f>
        <v/>
      </c>
      <c r="AH71" s="30">
        <f>IF(AG71="","",IF(AG71&gt;=BandVH,"Very High",IF(AG71&gt;=BandHigh,"High",IF(AG71&gt;=BandMed,"Medium","Low"))))</f>
        <v/>
      </c>
      <c r="AI71" s="4" t="n"/>
      <c r="AJ71" s="4" t="n"/>
    </row>
    <row r="72">
      <c r="A72" s="30">
        <f>IF(B72="","",COUNTIF(B$14:B72,"?*"))</f>
        <v/>
      </c>
      <c r="B72" s="4" t="n"/>
      <c r="C72" s="19" t="n"/>
      <c r="D72" s="5">
        <f>IF(OR(B72="",C72=""),"",UPPER(LEFT(C72,1))&amp;LOWER(MID(C72,2,30))&amp;" "&amp;LOWER(LEFT(B72,1))&amp;MID(B72,2,200))</f>
        <v/>
      </c>
      <c r="E72" s="4" t="n"/>
      <c r="F72" s="4" t="n"/>
      <c r="G72" s="4" t="n"/>
      <c r="H72" s="4" t="n"/>
      <c r="I72" s="4" t="n"/>
      <c r="J72" s="4" t="n"/>
      <c r="K72" s="5">
        <f>_xlfn.TEXTJOIN(CHAR(10),TRUE,IF(E72="","","• "&amp;E72),IF(F72="","","• "&amp;F72),IF(G72="","","• "&amp;G72),IF(H72="","","• "&amp;H72),IF(I72="","","• "&amp;I72),IF(J72="","","• "&amp;J72))</f>
        <v/>
      </c>
      <c r="L72" s="4" t="n"/>
      <c r="M72" s="19" t="n"/>
      <c r="N72" s="19" t="n"/>
      <c r="O72" s="30">
        <f>IF(OR(M72="",N72=""),"",INDEX(RiskGrid,6-VALUE(LEFT(M72,1)),VALUE(LEFT(N72,1))))</f>
        <v/>
      </c>
      <c r="P72" s="30">
        <f>IF(O72="","",IF(O72&gt;=BandVH,"Very High",IF(O72&gt;=BandHigh,"High",IF(O72&gt;=BandMed,"Medium","Low"))))</f>
        <v/>
      </c>
      <c r="Q72" s="4" t="n"/>
      <c r="R72" s="19" t="n"/>
      <c r="S72" s="4" t="n"/>
      <c r="T72" s="19" t="n"/>
      <c r="U72" s="4" t="n"/>
      <c r="V72" s="19" t="n"/>
      <c r="W72" s="4" t="n"/>
      <c r="X72" s="19" t="n"/>
      <c r="Y72" s="4" t="n"/>
      <c r="Z72" s="19" t="n"/>
      <c r="AA72" s="4" t="n"/>
      <c r="AB72" s="19" t="n"/>
      <c r="AC72" s="5">
        <f>_xlfn.TEXTJOIN(CHAR(10),TRUE,IF(Q72="","","• "&amp;Q72&amp;IF(R72="Yes","  [IPL]","")),IF(S72="","","• "&amp;S72&amp;IF(T72="Yes","  [IPL]","")),IF(U72="","","• "&amp;U72&amp;IF(V72="Yes","  [IPL]","")),IF(W72="","","• "&amp;W72&amp;IF(X72="Yes","  [IPL]","")),IF(Y72="","","• "&amp;Y72&amp;IF(Z72="Yes","  [IPL]","")),IF(AA72="","","• "&amp;AA72&amp;IF(AB72="Yes","  [IPL]","")))</f>
        <v/>
      </c>
      <c r="AD72" s="30">
        <f>IF(AC72="","",COUNTIF(Q72:AB72,"Yes"))</f>
        <v/>
      </c>
      <c r="AE72" s="19" t="n"/>
      <c r="AF72" s="19" t="n"/>
      <c r="AG72" s="30">
        <f>IF(OR(AE72="",AF72=""),"",INDEX(RiskGrid,6-VALUE(LEFT(AE72,1)),VALUE(LEFT(AF72,1))))</f>
        <v/>
      </c>
      <c r="AH72" s="30">
        <f>IF(AG72="","",IF(AG72&gt;=BandVH,"Very High",IF(AG72&gt;=BandHigh,"High",IF(AG72&gt;=BandMed,"Medium","Low"))))</f>
        <v/>
      </c>
      <c r="AI72" s="4" t="n"/>
      <c r="AJ72" s="4" t="n"/>
    </row>
    <row r="73">
      <c r="A73" s="30">
        <f>IF(B73="","",COUNTIF(B$14:B73,"?*"))</f>
        <v/>
      </c>
      <c r="B73" s="4" t="n"/>
      <c r="C73" s="19" t="n"/>
      <c r="D73" s="5">
        <f>IF(OR(B73="",C73=""),"",UPPER(LEFT(C73,1))&amp;LOWER(MID(C73,2,30))&amp;" "&amp;LOWER(LEFT(B73,1))&amp;MID(B73,2,200))</f>
        <v/>
      </c>
      <c r="E73" s="4" t="n"/>
      <c r="F73" s="4" t="n"/>
      <c r="G73" s="4" t="n"/>
      <c r="H73" s="4" t="n"/>
      <c r="I73" s="4" t="n"/>
      <c r="J73" s="4" t="n"/>
      <c r="K73" s="5">
        <f>_xlfn.TEXTJOIN(CHAR(10),TRUE,IF(E73="","","• "&amp;E73),IF(F73="","","• "&amp;F73),IF(G73="","","• "&amp;G73),IF(H73="","","• "&amp;H73),IF(I73="","","• "&amp;I73),IF(J73="","","• "&amp;J73))</f>
        <v/>
      </c>
      <c r="L73" s="4" t="n"/>
      <c r="M73" s="19" t="n"/>
      <c r="N73" s="19" t="n"/>
      <c r="O73" s="30">
        <f>IF(OR(M73="",N73=""),"",INDEX(RiskGrid,6-VALUE(LEFT(M73,1)),VALUE(LEFT(N73,1))))</f>
        <v/>
      </c>
      <c r="P73" s="30">
        <f>IF(O73="","",IF(O73&gt;=BandVH,"Very High",IF(O73&gt;=BandHigh,"High",IF(O73&gt;=BandMed,"Medium","Low"))))</f>
        <v/>
      </c>
      <c r="Q73" s="4" t="n"/>
      <c r="R73" s="19" t="n"/>
      <c r="S73" s="4" t="n"/>
      <c r="T73" s="19" t="n"/>
      <c r="U73" s="4" t="n"/>
      <c r="V73" s="19" t="n"/>
      <c r="W73" s="4" t="n"/>
      <c r="X73" s="19" t="n"/>
      <c r="Y73" s="4" t="n"/>
      <c r="Z73" s="19" t="n"/>
      <c r="AA73" s="4" t="n"/>
      <c r="AB73" s="19" t="n"/>
      <c r="AC73" s="5">
        <f>_xlfn.TEXTJOIN(CHAR(10),TRUE,IF(Q73="","","• "&amp;Q73&amp;IF(R73="Yes","  [IPL]","")),IF(S73="","","• "&amp;S73&amp;IF(T73="Yes","  [IPL]","")),IF(U73="","","• "&amp;U73&amp;IF(V73="Yes","  [IPL]","")),IF(W73="","","• "&amp;W73&amp;IF(X73="Yes","  [IPL]","")),IF(Y73="","","• "&amp;Y73&amp;IF(Z73="Yes","  [IPL]","")),IF(AA73="","","• "&amp;AA73&amp;IF(AB73="Yes","  [IPL]","")))</f>
        <v/>
      </c>
      <c r="AD73" s="30">
        <f>IF(AC73="","",COUNTIF(Q73:AB73,"Yes"))</f>
        <v/>
      </c>
      <c r="AE73" s="19" t="n"/>
      <c r="AF73" s="19" t="n"/>
      <c r="AG73" s="30">
        <f>IF(OR(AE73="",AF73=""),"",INDEX(RiskGrid,6-VALUE(LEFT(AE73,1)),VALUE(LEFT(AF73,1))))</f>
        <v/>
      </c>
      <c r="AH73" s="30">
        <f>IF(AG73="","",IF(AG73&gt;=BandVH,"Very High",IF(AG73&gt;=BandHigh,"High",IF(AG73&gt;=BandMed,"Medium","Low"))))</f>
        <v/>
      </c>
      <c r="AI73" s="4" t="n"/>
      <c r="AJ73" s="4" t="n"/>
    </row>
    <row r="74">
      <c r="A74" s="30">
        <f>IF(B74="","",COUNTIF(B$14:B74,"?*"))</f>
        <v/>
      </c>
      <c r="B74" s="4" t="n"/>
      <c r="C74" s="19" t="n"/>
      <c r="D74" s="5">
        <f>IF(OR(B74="",C74=""),"",UPPER(LEFT(C74,1))&amp;LOWER(MID(C74,2,30))&amp;" "&amp;LOWER(LEFT(B74,1))&amp;MID(B74,2,200))</f>
        <v/>
      </c>
      <c r="E74" s="4" t="n"/>
      <c r="F74" s="4" t="n"/>
      <c r="G74" s="4" t="n"/>
      <c r="H74" s="4" t="n"/>
      <c r="I74" s="4" t="n"/>
      <c r="J74" s="4" t="n"/>
      <c r="K74" s="5">
        <f>_xlfn.TEXTJOIN(CHAR(10),TRUE,IF(E74="","","• "&amp;E74),IF(F74="","","• "&amp;F74),IF(G74="","","• "&amp;G74),IF(H74="","","• "&amp;H74),IF(I74="","","• "&amp;I74),IF(J74="","","• "&amp;J74))</f>
        <v/>
      </c>
      <c r="L74" s="4" t="n"/>
      <c r="M74" s="19" t="n"/>
      <c r="N74" s="19" t="n"/>
      <c r="O74" s="30">
        <f>IF(OR(M74="",N74=""),"",INDEX(RiskGrid,6-VALUE(LEFT(M74,1)),VALUE(LEFT(N74,1))))</f>
        <v/>
      </c>
      <c r="P74" s="30">
        <f>IF(O74="","",IF(O74&gt;=BandVH,"Very High",IF(O74&gt;=BandHigh,"High",IF(O74&gt;=BandMed,"Medium","Low"))))</f>
        <v/>
      </c>
      <c r="Q74" s="4" t="n"/>
      <c r="R74" s="19" t="n"/>
      <c r="S74" s="4" t="n"/>
      <c r="T74" s="19" t="n"/>
      <c r="U74" s="4" t="n"/>
      <c r="V74" s="19" t="n"/>
      <c r="W74" s="4" t="n"/>
      <c r="X74" s="19" t="n"/>
      <c r="Y74" s="4" t="n"/>
      <c r="Z74" s="19" t="n"/>
      <c r="AA74" s="4" t="n"/>
      <c r="AB74" s="19" t="n"/>
      <c r="AC74" s="5">
        <f>_xlfn.TEXTJOIN(CHAR(10),TRUE,IF(Q74="","","• "&amp;Q74&amp;IF(R74="Yes","  [IPL]","")),IF(S74="","","• "&amp;S74&amp;IF(T74="Yes","  [IPL]","")),IF(U74="","","• "&amp;U74&amp;IF(V74="Yes","  [IPL]","")),IF(W74="","","• "&amp;W74&amp;IF(X74="Yes","  [IPL]","")),IF(Y74="","","• "&amp;Y74&amp;IF(Z74="Yes","  [IPL]","")),IF(AA74="","","• "&amp;AA74&amp;IF(AB74="Yes","  [IPL]","")))</f>
        <v/>
      </c>
      <c r="AD74" s="30">
        <f>IF(AC74="","",COUNTIF(Q74:AB74,"Yes"))</f>
        <v/>
      </c>
      <c r="AE74" s="19" t="n"/>
      <c r="AF74" s="19" t="n"/>
      <c r="AG74" s="30">
        <f>IF(OR(AE74="",AF74=""),"",INDEX(RiskGrid,6-VALUE(LEFT(AE74,1)),VALUE(LEFT(AF74,1))))</f>
        <v/>
      </c>
      <c r="AH74" s="30">
        <f>IF(AG74="","",IF(AG74&gt;=BandVH,"Very High",IF(AG74&gt;=BandHigh,"High",IF(AG74&gt;=BandMed,"Medium","Low"))))</f>
        <v/>
      </c>
      <c r="AI74" s="4" t="n"/>
      <c r="AJ74" s="4" t="n"/>
    </row>
    <row r="75">
      <c r="A75" s="30">
        <f>IF(B75="","",COUNTIF(B$14:B75,"?*"))</f>
        <v/>
      </c>
      <c r="B75" s="4" t="n"/>
      <c r="C75" s="19" t="n"/>
      <c r="D75" s="5">
        <f>IF(OR(B75="",C75=""),"",UPPER(LEFT(C75,1))&amp;LOWER(MID(C75,2,30))&amp;" "&amp;LOWER(LEFT(B75,1))&amp;MID(B75,2,200))</f>
        <v/>
      </c>
      <c r="E75" s="4" t="n"/>
      <c r="F75" s="4" t="n"/>
      <c r="G75" s="4" t="n"/>
      <c r="H75" s="4" t="n"/>
      <c r="I75" s="4" t="n"/>
      <c r="J75" s="4" t="n"/>
      <c r="K75" s="5">
        <f>_xlfn.TEXTJOIN(CHAR(10),TRUE,IF(E75="","","• "&amp;E75),IF(F75="","","• "&amp;F75),IF(G75="","","• "&amp;G75),IF(H75="","","• "&amp;H75),IF(I75="","","• "&amp;I75),IF(J75="","","• "&amp;J75))</f>
        <v/>
      </c>
      <c r="L75" s="4" t="n"/>
      <c r="M75" s="19" t="n"/>
      <c r="N75" s="19" t="n"/>
      <c r="O75" s="30">
        <f>IF(OR(M75="",N75=""),"",INDEX(RiskGrid,6-VALUE(LEFT(M75,1)),VALUE(LEFT(N75,1))))</f>
        <v/>
      </c>
      <c r="P75" s="30">
        <f>IF(O75="","",IF(O75&gt;=BandVH,"Very High",IF(O75&gt;=BandHigh,"High",IF(O75&gt;=BandMed,"Medium","Low"))))</f>
        <v/>
      </c>
      <c r="Q75" s="4" t="n"/>
      <c r="R75" s="19" t="n"/>
      <c r="S75" s="4" t="n"/>
      <c r="T75" s="19" t="n"/>
      <c r="U75" s="4" t="n"/>
      <c r="V75" s="19" t="n"/>
      <c r="W75" s="4" t="n"/>
      <c r="X75" s="19" t="n"/>
      <c r="Y75" s="4" t="n"/>
      <c r="Z75" s="19" t="n"/>
      <c r="AA75" s="4" t="n"/>
      <c r="AB75" s="19" t="n"/>
      <c r="AC75" s="5">
        <f>_xlfn.TEXTJOIN(CHAR(10),TRUE,IF(Q75="","","• "&amp;Q75&amp;IF(R75="Yes","  [IPL]","")),IF(S75="","","• "&amp;S75&amp;IF(T75="Yes","  [IPL]","")),IF(U75="","","• "&amp;U75&amp;IF(V75="Yes","  [IPL]","")),IF(W75="","","• "&amp;W75&amp;IF(X75="Yes","  [IPL]","")),IF(Y75="","","• "&amp;Y75&amp;IF(Z75="Yes","  [IPL]","")),IF(AA75="","","• "&amp;AA75&amp;IF(AB75="Yes","  [IPL]","")))</f>
        <v/>
      </c>
      <c r="AD75" s="30">
        <f>IF(AC75="","",COUNTIF(Q75:AB75,"Yes"))</f>
        <v/>
      </c>
      <c r="AE75" s="19" t="n"/>
      <c r="AF75" s="19" t="n"/>
      <c r="AG75" s="30">
        <f>IF(OR(AE75="",AF75=""),"",INDEX(RiskGrid,6-VALUE(LEFT(AE75,1)),VALUE(LEFT(AF75,1))))</f>
        <v/>
      </c>
      <c r="AH75" s="30">
        <f>IF(AG75="","",IF(AG75&gt;=BandVH,"Very High",IF(AG75&gt;=BandHigh,"High",IF(AG75&gt;=BandMed,"Medium","Low"))))</f>
        <v/>
      </c>
      <c r="AI75" s="4" t="n"/>
      <c r="AJ75" s="4" t="n"/>
    </row>
    <row r="76">
      <c r="A76" s="30">
        <f>IF(B76="","",COUNTIF(B$14:B76,"?*"))</f>
        <v/>
      </c>
      <c r="B76" s="4" t="n"/>
      <c r="C76" s="19" t="n"/>
      <c r="D76" s="5">
        <f>IF(OR(B76="",C76=""),"",UPPER(LEFT(C76,1))&amp;LOWER(MID(C76,2,30))&amp;" "&amp;LOWER(LEFT(B76,1))&amp;MID(B76,2,200))</f>
        <v/>
      </c>
      <c r="E76" s="4" t="n"/>
      <c r="F76" s="4" t="n"/>
      <c r="G76" s="4" t="n"/>
      <c r="H76" s="4" t="n"/>
      <c r="I76" s="4" t="n"/>
      <c r="J76" s="4" t="n"/>
      <c r="K76" s="5">
        <f>_xlfn.TEXTJOIN(CHAR(10),TRUE,IF(E76="","","• "&amp;E76),IF(F76="","","• "&amp;F76),IF(G76="","","• "&amp;G76),IF(H76="","","• "&amp;H76),IF(I76="","","• "&amp;I76),IF(J76="","","• "&amp;J76))</f>
        <v/>
      </c>
      <c r="L76" s="4" t="n"/>
      <c r="M76" s="19" t="n"/>
      <c r="N76" s="19" t="n"/>
      <c r="O76" s="30">
        <f>IF(OR(M76="",N76=""),"",INDEX(RiskGrid,6-VALUE(LEFT(M76,1)),VALUE(LEFT(N76,1))))</f>
        <v/>
      </c>
      <c r="P76" s="30">
        <f>IF(O76="","",IF(O76&gt;=BandVH,"Very High",IF(O76&gt;=BandHigh,"High",IF(O76&gt;=BandMed,"Medium","Low"))))</f>
        <v/>
      </c>
      <c r="Q76" s="4" t="n"/>
      <c r="R76" s="19" t="n"/>
      <c r="S76" s="4" t="n"/>
      <c r="T76" s="19" t="n"/>
      <c r="U76" s="4" t="n"/>
      <c r="V76" s="19" t="n"/>
      <c r="W76" s="4" t="n"/>
      <c r="X76" s="19" t="n"/>
      <c r="Y76" s="4" t="n"/>
      <c r="Z76" s="19" t="n"/>
      <c r="AA76" s="4" t="n"/>
      <c r="AB76" s="19" t="n"/>
      <c r="AC76" s="5">
        <f>_xlfn.TEXTJOIN(CHAR(10),TRUE,IF(Q76="","","• "&amp;Q76&amp;IF(R76="Yes","  [IPL]","")),IF(S76="","","• "&amp;S76&amp;IF(T76="Yes","  [IPL]","")),IF(U76="","","• "&amp;U76&amp;IF(V76="Yes","  [IPL]","")),IF(W76="","","• "&amp;W76&amp;IF(X76="Yes","  [IPL]","")),IF(Y76="","","• "&amp;Y76&amp;IF(Z76="Yes","  [IPL]","")),IF(AA76="","","• "&amp;AA76&amp;IF(AB76="Yes","  [IPL]","")))</f>
        <v/>
      </c>
      <c r="AD76" s="30">
        <f>IF(AC76="","",COUNTIF(Q76:AB76,"Yes"))</f>
        <v/>
      </c>
      <c r="AE76" s="19" t="n"/>
      <c r="AF76" s="19" t="n"/>
      <c r="AG76" s="30">
        <f>IF(OR(AE76="",AF76=""),"",INDEX(RiskGrid,6-VALUE(LEFT(AE76,1)),VALUE(LEFT(AF76,1))))</f>
        <v/>
      </c>
      <c r="AH76" s="30">
        <f>IF(AG76="","",IF(AG76&gt;=BandVH,"Very High",IF(AG76&gt;=BandHigh,"High",IF(AG76&gt;=BandMed,"Medium","Low"))))</f>
        <v/>
      </c>
      <c r="AI76" s="4" t="n"/>
      <c r="AJ76" s="4" t="n"/>
    </row>
    <row r="77">
      <c r="A77" s="30">
        <f>IF(B77="","",COUNTIF(B$14:B77,"?*"))</f>
        <v/>
      </c>
      <c r="B77" s="4" t="n"/>
      <c r="C77" s="19" t="n"/>
      <c r="D77" s="5">
        <f>IF(OR(B77="",C77=""),"",UPPER(LEFT(C77,1))&amp;LOWER(MID(C77,2,30))&amp;" "&amp;LOWER(LEFT(B77,1))&amp;MID(B77,2,200))</f>
        <v/>
      </c>
      <c r="E77" s="4" t="n"/>
      <c r="F77" s="4" t="n"/>
      <c r="G77" s="4" t="n"/>
      <c r="H77" s="4" t="n"/>
      <c r="I77" s="4" t="n"/>
      <c r="J77" s="4" t="n"/>
      <c r="K77" s="5">
        <f>_xlfn.TEXTJOIN(CHAR(10),TRUE,IF(E77="","","• "&amp;E77),IF(F77="","","• "&amp;F77),IF(G77="","","• "&amp;G77),IF(H77="","","• "&amp;H77),IF(I77="","","• "&amp;I77),IF(J77="","","• "&amp;J77))</f>
        <v/>
      </c>
      <c r="L77" s="4" t="n"/>
      <c r="M77" s="19" t="n"/>
      <c r="N77" s="19" t="n"/>
      <c r="O77" s="30">
        <f>IF(OR(M77="",N77=""),"",INDEX(RiskGrid,6-VALUE(LEFT(M77,1)),VALUE(LEFT(N77,1))))</f>
        <v/>
      </c>
      <c r="P77" s="30">
        <f>IF(O77="","",IF(O77&gt;=BandVH,"Very High",IF(O77&gt;=BandHigh,"High",IF(O77&gt;=BandMed,"Medium","Low"))))</f>
        <v/>
      </c>
      <c r="Q77" s="4" t="n"/>
      <c r="R77" s="19" t="n"/>
      <c r="S77" s="4" t="n"/>
      <c r="T77" s="19" t="n"/>
      <c r="U77" s="4" t="n"/>
      <c r="V77" s="19" t="n"/>
      <c r="W77" s="4" t="n"/>
      <c r="X77" s="19" t="n"/>
      <c r="Y77" s="4" t="n"/>
      <c r="Z77" s="19" t="n"/>
      <c r="AA77" s="4" t="n"/>
      <c r="AB77" s="19" t="n"/>
      <c r="AC77" s="5">
        <f>_xlfn.TEXTJOIN(CHAR(10),TRUE,IF(Q77="","","• "&amp;Q77&amp;IF(R77="Yes","  [IPL]","")),IF(S77="","","• "&amp;S77&amp;IF(T77="Yes","  [IPL]","")),IF(U77="","","• "&amp;U77&amp;IF(V77="Yes","  [IPL]","")),IF(W77="","","• "&amp;W77&amp;IF(X77="Yes","  [IPL]","")),IF(Y77="","","• "&amp;Y77&amp;IF(Z77="Yes","  [IPL]","")),IF(AA77="","","• "&amp;AA77&amp;IF(AB77="Yes","  [IPL]","")))</f>
        <v/>
      </c>
      <c r="AD77" s="30">
        <f>IF(AC77="","",COUNTIF(Q77:AB77,"Yes"))</f>
        <v/>
      </c>
      <c r="AE77" s="19" t="n"/>
      <c r="AF77" s="19" t="n"/>
      <c r="AG77" s="30">
        <f>IF(OR(AE77="",AF77=""),"",INDEX(RiskGrid,6-VALUE(LEFT(AE77,1)),VALUE(LEFT(AF77,1))))</f>
        <v/>
      </c>
      <c r="AH77" s="30">
        <f>IF(AG77="","",IF(AG77&gt;=BandVH,"Very High",IF(AG77&gt;=BandHigh,"High",IF(AG77&gt;=BandMed,"Medium","Low"))))</f>
        <v/>
      </c>
      <c r="AI77" s="4" t="n"/>
      <c r="AJ77" s="4" t="n"/>
    </row>
    <row r="78">
      <c r="A78" s="30">
        <f>IF(B78="","",COUNTIF(B$14:B78,"?*"))</f>
        <v/>
      </c>
      <c r="B78" s="4" t="n"/>
      <c r="C78" s="19" t="n"/>
      <c r="D78" s="5">
        <f>IF(OR(B78="",C78=""),"",UPPER(LEFT(C78,1))&amp;LOWER(MID(C78,2,30))&amp;" "&amp;LOWER(LEFT(B78,1))&amp;MID(B78,2,200))</f>
        <v/>
      </c>
      <c r="E78" s="4" t="n"/>
      <c r="F78" s="4" t="n"/>
      <c r="G78" s="4" t="n"/>
      <c r="H78" s="4" t="n"/>
      <c r="I78" s="4" t="n"/>
      <c r="J78" s="4" t="n"/>
      <c r="K78" s="5">
        <f>_xlfn.TEXTJOIN(CHAR(10),TRUE,IF(E78="","","• "&amp;E78),IF(F78="","","• "&amp;F78),IF(G78="","","• "&amp;G78),IF(H78="","","• "&amp;H78),IF(I78="","","• "&amp;I78),IF(J78="","","• "&amp;J78))</f>
        <v/>
      </c>
      <c r="L78" s="4" t="n"/>
      <c r="M78" s="19" t="n"/>
      <c r="N78" s="19" t="n"/>
      <c r="O78" s="30">
        <f>IF(OR(M78="",N78=""),"",INDEX(RiskGrid,6-VALUE(LEFT(M78,1)),VALUE(LEFT(N78,1))))</f>
        <v/>
      </c>
      <c r="P78" s="30">
        <f>IF(O78="","",IF(O78&gt;=BandVH,"Very High",IF(O78&gt;=BandHigh,"High",IF(O78&gt;=BandMed,"Medium","Low"))))</f>
        <v/>
      </c>
      <c r="Q78" s="4" t="n"/>
      <c r="R78" s="19" t="n"/>
      <c r="S78" s="4" t="n"/>
      <c r="T78" s="19" t="n"/>
      <c r="U78" s="4" t="n"/>
      <c r="V78" s="19" t="n"/>
      <c r="W78" s="4" t="n"/>
      <c r="X78" s="19" t="n"/>
      <c r="Y78" s="4" t="n"/>
      <c r="Z78" s="19" t="n"/>
      <c r="AA78" s="4" t="n"/>
      <c r="AB78" s="19" t="n"/>
      <c r="AC78" s="5">
        <f>_xlfn.TEXTJOIN(CHAR(10),TRUE,IF(Q78="","","• "&amp;Q78&amp;IF(R78="Yes","  [IPL]","")),IF(S78="","","• "&amp;S78&amp;IF(T78="Yes","  [IPL]","")),IF(U78="","","• "&amp;U78&amp;IF(V78="Yes","  [IPL]","")),IF(W78="","","• "&amp;W78&amp;IF(X78="Yes","  [IPL]","")),IF(Y78="","","• "&amp;Y78&amp;IF(Z78="Yes","  [IPL]","")),IF(AA78="","","• "&amp;AA78&amp;IF(AB78="Yes","  [IPL]","")))</f>
        <v/>
      </c>
      <c r="AD78" s="30">
        <f>IF(AC78="","",COUNTIF(Q78:AB78,"Yes"))</f>
        <v/>
      </c>
      <c r="AE78" s="19" t="n"/>
      <c r="AF78" s="19" t="n"/>
      <c r="AG78" s="30">
        <f>IF(OR(AE78="",AF78=""),"",INDEX(RiskGrid,6-VALUE(LEFT(AE78,1)),VALUE(LEFT(AF78,1))))</f>
        <v/>
      </c>
      <c r="AH78" s="30">
        <f>IF(AG78="","",IF(AG78&gt;=BandVH,"Very High",IF(AG78&gt;=BandHigh,"High",IF(AG78&gt;=BandMed,"Medium","Low"))))</f>
        <v/>
      </c>
      <c r="AI78" s="4" t="n"/>
      <c r="AJ78" s="4" t="n"/>
    </row>
    <row r="79">
      <c r="A79" s="30">
        <f>IF(B79="","",COUNTIF(B$14:B79,"?*"))</f>
        <v/>
      </c>
      <c r="B79" s="4" t="n"/>
      <c r="C79" s="19" t="n"/>
      <c r="D79" s="5">
        <f>IF(OR(B79="",C79=""),"",UPPER(LEFT(C79,1))&amp;LOWER(MID(C79,2,30))&amp;" "&amp;LOWER(LEFT(B79,1))&amp;MID(B79,2,200))</f>
        <v/>
      </c>
      <c r="E79" s="4" t="n"/>
      <c r="F79" s="4" t="n"/>
      <c r="G79" s="4" t="n"/>
      <c r="H79" s="4" t="n"/>
      <c r="I79" s="4" t="n"/>
      <c r="J79" s="4" t="n"/>
      <c r="K79" s="5">
        <f>_xlfn.TEXTJOIN(CHAR(10),TRUE,IF(E79="","","• "&amp;E79),IF(F79="","","• "&amp;F79),IF(G79="","","• "&amp;G79),IF(H79="","","• "&amp;H79),IF(I79="","","• "&amp;I79),IF(J79="","","• "&amp;J79))</f>
        <v/>
      </c>
      <c r="L79" s="4" t="n"/>
      <c r="M79" s="19" t="n"/>
      <c r="N79" s="19" t="n"/>
      <c r="O79" s="30">
        <f>IF(OR(M79="",N79=""),"",INDEX(RiskGrid,6-VALUE(LEFT(M79,1)),VALUE(LEFT(N79,1))))</f>
        <v/>
      </c>
      <c r="P79" s="30">
        <f>IF(O79="","",IF(O79&gt;=BandVH,"Very High",IF(O79&gt;=BandHigh,"High",IF(O79&gt;=BandMed,"Medium","Low"))))</f>
        <v/>
      </c>
      <c r="Q79" s="4" t="n"/>
      <c r="R79" s="19" t="n"/>
      <c r="S79" s="4" t="n"/>
      <c r="T79" s="19" t="n"/>
      <c r="U79" s="4" t="n"/>
      <c r="V79" s="19" t="n"/>
      <c r="W79" s="4" t="n"/>
      <c r="X79" s="19" t="n"/>
      <c r="Y79" s="4" t="n"/>
      <c r="Z79" s="19" t="n"/>
      <c r="AA79" s="4" t="n"/>
      <c r="AB79" s="19" t="n"/>
      <c r="AC79" s="5">
        <f>_xlfn.TEXTJOIN(CHAR(10),TRUE,IF(Q79="","","• "&amp;Q79&amp;IF(R79="Yes","  [IPL]","")),IF(S79="","","• "&amp;S79&amp;IF(T79="Yes","  [IPL]","")),IF(U79="","","• "&amp;U79&amp;IF(V79="Yes","  [IPL]","")),IF(W79="","","• "&amp;W79&amp;IF(X79="Yes","  [IPL]","")),IF(Y79="","","• "&amp;Y79&amp;IF(Z79="Yes","  [IPL]","")),IF(AA79="","","• "&amp;AA79&amp;IF(AB79="Yes","  [IPL]","")))</f>
        <v/>
      </c>
      <c r="AD79" s="30">
        <f>IF(AC79="","",COUNTIF(Q79:AB79,"Yes"))</f>
        <v/>
      </c>
      <c r="AE79" s="19" t="n"/>
      <c r="AF79" s="19" t="n"/>
      <c r="AG79" s="30">
        <f>IF(OR(AE79="",AF79=""),"",INDEX(RiskGrid,6-VALUE(LEFT(AE79,1)),VALUE(LEFT(AF79,1))))</f>
        <v/>
      </c>
      <c r="AH79" s="30">
        <f>IF(AG79="","",IF(AG79&gt;=BandVH,"Very High",IF(AG79&gt;=BandHigh,"High",IF(AG79&gt;=BandMed,"Medium","Low"))))</f>
        <v/>
      </c>
      <c r="AI79" s="4" t="n"/>
      <c r="AJ79" s="4" t="n"/>
    </row>
    <row r="80">
      <c r="A80" s="30">
        <f>IF(B80="","",COUNTIF(B$14:B80,"?*"))</f>
        <v/>
      </c>
      <c r="B80" s="4" t="n"/>
      <c r="C80" s="19" t="n"/>
      <c r="D80" s="5">
        <f>IF(OR(B80="",C80=""),"",UPPER(LEFT(C80,1))&amp;LOWER(MID(C80,2,30))&amp;" "&amp;LOWER(LEFT(B80,1))&amp;MID(B80,2,200))</f>
        <v/>
      </c>
      <c r="E80" s="4" t="n"/>
      <c r="F80" s="4" t="n"/>
      <c r="G80" s="4" t="n"/>
      <c r="H80" s="4" t="n"/>
      <c r="I80" s="4" t="n"/>
      <c r="J80" s="4" t="n"/>
      <c r="K80" s="5">
        <f>_xlfn.TEXTJOIN(CHAR(10),TRUE,IF(E80="","","• "&amp;E80),IF(F80="","","• "&amp;F80),IF(G80="","","• "&amp;G80),IF(H80="","","• "&amp;H80),IF(I80="","","• "&amp;I80),IF(J80="","","• "&amp;J80))</f>
        <v/>
      </c>
      <c r="L80" s="4" t="n"/>
      <c r="M80" s="19" t="n"/>
      <c r="N80" s="19" t="n"/>
      <c r="O80" s="30">
        <f>IF(OR(M80="",N80=""),"",INDEX(RiskGrid,6-VALUE(LEFT(M80,1)),VALUE(LEFT(N80,1))))</f>
        <v/>
      </c>
      <c r="P80" s="30">
        <f>IF(O80="","",IF(O80&gt;=BandVH,"Very High",IF(O80&gt;=BandHigh,"High",IF(O80&gt;=BandMed,"Medium","Low"))))</f>
        <v/>
      </c>
      <c r="Q80" s="4" t="n"/>
      <c r="R80" s="19" t="n"/>
      <c r="S80" s="4" t="n"/>
      <c r="T80" s="19" t="n"/>
      <c r="U80" s="4" t="n"/>
      <c r="V80" s="19" t="n"/>
      <c r="W80" s="4" t="n"/>
      <c r="X80" s="19" t="n"/>
      <c r="Y80" s="4" t="n"/>
      <c r="Z80" s="19" t="n"/>
      <c r="AA80" s="4" t="n"/>
      <c r="AB80" s="19" t="n"/>
      <c r="AC80" s="5">
        <f>_xlfn.TEXTJOIN(CHAR(10),TRUE,IF(Q80="","","• "&amp;Q80&amp;IF(R80="Yes","  [IPL]","")),IF(S80="","","• "&amp;S80&amp;IF(T80="Yes","  [IPL]","")),IF(U80="","","• "&amp;U80&amp;IF(V80="Yes","  [IPL]","")),IF(W80="","","• "&amp;W80&amp;IF(X80="Yes","  [IPL]","")),IF(Y80="","","• "&amp;Y80&amp;IF(Z80="Yes","  [IPL]","")),IF(AA80="","","• "&amp;AA80&amp;IF(AB80="Yes","  [IPL]","")))</f>
        <v/>
      </c>
      <c r="AD80" s="30">
        <f>IF(AC80="","",COUNTIF(Q80:AB80,"Yes"))</f>
        <v/>
      </c>
      <c r="AE80" s="19" t="n"/>
      <c r="AF80" s="19" t="n"/>
      <c r="AG80" s="30">
        <f>IF(OR(AE80="",AF80=""),"",INDEX(RiskGrid,6-VALUE(LEFT(AE80,1)),VALUE(LEFT(AF80,1))))</f>
        <v/>
      </c>
      <c r="AH80" s="30">
        <f>IF(AG80="","",IF(AG80&gt;=BandVH,"Very High",IF(AG80&gt;=BandHigh,"High",IF(AG80&gt;=BandMed,"Medium","Low"))))</f>
        <v/>
      </c>
      <c r="AI80" s="4" t="n"/>
      <c r="AJ80" s="4" t="n"/>
    </row>
    <row r="81">
      <c r="A81" s="30">
        <f>IF(B81="","",COUNTIF(B$14:B81,"?*"))</f>
        <v/>
      </c>
      <c r="B81" s="4" t="n"/>
      <c r="C81" s="19" t="n"/>
      <c r="D81" s="5">
        <f>IF(OR(B81="",C81=""),"",UPPER(LEFT(C81,1))&amp;LOWER(MID(C81,2,30))&amp;" "&amp;LOWER(LEFT(B81,1))&amp;MID(B81,2,200))</f>
        <v/>
      </c>
      <c r="E81" s="4" t="n"/>
      <c r="F81" s="4" t="n"/>
      <c r="G81" s="4" t="n"/>
      <c r="H81" s="4" t="n"/>
      <c r="I81" s="4" t="n"/>
      <c r="J81" s="4" t="n"/>
      <c r="K81" s="5">
        <f>_xlfn.TEXTJOIN(CHAR(10),TRUE,IF(E81="","","• "&amp;E81),IF(F81="","","• "&amp;F81),IF(G81="","","• "&amp;G81),IF(H81="","","• "&amp;H81),IF(I81="","","• "&amp;I81),IF(J81="","","• "&amp;J81))</f>
        <v/>
      </c>
      <c r="L81" s="4" t="n"/>
      <c r="M81" s="19" t="n"/>
      <c r="N81" s="19" t="n"/>
      <c r="O81" s="30">
        <f>IF(OR(M81="",N81=""),"",INDEX(RiskGrid,6-VALUE(LEFT(M81,1)),VALUE(LEFT(N81,1))))</f>
        <v/>
      </c>
      <c r="P81" s="30">
        <f>IF(O81="","",IF(O81&gt;=BandVH,"Very High",IF(O81&gt;=BandHigh,"High",IF(O81&gt;=BandMed,"Medium","Low"))))</f>
        <v/>
      </c>
      <c r="Q81" s="4" t="n"/>
      <c r="R81" s="19" t="n"/>
      <c r="S81" s="4" t="n"/>
      <c r="T81" s="19" t="n"/>
      <c r="U81" s="4" t="n"/>
      <c r="V81" s="19" t="n"/>
      <c r="W81" s="4" t="n"/>
      <c r="X81" s="19" t="n"/>
      <c r="Y81" s="4" t="n"/>
      <c r="Z81" s="19" t="n"/>
      <c r="AA81" s="4" t="n"/>
      <c r="AB81" s="19" t="n"/>
      <c r="AC81" s="5">
        <f>_xlfn.TEXTJOIN(CHAR(10),TRUE,IF(Q81="","","• "&amp;Q81&amp;IF(R81="Yes","  [IPL]","")),IF(S81="","","• "&amp;S81&amp;IF(T81="Yes","  [IPL]","")),IF(U81="","","• "&amp;U81&amp;IF(V81="Yes","  [IPL]","")),IF(W81="","","• "&amp;W81&amp;IF(X81="Yes","  [IPL]","")),IF(Y81="","","• "&amp;Y81&amp;IF(Z81="Yes","  [IPL]","")),IF(AA81="","","• "&amp;AA81&amp;IF(AB81="Yes","  [IPL]","")))</f>
        <v/>
      </c>
      <c r="AD81" s="30">
        <f>IF(AC81="","",COUNTIF(Q81:AB81,"Yes"))</f>
        <v/>
      </c>
      <c r="AE81" s="19" t="n"/>
      <c r="AF81" s="19" t="n"/>
      <c r="AG81" s="30">
        <f>IF(OR(AE81="",AF81=""),"",INDEX(RiskGrid,6-VALUE(LEFT(AE81,1)),VALUE(LEFT(AF81,1))))</f>
        <v/>
      </c>
      <c r="AH81" s="30">
        <f>IF(AG81="","",IF(AG81&gt;=BandVH,"Very High",IF(AG81&gt;=BandHigh,"High",IF(AG81&gt;=BandMed,"Medium","Low"))))</f>
        <v/>
      </c>
      <c r="AI81" s="4" t="n"/>
      <c r="AJ81" s="4" t="n"/>
    </row>
    <row r="82">
      <c r="A82" s="30">
        <f>IF(B82="","",COUNTIF(B$14:B82,"?*"))</f>
        <v/>
      </c>
      <c r="B82" s="4" t="n"/>
      <c r="C82" s="19" t="n"/>
      <c r="D82" s="5">
        <f>IF(OR(B82="",C82=""),"",UPPER(LEFT(C82,1))&amp;LOWER(MID(C82,2,30))&amp;" "&amp;LOWER(LEFT(B82,1))&amp;MID(B82,2,200))</f>
        <v/>
      </c>
      <c r="E82" s="4" t="n"/>
      <c r="F82" s="4" t="n"/>
      <c r="G82" s="4" t="n"/>
      <c r="H82" s="4" t="n"/>
      <c r="I82" s="4" t="n"/>
      <c r="J82" s="4" t="n"/>
      <c r="K82" s="5">
        <f>_xlfn.TEXTJOIN(CHAR(10),TRUE,IF(E82="","","• "&amp;E82),IF(F82="","","• "&amp;F82),IF(G82="","","• "&amp;G82),IF(H82="","","• "&amp;H82),IF(I82="","","• "&amp;I82),IF(J82="","","• "&amp;J82))</f>
        <v/>
      </c>
      <c r="L82" s="4" t="n"/>
      <c r="M82" s="19" t="n"/>
      <c r="N82" s="19" t="n"/>
      <c r="O82" s="30">
        <f>IF(OR(M82="",N82=""),"",INDEX(RiskGrid,6-VALUE(LEFT(M82,1)),VALUE(LEFT(N82,1))))</f>
        <v/>
      </c>
      <c r="P82" s="30">
        <f>IF(O82="","",IF(O82&gt;=BandVH,"Very High",IF(O82&gt;=BandHigh,"High",IF(O82&gt;=BandMed,"Medium","Low"))))</f>
        <v/>
      </c>
      <c r="Q82" s="4" t="n"/>
      <c r="R82" s="19" t="n"/>
      <c r="S82" s="4" t="n"/>
      <c r="T82" s="19" t="n"/>
      <c r="U82" s="4" t="n"/>
      <c r="V82" s="19" t="n"/>
      <c r="W82" s="4" t="n"/>
      <c r="X82" s="19" t="n"/>
      <c r="Y82" s="4" t="n"/>
      <c r="Z82" s="19" t="n"/>
      <c r="AA82" s="4" t="n"/>
      <c r="AB82" s="19" t="n"/>
      <c r="AC82" s="5">
        <f>_xlfn.TEXTJOIN(CHAR(10),TRUE,IF(Q82="","","• "&amp;Q82&amp;IF(R82="Yes","  [IPL]","")),IF(S82="","","• "&amp;S82&amp;IF(T82="Yes","  [IPL]","")),IF(U82="","","• "&amp;U82&amp;IF(V82="Yes","  [IPL]","")),IF(W82="","","• "&amp;W82&amp;IF(X82="Yes","  [IPL]","")),IF(Y82="","","• "&amp;Y82&amp;IF(Z82="Yes","  [IPL]","")),IF(AA82="","","• "&amp;AA82&amp;IF(AB82="Yes","  [IPL]","")))</f>
        <v/>
      </c>
      <c r="AD82" s="30">
        <f>IF(AC82="","",COUNTIF(Q82:AB82,"Yes"))</f>
        <v/>
      </c>
      <c r="AE82" s="19" t="n"/>
      <c r="AF82" s="19" t="n"/>
      <c r="AG82" s="30">
        <f>IF(OR(AE82="",AF82=""),"",INDEX(RiskGrid,6-VALUE(LEFT(AE82,1)),VALUE(LEFT(AF82,1))))</f>
        <v/>
      </c>
      <c r="AH82" s="30">
        <f>IF(AG82="","",IF(AG82&gt;=BandVH,"Very High",IF(AG82&gt;=BandHigh,"High",IF(AG82&gt;=BandMed,"Medium","Low"))))</f>
        <v/>
      </c>
      <c r="AI82" s="4" t="n"/>
      <c r="AJ82" s="4" t="n"/>
    </row>
    <row r="83">
      <c r="A83" s="30">
        <f>IF(B83="","",COUNTIF(B$14:B83,"?*"))</f>
        <v/>
      </c>
      <c r="B83" s="4" t="n"/>
      <c r="C83" s="19" t="n"/>
      <c r="D83" s="5">
        <f>IF(OR(B83="",C83=""),"",UPPER(LEFT(C83,1))&amp;LOWER(MID(C83,2,30))&amp;" "&amp;LOWER(LEFT(B83,1))&amp;MID(B83,2,200))</f>
        <v/>
      </c>
      <c r="E83" s="4" t="n"/>
      <c r="F83" s="4" t="n"/>
      <c r="G83" s="4" t="n"/>
      <c r="H83" s="4" t="n"/>
      <c r="I83" s="4" t="n"/>
      <c r="J83" s="4" t="n"/>
      <c r="K83" s="5">
        <f>_xlfn.TEXTJOIN(CHAR(10),TRUE,IF(E83="","","• "&amp;E83),IF(F83="","","• "&amp;F83),IF(G83="","","• "&amp;G83),IF(H83="","","• "&amp;H83),IF(I83="","","• "&amp;I83),IF(J83="","","• "&amp;J83))</f>
        <v/>
      </c>
      <c r="L83" s="4" t="n"/>
      <c r="M83" s="19" t="n"/>
      <c r="N83" s="19" t="n"/>
      <c r="O83" s="30">
        <f>IF(OR(M83="",N83=""),"",INDEX(RiskGrid,6-VALUE(LEFT(M83,1)),VALUE(LEFT(N83,1))))</f>
        <v/>
      </c>
      <c r="P83" s="30">
        <f>IF(O83="","",IF(O83&gt;=BandVH,"Very High",IF(O83&gt;=BandHigh,"High",IF(O83&gt;=BandMed,"Medium","Low"))))</f>
        <v/>
      </c>
      <c r="Q83" s="4" t="n"/>
      <c r="R83" s="19" t="n"/>
      <c r="S83" s="4" t="n"/>
      <c r="T83" s="19" t="n"/>
      <c r="U83" s="4" t="n"/>
      <c r="V83" s="19" t="n"/>
      <c r="W83" s="4" t="n"/>
      <c r="X83" s="19" t="n"/>
      <c r="Y83" s="4" t="n"/>
      <c r="Z83" s="19" t="n"/>
      <c r="AA83" s="4" t="n"/>
      <c r="AB83" s="19" t="n"/>
      <c r="AC83" s="5">
        <f>_xlfn.TEXTJOIN(CHAR(10),TRUE,IF(Q83="","","• "&amp;Q83&amp;IF(R83="Yes","  [IPL]","")),IF(S83="","","• "&amp;S83&amp;IF(T83="Yes","  [IPL]","")),IF(U83="","","• "&amp;U83&amp;IF(V83="Yes","  [IPL]","")),IF(W83="","","• "&amp;W83&amp;IF(X83="Yes","  [IPL]","")),IF(Y83="","","• "&amp;Y83&amp;IF(Z83="Yes","  [IPL]","")),IF(AA83="","","• "&amp;AA83&amp;IF(AB83="Yes","  [IPL]","")))</f>
        <v/>
      </c>
      <c r="AD83" s="30">
        <f>IF(AC83="","",COUNTIF(Q83:AB83,"Yes"))</f>
        <v/>
      </c>
      <c r="AE83" s="19" t="n"/>
      <c r="AF83" s="19" t="n"/>
      <c r="AG83" s="30">
        <f>IF(OR(AE83="",AF83=""),"",INDEX(RiskGrid,6-VALUE(LEFT(AE83,1)),VALUE(LEFT(AF83,1))))</f>
        <v/>
      </c>
      <c r="AH83" s="30">
        <f>IF(AG83="","",IF(AG83&gt;=BandVH,"Very High",IF(AG83&gt;=BandHigh,"High",IF(AG83&gt;=BandMed,"Medium","Low"))))</f>
        <v/>
      </c>
      <c r="AI83" s="4" t="n"/>
      <c r="AJ83" s="4" t="n"/>
    </row>
    <row r="84">
      <c r="A84" s="30">
        <f>IF(B84="","",COUNTIF(B$14:B84,"?*"))</f>
        <v/>
      </c>
      <c r="B84" s="4" t="n"/>
      <c r="C84" s="19" t="n"/>
      <c r="D84" s="5">
        <f>IF(OR(B84="",C84=""),"",UPPER(LEFT(C84,1))&amp;LOWER(MID(C84,2,30))&amp;" "&amp;LOWER(LEFT(B84,1))&amp;MID(B84,2,200))</f>
        <v/>
      </c>
      <c r="E84" s="4" t="n"/>
      <c r="F84" s="4" t="n"/>
      <c r="G84" s="4" t="n"/>
      <c r="H84" s="4" t="n"/>
      <c r="I84" s="4" t="n"/>
      <c r="J84" s="4" t="n"/>
      <c r="K84" s="5">
        <f>_xlfn.TEXTJOIN(CHAR(10),TRUE,IF(E84="","","• "&amp;E84),IF(F84="","","• "&amp;F84),IF(G84="","","• "&amp;G84),IF(H84="","","• "&amp;H84),IF(I84="","","• "&amp;I84),IF(J84="","","• "&amp;J84))</f>
        <v/>
      </c>
      <c r="L84" s="4" t="n"/>
      <c r="M84" s="19" t="n"/>
      <c r="N84" s="19" t="n"/>
      <c r="O84" s="30">
        <f>IF(OR(M84="",N84=""),"",INDEX(RiskGrid,6-VALUE(LEFT(M84,1)),VALUE(LEFT(N84,1))))</f>
        <v/>
      </c>
      <c r="P84" s="30">
        <f>IF(O84="","",IF(O84&gt;=BandVH,"Very High",IF(O84&gt;=BandHigh,"High",IF(O84&gt;=BandMed,"Medium","Low"))))</f>
        <v/>
      </c>
      <c r="Q84" s="4" t="n"/>
      <c r="R84" s="19" t="n"/>
      <c r="S84" s="4" t="n"/>
      <c r="T84" s="19" t="n"/>
      <c r="U84" s="4" t="n"/>
      <c r="V84" s="19" t="n"/>
      <c r="W84" s="4" t="n"/>
      <c r="X84" s="19" t="n"/>
      <c r="Y84" s="4" t="n"/>
      <c r="Z84" s="19" t="n"/>
      <c r="AA84" s="4" t="n"/>
      <c r="AB84" s="19" t="n"/>
      <c r="AC84" s="5">
        <f>_xlfn.TEXTJOIN(CHAR(10),TRUE,IF(Q84="","","• "&amp;Q84&amp;IF(R84="Yes","  [IPL]","")),IF(S84="","","• "&amp;S84&amp;IF(T84="Yes","  [IPL]","")),IF(U84="","","• "&amp;U84&amp;IF(V84="Yes","  [IPL]","")),IF(W84="","","• "&amp;W84&amp;IF(X84="Yes","  [IPL]","")),IF(Y84="","","• "&amp;Y84&amp;IF(Z84="Yes","  [IPL]","")),IF(AA84="","","• "&amp;AA84&amp;IF(AB84="Yes","  [IPL]","")))</f>
        <v/>
      </c>
      <c r="AD84" s="30">
        <f>IF(AC84="","",COUNTIF(Q84:AB84,"Yes"))</f>
        <v/>
      </c>
      <c r="AE84" s="19" t="n"/>
      <c r="AF84" s="19" t="n"/>
      <c r="AG84" s="30">
        <f>IF(OR(AE84="",AF84=""),"",INDEX(RiskGrid,6-VALUE(LEFT(AE84,1)),VALUE(LEFT(AF84,1))))</f>
        <v/>
      </c>
      <c r="AH84" s="30">
        <f>IF(AG84="","",IF(AG84&gt;=BandVH,"Very High",IF(AG84&gt;=BandHigh,"High",IF(AG84&gt;=BandMed,"Medium","Low"))))</f>
        <v/>
      </c>
      <c r="AI84" s="4" t="n"/>
      <c r="AJ84" s="4" t="n"/>
    </row>
    <row r="85">
      <c r="A85" s="30">
        <f>IF(B85="","",COUNTIF(B$14:B85,"?*"))</f>
        <v/>
      </c>
      <c r="B85" s="4" t="n"/>
      <c r="C85" s="19" t="n"/>
      <c r="D85" s="5">
        <f>IF(OR(B85="",C85=""),"",UPPER(LEFT(C85,1))&amp;LOWER(MID(C85,2,30))&amp;" "&amp;LOWER(LEFT(B85,1))&amp;MID(B85,2,200))</f>
        <v/>
      </c>
      <c r="E85" s="4" t="n"/>
      <c r="F85" s="4" t="n"/>
      <c r="G85" s="4" t="n"/>
      <c r="H85" s="4" t="n"/>
      <c r="I85" s="4" t="n"/>
      <c r="J85" s="4" t="n"/>
      <c r="K85" s="5">
        <f>_xlfn.TEXTJOIN(CHAR(10),TRUE,IF(E85="","","• "&amp;E85),IF(F85="","","• "&amp;F85),IF(G85="","","• "&amp;G85),IF(H85="","","• "&amp;H85),IF(I85="","","• "&amp;I85),IF(J85="","","• "&amp;J85))</f>
        <v/>
      </c>
      <c r="L85" s="4" t="n"/>
      <c r="M85" s="19" t="n"/>
      <c r="N85" s="19" t="n"/>
      <c r="O85" s="30">
        <f>IF(OR(M85="",N85=""),"",INDEX(RiskGrid,6-VALUE(LEFT(M85,1)),VALUE(LEFT(N85,1))))</f>
        <v/>
      </c>
      <c r="P85" s="30">
        <f>IF(O85="","",IF(O85&gt;=BandVH,"Very High",IF(O85&gt;=BandHigh,"High",IF(O85&gt;=BandMed,"Medium","Low"))))</f>
        <v/>
      </c>
      <c r="Q85" s="4" t="n"/>
      <c r="R85" s="19" t="n"/>
      <c r="S85" s="4" t="n"/>
      <c r="T85" s="19" t="n"/>
      <c r="U85" s="4" t="n"/>
      <c r="V85" s="19" t="n"/>
      <c r="W85" s="4" t="n"/>
      <c r="X85" s="19" t="n"/>
      <c r="Y85" s="4" t="n"/>
      <c r="Z85" s="19" t="n"/>
      <c r="AA85" s="4" t="n"/>
      <c r="AB85" s="19" t="n"/>
      <c r="AC85" s="5">
        <f>_xlfn.TEXTJOIN(CHAR(10),TRUE,IF(Q85="","","• "&amp;Q85&amp;IF(R85="Yes","  [IPL]","")),IF(S85="","","• "&amp;S85&amp;IF(T85="Yes","  [IPL]","")),IF(U85="","","• "&amp;U85&amp;IF(V85="Yes","  [IPL]","")),IF(W85="","","• "&amp;W85&amp;IF(X85="Yes","  [IPL]","")),IF(Y85="","","• "&amp;Y85&amp;IF(Z85="Yes","  [IPL]","")),IF(AA85="","","• "&amp;AA85&amp;IF(AB85="Yes","  [IPL]","")))</f>
        <v/>
      </c>
      <c r="AD85" s="30">
        <f>IF(AC85="","",COUNTIF(Q85:AB85,"Yes"))</f>
        <v/>
      </c>
      <c r="AE85" s="19" t="n"/>
      <c r="AF85" s="19" t="n"/>
      <c r="AG85" s="30">
        <f>IF(OR(AE85="",AF85=""),"",INDEX(RiskGrid,6-VALUE(LEFT(AE85,1)),VALUE(LEFT(AF85,1))))</f>
        <v/>
      </c>
      <c r="AH85" s="30">
        <f>IF(AG85="","",IF(AG85&gt;=BandVH,"Very High",IF(AG85&gt;=BandHigh,"High",IF(AG85&gt;=BandMed,"Medium","Low"))))</f>
        <v/>
      </c>
      <c r="AI85" s="4" t="n"/>
      <c r="AJ85" s="4" t="n"/>
    </row>
    <row r="86">
      <c r="A86" s="30">
        <f>IF(B86="","",COUNTIF(B$14:B86,"?*"))</f>
        <v/>
      </c>
      <c r="B86" s="4" t="n"/>
      <c r="C86" s="19" t="n"/>
      <c r="D86" s="5">
        <f>IF(OR(B86="",C86=""),"",UPPER(LEFT(C86,1))&amp;LOWER(MID(C86,2,30))&amp;" "&amp;LOWER(LEFT(B86,1))&amp;MID(B86,2,200))</f>
        <v/>
      </c>
      <c r="E86" s="4" t="n"/>
      <c r="F86" s="4" t="n"/>
      <c r="G86" s="4" t="n"/>
      <c r="H86" s="4" t="n"/>
      <c r="I86" s="4" t="n"/>
      <c r="J86" s="4" t="n"/>
      <c r="K86" s="5">
        <f>_xlfn.TEXTJOIN(CHAR(10),TRUE,IF(E86="","","• "&amp;E86),IF(F86="","","• "&amp;F86),IF(G86="","","• "&amp;G86),IF(H86="","","• "&amp;H86),IF(I86="","","• "&amp;I86),IF(J86="","","• "&amp;J86))</f>
        <v/>
      </c>
      <c r="L86" s="4" t="n"/>
      <c r="M86" s="19" t="n"/>
      <c r="N86" s="19" t="n"/>
      <c r="O86" s="30">
        <f>IF(OR(M86="",N86=""),"",INDEX(RiskGrid,6-VALUE(LEFT(M86,1)),VALUE(LEFT(N86,1))))</f>
        <v/>
      </c>
      <c r="P86" s="30">
        <f>IF(O86="","",IF(O86&gt;=BandVH,"Very High",IF(O86&gt;=BandHigh,"High",IF(O86&gt;=BandMed,"Medium","Low"))))</f>
        <v/>
      </c>
      <c r="Q86" s="4" t="n"/>
      <c r="R86" s="19" t="n"/>
      <c r="S86" s="4" t="n"/>
      <c r="T86" s="19" t="n"/>
      <c r="U86" s="4" t="n"/>
      <c r="V86" s="19" t="n"/>
      <c r="W86" s="4" t="n"/>
      <c r="X86" s="19" t="n"/>
      <c r="Y86" s="4" t="n"/>
      <c r="Z86" s="19" t="n"/>
      <c r="AA86" s="4" t="n"/>
      <c r="AB86" s="19" t="n"/>
      <c r="AC86" s="5">
        <f>_xlfn.TEXTJOIN(CHAR(10),TRUE,IF(Q86="","","• "&amp;Q86&amp;IF(R86="Yes","  [IPL]","")),IF(S86="","","• "&amp;S86&amp;IF(T86="Yes","  [IPL]","")),IF(U86="","","• "&amp;U86&amp;IF(V86="Yes","  [IPL]","")),IF(W86="","","• "&amp;W86&amp;IF(X86="Yes","  [IPL]","")),IF(Y86="","","• "&amp;Y86&amp;IF(Z86="Yes","  [IPL]","")),IF(AA86="","","• "&amp;AA86&amp;IF(AB86="Yes","  [IPL]","")))</f>
        <v/>
      </c>
      <c r="AD86" s="30">
        <f>IF(AC86="","",COUNTIF(Q86:AB86,"Yes"))</f>
        <v/>
      </c>
      <c r="AE86" s="19" t="n"/>
      <c r="AF86" s="19" t="n"/>
      <c r="AG86" s="30">
        <f>IF(OR(AE86="",AF86=""),"",INDEX(RiskGrid,6-VALUE(LEFT(AE86,1)),VALUE(LEFT(AF86,1))))</f>
        <v/>
      </c>
      <c r="AH86" s="30">
        <f>IF(AG86="","",IF(AG86&gt;=BandVH,"Very High",IF(AG86&gt;=BandHigh,"High",IF(AG86&gt;=BandMed,"Medium","Low"))))</f>
        <v/>
      </c>
      <c r="AI86" s="4" t="n"/>
      <c r="AJ86" s="4" t="n"/>
    </row>
    <row r="87">
      <c r="A87" s="30">
        <f>IF(B87="","",COUNTIF(B$14:B87,"?*"))</f>
        <v/>
      </c>
      <c r="B87" s="4" t="n"/>
      <c r="C87" s="19" t="n"/>
      <c r="D87" s="5">
        <f>IF(OR(B87="",C87=""),"",UPPER(LEFT(C87,1))&amp;LOWER(MID(C87,2,30))&amp;" "&amp;LOWER(LEFT(B87,1))&amp;MID(B87,2,200))</f>
        <v/>
      </c>
      <c r="E87" s="4" t="n"/>
      <c r="F87" s="4" t="n"/>
      <c r="G87" s="4" t="n"/>
      <c r="H87" s="4" t="n"/>
      <c r="I87" s="4" t="n"/>
      <c r="J87" s="4" t="n"/>
      <c r="K87" s="5">
        <f>_xlfn.TEXTJOIN(CHAR(10),TRUE,IF(E87="","","• "&amp;E87),IF(F87="","","• "&amp;F87),IF(G87="","","• "&amp;G87),IF(H87="","","• "&amp;H87),IF(I87="","","• "&amp;I87),IF(J87="","","• "&amp;J87))</f>
        <v/>
      </c>
      <c r="L87" s="4" t="n"/>
      <c r="M87" s="19" t="n"/>
      <c r="N87" s="19" t="n"/>
      <c r="O87" s="30">
        <f>IF(OR(M87="",N87=""),"",INDEX(RiskGrid,6-VALUE(LEFT(M87,1)),VALUE(LEFT(N87,1))))</f>
        <v/>
      </c>
      <c r="P87" s="30">
        <f>IF(O87="","",IF(O87&gt;=BandVH,"Very High",IF(O87&gt;=BandHigh,"High",IF(O87&gt;=BandMed,"Medium","Low"))))</f>
        <v/>
      </c>
      <c r="Q87" s="4" t="n"/>
      <c r="R87" s="19" t="n"/>
      <c r="S87" s="4" t="n"/>
      <c r="T87" s="19" t="n"/>
      <c r="U87" s="4" t="n"/>
      <c r="V87" s="19" t="n"/>
      <c r="W87" s="4" t="n"/>
      <c r="X87" s="19" t="n"/>
      <c r="Y87" s="4" t="n"/>
      <c r="Z87" s="19" t="n"/>
      <c r="AA87" s="4" t="n"/>
      <c r="AB87" s="19" t="n"/>
      <c r="AC87" s="5">
        <f>_xlfn.TEXTJOIN(CHAR(10),TRUE,IF(Q87="","","• "&amp;Q87&amp;IF(R87="Yes","  [IPL]","")),IF(S87="","","• "&amp;S87&amp;IF(T87="Yes","  [IPL]","")),IF(U87="","","• "&amp;U87&amp;IF(V87="Yes","  [IPL]","")),IF(W87="","","• "&amp;W87&amp;IF(X87="Yes","  [IPL]","")),IF(Y87="","","• "&amp;Y87&amp;IF(Z87="Yes","  [IPL]","")),IF(AA87="","","• "&amp;AA87&amp;IF(AB87="Yes","  [IPL]","")))</f>
        <v/>
      </c>
      <c r="AD87" s="30">
        <f>IF(AC87="","",COUNTIF(Q87:AB87,"Yes"))</f>
        <v/>
      </c>
      <c r="AE87" s="19" t="n"/>
      <c r="AF87" s="19" t="n"/>
      <c r="AG87" s="30">
        <f>IF(OR(AE87="",AF87=""),"",INDEX(RiskGrid,6-VALUE(LEFT(AE87,1)),VALUE(LEFT(AF87,1))))</f>
        <v/>
      </c>
      <c r="AH87" s="30">
        <f>IF(AG87="","",IF(AG87&gt;=BandVH,"Very High",IF(AG87&gt;=BandHigh,"High",IF(AG87&gt;=BandMed,"Medium","Low"))))</f>
        <v/>
      </c>
      <c r="AI87" s="4" t="n"/>
      <c r="AJ87" s="4" t="n"/>
    </row>
    <row r="88">
      <c r="A88" s="30">
        <f>IF(B88="","",COUNTIF(B$14:B88,"?*"))</f>
        <v/>
      </c>
      <c r="B88" s="4" t="n"/>
      <c r="C88" s="19" t="n"/>
      <c r="D88" s="5">
        <f>IF(OR(B88="",C88=""),"",UPPER(LEFT(C88,1))&amp;LOWER(MID(C88,2,30))&amp;" "&amp;LOWER(LEFT(B88,1))&amp;MID(B88,2,200))</f>
        <v/>
      </c>
      <c r="E88" s="4" t="n"/>
      <c r="F88" s="4" t="n"/>
      <c r="G88" s="4" t="n"/>
      <c r="H88" s="4" t="n"/>
      <c r="I88" s="4" t="n"/>
      <c r="J88" s="4" t="n"/>
      <c r="K88" s="5">
        <f>_xlfn.TEXTJOIN(CHAR(10),TRUE,IF(E88="","","• "&amp;E88),IF(F88="","","• "&amp;F88),IF(G88="","","• "&amp;G88),IF(H88="","","• "&amp;H88),IF(I88="","","• "&amp;I88),IF(J88="","","• "&amp;J88))</f>
        <v/>
      </c>
      <c r="L88" s="4" t="n"/>
      <c r="M88" s="19" t="n"/>
      <c r="N88" s="19" t="n"/>
      <c r="O88" s="30">
        <f>IF(OR(M88="",N88=""),"",INDEX(RiskGrid,6-VALUE(LEFT(M88,1)),VALUE(LEFT(N88,1))))</f>
        <v/>
      </c>
      <c r="P88" s="30">
        <f>IF(O88="","",IF(O88&gt;=BandVH,"Very High",IF(O88&gt;=BandHigh,"High",IF(O88&gt;=BandMed,"Medium","Low"))))</f>
        <v/>
      </c>
      <c r="Q88" s="4" t="n"/>
      <c r="R88" s="19" t="n"/>
      <c r="S88" s="4" t="n"/>
      <c r="T88" s="19" t="n"/>
      <c r="U88" s="4" t="n"/>
      <c r="V88" s="19" t="n"/>
      <c r="W88" s="4" t="n"/>
      <c r="X88" s="19" t="n"/>
      <c r="Y88" s="4" t="n"/>
      <c r="Z88" s="19" t="n"/>
      <c r="AA88" s="4" t="n"/>
      <c r="AB88" s="19" t="n"/>
      <c r="AC88" s="5">
        <f>_xlfn.TEXTJOIN(CHAR(10),TRUE,IF(Q88="","","• "&amp;Q88&amp;IF(R88="Yes","  [IPL]","")),IF(S88="","","• "&amp;S88&amp;IF(T88="Yes","  [IPL]","")),IF(U88="","","• "&amp;U88&amp;IF(V88="Yes","  [IPL]","")),IF(W88="","","• "&amp;W88&amp;IF(X88="Yes","  [IPL]","")),IF(Y88="","","• "&amp;Y88&amp;IF(Z88="Yes","  [IPL]","")),IF(AA88="","","• "&amp;AA88&amp;IF(AB88="Yes","  [IPL]","")))</f>
        <v/>
      </c>
      <c r="AD88" s="30">
        <f>IF(AC88="","",COUNTIF(Q88:AB88,"Yes"))</f>
        <v/>
      </c>
      <c r="AE88" s="19" t="n"/>
      <c r="AF88" s="19" t="n"/>
      <c r="AG88" s="30">
        <f>IF(OR(AE88="",AF88=""),"",INDEX(RiskGrid,6-VALUE(LEFT(AE88,1)),VALUE(LEFT(AF88,1))))</f>
        <v/>
      </c>
      <c r="AH88" s="30">
        <f>IF(AG88="","",IF(AG88&gt;=BandVH,"Very High",IF(AG88&gt;=BandHigh,"High",IF(AG88&gt;=BandMed,"Medium","Low"))))</f>
        <v/>
      </c>
      <c r="AI88" s="4" t="n"/>
      <c r="AJ88" s="4" t="n"/>
    </row>
    <row r="89">
      <c r="A89" s="30">
        <f>IF(B89="","",COUNTIF(B$14:B89,"?*"))</f>
        <v/>
      </c>
      <c r="B89" s="4" t="n"/>
      <c r="C89" s="19" t="n"/>
      <c r="D89" s="5">
        <f>IF(OR(B89="",C89=""),"",UPPER(LEFT(C89,1))&amp;LOWER(MID(C89,2,30))&amp;" "&amp;LOWER(LEFT(B89,1))&amp;MID(B89,2,200))</f>
        <v/>
      </c>
      <c r="E89" s="4" t="n"/>
      <c r="F89" s="4" t="n"/>
      <c r="G89" s="4" t="n"/>
      <c r="H89" s="4" t="n"/>
      <c r="I89" s="4" t="n"/>
      <c r="J89" s="4" t="n"/>
      <c r="K89" s="5">
        <f>_xlfn.TEXTJOIN(CHAR(10),TRUE,IF(E89="","","• "&amp;E89),IF(F89="","","• "&amp;F89),IF(G89="","","• "&amp;G89),IF(H89="","","• "&amp;H89),IF(I89="","","• "&amp;I89),IF(J89="","","• "&amp;J89))</f>
        <v/>
      </c>
      <c r="L89" s="4" t="n"/>
      <c r="M89" s="19" t="n"/>
      <c r="N89" s="19" t="n"/>
      <c r="O89" s="30">
        <f>IF(OR(M89="",N89=""),"",INDEX(RiskGrid,6-VALUE(LEFT(M89,1)),VALUE(LEFT(N89,1))))</f>
        <v/>
      </c>
      <c r="P89" s="30">
        <f>IF(O89="","",IF(O89&gt;=BandVH,"Very High",IF(O89&gt;=BandHigh,"High",IF(O89&gt;=BandMed,"Medium","Low"))))</f>
        <v/>
      </c>
      <c r="Q89" s="4" t="n"/>
      <c r="R89" s="19" t="n"/>
      <c r="S89" s="4" t="n"/>
      <c r="T89" s="19" t="n"/>
      <c r="U89" s="4" t="n"/>
      <c r="V89" s="19" t="n"/>
      <c r="W89" s="4" t="n"/>
      <c r="X89" s="19" t="n"/>
      <c r="Y89" s="4" t="n"/>
      <c r="Z89" s="19" t="n"/>
      <c r="AA89" s="4" t="n"/>
      <c r="AB89" s="19" t="n"/>
      <c r="AC89" s="5">
        <f>_xlfn.TEXTJOIN(CHAR(10),TRUE,IF(Q89="","","• "&amp;Q89&amp;IF(R89="Yes","  [IPL]","")),IF(S89="","","• "&amp;S89&amp;IF(T89="Yes","  [IPL]","")),IF(U89="","","• "&amp;U89&amp;IF(V89="Yes","  [IPL]","")),IF(W89="","","• "&amp;W89&amp;IF(X89="Yes","  [IPL]","")),IF(Y89="","","• "&amp;Y89&amp;IF(Z89="Yes","  [IPL]","")),IF(AA89="","","• "&amp;AA89&amp;IF(AB89="Yes","  [IPL]","")))</f>
        <v/>
      </c>
      <c r="AD89" s="30">
        <f>IF(AC89="","",COUNTIF(Q89:AB89,"Yes"))</f>
        <v/>
      </c>
      <c r="AE89" s="19" t="n"/>
      <c r="AF89" s="19" t="n"/>
      <c r="AG89" s="30">
        <f>IF(OR(AE89="",AF89=""),"",INDEX(RiskGrid,6-VALUE(LEFT(AE89,1)),VALUE(LEFT(AF89,1))))</f>
        <v/>
      </c>
      <c r="AH89" s="30">
        <f>IF(AG89="","",IF(AG89&gt;=BandVH,"Very High",IF(AG89&gt;=BandHigh,"High",IF(AG89&gt;=BandMed,"Medium","Low"))))</f>
        <v/>
      </c>
      <c r="AI89" s="4" t="n"/>
      <c r="AJ89" s="4" t="n"/>
    </row>
    <row r="90">
      <c r="A90" s="30">
        <f>IF(B90="","",COUNTIF(B$14:B90,"?*"))</f>
        <v/>
      </c>
      <c r="B90" s="4" t="n"/>
      <c r="C90" s="19" t="n"/>
      <c r="D90" s="5">
        <f>IF(OR(B90="",C90=""),"",UPPER(LEFT(C90,1))&amp;LOWER(MID(C90,2,30))&amp;" "&amp;LOWER(LEFT(B90,1))&amp;MID(B90,2,200))</f>
        <v/>
      </c>
      <c r="E90" s="4" t="n"/>
      <c r="F90" s="4" t="n"/>
      <c r="G90" s="4" t="n"/>
      <c r="H90" s="4" t="n"/>
      <c r="I90" s="4" t="n"/>
      <c r="J90" s="4" t="n"/>
      <c r="K90" s="5">
        <f>_xlfn.TEXTJOIN(CHAR(10),TRUE,IF(E90="","","• "&amp;E90),IF(F90="","","• "&amp;F90),IF(G90="","","• "&amp;G90),IF(H90="","","• "&amp;H90),IF(I90="","","• "&amp;I90),IF(J90="","","• "&amp;J90))</f>
        <v/>
      </c>
      <c r="L90" s="4" t="n"/>
      <c r="M90" s="19" t="n"/>
      <c r="N90" s="19" t="n"/>
      <c r="O90" s="30">
        <f>IF(OR(M90="",N90=""),"",INDEX(RiskGrid,6-VALUE(LEFT(M90,1)),VALUE(LEFT(N90,1))))</f>
        <v/>
      </c>
      <c r="P90" s="30">
        <f>IF(O90="","",IF(O90&gt;=BandVH,"Very High",IF(O90&gt;=BandHigh,"High",IF(O90&gt;=BandMed,"Medium","Low"))))</f>
        <v/>
      </c>
      <c r="Q90" s="4" t="n"/>
      <c r="R90" s="19" t="n"/>
      <c r="S90" s="4" t="n"/>
      <c r="T90" s="19" t="n"/>
      <c r="U90" s="4" t="n"/>
      <c r="V90" s="19" t="n"/>
      <c r="W90" s="4" t="n"/>
      <c r="X90" s="19" t="n"/>
      <c r="Y90" s="4" t="n"/>
      <c r="Z90" s="19" t="n"/>
      <c r="AA90" s="4" t="n"/>
      <c r="AB90" s="19" t="n"/>
      <c r="AC90" s="5">
        <f>_xlfn.TEXTJOIN(CHAR(10),TRUE,IF(Q90="","","• "&amp;Q90&amp;IF(R90="Yes","  [IPL]","")),IF(S90="","","• "&amp;S90&amp;IF(T90="Yes","  [IPL]","")),IF(U90="","","• "&amp;U90&amp;IF(V90="Yes","  [IPL]","")),IF(W90="","","• "&amp;W90&amp;IF(X90="Yes","  [IPL]","")),IF(Y90="","","• "&amp;Y90&amp;IF(Z90="Yes","  [IPL]","")),IF(AA90="","","• "&amp;AA90&amp;IF(AB90="Yes","  [IPL]","")))</f>
        <v/>
      </c>
      <c r="AD90" s="30">
        <f>IF(AC90="","",COUNTIF(Q90:AB90,"Yes"))</f>
        <v/>
      </c>
      <c r="AE90" s="19" t="n"/>
      <c r="AF90" s="19" t="n"/>
      <c r="AG90" s="30">
        <f>IF(OR(AE90="",AF90=""),"",INDEX(RiskGrid,6-VALUE(LEFT(AE90,1)),VALUE(LEFT(AF90,1))))</f>
        <v/>
      </c>
      <c r="AH90" s="30">
        <f>IF(AG90="","",IF(AG90&gt;=BandVH,"Very High",IF(AG90&gt;=BandHigh,"High",IF(AG90&gt;=BandMed,"Medium","Low"))))</f>
        <v/>
      </c>
      <c r="AI90" s="4" t="n"/>
      <c r="AJ90" s="4" t="n"/>
    </row>
    <row r="91">
      <c r="A91" s="30">
        <f>IF(B91="","",COUNTIF(B$14:B91,"?*"))</f>
        <v/>
      </c>
      <c r="B91" s="4" t="n"/>
      <c r="C91" s="19" t="n"/>
      <c r="D91" s="5">
        <f>IF(OR(B91="",C91=""),"",UPPER(LEFT(C91,1))&amp;LOWER(MID(C91,2,30))&amp;" "&amp;LOWER(LEFT(B91,1))&amp;MID(B91,2,200))</f>
        <v/>
      </c>
      <c r="E91" s="4" t="n"/>
      <c r="F91" s="4" t="n"/>
      <c r="G91" s="4" t="n"/>
      <c r="H91" s="4" t="n"/>
      <c r="I91" s="4" t="n"/>
      <c r="J91" s="4" t="n"/>
      <c r="K91" s="5">
        <f>_xlfn.TEXTJOIN(CHAR(10),TRUE,IF(E91="","","• "&amp;E91),IF(F91="","","• "&amp;F91),IF(G91="","","• "&amp;G91),IF(H91="","","• "&amp;H91),IF(I91="","","• "&amp;I91),IF(J91="","","• "&amp;J91))</f>
        <v/>
      </c>
      <c r="L91" s="4" t="n"/>
      <c r="M91" s="19" t="n"/>
      <c r="N91" s="19" t="n"/>
      <c r="O91" s="30">
        <f>IF(OR(M91="",N91=""),"",INDEX(RiskGrid,6-VALUE(LEFT(M91,1)),VALUE(LEFT(N91,1))))</f>
        <v/>
      </c>
      <c r="P91" s="30">
        <f>IF(O91="","",IF(O91&gt;=BandVH,"Very High",IF(O91&gt;=BandHigh,"High",IF(O91&gt;=BandMed,"Medium","Low"))))</f>
        <v/>
      </c>
      <c r="Q91" s="4" t="n"/>
      <c r="R91" s="19" t="n"/>
      <c r="S91" s="4" t="n"/>
      <c r="T91" s="19" t="n"/>
      <c r="U91" s="4" t="n"/>
      <c r="V91" s="19" t="n"/>
      <c r="W91" s="4" t="n"/>
      <c r="X91" s="19" t="n"/>
      <c r="Y91" s="4" t="n"/>
      <c r="Z91" s="19" t="n"/>
      <c r="AA91" s="4" t="n"/>
      <c r="AB91" s="19" t="n"/>
      <c r="AC91" s="5">
        <f>_xlfn.TEXTJOIN(CHAR(10),TRUE,IF(Q91="","","• "&amp;Q91&amp;IF(R91="Yes","  [IPL]","")),IF(S91="","","• "&amp;S91&amp;IF(T91="Yes","  [IPL]","")),IF(U91="","","• "&amp;U91&amp;IF(V91="Yes","  [IPL]","")),IF(W91="","","• "&amp;W91&amp;IF(X91="Yes","  [IPL]","")),IF(Y91="","","• "&amp;Y91&amp;IF(Z91="Yes","  [IPL]","")),IF(AA91="","","• "&amp;AA91&amp;IF(AB91="Yes","  [IPL]","")))</f>
        <v/>
      </c>
      <c r="AD91" s="30">
        <f>IF(AC91="","",COUNTIF(Q91:AB91,"Yes"))</f>
        <v/>
      </c>
      <c r="AE91" s="19" t="n"/>
      <c r="AF91" s="19" t="n"/>
      <c r="AG91" s="30">
        <f>IF(OR(AE91="",AF91=""),"",INDEX(RiskGrid,6-VALUE(LEFT(AE91,1)),VALUE(LEFT(AF91,1))))</f>
        <v/>
      </c>
      <c r="AH91" s="30">
        <f>IF(AG91="","",IF(AG91&gt;=BandVH,"Very High",IF(AG91&gt;=BandHigh,"High",IF(AG91&gt;=BandMed,"Medium","Low"))))</f>
        <v/>
      </c>
      <c r="AI91" s="4" t="n"/>
      <c r="AJ91" s="4" t="n"/>
    </row>
    <row r="92">
      <c r="A92" s="30">
        <f>IF(B92="","",COUNTIF(B$14:B92,"?*"))</f>
        <v/>
      </c>
      <c r="B92" s="4" t="n"/>
      <c r="C92" s="19" t="n"/>
      <c r="D92" s="5">
        <f>IF(OR(B92="",C92=""),"",UPPER(LEFT(C92,1))&amp;LOWER(MID(C92,2,30))&amp;" "&amp;LOWER(LEFT(B92,1))&amp;MID(B92,2,200))</f>
        <v/>
      </c>
      <c r="E92" s="4" t="n"/>
      <c r="F92" s="4" t="n"/>
      <c r="G92" s="4" t="n"/>
      <c r="H92" s="4" t="n"/>
      <c r="I92" s="4" t="n"/>
      <c r="J92" s="4" t="n"/>
      <c r="K92" s="5">
        <f>_xlfn.TEXTJOIN(CHAR(10),TRUE,IF(E92="","","• "&amp;E92),IF(F92="","","• "&amp;F92),IF(G92="","","• "&amp;G92),IF(H92="","","• "&amp;H92),IF(I92="","","• "&amp;I92),IF(J92="","","• "&amp;J92))</f>
        <v/>
      </c>
      <c r="L92" s="4" t="n"/>
      <c r="M92" s="19" t="n"/>
      <c r="N92" s="19" t="n"/>
      <c r="O92" s="30">
        <f>IF(OR(M92="",N92=""),"",INDEX(RiskGrid,6-VALUE(LEFT(M92,1)),VALUE(LEFT(N92,1))))</f>
        <v/>
      </c>
      <c r="P92" s="30">
        <f>IF(O92="","",IF(O92&gt;=BandVH,"Very High",IF(O92&gt;=BandHigh,"High",IF(O92&gt;=BandMed,"Medium","Low"))))</f>
        <v/>
      </c>
      <c r="Q92" s="4" t="n"/>
      <c r="R92" s="19" t="n"/>
      <c r="S92" s="4" t="n"/>
      <c r="T92" s="19" t="n"/>
      <c r="U92" s="4" t="n"/>
      <c r="V92" s="19" t="n"/>
      <c r="W92" s="4" t="n"/>
      <c r="X92" s="19" t="n"/>
      <c r="Y92" s="4" t="n"/>
      <c r="Z92" s="19" t="n"/>
      <c r="AA92" s="4" t="n"/>
      <c r="AB92" s="19" t="n"/>
      <c r="AC92" s="5">
        <f>_xlfn.TEXTJOIN(CHAR(10),TRUE,IF(Q92="","","• "&amp;Q92&amp;IF(R92="Yes","  [IPL]","")),IF(S92="","","• "&amp;S92&amp;IF(T92="Yes","  [IPL]","")),IF(U92="","","• "&amp;U92&amp;IF(V92="Yes","  [IPL]","")),IF(W92="","","• "&amp;W92&amp;IF(X92="Yes","  [IPL]","")),IF(Y92="","","• "&amp;Y92&amp;IF(Z92="Yes","  [IPL]","")),IF(AA92="","","• "&amp;AA92&amp;IF(AB92="Yes","  [IPL]","")))</f>
        <v/>
      </c>
      <c r="AD92" s="30">
        <f>IF(AC92="","",COUNTIF(Q92:AB92,"Yes"))</f>
        <v/>
      </c>
      <c r="AE92" s="19" t="n"/>
      <c r="AF92" s="19" t="n"/>
      <c r="AG92" s="30">
        <f>IF(OR(AE92="",AF92=""),"",INDEX(RiskGrid,6-VALUE(LEFT(AE92,1)),VALUE(LEFT(AF92,1))))</f>
        <v/>
      </c>
      <c r="AH92" s="30">
        <f>IF(AG92="","",IF(AG92&gt;=BandVH,"Very High",IF(AG92&gt;=BandHigh,"High",IF(AG92&gt;=BandMed,"Medium","Low"))))</f>
        <v/>
      </c>
      <c r="AI92" s="4" t="n"/>
      <c r="AJ92" s="4" t="n"/>
    </row>
    <row r="93">
      <c r="A93" s="30">
        <f>IF(B93="","",COUNTIF(B$14:B93,"?*"))</f>
        <v/>
      </c>
      <c r="B93" s="4" t="n"/>
      <c r="C93" s="19" t="n"/>
      <c r="D93" s="5">
        <f>IF(OR(B93="",C93=""),"",UPPER(LEFT(C93,1))&amp;LOWER(MID(C93,2,30))&amp;" "&amp;LOWER(LEFT(B93,1))&amp;MID(B93,2,200))</f>
        <v/>
      </c>
      <c r="E93" s="4" t="n"/>
      <c r="F93" s="4" t="n"/>
      <c r="G93" s="4" t="n"/>
      <c r="H93" s="4" t="n"/>
      <c r="I93" s="4" t="n"/>
      <c r="J93" s="4" t="n"/>
      <c r="K93" s="5">
        <f>_xlfn.TEXTJOIN(CHAR(10),TRUE,IF(E93="","","• "&amp;E93),IF(F93="","","• "&amp;F93),IF(G93="","","• "&amp;G93),IF(H93="","","• "&amp;H93),IF(I93="","","• "&amp;I93),IF(J93="","","• "&amp;J93))</f>
        <v/>
      </c>
      <c r="L93" s="4" t="n"/>
      <c r="M93" s="19" t="n"/>
      <c r="N93" s="19" t="n"/>
      <c r="O93" s="30">
        <f>IF(OR(M93="",N93=""),"",INDEX(RiskGrid,6-VALUE(LEFT(M93,1)),VALUE(LEFT(N93,1))))</f>
        <v/>
      </c>
      <c r="P93" s="30">
        <f>IF(O93="","",IF(O93&gt;=BandVH,"Very High",IF(O93&gt;=BandHigh,"High",IF(O93&gt;=BandMed,"Medium","Low"))))</f>
        <v/>
      </c>
      <c r="Q93" s="4" t="n"/>
      <c r="R93" s="19" t="n"/>
      <c r="S93" s="4" t="n"/>
      <c r="T93" s="19" t="n"/>
      <c r="U93" s="4" t="n"/>
      <c r="V93" s="19" t="n"/>
      <c r="W93" s="4" t="n"/>
      <c r="X93" s="19" t="n"/>
      <c r="Y93" s="4" t="n"/>
      <c r="Z93" s="19" t="n"/>
      <c r="AA93" s="4" t="n"/>
      <c r="AB93" s="19" t="n"/>
      <c r="AC93" s="5">
        <f>_xlfn.TEXTJOIN(CHAR(10),TRUE,IF(Q93="","","• "&amp;Q93&amp;IF(R93="Yes","  [IPL]","")),IF(S93="","","• "&amp;S93&amp;IF(T93="Yes","  [IPL]","")),IF(U93="","","• "&amp;U93&amp;IF(V93="Yes","  [IPL]","")),IF(W93="","","• "&amp;W93&amp;IF(X93="Yes","  [IPL]","")),IF(Y93="","","• "&amp;Y93&amp;IF(Z93="Yes","  [IPL]","")),IF(AA93="","","• "&amp;AA93&amp;IF(AB93="Yes","  [IPL]","")))</f>
        <v/>
      </c>
      <c r="AD93" s="30">
        <f>IF(AC93="","",COUNTIF(Q93:AB93,"Yes"))</f>
        <v/>
      </c>
      <c r="AE93" s="19" t="n"/>
      <c r="AF93" s="19" t="n"/>
      <c r="AG93" s="30">
        <f>IF(OR(AE93="",AF93=""),"",INDEX(RiskGrid,6-VALUE(LEFT(AE93,1)),VALUE(LEFT(AF93,1))))</f>
        <v/>
      </c>
      <c r="AH93" s="30">
        <f>IF(AG93="","",IF(AG93&gt;=BandVH,"Very High",IF(AG93&gt;=BandHigh,"High",IF(AG93&gt;=BandMed,"Medium","Low"))))</f>
        <v/>
      </c>
      <c r="AI93" s="4" t="n"/>
      <c r="AJ93" s="4" t="n"/>
    </row>
    <row r="94">
      <c r="A94" s="30">
        <f>IF(B94="","",COUNTIF(B$14:B94,"?*"))</f>
        <v/>
      </c>
      <c r="B94" s="4" t="n"/>
      <c r="C94" s="19" t="n"/>
      <c r="D94" s="5">
        <f>IF(OR(B94="",C94=""),"",UPPER(LEFT(C94,1))&amp;LOWER(MID(C94,2,30))&amp;" "&amp;LOWER(LEFT(B94,1))&amp;MID(B94,2,200))</f>
        <v/>
      </c>
      <c r="E94" s="4" t="n"/>
      <c r="F94" s="4" t="n"/>
      <c r="G94" s="4" t="n"/>
      <c r="H94" s="4" t="n"/>
      <c r="I94" s="4" t="n"/>
      <c r="J94" s="4" t="n"/>
      <c r="K94" s="5">
        <f>_xlfn.TEXTJOIN(CHAR(10),TRUE,IF(E94="","","• "&amp;E94),IF(F94="","","• "&amp;F94),IF(G94="","","• "&amp;G94),IF(H94="","","• "&amp;H94),IF(I94="","","• "&amp;I94),IF(J94="","","• "&amp;J94))</f>
        <v/>
      </c>
      <c r="L94" s="4" t="n"/>
      <c r="M94" s="19" t="n"/>
      <c r="N94" s="19" t="n"/>
      <c r="O94" s="30">
        <f>IF(OR(M94="",N94=""),"",INDEX(RiskGrid,6-VALUE(LEFT(M94,1)),VALUE(LEFT(N94,1))))</f>
        <v/>
      </c>
      <c r="P94" s="30">
        <f>IF(O94="","",IF(O94&gt;=BandVH,"Very High",IF(O94&gt;=BandHigh,"High",IF(O94&gt;=BandMed,"Medium","Low"))))</f>
        <v/>
      </c>
      <c r="Q94" s="4" t="n"/>
      <c r="R94" s="19" t="n"/>
      <c r="S94" s="4" t="n"/>
      <c r="T94" s="19" t="n"/>
      <c r="U94" s="4" t="n"/>
      <c r="V94" s="19" t="n"/>
      <c r="W94" s="4" t="n"/>
      <c r="X94" s="19" t="n"/>
      <c r="Y94" s="4" t="n"/>
      <c r="Z94" s="19" t="n"/>
      <c r="AA94" s="4" t="n"/>
      <c r="AB94" s="19" t="n"/>
      <c r="AC94" s="5">
        <f>_xlfn.TEXTJOIN(CHAR(10),TRUE,IF(Q94="","","• "&amp;Q94&amp;IF(R94="Yes","  [IPL]","")),IF(S94="","","• "&amp;S94&amp;IF(T94="Yes","  [IPL]","")),IF(U94="","","• "&amp;U94&amp;IF(V94="Yes","  [IPL]","")),IF(W94="","","• "&amp;W94&amp;IF(X94="Yes","  [IPL]","")),IF(Y94="","","• "&amp;Y94&amp;IF(Z94="Yes","  [IPL]","")),IF(AA94="","","• "&amp;AA94&amp;IF(AB94="Yes","  [IPL]","")))</f>
        <v/>
      </c>
      <c r="AD94" s="30">
        <f>IF(AC94="","",COUNTIF(Q94:AB94,"Yes"))</f>
        <v/>
      </c>
      <c r="AE94" s="19" t="n"/>
      <c r="AF94" s="19" t="n"/>
      <c r="AG94" s="30">
        <f>IF(OR(AE94="",AF94=""),"",INDEX(RiskGrid,6-VALUE(LEFT(AE94,1)),VALUE(LEFT(AF94,1))))</f>
        <v/>
      </c>
      <c r="AH94" s="30">
        <f>IF(AG94="","",IF(AG94&gt;=BandVH,"Very High",IF(AG94&gt;=BandHigh,"High",IF(AG94&gt;=BandMed,"Medium","Low"))))</f>
        <v/>
      </c>
      <c r="AI94" s="4" t="n"/>
      <c r="AJ94" s="4" t="n"/>
    </row>
    <row r="95">
      <c r="A95" s="30">
        <f>IF(B95="","",COUNTIF(B$14:B95,"?*"))</f>
        <v/>
      </c>
      <c r="B95" s="4" t="n"/>
      <c r="C95" s="19" t="n"/>
      <c r="D95" s="5">
        <f>IF(OR(B95="",C95=""),"",UPPER(LEFT(C95,1))&amp;LOWER(MID(C95,2,30))&amp;" "&amp;LOWER(LEFT(B95,1))&amp;MID(B95,2,200))</f>
        <v/>
      </c>
      <c r="E95" s="4" t="n"/>
      <c r="F95" s="4" t="n"/>
      <c r="G95" s="4" t="n"/>
      <c r="H95" s="4" t="n"/>
      <c r="I95" s="4" t="n"/>
      <c r="J95" s="4" t="n"/>
      <c r="K95" s="5">
        <f>_xlfn.TEXTJOIN(CHAR(10),TRUE,IF(E95="","","• "&amp;E95),IF(F95="","","• "&amp;F95),IF(G95="","","• "&amp;G95),IF(H95="","","• "&amp;H95),IF(I95="","","• "&amp;I95),IF(J95="","","• "&amp;J95))</f>
        <v/>
      </c>
      <c r="L95" s="4" t="n"/>
      <c r="M95" s="19" t="n"/>
      <c r="N95" s="19" t="n"/>
      <c r="O95" s="30">
        <f>IF(OR(M95="",N95=""),"",INDEX(RiskGrid,6-VALUE(LEFT(M95,1)),VALUE(LEFT(N95,1))))</f>
        <v/>
      </c>
      <c r="P95" s="30">
        <f>IF(O95="","",IF(O95&gt;=BandVH,"Very High",IF(O95&gt;=BandHigh,"High",IF(O95&gt;=BandMed,"Medium","Low"))))</f>
        <v/>
      </c>
      <c r="Q95" s="4" t="n"/>
      <c r="R95" s="19" t="n"/>
      <c r="S95" s="4" t="n"/>
      <c r="T95" s="19" t="n"/>
      <c r="U95" s="4" t="n"/>
      <c r="V95" s="19" t="n"/>
      <c r="W95" s="4" t="n"/>
      <c r="X95" s="19" t="n"/>
      <c r="Y95" s="4" t="n"/>
      <c r="Z95" s="19" t="n"/>
      <c r="AA95" s="4" t="n"/>
      <c r="AB95" s="19" t="n"/>
      <c r="AC95" s="5">
        <f>_xlfn.TEXTJOIN(CHAR(10),TRUE,IF(Q95="","","• "&amp;Q95&amp;IF(R95="Yes","  [IPL]","")),IF(S95="","","• "&amp;S95&amp;IF(T95="Yes","  [IPL]","")),IF(U95="","","• "&amp;U95&amp;IF(V95="Yes","  [IPL]","")),IF(W95="","","• "&amp;W95&amp;IF(X95="Yes","  [IPL]","")),IF(Y95="","","• "&amp;Y95&amp;IF(Z95="Yes","  [IPL]","")),IF(AA95="","","• "&amp;AA95&amp;IF(AB95="Yes","  [IPL]","")))</f>
        <v/>
      </c>
      <c r="AD95" s="30">
        <f>IF(AC95="","",COUNTIF(Q95:AB95,"Yes"))</f>
        <v/>
      </c>
      <c r="AE95" s="19" t="n"/>
      <c r="AF95" s="19" t="n"/>
      <c r="AG95" s="30">
        <f>IF(OR(AE95="",AF95=""),"",INDEX(RiskGrid,6-VALUE(LEFT(AE95,1)),VALUE(LEFT(AF95,1))))</f>
        <v/>
      </c>
      <c r="AH95" s="30">
        <f>IF(AG95="","",IF(AG95&gt;=BandVH,"Very High",IF(AG95&gt;=BandHigh,"High",IF(AG95&gt;=BandMed,"Medium","Low"))))</f>
        <v/>
      </c>
      <c r="AI95" s="4" t="n"/>
      <c r="AJ95" s="4" t="n"/>
    </row>
    <row r="96">
      <c r="A96" s="30">
        <f>IF(B96="","",COUNTIF(B$14:B96,"?*"))</f>
        <v/>
      </c>
      <c r="B96" s="4" t="n"/>
      <c r="C96" s="19" t="n"/>
      <c r="D96" s="5">
        <f>IF(OR(B96="",C96=""),"",UPPER(LEFT(C96,1))&amp;LOWER(MID(C96,2,30))&amp;" "&amp;LOWER(LEFT(B96,1))&amp;MID(B96,2,200))</f>
        <v/>
      </c>
      <c r="E96" s="4" t="n"/>
      <c r="F96" s="4" t="n"/>
      <c r="G96" s="4" t="n"/>
      <c r="H96" s="4" t="n"/>
      <c r="I96" s="4" t="n"/>
      <c r="J96" s="4" t="n"/>
      <c r="K96" s="5">
        <f>_xlfn.TEXTJOIN(CHAR(10),TRUE,IF(E96="","","• "&amp;E96),IF(F96="","","• "&amp;F96),IF(G96="","","• "&amp;G96),IF(H96="","","• "&amp;H96),IF(I96="","","• "&amp;I96),IF(J96="","","• "&amp;J96))</f>
        <v/>
      </c>
      <c r="L96" s="4" t="n"/>
      <c r="M96" s="19" t="n"/>
      <c r="N96" s="19" t="n"/>
      <c r="O96" s="30">
        <f>IF(OR(M96="",N96=""),"",INDEX(RiskGrid,6-VALUE(LEFT(M96,1)),VALUE(LEFT(N96,1))))</f>
        <v/>
      </c>
      <c r="P96" s="30">
        <f>IF(O96="","",IF(O96&gt;=BandVH,"Very High",IF(O96&gt;=BandHigh,"High",IF(O96&gt;=BandMed,"Medium","Low"))))</f>
        <v/>
      </c>
      <c r="Q96" s="4" t="n"/>
      <c r="R96" s="19" t="n"/>
      <c r="S96" s="4" t="n"/>
      <c r="T96" s="19" t="n"/>
      <c r="U96" s="4" t="n"/>
      <c r="V96" s="19" t="n"/>
      <c r="W96" s="4" t="n"/>
      <c r="X96" s="19" t="n"/>
      <c r="Y96" s="4" t="n"/>
      <c r="Z96" s="19" t="n"/>
      <c r="AA96" s="4" t="n"/>
      <c r="AB96" s="19" t="n"/>
      <c r="AC96" s="5">
        <f>_xlfn.TEXTJOIN(CHAR(10),TRUE,IF(Q96="","","• "&amp;Q96&amp;IF(R96="Yes","  [IPL]","")),IF(S96="","","• "&amp;S96&amp;IF(T96="Yes","  [IPL]","")),IF(U96="","","• "&amp;U96&amp;IF(V96="Yes","  [IPL]","")),IF(W96="","","• "&amp;W96&amp;IF(X96="Yes","  [IPL]","")),IF(Y96="","","• "&amp;Y96&amp;IF(Z96="Yes","  [IPL]","")),IF(AA96="","","• "&amp;AA96&amp;IF(AB96="Yes","  [IPL]","")))</f>
        <v/>
      </c>
      <c r="AD96" s="30">
        <f>IF(AC96="","",COUNTIF(Q96:AB96,"Yes"))</f>
        <v/>
      </c>
      <c r="AE96" s="19" t="n"/>
      <c r="AF96" s="19" t="n"/>
      <c r="AG96" s="30">
        <f>IF(OR(AE96="",AF96=""),"",INDEX(RiskGrid,6-VALUE(LEFT(AE96,1)),VALUE(LEFT(AF96,1))))</f>
        <v/>
      </c>
      <c r="AH96" s="30">
        <f>IF(AG96="","",IF(AG96&gt;=BandVH,"Very High",IF(AG96&gt;=BandHigh,"High",IF(AG96&gt;=BandMed,"Medium","Low"))))</f>
        <v/>
      </c>
      <c r="AI96" s="4" t="n"/>
      <c r="AJ96" s="4" t="n"/>
    </row>
    <row r="97">
      <c r="A97" s="30">
        <f>IF(B97="","",COUNTIF(B$14:B97,"?*"))</f>
        <v/>
      </c>
      <c r="B97" s="4" t="n"/>
      <c r="C97" s="19" t="n"/>
      <c r="D97" s="5">
        <f>IF(OR(B97="",C97=""),"",UPPER(LEFT(C97,1))&amp;LOWER(MID(C97,2,30))&amp;" "&amp;LOWER(LEFT(B97,1))&amp;MID(B97,2,200))</f>
        <v/>
      </c>
      <c r="E97" s="4" t="n"/>
      <c r="F97" s="4" t="n"/>
      <c r="G97" s="4" t="n"/>
      <c r="H97" s="4" t="n"/>
      <c r="I97" s="4" t="n"/>
      <c r="J97" s="4" t="n"/>
      <c r="K97" s="5">
        <f>_xlfn.TEXTJOIN(CHAR(10),TRUE,IF(E97="","","• "&amp;E97),IF(F97="","","• "&amp;F97),IF(G97="","","• "&amp;G97),IF(H97="","","• "&amp;H97),IF(I97="","","• "&amp;I97),IF(J97="","","• "&amp;J97))</f>
        <v/>
      </c>
      <c r="L97" s="4" t="n"/>
      <c r="M97" s="19" t="n"/>
      <c r="N97" s="19" t="n"/>
      <c r="O97" s="30">
        <f>IF(OR(M97="",N97=""),"",INDEX(RiskGrid,6-VALUE(LEFT(M97,1)),VALUE(LEFT(N97,1))))</f>
        <v/>
      </c>
      <c r="P97" s="30">
        <f>IF(O97="","",IF(O97&gt;=BandVH,"Very High",IF(O97&gt;=BandHigh,"High",IF(O97&gt;=BandMed,"Medium","Low"))))</f>
        <v/>
      </c>
      <c r="Q97" s="4" t="n"/>
      <c r="R97" s="19" t="n"/>
      <c r="S97" s="4" t="n"/>
      <c r="T97" s="19" t="n"/>
      <c r="U97" s="4" t="n"/>
      <c r="V97" s="19" t="n"/>
      <c r="W97" s="4" t="n"/>
      <c r="X97" s="19" t="n"/>
      <c r="Y97" s="4" t="n"/>
      <c r="Z97" s="19" t="n"/>
      <c r="AA97" s="4" t="n"/>
      <c r="AB97" s="19" t="n"/>
      <c r="AC97" s="5">
        <f>_xlfn.TEXTJOIN(CHAR(10),TRUE,IF(Q97="","","• "&amp;Q97&amp;IF(R97="Yes","  [IPL]","")),IF(S97="","","• "&amp;S97&amp;IF(T97="Yes","  [IPL]","")),IF(U97="","","• "&amp;U97&amp;IF(V97="Yes","  [IPL]","")),IF(W97="","","• "&amp;W97&amp;IF(X97="Yes","  [IPL]","")),IF(Y97="","","• "&amp;Y97&amp;IF(Z97="Yes","  [IPL]","")),IF(AA97="","","• "&amp;AA97&amp;IF(AB97="Yes","  [IPL]","")))</f>
        <v/>
      </c>
      <c r="AD97" s="30">
        <f>IF(AC97="","",COUNTIF(Q97:AB97,"Yes"))</f>
        <v/>
      </c>
      <c r="AE97" s="19" t="n"/>
      <c r="AF97" s="19" t="n"/>
      <c r="AG97" s="30">
        <f>IF(OR(AE97="",AF97=""),"",INDEX(RiskGrid,6-VALUE(LEFT(AE97,1)),VALUE(LEFT(AF97,1))))</f>
        <v/>
      </c>
      <c r="AH97" s="30">
        <f>IF(AG97="","",IF(AG97&gt;=BandVH,"Very High",IF(AG97&gt;=BandHigh,"High",IF(AG97&gt;=BandMed,"Medium","Low"))))</f>
        <v/>
      </c>
      <c r="AI97" s="4" t="n"/>
      <c r="AJ97" s="4" t="n"/>
    </row>
    <row r="98">
      <c r="A98" s="30">
        <f>IF(B98="","",COUNTIF(B$14:B98,"?*"))</f>
        <v/>
      </c>
      <c r="B98" s="4" t="n"/>
      <c r="C98" s="19" t="n"/>
      <c r="D98" s="5">
        <f>IF(OR(B98="",C98=""),"",UPPER(LEFT(C98,1))&amp;LOWER(MID(C98,2,30))&amp;" "&amp;LOWER(LEFT(B98,1))&amp;MID(B98,2,200))</f>
        <v/>
      </c>
      <c r="E98" s="4" t="n"/>
      <c r="F98" s="4" t="n"/>
      <c r="G98" s="4" t="n"/>
      <c r="H98" s="4" t="n"/>
      <c r="I98" s="4" t="n"/>
      <c r="J98" s="4" t="n"/>
      <c r="K98" s="5">
        <f>_xlfn.TEXTJOIN(CHAR(10),TRUE,IF(E98="","","• "&amp;E98),IF(F98="","","• "&amp;F98),IF(G98="","","• "&amp;G98),IF(H98="","","• "&amp;H98),IF(I98="","","• "&amp;I98),IF(J98="","","• "&amp;J98))</f>
        <v/>
      </c>
      <c r="L98" s="4" t="n"/>
      <c r="M98" s="19" t="n"/>
      <c r="N98" s="19" t="n"/>
      <c r="O98" s="30">
        <f>IF(OR(M98="",N98=""),"",INDEX(RiskGrid,6-VALUE(LEFT(M98,1)),VALUE(LEFT(N98,1))))</f>
        <v/>
      </c>
      <c r="P98" s="30">
        <f>IF(O98="","",IF(O98&gt;=BandVH,"Very High",IF(O98&gt;=BandHigh,"High",IF(O98&gt;=BandMed,"Medium","Low"))))</f>
        <v/>
      </c>
      <c r="Q98" s="4" t="n"/>
      <c r="R98" s="19" t="n"/>
      <c r="S98" s="4" t="n"/>
      <c r="T98" s="19" t="n"/>
      <c r="U98" s="4" t="n"/>
      <c r="V98" s="19" t="n"/>
      <c r="W98" s="4" t="n"/>
      <c r="X98" s="19" t="n"/>
      <c r="Y98" s="4" t="n"/>
      <c r="Z98" s="19" t="n"/>
      <c r="AA98" s="4" t="n"/>
      <c r="AB98" s="19" t="n"/>
      <c r="AC98" s="5">
        <f>_xlfn.TEXTJOIN(CHAR(10),TRUE,IF(Q98="","","• "&amp;Q98&amp;IF(R98="Yes","  [IPL]","")),IF(S98="","","• "&amp;S98&amp;IF(T98="Yes","  [IPL]","")),IF(U98="","","• "&amp;U98&amp;IF(V98="Yes","  [IPL]","")),IF(W98="","","• "&amp;W98&amp;IF(X98="Yes","  [IPL]","")),IF(Y98="","","• "&amp;Y98&amp;IF(Z98="Yes","  [IPL]","")),IF(AA98="","","• "&amp;AA98&amp;IF(AB98="Yes","  [IPL]","")))</f>
        <v/>
      </c>
      <c r="AD98" s="30">
        <f>IF(AC98="","",COUNTIF(Q98:AB98,"Yes"))</f>
        <v/>
      </c>
      <c r="AE98" s="19" t="n"/>
      <c r="AF98" s="19" t="n"/>
      <c r="AG98" s="30">
        <f>IF(OR(AE98="",AF98=""),"",INDEX(RiskGrid,6-VALUE(LEFT(AE98,1)),VALUE(LEFT(AF98,1))))</f>
        <v/>
      </c>
      <c r="AH98" s="30">
        <f>IF(AG98="","",IF(AG98&gt;=BandVH,"Very High",IF(AG98&gt;=BandHigh,"High",IF(AG98&gt;=BandMed,"Medium","Low"))))</f>
        <v/>
      </c>
      <c r="AI98" s="4" t="n"/>
      <c r="AJ98" s="4" t="n"/>
    </row>
    <row r="99">
      <c r="A99" s="30">
        <f>IF(B99="","",COUNTIF(B$14:B99,"?*"))</f>
        <v/>
      </c>
      <c r="B99" s="4" t="n"/>
      <c r="C99" s="19" t="n"/>
      <c r="D99" s="5">
        <f>IF(OR(B99="",C99=""),"",UPPER(LEFT(C99,1))&amp;LOWER(MID(C99,2,30))&amp;" "&amp;LOWER(LEFT(B99,1))&amp;MID(B99,2,200))</f>
        <v/>
      </c>
      <c r="E99" s="4" t="n"/>
      <c r="F99" s="4" t="n"/>
      <c r="G99" s="4" t="n"/>
      <c r="H99" s="4" t="n"/>
      <c r="I99" s="4" t="n"/>
      <c r="J99" s="4" t="n"/>
      <c r="K99" s="5">
        <f>_xlfn.TEXTJOIN(CHAR(10),TRUE,IF(E99="","","• "&amp;E99),IF(F99="","","• "&amp;F99),IF(G99="","","• "&amp;G99),IF(H99="","","• "&amp;H99),IF(I99="","","• "&amp;I99),IF(J99="","","• "&amp;J99))</f>
        <v/>
      </c>
      <c r="L99" s="4" t="n"/>
      <c r="M99" s="19" t="n"/>
      <c r="N99" s="19" t="n"/>
      <c r="O99" s="30">
        <f>IF(OR(M99="",N99=""),"",INDEX(RiskGrid,6-VALUE(LEFT(M99,1)),VALUE(LEFT(N99,1))))</f>
        <v/>
      </c>
      <c r="P99" s="30">
        <f>IF(O99="","",IF(O99&gt;=BandVH,"Very High",IF(O99&gt;=BandHigh,"High",IF(O99&gt;=BandMed,"Medium","Low"))))</f>
        <v/>
      </c>
      <c r="Q99" s="4" t="n"/>
      <c r="R99" s="19" t="n"/>
      <c r="S99" s="4" t="n"/>
      <c r="T99" s="19" t="n"/>
      <c r="U99" s="4" t="n"/>
      <c r="V99" s="19" t="n"/>
      <c r="W99" s="4" t="n"/>
      <c r="X99" s="19" t="n"/>
      <c r="Y99" s="4" t="n"/>
      <c r="Z99" s="19" t="n"/>
      <c r="AA99" s="4" t="n"/>
      <c r="AB99" s="19" t="n"/>
      <c r="AC99" s="5">
        <f>_xlfn.TEXTJOIN(CHAR(10),TRUE,IF(Q99="","","• "&amp;Q99&amp;IF(R99="Yes","  [IPL]","")),IF(S99="","","• "&amp;S99&amp;IF(T99="Yes","  [IPL]","")),IF(U99="","","• "&amp;U99&amp;IF(V99="Yes","  [IPL]","")),IF(W99="","","• "&amp;W99&amp;IF(X99="Yes","  [IPL]","")),IF(Y99="","","• "&amp;Y99&amp;IF(Z99="Yes","  [IPL]","")),IF(AA99="","","• "&amp;AA99&amp;IF(AB99="Yes","  [IPL]","")))</f>
        <v/>
      </c>
      <c r="AD99" s="30">
        <f>IF(AC99="","",COUNTIF(Q99:AB99,"Yes"))</f>
        <v/>
      </c>
      <c r="AE99" s="19" t="n"/>
      <c r="AF99" s="19" t="n"/>
      <c r="AG99" s="30">
        <f>IF(OR(AE99="",AF99=""),"",INDEX(RiskGrid,6-VALUE(LEFT(AE99,1)),VALUE(LEFT(AF99,1))))</f>
        <v/>
      </c>
      <c r="AH99" s="30">
        <f>IF(AG99="","",IF(AG99&gt;=BandVH,"Very High",IF(AG99&gt;=BandHigh,"High",IF(AG99&gt;=BandMed,"Medium","Low"))))</f>
        <v/>
      </c>
      <c r="AI99" s="4" t="n"/>
      <c r="AJ99" s="4" t="n"/>
    </row>
    <row r="100">
      <c r="A100" s="30">
        <f>IF(B100="","",COUNTIF(B$14:B100,"?*"))</f>
        <v/>
      </c>
      <c r="B100" s="4" t="n"/>
      <c r="C100" s="19" t="n"/>
      <c r="D100" s="5">
        <f>IF(OR(B100="",C100=""),"",UPPER(LEFT(C100,1))&amp;LOWER(MID(C100,2,30))&amp;" "&amp;LOWER(LEFT(B100,1))&amp;MID(B100,2,200))</f>
        <v/>
      </c>
      <c r="E100" s="4" t="n"/>
      <c r="F100" s="4" t="n"/>
      <c r="G100" s="4" t="n"/>
      <c r="H100" s="4" t="n"/>
      <c r="I100" s="4" t="n"/>
      <c r="J100" s="4" t="n"/>
      <c r="K100" s="5">
        <f>_xlfn.TEXTJOIN(CHAR(10),TRUE,IF(E100="","","• "&amp;E100),IF(F100="","","• "&amp;F100),IF(G100="","","• "&amp;G100),IF(H100="","","• "&amp;H100),IF(I100="","","• "&amp;I100),IF(J100="","","• "&amp;J100))</f>
        <v/>
      </c>
      <c r="L100" s="4" t="n"/>
      <c r="M100" s="19" t="n"/>
      <c r="N100" s="19" t="n"/>
      <c r="O100" s="30">
        <f>IF(OR(M100="",N100=""),"",INDEX(RiskGrid,6-VALUE(LEFT(M100,1)),VALUE(LEFT(N100,1))))</f>
        <v/>
      </c>
      <c r="P100" s="30">
        <f>IF(O100="","",IF(O100&gt;=BandVH,"Very High",IF(O100&gt;=BandHigh,"High",IF(O100&gt;=BandMed,"Medium","Low"))))</f>
        <v/>
      </c>
      <c r="Q100" s="4" t="n"/>
      <c r="R100" s="19" t="n"/>
      <c r="S100" s="4" t="n"/>
      <c r="T100" s="19" t="n"/>
      <c r="U100" s="4" t="n"/>
      <c r="V100" s="19" t="n"/>
      <c r="W100" s="4" t="n"/>
      <c r="X100" s="19" t="n"/>
      <c r="Y100" s="4" t="n"/>
      <c r="Z100" s="19" t="n"/>
      <c r="AA100" s="4" t="n"/>
      <c r="AB100" s="19" t="n"/>
      <c r="AC100" s="5">
        <f>_xlfn.TEXTJOIN(CHAR(10),TRUE,IF(Q100="","","• "&amp;Q100&amp;IF(R100="Yes","  [IPL]","")),IF(S100="","","• "&amp;S100&amp;IF(T100="Yes","  [IPL]","")),IF(U100="","","• "&amp;U100&amp;IF(V100="Yes","  [IPL]","")),IF(W100="","","• "&amp;W100&amp;IF(X100="Yes","  [IPL]","")),IF(Y100="","","• "&amp;Y100&amp;IF(Z100="Yes","  [IPL]","")),IF(AA100="","","• "&amp;AA100&amp;IF(AB100="Yes","  [IPL]","")))</f>
        <v/>
      </c>
      <c r="AD100" s="30">
        <f>IF(AC100="","",COUNTIF(Q100:AB100,"Yes"))</f>
        <v/>
      </c>
      <c r="AE100" s="19" t="n"/>
      <c r="AF100" s="19" t="n"/>
      <c r="AG100" s="30">
        <f>IF(OR(AE100="",AF100=""),"",INDEX(RiskGrid,6-VALUE(LEFT(AE100,1)),VALUE(LEFT(AF100,1))))</f>
        <v/>
      </c>
      <c r="AH100" s="30">
        <f>IF(AG100="","",IF(AG100&gt;=BandVH,"Very High",IF(AG100&gt;=BandHigh,"High",IF(AG100&gt;=BandMed,"Medium","Low"))))</f>
        <v/>
      </c>
      <c r="AI100" s="4" t="n"/>
      <c r="AJ100" s="4" t="n"/>
    </row>
    <row r="101">
      <c r="A101" s="30">
        <f>IF(B101="","",COUNTIF(B$14:B101,"?*"))</f>
        <v/>
      </c>
      <c r="B101" s="4" t="n"/>
      <c r="C101" s="19" t="n"/>
      <c r="D101" s="5">
        <f>IF(OR(B101="",C101=""),"",UPPER(LEFT(C101,1))&amp;LOWER(MID(C101,2,30))&amp;" "&amp;LOWER(LEFT(B101,1))&amp;MID(B101,2,200))</f>
        <v/>
      </c>
      <c r="E101" s="4" t="n"/>
      <c r="F101" s="4" t="n"/>
      <c r="G101" s="4" t="n"/>
      <c r="H101" s="4" t="n"/>
      <c r="I101" s="4" t="n"/>
      <c r="J101" s="4" t="n"/>
      <c r="K101" s="5">
        <f>_xlfn.TEXTJOIN(CHAR(10),TRUE,IF(E101="","","• "&amp;E101),IF(F101="","","• "&amp;F101),IF(G101="","","• "&amp;G101),IF(H101="","","• "&amp;H101),IF(I101="","","• "&amp;I101),IF(J101="","","• "&amp;J101))</f>
        <v/>
      </c>
      <c r="L101" s="4" t="n"/>
      <c r="M101" s="19" t="n"/>
      <c r="N101" s="19" t="n"/>
      <c r="O101" s="30">
        <f>IF(OR(M101="",N101=""),"",INDEX(RiskGrid,6-VALUE(LEFT(M101,1)),VALUE(LEFT(N101,1))))</f>
        <v/>
      </c>
      <c r="P101" s="30">
        <f>IF(O101="","",IF(O101&gt;=BandVH,"Very High",IF(O101&gt;=BandHigh,"High",IF(O101&gt;=BandMed,"Medium","Low"))))</f>
        <v/>
      </c>
      <c r="Q101" s="4" t="n"/>
      <c r="R101" s="19" t="n"/>
      <c r="S101" s="4" t="n"/>
      <c r="T101" s="19" t="n"/>
      <c r="U101" s="4" t="n"/>
      <c r="V101" s="19" t="n"/>
      <c r="W101" s="4" t="n"/>
      <c r="X101" s="19" t="n"/>
      <c r="Y101" s="4" t="n"/>
      <c r="Z101" s="19" t="n"/>
      <c r="AA101" s="4" t="n"/>
      <c r="AB101" s="19" t="n"/>
      <c r="AC101" s="5">
        <f>_xlfn.TEXTJOIN(CHAR(10),TRUE,IF(Q101="","","• "&amp;Q101&amp;IF(R101="Yes","  [IPL]","")),IF(S101="","","• "&amp;S101&amp;IF(T101="Yes","  [IPL]","")),IF(U101="","","• "&amp;U101&amp;IF(V101="Yes","  [IPL]","")),IF(W101="","","• "&amp;W101&amp;IF(X101="Yes","  [IPL]","")),IF(Y101="","","• "&amp;Y101&amp;IF(Z101="Yes","  [IPL]","")),IF(AA101="","","• "&amp;AA101&amp;IF(AB101="Yes","  [IPL]","")))</f>
        <v/>
      </c>
      <c r="AD101" s="30">
        <f>IF(AC101="","",COUNTIF(Q101:AB101,"Yes"))</f>
        <v/>
      </c>
      <c r="AE101" s="19" t="n"/>
      <c r="AF101" s="19" t="n"/>
      <c r="AG101" s="30">
        <f>IF(OR(AE101="",AF101=""),"",INDEX(RiskGrid,6-VALUE(LEFT(AE101,1)),VALUE(LEFT(AF101,1))))</f>
        <v/>
      </c>
      <c r="AH101" s="30">
        <f>IF(AG101="","",IF(AG101&gt;=BandVH,"Very High",IF(AG101&gt;=BandHigh,"High",IF(AG101&gt;=BandMed,"Medium","Low"))))</f>
        <v/>
      </c>
      <c r="AI101" s="4" t="n"/>
      <c r="AJ101" s="4" t="n"/>
    </row>
    <row r="102">
      <c r="A102" s="30">
        <f>IF(B102="","",COUNTIF(B$14:B102,"?*"))</f>
        <v/>
      </c>
      <c r="B102" s="4" t="n"/>
      <c r="C102" s="19" t="n"/>
      <c r="D102" s="5">
        <f>IF(OR(B102="",C102=""),"",UPPER(LEFT(C102,1))&amp;LOWER(MID(C102,2,30))&amp;" "&amp;LOWER(LEFT(B102,1))&amp;MID(B102,2,200))</f>
        <v/>
      </c>
      <c r="E102" s="4" t="n"/>
      <c r="F102" s="4" t="n"/>
      <c r="G102" s="4" t="n"/>
      <c r="H102" s="4" t="n"/>
      <c r="I102" s="4" t="n"/>
      <c r="J102" s="4" t="n"/>
      <c r="K102" s="5">
        <f>_xlfn.TEXTJOIN(CHAR(10),TRUE,IF(E102="","","• "&amp;E102),IF(F102="","","• "&amp;F102),IF(G102="","","• "&amp;G102),IF(H102="","","• "&amp;H102),IF(I102="","","• "&amp;I102),IF(J102="","","• "&amp;J102))</f>
        <v/>
      </c>
      <c r="L102" s="4" t="n"/>
      <c r="M102" s="19" t="n"/>
      <c r="N102" s="19" t="n"/>
      <c r="O102" s="30">
        <f>IF(OR(M102="",N102=""),"",INDEX(RiskGrid,6-VALUE(LEFT(M102,1)),VALUE(LEFT(N102,1))))</f>
        <v/>
      </c>
      <c r="P102" s="30">
        <f>IF(O102="","",IF(O102&gt;=BandVH,"Very High",IF(O102&gt;=BandHigh,"High",IF(O102&gt;=BandMed,"Medium","Low"))))</f>
        <v/>
      </c>
      <c r="Q102" s="4" t="n"/>
      <c r="R102" s="19" t="n"/>
      <c r="S102" s="4" t="n"/>
      <c r="T102" s="19" t="n"/>
      <c r="U102" s="4" t="n"/>
      <c r="V102" s="19" t="n"/>
      <c r="W102" s="4" t="n"/>
      <c r="X102" s="19" t="n"/>
      <c r="Y102" s="4" t="n"/>
      <c r="Z102" s="19" t="n"/>
      <c r="AA102" s="4" t="n"/>
      <c r="AB102" s="19" t="n"/>
      <c r="AC102" s="5">
        <f>_xlfn.TEXTJOIN(CHAR(10),TRUE,IF(Q102="","","• "&amp;Q102&amp;IF(R102="Yes","  [IPL]","")),IF(S102="","","• "&amp;S102&amp;IF(T102="Yes","  [IPL]","")),IF(U102="","","• "&amp;U102&amp;IF(V102="Yes","  [IPL]","")),IF(W102="","","• "&amp;W102&amp;IF(X102="Yes","  [IPL]","")),IF(Y102="","","• "&amp;Y102&amp;IF(Z102="Yes","  [IPL]","")),IF(AA102="","","• "&amp;AA102&amp;IF(AB102="Yes","  [IPL]","")))</f>
        <v/>
      </c>
      <c r="AD102" s="30">
        <f>IF(AC102="","",COUNTIF(Q102:AB102,"Yes"))</f>
        <v/>
      </c>
      <c r="AE102" s="19" t="n"/>
      <c r="AF102" s="19" t="n"/>
      <c r="AG102" s="30">
        <f>IF(OR(AE102="",AF102=""),"",INDEX(RiskGrid,6-VALUE(LEFT(AE102,1)),VALUE(LEFT(AF102,1))))</f>
        <v/>
      </c>
      <c r="AH102" s="30">
        <f>IF(AG102="","",IF(AG102&gt;=BandVH,"Very High",IF(AG102&gt;=BandHigh,"High",IF(AG102&gt;=BandMed,"Medium","Low"))))</f>
        <v/>
      </c>
      <c r="AI102" s="4" t="n"/>
      <c r="AJ102" s="4" t="n"/>
    </row>
    <row r="103">
      <c r="A103" s="30">
        <f>IF(B103="","",COUNTIF(B$14:B103,"?*"))</f>
        <v/>
      </c>
      <c r="B103" s="4" t="n"/>
      <c r="C103" s="19" t="n"/>
      <c r="D103" s="5">
        <f>IF(OR(B103="",C103=""),"",UPPER(LEFT(C103,1))&amp;LOWER(MID(C103,2,30))&amp;" "&amp;LOWER(LEFT(B103,1))&amp;MID(B103,2,200))</f>
        <v/>
      </c>
      <c r="E103" s="4" t="n"/>
      <c r="F103" s="4" t="n"/>
      <c r="G103" s="4" t="n"/>
      <c r="H103" s="4" t="n"/>
      <c r="I103" s="4" t="n"/>
      <c r="J103" s="4" t="n"/>
      <c r="K103" s="5">
        <f>_xlfn.TEXTJOIN(CHAR(10),TRUE,IF(E103="","","• "&amp;E103),IF(F103="","","• "&amp;F103),IF(G103="","","• "&amp;G103),IF(H103="","","• "&amp;H103),IF(I103="","","• "&amp;I103),IF(J103="","","• "&amp;J103))</f>
        <v/>
      </c>
      <c r="L103" s="4" t="n"/>
      <c r="M103" s="19" t="n"/>
      <c r="N103" s="19" t="n"/>
      <c r="O103" s="30">
        <f>IF(OR(M103="",N103=""),"",INDEX(RiskGrid,6-VALUE(LEFT(M103,1)),VALUE(LEFT(N103,1))))</f>
        <v/>
      </c>
      <c r="P103" s="30">
        <f>IF(O103="","",IF(O103&gt;=BandVH,"Very High",IF(O103&gt;=BandHigh,"High",IF(O103&gt;=BandMed,"Medium","Low"))))</f>
        <v/>
      </c>
      <c r="Q103" s="4" t="n"/>
      <c r="R103" s="19" t="n"/>
      <c r="S103" s="4" t="n"/>
      <c r="T103" s="19" t="n"/>
      <c r="U103" s="4" t="n"/>
      <c r="V103" s="19" t="n"/>
      <c r="W103" s="4" t="n"/>
      <c r="X103" s="19" t="n"/>
      <c r="Y103" s="4" t="n"/>
      <c r="Z103" s="19" t="n"/>
      <c r="AA103" s="4" t="n"/>
      <c r="AB103" s="19" t="n"/>
      <c r="AC103" s="5">
        <f>_xlfn.TEXTJOIN(CHAR(10),TRUE,IF(Q103="","","• "&amp;Q103&amp;IF(R103="Yes","  [IPL]","")),IF(S103="","","• "&amp;S103&amp;IF(T103="Yes","  [IPL]","")),IF(U103="","","• "&amp;U103&amp;IF(V103="Yes","  [IPL]","")),IF(W103="","","• "&amp;W103&amp;IF(X103="Yes","  [IPL]","")),IF(Y103="","","• "&amp;Y103&amp;IF(Z103="Yes","  [IPL]","")),IF(AA103="","","• "&amp;AA103&amp;IF(AB103="Yes","  [IPL]","")))</f>
        <v/>
      </c>
      <c r="AD103" s="30">
        <f>IF(AC103="","",COUNTIF(Q103:AB103,"Yes"))</f>
        <v/>
      </c>
      <c r="AE103" s="19" t="n"/>
      <c r="AF103" s="19" t="n"/>
      <c r="AG103" s="30">
        <f>IF(OR(AE103="",AF103=""),"",INDEX(RiskGrid,6-VALUE(LEFT(AE103,1)),VALUE(LEFT(AF103,1))))</f>
        <v/>
      </c>
      <c r="AH103" s="30">
        <f>IF(AG103="","",IF(AG103&gt;=BandVH,"Very High",IF(AG103&gt;=BandHigh,"High",IF(AG103&gt;=BandMed,"Medium","Low"))))</f>
        <v/>
      </c>
      <c r="AI103" s="4" t="n"/>
      <c r="AJ103" s="4" t="n"/>
    </row>
    <row r="104">
      <c r="A104" s="30">
        <f>IF(B104="","",COUNTIF(B$14:B104,"?*"))</f>
        <v/>
      </c>
      <c r="B104" s="4" t="n"/>
      <c r="C104" s="19" t="n"/>
      <c r="D104" s="5">
        <f>IF(OR(B104="",C104=""),"",UPPER(LEFT(C104,1))&amp;LOWER(MID(C104,2,30))&amp;" "&amp;LOWER(LEFT(B104,1))&amp;MID(B104,2,200))</f>
        <v/>
      </c>
      <c r="E104" s="4" t="n"/>
      <c r="F104" s="4" t="n"/>
      <c r="G104" s="4" t="n"/>
      <c r="H104" s="4" t="n"/>
      <c r="I104" s="4" t="n"/>
      <c r="J104" s="4" t="n"/>
      <c r="K104" s="5">
        <f>_xlfn.TEXTJOIN(CHAR(10),TRUE,IF(E104="","","• "&amp;E104),IF(F104="","","• "&amp;F104),IF(G104="","","• "&amp;G104),IF(H104="","","• "&amp;H104),IF(I104="","","• "&amp;I104),IF(J104="","","• "&amp;J104))</f>
        <v/>
      </c>
      <c r="L104" s="4" t="n"/>
      <c r="M104" s="19" t="n"/>
      <c r="N104" s="19" t="n"/>
      <c r="O104" s="30">
        <f>IF(OR(M104="",N104=""),"",INDEX(RiskGrid,6-VALUE(LEFT(M104,1)),VALUE(LEFT(N104,1))))</f>
        <v/>
      </c>
      <c r="P104" s="30">
        <f>IF(O104="","",IF(O104&gt;=BandVH,"Very High",IF(O104&gt;=BandHigh,"High",IF(O104&gt;=BandMed,"Medium","Low"))))</f>
        <v/>
      </c>
      <c r="Q104" s="4" t="n"/>
      <c r="R104" s="19" t="n"/>
      <c r="S104" s="4" t="n"/>
      <c r="T104" s="19" t="n"/>
      <c r="U104" s="4" t="n"/>
      <c r="V104" s="19" t="n"/>
      <c r="W104" s="4" t="n"/>
      <c r="X104" s="19" t="n"/>
      <c r="Y104" s="4" t="n"/>
      <c r="Z104" s="19" t="n"/>
      <c r="AA104" s="4" t="n"/>
      <c r="AB104" s="19" t="n"/>
      <c r="AC104" s="5">
        <f>_xlfn.TEXTJOIN(CHAR(10),TRUE,IF(Q104="","","• "&amp;Q104&amp;IF(R104="Yes","  [IPL]","")),IF(S104="","","• "&amp;S104&amp;IF(T104="Yes","  [IPL]","")),IF(U104="","","• "&amp;U104&amp;IF(V104="Yes","  [IPL]","")),IF(W104="","","• "&amp;W104&amp;IF(X104="Yes","  [IPL]","")),IF(Y104="","","• "&amp;Y104&amp;IF(Z104="Yes","  [IPL]","")),IF(AA104="","","• "&amp;AA104&amp;IF(AB104="Yes","  [IPL]","")))</f>
        <v/>
      </c>
      <c r="AD104" s="30">
        <f>IF(AC104="","",COUNTIF(Q104:AB104,"Yes"))</f>
        <v/>
      </c>
      <c r="AE104" s="19" t="n"/>
      <c r="AF104" s="19" t="n"/>
      <c r="AG104" s="30">
        <f>IF(OR(AE104="",AF104=""),"",INDEX(RiskGrid,6-VALUE(LEFT(AE104,1)),VALUE(LEFT(AF104,1))))</f>
        <v/>
      </c>
      <c r="AH104" s="30">
        <f>IF(AG104="","",IF(AG104&gt;=BandVH,"Very High",IF(AG104&gt;=BandHigh,"High",IF(AG104&gt;=BandMed,"Medium","Low"))))</f>
        <v/>
      </c>
      <c r="AI104" s="4" t="n"/>
      <c r="AJ104" s="4" t="n"/>
    </row>
    <row r="105">
      <c r="A105" s="30">
        <f>IF(B105="","",COUNTIF(B$14:B105,"?*"))</f>
        <v/>
      </c>
      <c r="B105" s="4" t="n"/>
      <c r="C105" s="19" t="n"/>
      <c r="D105" s="5">
        <f>IF(OR(B105="",C105=""),"",UPPER(LEFT(C105,1))&amp;LOWER(MID(C105,2,30))&amp;" "&amp;LOWER(LEFT(B105,1))&amp;MID(B105,2,200))</f>
        <v/>
      </c>
      <c r="E105" s="4" t="n"/>
      <c r="F105" s="4" t="n"/>
      <c r="G105" s="4" t="n"/>
      <c r="H105" s="4" t="n"/>
      <c r="I105" s="4" t="n"/>
      <c r="J105" s="4" t="n"/>
      <c r="K105" s="5">
        <f>_xlfn.TEXTJOIN(CHAR(10),TRUE,IF(E105="","","• "&amp;E105),IF(F105="","","• "&amp;F105),IF(G105="","","• "&amp;G105),IF(H105="","","• "&amp;H105),IF(I105="","","• "&amp;I105),IF(J105="","","• "&amp;J105))</f>
        <v/>
      </c>
      <c r="L105" s="4" t="n"/>
      <c r="M105" s="19" t="n"/>
      <c r="N105" s="19" t="n"/>
      <c r="O105" s="30">
        <f>IF(OR(M105="",N105=""),"",INDEX(RiskGrid,6-VALUE(LEFT(M105,1)),VALUE(LEFT(N105,1))))</f>
        <v/>
      </c>
      <c r="P105" s="30">
        <f>IF(O105="","",IF(O105&gt;=BandVH,"Very High",IF(O105&gt;=BandHigh,"High",IF(O105&gt;=BandMed,"Medium","Low"))))</f>
        <v/>
      </c>
      <c r="Q105" s="4" t="n"/>
      <c r="R105" s="19" t="n"/>
      <c r="S105" s="4" t="n"/>
      <c r="T105" s="19" t="n"/>
      <c r="U105" s="4" t="n"/>
      <c r="V105" s="19" t="n"/>
      <c r="W105" s="4" t="n"/>
      <c r="X105" s="19" t="n"/>
      <c r="Y105" s="4" t="n"/>
      <c r="Z105" s="19" t="n"/>
      <c r="AA105" s="4" t="n"/>
      <c r="AB105" s="19" t="n"/>
      <c r="AC105" s="5">
        <f>_xlfn.TEXTJOIN(CHAR(10),TRUE,IF(Q105="","","• "&amp;Q105&amp;IF(R105="Yes","  [IPL]","")),IF(S105="","","• "&amp;S105&amp;IF(T105="Yes","  [IPL]","")),IF(U105="","","• "&amp;U105&amp;IF(V105="Yes","  [IPL]","")),IF(W105="","","• "&amp;W105&amp;IF(X105="Yes","  [IPL]","")),IF(Y105="","","• "&amp;Y105&amp;IF(Z105="Yes","  [IPL]","")),IF(AA105="","","• "&amp;AA105&amp;IF(AB105="Yes","  [IPL]","")))</f>
        <v/>
      </c>
      <c r="AD105" s="30">
        <f>IF(AC105="","",COUNTIF(Q105:AB105,"Yes"))</f>
        <v/>
      </c>
      <c r="AE105" s="19" t="n"/>
      <c r="AF105" s="19" t="n"/>
      <c r="AG105" s="30">
        <f>IF(OR(AE105="",AF105=""),"",INDEX(RiskGrid,6-VALUE(LEFT(AE105,1)),VALUE(LEFT(AF105,1))))</f>
        <v/>
      </c>
      <c r="AH105" s="30">
        <f>IF(AG105="","",IF(AG105&gt;=BandVH,"Very High",IF(AG105&gt;=BandHigh,"High",IF(AG105&gt;=BandMed,"Medium","Low"))))</f>
        <v/>
      </c>
      <c r="AI105" s="4" t="n"/>
      <c r="AJ105" s="4" t="n"/>
    </row>
    <row r="106">
      <c r="A106" s="30">
        <f>IF(B106="","",COUNTIF(B$14:B106,"?*"))</f>
        <v/>
      </c>
      <c r="B106" s="4" t="n"/>
      <c r="C106" s="19" t="n"/>
      <c r="D106" s="5">
        <f>IF(OR(B106="",C106=""),"",UPPER(LEFT(C106,1))&amp;LOWER(MID(C106,2,30))&amp;" "&amp;LOWER(LEFT(B106,1))&amp;MID(B106,2,200))</f>
        <v/>
      </c>
      <c r="E106" s="4" t="n"/>
      <c r="F106" s="4" t="n"/>
      <c r="G106" s="4" t="n"/>
      <c r="H106" s="4" t="n"/>
      <c r="I106" s="4" t="n"/>
      <c r="J106" s="4" t="n"/>
      <c r="K106" s="5">
        <f>_xlfn.TEXTJOIN(CHAR(10),TRUE,IF(E106="","","• "&amp;E106),IF(F106="","","• "&amp;F106),IF(G106="","","• "&amp;G106),IF(H106="","","• "&amp;H106),IF(I106="","","• "&amp;I106),IF(J106="","","• "&amp;J106))</f>
        <v/>
      </c>
      <c r="L106" s="4" t="n"/>
      <c r="M106" s="19" t="n"/>
      <c r="N106" s="19" t="n"/>
      <c r="O106" s="30">
        <f>IF(OR(M106="",N106=""),"",INDEX(RiskGrid,6-VALUE(LEFT(M106,1)),VALUE(LEFT(N106,1))))</f>
        <v/>
      </c>
      <c r="P106" s="30">
        <f>IF(O106="","",IF(O106&gt;=BandVH,"Very High",IF(O106&gt;=BandHigh,"High",IF(O106&gt;=BandMed,"Medium","Low"))))</f>
        <v/>
      </c>
      <c r="Q106" s="4" t="n"/>
      <c r="R106" s="19" t="n"/>
      <c r="S106" s="4" t="n"/>
      <c r="T106" s="19" t="n"/>
      <c r="U106" s="4" t="n"/>
      <c r="V106" s="19" t="n"/>
      <c r="W106" s="4" t="n"/>
      <c r="X106" s="19" t="n"/>
      <c r="Y106" s="4" t="n"/>
      <c r="Z106" s="19" t="n"/>
      <c r="AA106" s="4" t="n"/>
      <c r="AB106" s="19" t="n"/>
      <c r="AC106" s="5">
        <f>_xlfn.TEXTJOIN(CHAR(10),TRUE,IF(Q106="","","• "&amp;Q106&amp;IF(R106="Yes","  [IPL]","")),IF(S106="","","• "&amp;S106&amp;IF(T106="Yes","  [IPL]","")),IF(U106="","","• "&amp;U106&amp;IF(V106="Yes","  [IPL]","")),IF(W106="","","• "&amp;W106&amp;IF(X106="Yes","  [IPL]","")),IF(Y106="","","• "&amp;Y106&amp;IF(Z106="Yes","  [IPL]","")),IF(AA106="","","• "&amp;AA106&amp;IF(AB106="Yes","  [IPL]","")))</f>
        <v/>
      </c>
      <c r="AD106" s="30">
        <f>IF(AC106="","",COUNTIF(Q106:AB106,"Yes"))</f>
        <v/>
      </c>
      <c r="AE106" s="19" t="n"/>
      <c r="AF106" s="19" t="n"/>
      <c r="AG106" s="30">
        <f>IF(OR(AE106="",AF106=""),"",INDEX(RiskGrid,6-VALUE(LEFT(AE106,1)),VALUE(LEFT(AF106,1))))</f>
        <v/>
      </c>
      <c r="AH106" s="30">
        <f>IF(AG106="","",IF(AG106&gt;=BandVH,"Very High",IF(AG106&gt;=BandHigh,"High",IF(AG106&gt;=BandMed,"Medium","Low"))))</f>
        <v/>
      </c>
      <c r="AI106" s="4" t="n"/>
      <c r="AJ106" s="4" t="n"/>
    </row>
    <row r="107">
      <c r="A107" s="30">
        <f>IF(B107="","",COUNTIF(B$14:B107,"?*"))</f>
        <v/>
      </c>
      <c r="B107" s="4" t="n"/>
      <c r="C107" s="19" t="n"/>
      <c r="D107" s="5">
        <f>IF(OR(B107="",C107=""),"",UPPER(LEFT(C107,1))&amp;LOWER(MID(C107,2,30))&amp;" "&amp;LOWER(LEFT(B107,1))&amp;MID(B107,2,200))</f>
        <v/>
      </c>
      <c r="E107" s="4" t="n"/>
      <c r="F107" s="4" t="n"/>
      <c r="G107" s="4" t="n"/>
      <c r="H107" s="4" t="n"/>
      <c r="I107" s="4" t="n"/>
      <c r="J107" s="4" t="n"/>
      <c r="K107" s="5">
        <f>_xlfn.TEXTJOIN(CHAR(10),TRUE,IF(E107="","","• "&amp;E107),IF(F107="","","• "&amp;F107),IF(G107="","","• "&amp;G107),IF(H107="","","• "&amp;H107),IF(I107="","","• "&amp;I107),IF(J107="","","• "&amp;J107))</f>
        <v/>
      </c>
      <c r="L107" s="4" t="n"/>
      <c r="M107" s="19" t="n"/>
      <c r="N107" s="19" t="n"/>
      <c r="O107" s="30">
        <f>IF(OR(M107="",N107=""),"",INDEX(RiskGrid,6-VALUE(LEFT(M107,1)),VALUE(LEFT(N107,1))))</f>
        <v/>
      </c>
      <c r="P107" s="30">
        <f>IF(O107="","",IF(O107&gt;=BandVH,"Very High",IF(O107&gt;=BandHigh,"High",IF(O107&gt;=BandMed,"Medium","Low"))))</f>
        <v/>
      </c>
      <c r="Q107" s="4" t="n"/>
      <c r="R107" s="19" t="n"/>
      <c r="S107" s="4" t="n"/>
      <c r="T107" s="19" t="n"/>
      <c r="U107" s="4" t="n"/>
      <c r="V107" s="19" t="n"/>
      <c r="W107" s="4" t="n"/>
      <c r="X107" s="19" t="n"/>
      <c r="Y107" s="4" t="n"/>
      <c r="Z107" s="19" t="n"/>
      <c r="AA107" s="4" t="n"/>
      <c r="AB107" s="19" t="n"/>
      <c r="AC107" s="5">
        <f>_xlfn.TEXTJOIN(CHAR(10),TRUE,IF(Q107="","","• "&amp;Q107&amp;IF(R107="Yes","  [IPL]","")),IF(S107="","","• "&amp;S107&amp;IF(T107="Yes","  [IPL]","")),IF(U107="","","• "&amp;U107&amp;IF(V107="Yes","  [IPL]","")),IF(W107="","","• "&amp;W107&amp;IF(X107="Yes","  [IPL]","")),IF(Y107="","","• "&amp;Y107&amp;IF(Z107="Yes","  [IPL]","")),IF(AA107="","","• "&amp;AA107&amp;IF(AB107="Yes","  [IPL]","")))</f>
        <v/>
      </c>
      <c r="AD107" s="30">
        <f>IF(AC107="","",COUNTIF(Q107:AB107,"Yes"))</f>
        <v/>
      </c>
      <c r="AE107" s="19" t="n"/>
      <c r="AF107" s="19" t="n"/>
      <c r="AG107" s="30">
        <f>IF(OR(AE107="",AF107=""),"",INDEX(RiskGrid,6-VALUE(LEFT(AE107,1)),VALUE(LEFT(AF107,1))))</f>
        <v/>
      </c>
      <c r="AH107" s="30">
        <f>IF(AG107="","",IF(AG107&gt;=BandVH,"Very High",IF(AG107&gt;=BandHigh,"High",IF(AG107&gt;=BandMed,"Medium","Low"))))</f>
        <v/>
      </c>
      <c r="AI107" s="4" t="n"/>
      <c r="AJ107" s="4" t="n"/>
    </row>
    <row r="108">
      <c r="A108" s="30">
        <f>IF(B108="","",COUNTIF(B$14:B108,"?*"))</f>
        <v/>
      </c>
      <c r="B108" s="4" t="n"/>
      <c r="C108" s="19" t="n"/>
      <c r="D108" s="5">
        <f>IF(OR(B108="",C108=""),"",UPPER(LEFT(C108,1))&amp;LOWER(MID(C108,2,30))&amp;" "&amp;LOWER(LEFT(B108,1))&amp;MID(B108,2,200))</f>
        <v/>
      </c>
      <c r="E108" s="4" t="n"/>
      <c r="F108" s="4" t="n"/>
      <c r="G108" s="4" t="n"/>
      <c r="H108" s="4" t="n"/>
      <c r="I108" s="4" t="n"/>
      <c r="J108" s="4" t="n"/>
      <c r="K108" s="5">
        <f>_xlfn.TEXTJOIN(CHAR(10),TRUE,IF(E108="","","• "&amp;E108),IF(F108="","","• "&amp;F108),IF(G108="","","• "&amp;G108),IF(H108="","","• "&amp;H108),IF(I108="","","• "&amp;I108),IF(J108="","","• "&amp;J108))</f>
        <v/>
      </c>
      <c r="L108" s="4" t="n"/>
      <c r="M108" s="19" t="n"/>
      <c r="N108" s="19" t="n"/>
      <c r="O108" s="30">
        <f>IF(OR(M108="",N108=""),"",INDEX(RiskGrid,6-VALUE(LEFT(M108,1)),VALUE(LEFT(N108,1))))</f>
        <v/>
      </c>
      <c r="P108" s="30">
        <f>IF(O108="","",IF(O108&gt;=BandVH,"Very High",IF(O108&gt;=BandHigh,"High",IF(O108&gt;=BandMed,"Medium","Low"))))</f>
        <v/>
      </c>
      <c r="Q108" s="4" t="n"/>
      <c r="R108" s="19" t="n"/>
      <c r="S108" s="4" t="n"/>
      <c r="T108" s="19" t="n"/>
      <c r="U108" s="4" t="n"/>
      <c r="V108" s="19" t="n"/>
      <c r="W108" s="4" t="n"/>
      <c r="X108" s="19" t="n"/>
      <c r="Y108" s="4" t="n"/>
      <c r="Z108" s="19" t="n"/>
      <c r="AA108" s="4" t="n"/>
      <c r="AB108" s="19" t="n"/>
      <c r="AC108" s="5">
        <f>_xlfn.TEXTJOIN(CHAR(10),TRUE,IF(Q108="","","• "&amp;Q108&amp;IF(R108="Yes","  [IPL]","")),IF(S108="","","• "&amp;S108&amp;IF(T108="Yes","  [IPL]","")),IF(U108="","","• "&amp;U108&amp;IF(V108="Yes","  [IPL]","")),IF(W108="","","• "&amp;W108&amp;IF(X108="Yes","  [IPL]","")),IF(Y108="","","• "&amp;Y108&amp;IF(Z108="Yes","  [IPL]","")),IF(AA108="","","• "&amp;AA108&amp;IF(AB108="Yes","  [IPL]","")))</f>
        <v/>
      </c>
      <c r="AD108" s="30">
        <f>IF(AC108="","",COUNTIF(Q108:AB108,"Yes"))</f>
        <v/>
      </c>
      <c r="AE108" s="19" t="n"/>
      <c r="AF108" s="19" t="n"/>
      <c r="AG108" s="30">
        <f>IF(OR(AE108="",AF108=""),"",INDEX(RiskGrid,6-VALUE(LEFT(AE108,1)),VALUE(LEFT(AF108,1))))</f>
        <v/>
      </c>
      <c r="AH108" s="30">
        <f>IF(AG108="","",IF(AG108&gt;=BandVH,"Very High",IF(AG108&gt;=BandHigh,"High",IF(AG108&gt;=BandMed,"Medium","Low"))))</f>
        <v/>
      </c>
      <c r="AI108" s="4" t="n"/>
      <c r="AJ108" s="4" t="n"/>
    </row>
    <row r="109">
      <c r="A109" s="30">
        <f>IF(B109="","",COUNTIF(B$14:B109,"?*"))</f>
        <v/>
      </c>
      <c r="B109" s="4" t="n"/>
      <c r="C109" s="19" t="n"/>
      <c r="D109" s="5">
        <f>IF(OR(B109="",C109=""),"",UPPER(LEFT(C109,1))&amp;LOWER(MID(C109,2,30))&amp;" "&amp;LOWER(LEFT(B109,1))&amp;MID(B109,2,200))</f>
        <v/>
      </c>
      <c r="E109" s="4" t="n"/>
      <c r="F109" s="4" t="n"/>
      <c r="G109" s="4" t="n"/>
      <c r="H109" s="4" t="n"/>
      <c r="I109" s="4" t="n"/>
      <c r="J109" s="4" t="n"/>
      <c r="K109" s="5">
        <f>_xlfn.TEXTJOIN(CHAR(10),TRUE,IF(E109="","","• "&amp;E109),IF(F109="","","• "&amp;F109),IF(G109="","","• "&amp;G109),IF(H109="","","• "&amp;H109),IF(I109="","","• "&amp;I109),IF(J109="","","• "&amp;J109))</f>
        <v/>
      </c>
      <c r="L109" s="4" t="n"/>
      <c r="M109" s="19" t="n"/>
      <c r="N109" s="19" t="n"/>
      <c r="O109" s="30">
        <f>IF(OR(M109="",N109=""),"",INDEX(RiskGrid,6-VALUE(LEFT(M109,1)),VALUE(LEFT(N109,1))))</f>
        <v/>
      </c>
      <c r="P109" s="30">
        <f>IF(O109="","",IF(O109&gt;=BandVH,"Very High",IF(O109&gt;=BandHigh,"High",IF(O109&gt;=BandMed,"Medium","Low"))))</f>
        <v/>
      </c>
      <c r="Q109" s="4" t="n"/>
      <c r="R109" s="19" t="n"/>
      <c r="S109" s="4" t="n"/>
      <c r="T109" s="19" t="n"/>
      <c r="U109" s="4" t="n"/>
      <c r="V109" s="19" t="n"/>
      <c r="W109" s="4" t="n"/>
      <c r="X109" s="19" t="n"/>
      <c r="Y109" s="4" t="n"/>
      <c r="Z109" s="19" t="n"/>
      <c r="AA109" s="4" t="n"/>
      <c r="AB109" s="19" t="n"/>
      <c r="AC109" s="5">
        <f>_xlfn.TEXTJOIN(CHAR(10),TRUE,IF(Q109="","","• "&amp;Q109&amp;IF(R109="Yes","  [IPL]","")),IF(S109="","","• "&amp;S109&amp;IF(T109="Yes","  [IPL]","")),IF(U109="","","• "&amp;U109&amp;IF(V109="Yes","  [IPL]","")),IF(W109="","","• "&amp;W109&amp;IF(X109="Yes","  [IPL]","")),IF(Y109="","","• "&amp;Y109&amp;IF(Z109="Yes","  [IPL]","")),IF(AA109="","","• "&amp;AA109&amp;IF(AB109="Yes","  [IPL]","")))</f>
        <v/>
      </c>
      <c r="AD109" s="30">
        <f>IF(AC109="","",COUNTIF(Q109:AB109,"Yes"))</f>
        <v/>
      </c>
      <c r="AE109" s="19" t="n"/>
      <c r="AF109" s="19" t="n"/>
      <c r="AG109" s="30">
        <f>IF(OR(AE109="",AF109=""),"",INDEX(RiskGrid,6-VALUE(LEFT(AE109,1)),VALUE(LEFT(AF109,1))))</f>
        <v/>
      </c>
      <c r="AH109" s="30">
        <f>IF(AG109="","",IF(AG109&gt;=BandVH,"Very High",IF(AG109&gt;=BandHigh,"High",IF(AG109&gt;=BandMed,"Medium","Low"))))</f>
        <v/>
      </c>
      <c r="AI109" s="4" t="n"/>
      <c r="AJ109" s="4" t="n"/>
    </row>
    <row r="110">
      <c r="A110" s="30">
        <f>IF(B110="","",COUNTIF(B$14:B110,"?*"))</f>
        <v/>
      </c>
      <c r="B110" s="4" t="n"/>
      <c r="C110" s="19" t="n"/>
      <c r="D110" s="5">
        <f>IF(OR(B110="",C110=""),"",UPPER(LEFT(C110,1))&amp;LOWER(MID(C110,2,30))&amp;" "&amp;LOWER(LEFT(B110,1))&amp;MID(B110,2,200))</f>
        <v/>
      </c>
      <c r="E110" s="4" t="n"/>
      <c r="F110" s="4" t="n"/>
      <c r="G110" s="4" t="n"/>
      <c r="H110" s="4" t="n"/>
      <c r="I110" s="4" t="n"/>
      <c r="J110" s="4" t="n"/>
      <c r="K110" s="5">
        <f>_xlfn.TEXTJOIN(CHAR(10),TRUE,IF(E110="","","• "&amp;E110),IF(F110="","","• "&amp;F110),IF(G110="","","• "&amp;G110),IF(H110="","","• "&amp;H110),IF(I110="","","• "&amp;I110),IF(J110="","","• "&amp;J110))</f>
        <v/>
      </c>
      <c r="L110" s="4" t="n"/>
      <c r="M110" s="19" t="n"/>
      <c r="N110" s="19" t="n"/>
      <c r="O110" s="30">
        <f>IF(OR(M110="",N110=""),"",INDEX(RiskGrid,6-VALUE(LEFT(M110,1)),VALUE(LEFT(N110,1))))</f>
        <v/>
      </c>
      <c r="P110" s="30">
        <f>IF(O110="","",IF(O110&gt;=BandVH,"Very High",IF(O110&gt;=BandHigh,"High",IF(O110&gt;=BandMed,"Medium","Low"))))</f>
        <v/>
      </c>
      <c r="Q110" s="4" t="n"/>
      <c r="R110" s="19" t="n"/>
      <c r="S110" s="4" t="n"/>
      <c r="T110" s="19" t="n"/>
      <c r="U110" s="4" t="n"/>
      <c r="V110" s="19" t="n"/>
      <c r="W110" s="4" t="n"/>
      <c r="X110" s="19" t="n"/>
      <c r="Y110" s="4" t="n"/>
      <c r="Z110" s="19" t="n"/>
      <c r="AA110" s="4" t="n"/>
      <c r="AB110" s="19" t="n"/>
      <c r="AC110" s="5">
        <f>_xlfn.TEXTJOIN(CHAR(10),TRUE,IF(Q110="","","• "&amp;Q110&amp;IF(R110="Yes","  [IPL]","")),IF(S110="","","• "&amp;S110&amp;IF(T110="Yes","  [IPL]","")),IF(U110="","","• "&amp;U110&amp;IF(V110="Yes","  [IPL]","")),IF(W110="","","• "&amp;W110&amp;IF(X110="Yes","  [IPL]","")),IF(Y110="","","• "&amp;Y110&amp;IF(Z110="Yes","  [IPL]","")),IF(AA110="","","• "&amp;AA110&amp;IF(AB110="Yes","  [IPL]","")))</f>
        <v/>
      </c>
      <c r="AD110" s="30">
        <f>IF(AC110="","",COUNTIF(Q110:AB110,"Yes"))</f>
        <v/>
      </c>
      <c r="AE110" s="19" t="n"/>
      <c r="AF110" s="19" t="n"/>
      <c r="AG110" s="30">
        <f>IF(OR(AE110="",AF110=""),"",INDEX(RiskGrid,6-VALUE(LEFT(AE110,1)),VALUE(LEFT(AF110,1))))</f>
        <v/>
      </c>
      <c r="AH110" s="30">
        <f>IF(AG110="","",IF(AG110&gt;=BandVH,"Very High",IF(AG110&gt;=BandHigh,"High",IF(AG110&gt;=BandMed,"Medium","Low"))))</f>
        <v/>
      </c>
      <c r="AI110" s="4" t="n"/>
      <c r="AJ110" s="4" t="n"/>
    </row>
    <row r="111">
      <c r="A111" s="30">
        <f>IF(B111="","",COUNTIF(B$14:B111,"?*"))</f>
        <v/>
      </c>
      <c r="B111" s="4" t="n"/>
      <c r="C111" s="19" t="n"/>
      <c r="D111" s="5">
        <f>IF(OR(B111="",C111=""),"",UPPER(LEFT(C111,1))&amp;LOWER(MID(C111,2,30))&amp;" "&amp;LOWER(LEFT(B111,1))&amp;MID(B111,2,200))</f>
        <v/>
      </c>
      <c r="E111" s="4" t="n"/>
      <c r="F111" s="4" t="n"/>
      <c r="G111" s="4" t="n"/>
      <c r="H111" s="4" t="n"/>
      <c r="I111" s="4" t="n"/>
      <c r="J111" s="4" t="n"/>
      <c r="K111" s="5">
        <f>_xlfn.TEXTJOIN(CHAR(10),TRUE,IF(E111="","","• "&amp;E111),IF(F111="","","• "&amp;F111),IF(G111="","","• "&amp;G111),IF(H111="","","• "&amp;H111),IF(I111="","","• "&amp;I111),IF(J111="","","• "&amp;J111))</f>
        <v/>
      </c>
      <c r="L111" s="4" t="n"/>
      <c r="M111" s="19" t="n"/>
      <c r="N111" s="19" t="n"/>
      <c r="O111" s="30">
        <f>IF(OR(M111="",N111=""),"",INDEX(RiskGrid,6-VALUE(LEFT(M111,1)),VALUE(LEFT(N111,1))))</f>
        <v/>
      </c>
      <c r="P111" s="30">
        <f>IF(O111="","",IF(O111&gt;=BandVH,"Very High",IF(O111&gt;=BandHigh,"High",IF(O111&gt;=BandMed,"Medium","Low"))))</f>
        <v/>
      </c>
      <c r="Q111" s="4" t="n"/>
      <c r="R111" s="19" t="n"/>
      <c r="S111" s="4" t="n"/>
      <c r="T111" s="19" t="n"/>
      <c r="U111" s="4" t="n"/>
      <c r="V111" s="19" t="n"/>
      <c r="W111" s="4" t="n"/>
      <c r="X111" s="19" t="n"/>
      <c r="Y111" s="4" t="n"/>
      <c r="Z111" s="19" t="n"/>
      <c r="AA111" s="4" t="n"/>
      <c r="AB111" s="19" t="n"/>
      <c r="AC111" s="5">
        <f>_xlfn.TEXTJOIN(CHAR(10),TRUE,IF(Q111="","","• "&amp;Q111&amp;IF(R111="Yes","  [IPL]","")),IF(S111="","","• "&amp;S111&amp;IF(T111="Yes","  [IPL]","")),IF(U111="","","• "&amp;U111&amp;IF(V111="Yes","  [IPL]","")),IF(W111="","","• "&amp;W111&amp;IF(X111="Yes","  [IPL]","")),IF(Y111="","","• "&amp;Y111&amp;IF(Z111="Yes","  [IPL]","")),IF(AA111="","","• "&amp;AA111&amp;IF(AB111="Yes","  [IPL]","")))</f>
        <v/>
      </c>
      <c r="AD111" s="30">
        <f>IF(AC111="","",COUNTIF(Q111:AB111,"Yes"))</f>
        <v/>
      </c>
      <c r="AE111" s="19" t="n"/>
      <c r="AF111" s="19" t="n"/>
      <c r="AG111" s="30">
        <f>IF(OR(AE111="",AF111=""),"",INDEX(RiskGrid,6-VALUE(LEFT(AE111,1)),VALUE(LEFT(AF111,1))))</f>
        <v/>
      </c>
      <c r="AH111" s="30">
        <f>IF(AG111="","",IF(AG111&gt;=BandVH,"Very High",IF(AG111&gt;=BandHigh,"High",IF(AG111&gt;=BandMed,"Medium","Low"))))</f>
        <v/>
      </c>
      <c r="AI111" s="4" t="n"/>
      <c r="AJ111" s="4" t="n"/>
    </row>
    <row r="112">
      <c r="A112" s="30">
        <f>IF(B112="","",COUNTIF(B$14:B112,"?*"))</f>
        <v/>
      </c>
      <c r="B112" s="4" t="n"/>
      <c r="C112" s="19" t="n"/>
      <c r="D112" s="5">
        <f>IF(OR(B112="",C112=""),"",UPPER(LEFT(C112,1))&amp;LOWER(MID(C112,2,30))&amp;" "&amp;LOWER(LEFT(B112,1))&amp;MID(B112,2,200))</f>
        <v/>
      </c>
      <c r="E112" s="4" t="n"/>
      <c r="F112" s="4" t="n"/>
      <c r="G112" s="4" t="n"/>
      <c r="H112" s="4" t="n"/>
      <c r="I112" s="4" t="n"/>
      <c r="J112" s="4" t="n"/>
      <c r="K112" s="5">
        <f>_xlfn.TEXTJOIN(CHAR(10),TRUE,IF(E112="","","• "&amp;E112),IF(F112="","","• "&amp;F112),IF(G112="","","• "&amp;G112),IF(H112="","","• "&amp;H112),IF(I112="","","• "&amp;I112),IF(J112="","","• "&amp;J112))</f>
        <v/>
      </c>
      <c r="L112" s="4" t="n"/>
      <c r="M112" s="19" t="n"/>
      <c r="N112" s="19" t="n"/>
      <c r="O112" s="30">
        <f>IF(OR(M112="",N112=""),"",INDEX(RiskGrid,6-VALUE(LEFT(M112,1)),VALUE(LEFT(N112,1))))</f>
        <v/>
      </c>
      <c r="P112" s="30">
        <f>IF(O112="","",IF(O112&gt;=BandVH,"Very High",IF(O112&gt;=BandHigh,"High",IF(O112&gt;=BandMed,"Medium","Low"))))</f>
        <v/>
      </c>
      <c r="Q112" s="4" t="n"/>
      <c r="R112" s="19" t="n"/>
      <c r="S112" s="4" t="n"/>
      <c r="T112" s="19" t="n"/>
      <c r="U112" s="4" t="n"/>
      <c r="V112" s="19" t="n"/>
      <c r="W112" s="4" t="n"/>
      <c r="X112" s="19" t="n"/>
      <c r="Y112" s="4" t="n"/>
      <c r="Z112" s="19" t="n"/>
      <c r="AA112" s="4" t="n"/>
      <c r="AB112" s="19" t="n"/>
      <c r="AC112" s="5">
        <f>_xlfn.TEXTJOIN(CHAR(10),TRUE,IF(Q112="","","• "&amp;Q112&amp;IF(R112="Yes","  [IPL]","")),IF(S112="","","• "&amp;S112&amp;IF(T112="Yes","  [IPL]","")),IF(U112="","","• "&amp;U112&amp;IF(V112="Yes","  [IPL]","")),IF(W112="","","• "&amp;W112&amp;IF(X112="Yes","  [IPL]","")),IF(Y112="","","• "&amp;Y112&amp;IF(Z112="Yes","  [IPL]","")),IF(AA112="","","• "&amp;AA112&amp;IF(AB112="Yes","  [IPL]","")))</f>
        <v/>
      </c>
      <c r="AD112" s="30">
        <f>IF(AC112="","",COUNTIF(Q112:AB112,"Yes"))</f>
        <v/>
      </c>
      <c r="AE112" s="19" t="n"/>
      <c r="AF112" s="19" t="n"/>
      <c r="AG112" s="30">
        <f>IF(OR(AE112="",AF112=""),"",INDEX(RiskGrid,6-VALUE(LEFT(AE112,1)),VALUE(LEFT(AF112,1))))</f>
        <v/>
      </c>
      <c r="AH112" s="30">
        <f>IF(AG112="","",IF(AG112&gt;=BandVH,"Very High",IF(AG112&gt;=BandHigh,"High",IF(AG112&gt;=BandMed,"Medium","Low"))))</f>
        <v/>
      </c>
      <c r="AI112" s="4" t="n"/>
      <c r="AJ112" s="4" t="n"/>
    </row>
    <row r="113">
      <c r="A113" s="30">
        <f>IF(B113="","",COUNTIF(B$14:B113,"?*"))</f>
        <v/>
      </c>
      <c r="B113" s="4" t="n"/>
      <c r="C113" s="19" t="n"/>
      <c r="D113" s="5">
        <f>IF(OR(B113="",C113=""),"",UPPER(LEFT(C113,1))&amp;LOWER(MID(C113,2,30))&amp;" "&amp;LOWER(LEFT(B113,1))&amp;MID(B113,2,200))</f>
        <v/>
      </c>
      <c r="E113" s="4" t="n"/>
      <c r="F113" s="4" t="n"/>
      <c r="G113" s="4" t="n"/>
      <c r="H113" s="4" t="n"/>
      <c r="I113" s="4" t="n"/>
      <c r="J113" s="4" t="n"/>
      <c r="K113" s="5">
        <f>_xlfn.TEXTJOIN(CHAR(10),TRUE,IF(E113="","","• "&amp;E113),IF(F113="","","• "&amp;F113),IF(G113="","","• "&amp;G113),IF(H113="","","• "&amp;H113),IF(I113="","","• "&amp;I113),IF(J113="","","• "&amp;J113))</f>
        <v/>
      </c>
      <c r="L113" s="4" t="n"/>
      <c r="M113" s="19" t="n"/>
      <c r="N113" s="19" t="n"/>
      <c r="O113" s="30">
        <f>IF(OR(M113="",N113=""),"",INDEX(RiskGrid,6-VALUE(LEFT(M113,1)),VALUE(LEFT(N113,1))))</f>
        <v/>
      </c>
      <c r="P113" s="30">
        <f>IF(O113="","",IF(O113&gt;=BandVH,"Very High",IF(O113&gt;=BandHigh,"High",IF(O113&gt;=BandMed,"Medium","Low"))))</f>
        <v/>
      </c>
      <c r="Q113" s="4" t="n"/>
      <c r="R113" s="19" t="n"/>
      <c r="S113" s="4" t="n"/>
      <c r="T113" s="19" t="n"/>
      <c r="U113" s="4" t="n"/>
      <c r="V113" s="19" t="n"/>
      <c r="W113" s="4" t="n"/>
      <c r="X113" s="19" t="n"/>
      <c r="Y113" s="4" t="n"/>
      <c r="Z113" s="19" t="n"/>
      <c r="AA113" s="4" t="n"/>
      <c r="AB113" s="19" t="n"/>
      <c r="AC113" s="5">
        <f>_xlfn.TEXTJOIN(CHAR(10),TRUE,IF(Q113="","","• "&amp;Q113&amp;IF(R113="Yes","  [IPL]","")),IF(S113="","","• "&amp;S113&amp;IF(T113="Yes","  [IPL]","")),IF(U113="","","• "&amp;U113&amp;IF(V113="Yes","  [IPL]","")),IF(W113="","","• "&amp;W113&amp;IF(X113="Yes","  [IPL]","")),IF(Y113="","","• "&amp;Y113&amp;IF(Z113="Yes","  [IPL]","")),IF(AA113="","","• "&amp;AA113&amp;IF(AB113="Yes","  [IPL]","")))</f>
        <v/>
      </c>
      <c r="AD113" s="30">
        <f>IF(AC113="","",COUNTIF(Q113:AB113,"Yes"))</f>
        <v/>
      </c>
      <c r="AE113" s="19" t="n"/>
      <c r="AF113" s="19" t="n"/>
      <c r="AG113" s="30">
        <f>IF(OR(AE113="",AF113=""),"",INDEX(RiskGrid,6-VALUE(LEFT(AE113,1)),VALUE(LEFT(AF113,1))))</f>
        <v/>
      </c>
      <c r="AH113" s="30">
        <f>IF(AG113="","",IF(AG113&gt;=BandVH,"Very High",IF(AG113&gt;=BandHigh,"High",IF(AG113&gt;=BandMed,"Medium","Low"))))</f>
        <v/>
      </c>
      <c r="AI113" s="4" t="n"/>
      <c r="AJ113" s="4" t="n"/>
    </row>
  </sheetData>
  <mergeCells count="24">
    <mergeCell ref="A3:C3"/>
    <mergeCell ref="AC12:AD12"/>
    <mergeCell ref="D7:L7"/>
    <mergeCell ref="N3:O3"/>
    <mergeCell ref="A5:C5"/>
    <mergeCell ref="A8:C8"/>
    <mergeCell ref="D4:L4"/>
    <mergeCell ref="D3:L3"/>
    <mergeCell ref="D9:L9"/>
    <mergeCell ref="A4:C4"/>
    <mergeCell ref="D8:L8"/>
    <mergeCell ref="K12:L12"/>
    <mergeCell ref="D5:L5"/>
    <mergeCell ref="A9:C9"/>
    <mergeCell ref="AE12:AH12"/>
    <mergeCell ref="E12:J12"/>
    <mergeCell ref="Q12:AB12"/>
    <mergeCell ref="AI12:AJ12"/>
    <mergeCell ref="A11:L11"/>
    <mergeCell ref="A12:D12"/>
    <mergeCell ref="A6:C6"/>
    <mergeCell ref="M12:P12"/>
    <mergeCell ref="A7:C7"/>
    <mergeCell ref="D6:L6"/>
  </mergeCells>
  <conditionalFormatting sqref="O14:P113">
    <cfRule type="expression" priority="1" dxfId="0">
      <formula>$P14="Very High"</formula>
    </cfRule>
    <cfRule type="expression" priority="3" dxfId="1">
      <formula>$P14="High"</formula>
    </cfRule>
    <cfRule type="expression" priority="5" dxfId="2">
      <formula>$P14="Medium"</formula>
    </cfRule>
    <cfRule type="expression" priority="7" dxfId="3">
      <formula>$P14="Low"</formula>
    </cfRule>
  </conditionalFormatting>
  <conditionalFormatting sqref="AG14:AH113">
    <cfRule type="expression" priority="2" dxfId="0">
      <formula>$AH14="Very High"</formula>
    </cfRule>
    <cfRule type="expression" priority="4" dxfId="1">
      <formula>$AH14="High"</formula>
    </cfRule>
    <cfRule type="expression" priority="6" dxfId="2">
      <formula>$AH14="Medium"</formula>
    </cfRule>
    <cfRule type="expression" priority="8" dxfId="3">
      <formula>$AH14="Low"</formula>
    </cfRule>
  </conditionalFormatting>
  <dataValidations count="9">
    <dataValidation sqref="D3" showDropDown="0" showInputMessage="1" showErrorMessage="1" allowBlank="1" promptTitle="Select" prompt="Choose the node studied on this sheet" type="list">
      <formula1>=NodeList</formula1>
    </dataValidation>
    <dataValidation sqref="B14:B113" showDropDown="0" showInputMessage="1" showErrorMessage="1" allowBlank="1" promptTitle="Select" prompt="Parameter (from Lists)" type="list">
      <formula1>=ParamList</formula1>
    </dataValidation>
    <dataValidation sqref="C14:C113" showDropDown="0" showInputMessage="1" showErrorMessage="1" allowBlank="1" promptTitle="Select" prompt="Guidewords valid for this parameter" type="list">
      <formula1>=OFFSET(GWStart,MATCH($B14,GWParam,0)-1,0,COUNTIF(GWParam,$B14),1)</formula1>
    </dataValidation>
    <dataValidation sqref="E14:J113" showDropDown="0" showInputMessage="1" showErrorMessage="1" allowBlank="1" errorTitle="Not in list" error="Entry is not in the list – it will be accepted as free text." promptTitle="Select" prompt="Pick a cause for this deviation, or type your own." type="list" errorStyle="information">
      <formula1>=OFFSET(CauseStart,MATCH($B14&amp;"|"&amp;$C14,CauseKey,0)-1,0,MAX(1,COUNTIF(CauseKey,$B14&amp;"|"&amp;$C14)),1)</formula1>
    </dataValidation>
    <dataValidation sqref="M14:M113" showDropDown="0" showInputMessage="0" showErrorMessage="1" allowBlank="1" type="list">
      <formula1>=SevList</formula1>
    </dataValidation>
    <dataValidation sqref="N14:N113" showDropDown="0" showInputMessage="0" showErrorMessage="1" allowBlank="1" type="list">
      <formula1>=LikList</formula1>
    </dataValidation>
    <dataValidation sqref="AE14:AE113" showDropDown="0" showInputMessage="0" showErrorMessage="1" allowBlank="1" type="list">
      <formula1>=SevList</formula1>
    </dataValidation>
    <dataValidation sqref="AF14:AF113" showDropDown="0" showInputMessage="0" showErrorMessage="1" allowBlank="1" type="list">
      <formula1>=LikList</formula1>
    </dataValidation>
    <dataValidation sqref="R14:R113 T14:T113 V14:V113 X14:X113 Z14:Z113 AB14:AB113" showDropDown="0" showInputMessage="1" showErrorMessage="0" allowBlank="1" promptTitle="IPL?" prompt="Is this safeguard an Independent Protection Layer?" type="list">
      <formula1>=IPLList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M113"/>
  <sheetViews>
    <sheetView workbookViewId="0">
      <pane xSplit="4" ySplit="13" topLeftCell="E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4" customWidth="1" min="4" max="4"/>
    <col outlineLevel="1" width="26" customWidth="1" min="5" max="10"/>
    <col width="48" customWidth="1" min="11" max="11"/>
    <col width="42" customWidth="1" min="12" max="12"/>
    <col width="13" customWidth="1" min="13" max="13"/>
    <col width="13" customWidth="1" min="14" max="14"/>
    <col width="7" customWidth="1" min="15" max="15"/>
    <col width="10" customWidth="1" min="16" max="16"/>
    <col outlineLevel="1" width="28" customWidth="1" min="17" max="28"/>
    <col width="48" customWidth="1" min="29" max="29"/>
    <col width="7" customWidth="1" min="30" max="30"/>
    <col width="13" customWidth="1" min="31" max="31"/>
    <col width="13" customWidth="1" min="32" max="32"/>
    <col width="7" customWidth="1" min="33" max="33"/>
    <col width="10" customWidth="1" min="34" max="34"/>
    <col width="36" customWidth="1" min="35" max="35"/>
    <col width="14" customWidth="1" min="36" max="36"/>
  </cols>
  <sheetData>
    <row r="1">
      <c r="A1" s="24" t="inlineStr">
        <is>
          <t>HAZOP WORKSHEET</t>
        </is>
      </c>
      <c r="E1" s="25">
        <f>Cover!B7</f>
        <v/>
      </c>
    </row>
    <row r="3">
      <c r="A3" s="26" t="inlineStr">
        <is>
          <t>Select node ▸</t>
        </is>
      </c>
      <c r="B3" s="8" t="n"/>
      <c r="C3" s="9" t="n"/>
      <c r="D3" s="27" t="inlineStr">
        <is>
          <t>N02 – Gas heaters H-1101A/B and pressure reduction station PRS-1</t>
        </is>
      </c>
      <c r="E3" s="8" t="n"/>
      <c r="F3" s="8" t="n"/>
      <c r="G3" s="8" t="n"/>
      <c r="H3" s="8" t="n"/>
      <c r="I3" s="8" t="n"/>
      <c r="J3" s="8" t="n"/>
      <c r="K3" s="8" t="n"/>
      <c r="L3" s="9" t="n"/>
      <c r="M3" s="26" t="inlineStr">
        <is>
          <t>Session date</t>
        </is>
      </c>
      <c r="N3" s="13" t="n">
        <v>46307</v>
      </c>
      <c r="O3" s="9" t="n"/>
      <c r="P3" s="26" t="inlineStr">
        <is>
          <t>Revision</t>
        </is>
      </c>
      <c r="Q3" s="4" t="inlineStr">
        <is>
          <t>A</t>
        </is>
      </c>
    </row>
    <row r="4" ht="16" customHeight="1">
      <c r="A4" s="10" t="inlineStr">
        <is>
          <t>Node title</t>
        </is>
      </c>
      <c r="B4" s="8" t="n"/>
      <c r="C4" s="9" t="n"/>
      <c r="D4" s="6">
        <f>IF($D$3="","",IFERROR(INDEX(Nodes!$B$5:$B$34,MATCH($D$3,Nodes!$C$5:$C$34,0))&amp;"",""))</f>
        <v/>
      </c>
      <c r="E4" s="8" t="n"/>
      <c r="F4" s="8" t="n"/>
      <c r="G4" s="8" t="n"/>
      <c r="H4" s="8" t="n"/>
      <c r="I4" s="8" t="n"/>
      <c r="J4" s="8" t="n"/>
      <c r="K4" s="8" t="n"/>
      <c r="L4" s="9" t="n"/>
    </row>
    <row r="5" ht="16" customHeight="1">
      <c r="A5" s="10" t="inlineStr">
        <is>
          <t>P&amp;IDs / drawings</t>
        </is>
      </c>
      <c r="B5" s="8" t="n"/>
      <c r="C5" s="9" t="n"/>
      <c r="D5" s="6">
        <f>IF($D$3="","",IFERROR(INDEX(Nodes!$D$5:$D$34,MATCH($D$3,Nodes!$C$5:$C$34,0))&amp;"",""))</f>
        <v/>
      </c>
      <c r="E5" s="8" t="n"/>
      <c r="F5" s="8" t="n"/>
      <c r="G5" s="8" t="n"/>
      <c r="H5" s="8" t="n"/>
      <c r="I5" s="8" t="n"/>
      <c r="J5" s="8" t="n"/>
      <c r="K5" s="8" t="n"/>
      <c r="L5" s="9" t="n"/>
    </row>
    <row r="6" ht="30" customHeight="1">
      <c r="A6" s="10" t="inlineStr">
        <is>
          <t>Battery limits</t>
        </is>
      </c>
      <c r="B6" s="8" t="n"/>
      <c r="C6" s="9" t="n"/>
      <c r="D6" s="6">
        <f>IF($D$3="","",IFERROR(INDEX(Nodes!$E$5:$E$34,MATCH($D$3,Nodes!$C$5:$C$34,0))&amp;"",""))</f>
        <v/>
      </c>
      <c r="E6" s="8" t="n"/>
      <c r="F6" s="8" t="n"/>
      <c r="G6" s="8" t="n"/>
      <c r="H6" s="8" t="n"/>
      <c r="I6" s="8" t="n"/>
      <c r="J6" s="8" t="n"/>
      <c r="K6" s="8" t="n"/>
      <c r="L6" s="9" t="n"/>
    </row>
    <row r="7" ht="30" customHeight="1">
      <c r="A7" s="10" t="inlineStr">
        <is>
          <t>Functional description / design intent</t>
        </is>
      </c>
      <c r="B7" s="8" t="n"/>
      <c r="C7" s="9" t="n"/>
      <c r="D7" s="6">
        <f>IF($D$3="","",IFERROR(INDEX(Nodes!$F$5:$F$34,MATCH($D$3,Nodes!$C$5:$C$34,0))&amp;"",""))</f>
        <v/>
      </c>
      <c r="E7" s="8" t="n"/>
      <c r="F7" s="8" t="n"/>
      <c r="G7" s="8" t="n"/>
      <c r="H7" s="8" t="n"/>
      <c r="I7" s="8" t="n"/>
      <c r="J7" s="8" t="n"/>
      <c r="K7" s="8" t="n"/>
      <c r="L7" s="9" t="n"/>
    </row>
    <row r="8" ht="16" customHeight="1">
      <c r="A8" s="10" t="inlineStr">
        <is>
          <t>Design parameters</t>
        </is>
      </c>
      <c r="B8" s="8" t="n"/>
      <c r="C8" s="9" t="n"/>
      <c r="D8" s="6">
        <f>IF($D$3="","",IFERROR(INDEX(Nodes!$G$5:$G$34,MATCH($D$3,Nodes!$C$5:$C$34,0))&amp;"",""))</f>
        <v/>
      </c>
      <c r="E8" s="8" t="n"/>
      <c r="F8" s="8" t="n"/>
      <c r="G8" s="8" t="n"/>
      <c r="H8" s="8" t="n"/>
      <c r="I8" s="8" t="n"/>
      <c r="J8" s="8" t="n"/>
      <c r="K8" s="8" t="n"/>
      <c r="L8" s="9" t="n"/>
    </row>
    <row r="9" ht="16" customHeight="1">
      <c r="A9" s="10" t="inlineStr">
        <is>
          <t>Operating parameters</t>
        </is>
      </c>
      <c r="B9" s="8" t="n"/>
      <c r="C9" s="9" t="n"/>
      <c r="D9" s="6">
        <f>IF($D$3="","",IFERROR(INDEX(Nodes!$H$5:$H$34,MATCH($D$3,Nodes!$C$5:$C$34,0))&amp;"",""))</f>
        <v/>
      </c>
      <c r="E9" s="8" t="n"/>
      <c r="F9" s="8" t="n"/>
      <c r="G9" s="8" t="n"/>
      <c r="H9" s="8" t="n"/>
      <c r="I9" s="8" t="n"/>
      <c r="J9" s="8" t="n"/>
      <c r="K9" s="8" t="n"/>
      <c r="L9" s="9" t="n"/>
    </row>
    <row r="11">
      <c r="A11" s="2" t="inlineStr">
        <is>
          <t>ONE ROW PER DEVIATION. Choose Parameter + Guideword, then pick up to 6 causes in Cause 1–6 (or type your own) – they are listed line by line in 'Potential causes'. Enter up to 6 safeguards, each marked IPL Yes/No – listed in 'Safeguards'. Use the [–] buttons above the columns to collapse the pick columns.</t>
        </is>
      </c>
    </row>
    <row r="12">
      <c r="A12" s="7" t="inlineStr">
        <is>
          <t>DEVIATION</t>
        </is>
      </c>
      <c r="B12" s="8" t="n"/>
      <c r="C12" s="8" t="n"/>
      <c r="D12" s="9" t="n"/>
      <c r="E12" s="7" t="inlineStr">
        <is>
          <t>CAUSE PICK-LIST</t>
        </is>
      </c>
      <c r="F12" s="8" t="n"/>
      <c r="G12" s="8" t="n"/>
      <c r="H12" s="8" t="n"/>
      <c r="I12" s="8" t="n"/>
      <c r="J12" s="9" t="n"/>
      <c r="K12" s="7" t="inlineStr">
        <is>
          <t>CAUSES &amp; CONSEQUENCES</t>
        </is>
      </c>
      <c r="L12" s="9" t="n"/>
      <c r="M12" s="7" t="inlineStr">
        <is>
          <t>RISK BEFORE SAFEGUARDS</t>
        </is>
      </c>
      <c r="N12" s="8" t="n"/>
      <c r="O12" s="8" t="n"/>
      <c r="P12" s="9" t="n"/>
      <c r="Q12" s="7" t="inlineStr">
        <is>
          <t>SAFEGUARD ENTRY (mark each IPL Yes / No)</t>
        </is>
      </c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9" t="n"/>
      <c r="AC12" s="7" t="inlineStr">
        <is>
          <t>SAFEGUARDS</t>
        </is>
      </c>
      <c r="AD12" s="9" t="n"/>
      <c r="AE12" s="7" t="inlineStr">
        <is>
          <t>RISK AFTER SAFEGUARDS</t>
        </is>
      </c>
      <c r="AF12" s="8" t="n"/>
      <c r="AG12" s="8" t="n"/>
      <c r="AH12" s="9" t="n"/>
      <c r="AI12" s="7" t="inlineStr">
        <is>
          <t>RECOMMENDATIONS</t>
        </is>
      </c>
      <c r="AJ12" s="9" t="n"/>
    </row>
    <row r="13" ht="30" customHeight="1">
      <c r="A13" s="7" t="inlineStr">
        <is>
          <t>Dev. No.</t>
        </is>
      </c>
      <c r="B13" s="7" t="inlineStr">
        <is>
          <t>Parameter</t>
        </is>
      </c>
      <c r="C13" s="7" t="inlineStr">
        <is>
          <t>Guideword</t>
        </is>
      </c>
      <c r="D13" s="7" t="inlineStr">
        <is>
          <t>Deviation</t>
        </is>
      </c>
      <c r="E13" s="29" t="inlineStr">
        <is>
          <t>Cause 1</t>
        </is>
      </c>
      <c r="F13" s="29" t="inlineStr">
        <is>
          <t>Cause 2</t>
        </is>
      </c>
      <c r="G13" s="29" t="inlineStr">
        <is>
          <t>Cause 3</t>
        </is>
      </c>
      <c r="H13" s="29" t="inlineStr">
        <is>
          <t>Cause 4</t>
        </is>
      </c>
      <c r="I13" s="29" t="inlineStr">
        <is>
          <t>Cause 5</t>
        </is>
      </c>
      <c r="J13" s="29" t="inlineStr">
        <is>
          <t>Cause 6</t>
        </is>
      </c>
      <c r="K13" s="7" t="inlineStr">
        <is>
          <t>Potential causes</t>
        </is>
      </c>
      <c r="L13" s="7" t="inlineStr">
        <is>
          <t>Consequences</t>
        </is>
      </c>
      <c r="M13" s="7" t="inlineStr">
        <is>
          <t>Severity (S)</t>
        </is>
      </c>
      <c r="N13" s="7" t="inlineStr">
        <is>
          <t>Likelihood (L)</t>
        </is>
      </c>
      <c r="O13" s="7" t="inlineStr">
        <is>
          <t>Risk score</t>
        </is>
      </c>
      <c r="P13" s="7" t="inlineStr">
        <is>
          <t>Risk rank</t>
        </is>
      </c>
      <c r="Q13" s="29" t="inlineStr">
        <is>
          <t>Safeguard 1</t>
        </is>
      </c>
      <c r="R13" s="29" t="inlineStr">
        <is>
          <t>IPL? 1</t>
        </is>
      </c>
      <c r="S13" s="29" t="inlineStr">
        <is>
          <t>Safeguard 2</t>
        </is>
      </c>
      <c r="T13" s="29" t="inlineStr">
        <is>
          <t>IPL? 2</t>
        </is>
      </c>
      <c r="U13" s="29" t="inlineStr">
        <is>
          <t>Safeguard 3</t>
        </is>
      </c>
      <c r="V13" s="29" t="inlineStr">
        <is>
          <t>IPL? 3</t>
        </is>
      </c>
      <c r="W13" s="29" t="inlineStr">
        <is>
          <t>Safeguard 4</t>
        </is>
      </c>
      <c r="X13" s="29" t="inlineStr">
        <is>
          <t>IPL? 4</t>
        </is>
      </c>
      <c r="Y13" s="29" t="inlineStr">
        <is>
          <t>Safeguard 5</t>
        </is>
      </c>
      <c r="Z13" s="29" t="inlineStr">
        <is>
          <t>IPL? 5</t>
        </is>
      </c>
      <c r="AA13" s="29" t="inlineStr">
        <is>
          <t>Safeguard 6</t>
        </is>
      </c>
      <c r="AB13" s="29" t="inlineStr">
        <is>
          <t>IPL? 6</t>
        </is>
      </c>
      <c r="AC13" s="7" t="inlineStr">
        <is>
          <t>Safeguards</t>
        </is>
      </c>
      <c r="AD13" s="7" t="inlineStr">
        <is>
          <t>No. of IPLs</t>
        </is>
      </c>
      <c r="AE13" s="7" t="inlineStr">
        <is>
          <t>Severity (S)</t>
        </is>
      </c>
      <c r="AF13" s="7" t="inlineStr">
        <is>
          <t>Likelihood (L)</t>
        </is>
      </c>
      <c r="AG13" s="7" t="inlineStr">
        <is>
          <t>Risk score</t>
        </is>
      </c>
      <c r="AH13" s="7" t="inlineStr">
        <is>
          <t>Risk rank</t>
        </is>
      </c>
      <c r="AI13" s="7" t="inlineStr">
        <is>
          <t>Recommendations / actions</t>
        </is>
      </c>
      <c r="AJ13" s="7" t="inlineStr">
        <is>
          <t>Action by</t>
        </is>
      </c>
    </row>
    <row r="14" ht="90" customHeight="1">
      <c r="A14" s="30">
        <f>IF(B14="","",COUNTIF(B$14:B14,"?*"))</f>
        <v/>
      </c>
      <c r="B14" s="4" t="inlineStr">
        <is>
          <t>Temperature</t>
        </is>
      </c>
      <c r="C14" s="19" t="inlineStr">
        <is>
          <t>LESS</t>
        </is>
      </c>
      <c r="D14" s="5">
        <f>IF(OR(B14="",C14=""),"",UPPER(LEFT(C14,1))&amp;LOWER(MID(C14,2,30))&amp;" "&amp;LOWER(LEFT(B14,1))&amp;MID(B14,2,200))</f>
        <v/>
      </c>
      <c r="E14" s="4" t="inlineStr">
        <is>
          <t>Heater H-1101A trip (flame failure, low bath level)</t>
        </is>
      </c>
      <c r="F14" s="4" t="inlineStr">
        <is>
          <t>Heater undersized at peak flow / TIC-1101 fault</t>
        </is>
      </c>
      <c r="G14" s="4" t="inlineStr">
        <is>
          <t>Reducing pressure (auto-refrigeration of LPG, CO2, ammonia)</t>
        </is>
      </c>
      <c r="H14" s="4" t="n"/>
      <c r="I14" s="4" t="n"/>
      <c r="J14" s="4" t="n"/>
      <c r="K14" s="5">
        <f>_xlfn.TEXTJOIN(CHAR(10),TRUE,IF(E14="","","• "&amp;E14),IF(F14="","","• "&amp;F14),IF(G14="","","• "&amp;G14),IF(H14="","","• "&amp;H14),IF(I14="","","• "&amp;I14),IF(J14="","","• "&amp;J14))</f>
        <v/>
      </c>
      <c r="L14" s="4" t="inlineStr">
        <is>
          <t>Joule–Thomson cooling (~0.5 °C per bar, ~17 °C for 42 → 7 barg) – outlet below 0 °C: hydrate / ice in regulator pilots (active regulator may fail open – demand on N02-02 protection); piping below its MDMT – brittle fracture
[N02-01] Ice in the pilot is an initiating cause in fault tree FT-GN-01 (BE-001).</t>
        </is>
      </c>
      <c r="M14" s="19" t="inlineStr">
        <is>
          <t>4 – Major</t>
        </is>
      </c>
      <c r="N14" s="19" t="inlineStr">
        <is>
          <t>3 – Possible</t>
        </is>
      </c>
      <c r="O14" s="30">
        <f>IF(OR(M14="",N14=""),"",INDEX(RiskGrid,6-VALUE(LEFT(M14,1)),VALUE(LEFT(N14,1))))</f>
        <v/>
      </c>
      <c r="P14" s="30">
        <f>IF(O14="","",IF(O14&gt;=BandVH,"Very High",IF(O14&gt;=BandHigh,"High",IF(O14&gt;=BandMed,"Medium","Low"))))</f>
        <v/>
      </c>
      <c r="Q14" s="4" t="inlineStr">
        <is>
          <t>H-1101A/B – Duty / standby water-bath gas heaters with outlet temperature control TIC-1101</t>
        </is>
      </c>
      <c r="R14" s="19" t="inlineStr">
        <is>
          <t>No</t>
        </is>
      </c>
      <c r="S14" s="4" t="inlineStr">
        <is>
          <t>TT-1101 – Low gas outlet temperature alarm TSL-1101 (+5 °C) with operator response</t>
        </is>
      </c>
      <c r="T14" s="19" t="inlineStr">
        <is>
          <t>No</t>
        </is>
      </c>
      <c r="U14" s="4" t="inlineStr">
        <is>
          <t>H-1101A/B – Heater burner management: flame failure, low bath level LSLL and high bath temperature TSHH trips</t>
        </is>
      </c>
      <c r="V14" s="19" t="inlineStr">
        <is>
          <t>No</t>
        </is>
      </c>
      <c r="W14" s="4" t="n"/>
      <c r="X14" s="19" t="n"/>
      <c r="Y14" s="4" t="n"/>
      <c r="Z14" s="19" t="n"/>
      <c r="AA14" s="4" t="n"/>
      <c r="AB14" s="19" t="n"/>
      <c r="AC14" s="5">
        <f>_xlfn.TEXTJOIN(CHAR(10),TRUE,IF(Q14="","","• "&amp;Q14&amp;IF(R14="Yes","  [IPL]","")),IF(S14="","","• "&amp;S14&amp;IF(T14="Yes","  [IPL]","")),IF(U14="","","• "&amp;U14&amp;IF(V14="Yes","  [IPL]","")),IF(W14="","","• "&amp;W14&amp;IF(X14="Yes","  [IPL]","")),IF(Y14="","","• "&amp;Y14&amp;IF(Z14="Yes","  [IPL]","")),IF(AA14="","","• "&amp;AA14&amp;IF(AB14="Yes","  [IPL]","")))</f>
        <v/>
      </c>
      <c r="AD14" s="30">
        <f>IF(AC14="","",COUNTIF(Q14:AB14,"Yes"))</f>
        <v/>
      </c>
      <c r="AE14" s="19" t="inlineStr">
        <is>
          <t>4 – Major</t>
        </is>
      </c>
      <c r="AF14" s="19" t="inlineStr">
        <is>
          <t>2 – Unlikely</t>
        </is>
      </c>
      <c r="AG14" s="30">
        <f>IF(OR(AE14="",AF14=""),"",INDEX(RiskGrid,6-VALUE(LEFT(AE14,1)),VALUE(LEFT(AF14,1))))</f>
        <v/>
      </c>
      <c r="AH14" s="30">
        <f>IF(AG14="","",IF(AG14&gt;=BandVH,"Very High",IF(AG14&gt;=BandHigh,"High",IF(AG14&gt;=BandMed,"Medium","Low"))))</f>
        <v/>
      </c>
      <c r="AI14" s="4" t="inlineStr">
        <is>
          <t>R-004 Confirm the minimum PRS outlet gas temperature against the MDMT of the downstream piping; add automatic change-over to the standby heater on TSL-1101 and an alarm on heater trip.</t>
        </is>
      </c>
      <c r="AJ14" s="4" t="inlineStr">
        <is>
          <t>Process engineer</t>
        </is>
      </c>
    </row>
    <row r="15" ht="90" customHeight="1">
      <c r="A15" s="30">
        <f>IF(B15="","",COUNTIF(B$14:B15,"?*"))</f>
        <v/>
      </c>
      <c r="B15" s="4" t="inlineStr">
        <is>
          <t>Pressure</t>
        </is>
      </c>
      <c r="C15" s="19" t="inlineStr">
        <is>
          <t>MORE</t>
        </is>
      </c>
      <c r="D15" s="5">
        <f>IF(OR(B15="",C15=""),"",UPPER(LEFT(C15,1))&amp;LOWER(MID(C15,2,30))&amp;" "&amp;LOWER(LEFT(B15,1))&amp;MID(B15,2,200))</f>
        <v/>
      </c>
      <c r="E15" s="4" t="inlineStr">
        <is>
          <t>Failed-open pressure control valves (PCVs)</t>
        </is>
      </c>
      <c r="F15" s="4" t="inlineStr">
        <is>
          <t>Regulator sensing line blocked or isolated</t>
        </is>
      </c>
      <c r="G15" s="4" t="inlineStr">
        <is>
          <t>Ice / debris in the active regulator pilot</t>
        </is>
      </c>
      <c r="H15" s="4" t="n"/>
      <c r="I15" s="4" t="n"/>
      <c r="J15" s="4" t="n"/>
      <c r="K15" s="5">
        <f>_xlfn.TEXTJOIN(CHAR(10),TRUE,IF(E15="","","• "&amp;E15),IF(F15="","","• "&amp;F15),IF(G15="","","• "&amp;G15),IF(H15="","","• "&amp;H15),IF(I15="","","• "&amp;I15),IF(J15="","","• "&amp;J15))</f>
        <v/>
      </c>
      <c r="L15" s="4" t="inlineStr">
        <is>
          <t>Overpressure of the whole MP network (inlet up to 42 barg vs 10 barg design): flange leaks and possible rupture across the site, overpressure of district stations and burner trains – fires / explosions at several locations
[N02-02] Quantified: fault tree FT-GN-01 – top = MP header overpressure 3.6E-5 /yr; gate G-002 (monitor + slam-shut) PFDavg 2.0E-4; bow tie BT-GN-01 threat T1. PSV-1105 is a token relief and is not credited. Likelihood after safeguards from the calculated frequency 3.6E-5 /yr.</t>
        </is>
      </c>
      <c r="M15" s="19" t="inlineStr">
        <is>
          <t>5 – Catastrophic</t>
        </is>
      </c>
      <c r="N15" s="19" t="inlineStr">
        <is>
          <t>4 – Likely</t>
        </is>
      </c>
      <c r="O15" s="30">
        <f>IF(OR(M15="",N15=""),"",INDEX(RiskGrid,6-VALUE(LEFT(M15,1)),VALUE(LEFT(N15,1))))</f>
        <v/>
      </c>
      <c r="P15" s="30">
        <f>IF(O15="","",IF(O15&gt;=BandVH,"Very High",IF(O15&gt;=BandHigh,"High",IF(O15&gt;=BandMed,"Medium","Low"))))</f>
        <v/>
      </c>
      <c r="Q15" s="4" t="inlineStr">
        <is>
          <t>PCV-1103A/B – Monitor regulator takes over on active-regulator failure (set 7.5 barg)</t>
        </is>
      </c>
      <c r="R15" s="19" t="inlineStr">
        <is>
          <t>Yes</t>
        </is>
      </c>
      <c r="S15" s="4" t="inlineStr">
        <is>
          <t>SSV-1102A/B – Slam-shut valve with over-pressure shut-off (OPSO 8.5 barg) on each regulator run</t>
        </is>
      </c>
      <c r="T15" s="19" t="inlineStr">
        <is>
          <t>Yes</t>
        </is>
      </c>
      <c r="U15" s="4" t="inlineStr">
        <is>
          <t>PSV-1105 – Token relief valve (9.0 barg) to VS-1301 – lock-up creep / small leaks only, not sized for full regulator failure</t>
        </is>
      </c>
      <c r="V15" s="19" t="inlineStr">
        <is>
          <t>No</t>
        </is>
      </c>
      <c r="W15" s="4" t="inlineStr">
        <is>
          <t>PT-1106 – PRS outlet high-pressure alarm PAH-1106 (7.8 barg) with operator response</t>
        </is>
      </c>
      <c r="X15" s="19" t="inlineStr">
        <is>
          <t>No</t>
        </is>
      </c>
      <c r="Y15" s="4" t="inlineStr">
        <is>
          <t>Regulator-run bypass valves car-sealed / locked closed (CSC register)</t>
        </is>
      </c>
      <c r="Z15" s="19" t="inlineStr">
        <is>
          <t>No</t>
        </is>
      </c>
      <c r="AA15" s="4" t="n"/>
      <c r="AB15" s="19" t="n"/>
      <c r="AC15" s="5">
        <f>_xlfn.TEXTJOIN(CHAR(10),TRUE,IF(Q15="","","• "&amp;Q15&amp;IF(R15="Yes","  [IPL]","")),IF(S15="","","• "&amp;S15&amp;IF(T15="Yes","  [IPL]","")),IF(U15="","","• "&amp;U15&amp;IF(V15="Yes","  [IPL]","")),IF(W15="","","• "&amp;W15&amp;IF(X15="Yes","  [IPL]","")),IF(Y15="","","• "&amp;Y15&amp;IF(Z15="Yes","  [IPL]","")),IF(AA15="","","• "&amp;AA15&amp;IF(AB15="Yes","  [IPL]","")))</f>
        <v/>
      </c>
      <c r="AD15" s="30">
        <f>IF(AC15="","",COUNTIF(Q15:AB15,"Yes"))</f>
        <v/>
      </c>
      <c r="AE15" s="19" t="inlineStr">
        <is>
          <t>5 – Catastrophic</t>
        </is>
      </c>
      <c r="AF15" s="19" t="inlineStr">
        <is>
          <t>1 – Rare</t>
        </is>
      </c>
      <c r="AG15" s="30">
        <f>IF(OR(AE15="",AF15=""),"",INDEX(RiskGrid,6-VALUE(LEFT(AE15,1)),VALUE(LEFT(AF15,1))))</f>
        <v/>
      </c>
      <c r="AH15" s="30">
        <f>IF(AG15="","",IF(AG15&gt;=BandVH,"Very High",IF(AG15&gt;=BandHigh,"High",IF(AG15&gt;=BandMed,"Medium","Low"))))</f>
        <v/>
      </c>
      <c r="AI15" s="4" t="inlineStr">
        <is>
          <t>R-002 Confirm and record PRS-1 set-point staggering (active 7.0 / monitor 7.5 / SSV OPSO 8.5 / PSV-1105 9.0 barg; MP design 10 barg) in the PRS data sheet; add the regulator-run bypass valves to the car-seal (CSC) register.
R-003 Introduce an annual lock-up / take-over test of monitor regulators PCV-1103A/B and a six-monthly trip test of slam-shut valves SSV-1102A/B – these intervals are the basis of fault tree FT-GN-01 (protection PFDavg 2.0E-4).</t>
        </is>
      </c>
      <c r="AJ15" s="4" t="inlineStr">
        <is>
          <t>Process engineer / Instrument engineer</t>
        </is>
      </c>
    </row>
    <row r="16" ht="90" customHeight="1">
      <c r="A16" s="30">
        <f>IF(B16="","",COUNTIF(B$14:B16,"?*"))</f>
        <v/>
      </c>
      <c r="B16" s="4" t="inlineStr">
        <is>
          <t>Pressure</t>
        </is>
      </c>
      <c r="C16" s="19" t="inlineStr">
        <is>
          <t>LESS</t>
        </is>
      </c>
      <c r="D16" s="5">
        <f>IF(OR(B16="",C16=""),"",UPPER(LEFT(C16,1))&amp;LOWER(MID(C16,2,30))&amp;" "&amp;LOWER(LEFT(B16,1))&amp;MID(B16,2,200))</f>
        <v/>
      </c>
      <c r="E16" s="4" t="inlineStr">
        <is>
          <t>Slam-shut SSV-1102A spurious trip</t>
        </is>
      </c>
      <c r="F16" s="4" t="inlineStr">
        <is>
          <t>Active and monitor regulators fail closed / filter blocked</t>
        </is>
      </c>
      <c r="G16" s="4" t="inlineStr">
        <is>
          <t>Hydrate in regulator pilot</t>
        </is>
      </c>
      <c r="H16" s="4" t="n"/>
      <c r="I16" s="4" t="n"/>
      <c r="J16" s="4" t="n"/>
      <c r="K16" s="5">
        <f>_xlfn.TEXTJOIN(CHAR(10),TRUE,IF(E16="","","• "&amp;E16),IF(F16="","","• "&amp;F16),IF(G16="","","• "&amp;G16),IF(H16="","","• "&amp;H16),IF(I16="","","• "&amp;I16),IF(J16="","","• "&amp;J16))</f>
        <v/>
      </c>
      <c r="L16" s="4" t="inlineStr">
        <is>
          <t>Low header pressure: flame-out at reheat furnace, preheaters and reformer burners; danger on relight if the burner shut-off is not proven (see N06)
[N02-03] Run B takes over automatically if run A closes.</t>
        </is>
      </c>
      <c r="M16" s="19" t="inlineStr">
        <is>
          <t>3 – Moderate</t>
        </is>
      </c>
      <c r="N16" s="19" t="inlineStr">
        <is>
          <t>3 – Possible</t>
        </is>
      </c>
      <c r="O16" s="30">
        <f>IF(OR(M16="",N16=""),"",INDEX(RiskGrid,6-VALUE(LEFT(M16,1)),VALUE(LEFT(N16,1))))</f>
        <v/>
      </c>
      <c r="P16" s="30">
        <f>IF(O16="","",IF(O16&gt;=BandVH,"Very High",IF(O16&gt;=BandHigh,"High",IF(O16&gt;=BandMed,"Medium","Low"))))</f>
        <v/>
      </c>
      <c r="Q16" s="4" t="inlineStr">
        <is>
          <t>Standby regulator run B on automatic (set 0.3 bar lower) – takes over if run A closes</t>
        </is>
      </c>
      <c r="R16" s="19" t="inlineStr">
        <is>
          <t>No</t>
        </is>
      </c>
      <c r="S16" s="4" t="inlineStr">
        <is>
          <t>PSLL-2006 / PSLL-4005 – Low-low gas pressure trips in the user burner management systems (reformer, reheat furnace, preheaters)</t>
        </is>
      </c>
      <c r="T16" s="19" t="inlineStr">
        <is>
          <t>Yes</t>
        </is>
      </c>
      <c r="U16" s="4" t="inlineStr">
        <is>
          <t>PT-1210 – MP header low-pressure alarm PAL-1210 (leak / supply-loss indication)</t>
        </is>
      </c>
      <c r="V16" s="19" t="inlineStr">
        <is>
          <t>No</t>
        </is>
      </c>
      <c r="W16" s="4" t="n"/>
      <c r="X16" s="19" t="n"/>
      <c r="Y16" s="4" t="n"/>
      <c r="Z16" s="19" t="n"/>
      <c r="AA16" s="4" t="n"/>
      <c r="AB16" s="19" t="n"/>
      <c r="AC16" s="5">
        <f>_xlfn.TEXTJOIN(CHAR(10),TRUE,IF(Q16="","","• "&amp;Q16&amp;IF(R16="Yes","  [IPL]","")),IF(S16="","","• "&amp;S16&amp;IF(T16="Yes","  [IPL]","")),IF(U16="","","• "&amp;U16&amp;IF(V16="Yes","  [IPL]","")),IF(W16="","","• "&amp;W16&amp;IF(X16="Yes","  [IPL]","")),IF(Y16="","","• "&amp;Y16&amp;IF(Z16="Yes","  [IPL]","")),IF(AA16="","","• "&amp;AA16&amp;IF(AB16="Yes","  [IPL]","")))</f>
        <v/>
      </c>
      <c r="AD16" s="30">
        <f>IF(AC16="","",COUNTIF(Q16:AB16,"Yes"))</f>
        <v/>
      </c>
      <c r="AE16" s="19" t="inlineStr">
        <is>
          <t>3 – Moderate</t>
        </is>
      </c>
      <c r="AF16" s="19" t="inlineStr">
        <is>
          <t>2 – Unlikely</t>
        </is>
      </c>
      <c r="AG16" s="30">
        <f>IF(OR(AE16="",AF16=""),"",INDEX(RiskGrid,6-VALUE(LEFT(AE16,1)),VALUE(LEFT(AF16,1))))</f>
        <v/>
      </c>
      <c r="AH16" s="30">
        <f>IF(AG16="","",IF(AG16&gt;=BandVH,"Very High",IF(AG16&gt;=BandHigh,"High",IF(AG16&gt;=BandMed,"Medium","Low"))))</f>
        <v/>
      </c>
      <c r="AI16" s="4" t="inlineStr">
        <is>
          <t>R-006 Agree a supply-interruption and restoration protocol with the gas supplier: users isolated before re-pressurisation, controlled restoration sequence, BMS re-start only after confirmed header pressure.</t>
        </is>
      </c>
      <c r="AJ16" s="4" t="inlineStr">
        <is>
          <t>Utilities manager</t>
        </is>
      </c>
    </row>
    <row r="17" ht="90" customHeight="1">
      <c r="A17" s="30">
        <f>IF(B17="","",COUNTIF(B$14:B17,"?*"))</f>
        <v/>
      </c>
      <c r="B17" s="4" t="inlineStr">
        <is>
          <t>Flow</t>
        </is>
      </c>
      <c r="C17" s="19" t="inlineStr">
        <is>
          <t>MORE</t>
        </is>
      </c>
      <c r="D17" s="5">
        <f>IF(OR(B17="",C17=""),"",UPPER(LEFT(C17,1))&amp;LOWER(MID(C17,2,30))&amp;" "&amp;LOWER(LEFT(B17,1))&amp;MID(B17,2,200))</f>
        <v/>
      </c>
      <c r="E17" s="4" t="inlineStr">
        <is>
          <t>Control faults – control valve fails open, bypass left open, wrong set point</t>
        </is>
      </c>
      <c r="F17" s="4" t="inlineStr">
        <is>
          <t>All users at maximum firing during DRI module start-up</t>
        </is>
      </c>
      <c r="G17" s="4" t="n"/>
      <c r="H17" s="4" t="n"/>
      <c r="I17" s="4" t="n"/>
      <c r="J17" s="4" t="n"/>
      <c r="K17" s="5">
        <f>_xlfn.TEXTJOIN(CHAR(10),TRUE,IF(E17="","","• "&amp;E17),IF(F17="","","• "&amp;F17),IF(G17="","","• "&amp;G17),IF(H17="","","• "&amp;H17),IF(I17="","","• "&amp;I17),IF(J17="","","• "&amp;J17))</f>
        <v/>
      </c>
      <c r="L17" s="4" t="inlineStr">
        <is>
          <t>Regulators fully open, outlet pressure sags, extra Joule–Thomson cooling, high velocity – noise, erosion and vibration of regulator runs
[N02-04] Operability issue – capacity check in the design basis.</t>
        </is>
      </c>
      <c r="M17" s="19" t="inlineStr">
        <is>
          <t>2 – Minor</t>
        </is>
      </c>
      <c r="N17" s="19" t="inlineStr">
        <is>
          <t>3 – Possible</t>
        </is>
      </c>
      <c r="O17" s="30">
        <f>IF(OR(M17="",N17=""),"",INDEX(RiskGrid,6-VALUE(LEFT(M17,1)),VALUE(LEFT(N17,1))))</f>
        <v/>
      </c>
      <c r="P17" s="30">
        <f>IF(O17="","",IF(O17&gt;=BandVH,"Very High",IF(O17&gt;=BandHigh,"High",IF(O17&gt;=BandMed,"Medium","Low"))))</f>
        <v/>
      </c>
      <c r="Q17" s="4" t="inlineStr">
        <is>
          <t>Standby regulator run B on automatic (set 0.3 bar lower) – takes over if run A closes</t>
        </is>
      </c>
      <c r="R17" s="19" t="inlineStr">
        <is>
          <t>No</t>
        </is>
      </c>
      <c r="S17" s="4" t="inlineStr">
        <is>
          <t>PT-1210 – MP header low-pressure alarm PAL-1210 (leak / supply-loss indication)</t>
        </is>
      </c>
      <c r="T17" s="19" t="inlineStr">
        <is>
          <t>No</t>
        </is>
      </c>
      <c r="U17" s="4" t="n"/>
      <c r="V17" s="19" t="n"/>
      <c r="W17" s="4" t="n"/>
      <c r="X17" s="19" t="n"/>
      <c r="Y17" s="4" t="n"/>
      <c r="Z17" s="19" t="n"/>
      <c r="AA17" s="4" t="n"/>
      <c r="AB17" s="19" t="n"/>
      <c r="AC17" s="5">
        <f>_xlfn.TEXTJOIN(CHAR(10),TRUE,IF(Q17="","","• "&amp;Q17&amp;IF(R17="Yes","  [IPL]","")),IF(S17="","","• "&amp;S17&amp;IF(T17="Yes","  [IPL]","")),IF(U17="","","• "&amp;U17&amp;IF(V17="Yes","  [IPL]","")),IF(W17="","","• "&amp;W17&amp;IF(X17="Yes","  [IPL]","")),IF(Y17="","","• "&amp;Y17&amp;IF(Z17="Yes","  [IPL]","")),IF(AA17="","","• "&amp;AA17&amp;IF(AB17="Yes","  [IPL]","")))</f>
        <v/>
      </c>
      <c r="AD17" s="30">
        <f>IF(AC17="","",COUNTIF(Q17:AB17,"Yes"))</f>
        <v/>
      </c>
      <c r="AE17" s="19" t="inlineStr">
        <is>
          <t>2 – Minor</t>
        </is>
      </c>
      <c r="AF17" s="19" t="inlineStr">
        <is>
          <t>2 – Unlikely</t>
        </is>
      </c>
      <c r="AG17" s="30">
        <f>IF(OR(AE17="",AF17=""),"",INDEX(RiskGrid,6-VALUE(LEFT(AE17,1)),VALUE(LEFT(AF17,1))))</f>
        <v/>
      </c>
      <c r="AH17" s="30">
        <f>IF(AG17="","",IF(AG17&gt;=BandVH,"Very High",IF(AG17&gt;=BandHigh,"High",IF(AG17&gt;=BandMed,"Medium","Low"))))</f>
        <v/>
      </c>
      <c r="AI17" s="4" t="inlineStr"/>
      <c r="AJ17" s="4" t="inlineStr"/>
    </row>
    <row r="18" ht="90" customHeight="1">
      <c r="A18" s="30">
        <f>IF(B18="","",COUNTIF(B$14:B18,"?*"))</f>
        <v/>
      </c>
      <c r="B18" s="4" t="inlineStr">
        <is>
          <t>Process gas (CO, H2 – BFG, COG, LD gas, reducing gas)</t>
        </is>
      </c>
      <c r="C18" s="19" t="inlineStr">
        <is>
          <t>LEAK OF</t>
        </is>
      </c>
      <c r="D18" s="5">
        <f>IF(OR(B18="",C18=""),"",UPPER(LEFT(C18,1))&amp;LOWER(MID(C18,2,30))&amp;" "&amp;LOWER(LEFT(B18,1))&amp;MID(B18,2,200))</f>
        <v/>
      </c>
      <c r="E18" s="4" t="inlineStr">
        <is>
          <t>Flange, valve or seal leak; water-seal blown</t>
        </is>
      </c>
      <c r="F18" s="4" t="inlineStr">
        <is>
          <t>Regulator diaphragm rupture venting through the pilot vent</t>
        </is>
      </c>
      <c r="G18" s="4" t="inlineStr">
        <is>
          <t>Gas detection inoperative or poorly located</t>
        </is>
      </c>
      <c r="H18" s="4" t="n"/>
      <c r="I18" s="4" t="n"/>
      <c r="J18" s="4" t="n"/>
      <c r="K18" s="5">
        <f>_xlfn.TEXTJOIN(CHAR(10),TRUE,IF(E18="","","• "&amp;E18),IF(F18="","","• "&amp;F18),IF(G18="","","• "&amp;G18),IF(H18="","","• "&amp;H18),IF(I18="","","• "&amp;I18),IF(J18="","","• "&amp;J18))</f>
        <v/>
      </c>
      <c r="L18" s="4" t="inlineStr">
        <is>
          <t>Gas accumulates in the partly enclosed shelter – confined explosion; jet fire on the regulator runs (event tree ETA-GN-01)
[N02-05] Bow tie BT-GN-01 threat T6; event tree ETA-GN-01. Likelihood after safeguards from the calculated frequency 4.3E-6 /yr.</t>
        </is>
      </c>
      <c r="M18" s="19" t="inlineStr">
        <is>
          <t>5 – Catastrophic</t>
        </is>
      </c>
      <c r="N18" s="19" t="inlineStr">
        <is>
          <t>3 – Possible</t>
        </is>
      </c>
      <c r="O18" s="30">
        <f>IF(OR(M18="",N18=""),"",INDEX(RiskGrid,6-VALUE(LEFT(M18,1)),VALUE(LEFT(N18,1))))</f>
        <v/>
      </c>
      <c r="P18" s="30">
        <f>IF(O18="","",IF(O18&gt;=BandVH,"Very High",IF(O18&gt;=BandHigh,"High",IF(O18&gt;=BandMed,"Medium","Low"))))</f>
        <v/>
      </c>
      <c r="Q18" s="4" t="inlineStr">
        <is>
          <t>VS-1301 – Regulator pilot / diaphragm vents and PSV discharges piped to vent stack VS-1301 outside the PRS shelter</t>
        </is>
      </c>
      <c r="R18" s="19" t="inlineStr">
        <is>
          <t>No</t>
        </is>
      </c>
      <c r="S18" s="4" t="inlineStr">
        <is>
          <t>PRS shelter natural ventilation (louvres at high and low level)</t>
        </is>
      </c>
      <c r="T18" s="19" t="inlineStr">
        <is>
          <t>No</t>
        </is>
      </c>
      <c r="U18" s="4" t="inlineStr">
        <is>
          <t>UCP-1000 – Gas detection GD-1110A/B/C (2oo3) and ESD isolation of the HP / MP system – ESDV-1001 and ESDV-1107 close (SIS UCP-1000)</t>
        </is>
      </c>
      <c r="V18" s="19" t="inlineStr">
        <is>
          <t>Yes</t>
        </is>
      </c>
      <c r="W18" s="4" t="inlineStr">
        <is>
          <t>Ignition source control – hazardous area classification with Ex equipment, hot-work permit, vehicle control</t>
        </is>
      </c>
      <c r="X18" s="19" t="inlineStr">
        <is>
          <t>No</t>
        </is>
      </c>
      <c r="Y18" s="4" t="n"/>
      <c r="Z18" s="19" t="n"/>
      <c r="AA18" s="4" t="n"/>
      <c r="AB18" s="19" t="n"/>
      <c r="AC18" s="5">
        <f>_xlfn.TEXTJOIN(CHAR(10),TRUE,IF(Q18="","","• "&amp;Q18&amp;IF(R18="Yes","  [IPL]","")),IF(S18="","","• "&amp;S18&amp;IF(T18="Yes","  [IPL]","")),IF(U18="","","• "&amp;U18&amp;IF(V18="Yes","  [IPL]","")),IF(W18="","","• "&amp;W18&amp;IF(X18="Yes","  [IPL]","")),IF(Y18="","","• "&amp;Y18&amp;IF(Z18="Yes","  [IPL]","")),IF(AA18="","","• "&amp;AA18&amp;IF(AB18="Yes","  [IPL]","")))</f>
        <v/>
      </c>
      <c r="AD18" s="30">
        <f>IF(AC18="","",COUNTIF(Q18:AB18,"Yes"))</f>
        <v/>
      </c>
      <c r="AE18" s="19" t="inlineStr">
        <is>
          <t>5 – Catastrophic</t>
        </is>
      </c>
      <c r="AF18" s="19" t="inlineStr">
        <is>
          <t>1 – Rare</t>
        </is>
      </c>
      <c r="AG18" s="30">
        <f>IF(OR(AE18="",AF18=""),"",INDEX(RiskGrid,6-VALUE(LEFT(AE18,1)),VALUE(LEFT(AF18,1))))</f>
        <v/>
      </c>
      <c r="AH18" s="30">
        <f>IF(AG18="","",IF(AG18&gt;=BandVH,"Very High",IF(AG18&gt;=BandHigh,"High",IF(AG18&gt;=BandMed,"Medium","Low"))))</f>
        <v/>
      </c>
      <c r="AI18" s="4" t="inlineStr">
        <is>
          <t>R-001 Verify the HP / MP gas detection &amp; ESD function against the required risk reduction. Fault tree FT-GN-02 gives PFDavg 2.6E-2 (RRF 38); test the effect of six-monthly partial-stroke testing of ESDV-1001 / ESDV-1107 and quarterly detector bump tests (FMECA S01 / S08).
R-005 Route all regulator pilot / diaphragm vents and the PSV-1105 discharge to vent stack VS-1301 outside the PRS shelter; confirm by dispersion check that the vent is clear of heater flues and platforms.</t>
        </is>
      </c>
      <c r="AJ18" s="4" t="inlineStr">
        <is>
          <t>Instrument engineer / Process engineer</t>
        </is>
      </c>
    </row>
    <row r="19" ht="90" customHeight="1">
      <c r="A19" s="30">
        <f>IF(B19="","",COUNTIF(B$14:B19,"?*"))</f>
        <v/>
      </c>
      <c r="B19" s="4" t="inlineStr">
        <is>
          <t>Temperature</t>
        </is>
      </c>
      <c r="C19" s="19" t="inlineStr">
        <is>
          <t>MORE</t>
        </is>
      </c>
      <c r="D19" s="5">
        <f>IF(OR(B19="",C19=""),"",UPPER(LEFT(C19,1))&amp;LOWER(MID(C19,2,30))&amp;" "&amp;LOWER(LEFT(B19,1))&amp;MID(B19,2,200))</f>
        <v/>
      </c>
      <c r="E19" s="4" t="inlineStr">
        <is>
          <t>Defective control (TIC fault, heater fails on)</t>
        </is>
      </c>
      <c r="F19" s="4" t="inlineStr">
        <is>
          <t>Low bath level (evaporation, leak)</t>
        </is>
      </c>
      <c r="G19" s="4" t="inlineStr">
        <is>
          <t>Gas coil leak into the water bath</t>
        </is>
      </c>
      <c r="H19" s="4" t="n"/>
      <c r="I19" s="4" t="n"/>
      <c r="J19" s="4" t="n"/>
      <c r="K19" s="5">
        <f>_xlfn.TEXTJOIN(CHAR(10),TRUE,IF(E19="","","• "&amp;E19),IF(F19="","","• "&amp;F19),IF(G19="","","• "&amp;G19),IF(H19="","","• "&amp;H19),IF(I19="","","• "&amp;I19),IF(J19="","","• "&amp;J19))</f>
        <v/>
      </c>
      <c r="L19" s="4" t="inlineStr">
        <is>
          <t>Fire-tube overheating and failure – heater fire; a gas-coil leak vents gas through the bath vent next to the firebox – fire / explosion at the heater
[N02-06] FMECA S02 H-1101A.</t>
        </is>
      </c>
      <c r="M19" s="19" t="inlineStr">
        <is>
          <t>4 – Major</t>
        </is>
      </c>
      <c r="N19" s="19" t="inlineStr">
        <is>
          <t>3 – Possible</t>
        </is>
      </c>
      <c r="O19" s="30">
        <f>IF(OR(M19="",N19=""),"",INDEX(RiskGrid,6-VALUE(LEFT(M19,1)),VALUE(LEFT(N19,1))))</f>
        <v/>
      </c>
      <c r="P19" s="30">
        <f>IF(O19="","",IF(O19&gt;=BandVH,"Very High",IF(O19&gt;=BandHigh,"High",IF(O19&gt;=BandMed,"Medium","Low"))))</f>
        <v/>
      </c>
      <c r="Q19" s="4" t="inlineStr">
        <is>
          <t>H-1101A/B – Heater burner management: flame failure, low bath level LSLL and high bath temperature TSHH trips</t>
        </is>
      </c>
      <c r="R19" s="19" t="inlineStr">
        <is>
          <t>Yes</t>
        </is>
      </c>
      <c r="S19" s="4" t="inlineStr">
        <is>
          <t>Operator rounds with portable gas detector; annual acoustic leak survey</t>
        </is>
      </c>
      <c r="T19" s="19" t="inlineStr">
        <is>
          <t>No</t>
        </is>
      </c>
      <c r="U19" s="4" t="n"/>
      <c r="V19" s="19" t="n"/>
      <c r="W19" s="4" t="n"/>
      <c r="X19" s="19" t="n"/>
      <c r="Y19" s="4" t="n"/>
      <c r="Z19" s="19" t="n"/>
      <c r="AA19" s="4" t="n"/>
      <c r="AB19" s="19" t="n"/>
      <c r="AC19" s="5">
        <f>_xlfn.TEXTJOIN(CHAR(10),TRUE,IF(Q19="","","• "&amp;Q19&amp;IF(R19="Yes","  [IPL]","")),IF(S19="","","• "&amp;S19&amp;IF(T19="Yes","  [IPL]","")),IF(U19="","","• "&amp;U19&amp;IF(V19="Yes","  [IPL]","")),IF(W19="","","• "&amp;W19&amp;IF(X19="Yes","  [IPL]","")),IF(Y19="","","• "&amp;Y19&amp;IF(Z19="Yes","  [IPL]","")),IF(AA19="","","• "&amp;AA19&amp;IF(AB19="Yes","  [IPL]","")))</f>
        <v/>
      </c>
      <c r="AD19" s="30">
        <f>IF(AC19="","",COUNTIF(Q19:AB19,"Yes"))</f>
        <v/>
      </c>
      <c r="AE19" s="19" t="inlineStr">
        <is>
          <t>4 – Major</t>
        </is>
      </c>
      <c r="AF19" s="19" t="inlineStr">
        <is>
          <t>2 – Unlikely</t>
        </is>
      </c>
      <c r="AG19" s="30">
        <f>IF(OR(AE19="",AF19=""),"",INDEX(RiskGrid,6-VALUE(LEFT(AE19,1)),VALUE(LEFT(AF19,1))))</f>
        <v/>
      </c>
      <c r="AH19" s="30">
        <f>IF(AG19="","",IF(AG19&gt;=BandVH,"Very High",IF(AG19&gt;=BandHigh,"High",IF(AG19&gt;=BandMed,"Medium","Low"))))</f>
        <v/>
      </c>
      <c r="AI19" s="4" t="inlineStr">
        <is>
          <t>R-004 Confirm the minimum PRS outlet gas temperature against the MDMT of the downstream piping; add automatic change-over to the standby heater on TSL-1101 and an alarm on heater trip.</t>
        </is>
      </c>
      <c r="AJ19" s="4" t="inlineStr">
        <is>
          <t>Process engineer</t>
        </is>
      </c>
    </row>
    <row r="20" ht="90" customHeight="1">
      <c r="A20" s="30">
        <f>IF(B20="","",COUNTIF(B$14:B20,"?*"))</f>
        <v/>
      </c>
      <c r="B20" s="4" t="inlineStr">
        <is>
          <t>Relief</t>
        </is>
      </c>
      <c r="C20" s="19" t="inlineStr">
        <is>
          <t>INADEQUATE</t>
        </is>
      </c>
      <c r="D20" s="5">
        <f>IF(OR(B20="",C20=""),"",UPPER(LEFT(C20,1))&amp;LOWER(MID(C20,2,30))&amp;" "&amp;LOWER(LEFT(B20,1))&amp;MID(B20,2,200))</f>
        <v/>
      </c>
      <c r="E20" s="4" t="inlineStr">
        <is>
          <t>Relief philosophy not defined for all scenarios (fire, blocked outlet, runaway, tube rupture)</t>
        </is>
      </c>
      <c r="F20" s="4" t="inlineStr">
        <is>
          <t>Relief valve discharge location unsafe (to work areas, ignition sources)</t>
        </is>
      </c>
      <c r="G20" s="4" t="n"/>
      <c r="H20" s="4" t="n"/>
      <c r="I20" s="4" t="n"/>
      <c r="J20" s="4" t="n"/>
      <c r="K20" s="5">
        <f>_xlfn.TEXTJOIN(CHAR(10),TRUE,IF(E20="","","• "&amp;E20),IF(F20="","","• "&amp;F20),IF(G20="","","• "&amp;G20),IF(H20="","","• "&amp;H20),IF(I20="","","• "&amp;I20),IF(J20="","","• "&amp;J20))</f>
        <v/>
      </c>
      <c r="L20" s="4" t="inlineStr">
        <is>
          <t>PSV-1105 is a token relief – full-flow regulator failure relies on the monitor regulator and slam-shut; vent discharge near the heaters could ignite
[N02-07] Accepted design practice for gas pressure regulating stations: two independent overpressure protections instead of full-flow relief.</t>
        </is>
      </c>
      <c r="M20" s="19" t="inlineStr">
        <is>
          <t>5 – Catastrophic</t>
        </is>
      </c>
      <c r="N20" s="19" t="inlineStr">
        <is>
          <t>2 – Unlikely</t>
        </is>
      </c>
      <c r="O20" s="30">
        <f>IF(OR(M20="",N20=""),"",INDEX(RiskGrid,6-VALUE(LEFT(M20,1)),VALUE(LEFT(N20,1))))</f>
        <v/>
      </c>
      <c r="P20" s="30">
        <f>IF(O20="","",IF(O20&gt;=BandVH,"Very High",IF(O20&gt;=BandHigh,"High",IF(O20&gt;=BandMed,"Medium","Low"))))</f>
        <v/>
      </c>
      <c r="Q20" s="4" t="inlineStr">
        <is>
          <t>PCV-1103A/B – Monitor regulator takes over on active-regulator failure (set 7.5 barg)</t>
        </is>
      </c>
      <c r="R20" s="19" t="inlineStr">
        <is>
          <t>Yes</t>
        </is>
      </c>
      <c r="S20" s="4" t="inlineStr">
        <is>
          <t>SSV-1102A/B – Slam-shut valve with over-pressure shut-off (OPSO 8.5 barg) on each regulator run</t>
        </is>
      </c>
      <c r="T20" s="19" t="inlineStr">
        <is>
          <t>Yes</t>
        </is>
      </c>
      <c r="U20" s="4" t="inlineStr">
        <is>
          <t>VS-1301 – Vent stack VS-1301 3 m above the nearest platform, away from heater flues; N2 snuffing</t>
        </is>
      </c>
      <c r="V20" s="19" t="inlineStr">
        <is>
          <t>No</t>
        </is>
      </c>
      <c r="W20" s="4" t="n"/>
      <c r="X20" s="19" t="n"/>
      <c r="Y20" s="4" t="n"/>
      <c r="Z20" s="19" t="n"/>
      <c r="AA20" s="4" t="n"/>
      <c r="AB20" s="19" t="n"/>
      <c r="AC20" s="5">
        <f>_xlfn.TEXTJOIN(CHAR(10),TRUE,IF(Q20="","","• "&amp;Q20&amp;IF(R20="Yes","  [IPL]","")),IF(S20="","","• "&amp;S20&amp;IF(T20="Yes","  [IPL]","")),IF(U20="","","• "&amp;U20&amp;IF(V20="Yes","  [IPL]","")),IF(W20="","","• "&amp;W20&amp;IF(X20="Yes","  [IPL]","")),IF(Y20="","","• "&amp;Y20&amp;IF(Z20="Yes","  [IPL]","")),IF(AA20="","","• "&amp;AA20&amp;IF(AB20="Yes","  [IPL]","")))</f>
        <v/>
      </c>
      <c r="AD20" s="30">
        <f>IF(AC20="","",COUNTIF(Q20:AB20,"Yes"))</f>
        <v/>
      </c>
      <c r="AE20" s="19" t="inlineStr">
        <is>
          <t>5 – Catastrophic</t>
        </is>
      </c>
      <c r="AF20" s="19" t="inlineStr">
        <is>
          <t>1 – Rare</t>
        </is>
      </c>
      <c r="AG20" s="30">
        <f>IF(OR(AE20="",AF20=""),"",INDEX(RiskGrid,6-VALUE(LEFT(AE20,1)),VALUE(LEFT(AF20,1))))</f>
        <v/>
      </c>
      <c r="AH20" s="30">
        <f>IF(AG20="","",IF(AG20&gt;=BandVH,"Very High",IF(AG20&gt;=BandHigh,"High",IF(AG20&gt;=BandMed,"Medium","Low"))))</f>
        <v/>
      </c>
      <c r="AI20" s="4" t="inlineStr">
        <is>
          <t>R-002 Confirm and record PRS-1 set-point staggering (active 7.0 / monitor 7.5 / SSV OPSO 8.5 / PSV-1105 9.0 barg; MP design 10 barg) in the PRS data sheet; add the regulator-run bypass valves to the car-seal (CSC) register.
R-005 Route all regulator pilot / diaphragm vents and the PSV-1105 discharge to vent stack VS-1301 outside the PRS shelter; confirm by dispersion check that the vent is clear of heater flues and platforms.</t>
        </is>
      </c>
      <c r="AJ20" s="4" t="inlineStr">
        <is>
          <t>Process engineer</t>
        </is>
      </c>
    </row>
    <row r="21">
      <c r="A21" s="30">
        <f>IF(B21="","",COUNTIF(B$14:B21,"?*"))</f>
        <v/>
      </c>
      <c r="B21" s="4" t="n"/>
      <c r="C21" s="19" t="n"/>
      <c r="D21" s="5">
        <f>IF(OR(B21="",C21=""),"",UPPER(LEFT(C21,1))&amp;LOWER(MID(C21,2,30))&amp;" "&amp;LOWER(LEFT(B21,1))&amp;MID(B21,2,200))</f>
        <v/>
      </c>
      <c r="E21" s="4" t="n"/>
      <c r="F21" s="4" t="n"/>
      <c r="G21" s="4" t="n"/>
      <c r="H21" s="4" t="n"/>
      <c r="I21" s="4" t="n"/>
      <c r="J21" s="4" t="n"/>
      <c r="K21" s="5">
        <f>_xlfn.TEXTJOIN(CHAR(10),TRUE,IF(E21="","","• "&amp;E21),IF(F21="","","• "&amp;F21),IF(G21="","","• "&amp;G21),IF(H21="","","• "&amp;H21),IF(I21="","","• "&amp;I21),IF(J21="","","• "&amp;J21))</f>
        <v/>
      </c>
      <c r="L21" s="4" t="n"/>
      <c r="M21" s="19" t="n"/>
      <c r="N21" s="19" t="n"/>
      <c r="O21" s="30">
        <f>IF(OR(M21="",N21=""),"",INDEX(RiskGrid,6-VALUE(LEFT(M21,1)),VALUE(LEFT(N21,1))))</f>
        <v/>
      </c>
      <c r="P21" s="30">
        <f>IF(O21="","",IF(O21&gt;=BandVH,"Very High",IF(O21&gt;=BandHigh,"High",IF(O21&gt;=BandMed,"Medium","Low"))))</f>
        <v/>
      </c>
      <c r="Q21" s="4" t="n"/>
      <c r="R21" s="19" t="n"/>
      <c r="S21" s="4" t="n"/>
      <c r="T21" s="19" t="n"/>
      <c r="U21" s="4" t="n"/>
      <c r="V21" s="19" t="n"/>
      <c r="W21" s="4" t="n"/>
      <c r="X21" s="19" t="n"/>
      <c r="Y21" s="4" t="n"/>
      <c r="Z21" s="19" t="n"/>
      <c r="AA21" s="4" t="n"/>
      <c r="AB21" s="19" t="n"/>
      <c r="AC21" s="5">
        <f>_xlfn.TEXTJOIN(CHAR(10),TRUE,IF(Q21="","","• "&amp;Q21&amp;IF(R21="Yes","  [IPL]","")),IF(S21="","","• "&amp;S21&amp;IF(T21="Yes","  [IPL]","")),IF(U21="","","• "&amp;U21&amp;IF(V21="Yes","  [IPL]","")),IF(W21="","","• "&amp;W21&amp;IF(X21="Yes","  [IPL]","")),IF(Y21="","","• "&amp;Y21&amp;IF(Z21="Yes","  [IPL]","")),IF(AA21="","","• "&amp;AA21&amp;IF(AB21="Yes","  [IPL]","")))</f>
        <v/>
      </c>
      <c r="AD21" s="30">
        <f>IF(AC21="","",COUNTIF(Q21:AB21,"Yes"))</f>
        <v/>
      </c>
      <c r="AE21" s="19" t="n"/>
      <c r="AF21" s="19" t="n"/>
      <c r="AG21" s="30">
        <f>IF(OR(AE21="",AF21=""),"",INDEX(RiskGrid,6-VALUE(LEFT(AE21,1)),VALUE(LEFT(AF21,1))))</f>
        <v/>
      </c>
      <c r="AH21" s="30">
        <f>IF(AG21="","",IF(AG21&gt;=BandVH,"Very High",IF(AG21&gt;=BandHigh,"High",IF(AG21&gt;=BandMed,"Medium","Low"))))</f>
        <v/>
      </c>
      <c r="AI21" s="4" t="n"/>
      <c r="AJ21" s="4" t="n"/>
    </row>
    <row r="22">
      <c r="A22" s="30">
        <f>IF(B22="","",COUNTIF(B$14:B22,"?*"))</f>
        <v/>
      </c>
      <c r="B22" s="4" t="n"/>
      <c r="C22" s="19" t="n"/>
      <c r="D22" s="5">
        <f>IF(OR(B22="",C22=""),"",UPPER(LEFT(C22,1))&amp;LOWER(MID(C22,2,30))&amp;" "&amp;LOWER(LEFT(B22,1))&amp;MID(B22,2,200))</f>
        <v/>
      </c>
      <c r="E22" s="4" t="n"/>
      <c r="F22" s="4" t="n"/>
      <c r="G22" s="4" t="n"/>
      <c r="H22" s="4" t="n"/>
      <c r="I22" s="4" t="n"/>
      <c r="J22" s="4" t="n"/>
      <c r="K22" s="5">
        <f>_xlfn.TEXTJOIN(CHAR(10),TRUE,IF(E22="","","• "&amp;E22),IF(F22="","","• "&amp;F22),IF(G22="","","• "&amp;G22),IF(H22="","","• "&amp;H22),IF(I22="","","• "&amp;I22),IF(J22="","","• "&amp;J22))</f>
        <v/>
      </c>
      <c r="L22" s="4" t="n"/>
      <c r="M22" s="19" t="n"/>
      <c r="N22" s="19" t="n"/>
      <c r="O22" s="30">
        <f>IF(OR(M22="",N22=""),"",INDEX(RiskGrid,6-VALUE(LEFT(M22,1)),VALUE(LEFT(N22,1))))</f>
        <v/>
      </c>
      <c r="P22" s="30">
        <f>IF(O22="","",IF(O22&gt;=BandVH,"Very High",IF(O22&gt;=BandHigh,"High",IF(O22&gt;=BandMed,"Medium","Low"))))</f>
        <v/>
      </c>
      <c r="Q22" s="4" t="n"/>
      <c r="R22" s="19" t="n"/>
      <c r="S22" s="4" t="n"/>
      <c r="T22" s="19" t="n"/>
      <c r="U22" s="4" t="n"/>
      <c r="V22" s="19" t="n"/>
      <c r="W22" s="4" t="n"/>
      <c r="X22" s="19" t="n"/>
      <c r="Y22" s="4" t="n"/>
      <c r="Z22" s="19" t="n"/>
      <c r="AA22" s="4" t="n"/>
      <c r="AB22" s="19" t="n"/>
      <c r="AC22" s="5">
        <f>_xlfn.TEXTJOIN(CHAR(10),TRUE,IF(Q22="","","• "&amp;Q22&amp;IF(R22="Yes","  [IPL]","")),IF(S22="","","• "&amp;S22&amp;IF(T22="Yes","  [IPL]","")),IF(U22="","","• "&amp;U22&amp;IF(V22="Yes","  [IPL]","")),IF(W22="","","• "&amp;W22&amp;IF(X22="Yes","  [IPL]","")),IF(Y22="","","• "&amp;Y22&amp;IF(Z22="Yes","  [IPL]","")),IF(AA22="","","• "&amp;AA22&amp;IF(AB22="Yes","  [IPL]","")))</f>
        <v/>
      </c>
      <c r="AD22" s="30">
        <f>IF(AC22="","",COUNTIF(Q22:AB22,"Yes"))</f>
        <v/>
      </c>
      <c r="AE22" s="19" t="n"/>
      <c r="AF22" s="19" t="n"/>
      <c r="AG22" s="30">
        <f>IF(OR(AE22="",AF22=""),"",INDEX(RiskGrid,6-VALUE(LEFT(AE22,1)),VALUE(LEFT(AF22,1))))</f>
        <v/>
      </c>
      <c r="AH22" s="30">
        <f>IF(AG22="","",IF(AG22&gt;=BandVH,"Very High",IF(AG22&gt;=BandHigh,"High",IF(AG22&gt;=BandMed,"Medium","Low"))))</f>
        <v/>
      </c>
      <c r="AI22" s="4" t="n"/>
      <c r="AJ22" s="4" t="n"/>
    </row>
    <row r="23">
      <c r="A23" s="30">
        <f>IF(B23="","",COUNTIF(B$14:B23,"?*"))</f>
        <v/>
      </c>
      <c r="B23" s="4" t="n"/>
      <c r="C23" s="19" t="n"/>
      <c r="D23" s="5">
        <f>IF(OR(B23="",C23=""),"",UPPER(LEFT(C23,1))&amp;LOWER(MID(C23,2,30))&amp;" "&amp;LOWER(LEFT(B23,1))&amp;MID(B23,2,200))</f>
        <v/>
      </c>
      <c r="E23" s="4" t="n"/>
      <c r="F23" s="4" t="n"/>
      <c r="G23" s="4" t="n"/>
      <c r="H23" s="4" t="n"/>
      <c r="I23" s="4" t="n"/>
      <c r="J23" s="4" t="n"/>
      <c r="K23" s="5">
        <f>_xlfn.TEXTJOIN(CHAR(10),TRUE,IF(E23="","","• "&amp;E23),IF(F23="","","• "&amp;F23),IF(G23="","","• "&amp;G23),IF(H23="","","• "&amp;H23),IF(I23="","","• "&amp;I23),IF(J23="","","• "&amp;J23))</f>
        <v/>
      </c>
      <c r="L23" s="4" t="n"/>
      <c r="M23" s="19" t="n"/>
      <c r="N23" s="19" t="n"/>
      <c r="O23" s="30">
        <f>IF(OR(M23="",N23=""),"",INDEX(RiskGrid,6-VALUE(LEFT(M23,1)),VALUE(LEFT(N23,1))))</f>
        <v/>
      </c>
      <c r="P23" s="30">
        <f>IF(O23="","",IF(O23&gt;=BandVH,"Very High",IF(O23&gt;=BandHigh,"High",IF(O23&gt;=BandMed,"Medium","Low"))))</f>
        <v/>
      </c>
      <c r="Q23" s="4" t="n"/>
      <c r="R23" s="19" t="n"/>
      <c r="S23" s="4" t="n"/>
      <c r="T23" s="19" t="n"/>
      <c r="U23" s="4" t="n"/>
      <c r="V23" s="19" t="n"/>
      <c r="W23" s="4" t="n"/>
      <c r="X23" s="19" t="n"/>
      <c r="Y23" s="4" t="n"/>
      <c r="Z23" s="19" t="n"/>
      <c r="AA23" s="4" t="n"/>
      <c r="AB23" s="19" t="n"/>
      <c r="AC23" s="5">
        <f>_xlfn.TEXTJOIN(CHAR(10),TRUE,IF(Q23="","","• "&amp;Q23&amp;IF(R23="Yes","  [IPL]","")),IF(S23="","","• "&amp;S23&amp;IF(T23="Yes","  [IPL]","")),IF(U23="","","• "&amp;U23&amp;IF(V23="Yes","  [IPL]","")),IF(W23="","","• "&amp;W23&amp;IF(X23="Yes","  [IPL]","")),IF(Y23="","","• "&amp;Y23&amp;IF(Z23="Yes","  [IPL]","")),IF(AA23="","","• "&amp;AA23&amp;IF(AB23="Yes","  [IPL]","")))</f>
        <v/>
      </c>
      <c r="AD23" s="30">
        <f>IF(AC23="","",COUNTIF(Q23:AB23,"Yes"))</f>
        <v/>
      </c>
      <c r="AE23" s="19" t="n"/>
      <c r="AF23" s="19" t="n"/>
      <c r="AG23" s="30">
        <f>IF(OR(AE23="",AF23=""),"",INDEX(RiskGrid,6-VALUE(LEFT(AE23,1)),VALUE(LEFT(AF23,1))))</f>
        <v/>
      </c>
      <c r="AH23" s="30">
        <f>IF(AG23="","",IF(AG23&gt;=BandVH,"Very High",IF(AG23&gt;=BandHigh,"High",IF(AG23&gt;=BandMed,"Medium","Low"))))</f>
        <v/>
      </c>
      <c r="AI23" s="4" t="n"/>
      <c r="AJ23" s="4" t="n"/>
    </row>
    <row r="24">
      <c r="A24" s="30">
        <f>IF(B24="","",COUNTIF(B$14:B24,"?*"))</f>
        <v/>
      </c>
      <c r="B24" s="4" t="n"/>
      <c r="C24" s="19" t="n"/>
      <c r="D24" s="5">
        <f>IF(OR(B24="",C24=""),"",UPPER(LEFT(C24,1))&amp;LOWER(MID(C24,2,30))&amp;" "&amp;LOWER(LEFT(B24,1))&amp;MID(B24,2,200))</f>
        <v/>
      </c>
      <c r="E24" s="4" t="n"/>
      <c r="F24" s="4" t="n"/>
      <c r="G24" s="4" t="n"/>
      <c r="H24" s="4" t="n"/>
      <c r="I24" s="4" t="n"/>
      <c r="J24" s="4" t="n"/>
      <c r="K24" s="5">
        <f>_xlfn.TEXTJOIN(CHAR(10),TRUE,IF(E24="","","• "&amp;E24),IF(F24="","","• "&amp;F24),IF(G24="","","• "&amp;G24),IF(H24="","","• "&amp;H24),IF(I24="","","• "&amp;I24),IF(J24="","","• "&amp;J24))</f>
        <v/>
      </c>
      <c r="L24" s="4" t="n"/>
      <c r="M24" s="19" t="n"/>
      <c r="N24" s="19" t="n"/>
      <c r="O24" s="30">
        <f>IF(OR(M24="",N24=""),"",INDEX(RiskGrid,6-VALUE(LEFT(M24,1)),VALUE(LEFT(N24,1))))</f>
        <v/>
      </c>
      <c r="P24" s="30">
        <f>IF(O24="","",IF(O24&gt;=BandVH,"Very High",IF(O24&gt;=BandHigh,"High",IF(O24&gt;=BandMed,"Medium","Low"))))</f>
        <v/>
      </c>
      <c r="Q24" s="4" t="n"/>
      <c r="R24" s="19" t="n"/>
      <c r="S24" s="4" t="n"/>
      <c r="T24" s="19" t="n"/>
      <c r="U24" s="4" t="n"/>
      <c r="V24" s="19" t="n"/>
      <c r="W24" s="4" t="n"/>
      <c r="X24" s="19" t="n"/>
      <c r="Y24" s="4" t="n"/>
      <c r="Z24" s="19" t="n"/>
      <c r="AA24" s="4" t="n"/>
      <c r="AB24" s="19" t="n"/>
      <c r="AC24" s="5">
        <f>_xlfn.TEXTJOIN(CHAR(10),TRUE,IF(Q24="","","• "&amp;Q24&amp;IF(R24="Yes","  [IPL]","")),IF(S24="","","• "&amp;S24&amp;IF(T24="Yes","  [IPL]","")),IF(U24="","","• "&amp;U24&amp;IF(V24="Yes","  [IPL]","")),IF(W24="","","• "&amp;W24&amp;IF(X24="Yes","  [IPL]","")),IF(Y24="","","• "&amp;Y24&amp;IF(Z24="Yes","  [IPL]","")),IF(AA24="","","• "&amp;AA24&amp;IF(AB24="Yes","  [IPL]","")))</f>
        <v/>
      </c>
      <c r="AD24" s="30">
        <f>IF(AC24="","",COUNTIF(Q24:AB24,"Yes"))</f>
        <v/>
      </c>
      <c r="AE24" s="19" t="n"/>
      <c r="AF24" s="19" t="n"/>
      <c r="AG24" s="30">
        <f>IF(OR(AE24="",AF24=""),"",INDEX(RiskGrid,6-VALUE(LEFT(AE24,1)),VALUE(LEFT(AF24,1))))</f>
        <v/>
      </c>
      <c r="AH24" s="30">
        <f>IF(AG24="","",IF(AG24&gt;=BandVH,"Very High",IF(AG24&gt;=BandHigh,"High",IF(AG24&gt;=BandMed,"Medium","Low"))))</f>
        <v/>
      </c>
      <c r="AI24" s="4" t="n"/>
      <c r="AJ24" s="4" t="n"/>
    </row>
    <row r="25">
      <c r="A25" s="30">
        <f>IF(B25="","",COUNTIF(B$14:B25,"?*"))</f>
        <v/>
      </c>
      <c r="B25" s="4" t="n"/>
      <c r="C25" s="19" t="n"/>
      <c r="D25" s="5">
        <f>IF(OR(B25="",C25=""),"",UPPER(LEFT(C25,1))&amp;LOWER(MID(C25,2,30))&amp;" "&amp;LOWER(LEFT(B25,1))&amp;MID(B25,2,200))</f>
        <v/>
      </c>
      <c r="E25" s="4" t="n"/>
      <c r="F25" s="4" t="n"/>
      <c r="G25" s="4" t="n"/>
      <c r="H25" s="4" t="n"/>
      <c r="I25" s="4" t="n"/>
      <c r="J25" s="4" t="n"/>
      <c r="K25" s="5">
        <f>_xlfn.TEXTJOIN(CHAR(10),TRUE,IF(E25="","","• "&amp;E25),IF(F25="","","• "&amp;F25),IF(G25="","","• "&amp;G25),IF(H25="","","• "&amp;H25),IF(I25="","","• "&amp;I25),IF(J25="","","• "&amp;J25))</f>
        <v/>
      </c>
      <c r="L25" s="4" t="n"/>
      <c r="M25" s="19" t="n"/>
      <c r="N25" s="19" t="n"/>
      <c r="O25" s="30">
        <f>IF(OR(M25="",N25=""),"",INDEX(RiskGrid,6-VALUE(LEFT(M25,1)),VALUE(LEFT(N25,1))))</f>
        <v/>
      </c>
      <c r="P25" s="30">
        <f>IF(O25="","",IF(O25&gt;=BandVH,"Very High",IF(O25&gt;=BandHigh,"High",IF(O25&gt;=BandMed,"Medium","Low"))))</f>
        <v/>
      </c>
      <c r="Q25" s="4" t="n"/>
      <c r="R25" s="19" t="n"/>
      <c r="S25" s="4" t="n"/>
      <c r="T25" s="19" t="n"/>
      <c r="U25" s="4" t="n"/>
      <c r="V25" s="19" t="n"/>
      <c r="W25" s="4" t="n"/>
      <c r="X25" s="19" t="n"/>
      <c r="Y25" s="4" t="n"/>
      <c r="Z25" s="19" t="n"/>
      <c r="AA25" s="4" t="n"/>
      <c r="AB25" s="19" t="n"/>
      <c r="AC25" s="5">
        <f>_xlfn.TEXTJOIN(CHAR(10),TRUE,IF(Q25="","","• "&amp;Q25&amp;IF(R25="Yes","  [IPL]","")),IF(S25="","","• "&amp;S25&amp;IF(T25="Yes","  [IPL]","")),IF(U25="","","• "&amp;U25&amp;IF(V25="Yes","  [IPL]","")),IF(W25="","","• "&amp;W25&amp;IF(X25="Yes","  [IPL]","")),IF(Y25="","","• "&amp;Y25&amp;IF(Z25="Yes","  [IPL]","")),IF(AA25="","","• "&amp;AA25&amp;IF(AB25="Yes","  [IPL]","")))</f>
        <v/>
      </c>
      <c r="AD25" s="30">
        <f>IF(AC25="","",COUNTIF(Q25:AB25,"Yes"))</f>
        <v/>
      </c>
      <c r="AE25" s="19" t="n"/>
      <c r="AF25" s="19" t="n"/>
      <c r="AG25" s="30">
        <f>IF(OR(AE25="",AF25=""),"",INDEX(RiskGrid,6-VALUE(LEFT(AE25,1)),VALUE(LEFT(AF25,1))))</f>
        <v/>
      </c>
      <c r="AH25" s="30">
        <f>IF(AG25="","",IF(AG25&gt;=BandVH,"Very High",IF(AG25&gt;=BandHigh,"High",IF(AG25&gt;=BandMed,"Medium","Low"))))</f>
        <v/>
      </c>
      <c r="AI25" s="4" t="n"/>
      <c r="AJ25" s="4" t="n"/>
    </row>
    <row r="26">
      <c r="A26" s="30">
        <f>IF(B26="","",COUNTIF(B$14:B26,"?*"))</f>
        <v/>
      </c>
      <c r="B26" s="4" t="n"/>
      <c r="C26" s="19" t="n"/>
      <c r="D26" s="5">
        <f>IF(OR(B26="",C26=""),"",UPPER(LEFT(C26,1))&amp;LOWER(MID(C26,2,30))&amp;" "&amp;LOWER(LEFT(B26,1))&amp;MID(B26,2,200))</f>
        <v/>
      </c>
      <c r="E26" s="4" t="n"/>
      <c r="F26" s="4" t="n"/>
      <c r="G26" s="4" t="n"/>
      <c r="H26" s="4" t="n"/>
      <c r="I26" s="4" t="n"/>
      <c r="J26" s="4" t="n"/>
      <c r="K26" s="5">
        <f>_xlfn.TEXTJOIN(CHAR(10),TRUE,IF(E26="","","• "&amp;E26),IF(F26="","","• "&amp;F26),IF(G26="","","• "&amp;G26),IF(H26="","","• "&amp;H26),IF(I26="","","• "&amp;I26),IF(J26="","","• "&amp;J26))</f>
        <v/>
      </c>
      <c r="L26" s="4" t="n"/>
      <c r="M26" s="19" t="n"/>
      <c r="N26" s="19" t="n"/>
      <c r="O26" s="30">
        <f>IF(OR(M26="",N26=""),"",INDEX(RiskGrid,6-VALUE(LEFT(M26,1)),VALUE(LEFT(N26,1))))</f>
        <v/>
      </c>
      <c r="P26" s="30">
        <f>IF(O26="","",IF(O26&gt;=BandVH,"Very High",IF(O26&gt;=BandHigh,"High",IF(O26&gt;=BandMed,"Medium","Low"))))</f>
        <v/>
      </c>
      <c r="Q26" s="4" t="n"/>
      <c r="R26" s="19" t="n"/>
      <c r="S26" s="4" t="n"/>
      <c r="T26" s="19" t="n"/>
      <c r="U26" s="4" t="n"/>
      <c r="V26" s="19" t="n"/>
      <c r="W26" s="4" t="n"/>
      <c r="X26" s="19" t="n"/>
      <c r="Y26" s="4" t="n"/>
      <c r="Z26" s="19" t="n"/>
      <c r="AA26" s="4" t="n"/>
      <c r="AB26" s="19" t="n"/>
      <c r="AC26" s="5">
        <f>_xlfn.TEXTJOIN(CHAR(10),TRUE,IF(Q26="","","• "&amp;Q26&amp;IF(R26="Yes","  [IPL]","")),IF(S26="","","• "&amp;S26&amp;IF(T26="Yes","  [IPL]","")),IF(U26="","","• "&amp;U26&amp;IF(V26="Yes","  [IPL]","")),IF(W26="","","• "&amp;W26&amp;IF(X26="Yes","  [IPL]","")),IF(Y26="","","• "&amp;Y26&amp;IF(Z26="Yes","  [IPL]","")),IF(AA26="","","• "&amp;AA26&amp;IF(AB26="Yes","  [IPL]","")))</f>
        <v/>
      </c>
      <c r="AD26" s="30">
        <f>IF(AC26="","",COUNTIF(Q26:AB26,"Yes"))</f>
        <v/>
      </c>
      <c r="AE26" s="19" t="n"/>
      <c r="AF26" s="19" t="n"/>
      <c r="AG26" s="30">
        <f>IF(OR(AE26="",AF26=""),"",INDEX(RiskGrid,6-VALUE(LEFT(AE26,1)),VALUE(LEFT(AF26,1))))</f>
        <v/>
      </c>
      <c r="AH26" s="30">
        <f>IF(AG26="","",IF(AG26&gt;=BandVH,"Very High",IF(AG26&gt;=BandHigh,"High",IF(AG26&gt;=BandMed,"Medium","Low"))))</f>
        <v/>
      </c>
      <c r="AI26" s="4" t="n"/>
      <c r="AJ26" s="4" t="n"/>
    </row>
    <row r="27">
      <c r="A27" s="30">
        <f>IF(B27="","",COUNTIF(B$14:B27,"?*"))</f>
        <v/>
      </c>
      <c r="B27" s="4" t="n"/>
      <c r="C27" s="19" t="n"/>
      <c r="D27" s="5">
        <f>IF(OR(B27="",C27=""),"",UPPER(LEFT(C27,1))&amp;LOWER(MID(C27,2,30))&amp;" "&amp;LOWER(LEFT(B27,1))&amp;MID(B27,2,200))</f>
        <v/>
      </c>
      <c r="E27" s="4" t="n"/>
      <c r="F27" s="4" t="n"/>
      <c r="G27" s="4" t="n"/>
      <c r="H27" s="4" t="n"/>
      <c r="I27" s="4" t="n"/>
      <c r="J27" s="4" t="n"/>
      <c r="K27" s="5">
        <f>_xlfn.TEXTJOIN(CHAR(10),TRUE,IF(E27="","","• "&amp;E27),IF(F27="","","• "&amp;F27),IF(G27="","","• "&amp;G27),IF(H27="","","• "&amp;H27),IF(I27="","","• "&amp;I27),IF(J27="","","• "&amp;J27))</f>
        <v/>
      </c>
      <c r="L27" s="4" t="n"/>
      <c r="M27" s="19" t="n"/>
      <c r="N27" s="19" t="n"/>
      <c r="O27" s="30">
        <f>IF(OR(M27="",N27=""),"",INDEX(RiskGrid,6-VALUE(LEFT(M27,1)),VALUE(LEFT(N27,1))))</f>
        <v/>
      </c>
      <c r="P27" s="30">
        <f>IF(O27="","",IF(O27&gt;=BandVH,"Very High",IF(O27&gt;=BandHigh,"High",IF(O27&gt;=BandMed,"Medium","Low"))))</f>
        <v/>
      </c>
      <c r="Q27" s="4" t="n"/>
      <c r="R27" s="19" t="n"/>
      <c r="S27" s="4" t="n"/>
      <c r="T27" s="19" t="n"/>
      <c r="U27" s="4" t="n"/>
      <c r="V27" s="19" t="n"/>
      <c r="W27" s="4" t="n"/>
      <c r="X27" s="19" t="n"/>
      <c r="Y27" s="4" t="n"/>
      <c r="Z27" s="19" t="n"/>
      <c r="AA27" s="4" t="n"/>
      <c r="AB27" s="19" t="n"/>
      <c r="AC27" s="5">
        <f>_xlfn.TEXTJOIN(CHAR(10),TRUE,IF(Q27="","","• "&amp;Q27&amp;IF(R27="Yes","  [IPL]","")),IF(S27="","","• "&amp;S27&amp;IF(T27="Yes","  [IPL]","")),IF(U27="","","• "&amp;U27&amp;IF(V27="Yes","  [IPL]","")),IF(W27="","","• "&amp;W27&amp;IF(X27="Yes","  [IPL]","")),IF(Y27="","","• "&amp;Y27&amp;IF(Z27="Yes","  [IPL]","")),IF(AA27="","","• "&amp;AA27&amp;IF(AB27="Yes","  [IPL]","")))</f>
        <v/>
      </c>
      <c r="AD27" s="30">
        <f>IF(AC27="","",COUNTIF(Q27:AB27,"Yes"))</f>
        <v/>
      </c>
      <c r="AE27" s="19" t="n"/>
      <c r="AF27" s="19" t="n"/>
      <c r="AG27" s="30">
        <f>IF(OR(AE27="",AF27=""),"",INDEX(RiskGrid,6-VALUE(LEFT(AE27,1)),VALUE(LEFT(AF27,1))))</f>
        <v/>
      </c>
      <c r="AH27" s="30">
        <f>IF(AG27="","",IF(AG27&gt;=BandVH,"Very High",IF(AG27&gt;=BandHigh,"High",IF(AG27&gt;=BandMed,"Medium","Low"))))</f>
        <v/>
      </c>
      <c r="AI27" s="4" t="n"/>
      <c r="AJ27" s="4" t="n"/>
    </row>
    <row r="28">
      <c r="A28" s="30">
        <f>IF(B28="","",COUNTIF(B$14:B28,"?*"))</f>
        <v/>
      </c>
      <c r="B28" s="4" t="n"/>
      <c r="C28" s="19" t="n"/>
      <c r="D28" s="5">
        <f>IF(OR(B28="",C28=""),"",UPPER(LEFT(C28,1))&amp;LOWER(MID(C28,2,30))&amp;" "&amp;LOWER(LEFT(B28,1))&amp;MID(B28,2,200))</f>
        <v/>
      </c>
      <c r="E28" s="4" t="n"/>
      <c r="F28" s="4" t="n"/>
      <c r="G28" s="4" t="n"/>
      <c r="H28" s="4" t="n"/>
      <c r="I28" s="4" t="n"/>
      <c r="J28" s="4" t="n"/>
      <c r="K28" s="5">
        <f>_xlfn.TEXTJOIN(CHAR(10),TRUE,IF(E28="","","• "&amp;E28),IF(F28="","","• "&amp;F28),IF(G28="","","• "&amp;G28),IF(H28="","","• "&amp;H28),IF(I28="","","• "&amp;I28),IF(J28="","","• "&amp;J28))</f>
        <v/>
      </c>
      <c r="L28" s="4" t="n"/>
      <c r="M28" s="19" t="n"/>
      <c r="N28" s="19" t="n"/>
      <c r="O28" s="30">
        <f>IF(OR(M28="",N28=""),"",INDEX(RiskGrid,6-VALUE(LEFT(M28,1)),VALUE(LEFT(N28,1))))</f>
        <v/>
      </c>
      <c r="P28" s="30">
        <f>IF(O28="","",IF(O28&gt;=BandVH,"Very High",IF(O28&gt;=BandHigh,"High",IF(O28&gt;=BandMed,"Medium","Low"))))</f>
        <v/>
      </c>
      <c r="Q28" s="4" t="n"/>
      <c r="R28" s="19" t="n"/>
      <c r="S28" s="4" t="n"/>
      <c r="T28" s="19" t="n"/>
      <c r="U28" s="4" t="n"/>
      <c r="V28" s="19" t="n"/>
      <c r="W28" s="4" t="n"/>
      <c r="X28" s="19" t="n"/>
      <c r="Y28" s="4" t="n"/>
      <c r="Z28" s="19" t="n"/>
      <c r="AA28" s="4" t="n"/>
      <c r="AB28" s="19" t="n"/>
      <c r="AC28" s="5">
        <f>_xlfn.TEXTJOIN(CHAR(10),TRUE,IF(Q28="","","• "&amp;Q28&amp;IF(R28="Yes","  [IPL]","")),IF(S28="","","• "&amp;S28&amp;IF(T28="Yes","  [IPL]","")),IF(U28="","","• "&amp;U28&amp;IF(V28="Yes","  [IPL]","")),IF(W28="","","• "&amp;W28&amp;IF(X28="Yes","  [IPL]","")),IF(Y28="","","• "&amp;Y28&amp;IF(Z28="Yes","  [IPL]","")),IF(AA28="","","• "&amp;AA28&amp;IF(AB28="Yes","  [IPL]","")))</f>
        <v/>
      </c>
      <c r="AD28" s="30">
        <f>IF(AC28="","",COUNTIF(Q28:AB28,"Yes"))</f>
        <v/>
      </c>
      <c r="AE28" s="19" t="n"/>
      <c r="AF28" s="19" t="n"/>
      <c r="AG28" s="30">
        <f>IF(OR(AE28="",AF28=""),"",INDEX(RiskGrid,6-VALUE(LEFT(AE28,1)),VALUE(LEFT(AF28,1))))</f>
        <v/>
      </c>
      <c r="AH28" s="30">
        <f>IF(AG28="","",IF(AG28&gt;=BandVH,"Very High",IF(AG28&gt;=BandHigh,"High",IF(AG28&gt;=BandMed,"Medium","Low"))))</f>
        <v/>
      </c>
      <c r="AI28" s="4" t="n"/>
      <c r="AJ28" s="4" t="n"/>
    </row>
    <row r="29">
      <c r="A29" s="30">
        <f>IF(B29="","",COUNTIF(B$14:B29,"?*"))</f>
        <v/>
      </c>
      <c r="B29" s="4" t="n"/>
      <c r="C29" s="19" t="n"/>
      <c r="D29" s="5">
        <f>IF(OR(B29="",C29=""),"",UPPER(LEFT(C29,1))&amp;LOWER(MID(C29,2,30))&amp;" "&amp;LOWER(LEFT(B29,1))&amp;MID(B29,2,200))</f>
        <v/>
      </c>
      <c r="E29" s="4" t="n"/>
      <c r="F29" s="4" t="n"/>
      <c r="G29" s="4" t="n"/>
      <c r="H29" s="4" t="n"/>
      <c r="I29" s="4" t="n"/>
      <c r="J29" s="4" t="n"/>
      <c r="K29" s="5">
        <f>_xlfn.TEXTJOIN(CHAR(10),TRUE,IF(E29="","","• "&amp;E29),IF(F29="","","• "&amp;F29),IF(G29="","","• "&amp;G29),IF(H29="","","• "&amp;H29),IF(I29="","","• "&amp;I29),IF(J29="","","• "&amp;J29))</f>
        <v/>
      </c>
      <c r="L29" s="4" t="n"/>
      <c r="M29" s="19" t="n"/>
      <c r="N29" s="19" t="n"/>
      <c r="O29" s="30">
        <f>IF(OR(M29="",N29=""),"",INDEX(RiskGrid,6-VALUE(LEFT(M29,1)),VALUE(LEFT(N29,1))))</f>
        <v/>
      </c>
      <c r="P29" s="30">
        <f>IF(O29="","",IF(O29&gt;=BandVH,"Very High",IF(O29&gt;=BandHigh,"High",IF(O29&gt;=BandMed,"Medium","Low"))))</f>
        <v/>
      </c>
      <c r="Q29" s="4" t="n"/>
      <c r="R29" s="19" t="n"/>
      <c r="S29" s="4" t="n"/>
      <c r="T29" s="19" t="n"/>
      <c r="U29" s="4" t="n"/>
      <c r="V29" s="19" t="n"/>
      <c r="W29" s="4" t="n"/>
      <c r="X29" s="19" t="n"/>
      <c r="Y29" s="4" t="n"/>
      <c r="Z29" s="19" t="n"/>
      <c r="AA29" s="4" t="n"/>
      <c r="AB29" s="19" t="n"/>
      <c r="AC29" s="5">
        <f>_xlfn.TEXTJOIN(CHAR(10),TRUE,IF(Q29="","","• "&amp;Q29&amp;IF(R29="Yes","  [IPL]","")),IF(S29="","","• "&amp;S29&amp;IF(T29="Yes","  [IPL]","")),IF(U29="","","• "&amp;U29&amp;IF(V29="Yes","  [IPL]","")),IF(W29="","","• "&amp;W29&amp;IF(X29="Yes","  [IPL]","")),IF(Y29="","","• "&amp;Y29&amp;IF(Z29="Yes","  [IPL]","")),IF(AA29="","","• "&amp;AA29&amp;IF(AB29="Yes","  [IPL]","")))</f>
        <v/>
      </c>
      <c r="AD29" s="30">
        <f>IF(AC29="","",COUNTIF(Q29:AB29,"Yes"))</f>
        <v/>
      </c>
      <c r="AE29" s="19" t="n"/>
      <c r="AF29" s="19" t="n"/>
      <c r="AG29" s="30">
        <f>IF(OR(AE29="",AF29=""),"",INDEX(RiskGrid,6-VALUE(LEFT(AE29,1)),VALUE(LEFT(AF29,1))))</f>
        <v/>
      </c>
      <c r="AH29" s="30">
        <f>IF(AG29="","",IF(AG29&gt;=BandVH,"Very High",IF(AG29&gt;=BandHigh,"High",IF(AG29&gt;=BandMed,"Medium","Low"))))</f>
        <v/>
      </c>
      <c r="AI29" s="4" t="n"/>
      <c r="AJ29" s="4" t="n"/>
    </row>
    <row r="30">
      <c r="A30" s="30">
        <f>IF(B30="","",COUNTIF(B$14:B30,"?*"))</f>
        <v/>
      </c>
      <c r="B30" s="4" t="n"/>
      <c r="C30" s="19" t="n"/>
      <c r="D30" s="5">
        <f>IF(OR(B30="",C30=""),"",UPPER(LEFT(C30,1))&amp;LOWER(MID(C30,2,30))&amp;" "&amp;LOWER(LEFT(B30,1))&amp;MID(B30,2,200))</f>
        <v/>
      </c>
      <c r="E30" s="4" t="n"/>
      <c r="F30" s="4" t="n"/>
      <c r="G30" s="4" t="n"/>
      <c r="H30" s="4" t="n"/>
      <c r="I30" s="4" t="n"/>
      <c r="J30" s="4" t="n"/>
      <c r="K30" s="5">
        <f>_xlfn.TEXTJOIN(CHAR(10),TRUE,IF(E30="","","• "&amp;E30),IF(F30="","","• "&amp;F30),IF(G30="","","• "&amp;G30),IF(H30="","","• "&amp;H30),IF(I30="","","• "&amp;I30),IF(J30="","","• "&amp;J30))</f>
        <v/>
      </c>
      <c r="L30" s="4" t="n"/>
      <c r="M30" s="19" t="n"/>
      <c r="N30" s="19" t="n"/>
      <c r="O30" s="30">
        <f>IF(OR(M30="",N30=""),"",INDEX(RiskGrid,6-VALUE(LEFT(M30,1)),VALUE(LEFT(N30,1))))</f>
        <v/>
      </c>
      <c r="P30" s="30">
        <f>IF(O30="","",IF(O30&gt;=BandVH,"Very High",IF(O30&gt;=BandHigh,"High",IF(O30&gt;=BandMed,"Medium","Low"))))</f>
        <v/>
      </c>
      <c r="Q30" s="4" t="n"/>
      <c r="R30" s="19" t="n"/>
      <c r="S30" s="4" t="n"/>
      <c r="T30" s="19" t="n"/>
      <c r="U30" s="4" t="n"/>
      <c r="V30" s="19" t="n"/>
      <c r="W30" s="4" t="n"/>
      <c r="X30" s="19" t="n"/>
      <c r="Y30" s="4" t="n"/>
      <c r="Z30" s="19" t="n"/>
      <c r="AA30" s="4" t="n"/>
      <c r="AB30" s="19" t="n"/>
      <c r="AC30" s="5">
        <f>_xlfn.TEXTJOIN(CHAR(10),TRUE,IF(Q30="","","• "&amp;Q30&amp;IF(R30="Yes","  [IPL]","")),IF(S30="","","• "&amp;S30&amp;IF(T30="Yes","  [IPL]","")),IF(U30="","","• "&amp;U30&amp;IF(V30="Yes","  [IPL]","")),IF(W30="","","• "&amp;W30&amp;IF(X30="Yes","  [IPL]","")),IF(Y30="","","• "&amp;Y30&amp;IF(Z30="Yes","  [IPL]","")),IF(AA30="","","• "&amp;AA30&amp;IF(AB30="Yes","  [IPL]","")))</f>
        <v/>
      </c>
      <c r="AD30" s="30">
        <f>IF(AC30="","",COUNTIF(Q30:AB30,"Yes"))</f>
        <v/>
      </c>
      <c r="AE30" s="19" t="n"/>
      <c r="AF30" s="19" t="n"/>
      <c r="AG30" s="30">
        <f>IF(OR(AE30="",AF30=""),"",INDEX(RiskGrid,6-VALUE(LEFT(AE30,1)),VALUE(LEFT(AF30,1))))</f>
        <v/>
      </c>
      <c r="AH30" s="30">
        <f>IF(AG30="","",IF(AG30&gt;=BandVH,"Very High",IF(AG30&gt;=BandHigh,"High",IF(AG30&gt;=BandMed,"Medium","Low"))))</f>
        <v/>
      </c>
      <c r="AI30" s="4" t="n"/>
      <c r="AJ30" s="4" t="n"/>
    </row>
    <row r="31">
      <c r="A31" s="30">
        <f>IF(B31="","",COUNTIF(B$14:B31,"?*"))</f>
        <v/>
      </c>
      <c r="B31" s="4" t="n"/>
      <c r="C31" s="19" t="n"/>
      <c r="D31" s="5">
        <f>IF(OR(B31="",C31=""),"",UPPER(LEFT(C31,1))&amp;LOWER(MID(C31,2,30))&amp;" "&amp;LOWER(LEFT(B31,1))&amp;MID(B31,2,200))</f>
        <v/>
      </c>
      <c r="E31" s="4" t="n"/>
      <c r="F31" s="4" t="n"/>
      <c r="G31" s="4" t="n"/>
      <c r="H31" s="4" t="n"/>
      <c r="I31" s="4" t="n"/>
      <c r="J31" s="4" t="n"/>
      <c r="K31" s="5">
        <f>_xlfn.TEXTJOIN(CHAR(10),TRUE,IF(E31="","","• "&amp;E31),IF(F31="","","• "&amp;F31),IF(G31="","","• "&amp;G31),IF(H31="","","• "&amp;H31),IF(I31="","","• "&amp;I31),IF(J31="","","• "&amp;J31))</f>
        <v/>
      </c>
      <c r="L31" s="4" t="n"/>
      <c r="M31" s="19" t="n"/>
      <c r="N31" s="19" t="n"/>
      <c r="O31" s="30">
        <f>IF(OR(M31="",N31=""),"",INDEX(RiskGrid,6-VALUE(LEFT(M31,1)),VALUE(LEFT(N31,1))))</f>
        <v/>
      </c>
      <c r="P31" s="30">
        <f>IF(O31="","",IF(O31&gt;=BandVH,"Very High",IF(O31&gt;=BandHigh,"High",IF(O31&gt;=BandMed,"Medium","Low"))))</f>
        <v/>
      </c>
      <c r="Q31" s="4" t="n"/>
      <c r="R31" s="19" t="n"/>
      <c r="S31" s="4" t="n"/>
      <c r="T31" s="19" t="n"/>
      <c r="U31" s="4" t="n"/>
      <c r="V31" s="19" t="n"/>
      <c r="W31" s="4" t="n"/>
      <c r="X31" s="19" t="n"/>
      <c r="Y31" s="4" t="n"/>
      <c r="Z31" s="19" t="n"/>
      <c r="AA31" s="4" t="n"/>
      <c r="AB31" s="19" t="n"/>
      <c r="AC31" s="5">
        <f>_xlfn.TEXTJOIN(CHAR(10),TRUE,IF(Q31="","","• "&amp;Q31&amp;IF(R31="Yes","  [IPL]","")),IF(S31="","","• "&amp;S31&amp;IF(T31="Yes","  [IPL]","")),IF(U31="","","• "&amp;U31&amp;IF(V31="Yes","  [IPL]","")),IF(W31="","","• "&amp;W31&amp;IF(X31="Yes","  [IPL]","")),IF(Y31="","","• "&amp;Y31&amp;IF(Z31="Yes","  [IPL]","")),IF(AA31="","","• "&amp;AA31&amp;IF(AB31="Yes","  [IPL]","")))</f>
        <v/>
      </c>
      <c r="AD31" s="30">
        <f>IF(AC31="","",COUNTIF(Q31:AB31,"Yes"))</f>
        <v/>
      </c>
      <c r="AE31" s="19" t="n"/>
      <c r="AF31" s="19" t="n"/>
      <c r="AG31" s="30">
        <f>IF(OR(AE31="",AF31=""),"",INDEX(RiskGrid,6-VALUE(LEFT(AE31,1)),VALUE(LEFT(AF31,1))))</f>
        <v/>
      </c>
      <c r="AH31" s="30">
        <f>IF(AG31="","",IF(AG31&gt;=BandVH,"Very High",IF(AG31&gt;=BandHigh,"High",IF(AG31&gt;=BandMed,"Medium","Low"))))</f>
        <v/>
      </c>
      <c r="AI31" s="4" t="n"/>
      <c r="AJ31" s="4" t="n"/>
    </row>
    <row r="32">
      <c r="A32" s="30">
        <f>IF(B32="","",COUNTIF(B$14:B32,"?*"))</f>
        <v/>
      </c>
      <c r="B32" s="4" t="n"/>
      <c r="C32" s="19" t="n"/>
      <c r="D32" s="5">
        <f>IF(OR(B32="",C32=""),"",UPPER(LEFT(C32,1))&amp;LOWER(MID(C32,2,30))&amp;" "&amp;LOWER(LEFT(B32,1))&amp;MID(B32,2,200))</f>
        <v/>
      </c>
      <c r="E32" s="4" t="n"/>
      <c r="F32" s="4" t="n"/>
      <c r="G32" s="4" t="n"/>
      <c r="H32" s="4" t="n"/>
      <c r="I32" s="4" t="n"/>
      <c r="J32" s="4" t="n"/>
      <c r="K32" s="5">
        <f>_xlfn.TEXTJOIN(CHAR(10),TRUE,IF(E32="","","• "&amp;E32),IF(F32="","","• "&amp;F32),IF(G32="","","• "&amp;G32),IF(H32="","","• "&amp;H32),IF(I32="","","• "&amp;I32),IF(J32="","","• "&amp;J32))</f>
        <v/>
      </c>
      <c r="L32" s="4" t="n"/>
      <c r="M32" s="19" t="n"/>
      <c r="N32" s="19" t="n"/>
      <c r="O32" s="30">
        <f>IF(OR(M32="",N32=""),"",INDEX(RiskGrid,6-VALUE(LEFT(M32,1)),VALUE(LEFT(N32,1))))</f>
        <v/>
      </c>
      <c r="P32" s="30">
        <f>IF(O32="","",IF(O32&gt;=BandVH,"Very High",IF(O32&gt;=BandHigh,"High",IF(O32&gt;=BandMed,"Medium","Low"))))</f>
        <v/>
      </c>
      <c r="Q32" s="4" t="n"/>
      <c r="R32" s="19" t="n"/>
      <c r="S32" s="4" t="n"/>
      <c r="T32" s="19" t="n"/>
      <c r="U32" s="4" t="n"/>
      <c r="V32" s="19" t="n"/>
      <c r="W32" s="4" t="n"/>
      <c r="X32" s="19" t="n"/>
      <c r="Y32" s="4" t="n"/>
      <c r="Z32" s="19" t="n"/>
      <c r="AA32" s="4" t="n"/>
      <c r="AB32" s="19" t="n"/>
      <c r="AC32" s="5">
        <f>_xlfn.TEXTJOIN(CHAR(10),TRUE,IF(Q32="","","• "&amp;Q32&amp;IF(R32="Yes","  [IPL]","")),IF(S32="","","• "&amp;S32&amp;IF(T32="Yes","  [IPL]","")),IF(U32="","","• "&amp;U32&amp;IF(V32="Yes","  [IPL]","")),IF(W32="","","• "&amp;W32&amp;IF(X32="Yes","  [IPL]","")),IF(Y32="","","• "&amp;Y32&amp;IF(Z32="Yes","  [IPL]","")),IF(AA32="","","• "&amp;AA32&amp;IF(AB32="Yes","  [IPL]","")))</f>
        <v/>
      </c>
      <c r="AD32" s="30">
        <f>IF(AC32="","",COUNTIF(Q32:AB32,"Yes"))</f>
        <v/>
      </c>
      <c r="AE32" s="19" t="n"/>
      <c r="AF32" s="19" t="n"/>
      <c r="AG32" s="30">
        <f>IF(OR(AE32="",AF32=""),"",INDEX(RiskGrid,6-VALUE(LEFT(AE32,1)),VALUE(LEFT(AF32,1))))</f>
        <v/>
      </c>
      <c r="AH32" s="30">
        <f>IF(AG32="","",IF(AG32&gt;=BandVH,"Very High",IF(AG32&gt;=BandHigh,"High",IF(AG32&gt;=BandMed,"Medium","Low"))))</f>
        <v/>
      </c>
      <c r="AI32" s="4" t="n"/>
      <c r="AJ32" s="4" t="n"/>
    </row>
    <row r="33">
      <c r="A33" s="30">
        <f>IF(B33="","",COUNTIF(B$14:B33,"?*"))</f>
        <v/>
      </c>
      <c r="B33" s="4" t="n"/>
      <c r="C33" s="19" t="n"/>
      <c r="D33" s="5">
        <f>IF(OR(B33="",C33=""),"",UPPER(LEFT(C33,1))&amp;LOWER(MID(C33,2,30))&amp;" "&amp;LOWER(LEFT(B33,1))&amp;MID(B33,2,200))</f>
        <v/>
      </c>
      <c r="E33" s="4" t="n"/>
      <c r="F33" s="4" t="n"/>
      <c r="G33" s="4" t="n"/>
      <c r="H33" s="4" t="n"/>
      <c r="I33" s="4" t="n"/>
      <c r="J33" s="4" t="n"/>
      <c r="K33" s="5">
        <f>_xlfn.TEXTJOIN(CHAR(10),TRUE,IF(E33="","","• "&amp;E33),IF(F33="","","• "&amp;F33),IF(G33="","","• "&amp;G33),IF(H33="","","• "&amp;H33),IF(I33="","","• "&amp;I33),IF(J33="","","• "&amp;J33))</f>
        <v/>
      </c>
      <c r="L33" s="4" t="n"/>
      <c r="M33" s="19" t="n"/>
      <c r="N33" s="19" t="n"/>
      <c r="O33" s="30">
        <f>IF(OR(M33="",N33=""),"",INDEX(RiskGrid,6-VALUE(LEFT(M33,1)),VALUE(LEFT(N33,1))))</f>
        <v/>
      </c>
      <c r="P33" s="30">
        <f>IF(O33="","",IF(O33&gt;=BandVH,"Very High",IF(O33&gt;=BandHigh,"High",IF(O33&gt;=BandMed,"Medium","Low"))))</f>
        <v/>
      </c>
      <c r="Q33" s="4" t="n"/>
      <c r="R33" s="19" t="n"/>
      <c r="S33" s="4" t="n"/>
      <c r="T33" s="19" t="n"/>
      <c r="U33" s="4" t="n"/>
      <c r="V33" s="19" t="n"/>
      <c r="W33" s="4" t="n"/>
      <c r="X33" s="19" t="n"/>
      <c r="Y33" s="4" t="n"/>
      <c r="Z33" s="19" t="n"/>
      <c r="AA33" s="4" t="n"/>
      <c r="AB33" s="19" t="n"/>
      <c r="AC33" s="5">
        <f>_xlfn.TEXTJOIN(CHAR(10),TRUE,IF(Q33="","","• "&amp;Q33&amp;IF(R33="Yes","  [IPL]","")),IF(S33="","","• "&amp;S33&amp;IF(T33="Yes","  [IPL]","")),IF(U33="","","• "&amp;U33&amp;IF(V33="Yes","  [IPL]","")),IF(W33="","","• "&amp;W33&amp;IF(X33="Yes","  [IPL]","")),IF(Y33="","","• "&amp;Y33&amp;IF(Z33="Yes","  [IPL]","")),IF(AA33="","","• "&amp;AA33&amp;IF(AB33="Yes","  [IPL]","")))</f>
        <v/>
      </c>
      <c r="AD33" s="30">
        <f>IF(AC33="","",COUNTIF(Q33:AB33,"Yes"))</f>
        <v/>
      </c>
      <c r="AE33" s="19" t="n"/>
      <c r="AF33" s="19" t="n"/>
      <c r="AG33" s="30">
        <f>IF(OR(AE33="",AF33=""),"",INDEX(RiskGrid,6-VALUE(LEFT(AE33,1)),VALUE(LEFT(AF33,1))))</f>
        <v/>
      </c>
      <c r="AH33" s="30">
        <f>IF(AG33="","",IF(AG33&gt;=BandVH,"Very High",IF(AG33&gt;=BandHigh,"High",IF(AG33&gt;=BandMed,"Medium","Low"))))</f>
        <v/>
      </c>
      <c r="AI33" s="4" t="n"/>
      <c r="AJ33" s="4" t="n"/>
    </row>
    <row r="34">
      <c r="A34" s="30">
        <f>IF(B34="","",COUNTIF(B$14:B34,"?*"))</f>
        <v/>
      </c>
      <c r="B34" s="4" t="n"/>
      <c r="C34" s="19" t="n"/>
      <c r="D34" s="5">
        <f>IF(OR(B34="",C34=""),"",UPPER(LEFT(C34,1))&amp;LOWER(MID(C34,2,30))&amp;" "&amp;LOWER(LEFT(B34,1))&amp;MID(B34,2,200))</f>
        <v/>
      </c>
      <c r="E34" s="4" t="n"/>
      <c r="F34" s="4" t="n"/>
      <c r="G34" s="4" t="n"/>
      <c r="H34" s="4" t="n"/>
      <c r="I34" s="4" t="n"/>
      <c r="J34" s="4" t="n"/>
      <c r="K34" s="5">
        <f>_xlfn.TEXTJOIN(CHAR(10),TRUE,IF(E34="","","• "&amp;E34),IF(F34="","","• "&amp;F34),IF(G34="","","• "&amp;G34),IF(H34="","","• "&amp;H34),IF(I34="","","• "&amp;I34),IF(J34="","","• "&amp;J34))</f>
        <v/>
      </c>
      <c r="L34" s="4" t="n"/>
      <c r="M34" s="19" t="n"/>
      <c r="N34" s="19" t="n"/>
      <c r="O34" s="30">
        <f>IF(OR(M34="",N34=""),"",INDEX(RiskGrid,6-VALUE(LEFT(M34,1)),VALUE(LEFT(N34,1))))</f>
        <v/>
      </c>
      <c r="P34" s="30">
        <f>IF(O34="","",IF(O34&gt;=BandVH,"Very High",IF(O34&gt;=BandHigh,"High",IF(O34&gt;=BandMed,"Medium","Low"))))</f>
        <v/>
      </c>
      <c r="Q34" s="4" t="n"/>
      <c r="R34" s="19" t="n"/>
      <c r="S34" s="4" t="n"/>
      <c r="T34" s="19" t="n"/>
      <c r="U34" s="4" t="n"/>
      <c r="V34" s="19" t="n"/>
      <c r="W34" s="4" t="n"/>
      <c r="X34" s="19" t="n"/>
      <c r="Y34" s="4" t="n"/>
      <c r="Z34" s="19" t="n"/>
      <c r="AA34" s="4" t="n"/>
      <c r="AB34" s="19" t="n"/>
      <c r="AC34" s="5">
        <f>_xlfn.TEXTJOIN(CHAR(10),TRUE,IF(Q34="","","• "&amp;Q34&amp;IF(R34="Yes","  [IPL]","")),IF(S34="","","• "&amp;S34&amp;IF(T34="Yes","  [IPL]","")),IF(U34="","","• "&amp;U34&amp;IF(V34="Yes","  [IPL]","")),IF(W34="","","• "&amp;W34&amp;IF(X34="Yes","  [IPL]","")),IF(Y34="","","• "&amp;Y34&amp;IF(Z34="Yes","  [IPL]","")),IF(AA34="","","• "&amp;AA34&amp;IF(AB34="Yes","  [IPL]","")))</f>
        <v/>
      </c>
      <c r="AD34" s="30">
        <f>IF(AC34="","",COUNTIF(Q34:AB34,"Yes"))</f>
        <v/>
      </c>
      <c r="AE34" s="19" t="n"/>
      <c r="AF34" s="19" t="n"/>
      <c r="AG34" s="30">
        <f>IF(OR(AE34="",AF34=""),"",INDEX(RiskGrid,6-VALUE(LEFT(AE34,1)),VALUE(LEFT(AF34,1))))</f>
        <v/>
      </c>
      <c r="AH34" s="30">
        <f>IF(AG34="","",IF(AG34&gt;=BandVH,"Very High",IF(AG34&gt;=BandHigh,"High",IF(AG34&gt;=BandMed,"Medium","Low"))))</f>
        <v/>
      </c>
      <c r="AI34" s="4" t="n"/>
      <c r="AJ34" s="4" t="n"/>
    </row>
    <row r="35">
      <c r="A35" s="30">
        <f>IF(B35="","",COUNTIF(B$14:B35,"?*"))</f>
        <v/>
      </c>
      <c r="B35" s="4" t="n"/>
      <c r="C35" s="19" t="n"/>
      <c r="D35" s="5">
        <f>IF(OR(B35="",C35=""),"",UPPER(LEFT(C35,1))&amp;LOWER(MID(C35,2,30))&amp;" "&amp;LOWER(LEFT(B35,1))&amp;MID(B35,2,200))</f>
        <v/>
      </c>
      <c r="E35" s="4" t="n"/>
      <c r="F35" s="4" t="n"/>
      <c r="G35" s="4" t="n"/>
      <c r="H35" s="4" t="n"/>
      <c r="I35" s="4" t="n"/>
      <c r="J35" s="4" t="n"/>
      <c r="K35" s="5">
        <f>_xlfn.TEXTJOIN(CHAR(10),TRUE,IF(E35="","","• "&amp;E35),IF(F35="","","• "&amp;F35),IF(G35="","","• "&amp;G35),IF(H35="","","• "&amp;H35),IF(I35="","","• "&amp;I35),IF(J35="","","• "&amp;J35))</f>
        <v/>
      </c>
      <c r="L35" s="4" t="n"/>
      <c r="M35" s="19" t="n"/>
      <c r="N35" s="19" t="n"/>
      <c r="O35" s="30">
        <f>IF(OR(M35="",N35=""),"",INDEX(RiskGrid,6-VALUE(LEFT(M35,1)),VALUE(LEFT(N35,1))))</f>
        <v/>
      </c>
      <c r="P35" s="30">
        <f>IF(O35="","",IF(O35&gt;=BandVH,"Very High",IF(O35&gt;=BandHigh,"High",IF(O35&gt;=BandMed,"Medium","Low"))))</f>
        <v/>
      </c>
      <c r="Q35" s="4" t="n"/>
      <c r="R35" s="19" t="n"/>
      <c r="S35" s="4" t="n"/>
      <c r="T35" s="19" t="n"/>
      <c r="U35" s="4" t="n"/>
      <c r="V35" s="19" t="n"/>
      <c r="W35" s="4" t="n"/>
      <c r="X35" s="19" t="n"/>
      <c r="Y35" s="4" t="n"/>
      <c r="Z35" s="19" t="n"/>
      <c r="AA35" s="4" t="n"/>
      <c r="AB35" s="19" t="n"/>
      <c r="AC35" s="5">
        <f>_xlfn.TEXTJOIN(CHAR(10),TRUE,IF(Q35="","","• "&amp;Q35&amp;IF(R35="Yes","  [IPL]","")),IF(S35="","","• "&amp;S35&amp;IF(T35="Yes","  [IPL]","")),IF(U35="","","• "&amp;U35&amp;IF(V35="Yes","  [IPL]","")),IF(W35="","","• "&amp;W35&amp;IF(X35="Yes","  [IPL]","")),IF(Y35="","","• "&amp;Y35&amp;IF(Z35="Yes","  [IPL]","")),IF(AA35="","","• "&amp;AA35&amp;IF(AB35="Yes","  [IPL]","")))</f>
        <v/>
      </c>
      <c r="AD35" s="30">
        <f>IF(AC35="","",COUNTIF(Q35:AB35,"Yes"))</f>
        <v/>
      </c>
      <c r="AE35" s="19" t="n"/>
      <c r="AF35" s="19" t="n"/>
      <c r="AG35" s="30">
        <f>IF(OR(AE35="",AF35=""),"",INDEX(RiskGrid,6-VALUE(LEFT(AE35,1)),VALUE(LEFT(AF35,1))))</f>
        <v/>
      </c>
      <c r="AH35" s="30">
        <f>IF(AG35="","",IF(AG35&gt;=BandVH,"Very High",IF(AG35&gt;=BandHigh,"High",IF(AG35&gt;=BandMed,"Medium","Low"))))</f>
        <v/>
      </c>
      <c r="AI35" s="4" t="n"/>
      <c r="AJ35" s="4" t="n"/>
    </row>
    <row r="36">
      <c r="A36" s="30">
        <f>IF(B36="","",COUNTIF(B$14:B36,"?*"))</f>
        <v/>
      </c>
      <c r="B36" s="4" t="n"/>
      <c r="C36" s="19" t="n"/>
      <c r="D36" s="5">
        <f>IF(OR(B36="",C36=""),"",UPPER(LEFT(C36,1))&amp;LOWER(MID(C36,2,30))&amp;" "&amp;LOWER(LEFT(B36,1))&amp;MID(B36,2,200))</f>
        <v/>
      </c>
      <c r="E36" s="4" t="n"/>
      <c r="F36" s="4" t="n"/>
      <c r="G36" s="4" t="n"/>
      <c r="H36" s="4" t="n"/>
      <c r="I36" s="4" t="n"/>
      <c r="J36" s="4" t="n"/>
      <c r="K36" s="5">
        <f>_xlfn.TEXTJOIN(CHAR(10),TRUE,IF(E36="","","• "&amp;E36),IF(F36="","","• "&amp;F36),IF(G36="","","• "&amp;G36),IF(H36="","","• "&amp;H36),IF(I36="","","• "&amp;I36),IF(J36="","","• "&amp;J36))</f>
        <v/>
      </c>
      <c r="L36" s="4" t="n"/>
      <c r="M36" s="19" t="n"/>
      <c r="N36" s="19" t="n"/>
      <c r="O36" s="30">
        <f>IF(OR(M36="",N36=""),"",INDEX(RiskGrid,6-VALUE(LEFT(M36,1)),VALUE(LEFT(N36,1))))</f>
        <v/>
      </c>
      <c r="P36" s="30">
        <f>IF(O36="","",IF(O36&gt;=BandVH,"Very High",IF(O36&gt;=BandHigh,"High",IF(O36&gt;=BandMed,"Medium","Low"))))</f>
        <v/>
      </c>
      <c r="Q36" s="4" t="n"/>
      <c r="R36" s="19" t="n"/>
      <c r="S36" s="4" t="n"/>
      <c r="T36" s="19" t="n"/>
      <c r="U36" s="4" t="n"/>
      <c r="V36" s="19" t="n"/>
      <c r="W36" s="4" t="n"/>
      <c r="X36" s="19" t="n"/>
      <c r="Y36" s="4" t="n"/>
      <c r="Z36" s="19" t="n"/>
      <c r="AA36" s="4" t="n"/>
      <c r="AB36" s="19" t="n"/>
      <c r="AC36" s="5">
        <f>_xlfn.TEXTJOIN(CHAR(10),TRUE,IF(Q36="","","• "&amp;Q36&amp;IF(R36="Yes","  [IPL]","")),IF(S36="","","• "&amp;S36&amp;IF(T36="Yes","  [IPL]","")),IF(U36="","","• "&amp;U36&amp;IF(V36="Yes","  [IPL]","")),IF(W36="","","• "&amp;W36&amp;IF(X36="Yes","  [IPL]","")),IF(Y36="","","• "&amp;Y36&amp;IF(Z36="Yes","  [IPL]","")),IF(AA36="","","• "&amp;AA36&amp;IF(AB36="Yes","  [IPL]","")))</f>
        <v/>
      </c>
      <c r="AD36" s="30">
        <f>IF(AC36="","",COUNTIF(Q36:AB36,"Yes"))</f>
        <v/>
      </c>
      <c r="AE36" s="19" t="n"/>
      <c r="AF36" s="19" t="n"/>
      <c r="AG36" s="30">
        <f>IF(OR(AE36="",AF36=""),"",INDEX(RiskGrid,6-VALUE(LEFT(AE36,1)),VALUE(LEFT(AF36,1))))</f>
        <v/>
      </c>
      <c r="AH36" s="30">
        <f>IF(AG36="","",IF(AG36&gt;=BandVH,"Very High",IF(AG36&gt;=BandHigh,"High",IF(AG36&gt;=BandMed,"Medium","Low"))))</f>
        <v/>
      </c>
      <c r="AI36" s="4" t="n"/>
      <c r="AJ36" s="4" t="n"/>
    </row>
    <row r="37">
      <c r="A37" s="30">
        <f>IF(B37="","",COUNTIF(B$14:B37,"?*"))</f>
        <v/>
      </c>
      <c r="B37" s="4" t="n"/>
      <c r="C37" s="19" t="n"/>
      <c r="D37" s="5">
        <f>IF(OR(B37="",C37=""),"",UPPER(LEFT(C37,1))&amp;LOWER(MID(C37,2,30))&amp;" "&amp;LOWER(LEFT(B37,1))&amp;MID(B37,2,200))</f>
        <v/>
      </c>
      <c r="E37" s="4" t="n"/>
      <c r="F37" s="4" t="n"/>
      <c r="G37" s="4" t="n"/>
      <c r="H37" s="4" t="n"/>
      <c r="I37" s="4" t="n"/>
      <c r="J37" s="4" t="n"/>
      <c r="K37" s="5">
        <f>_xlfn.TEXTJOIN(CHAR(10),TRUE,IF(E37="","","• "&amp;E37),IF(F37="","","• "&amp;F37),IF(G37="","","• "&amp;G37),IF(H37="","","• "&amp;H37),IF(I37="","","• "&amp;I37),IF(J37="","","• "&amp;J37))</f>
        <v/>
      </c>
      <c r="L37" s="4" t="n"/>
      <c r="M37" s="19" t="n"/>
      <c r="N37" s="19" t="n"/>
      <c r="O37" s="30">
        <f>IF(OR(M37="",N37=""),"",INDEX(RiskGrid,6-VALUE(LEFT(M37,1)),VALUE(LEFT(N37,1))))</f>
        <v/>
      </c>
      <c r="P37" s="30">
        <f>IF(O37="","",IF(O37&gt;=BandVH,"Very High",IF(O37&gt;=BandHigh,"High",IF(O37&gt;=BandMed,"Medium","Low"))))</f>
        <v/>
      </c>
      <c r="Q37" s="4" t="n"/>
      <c r="R37" s="19" t="n"/>
      <c r="S37" s="4" t="n"/>
      <c r="T37" s="19" t="n"/>
      <c r="U37" s="4" t="n"/>
      <c r="V37" s="19" t="n"/>
      <c r="W37" s="4" t="n"/>
      <c r="X37" s="19" t="n"/>
      <c r="Y37" s="4" t="n"/>
      <c r="Z37" s="19" t="n"/>
      <c r="AA37" s="4" t="n"/>
      <c r="AB37" s="19" t="n"/>
      <c r="AC37" s="5">
        <f>_xlfn.TEXTJOIN(CHAR(10),TRUE,IF(Q37="","","• "&amp;Q37&amp;IF(R37="Yes","  [IPL]","")),IF(S37="","","• "&amp;S37&amp;IF(T37="Yes","  [IPL]","")),IF(U37="","","• "&amp;U37&amp;IF(V37="Yes","  [IPL]","")),IF(W37="","","• "&amp;W37&amp;IF(X37="Yes","  [IPL]","")),IF(Y37="","","• "&amp;Y37&amp;IF(Z37="Yes","  [IPL]","")),IF(AA37="","","• "&amp;AA37&amp;IF(AB37="Yes","  [IPL]","")))</f>
        <v/>
      </c>
      <c r="AD37" s="30">
        <f>IF(AC37="","",COUNTIF(Q37:AB37,"Yes"))</f>
        <v/>
      </c>
      <c r="AE37" s="19" t="n"/>
      <c r="AF37" s="19" t="n"/>
      <c r="AG37" s="30">
        <f>IF(OR(AE37="",AF37=""),"",INDEX(RiskGrid,6-VALUE(LEFT(AE37,1)),VALUE(LEFT(AF37,1))))</f>
        <v/>
      </c>
      <c r="AH37" s="30">
        <f>IF(AG37="","",IF(AG37&gt;=BandVH,"Very High",IF(AG37&gt;=BandHigh,"High",IF(AG37&gt;=BandMed,"Medium","Low"))))</f>
        <v/>
      </c>
      <c r="AI37" s="4" t="n"/>
      <c r="AJ37" s="4" t="n"/>
    </row>
    <row r="38">
      <c r="A38" s="30">
        <f>IF(B38="","",COUNTIF(B$14:B38,"?*"))</f>
        <v/>
      </c>
      <c r="B38" s="4" t="n"/>
      <c r="C38" s="19" t="n"/>
      <c r="D38" s="5">
        <f>IF(OR(B38="",C38=""),"",UPPER(LEFT(C38,1))&amp;LOWER(MID(C38,2,30))&amp;" "&amp;LOWER(LEFT(B38,1))&amp;MID(B38,2,200))</f>
        <v/>
      </c>
      <c r="E38" s="4" t="n"/>
      <c r="F38" s="4" t="n"/>
      <c r="G38" s="4" t="n"/>
      <c r="H38" s="4" t="n"/>
      <c r="I38" s="4" t="n"/>
      <c r="J38" s="4" t="n"/>
      <c r="K38" s="5">
        <f>_xlfn.TEXTJOIN(CHAR(10),TRUE,IF(E38="","","• "&amp;E38),IF(F38="","","• "&amp;F38),IF(G38="","","• "&amp;G38),IF(H38="","","• "&amp;H38),IF(I38="","","• "&amp;I38),IF(J38="","","• "&amp;J38))</f>
        <v/>
      </c>
      <c r="L38" s="4" t="n"/>
      <c r="M38" s="19" t="n"/>
      <c r="N38" s="19" t="n"/>
      <c r="O38" s="30">
        <f>IF(OR(M38="",N38=""),"",INDEX(RiskGrid,6-VALUE(LEFT(M38,1)),VALUE(LEFT(N38,1))))</f>
        <v/>
      </c>
      <c r="P38" s="30">
        <f>IF(O38="","",IF(O38&gt;=BandVH,"Very High",IF(O38&gt;=BandHigh,"High",IF(O38&gt;=BandMed,"Medium","Low"))))</f>
        <v/>
      </c>
      <c r="Q38" s="4" t="n"/>
      <c r="R38" s="19" t="n"/>
      <c r="S38" s="4" t="n"/>
      <c r="T38" s="19" t="n"/>
      <c r="U38" s="4" t="n"/>
      <c r="V38" s="19" t="n"/>
      <c r="W38" s="4" t="n"/>
      <c r="X38" s="19" t="n"/>
      <c r="Y38" s="4" t="n"/>
      <c r="Z38" s="19" t="n"/>
      <c r="AA38" s="4" t="n"/>
      <c r="AB38" s="19" t="n"/>
      <c r="AC38" s="5">
        <f>_xlfn.TEXTJOIN(CHAR(10),TRUE,IF(Q38="","","• "&amp;Q38&amp;IF(R38="Yes","  [IPL]","")),IF(S38="","","• "&amp;S38&amp;IF(T38="Yes","  [IPL]","")),IF(U38="","","• "&amp;U38&amp;IF(V38="Yes","  [IPL]","")),IF(W38="","","• "&amp;W38&amp;IF(X38="Yes","  [IPL]","")),IF(Y38="","","• "&amp;Y38&amp;IF(Z38="Yes","  [IPL]","")),IF(AA38="","","• "&amp;AA38&amp;IF(AB38="Yes","  [IPL]","")))</f>
        <v/>
      </c>
      <c r="AD38" s="30">
        <f>IF(AC38="","",COUNTIF(Q38:AB38,"Yes"))</f>
        <v/>
      </c>
      <c r="AE38" s="19" t="n"/>
      <c r="AF38" s="19" t="n"/>
      <c r="AG38" s="30">
        <f>IF(OR(AE38="",AF38=""),"",INDEX(RiskGrid,6-VALUE(LEFT(AE38,1)),VALUE(LEFT(AF38,1))))</f>
        <v/>
      </c>
      <c r="AH38" s="30">
        <f>IF(AG38="","",IF(AG38&gt;=BandVH,"Very High",IF(AG38&gt;=BandHigh,"High",IF(AG38&gt;=BandMed,"Medium","Low"))))</f>
        <v/>
      </c>
      <c r="AI38" s="4" t="n"/>
      <c r="AJ38" s="4" t="n"/>
    </row>
    <row r="39">
      <c r="A39" s="30">
        <f>IF(B39="","",COUNTIF(B$14:B39,"?*"))</f>
        <v/>
      </c>
      <c r="B39" s="4" t="n"/>
      <c r="C39" s="19" t="n"/>
      <c r="D39" s="5">
        <f>IF(OR(B39="",C39=""),"",UPPER(LEFT(C39,1))&amp;LOWER(MID(C39,2,30))&amp;" "&amp;LOWER(LEFT(B39,1))&amp;MID(B39,2,200))</f>
        <v/>
      </c>
      <c r="E39" s="4" t="n"/>
      <c r="F39" s="4" t="n"/>
      <c r="G39" s="4" t="n"/>
      <c r="H39" s="4" t="n"/>
      <c r="I39" s="4" t="n"/>
      <c r="J39" s="4" t="n"/>
      <c r="K39" s="5">
        <f>_xlfn.TEXTJOIN(CHAR(10),TRUE,IF(E39="","","• "&amp;E39),IF(F39="","","• "&amp;F39),IF(G39="","","• "&amp;G39),IF(H39="","","• "&amp;H39),IF(I39="","","• "&amp;I39),IF(J39="","","• "&amp;J39))</f>
        <v/>
      </c>
      <c r="L39" s="4" t="n"/>
      <c r="M39" s="19" t="n"/>
      <c r="N39" s="19" t="n"/>
      <c r="O39" s="30">
        <f>IF(OR(M39="",N39=""),"",INDEX(RiskGrid,6-VALUE(LEFT(M39,1)),VALUE(LEFT(N39,1))))</f>
        <v/>
      </c>
      <c r="P39" s="30">
        <f>IF(O39="","",IF(O39&gt;=BandVH,"Very High",IF(O39&gt;=BandHigh,"High",IF(O39&gt;=BandMed,"Medium","Low"))))</f>
        <v/>
      </c>
      <c r="Q39" s="4" t="n"/>
      <c r="R39" s="19" t="n"/>
      <c r="S39" s="4" t="n"/>
      <c r="T39" s="19" t="n"/>
      <c r="U39" s="4" t="n"/>
      <c r="V39" s="19" t="n"/>
      <c r="W39" s="4" t="n"/>
      <c r="X39" s="19" t="n"/>
      <c r="Y39" s="4" t="n"/>
      <c r="Z39" s="19" t="n"/>
      <c r="AA39" s="4" t="n"/>
      <c r="AB39" s="19" t="n"/>
      <c r="AC39" s="5">
        <f>_xlfn.TEXTJOIN(CHAR(10),TRUE,IF(Q39="","","• "&amp;Q39&amp;IF(R39="Yes","  [IPL]","")),IF(S39="","","• "&amp;S39&amp;IF(T39="Yes","  [IPL]","")),IF(U39="","","• "&amp;U39&amp;IF(V39="Yes","  [IPL]","")),IF(W39="","","• "&amp;W39&amp;IF(X39="Yes","  [IPL]","")),IF(Y39="","","• "&amp;Y39&amp;IF(Z39="Yes","  [IPL]","")),IF(AA39="","","• "&amp;AA39&amp;IF(AB39="Yes","  [IPL]","")))</f>
        <v/>
      </c>
      <c r="AD39" s="30">
        <f>IF(AC39="","",COUNTIF(Q39:AB39,"Yes"))</f>
        <v/>
      </c>
      <c r="AE39" s="19" t="n"/>
      <c r="AF39" s="19" t="n"/>
      <c r="AG39" s="30">
        <f>IF(OR(AE39="",AF39=""),"",INDEX(RiskGrid,6-VALUE(LEFT(AE39,1)),VALUE(LEFT(AF39,1))))</f>
        <v/>
      </c>
      <c r="AH39" s="30">
        <f>IF(AG39="","",IF(AG39&gt;=BandVH,"Very High",IF(AG39&gt;=BandHigh,"High",IF(AG39&gt;=BandMed,"Medium","Low"))))</f>
        <v/>
      </c>
      <c r="AI39" s="4" t="n"/>
      <c r="AJ39" s="4" t="n"/>
    </row>
    <row r="40">
      <c r="A40" s="30">
        <f>IF(B40="","",COUNTIF(B$14:B40,"?*"))</f>
        <v/>
      </c>
      <c r="B40" s="4" t="n"/>
      <c r="C40" s="19" t="n"/>
      <c r="D40" s="5">
        <f>IF(OR(B40="",C40=""),"",UPPER(LEFT(C40,1))&amp;LOWER(MID(C40,2,30))&amp;" "&amp;LOWER(LEFT(B40,1))&amp;MID(B40,2,200))</f>
        <v/>
      </c>
      <c r="E40" s="4" t="n"/>
      <c r="F40" s="4" t="n"/>
      <c r="G40" s="4" t="n"/>
      <c r="H40" s="4" t="n"/>
      <c r="I40" s="4" t="n"/>
      <c r="J40" s="4" t="n"/>
      <c r="K40" s="5">
        <f>_xlfn.TEXTJOIN(CHAR(10),TRUE,IF(E40="","","• "&amp;E40),IF(F40="","","• "&amp;F40),IF(G40="","","• "&amp;G40),IF(H40="","","• "&amp;H40),IF(I40="","","• "&amp;I40),IF(J40="","","• "&amp;J40))</f>
        <v/>
      </c>
      <c r="L40" s="4" t="n"/>
      <c r="M40" s="19" t="n"/>
      <c r="N40" s="19" t="n"/>
      <c r="O40" s="30">
        <f>IF(OR(M40="",N40=""),"",INDEX(RiskGrid,6-VALUE(LEFT(M40,1)),VALUE(LEFT(N40,1))))</f>
        <v/>
      </c>
      <c r="P40" s="30">
        <f>IF(O40="","",IF(O40&gt;=BandVH,"Very High",IF(O40&gt;=BandHigh,"High",IF(O40&gt;=BandMed,"Medium","Low"))))</f>
        <v/>
      </c>
      <c r="Q40" s="4" t="n"/>
      <c r="R40" s="19" t="n"/>
      <c r="S40" s="4" t="n"/>
      <c r="T40" s="19" t="n"/>
      <c r="U40" s="4" t="n"/>
      <c r="V40" s="19" t="n"/>
      <c r="W40" s="4" t="n"/>
      <c r="X40" s="19" t="n"/>
      <c r="Y40" s="4" t="n"/>
      <c r="Z40" s="19" t="n"/>
      <c r="AA40" s="4" t="n"/>
      <c r="AB40" s="19" t="n"/>
      <c r="AC40" s="5">
        <f>_xlfn.TEXTJOIN(CHAR(10),TRUE,IF(Q40="","","• "&amp;Q40&amp;IF(R40="Yes","  [IPL]","")),IF(S40="","","• "&amp;S40&amp;IF(T40="Yes","  [IPL]","")),IF(U40="","","• "&amp;U40&amp;IF(V40="Yes","  [IPL]","")),IF(W40="","","• "&amp;W40&amp;IF(X40="Yes","  [IPL]","")),IF(Y40="","","• "&amp;Y40&amp;IF(Z40="Yes","  [IPL]","")),IF(AA40="","","• "&amp;AA40&amp;IF(AB40="Yes","  [IPL]","")))</f>
        <v/>
      </c>
      <c r="AD40" s="30">
        <f>IF(AC40="","",COUNTIF(Q40:AB40,"Yes"))</f>
        <v/>
      </c>
      <c r="AE40" s="19" t="n"/>
      <c r="AF40" s="19" t="n"/>
      <c r="AG40" s="30">
        <f>IF(OR(AE40="",AF40=""),"",INDEX(RiskGrid,6-VALUE(LEFT(AE40,1)),VALUE(LEFT(AF40,1))))</f>
        <v/>
      </c>
      <c r="AH40" s="30">
        <f>IF(AG40="","",IF(AG40&gt;=BandVH,"Very High",IF(AG40&gt;=BandHigh,"High",IF(AG40&gt;=BandMed,"Medium","Low"))))</f>
        <v/>
      </c>
      <c r="AI40" s="4" t="n"/>
      <c r="AJ40" s="4" t="n"/>
    </row>
    <row r="41">
      <c r="A41" s="30">
        <f>IF(B41="","",COUNTIF(B$14:B41,"?*"))</f>
        <v/>
      </c>
      <c r="B41" s="4" t="n"/>
      <c r="C41" s="19" t="n"/>
      <c r="D41" s="5">
        <f>IF(OR(B41="",C41=""),"",UPPER(LEFT(C41,1))&amp;LOWER(MID(C41,2,30))&amp;" "&amp;LOWER(LEFT(B41,1))&amp;MID(B41,2,200))</f>
        <v/>
      </c>
      <c r="E41" s="4" t="n"/>
      <c r="F41" s="4" t="n"/>
      <c r="G41" s="4" t="n"/>
      <c r="H41" s="4" t="n"/>
      <c r="I41" s="4" t="n"/>
      <c r="J41" s="4" t="n"/>
      <c r="K41" s="5">
        <f>_xlfn.TEXTJOIN(CHAR(10),TRUE,IF(E41="","","• "&amp;E41),IF(F41="","","• "&amp;F41),IF(G41="","","• "&amp;G41),IF(H41="","","• "&amp;H41),IF(I41="","","• "&amp;I41),IF(J41="","","• "&amp;J41))</f>
        <v/>
      </c>
      <c r="L41" s="4" t="n"/>
      <c r="M41" s="19" t="n"/>
      <c r="N41" s="19" t="n"/>
      <c r="O41" s="30">
        <f>IF(OR(M41="",N41=""),"",INDEX(RiskGrid,6-VALUE(LEFT(M41,1)),VALUE(LEFT(N41,1))))</f>
        <v/>
      </c>
      <c r="P41" s="30">
        <f>IF(O41="","",IF(O41&gt;=BandVH,"Very High",IF(O41&gt;=BandHigh,"High",IF(O41&gt;=BandMed,"Medium","Low"))))</f>
        <v/>
      </c>
      <c r="Q41" s="4" t="n"/>
      <c r="R41" s="19" t="n"/>
      <c r="S41" s="4" t="n"/>
      <c r="T41" s="19" t="n"/>
      <c r="U41" s="4" t="n"/>
      <c r="V41" s="19" t="n"/>
      <c r="W41" s="4" t="n"/>
      <c r="X41" s="19" t="n"/>
      <c r="Y41" s="4" t="n"/>
      <c r="Z41" s="19" t="n"/>
      <c r="AA41" s="4" t="n"/>
      <c r="AB41" s="19" t="n"/>
      <c r="AC41" s="5">
        <f>_xlfn.TEXTJOIN(CHAR(10),TRUE,IF(Q41="","","• "&amp;Q41&amp;IF(R41="Yes","  [IPL]","")),IF(S41="","","• "&amp;S41&amp;IF(T41="Yes","  [IPL]","")),IF(U41="","","• "&amp;U41&amp;IF(V41="Yes","  [IPL]","")),IF(W41="","","• "&amp;W41&amp;IF(X41="Yes","  [IPL]","")),IF(Y41="","","• "&amp;Y41&amp;IF(Z41="Yes","  [IPL]","")),IF(AA41="","","• "&amp;AA41&amp;IF(AB41="Yes","  [IPL]","")))</f>
        <v/>
      </c>
      <c r="AD41" s="30">
        <f>IF(AC41="","",COUNTIF(Q41:AB41,"Yes"))</f>
        <v/>
      </c>
      <c r="AE41" s="19" t="n"/>
      <c r="AF41" s="19" t="n"/>
      <c r="AG41" s="30">
        <f>IF(OR(AE41="",AF41=""),"",INDEX(RiskGrid,6-VALUE(LEFT(AE41,1)),VALUE(LEFT(AF41,1))))</f>
        <v/>
      </c>
      <c r="AH41" s="30">
        <f>IF(AG41="","",IF(AG41&gt;=BandVH,"Very High",IF(AG41&gt;=BandHigh,"High",IF(AG41&gt;=BandMed,"Medium","Low"))))</f>
        <v/>
      </c>
      <c r="AI41" s="4" t="n"/>
      <c r="AJ41" s="4" t="n"/>
    </row>
    <row r="42">
      <c r="A42" s="30">
        <f>IF(B42="","",COUNTIF(B$14:B42,"?*"))</f>
        <v/>
      </c>
      <c r="B42" s="4" t="n"/>
      <c r="C42" s="19" t="n"/>
      <c r="D42" s="5">
        <f>IF(OR(B42="",C42=""),"",UPPER(LEFT(C42,1))&amp;LOWER(MID(C42,2,30))&amp;" "&amp;LOWER(LEFT(B42,1))&amp;MID(B42,2,200))</f>
        <v/>
      </c>
      <c r="E42" s="4" t="n"/>
      <c r="F42" s="4" t="n"/>
      <c r="G42" s="4" t="n"/>
      <c r="H42" s="4" t="n"/>
      <c r="I42" s="4" t="n"/>
      <c r="J42" s="4" t="n"/>
      <c r="K42" s="5">
        <f>_xlfn.TEXTJOIN(CHAR(10),TRUE,IF(E42="","","• "&amp;E42),IF(F42="","","• "&amp;F42),IF(G42="","","• "&amp;G42),IF(H42="","","• "&amp;H42),IF(I42="","","• "&amp;I42),IF(J42="","","• "&amp;J42))</f>
        <v/>
      </c>
      <c r="L42" s="4" t="n"/>
      <c r="M42" s="19" t="n"/>
      <c r="N42" s="19" t="n"/>
      <c r="O42" s="30">
        <f>IF(OR(M42="",N42=""),"",INDEX(RiskGrid,6-VALUE(LEFT(M42,1)),VALUE(LEFT(N42,1))))</f>
        <v/>
      </c>
      <c r="P42" s="30">
        <f>IF(O42="","",IF(O42&gt;=BandVH,"Very High",IF(O42&gt;=BandHigh,"High",IF(O42&gt;=BandMed,"Medium","Low"))))</f>
        <v/>
      </c>
      <c r="Q42" s="4" t="n"/>
      <c r="R42" s="19" t="n"/>
      <c r="S42" s="4" t="n"/>
      <c r="T42" s="19" t="n"/>
      <c r="U42" s="4" t="n"/>
      <c r="V42" s="19" t="n"/>
      <c r="W42" s="4" t="n"/>
      <c r="X42" s="19" t="n"/>
      <c r="Y42" s="4" t="n"/>
      <c r="Z42" s="19" t="n"/>
      <c r="AA42" s="4" t="n"/>
      <c r="AB42" s="19" t="n"/>
      <c r="AC42" s="5">
        <f>_xlfn.TEXTJOIN(CHAR(10),TRUE,IF(Q42="","","• "&amp;Q42&amp;IF(R42="Yes","  [IPL]","")),IF(S42="","","• "&amp;S42&amp;IF(T42="Yes","  [IPL]","")),IF(U42="","","• "&amp;U42&amp;IF(V42="Yes","  [IPL]","")),IF(W42="","","• "&amp;W42&amp;IF(X42="Yes","  [IPL]","")),IF(Y42="","","• "&amp;Y42&amp;IF(Z42="Yes","  [IPL]","")),IF(AA42="","","• "&amp;AA42&amp;IF(AB42="Yes","  [IPL]","")))</f>
        <v/>
      </c>
      <c r="AD42" s="30">
        <f>IF(AC42="","",COUNTIF(Q42:AB42,"Yes"))</f>
        <v/>
      </c>
      <c r="AE42" s="19" t="n"/>
      <c r="AF42" s="19" t="n"/>
      <c r="AG42" s="30">
        <f>IF(OR(AE42="",AF42=""),"",INDEX(RiskGrid,6-VALUE(LEFT(AE42,1)),VALUE(LEFT(AF42,1))))</f>
        <v/>
      </c>
      <c r="AH42" s="30">
        <f>IF(AG42="","",IF(AG42&gt;=BandVH,"Very High",IF(AG42&gt;=BandHigh,"High",IF(AG42&gt;=BandMed,"Medium","Low"))))</f>
        <v/>
      </c>
      <c r="AI42" s="4" t="n"/>
      <c r="AJ42" s="4" t="n"/>
    </row>
    <row r="43">
      <c r="A43" s="30">
        <f>IF(B43="","",COUNTIF(B$14:B43,"?*"))</f>
        <v/>
      </c>
      <c r="B43" s="4" t="n"/>
      <c r="C43" s="19" t="n"/>
      <c r="D43" s="5">
        <f>IF(OR(B43="",C43=""),"",UPPER(LEFT(C43,1))&amp;LOWER(MID(C43,2,30))&amp;" "&amp;LOWER(LEFT(B43,1))&amp;MID(B43,2,200))</f>
        <v/>
      </c>
      <c r="E43" s="4" t="n"/>
      <c r="F43" s="4" t="n"/>
      <c r="G43" s="4" t="n"/>
      <c r="H43" s="4" t="n"/>
      <c r="I43" s="4" t="n"/>
      <c r="J43" s="4" t="n"/>
      <c r="K43" s="5">
        <f>_xlfn.TEXTJOIN(CHAR(10),TRUE,IF(E43="","","• "&amp;E43),IF(F43="","","• "&amp;F43),IF(G43="","","• "&amp;G43),IF(H43="","","• "&amp;H43),IF(I43="","","• "&amp;I43),IF(J43="","","• "&amp;J43))</f>
        <v/>
      </c>
      <c r="L43" s="4" t="n"/>
      <c r="M43" s="19" t="n"/>
      <c r="N43" s="19" t="n"/>
      <c r="O43" s="30">
        <f>IF(OR(M43="",N43=""),"",INDEX(RiskGrid,6-VALUE(LEFT(M43,1)),VALUE(LEFT(N43,1))))</f>
        <v/>
      </c>
      <c r="P43" s="30">
        <f>IF(O43="","",IF(O43&gt;=BandVH,"Very High",IF(O43&gt;=BandHigh,"High",IF(O43&gt;=BandMed,"Medium","Low"))))</f>
        <v/>
      </c>
      <c r="Q43" s="4" t="n"/>
      <c r="R43" s="19" t="n"/>
      <c r="S43" s="4" t="n"/>
      <c r="T43" s="19" t="n"/>
      <c r="U43" s="4" t="n"/>
      <c r="V43" s="19" t="n"/>
      <c r="W43" s="4" t="n"/>
      <c r="X43" s="19" t="n"/>
      <c r="Y43" s="4" t="n"/>
      <c r="Z43" s="19" t="n"/>
      <c r="AA43" s="4" t="n"/>
      <c r="AB43" s="19" t="n"/>
      <c r="AC43" s="5">
        <f>_xlfn.TEXTJOIN(CHAR(10),TRUE,IF(Q43="","","• "&amp;Q43&amp;IF(R43="Yes","  [IPL]","")),IF(S43="","","• "&amp;S43&amp;IF(T43="Yes","  [IPL]","")),IF(U43="","","• "&amp;U43&amp;IF(V43="Yes","  [IPL]","")),IF(W43="","","• "&amp;W43&amp;IF(X43="Yes","  [IPL]","")),IF(Y43="","","• "&amp;Y43&amp;IF(Z43="Yes","  [IPL]","")),IF(AA43="","","• "&amp;AA43&amp;IF(AB43="Yes","  [IPL]","")))</f>
        <v/>
      </c>
      <c r="AD43" s="30">
        <f>IF(AC43="","",COUNTIF(Q43:AB43,"Yes"))</f>
        <v/>
      </c>
      <c r="AE43" s="19" t="n"/>
      <c r="AF43" s="19" t="n"/>
      <c r="AG43" s="30">
        <f>IF(OR(AE43="",AF43=""),"",INDEX(RiskGrid,6-VALUE(LEFT(AE43,1)),VALUE(LEFT(AF43,1))))</f>
        <v/>
      </c>
      <c r="AH43" s="30">
        <f>IF(AG43="","",IF(AG43&gt;=BandVH,"Very High",IF(AG43&gt;=BandHigh,"High",IF(AG43&gt;=BandMed,"Medium","Low"))))</f>
        <v/>
      </c>
      <c r="AI43" s="4" t="n"/>
      <c r="AJ43" s="4" t="n"/>
    </row>
    <row r="44">
      <c r="A44" s="30">
        <f>IF(B44="","",COUNTIF(B$14:B44,"?*"))</f>
        <v/>
      </c>
      <c r="B44" s="4" t="n"/>
      <c r="C44" s="19" t="n"/>
      <c r="D44" s="5">
        <f>IF(OR(B44="",C44=""),"",UPPER(LEFT(C44,1))&amp;LOWER(MID(C44,2,30))&amp;" "&amp;LOWER(LEFT(B44,1))&amp;MID(B44,2,200))</f>
        <v/>
      </c>
      <c r="E44" s="4" t="n"/>
      <c r="F44" s="4" t="n"/>
      <c r="G44" s="4" t="n"/>
      <c r="H44" s="4" t="n"/>
      <c r="I44" s="4" t="n"/>
      <c r="J44" s="4" t="n"/>
      <c r="K44" s="5">
        <f>_xlfn.TEXTJOIN(CHAR(10),TRUE,IF(E44="","","• "&amp;E44),IF(F44="","","• "&amp;F44),IF(G44="","","• "&amp;G44),IF(H44="","","• "&amp;H44),IF(I44="","","• "&amp;I44),IF(J44="","","• "&amp;J44))</f>
        <v/>
      </c>
      <c r="L44" s="4" t="n"/>
      <c r="M44" s="19" t="n"/>
      <c r="N44" s="19" t="n"/>
      <c r="O44" s="30">
        <f>IF(OR(M44="",N44=""),"",INDEX(RiskGrid,6-VALUE(LEFT(M44,1)),VALUE(LEFT(N44,1))))</f>
        <v/>
      </c>
      <c r="P44" s="30">
        <f>IF(O44="","",IF(O44&gt;=BandVH,"Very High",IF(O44&gt;=BandHigh,"High",IF(O44&gt;=BandMed,"Medium","Low"))))</f>
        <v/>
      </c>
      <c r="Q44" s="4" t="n"/>
      <c r="R44" s="19" t="n"/>
      <c r="S44" s="4" t="n"/>
      <c r="T44" s="19" t="n"/>
      <c r="U44" s="4" t="n"/>
      <c r="V44" s="19" t="n"/>
      <c r="W44" s="4" t="n"/>
      <c r="X44" s="19" t="n"/>
      <c r="Y44" s="4" t="n"/>
      <c r="Z44" s="19" t="n"/>
      <c r="AA44" s="4" t="n"/>
      <c r="AB44" s="19" t="n"/>
      <c r="AC44" s="5">
        <f>_xlfn.TEXTJOIN(CHAR(10),TRUE,IF(Q44="","","• "&amp;Q44&amp;IF(R44="Yes","  [IPL]","")),IF(S44="","","• "&amp;S44&amp;IF(T44="Yes","  [IPL]","")),IF(U44="","","• "&amp;U44&amp;IF(V44="Yes","  [IPL]","")),IF(W44="","","• "&amp;W44&amp;IF(X44="Yes","  [IPL]","")),IF(Y44="","","• "&amp;Y44&amp;IF(Z44="Yes","  [IPL]","")),IF(AA44="","","• "&amp;AA44&amp;IF(AB44="Yes","  [IPL]","")))</f>
        <v/>
      </c>
      <c r="AD44" s="30">
        <f>IF(AC44="","",COUNTIF(Q44:AB44,"Yes"))</f>
        <v/>
      </c>
      <c r="AE44" s="19" t="n"/>
      <c r="AF44" s="19" t="n"/>
      <c r="AG44" s="30">
        <f>IF(OR(AE44="",AF44=""),"",INDEX(RiskGrid,6-VALUE(LEFT(AE44,1)),VALUE(LEFT(AF44,1))))</f>
        <v/>
      </c>
      <c r="AH44" s="30">
        <f>IF(AG44="","",IF(AG44&gt;=BandVH,"Very High",IF(AG44&gt;=BandHigh,"High",IF(AG44&gt;=BandMed,"Medium","Low"))))</f>
        <v/>
      </c>
      <c r="AI44" s="4" t="n"/>
      <c r="AJ44" s="4" t="n"/>
    </row>
    <row r="45">
      <c r="A45" s="30">
        <f>IF(B45="","",COUNTIF(B$14:B45,"?*"))</f>
        <v/>
      </c>
      <c r="B45" s="4" t="n"/>
      <c r="C45" s="19" t="n"/>
      <c r="D45" s="5">
        <f>IF(OR(B45="",C45=""),"",UPPER(LEFT(C45,1))&amp;LOWER(MID(C45,2,30))&amp;" "&amp;LOWER(LEFT(B45,1))&amp;MID(B45,2,200))</f>
        <v/>
      </c>
      <c r="E45" s="4" t="n"/>
      <c r="F45" s="4" t="n"/>
      <c r="G45" s="4" t="n"/>
      <c r="H45" s="4" t="n"/>
      <c r="I45" s="4" t="n"/>
      <c r="J45" s="4" t="n"/>
      <c r="K45" s="5">
        <f>_xlfn.TEXTJOIN(CHAR(10),TRUE,IF(E45="","","• "&amp;E45),IF(F45="","","• "&amp;F45),IF(G45="","","• "&amp;G45),IF(H45="","","• "&amp;H45),IF(I45="","","• "&amp;I45),IF(J45="","","• "&amp;J45))</f>
        <v/>
      </c>
      <c r="L45" s="4" t="n"/>
      <c r="M45" s="19" t="n"/>
      <c r="N45" s="19" t="n"/>
      <c r="O45" s="30">
        <f>IF(OR(M45="",N45=""),"",INDEX(RiskGrid,6-VALUE(LEFT(M45,1)),VALUE(LEFT(N45,1))))</f>
        <v/>
      </c>
      <c r="P45" s="30">
        <f>IF(O45="","",IF(O45&gt;=BandVH,"Very High",IF(O45&gt;=BandHigh,"High",IF(O45&gt;=BandMed,"Medium","Low"))))</f>
        <v/>
      </c>
      <c r="Q45" s="4" t="n"/>
      <c r="R45" s="19" t="n"/>
      <c r="S45" s="4" t="n"/>
      <c r="T45" s="19" t="n"/>
      <c r="U45" s="4" t="n"/>
      <c r="V45" s="19" t="n"/>
      <c r="W45" s="4" t="n"/>
      <c r="X45" s="19" t="n"/>
      <c r="Y45" s="4" t="n"/>
      <c r="Z45" s="19" t="n"/>
      <c r="AA45" s="4" t="n"/>
      <c r="AB45" s="19" t="n"/>
      <c r="AC45" s="5">
        <f>_xlfn.TEXTJOIN(CHAR(10),TRUE,IF(Q45="","","• "&amp;Q45&amp;IF(R45="Yes","  [IPL]","")),IF(S45="","","• "&amp;S45&amp;IF(T45="Yes","  [IPL]","")),IF(U45="","","• "&amp;U45&amp;IF(V45="Yes","  [IPL]","")),IF(W45="","","• "&amp;W45&amp;IF(X45="Yes","  [IPL]","")),IF(Y45="","","• "&amp;Y45&amp;IF(Z45="Yes","  [IPL]","")),IF(AA45="","","• "&amp;AA45&amp;IF(AB45="Yes","  [IPL]","")))</f>
        <v/>
      </c>
      <c r="AD45" s="30">
        <f>IF(AC45="","",COUNTIF(Q45:AB45,"Yes"))</f>
        <v/>
      </c>
      <c r="AE45" s="19" t="n"/>
      <c r="AF45" s="19" t="n"/>
      <c r="AG45" s="30">
        <f>IF(OR(AE45="",AF45=""),"",INDEX(RiskGrid,6-VALUE(LEFT(AE45,1)),VALUE(LEFT(AF45,1))))</f>
        <v/>
      </c>
      <c r="AH45" s="30">
        <f>IF(AG45="","",IF(AG45&gt;=BandVH,"Very High",IF(AG45&gt;=BandHigh,"High",IF(AG45&gt;=BandMed,"Medium","Low"))))</f>
        <v/>
      </c>
      <c r="AI45" s="4" t="n"/>
      <c r="AJ45" s="4" t="n"/>
    </row>
    <row r="46">
      <c r="A46" s="30">
        <f>IF(B46="","",COUNTIF(B$14:B46,"?*"))</f>
        <v/>
      </c>
      <c r="B46" s="4" t="n"/>
      <c r="C46" s="19" t="n"/>
      <c r="D46" s="5">
        <f>IF(OR(B46="",C46=""),"",UPPER(LEFT(C46,1))&amp;LOWER(MID(C46,2,30))&amp;" "&amp;LOWER(LEFT(B46,1))&amp;MID(B46,2,200))</f>
        <v/>
      </c>
      <c r="E46" s="4" t="n"/>
      <c r="F46" s="4" t="n"/>
      <c r="G46" s="4" t="n"/>
      <c r="H46" s="4" t="n"/>
      <c r="I46" s="4" t="n"/>
      <c r="J46" s="4" t="n"/>
      <c r="K46" s="5">
        <f>_xlfn.TEXTJOIN(CHAR(10),TRUE,IF(E46="","","• "&amp;E46),IF(F46="","","• "&amp;F46),IF(G46="","","• "&amp;G46),IF(H46="","","• "&amp;H46),IF(I46="","","• "&amp;I46),IF(J46="","","• "&amp;J46))</f>
        <v/>
      </c>
      <c r="L46" s="4" t="n"/>
      <c r="M46" s="19" t="n"/>
      <c r="N46" s="19" t="n"/>
      <c r="O46" s="30">
        <f>IF(OR(M46="",N46=""),"",INDEX(RiskGrid,6-VALUE(LEFT(M46,1)),VALUE(LEFT(N46,1))))</f>
        <v/>
      </c>
      <c r="P46" s="30">
        <f>IF(O46="","",IF(O46&gt;=BandVH,"Very High",IF(O46&gt;=BandHigh,"High",IF(O46&gt;=BandMed,"Medium","Low"))))</f>
        <v/>
      </c>
      <c r="Q46" s="4" t="n"/>
      <c r="R46" s="19" t="n"/>
      <c r="S46" s="4" t="n"/>
      <c r="T46" s="19" t="n"/>
      <c r="U46" s="4" t="n"/>
      <c r="V46" s="19" t="n"/>
      <c r="W46" s="4" t="n"/>
      <c r="X46" s="19" t="n"/>
      <c r="Y46" s="4" t="n"/>
      <c r="Z46" s="19" t="n"/>
      <c r="AA46" s="4" t="n"/>
      <c r="AB46" s="19" t="n"/>
      <c r="AC46" s="5">
        <f>_xlfn.TEXTJOIN(CHAR(10),TRUE,IF(Q46="","","• "&amp;Q46&amp;IF(R46="Yes","  [IPL]","")),IF(S46="","","• "&amp;S46&amp;IF(T46="Yes","  [IPL]","")),IF(U46="","","• "&amp;U46&amp;IF(V46="Yes","  [IPL]","")),IF(W46="","","• "&amp;W46&amp;IF(X46="Yes","  [IPL]","")),IF(Y46="","","• "&amp;Y46&amp;IF(Z46="Yes","  [IPL]","")),IF(AA46="","","• "&amp;AA46&amp;IF(AB46="Yes","  [IPL]","")))</f>
        <v/>
      </c>
      <c r="AD46" s="30">
        <f>IF(AC46="","",COUNTIF(Q46:AB46,"Yes"))</f>
        <v/>
      </c>
      <c r="AE46" s="19" t="n"/>
      <c r="AF46" s="19" t="n"/>
      <c r="AG46" s="30">
        <f>IF(OR(AE46="",AF46=""),"",INDEX(RiskGrid,6-VALUE(LEFT(AE46,1)),VALUE(LEFT(AF46,1))))</f>
        <v/>
      </c>
      <c r="AH46" s="30">
        <f>IF(AG46="","",IF(AG46&gt;=BandVH,"Very High",IF(AG46&gt;=BandHigh,"High",IF(AG46&gt;=BandMed,"Medium","Low"))))</f>
        <v/>
      </c>
      <c r="AI46" s="4" t="n"/>
      <c r="AJ46" s="4" t="n"/>
    </row>
    <row r="47">
      <c r="A47" s="30">
        <f>IF(B47="","",COUNTIF(B$14:B47,"?*"))</f>
        <v/>
      </c>
      <c r="B47" s="4" t="n"/>
      <c r="C47" s="19" t="n"/>
      <c r="D47" s="5">
        <f>IF(OR(B47="",C47=""),"",UPPER(LEFT(C47,1))&amp;LOWER(MID(C47,2,30))&amp;" "&amp;LOWER(LEFT(B47,1))&amp;MID(B47,2,200))</f>
        <v/>
      </c>
      <c r="E47" s="4" t="n"/>
      <c r="F47" s="4" t="n"/>
      <c r="G47" s="4" t="n"/>
      <c r="H47" s="4" t="n"/>
      <c r="I47" s="4" t="n"/>
      <c r="J47" s="4" t="n"/>
      <c r="K47" s="5">
        <f>_xlfn.TEXTJOIN(CHAR(10),TRUE,IF(E47="","","• "&amp;E47),IF(F47="","","• "&amp;F47),IF(G47="","","• "&amp;G47),IF(H47="","","• "&amp;H47),IF(I47="","","• "&amp;I47),IF(J47="","","• "&amp;J47))</f>
        <v/>
      </c>
      <c r="L47" s="4" t="n"/>
      <c r="M47" s="19" t="n"/>
      <c r="N47" s="19" t="n"/>
      <c r="O47" s="30">
        <f>IF(OR(M47="",N47=""),"",INDEX(RiskGrid,6-VALUE(LEFT(M47,1)),VALUE(LEFT(N47,1))))</f>
        <v/>
      </c>
      <c r="P47" s="30">
        <f>IF(O47="","",IF(O47&gt;=BandVH,"Very High",IF(O47&gt;=BandHigh,"High",IF(O47&gt;=BandMed,"Medium","Low"))))</f>
        <v/>
      </c>
      <c r="Q47" s="4" t="n"/>
      <c r="R47" s="19" t="n"/>
      <c r="S47" s="4" t="n"/>
      <c r="T47" s="19" t="n"/>
      <c r="U47" s="4" t="n"/>
      <c r="V47" s="19" t="n"/>
      <c r="W47" s="4" t="n"/>
      <c r="X47" s="19" t="n"/>
      <c r="Y47" s="4" t="n"/>
      <c r="Z47" s="19" t="n"/>
      <c r="AA47" s="4" t="n"/>
      <c r="AB47" s="19" t="n"/>
      <c r="AC47" s="5">
        <f>_xlfn.TEXTJOIN(CHAR(10),TRUE,IF(Q47="","","• "&amp;Q47&amp;IF(R47="Yes","  [IPL]","")),IF(S47="","","• "&amp;S47&amp;IF(T47="Yes","  [IPL]","")),IF(U47="","","• "&amp;U47&amp;IF(V47="Yes","  [IPL]","")),IF(W47="","","• "&amp;W47&amp;IF(X47="Yes","  [IPL]","")),IF(Y47="","","• "&amp;Y47&amp;IF(Z47="Yes","  [IPL]","")),IF(AA47="","","• "&amp;AA47&amp;IF(AB47="Yes","  [IPL]","")))</f>
        <v/>
      </c>
      <c r="AD47" s="30">
        <f>IF(AC47="","",COUNTIF(Q47:AB47,"Yes"))</f>
        <v/>
      </c>
      <c r="AE47" s="19" t="n"/>
      <c r="AF47" s="19" t="n"/>
      <c r="AG47" s="30">
        <f>IF(OR(AE47="",AF47=""),"",INDEX(RiskGrid,6-VALUE(LEFT(AE47,1)),VALUE(LEFT(AF47,1))))</f>
        <v/>
      </c>
      <c r="AH47" s="30">
        <f>IF(AG47="","",IF(AG47&gt;=BandVH,"Very High",IF(AG47&gt;=BandHigh,"High",IF(AG47&gt;=BandMed,"Medium","Low"))))</f>
        <v/>
      </c>
      <c r="AI47" s="4" t="n"/>
      <c r="AJ47" s="4" t="n"/>
    </row>
    <row r="48">
      <c r="A48" s="30">
        <f>IF(B48="","",COUNTIF(B$14:B48,"?*"))</f>
        <v/>
      </c>
      <c r="B48" s="4" t="n"/>
      <c r="C48" s="19" t="n"/>
      <c r="D48" s="5">
        <f>IF(OR(B48="",C48=""),"",UPPER(LEFT(C48,1))&amp;LOWER(MID(C48,2,30))&amp;" "&amp;LOWER(LEFT(B48,1))&amp;MID(B48,2,200))</f>
        <v/>
      </c>
      <c r="E48" s="4" t="n"/>
      <c r="F48" s="4" t="n"/>
      <c r="G48" s="4" t="n"/>
      <c r="H48" s="4" t="n"/>
      <c r="I48" s="4" t="n"/>
      <c r="J48" s="4" t="n"/>
      <c r="K48" s="5">
        <f>_xlfn.TEXTJOIN(CHAR(10),TRUE,IF(E48="","","• "&amp;E48),IF(F48="","","• "&amp;F48),IF(G48="","","• "&amp;G48),IF(H48="","","• "&amp;H48),IF(I48="","","• "&amp;I48),IF(J48="","","• "&amp;J48))</f>
        <v/>
      </c>
      <c r="L48" s="4" t="n"/>
      <c r="M48" s="19" t="n"/>
      <c r="N48" s="19" t="n"/>
      <c r="O48" s="30">
        <f>IF(OR(M48="",N48=""),"",INDEX(RiskGrid,6-VALUE(LEFT(M48,1)),VALUE(LEFT(N48,1))))</f>
        <v/>
      </c>
      <c r="P48" s="30">
        <f>IF(O48="","",IF(O48&gt;=BandVH,"Very High",IF(O48&gt;=BandHigh,"High",IF(O48&gt;=BandMed,"Medium","Low"))))</f>
        <v/>
      </c>
      <c r="Q48" s="4" t="n"/>
      <c r="R48" s="19" t="n"/>
      <c r="S48" s="4" t="n"/>
      <c r="T48" s="19" t="n"/>
      <c r="U48" s="4" t="n"/>
      <c r="V48" s="19" t="n"/>
      <c r="W48" s="4" t="n"/>
      <c r="X48" s="19" t="n"/>
      <c r="Y48" s="4" t="n"/>
      <c r="Z48" s="19" t="n"/>
      <c r="AA48" s="4" t="n"/>
      <c r="AB48" s="19" t="n"/>
      <c r="AC48" s="5">
        <f>_xlfn.TEXTJOIN(CHAR(10),TRUE,IF(Q48="","","• "&amp;Q48&amp;IF(R48="Yes","  [IPL]","")),IF(S48="","","• "&amp;S48&amp;IF(T48="Yes","  [IPL]","")),IF(U48="","","• "&amp;U48&amp;IF(V48="Yes","  [IPL]","")),IF(W48="","","• "&amp;W48&amp;IF(X48="Yes","  [IPL]","")),IF(Y48="","","• "&amp;Y48&amp;IF(Z48="Yes","  [IPL]","")),IF(AA48="","","• "&amp;AA48&amp;IF(AB48="Yes","  [IPL]","")))</f>
        <v/>
      </c>
      <c r="AD48" s="30">
        <f>IF(AC48="","",COUNTIF(Q48:AB48,"Yes"))</f>
        <v/>
      </c>
      <c r="AE48" s="19" t="n"/>
      <c r="AF48" s="19" t="n"/>
      <c r="AG48" s="30">
        <f>IF(OR(AE48="",AF48=""),"",INDEX(RiskGrid,6-VALUE(LEFT(AE48,1)),VALUE(LEFT(AF48,1))))</f>
        <v/>
      </c>
      <c r="AH48" s="30">
        <f>IF(AG48="","",IF(AG48&gt;=BandVH,"Very High",IF(AG48&gt;=BandHigh,"High",IF(AG48&gt;=BandMed,"Medium","Low"))))</f>
        <v/>
      </c>
      <c r="AI48" s="4" t="n"/>
      <c r="AJ48" s="4" t="n"/>
    </row>
    <row r="49">
      <c r="A49" s="30">
        <f>IF(B49="","",COUNTIF(B$14:B49,"?*"))</f>
        <v/>
      </c>
      <c r="B49" s="4" t="n"/>
      <c r="C49" s="19" t="n"/>
      <c r="D49" s="5">
        <f>IF(OR(B49="",C49=""),"",UPPER(LEFT(C49,1))&amp;LOWER(MID(C49,2,30))&amp;" "&amp;LOWER(LEFT(B49,1))&amp;MID(B49,2,200))</f>
        <v/>
      </c>
      <c r="E49" s="4" t="n"/>
      <c r="F49" s="4" t="n"/>
      <c r="G49" s="4" t="n"/>
      <c r="H49" s="4" t="n"/>
      <c r="I49" s="4" t="n"/>
      <c r="J49" s="4" t="n"/>
      <c r="K49" s="5">
        <f>_xlfn.TEXTJOIN(CHAR(10),TRUE,IF(E49="","","• "&amp;E49),IF(F49="","","• "&amp;F49),IF(G49="","","• "&amp;G49),IF(H49="","","• "&amp;H49),IF(I49="","","• "&amp;I49),IF(J49="","","• "&amp;J49))</f>
        <v/>
      </c>
      <c r="L49" s="4" t="n"/>
      <c r="M49" s="19" t="n"/>
      <c r="N49" s="19" t="n"/>
      <c r="O49" s="30">
        <f>IF(OR(M49="",N49=""),"",INDEX(RiskGrid,6-VALUE(LEFT(M49,1)),VALUE(LEFT(N49,1))))</f>
        <v/>
      </c>
      <c r="P49" s="30">
        <f>IF(O49="","",IF(O49&gt;=BandVH,"Very High",IF(O49&gt;=BandHigh,"High",IF(O49&gt;=BandMed,"Medium","Low"))))</f>
        <v/>
      </c>
      <c r="Q49" s="4" t="n"/>
      <c r="R49" s="19" t="n"/>
      <c r="S49" s="4" t="n"/>
      <c r="T49" s="19" t="n"/>
      <c r="U49" s="4" t="n"/>
      <c r="V49" s="19" t="n"/>
      <c r="W49" s="4" t="n"/>
      <c r="X49" s="19" t="n"/>
      <c r="Y49" s="4" t="n"/>
      <c r="Z49" s="19" t="n"/>
      <c r="AA49" s="4" t="n"/>
      <c r="AB49" s="19" t="n"/>
      <c r="AC49" s="5">
        <f>_xlfn.TEXTJOIN(CHAR(10),TRUE,IF(Q49="","","• "&amp;Q49&amp;IF(R49="Yes","  [IPL]","")),IF(S49="","","• "&amp;S49&amp;IF(T49="Yes","  [IPL]","")),IF(U49="","","• "&amp;U49&amp;IF(V49="Yes","  [IPL]","")),IF(W49="","","• "&amp;W49&amp;IF(X49="Yes","  [IPL]","")),IF(Y49="","","• "&amp;Y49&amp;IF(Z49="Yes","  [IPL]","")),IF(AA49="","","• "&amp;AA49&amp;IF(AB49="Yes","  [IPL]","")))</f>
        <v/>
      </c>
      <c r="AD49" s="30">
        <f>IF(AC49="","",COUNTIF(Q49:AB49,"Yes"))</f>
        <v/>
      </c>
      <c r="AE49" s="19" t="n"/>
      <c r="AF49" s="19" t="n"/>
      <c r="AG49" s="30">
        <f>IF(OR(AE49="",AF49=""),"",INDEX(RiskGrid,6-VALUE(LEFT(AE49,1)),VALUE(LEFT(AF49,1))))</f>
        <v/>
      </c>
      <c r="AH49" s="30">
        <f>IF(AG49="","",IF(AG49&gt;=BandVH,"Very High",IF(AG49&gt;=BandHigh,"High",IF(AG49&gt;=BandMed,"Medium","Low"))))</f>
        <v/>
      </c>
      <c r="AI49" s="4" t="n"/>
      <c r="AJ49" s="4" t="n"/>
    </row>
    <row r="50">
      <c r="A50" s="30">
        <f>IF(B50="","",COUNTIF(B$14:B50,"?*"))</f>
        <v/>
      </c>
      <c r="B50" s="4" t="n"/>
      <c r="C50" s="19" t="n"/>
      <c r="D50" s="5">
        <f>IF(OR(B50="",C50=""),"",UPPER(LEFT(C50,1))&amp;LOWER(MID(C50,2,30))&amp;" "&amp;LOWER(LEFT(B50,1))&amp;MID(B50,2,200))</f>
        <v/>
      </c>
      <c r="E50" s="4" t="n"/>
      <c r="F50" s="4" t="n"/>
      <c r="G50" s="4" t="n"/>
      <c r="H50" s="4" t="n"/>
      <c r="I50" s="4" t="n"/>
      <c r="J50" s="4" t="n"/>
      <c r="K50" s="5">
        <f>_xlfn.TEXTJOIN(CHAR(10),TRUE,IF(E50="","","• "&amp;E50),IF(F50="","","• "&amp;F50),IF(G50="","","• "&amp;G50),IF(H50="","","• "&amp;H50),IF(I50="","","• "&amp;I50),IF(J50="","","• "&amp;J50))</f>
        <v/>
      </c>
      <c r="L50" s="4" t="n"/>
      <c r="M50" s="19" t="n"/>
      <c r="N50" s="19" t="n"/>
      <c r="O50" s="30">
        <f>IF(OR(M50="",N50=""),"",INDEX(RiskGrid,6-VALUE(LEFT(M50,1)),VALUE(LEFT(N50,1))))</f>
        <v/>
      </c>
      <c r="P50" s="30">
        <f>IF(O50="","",IF(O50&gt;=BandVH,"Very High",IF(O50&gt;=BandHigh,"High",IF(O50&gt;=BandMed,"Medium","Low"))))</f>
        <v/>
      </c>
      <c r="Q50" s="4" t="n"/>
      <c r="R50" s="19" t="n"/>
      <c r="S50" s="4" t="n"/>
      <c r="T50" s="19" t="n"/>
      <c r="U50" s="4" t="n"/>
      <c r="V50" s="19" t="n"/>
      <c r="W50" s="4" t="n"/>
      <c r="X50" s="19" t="n"/>
      <c r="Y50" s="4" t="n"/>
      <c r="Z50" s="19" t="n"/>
      <c r="AA50" s="4" t="n"/>
      <c r="AB50" s="19" t="n"/>
      <c r="AC50" s="5">
        <f>_xlfn.TEXTJOIN(CHAR(10),TRUE,IF(Q50="","","• "&amp;Q50&amp;IF(R50="Yes","  [IPL]","")),IF(S50="","","• "&amp;S50&amp;IF(T50="Yes","  [IPL]","")),IF(U50="","","• "&amp;U50&amp;IF(V50="Yes","  [IPL]","")),IF(W50="","","• "&amp;W50&amp;IF(X50="Yes","  [IPL]","")),IF(Y50="","","• "&amp;Y50&amp;IF(Z50="Yes","  [IPL]","")),IF(AA50="","","• "&amp;AA50&amp;IF(AB50="Yes","  [IPL]","")))</f>
        <v/>
      </c>
      <c r="AD50" s="30">
        <f>IF(AC50="","",COUNTIF(Q50:AB50,"Yes"))</f>
        <v/>
      </c>
      <c r="AE50" s="19" t="n"/>
      <c r="AF50" s="19" t="n"/>
      <c r="AG50" s="30">
        <f>IF(OR(AE50="",AF50=""),"",INDEX(RiskGrid,6-VALUE(LEFT(AE50,1)),VALUE(LEFT(AF50,1))))</f>
        <v/>
      </c>
      <c r="AH50" s="30">
        <f>IF(AG50="","",IF(AG50&gt;=BandVH,"Very High",IF(AG50&gt;=BandHigh,"High",IF(AG50&gt;=BandMed,"Medium","Low"))))</f>
        <v/>
      </c>
      <c r="AI50" s="4" t="n"/>
      <c r="AJ50" s="4" t="n"/>
    </row>
    <row r="51">
      <c r="A51" s="30">
        <f>IF(B51="","",COUNTIF(B$14:B51,"?*"))</f>
        <v/>
      </c>
      <c r="B51" s="4" t="n"/>
      <c r="C51" s="19" t="n"/>
      <c r="D51" s="5">
        <f>IF(OR(B51="",C51=""),"",UPPER(LEFT(C51,1))&amp;LOWER(MID(C51,2,30))&amp;" "&amp;LOWER(LEFT(B51,1))&amp;MID(B51,2,200))</f>
        <v/>
      </c>
      <c r="E51" s="4" t="n"/>
      <c r="F51" s="4" t="n"/>
      <c r="G51" s="4" t="n"/>
      <c r="H51" s="4" t="n"/>
      <c r="I51" s="4" t="n"/>
      <c r="J51" s="4" t="n"/>
      <c r="K51" s="5">
        <f>_xlfn.TEXTJOIN(CHAR(10),TRUE,IF(E51="","","• "&amp;E51),IF(F51="","","• "&amp;F51),IF(G51="","","• "&amp;G51),IF(H51="","","• "&amp;H51),IF(I51="","","• "&amp;I51),IF(J51="","","• "&amp;J51))</f>
        <v/>
      </c>
      <c r="L51" s="4" t="n"/>
      <c r="M51" s="19" t="n"/>
      <c r="N51" s="19" t="n"/>
      <c r="O51" s="30">
        <f>IF(OR(M51="",N51=""),"",INDEX(RiskGrid,6-VALUE(LEFT(M51,1)),VALUE(LEFT(N51,1))))</f>
        <v/>
      </c>
      <c r="P51" s="30">
        <f>IF(O51="","",IF(O51&gt;=BandVH,"Very High",IF(O51&gt;=BandHigh,"High",IF(O51&gt;=BandMed,"Medium","Low"))))</f>
        <v/>
      </c>
      <c r="Q51" s="4" t="n"/>
      <c r="R51" s="19" t="n"/>
      <c r="S51" s="4" t="n"/>
      <c r="T51" s="19" t="n"/>
      <c r="U51" s="4" t="n"/>
      <c r="V51" s="19" t="n"/>
      <c r="W51" s="4" t="n"/>
      <c r="X51" s="19" t="n"/>
      <c r="Y51" s="4" t="n"/>
      <c r="Z51" s="19" t="n"/>
      <c r="AA51" s="4" t="n"/>
      <c r="AB51" s="19" t="n"/>
      <c r="AC51" s="5">
        <f>_xlfn.TEXTJOIN(CHAR(10),TRUE,IF(Q51="","","• "&amp;Q51&amp;IF(R51="Yes","  [IPL]","")),IF(S51="","","• "&amp;S51&amp;IF(T51="Yes","  [IPL]","")),IF(U51="","","• "&amp;U51&amp;IF(V51="Yes","  [IPL]","")),IF(W51="","","• "&amp;W51&amp;IF(X51="Yes","  [IPL]","")),IF(Y51="","","• "&amp;Y51&amp;IF(Z51="Yes","  [IPL]","")),IF(AA51="","","• "&amp;AA51&amp;IF(AB51="Yes","  [IPL]","")))</f>
        <v/>
      </c>
      <c r="AD51" s="30">
        <f>IF(AC51="","",COUNTIF(Q51:AB51,"Yes"))</f>
        <v/>
      </c>
      <c r="AE51" s="19" t="n"/>
      <c r="AF51" s="19" t="n"/>
      <c r="AG51" s="30">
        <f>IF(OR(AE51="",AF51=""),"",INDEX(RiskGrid,6-VALUE(LEFT(AE51,1)),VALUE(LEFT(AF51,1))))</f>
        <v/>
      </c>
      <c r="AH51" s="30">
        <f>IF(AG51="","",IF(AG51&gt;=BandVH,"Very High",IF(AG51&gt;=BandHigh,"High",IF(AG51&gt;=BandMed,"Medium","Low"))))</f>
        <v/>
      </c>
      <c r="AI51" s="4" t="n"/>
      <c r="AJ51" s="4" t="n"/>
    </row>
    <row r="52">
      <c r="A52" s="30">
        <f>IF(B52="","",COUNTIF(B$14:B52,"?*"))</f>
        <v/>
      </c>
      <c r="B52" s="4" t="n"/>
      <c r="C52" s="19" t="n"/>
      <c r="D52" s="5">
        <f>IF(OR(B52="",C52=""),"",UPPER(LEFT(C52,1))&amp;LOWER(MID(C52,2,30))&amp;" "&amp;LOWER(LEFT(B52,1))&amp;MID(B52,2,200))</f>
        <v/>
      </c>
      <c r="E52" s="4" t="n"/>
      <c r="F52" s="4" t="n"/>
      <c r="G52" s="4" t="n"/>
      <c r="H52" s="4" t="n"/>
      <c r="I52" s="4" t="n"/>
      <c r="J52" s="4" t="n"/>
      <c r="K52" s="5">
        <f>_xlfn.TEXTJOIN(CHAR(10),TRUE,IF(E52="","","• "&amp;E52),IF(F52="","","• "&amp;F52),IF(G52="","","• "&amp;G52),IF(H52="","","• "&amp;H52),IF(I52="","","• "&amp;I52),IF(J52="","","• "&amp;J52))</f>
        <v/>
      </c>
      <c r="L52" s="4" t="n"/>
      <c r="M52" s="19" t="n"/>
      <c r="N52" s="19" t="n"/>
      <c r="O52" s="30">
        <f>IF(OR(M52="",N52=""),"",INDEX(RiskGrid,6-VALUE(LEFT(M52,1)),VALUE(LEFT(N52,1))))</f>
        <v/>
      </c>
      <c r="P52" s="30">
        <f>IF(O52="","",IF(O52&gt;=BandVH,"Very High",IF(O52&gt;=BandHigh,"High",IF(O52&gt;=BandMed,"Medium","Low"))))</f>
        <v/>
      </c>
      <c r="Q52" s="4" t="n"/>
      <c r="R52" s="19" t="n"/>
      <c r="S52" s="4" t="n"/>
      <c r="T52" s="19" t="n"/>
      <c r="U52" s="4" t="n"/>
      <c r="V52" s="19" t="n"/>
      <c r="W52" s="4" t="n"/>
      <c r="X52" s="19" t="n"/>
      <c r="Y52" s="4" t="n"/>
      <c r="Z52" s="19" t="n"/>
      <c r="AA52" s="4" t="n"/>
      <c r="AB52" s="19" t="n"/>
      <c r="AC52" s="5">
        <f>_xlfn.TEXTJOIN(CHAR(10),TRUE,IF(Q52="","","• "&amp;Q52&amp;IF(R52="Yes","  [IPL]","")),IF(S52="","","• "&amp;S52&amp;IF(T52="Yes","  [IPL]","")),IF(U52="","","• "&amp;U52&amp;IF(V52="Yes","  [IPL]","")),IF(W52="","","• "&amp;W52&amp;IF(X52="Yes","  [IPL]","")),IF(Y52="","","• "&amp;Y52&amp;IF(Z52="Yes","  [IPL]","")),IF(AA52="","","• "&amp;AA52&amp;IF(AB52="Yes","  [IPL]","")))</f>
        <v/>
      </c>
      <c r="AD52" s="30">
        <f>IF(AC52="","",COUNTIF(Q52:AB52,"Yes"))</f>
        <v/>
      </c>
      <c r="AE52" s="19" t="n"/>
      <c r="AF52" s="19" t="n"/>
      <c r="AG52" s="30">
        <f>IF(OR(AE52="",AF52=""),"",INDEX(RiskGrid,6-VALUE(LEFT(AE52,1)),VALUE(LEFT(AF52,1))))</f>
        <v/>
      </c>
      <c r="AH52" s="30">
        <f>IF(AG52="","",IF(AG52&gt;=BandVH,"Very High",IF(AG52&gt;=BandHigh,"High",IF(AG52&gt;=BandMed,"Medium","Low"))))</f>
        <v/>
      </c>
      <c r="AI52" s="4" t="n"/>
      <c r="AJ52" s="4" t="n"/>
    </row>
    <row r="53">
      <c r="A53" s="30">
        <f>IF(B53="","",COUNTIF(B$14:B53,"?*"))</f>
        <v/>
      </c>
      <c r="B53" s="4" t="n"/>
      <c r="C53" s="19" t="n"/>
      <c r="D53" s="5">
        <f>IF(OR(B53="",C53=""),"",UPPER(LEFT(C53,1))&amp;LOWER(MID(C53,2,30))&amp;" "&amp;LOWER(LEFT(B53,1))&amp;MID(B53,2,200))</f>
        <v/>
      </c>
      <c r="E53" s="4" t="n"/>
      <c r="F53" s="4" t="n"/>
      <c r="G53" s="4" t="n"/>
      <c r="H53" s="4" t="n"/>
      <c r="I53" s="4" t="n"/>
      <c r="J53" s="4" t="n"/>
      <c r="K53" s="5">
        <f>_xlfn.TEXTJOIN(CHAR(10),TRUE,IF(E53="","","• "&amp;E53),IF(F53="","","• "&amp;F53),IF(G53="","","• "&amp;G53),IF(H53="","","• "&amp;H53),IF(I53="","","• "&amp;I53),IF(J53="","","• "&amp;J53))</f>
        <v/>
      </c>
      <c r="L53" s="4" t="n"/>
      <c r="M53" s="19" t="n"/>
      <c r="N53" s="19" t="n"/>
      <c r="O53" s="30">
        <f>IF(OR(M53="",N53=""),"",INDEX(RiskGrid,6-VALUE(LEFT(M53,1)),VALUE(LEFT(N53,1))))</f>
        <v/>
      </c>
      <c r="P53" s="30">
        <f>IF(O53="","",IF(O53&gt;=BandVH,"Very High",IF(O53&gt;=BandHigh,"High",IF(O53&gt;=BandMed,"Medium","Low"))))</f>
        <v/>
      </c>
      <c r="Q53" s="4" t="n"/>
      <c r="R53" s="19" t="n"/>
      <c r="S53" s="4" t="n"/>
      <c r="T53" s="19" t="n"/>
      <c r="U53" s="4" t="n"/>
      <c r="V53" s="19" t="n"/>
      <c r="W53" s="4" t="n"/>
      <c r="X53" s="19" t="n"/>
      <c r="Y53" s="4" t="n"/>
      <c r="Z53" s="19" t="n"/>
      <c r="AA53" s="4" t="n"/>
      <c r="AB53" s="19" t="n"/>
      <c r="AC53" s="5">
        <f>_xlfn.TEXTJOIN(CHAR(10),TRUE,IF(Q53="","","• "&amp;Q53&amp;IF(R53="Yes","  [IPL]","")),IF(S53="","","• "&amp;S53&amp;IF(T53="Yes","  [IPL]","")),IF(U53="","","• "&amp;U53&amp;IF(V53="Yes","  [IPL]","")),IF(W53="","","• "&amp;W53&amp;IF(X53="Yes","  [IPL]","")),IF(Y53="","","• "&amp;Y53&amp;IF(Z53="Yes","  [IPL]","")),IF(AA53="","","• "&amp;AA53&amp;IF(AB53="Yes","  [IPL]","")))</f>
        <v/>
      </c>
      <c r="AD53" s="30">
        <f>IF(AC53="","",COUNTIF(Q53:AB53,"Yes"))</f>
        <v/>
      </c>
      <c r="AE53" s="19" t="n"/>
      <c r="AF53" s="19" t="n"/>
      <c r="AG53" s="30">
        <f>IF(OR(AE53="",AF53=""),"",INDEX(RiskGrid,6-VALUE(LEFT(AE53,1)),VALUE(LEFT(AF53,1))))</f>
        <v/>
      </c>
      <c r="AH53" s="30">
        <f>IF(AG53="","",IF(AG53&gt;=BandVH,"Very High",IF(AG53&gt;=BandHigh,"High",IF(AG53&gt;=BandMed,"Medium","Low"))))</f>
        <v/>
      </c>
      <c r="AI53" s="4" t="n"/>
      <c r="AJ53" s="4" t="n"/>
    </row>
    <row r="54">
      <c r="A54" s="30">
        <f>IF(B54="","",COUNTIF(B$14:B54,"?*"))</f>
        <v/>
      </c>
      <c r="B54" s="4" t="n"/>
      <c r="C54" s="19" t="n"/>
      <c r="D54" s="5">
        <f>IF(OR(B54="",C54=""),"",UPPER(LEFT(C54,1))&amp;LOWER(MID(C54,2,30))&amp;" "&amp;LOWER(LEFT(B54,1))&amp;MID(B54,2,200))</f>
        <v/>
      </c>
      <c r="E54" s="4" t="n"/>
      <c r="F54" s="4" t="n"/>
      <c r="G54" s="4" t="n"/>
      <c r="H54" s="4" t="n"/>
      <c r="I54" s="4" t="n"/>
      <c r="J54" s="4" t="n"/>
      <c r="K54" s="5">
        <f>_xlfn.TEXTJOIN(CHAR(10),TRUE,IF(E54="","","• "&amp;E54),IF(F54="","","• "&amp;F54),IF(G54="","","• "&amp;G54),IF(H54="","","• "&amp;H54),IF(I54="","","• "&amp;I54),IF(J54="","","• "&amp;J54))</f>
        <v/>
      </c>
      <c r="L54" s="4" t="n"/>
      <c r="M54" s="19" t="n"/>
      <c r="N54" s="19" t="n"/>
      <c r="O54" s="30">
        <f>IF(OR(M54="",N54=""),"",INDEX(RiskGrid,6-VALUE(LEFT(M54,1)),VALUE(LEFT(N54,1))))</f>
        <v/>
      </c>
      <c r="P54" s="30">
        <f>IF(O54="","",IF(O54&gt;=BandVH,"Very High",IF(O54&gt;=BandHigh,"High",IF(O54&gt;=BandMed,"Medium","Low"))))</f>
        <v/>
      </c>
      <c r="Q54" s="4" t="n"/>
      <c r="R54" s="19" t="n"/>
      <c r="S54" s="4" t="n"/>
      <c r="T54" s="19" t="n"/>
      <c r="U54" s="4" t="n"/>
      <c r="V54" s="19" t="n"/>
      <c r="W54" s="4" t="n"/>
      <c r="X54" s="19" t="n"/>
      <c r="Y54" s="4" t="n"/>
      <c r="Z54" s="19" t="n"/>
      <c r="AA54" s="4" t="n"/>
      <c r="AB54" s="19" t="n"/>
      <c r="AC54" s="5">
        <f>_xlfn.TEXTJOIN(CHAR(10),TRUE,IF(Q54="","","• "&amp;Q54&amp;IF(R54="Yes","  [IPL]","")),IF(S54="","","• "&amp;S54&amp;IF(T54="Yes","  [IPL]","")),IF(U54="","","• "&amp;U54&amp;IF(V54="Yes","  [IPL]","")),IF(W54="","","• "&amp;W54&amp;IF(X54="Yes","  [IPL]","")),IF(Y54="","","• "&amp;Y54&amp;IF(Z54="Yes","  [IPL]","")),IF(AA54="","","• "&amp;AA54&amp;IF(AB54="Yes","  [IPL]","")))</f>
        <v/>
      </c>
      <c r="AD54" s="30">
        <f>IF(AC54="","",COUNTIF(Q54:AB54,"Yes"))</f>
        <v/>
      </c>
      <c r="AE54" s="19" t="n"/>
      <c r="AF54" s="19" t="n"/>
      <c r="AG54" s="30">
        <f>IF(OR(AE54="",AF54=""),"",INDEX(RiskGrid,6-VALUE(LEFT(AE54,1)),VALUE(LEFT(AF54,1))))</f>
        <v/>
      </c>
      <c r="AH54" s="30">
        <f>IF(AG54="","",IF(AG54&gt;=BandVH,"Very High",IF(AG54&gt;=BandHigh,"High",IF(AG54&gt;=BandMed,"Medium","Low"))))</f>
        <v/>
      </c>
      <c r="AI54" s="4" t="n"/>
      <c r="AJ54" s="4" t="n"/>
    </row>
    <row r="55">
      <c r="A55" s="30">
        <f>IF(B55="","",COUNTIF(B$14:B55,"?*"))</f>
        <v/>
      </c>
      <c r="B55" s="4" t="n"/>
      <c r="C55" s="19" t="n"/>
      <c r="D55" s="5">
        <f>IF(OR(B55="",C55=""),"",UPPER(LEFT(C55,1))&amp;LOWER(MID(C55,2,30))&amp;" "&amp;LOWER(LEFT(B55,1))&amp;MID(B55,2,200))</f>
        <v/>
      </c>
      <c r="E55" s="4" t="n"/>
      <c r="F55" s="4" t="n"/>
      <c r="G55" s="4" t="n"/>
      <c r="H55" s="4" t="n"/>
      <c r="I55" s="4" t="n"/>
      <c r="J55" s="4" t="n"/>
      <c r="K55" s="5">
        <f>_xlfn.TEXTJOIN(CHAR(10),TRUE,IF(E55="","","• "&amp;E55),IF(F55="","","• "&amp;F55),IF(G55="","","• "&amp;G55),IF(H55="","","• "&amp;H55),IF(I55="","","• "&amp;I55),IF(J55="","","• "&amp;J55))</f>
        <v/>
      </c>
      <c r="L55" s="4" t="n"/>
      <c r="M55" s="19" t="n"/>
      <c r="N55" s="19" t="n"/>
      <c r="O55" s="30">
        <f>IF(OR(M55="",N55=""),"",INDEX(RiskGrid,6-VALUE(LEFT(M55,1)),VALUE(LEFT(N55,1))))</f>
        <v/>
      </c>
      <c r="P55" s="30">
        <f>IF(O55="","",IF(O55&gt;=BandVH,"Very High",IF(O55&gt;=BandHigh,"High",IF(O55&gt;=BandMed,"Medium","Low"))))</f>
        <v/>
      </c>
      <c r="Q55" s="4" t="n"/>
      <c r="R55" s="19" t="n"/>
      <c r="S55" s="4" t="n"/>
      <c r="T55" s="19" t="n"/>
      <c r="U55" s="4" t="n"/>
      <c r="V55" s="19" t="n"/>
      <c r="W55" s="4" t="n"/>
      <c r="X55" s="19" t="n"/>
      <c r="Y55" s="4" t="n"/>
      <c r="Z55" s="19" t="n"/>
      <c r="AA55" s="4" t="n"/>
      <c r="AB55" s="19" t="n"/>
      <c r="AC55" s="5">
        <f>_xlfn.TEXTJOIN(CHAR(10),TRUE,IF(Q55="","","• "&amp;Q55&amp;IF(R55="Yes","  [IPL]","")),IF(S55="","","• "&amp;S55&amp;IF(T55="Yes","  [IPL]","")),IF(U55="","","• "&amp;U55&amp;IF(V55="Yes","  [IPL]","")),IF(W55="","","• "&amp;W55&amp;IF(X55="Yes","  [IPL]","")),IF(Y55="","","• "&amp;Y55&amp;IF(Z55="Yes","  [IPL]","")),IF(AA55="","","• "&amp;AA55&amp;IF(AB55="Yes","  [IPL]","")))</f>
        <v/>
      </c>
      <c r="AD55" s="30">
        <f>IF(AC55="","",COUNTIF(Q55:AB55,"Yes"))</f>
        <v/>
      </c>
      <c r="AE55" s="19" t="n"/>
      <c r="AF55" s="19" t="n"/>
      <c r="AG55" s="30">
        <f>IF(OR(AE55="",AF55=""),"",INDEX(RiskGrid,6-VALUE(LEFT(AE55,1)),VALUE(LEFT(AF55,1))))</f>
        <v/>
      </c>
      <c r="AH55" s="30">
        <f>IF(AG55="","",IF(AG55&gt;=BandVH,"Very High",IF(AG55&gt;=BandHigh,"High",IF(AG55&gt;=BandMed,"Medium","Low"))))</f>
        <v/>
      </c>
      <c r="AI55" s="4" t="n"/>
      <c r="AJ55" s="4" t="n"/>
    </row>
    <row r="56">
      <c r="A56" s="30">
        <f>IF(B56="","",COUNTIF(B$14:B56,"?*"))</f>
        <v/>
      </c>
      <c r="B56" s="4" t="n"/>
      <c r="C56" s="19" t="n"/>
      <c r="D56" s="5">
        <f>IF(OR(B56="",C56=""),"",UPPER(LEFT(C56,1))&amp;LOWER(MID(C56,2,30))&amp;" "&amp;LOWER(LEFT(B56,1))&amp;MID(B56,2,200))</f>
        <v/>
      </c>
      <c r="E56" s="4" t="n"/>
      <c r="F56" s="4" t="n"/>
      <c r="G56" s="4" t="n"/>
      <c r="H56" s="4" t="n"/>
      <c r="I56" s="4" t="n"/>
      <c r="J56" s="4" t="n"/>
      <c r="K56" s="5">
        <f>_xlfn.TEXTJOIN(CHAR(10),TRUE,IF(E56="","","• "&amp;E56),IF(F56="","","• "&amp;F56),IF(G56="","","• "&amp;G56),IF(H56="","","• "&amp;H56),IF(I56="","","• "&amp;I56),IF(J56="","","• "&amp;J56))</f>
        <v/>
      </c>
      <c r="L56" s="4" t="n"/>
      <c r="M56" s="19" t="n"/>
      <c r="N56" s="19" t="n"/>
      <c r="O56" s="30">
        <f>IF(OR(M56="",N56=""),"",INDEX(RiskGrid,6-VALUE(LEFT(M56,1)),VALUE(LEFT(N56,1))))</f>
        <v/>
      </c>
      <c r="P56" s="30">
        <f>IF(O56="","",IF(O56&gt;=BandVH,"Very High",IF(O56&gt;=BandHigh,"High",IF(O56&gt;=BandMed,"Medium","Low"))))</f>
        <v/>
      </c>
      <c r="Q56" s="4" t="n"/>
      <c r="R56" s="19" t="n"/>
      <c r="S56" s="4" t="n"/>
      <c r="T56" s="19" t="n"/>
      <c r="U56" s="4" t="n"/>
      <c r="V56" s="19" t="n"/>
      <c r="W56" s="4" t="n"/>
      <c r="X56" s="19" t="n"/>
      <c r="Y56" s="4" t="n"/>
      <c r="Z56" s="19" t="n"/>
      <c r="AA56" s="4" t="n"/>
      <c r="AB56" s="19" t="n"/>
      <c r="AC56" s="5">
        <f>_xlfn.TEXTJOIN(CHAR(10),TRUE,IF(Q56="","","• "&amp;Q56&amp;IF(R56="Yes","  [IPL]","")),IF(S56="","","• "&amp;S56&amp;IF(T56="Yes","  [IPL]","")),IF(U56="","","• "&amp;U56&amp;IF(V56="Yes","  [IPL]","")),IF(W56="","","• "&amp;W56&amp;IF(X56="Yes","  [IPL]","")),IF(Y56="","","• "&amp;Y56&amp;IF(Z56="Yes","  [IPL]","")),IF(AA56="","","• "&amp;AA56&amp;IF(AB56="Yes","  [IPL]","")))</f>
        <v/>
      </c>
      <c r="AD56" s="30">
        <f>IF(AC56="","",COUNTIF(Q56:AB56,"Yes"))</f>
        <v/>
      </c>
      <c r="AE56" s="19" t="n"/>
      <c r="AF56" s="19" t="n"/>
      <c r="AG56" s="30">
        <f>IF(OR(AE56="",AF56=""),"",INDEX(RiskGrid,6-VALUE(LEFT(AE56,1)),VALUE(LEFT(AF56,1))))</f>
        <v/>
      </c>
      <c r="AH56" s="30">
        <f>IF(AG56="","",IF(AG56&gt;=BandVH,"Very High",IF(AG56&gt;=BandHigh,"High",IF(AG56&gt;=BandMed,"Medium","Low"))))</f>
        <v/>
      </c>
      <c r="AI56" s="4" t="n"/>
      <c r="AJ56" s="4" t="n"/>
    </row>
    <row r="57">
      <c r="A57" s="30">
        <f>IF(B57="","",COUNTIF(B$14:B57,"?*"))</f>
        <v/>
      </c>
      <c r="B57" s="4" t="n"/>
      <c r="C57" s="19" t="n"/>
      <c r="D57" s="5">
        <f>IF(OR(B57="",C57=""),"",UPPER(LEFT(C57,1))&amp;LOWER(MID(C57,2,30))&amp;" "&amp;LOWER(LEFT(B57,1))&amp;MID(B57,2,200))</f>
        <v/>
      </c>
      <c r="E57" s="4" t="n"/>
      <c r="F57" s="4" t="n"/>
      <c r="G57" s="4" t="n"/>
      <c r="H57" s="4" t="n"/>
      <c r="I57" s="4" t="n"/>
      <c r="J57" s="4" t="n"/>
      <c r="K57" s="5">
        <f>_xlfn.TEXTJOIN(CHAR(10),TRUE,IF(E57="","","• "&amp;E57),IF(F57="","","• "&amp;F57),IF(G57="","","• "&amp;G57),IF(H57="","","• "&amp;H57),IF(I57="","","• "&amp;I57),IF(J57="","","• "&amp;J57))</f>
        <v/>
      </c>
      <c r="L57" s="4" t="n"/>
      <c r="M57" s="19" t="n"/>
      <c r="N57" s="19" t="n"/>
      <c r="O57" s="30">
        <f>IF(OR(M57="",N57=""),"",INDEX(RiskGrid,6-VALUE(LEFT(M57,1)),VALUE(LEFT(N57,1))))</f>
        <v/>
      </c>
      <c r="P57" s="30">
        <f>IF(O57="","",IF(O57&gt;=BandVH,"Very High",IF(O57&gt;=BandHigh,"High",IF(O57&gt;=BandMed,"Medium","Low"))))</f>
        <v/>
      </c>
      <c r="Q57" s="4" t="n"/>
      <c r="R57" s="19" t="n"/>
      <c r="S57" s="4" t="n"/>
      <c r="T57" s="19" t="n"/>
      <c r="U57" s="4" t="n"/>
      <c r="V57" s="19" t="n"/>
      <c r="W57" s="4" t="n"/>
      <c r="X57" s="19" t="n"/>
      <c r="Y57" s="4" t="n"/>
      <c r="Z57" s="19" t="n"/>
      <c r="AA57" s="4" t="n"/>
      <c r="AB57" s="19" t="n"/>
      <c r="AC57" s="5">
        <f>_xlfn.TEXTJOIN(CHAR(10),TRUE,IF(Q57="","","• "&amp;Q57&amp;IF(R57="Yes","  [IPL]","")),IF(S57="","","• "&amp;S57&amp;IF(T57="Yes","  [IPL]","")),IF(U57="","","• "&amp;U57&amp;IF(V57="Yes","  [IPL]","")),IF(W57="","","• "&amp;W57&amp;IF(X57="Yes","  [IPL]","")),IF(Y57="","","• "&amp;Y57&amp;IF(Z57="Yes","  [IPL]","")),IF(AA57="","","• "&amp;AA57&amp;IF(AB57="Yes","  [IPL]","")))</f>
        <v/>
      </c>
      <c r="AD57" s="30">
        <f>IF(AC57="","",COUNTIF(Q57:AB57,"Yes"))</f>
        <v/>
      </c>
      <c r="AE57" s="19" t="n"/>
      <c r="AF57" s="19" t="n"/>
      <c r="AG57" s="30">
        <f>IF(OR(AE57="",AF57=""),"",INDEX(RiskGrid,6-VALUE(LEFT(AE57,1)),VALUE(LEFT(AF57,1))))</f>
        <v/>
      </c>
      <c r="AH57" s="30">
        <f>IF(AG57="","",IF(AG57&gt;=BandVH,"Very High",IF(AG57&gt;=BandHigh,"High",IF(AG57&gt;=BandMed,"Medium","Low"))))</f>
        <v/>
      </c>
      <c r="AI57" s="4" t="n"/>
      <c r="AJ57" s="4" t="n"/>
    </row>
    <row r="58">
      <c r="A58" s="30">
        <f>IF(B58="","",COUNTIF(B$14:B58,"?*"))</f>
        <v/>
      </c>
      <c r="B58" s="4" t="n"/>
      <c r="C58" s="19" t="n"/>
      <c r="D58" s="5">
        <f>IF(OR(B58="",C58=""),"",UPPER(LEFT(C58,1))&amp;LOWER(MID(C58,2,30))&amp;" "&amp;LOWER(LEFT(B58,1))&amp;MID(B58,2,200))</f>
        <v/>
      </c>
      <c r="E58" s="4" t="n"/>
      <c r="F58" s="4" t="n"/>
      <c r="G58" s="4" t="n"/>
      <c r="H58" s="4" t="n"/>
      <c r="I58" s="4" t="n"/>
      <c r="J58" s="4" t="n"/>
      <c r="K58" s="5">
        <f>_xlfn.TEXTJOIN(CHAR(10),TRUE,IF(E58="","","• "&amp;E58),IF(F58="","","• "&amp;F58),IF(G58="","","• "&amp;G58),IF(H58="","","• "&amp;H58),IF(I58="","","• "&amp;I58),IF(J58="","","• "&amp;J58))</f>
        <v/>
      </c>
      <c r="L58" s="4" t="n"/>
      <c r="M58" s="19" t="n"/>
      <c r="N58" s="19" t="n"/>
      <c r="O58" s="30">
        <f>IF(OR(M58="",N58=""),"",INDEX(RiskGrid,6-VALUE(LEFT(M58,1)),VALUE(LEFT(N58,1))))</f>
        <v/>
      </c>
      <c r="P58" s="30">
        <f>IF(O58="","",IF(O58&gt;=BandVH,"Very High",IF(O58&gt;=BandHigh,"High",IF(O58&gt;=BandMed,"Medium","Low"))))</f>
        <v/>
      </c>
      <c r="Q58" s="4" t="n"/>
      <c r="R58" s="19" t="n"/>
      <c r="S58" s="4" t="n"/>
      <c r="T58" s="19" t="n"/>
      <c r="U58" s="4" t="n"/>
      <c r="V58" s="19" t="n"/>
      <c r="W58" s="4" t="n"/>
      <c r="X58" s="19" t="n"/>
      <c r="Y58" s="4" t="n"/>
      <c r="Z58" s="19" t="n"/>
      <c r="AA58" s="4" t="n"/>
      <c r="AB58" s="19" t="n"/>
      <c r="AC58" s="5">
        <f>_xlfn.TEXTJOIN(CHAR(10),TRUE,IF(Q58="","","• "&amp;Q58&amp;IF(R58="Yes","  [IPL]","")),IF(S58="","","• "&amp;S58&amp;IF(T58="Yes","  [IPL]","")),IF(U58="","","• "&amp;U58&amp;IF(V58="Yes","  [IPL]","")),IF(W58="","","• "&amp;W58&amp;IF(X58="Yes","  [IPL]","")),IF(Y58="","","• "&amp;Y58&amp;IF(Z58="Yes","  [IPL]","")),IF(AA58="","","• "&amp;AA58&amp;IF(AB58="Yes","  [IPL]","")))</f>
        <v/>
      </c>
      <c r="AD58" s="30">
        <f>IF(AC58="","",COUNTIF(Q58:AB58,"Yes"))</f>
        <v/>
      </c>
      <c r="AE58" s="19" t="n"/>
      <c r="AF58" s="19" t="n"/>
      <c r="AG58" s="30">
        <f>IF(OR(AE58="",AF58=""),"",INDEX(RiskGrid,6-VALUE(LEFT(AE58,1)),VALUE(LEFT(AF58,1))))</f>
        <v/>
      </c>
      <c r="AH58" s="30">
        <f>IF(AG58="","",IF(AG58&gt;=BandVH,"Very High",IF(AG58&gt;=BandHigh,"High",IF(AG58&gt;=BandMed,"Medium","Low"))))</f>
        <v/>
      </c>
      <c r="AI58" s="4" t="n"/>
      <c r="AJ58" s="4" t="n"/>
    </row>
    <row r="59">
      <c r="A59" s="30">
        <f>IF(B59="","",COUNTIF(B$14:B59,"?*"))</f>
        <v/>
      </c>
      <c r="B59" s="4" t="n"/>
      <c r="C59" s="19" t="n"/>
      <c r="D59" s="5">
        <f>IF(OR(B59="",C59=""),"",UPPER(LEFT(C59,1))&amp;LOWER(MID(C59,2,30))&amp;" "&amp;LOWER(LEFT(B59,1))&amp;MID(B59,2,200))</f>
        <v/>
      </c>
      <c r="E59" s="4" t="n"/>
      <c r="F59" s="4" t="n"/>
      <c r="G59" s="4" t="n"/>
      <c r="H59" s="4" t="n"/>
      <c r="I59" s="4" t="n"/>
      <c r="J59" s="4" t="n"/>
      <c r="K59" s="5">
        <f>_xlfn.TEXTJOIN(CHAR(10),TRUE,IF(E59="","","• "&amp;E59),IF(F59="","","• "&amp;F59),IF(G59="","","• "&amp;G59),IF(H59="","","• "&amp;H59),IF(I59="","","• "&amp;I59),IF(J59="","","• "&amp;J59))</f>
        <v/>
      </c>
      <c r="L59" s="4" t="n"/>
      <c r="M59" s="19" t="n"/>
      <c r="N59" s="19" t="n"/>
      <c r="O59" s="30">
        <f>IF(OR(M59="",N59=""),"",INDEX(RiskGrid,6-VALUE(LEFT(M59,1)),VALUE(LEFT(N59,1))))</f>
        <v/>
      </c>
      <c r="P59" s="30">
        <f>IF(O59="","",IF(O59&gt;=BandVH,"Very High",IF(O59&gt;=BandHigh,"High",IF(O59&gt;=BandMed,"Medium","Low"))))</f>
        <v/>
      </c>
      <c r="Q59" s="4" t="n"/>
      <c r="R59" s="19" t="n"/>
      <c r="S59" s="4" t="n"/>
      <c r="T59" s="19" t="n"/>
      <c r="U59" s="4" t="n"/>
      <c r="V59" s="19" t="n"/>
      <c r="W59" s="4" t="n"/>
      <c r="X59" s="19" t="n"/>
      <c r="Y59" s="4" t="n"/>
      <c r="Z59" s="19" t="n"/>
      <c r="AA59" s="4" t="n"/>
      <c r="AB59" s="19" t="n"/>
      <c r="AC59" s="5">
        <f>_xlfn.TEXTJOIN(CHAR(10),TRUE,IF(Q59="","","• "&amp;Q59&amp;IF(R59="Yes","  [IPL]","")),IF(S59="","","• "&amp;S59&amp;IF(T59="Yes","  [IPL]","")),IF(U59="","","• "&amp;U59&amp;IF(V59="Yes","  [IPL]","")),IF(W59="","","• "&amp;W59&amp;IF(X59="Yes","  [IPL]","")),IF(Y59="","","• "&amp;Y59&amp;IF(Z59="Yes","  [IPL]","")),IF(AA59="","","• "&amp;AA59&amp;IF(AB59="Yes","  [IPL]","")))</f>
        <v/>
      </c>
      <c r="AD59" s="30">
        <f>IF(AC59="","",COUNTIF(Q59:AB59,"Yes"))</f>
        <v/>
      </c>
      <c r="AE59" s="19" t="n"/>
      <c r="AF59" s="19" t="n"/>
      <c r="AG59" s="30">
        <f>IF(OR(AE59="",AF59=""),"",INDEX(RiskGrid,6-VALUE(LEFT(AE59,1)),VALUE(LEFT(AF59,1))))</f>
        <v/>
      </c>
      <c r="AH59" s="30">
        <f>IF(AG59="","",IF(AG59&gt;=BandVH,"Very High",IF(AG59&gt;=BandHigh,"High",IF(AG59&gt;=BandMed,"Medium","Low"))))</f>
        <v/>
      </c>
      <c r="AI59" s="4" t="n"/>
      <c r="AJ59" s="4" t="n"/>
    </row>
    <row r="60">
      <c r="A60" s="30">
        <f>IF(B60="","",COUNTIF(B$14:B60,"?*"))</f>
        <v/>
      </c>
      <c r="B60" s="4" t="n"/>
      <c r="C60" s="19" t="n"/>
      <c r="D60" s="5">
        <f>IF(OR(B60="",C60=""),"",UPPER(LEFT(C60,1))&amp;LOWER(MID(C60,2,30))&amp;" "&amp;LOWER(LEFT(B60,1))&amp;MID(B60,2,200))</f>
        <v/>
      </c>
      <c r="E60" s="4" t="n"/>
      <c r="F60" s="4" t="n"/>
      <c r="G60" s="4" t="n"/>
      <c r="H60" s="4" t="n"/>
      <c r="I60" s="4" t="n"/>
      <c r="J60" s="4" t="n"/>
      <c r="K60" s="5">
        <f>_xlfn.TEXTJOIN(CHAR(10),TRUE,IF(E60="","","• "&amp;E60),IF(F60="","","• "&amp;F60),IF(G60="","","• "&amp;G60),IF(H60="","","• "&amp;H60),IF(I60="","","• "&amp;I60),IF(J60="","","• "&amp;J60))</f>
        <v/>
      </c>
      <c r="L60" s="4" t="n"/>
      <c r="M60" s="19" t="n"/>
      <c r="N60" s="19" t="n"/>
      <c r="O60" s="30">
        <f>IF(OR(M60="",N60=""),"",INDEX(RiskGrid,6-VALUE(LEFT(M60,1)),VALUE(LEFT(N60,1))))</f>
        <v/>
      </c>
      <c r="P60" s="30">
        <f>IF(O60="","",IF(O60&gt;=BandVH,"Very High",IF(O60&gt;=BandHigh,"High",IF(O60&gt;=BandMed,"Medium","Low"))))</f>
        <v/>
      </c>
      <c r="Q60" s="4" t="n"/>
      <c r="R60" s="19" t="n"/>
      <c r="S60" s="4" t="n"/>
      <c r="T60" s="19" t="n"/>
      <c r="U60" s="4" t="n"/>
      <c r="V60" s="19" t="n"/>
      <c r="W60" s="4" t="n"/>
      <c r="X60" s="19" t="n"/>
      <c r="Y60" s="4" t="n"/>
      <c r="Z60" s="19" t="n"/>
      <c r="AA60" s="4" t="n"/>
      <c r="AB60" s="19" t="n"/>
      <c r="AC60" s="5">
        <f>_xlfn.TEXTJOIN(CHAR(10),TRUE,IF(Q60="","","• "&amp;Q60&amp;IF(R60="Yes","  [IPL]","")),IF(S60="","","• "&amp;S60&amp;IF(T60="Yes","  [IPL]","")),IF(U60="","","• "&amp;U60&amp;IF(V60="Yes","  [IPL]","")),IF(W60="","","• "&amp;W60&amp;IF(X60="Yes","  [IPL]","")),IF(Y60="","","• "&amp;Y60&amp;IF(Z60="Yes","  [IPL]","")),IF(AA60="","","• "&amp;AA60&amp;IF(AB60="Yes","  [IPL]","")))</f>
        <v/>
      </c>
      <c r="AD60" s="30">
        <f>IF(AC60="","",COUNTIF(Q60:AB60,"Yes"))</f>
        <v/>
      </c>
      <c r="AE60" s="19" t="n"/>
      <c r="AF60" s="19" t="n"/>
      <c r="AG60" s="30">
        <f>IF(OR(AE60="",AF60=""),"",INDEX(RiskGrid,6-VALUE(LEFT(AE60,1)),VALUE(LEFT(AF60,1))))</f>
        <v/>
      </c>
      <c r="AH60" s="30">
        <f>IF(AG60="","",IF(AG60&gt;=BandVH,"Very High",IF(AG60&gt;=BandHigh,"High",IF(AG60&gt;=BandMed,"Medium","Low"))))</f>
        <v/>
      </c>
      <c r="AI60" s="4" t="n"/>
      <c r="AJ60" s="4" t="n"/>
    </row>
    <row r="61">
      <c r="A61" s="30">
        <f>IF(B61="","",COUNTIF(B$14:B61,"?*"))</f>
        <v/>
      </c>
      <c r="B61" s="4" t="n"/>
      <c r="C61" s="19" t="n"/>
      <c r="D61" s="5">
        <f>IF(OR(B61="",C61=""),"",UPPER(LEFT(C61,1))&amp;LOWER(MID(C61,2,30))&amp;" "&amp;LOWER(LEFT(B61,1))&amp;MID(B61,2,200))</f>
        <v/>
      </c>
      <c r="E61" s="4" t="n"/>
      <c r="F61" s="4" t="n"/>
      <c r="G61" s="4" t="n"/>
      <c r="H61" s="4" t="n"/>
      <c r="I61" s="4" t="n"/>
      <c r="J61" s="4" t="n"/>
      <c r="K61" s="5">
        <f>_xlfn.TEXTJOIN(CHAR(10),TRUE,IF(E61="","","• "&amp;E61),IF(F61="","","• "&amp;F61),IF(G61="","","• "&amp;G61),IF(H61="","","• "&amp;H61),IF(I61="","","• "&amp;I61),IF(J61="","","• "&amp;J61))</f>
        <v/>
      </c>
      <c r="L61" s="4" t="n"/>
      <c r="M61" s="19" t="n"/>
      <c r="N61" s="19" t="n"/>
      <c r="O61" s="30">
        <f>IF(OR(M61="",N61=""),"",INDEX(RiskGrid,6-VALUE(LEFT(M61,1)),VALUE(LEFT(N61,1))))</f>
        <v/>
      </c>
      <c r="P61" s="30">
        <f>IF(O61="","",IF(O61&gt;=BandVH,"Very High",IF(O61&gt;=BandHigh,"High",IF(O61&gt;=BandMed,"Medium","Low"))))</f>
        <v/>
      </c>
      <c r="Q61" s="4" t="n"/>
      <c r="R61" s="19" t="n"/>
      <c r="S61" s="4" t="n"/>
      <c r="T61" s="19" t="n"/>
      <c r="U61" s="4" t="n"/>
      <c r="V61" s="19" t="n"/>
      <c r="W61" s="4" t="n"/>
      <c r="X61" s="19" t="n"/>
      <c r="Y61" s="4" t="n"/>
      <c r="Z61" s="19" t="n"/>
      <c r="AA61" s="4" t="n"/>
      <c r="AB61" s="19" t="n"/>
      <c r="AC61" s="5">
        <f>_xlfn.TEXTJOIN(CHAR(10),TRUE,IF(Q61="","","• "&amp;Q61&amp;IF(R61="Yes","  [IPL]","")),IF(S61="","","• "&amp;S61&amp;IF(T61="Yes","  [IPL]","")),IF(U61="","","• "&amp;U61&amp;IF(V61="Yes","  [IPL]","")),IF(W61="","","• "&amp;W61&amp;IF(X61="Yes","  [IPL]","")),IF(Y61="","","• "&amp;Y61&amp;IF(Z61="Yes","  [IPL]","")),IF(AA61="","","• "&amp;AA61&amp;IF(AB61="Yes","  [IPL]","")))</f>
        <v/>
      </c>
      <c r="AD61" s="30">
        <f>IF(AC61="","",COUNTIF(Q61:AB61,"Yes"))</f>
        <v/>
      </c>
      <c r="AE61" s="19" t="n"/>
      <c r="AF61" s="19" t="n"/>
      <c r="AG61" s="30">
        <f>IF(OR(AE61="",AF61=""),"",INDEX(RiskGrid,6-VALUE(LEFT(AE61,1)),VALUE(LEFT(AF61,1))))</f>
        <v/>
      </c>
      <c r="AH61" s="30">
        <f>IF(AG61="","",IF(AG61&gt;=BandVH,"Very High",IF(AG61&gt;=BandHigh,"High",IF(AG61&gt;=BandMed,"Medium","Low"))))</f>
        <v/>
      </c>
      <c r="AI61" s="4" t="n"/>
      <c r="AJ61" s="4" t="n"/>
    </row>
    <row r="62">
      <c r="A62" s="30">
        <f>IF(B62="","",COUNTIF(B$14:B62,"?*"))</f>
        <v/>
      </c>
      <c r="B62" s="4" t="n"/>
      <c r="C62" s="19" t="n"/>
      <c r="D62" s="5">
        <f>IF(OR(B62="",C62=""),"",UPPER(LEFT(C62,1))&amp;LOWER(MID(C62,2,30))&amp;" "&amp;LOWER(LEFT(B62,1))&amp;MID(B62,2,200))</f>
        <v/>
      </c>
      <c r="E62" s="4" t="n"/>
      <c r="F62" s="4" t="n"/>
      <c r="G62" s="4" t="n"/>
      <c r="H62" s="4" t="n"/>
      <c r="I62" s="4" t="n"/>
      <c r="J62" s="4" t="n"/>
      <c r="K62" s="5">
        <f>_xlfn.TEXTJOIN(CHAR(10),TRUE,IF(E62="","","• "&amp;E62),IF(F62="","","• "&amp;F62),IF(G62="","","• "&amp;G62),IF(H62="","","• "&amp;H62),IF(I62="","","• "&amp;I62),IF(J62="","","• "&amp;J62))</f>
        <v/>
      </c>
      <c r="L62" s="4" t="n"/>
      <c r="M62" s="19" t="n"/>
      <c r="N62" s="19" t="n"/>
      <c r="O62" s="30">
        <f>IF(OR(M62="",N62=""),"",INDEX(RiskGrid,6-VALUE(LEFT(M62,1)),VALUE(LEFT(N62,1))))</f>
        <v/>
      </c>
      <c r="P62" s="30">
        <f>IF(O62="","",IF(O62&gt;=BandVH,"Very High",IF(O62&gt;=BandHigh,"High",IF(O62&gt;=BandMed,"Medium","Low"))))</f>
        <v/>
      </c>
      <c r="Q62" s="4" t="n"/>
      <c r="R62" s="19" t="n"/>
      <c r="S62" s="4" t="n"/>
      <c r="T62" s="19" t="n"/>
      <c r="U62" s="4" t="n"/>
      <c r="V62" s="19" t="n"/>
      <c r="W62" s="4" t="n"/>
      <c r="X62" s="19" t="n"/>
      <c r="Y62" s="4" t="n"/>
      <c r="Z62" s="19" t="n"/>
      <c r="AA62" s="4" t="n"/>
      <c r="AB62" s="19" t="n"/>
      <c r="AC62" s="5">
        <f>_xlfn.TEXTJOIN(CHAR(10),TRUE,IF(Q62="","","• "&amp;Q62&amp;IF(R62="Yes","  [IPL]","")),IF(S62="","","• "&amp;S62&amp;IF(T62="Yes","  [IPL]","")),IF(U62="","","• "&amp;U62&amp;IF(V62="Yes","  [IPL]","")),IF(W62="","","• "&amp;W62&amp;IF(X62="Yes","  [IPL]","")),IF(Y62="","","• "&amp;Y62&amp;IF(Z62="Yes","  [IPL]","")),IF(AA62="","","• "&amp;AA62&amp;IF(AB62="Yes","  [IPL]","")))</f>
        <v/>
      </c>
      <c r="AD62" s="30">
        <f>IF(AC62="","",COUNTIF(Q62:AB62,"Yes"))</f>
        <v/>
      </c>
      <c r="AE62" s="19" t="n"/>
      <c r="AF62" s="19" t="n"/>
      <c r="AG62" s="30">
        <f>IF(OR(AE62="",AF62=""),"",INDEX(RiskGrid,6-VALUE(LEFT(AE62,1)),VALUE(LEFT(AF62,1))))</f>
        <v/>
      </c>
      <c r="AH62" s="30">
        <f>IF(AG62="","",IF(AG62&gt;=BandVH,"Very High",IF(AG62&gt;=BandHigh,"High",IF(AG62&gt;=BandMed,"Medium","Low"))))</f>
        <v/>
      </c>
      <c r="AI62" s="4" t="n"/>
      <c r="AJ62" s="4" t="n"/>
    </row>
    <row r="63">
      <c r="A63" s="30">
        <f>IF(B63="","",COUNTIF(B$14:B63,"?*"))</f>
        <v/>
      </c>
      <c r="B63" s="4" t="n"/>
      <c r="C63" s="19" t="n"/>
      <c r="D63" s="5">
        <f>IF(OR(B63="",C63=""),"",UPPER(LEFT(C63,1))&amp;LOWER(MID(C63,2,30))&amp;" "&amp;LOWER(LEFT(B63,1))&amp;MID(B63,2,200))</f>
        <v/>
      </c>
      <c r="E63" s="4" t="n"/>
      <c r="F63" s="4" t="n"/>
      <c r="G63" s="4" t="n"/>
      <c r="H63" s="4" t="n"/>
      <c r="I63" s="4" t="n"/>
      <c r="J63" s="4" t="n"/>
      <c r="K63" s="5">
        <f>_xlfn.TEXTJOIN(CHAR(10),TRUE,IF(E63="","","• "&amp;E63),IF(F63="","","• "&amp;F63),IF(G63="","","• "&amp;G63),IF(H63="","","• "&amp;H63),IF(I63="","","• "&amp;I63),IF(J63="","","• "&amp;J63))</f>
        <v/>
      </c>
      <c r="L63" s="4" t="n"/>
      <c r="M63" s="19" t="n"/>
      <c r="N63" s="19" t="n"/>
      <c r="O63" s="30">
        <f>IF(OR(M63="",N63=""),"",INDEX(RiskGrid,6-VALUE(LEFT(M63,1)),VALUE(LEFT(N63,1))))</f>
        <v/>
      </c>
      <c r="P63" s="30">
        <f>IF(O63="","",IF(O63&gt;=BandVH,"Very High",IF(O63&gt;=BandHigh,"High",IF(O63&gt;=BandMed,"Medium","Low"))))</f>
        <v/>
      </c>
      <c r="Q63" s="4" t="n"/>
      <c r="R63" s="19" t="n"/>
      <c r="S63" s="4" t="n"/>
      <c r="T63" s="19" t="n"/>
      <c r="U63" s="4" t="n"/>
      <c r="V63" s="19" t="n"/>
      <c r="W63" s="4" t="n"/>
      <c r="X63" s="19" t="n"/>
      <c r="Y63" s="4" t="n"/>
      <c r="Z63" s="19" t="n"/>
      <c r="AA63" s="4" t="n"/>
      <c r="AB63" s="19" t="n"/>
      <c r="AC63" s="5">
        <f>_xlfn.TEXTJOIN(CHAR(10),TRUE,IF(Q63="","","• "&amp;Q63&amp;IF(R63="Yes","  [IPL]","")),IF(S63="","","• "&amp;S63&amp;IF(T63="Yes","  [IPL]","")),IF(U63="","","• "&amp;U63&amp;IF(V63="Yes","  [IPL]","")),IF(W63="","","• "&amp;W63&amp;IF(X63="Yes","  [IPL]","")),IF(Y63="","","• "&amp;Y63&amp;IF(Z63="Yes","  [IPL]","")),IF(AA63="","","• "&amp;AA63&amp;IF(AB63="Yes","  [IPL]","")))</f>
        <v/>
      </c>
      <c r="AD63" s="30">
        <f>IF(AC63="","",COUNTIF(Q63:AB63,"Yes"))</f>
        <v/>
      </c>
      <c r="AE63" s="19" t="n"/>
      <c r="AF63" s="19" t="n"/>
      <c r="AG63" s="30">
        <f>IF(OR(AE63="",AF63=""),"",INDEX(RiskGrid,6-VALUE(LEFT(AE63,1)),VALUE(LEFT(AF63,1))))</f>
        <v/>
      </c>
      <c r="AH63" s="30">
        <f>IF(AG63="","",IF(AG63&gt;=BandVH,"Very High",IF(AG63&gt;=BandHigh,"High",IF(AG63&gt;=BandMed,"Medium","Low"))))</f>
        <v/>
      </c>
      <c r="AI63" s="4" t="n"/>
      <c r="AJ63" s="4" t="n"/>
    </row>
    <row r="64">
      <c r="A64" s="30">
        <f>IF(B64="","",COUNTIF(B$14:B64,"?*"))</f>
        <v/>
      </c>
      <c r="B64" s="4" t="n"/>
      <c r="C64" s="19" t="n"/>
      <c r="D64" s="5">
        <f>IF(OR(B64="",C64=""),"",UPPER(LEFT(C64,1))&amp;LOWER(MID(C64,2,30))&amp;" "&amp;LOWER(LEFT(B64,1))&amp;MID(B64,2,200))</f>
        <v/>
      </c>
      <c r="E64" s="4" t="n"/>
      <c r="F64" s="4" t="n"/>
      <c r="G64" s="4" t="n"/>
      <c r="H64" s="4" t="n"/>
      <c r="I64" s="4" t="n"/>
      <c r="J64" s="4" t="n"/>
      <c r="K64" s="5">
        <f>_xlfn.TEXTJOIN(CHAR(10),TRUE,IF(E64="","","• "&amp;E64),IF(F64="","","• "&amp;F64),IF(G64="","","• "&amp;G64),IF(H64="","","• "&amp;H64),IF(I64="","","• "&amp;I64),IF(J64="","","• "&amp;J64))</f>
        <v/>
      </c>
      <c r="L64" s="4" t="n"/>
      <c r="M64" s="19" t="n"/>
      <c r="N64" s="19" t="n"/>
      <c r="O64" s="30">
        <f>IF(OR(M64="",N64=""),"",INDEX(RiskGrid,6-VALUE(LEFT(M64,1)),VALUE(LEFT(N64,1))))</f>
        <v/>
      </c>
      <c r="P64" s="30">
        <f>IF(O64="","",IF(O64&gt;=BandVH,"Very High",IF(O64&gt;=BandHigh,"High",IF(O64&gt;=BandMed,"Medium","Low"))))</f>
        <v/>
      </c>
      <c r="Q64" s="4" t="n"/>
      <c r="R64" s="19" t="n"/>
      <c r="S64" s="4" t="n"/>
      <c r="T64" s="19" t="n"/>
      <c r="U64" s="4" t="n"/>
      <c r="V64" s="19" t="n"/>
      <c r="W64" s="4" t="n"/>
      <c r="X64" s="19" t="n"/>
      <c r="Y64" s="4" t="n"/>
      <c r="Z64" s="19" t="n"/>
      <c r="AA64" s="4" t="n"/>
      <c r="AB64" s="19" t="n"/>
      <c r="AC64" s="5">
        <f>_xlfn.TEXTJOIN(CHAR(10),TRUE,IF(Q64="","","• "&amp;Q64&amp;IF(R64="Yes","  [IPL]","")),IF(S64="","","• "&amp;S64&amp;IF(T64="Yes","  [IPL]","")),IF(U64="","","• "&amp;U64&amp;IF(V64="Yes","  [IPL]","")),IF(W64="","","• "&amp;W64&amp;IF(X64="Yes","  [IPL]","")),IF(Y64="","","• "&amp;Y64&amp;IF(Z64="Yes","  [IPL]","")),IF(AA64="","","• "&amp;AA64&amp;IF(AB64="Yes","  [IPL]","")))</f>
        <v/>
      </c>
      <c r="AD64" s="30">
        <f>IF(AC64="","",COUNTIF(Q64:AB64,"Yes"))</f>
        <v/>
      </c>
      <c r="AE64" s="19" t="n"/>
      <c r="AF64" s="19" t="n"/>
      <c r="AG64" s="30">
        <f>IF(OR(AE64="",AF64=""),"",INDEX(RiskGrid,6-VALUE(LEFT(AE64,1)),VALUE(LEFT(AF64,1))))</f>
        <v/>
      </c>
      <c r="AH64" s="30">
        <f>IF(AG64="","",IF(AG64&gt;=BandVH,"Very High",IF(AG64&gt;=BandHigh,"High",IF(AG64&gt;=BandMed,"Medium","Low"))))</f>
        <v/>
      </c>
      <c r="AI64" s="4" t="n"/>
      <c r="AJ64" s="4" t="n"/>
    </row>
    <row r="65">
      <c r="A65" s="30">
        <f>IF(B65="","",COUNTIF(B$14:B65,"?*"))</f>
        <v/>
      </c>
      <c r="B65" s="4" t="n"/>
      <c r="C65" s="19" t="n"/>
      <c r="D65" s="5">
        <f>IF(OR(B65="",C65=""),"",UPPER(LEFT(C65,1))&amp;LOWER(MID(C65,2,30))&amp;" "&amp;LOWER(LEFT(B65,1))&amp;MID(B65,2,200))</f>
        <v/>
      </c>
      <c r="E65" s="4" t="n"/>
      <c r="F65" s="4" t="n"/>
      <c r="G65" s="4" t="n"/>
      <c r="H65" s="4" t="n"/>
      <c r="I65" s="4" t="n"/>
      <c r="J65" s="4" t="n"/>
      <c r="K65" s="5">
        <f>_xlfn.TEXTJOIN(CHAR(10),TRUE,IF(E65="","","• "&amp;E65),IF(F65="","","• "&amp;F65),IF(G65="","","• "&amp;G65),IF(H65="","","• "&amp;H65),IF(I65="","","• "&amp;I65),IF(J65="","","• "&amp;J65))</f>
        <v/>
      </c>
      <c r="L65" s="4" t="n"/>
      <c r="M65" s="19" t="n"/>
      <c r="N65" s="19" t="n"/>
      <c r="O65" s="30">
        <f>IF(OR(M65="",N65=""),"",INDEX(RiskGrid,6-VALUE(LEFT(M65,1)),VALUE(LEFT(N65,1))))</f>
        <v/>
      </c>
      <c r="P65" s="30">
        <f>IF(O65="","",IF(O65&gt;=BandVH,"Very High",IF(O65&gt;=BandHigh,"High",IF(O65&gt;=BandMed,"Medium","Low"))))</f>
        <v/>
      </c>
      <c r="Q65" s="4" t="n"/>
      <c r="R65" s="19" t="n"/>
      <c r="S65" s="4" t="n"/>
      <c r="T65" s="19" t="n"/>
      <c r="U65" s="4" t="n"/>
      <c r="V65" s="19" t="n"/>
      <c r="W65" s="4" t="n"/>
      <c r="X65" s="19" t="n"/>
      <c r="Y65" s="4" t="n"/>
      <c r="Z65" s="19" t="n"/>
      <c r="AA65" s="4" t="n"/>
      <c r="AB65" s="19" t="n"/>
      <c r="AC65" s="5">
        <f>_xlfn.TEXTJOIN(CHAR(10),TRUE,IF(Q65="","","• "&amp;Q65&amp;IF(R65="Yes","  [IPL]","")),IF(S65="","","• "&amp;S65&amp;IF(T65="Yes","  [IPL]","")),IF(U65="","","• "&amp;U65&amp;IF(V65="Yes","  [IPL]","")),IF(W65="","","• "&amp;W65&amp;IF(X65="Yes","  [IPL]","")),IF(Y65="","","• "&amp;Y65&amp;IF(Z65="Yes","  [IPL]","")),IF(AA65="","","• "&amp;AA65&amp;IF(AB65="Yes","  [IPL]","")))</f>
        <v/>
      </c>
      <c r="AD65" s="30">
        <f>IF(AC65="","",COUNTIF(Q65:AB65,"Yes"))</f>
        <v/>
      </c>
      <c r="AE65" s="19" t="n"/>
      <c r="AF65" s="19" t="n"/>
      <c r="AG65" s="30">
        <f>IF(OR(AE65="",AF65=""),"",INDEX(RiskGrid,6-VALUE(LEFT(AE65,1)),VALUE(LEFT(AF65,1))))</f>
        <v/>
      </c>
      <c r="AH65" s="30">
        <f>IF(AG65="","",IF(AG65&gt;=BandVH,"Very High",IF(AG65&gt;=BandHigh,"High",IF(AG65&gt;=BandMed,"Medium","Low"))))</f>
        <v/>
      </c>
      <c r="AI65" s="4" t="n"/>
      <c r="AJ65" s="4" t="n"/>
    </row>
    <row r="66">
      <c r="A66" s="30">
        <f>IF(B66="","",COUNTIF(B$14:B66,"?*"))</f>
        <v/>
      </c>
      <c r="B66" s="4" t="n"/>
      <c r="C66" s="19" t="n"/>
      <c r="D66" s="5">
        <f>IF(OR(B66="",C66=""),"",UPPER(LEFT(C66,1))&amp;LOWER(MID(C66,2,30))&amp;" "&amp;LOWER(LEFT(B66,1))&amp;MID(B66,2,200))</f>
        <v/>
      </c>
      <c r="E66" s="4" t="n"/>
      <c r="F66" s="4" t="n"/>
      <c r="G66" s="4" t="n"/>
      <c r="H66" s="4" t="n"/>
      <c r="I66" s="4" t="n"/>
      <c r="J66" s="4" t="n"/>
      <c r="K66" s="5">
        <f>_xlfn.TEXTJOIN(CHAR(10),TRUE,IF(E66="","","• "&amp;E66),IF(F66="","","• "&amp;F66),IF(G66="","","• "&amp;G66),IF(H66="","","• "&amp;H66),IF(I66="","","• "&amp;I66),IF(J66="","","• "&amp;J66))</f>
        <v/>
      </c>
      <c r="L66" s="4" t="n"/>
      <c r="M66" s="19" t="n"/>
      <c r="N66" s="19" t="n"/>
      <c r="O66" s="30">
        <f>IF(OR(M66="",N66=""),"",INDEX(RiskGrid,6-VALUE(LEFT(M66,1)),VALUE(LEFT(N66,1))))</f>
        <v/>
      </c>
      <c r="P66" s="30">
        <f>IF(O66="","",IF(O66&gt;=BandVH,"Very High",IF(O66&gt;=BandHigh,"High",IF(O66&gt;=BandMed,"Medium","Low"))))</f>
        <v/>
      </c>
      <c r="Q66" s="4" t="n"/>
      <c r="R66" s="19" t="n"/>
      <c r="S66" s="4" t="n"/>
      <c r="T66" s="19" t="n"/>
      <c r="U66" s="4" t="n"/>
      <c r="V66" s="19" t="n"/>
      <c r="W66" s="4" t="n"/>
      <c r="X66" s="19" t="n"/>
      <c r="Y66" s="4" t="n"/>
      <c r="Z66" s="19" t="n"/>
      <c r="AA66" s="4" t="n"/>
      <c r="AB66" s="19" t="n"/>
      <c r="AC66" s="5">
        <f>_xlfn.TEXTJOIN(CHAR(10),TRUE,IF(Q66="","","• "&amp;Q66&amp;IF(R66="Yes","  [IPL]","")),IF(S66="","","• "&amp;S66&amp;IF(T66="Yes","  [IPL]","")),IF(U66="","","• "&amp;U66&amp;IF(V66="Yes","  [IPL]","")),IF(W66="","","• "&amp;W66&amp;IF(X66="Yes","  [IPL]","")),IF(Y66="","","• "&amp;Y66&amp;IF(Z66="Yes","  [IPL]","")),IF(AA66="","","• "&amp;AA66&amp;IF(AB66="Yes","  [IPL]","")))</f>
        <v/>
      </c>
      <c r="AD66" s="30">
        <f>IF(AC66="","",COUNTIF(Q66:AB66,"Yes"))</f>
        <v/>
      </c>
      <c r="AE66" s="19" t="n"/>
      <c r="AF66" s="19" t="n"/>
      <c r="AG66" s="30">
        <f>IF(OR(AE66="",AF66=""),"",INDEX(RiskGrid,6-VALUE(LEFT(AE66,1)),VALUE(LEFT(AF66,1))))</f>
        <v/>
      </c>
      <c r="AH66" s="30">
        <f>IF(AG66="","",IF(AG66&gt;=BandVH,"Very High",IF(AG66&gt;=BandHigh,"High",IF(AG66&gt;=BandMed,"Medium","Low"))))</f>
        <v/>
      </c>
      <c r="AI66" s="4" t="n"/>
      <c r="AJ66" s="4" t="n"/>
    </row>
    <row r="67">
      <c r="A67" s="30">
        <f>IF(B67="","",COUNTIF(B$14:B67,"?*"))</f>
        <v/>
      </c>
      <c r="B67" s="4" t="n"/>
      <c r="C67" s="19" t="n"/>
      <c r="D67" s="5">
        <f>IF(OR(B67="",C67=""),"",UPPER(LEFT(C67,1))&amp;LOWER(MID(C67,2,30))&amp;" "&amp;LOWER(LEFT(B67,1))&amp;MID(B67,2,200))</f>
        <v/>
      </c>
      <c r="E67" s="4" t="n"/>
      <c r="F67" s="4" t="n"/>
      <c r="G67" s="4" t="n"/>
      <c r="H67" s="4" t="n"/>
      <c r="I67" s="4" t="n"/>
      <c r="J67" s="4" t="n"/>
      <c r="K67" s="5">
        <f>_xlfn.TEXTJOIN(CHAR(10),TRUE,IF(E67="","","• "&amp;E67),IF(F67="","","• "&amp;F67),IF(G67="","","• "&amp;G67),IF(H67="","","• "&amp;H67),IF(I67="","","• "&amp;I67),IF(J67="","","• "&amp;J67))</f>
        <v/>
      </c>
      <c r="L67" s="4" t="n"/>
      <c r="M67" s="19" t="n"/>
      <c r="N67" s="19" t="n"/>
      <c r="O67" s="30">
        <f>IF(OR(M67="",N67=""),"",INDEX(RiskGrid,6-VALUE(LEFT(M67,1)),VALUE(LEFT(N67,1))))</f>
        <v/>
      </c>
      <c r="P67" s="30">
        <f>IF(O67="","",IF(O67&gt;=BandVH,"Very High",IF(O67&gt;=BandHigh,"High",IF(O67&gt;=BandMed,"Medium","Low"))))</f>
        <v/>
      </c>
      <c r="Q67" s="4" t="n"/>
      <c r="R67" s="19" t="n"/>
      <c r="S67" s="4" t="n"/>
      <c r="T67" s="19" t="n"/>
      <c r="U67" s="4" t="n"/>
      <c r="V67" s="19" t="n"/>
      <c r="W67" s="4" t="n"/>
      <c r="X67" s="19" t="n"/>
      <c r="Y67" s="4" t="n"/>
      <c r="Z67" s="19" t="n"/>
      <c r="AA67" s="4" t="n"/>
      <c r="AB67" s="19" t="n"/>
      <c r="AC67" s="5">
        <f>_xlfn.TEXTJOIN(CHAR(10),TRUE,IF(Q67="","","• "&amp;Q67&amp;IF(R67="Yes","  [IPL]","")),IF(S67="","","• "&amp;S67&amp;IF(T67="Yes","  [IPL]","")),IF(U67="","","• "&amp;U67&amp;IF(V67="Yes","  [IPL]","")),IF(W67="","","• "&amp;W67&amp;IF(X67="Yes","  [IPL]","")),IF(Y67="","","• "&amp;Y67&amp;IF(Z67="Yes","  [IPL]","")),IF(AA67="","","• "&amp;AA67&amp;IF(AB67="Yes","  [IPL]","")))</f>
        <v/>
      </c>
      <c r="AD67" s="30">
        <f>IF(AC67="","",COUNTIF(Q67:AB67,"Yes"))</f>
        <v/>
      </c>
      <c r="AE67" s="19" t="n"/>
      <c r="AF67" s="19" t="n"/>
      <c r="AG67" s="30">
        <f>IF(OR(AE67="",AF67=""),"",INDEX(RiskGrid,6-VALUE(LEFT(AE67,1)),VALUE(LEFT(AF67,1))))</f>
        <v/>
      </c>
      <c r="AH67" s="30">
        <f>IF(AG67="","",IF(AG67&gt;=BandVH,"Very High",IF(AG67&gt;=BandHigh,"High",IF(AG67&gt;=BandMed,"Medium","Low"))))</f>
        <v/>
      </c>
      <c r="AI67" s="4" t="n"/>
      <c r="AJ67" s="4" t="n"/>
    </row>
    <row r="68">
      <c r="A68" s="30">
        <f>IF(B68="","",COUNTIF(B$14:B68,"?*"))</f>
        <v/>
      </c>
      <c r="B68" s="4" t="n"/>
      <c r="C68" s="19" t="n"/>
      <c r="D68" s="5">
        <f>IF(OR(B68="",C68=""),"",UPPER(LEFT(C68,1))&amp;LOWER(MID(C68,2,30))&amp;" "&amp;LOWER(LEFT(B68,1))&amp;MID(B68,2,200))</f>
        <v/>
      </c>
      <c r="E68" s="4" t="n"/>
      <c r="F68" s="4" t="n"/>
      <c r="G68" s="4" t="n"/>
      <c r="H68" s="4" t="n"/>
      <c r="I68" s="4" t="n"/>
      <c r="J68" s="4" t="n"/>
      <c r="K68" s="5">
        <f>_xlfn.TEXTJOIN(CHAR(10),TRUE,IF(E68="","","• "&amp;E68),IF(F68="","","• "&amp;F68),IF(G68="","","• "&amp;G68),IF(H68="","","• "&amp;H68),IF(I68="","","• "&amp;I68),IF(J68="","","• "&amp;J68))</f>
        <v/>
      </c>
      <c r="L68" s="4" t="n"/>
      <c r="M68" s="19" t="n"/>
      <c r="N68" s="19" t="n"/>
      <c r="O68" s="30">
        <f>IF(OR(M68="",N68=""),"",INDEX(RiskGrid,6-VALUE(LEFT(M68,1)),VALUE(LEFT(N68,1))))</f>
        <v/>
      </c>
      <c r="P68" s="30">
        <f>IF(O68="","",IF(O68&gt;=BandVH,"Very High",IF(O68&gt;=BandHigh,"High",IF(O68&gt;=BandMed,"Medium","Low"))))</f>
        <v/>
      </c>
      <c r="Q68" s="4" t="n"/>
      <c r="R68" s="19" t="n"/>
      <c r="S68" s="4" t="n"/>
      <c r="T68" s="19" t="n"/>
      <c r="U68" s="4" t="n"/>
      <c r="V68" s="19" t="n"/>
      <c r="W68" s="4" t="n"/>
      <c r="X68" s="19" t="n"/>
      <c r="Y68" s="4" t="n"/>
      <c r="Z68" s="19" t="n"/>
      <c r="AA68" s="4" t="n"/>
      <c r="AB68" s="19" t="n"/>
      <c r="AC68" s="5">
        <f>_xlfn.TEXTJOIN(CHAR(10),TRUE,IF(Q68="","","• "&amp;Q68&amp;IF(R68="Yes","  [IPL]","")),IF(S68="","","• "&amp;S68&amp;IF(T68="Yes","  [IPL]","")),IF(U68="","","• "&amp;U68&amp;IF(V68="Yes","  [IPL]","")),IF(W68="","","• "&amp;W68&amp;IF(X68="Yes","  [IPL]","")),IF(Y68="","","• "&amp;Y68&amp;IF(Z68="Yes","  [IPL]","")),IF(AA68="","","• "&amp;AA68&amp;IF(AB68="Yes","  [IPL]","")))</f>
        <v/>
      </c>
      <c r="AD68" s="30">
        <f>IF(AC68="","",COUNTIF(Q68:AB68,"Yes"))</f>
        <v/>
      </c>
      <c r="AE68" s="19" t="n"/>
      <c r="AF68" s="19" t="n"/>
      <c r="AG68" s="30">
        <f>IF(OR(AE68="",AF68=""),"",INDEX(RiskGrid,6-VALUE(LEFT(AE68,1)),VALUE(LEFT(AF68,1))))</f>
        <v/>
      </c>
      <c r="AH68" s="30">
        <f>IF(AG68="","",IF(AG68&gt;=BandVH,"Very High",IF(AG68&gt;=BandHigh,"High",IF(AG68&gt;=BandMed,"Medium","Low"))))</f>
        <v/>
      </c>
      <c r="AI68" s="4" t="n"/>
      <c r="AJ68" s="4" t="n"/>
    </row>
    <row r="69">
      <c r="A69" s="30">
        <f>IF(B69="","",COUNTIF(B$14:B69,"?*"))</f>
        <v/>
      </c>
      <c r="B69" s="4" t="n"/>
      <c r="C69" s="19" t="n"/>
      <c r="D69" s="5">
        <f>IF(OR(B69="",C69=""),"",UPPER(LEFT(C69,1))&amp;LOWER(MID(C69,2,30))&amp;" "&amp;LOWER(LEFT(B69,1))&amp;MID(B69,2,200))</f>
        <v/>
      </c>
      <c r="E69" s="4" t="n"/>
      <c r="F69" s="4" t="n"/>
      <c r="G69" s="4" t="n"/>
      <c r="H69" s="4" t="n"/>
      <c r="I69" s="4" t="n"/>
      <c r="J69" s="4" t="n"/>
      <c r="K69" s="5">
        <f>_xlfn.TEXTJOIN(CHAR(10),TRUE,IF(E69="","","• "&amp;E69),IF(F69="","","• "&amp;F69),IF(G69="","","• "&amp;G69),IF(H69="","","• "&amp;H69),IF(I69="","","• "&amp;I69),IF(J69="","","• "&amp;J69))</f>
        <v/>
      </c>
      <c r="L69" s="4" t="n"/>
      <c r="M69" s="19" t="n"/>
      <c r="N69" s="19" t="n"/>
      <c r="O69" s="30">
        <f>IF(OR(M69="",N69=""),"",INDEX(RiskGrid,6-VALUE(LEFT(M69,1)),VALUE(LEFT(N69,1))))</f>
        <v/>
      </c>
      <c r="P69" s="30">
        <f>IF(O69="","",IF(O69&gt;=BandVH,"Very High",IF(O69&gt;=BandHigh,"High",IF(O69&gt;=BandMed,"Medium","Low"))))</f>
        <v/>
      </c>
      <c r="Q69" s="4" t="n"/>
      <c r="R69" s="19" t="n"/>
      <c r="S69" s="4" t="n"/>
      <c r="T69" s="19" t="n"/>
      <c r="U69" s="4" t="n"/>
      <c r="V69" s="19" t="n"/>
      <c r="W69" s="4" t="n"/>
      <c r="X69" s="19" t="n"/>
      <c r="Y69" s="4" t="n"/>
      <c r="Z69" s="19" t="n"/>
      <c r="AA69" s="4" t="n"/>
      <c r="AB69" s="19" t="n"/>
      <c r="AC69" s="5">
        <f>_xlfn.TEXTJOIN(CHAR(10),TRUE,IF(Q69="","","• "&amp;Q69&amp;IF(R69="Yes","  [IPL]","")),IF(S69="","","• "&amp;S69&amp;IF(T69="Yes","  [IPL]","")),IF(U69="","","• "&amp;U69&amp;IF(V69="Yes","  [IPL]","")),IF(W69="","","• "&amp;W69&amp;IF(X69="Yes","  [IPL]","")),IF(Y69="","","• "&amp;Y69&amp;IF(Z69="Yes","  [IPL]","")),IF(AA69="","","• "&amp;AA69&amp;IF(AB69="Yes","  [IPL]","")))</f>
        <v/>
      </c>
      <c r="AD69" s="30">
        <f>IF(AC69="","",COUNTIF(Q69:AB69,"Yes"))</f>
        <v/>
      </c>
      <c r="AE69" s="19" t="n"/>
      <c r="AF69" s="19" t="n"/>
      <c r="AG69" s="30">
        <f>IF(OR(AE69="",AF69=""),"",INDEX(RiskGrid,6-VALUE(LEFT(AE69,1)),VALUE(LEFT(AF69,1))))</f>
        <v/>
      </c>
      <c r="AH69" s="30">
        <f>IF(AG69="","",IF(AG69&gt;=BandVH,"Very High",IF(AG69&gt;=BandHigh,"High",IF(AG69&gt;=BandMed,"Medium","Low"))))</f>
        <v/>
      </c>
      <c r="AI69" s="4" t="n"/>
      <c r="AJ69" s="4" t="n"/>
    </row>
    <row r="70">
      <c r="A70" s="30">
        <f>IF(B70="","",COUNTIF(B$14:B70,"?*"))</f>
        <v/>
      </c>
      <c r="B70" s="4" t="n"/>
      <c r="C70" s="19" t="n"/>
      <c r="D70" s="5">
        <f>IF(OR(B70="",C70=""),"",UPPER(LEFT(C70,1))&amp;LOWER(MID(C70,2,30))&amp;" "&amp;LOWER(LEFT(B70,1))&amp;MID(B70,2,200))</f>
        <v/>
      </c>
      <c r="E70" s="4" t="n"/>
      <c r="F70" s="4" t="n"/>
      <c r="G70" s="4" t="n"/>
      <c r="H70" s="4" t="n"/>
      <c r="I70" s="4" t="n"/>
      <c r="J70" s="4" t="n"/>
      <c r="K70" s="5">
        <f>_xlfn.TEXTJOIN(CHAR(10),TRUE,IF(E70="","","• "&amp;E70),IF(F70="","","• "&amp;F70),IF(G70="","","• "&amp;G70),IF(H70="","","• "&amp;H70),IF(I70="","","• "&amp;I70),IF(J70="","","• "&amp;J70))</f>
        <v/>
      </c>
      <c r="L70" s="4" t="n"/>
      <c r="M70" s="19" t="n"/>
      <c r="N70" s="19" t="n"/>
      <c r="O70" s="30">
        <f>IF(OR(M70="",N70=""),"",INDEX(RiskGrid,6-VALUE(LEFT(M70,1)),VALUE(LEFT(N70,1))))</f>
        <v/>
      </c>
      <c r="P70" s="30">
        <f>IF(O70="","",IF(O70&gt;=BandVH,"Very High",IF(O70&gt;=BandHigh,"High",IF(O70&gt;=BandMed,"Medium","Low"))))</f>
        <v/>
      </c>
      <c r="Q70" s="4" t="n"/>
      <c r="R70" s="19" t="n"/>
      <c r="S70" s="4" t="n"/>
      <c r="T70" s="19" t="n"/>
      <c r="U70" s="4" t="n"/>
      <c r="V70" s="19" t="n"/>
      <c r="W70" s="4" t="n"/>
      <c r="X70" s="19" t="n"/>
      <c r="Y70" s="4" t="n"/>
      <c r="Z70" s="19" t="n"/>
      <c r="AA70" s="4" t="n"/>
      <c r="AB70" s="19" t="n"/>
      <c r="AC70" s="5">
        <f>_xlfn.TEXTJOIN(CHAR(10),TRUE,IF(Q70="","","• "&amp;Q70&amp;IF(R70="Yes","  [IPL]","")),IF(S70="","","• "&amp;S70&amp;IF(T70="Yes","  [IPL]","")),IF(U70="","","• "&amp;U70&amp;IF(V70="Yes","  [IPL]","")),IF(W70="","","• "&amp;W70&amp;IF(X70="Yes","  [IPL]","")),IF(Y70="","","• "&amp;Y70&amp;IF(Z70="Yes","  [IPL]","")),IF(AA70="","","• "&amp;AA70&amp;IF(AB70="Yes","  [IPL]","")))</f>
        <v/>
      </c>
      <c r="AD70" s="30">
        <f>IF(AC70="","",COUNTIF(Q70:AB70,"Yes"))</f>
        <v/>
      </c>
      <c r="AE70" s="19" t="n"/>
      <c r="AF70" s="19" t="n"/>
      <c r="AG70" s="30">
        <f>IF(OR(AE70="",AF70=""),"",INDEX(RiskGrid,6-VALUE(LEFT(AE70,1)),VALUE(LEFT(AF70,1))))</f>
        <v/>
      </c>
      <c r="AH70" s="30">
        <f>IF(AG70="","",IF(AG70&gt;=BandVH,"Very High",IF(AG70&gt;=BandHigh,"High",IF(AG70&gt;=BandMed,"Medium","Low"))))</f>
        <v/>
      </c>
      <c r="AI70" s="4" t="n"/>
      <c r="AJ70" s="4" t="n"/>
    </row>
    <row r="71">
      <c r="A71" s="30">
        <f>IF(B71="","",COUNTIF(B$14:B71,"?*"))</f>
        <v/>
      </c>
      <c r="B71" s="4" t="n"/>
      <c r="C71" s="19" t="n"/>
      <c r="D71" s="5">
        <f>IF(OR(B71="",C71=""),"",UPPER(LEFT(C71,1))&amp;LOWER(MID(C71,2,30))&amp;" "&amp;LOWER(LEFT(B71,1))&amp;MID(B71,2,200))</f>
        <v/>
      </c>
      <c r="E71" s="4" t="n"/>
      <c r="F71" s="4" t="n"/>
      <c r="G71" s="4" t="n"/>
      <c r="H71" s="4" t="n"/>
      <c r="I71" s="4" t="n"/>
      <c r="J71" s="4" t="n"/>
      <c r="K71" s="5">
        <f>_xlfn.TEXTJOIN(CHAR(10),TRUE,IF(E71="","","• "&amp;E71),IF(F71="","","• "&amp;F71),IF(G71="","","• "&amp;G71),IF(H71="","","• "&amp;H71),IF(I71="","","• "&amp;I71),IF(J71="","","• "&amp;J71))</f>
        <v/>
      </c>
      <c r="L71" s="4" t="n"/>
      <c r="M71" s="19" t="n"/>
      <c r="N71" s="19" t="n"/>
      <c r="O71" s="30">
        <f>IF(OR(M71="",N71=""),"",INDEX(RiskGrid,6-VALUE(LEFT(M71,1)),VALUE(LEFT(N71,1))))</f>
        <v/>
      </c>
      <c r="P71" s="30">
        <f>IF(O71="","",IF(O71&gt;=BandVH,"Very High",IF(O71&gt;=BandHigh,"High",IF(O71&gt;=BandMed,"Medium","Low"))))</f>
        <v/>
      </c>
      <c r="Q71" s="4" t="n"/>
      <c r="R71" s="19" t="n"/>
      <c r="S71" s="4" t="n"/>
      <c r="T71" s="19" t="n"/>
      <c r="U71" s="4" t="n"/>
      <c r="V71" s="19" t="n"/>
      <c r="W71" s="4" t="n"/>
      <c r="X71" s="19" t="n"/>
      <c r="Y71" s="4" t="n"/>
      <c r="Z71" s="19" t="n"/>
      <c r="AA71" s="4" t="n"/>
      <c r="AB71" s="19" t="n"/>
      <c r="AC71" s="5">
        <f>_xlfn.TEXTJOIN(CHAR(10),TRUE,IF(Q71="","","• "&amp;Q71&amp;IF(R71="Yes","  [IPL]","")),IF(S71="","","• "&amp;S71&amp;IF(T71="Yes","  [IPL]","")),IF(U71="","","• "&amp;U71&amp;IF(V71="Yes","  [IPL]","")),IF(W71="","","• "&amp;W71&amp;IF(X71="Yes","  [IPL]","")),IF(Y71="","","• "&amp;Y71&amp;IF(Z71="Yes","  [IPL]","")),IF(AA71="","","• "&amp;AA71&amp;IF(AB71="Yes","  [IPL]","")))</f>
        <v/>
      </c>
      <c r="AD71" s="30">
        <f>IF(AC71="","",COUNTIF(Q71:AB71,"Yes"))</f>
        <v/>
      </c>
      <c r="AE71" s="19" t="n"/>
      <c r="AF71" s="19" t="n"/>
      <c r="AG71" s="30">
        <f>IF(OR(AE71="",AF71=""),"",INDEX(RiskGrid,6-VALUE(LEFT(AE71,1)),VALUE(LEFT(AF71,1))))</f>
        <v/>
      </c>
      <c r="AH71" s="30">
        <f>IF(AG71="","",IF(AG71&gt;=BandVH,"Very High",IF(AG71&gt;=BandHigh,"High",IF(AG71&gt;=BandMed,"Medium","Low"))))</f>
        <v/>
      </c>
      <c r="AI71" s="4" t="n"/>
      <c r="AJ71" s="4" t="n"/>
    </row>
    <row r="72">
      <c r="A72" s="30">
        <f>IF(B72="","",COUNTIF(B$14:B72,"?*"))</f>
        <v/>
      </c>
      <c r="B72" s="4" t="n"/>
      <c r="C72" s="19" t="n"/>
      <c r="D72" s="5">
        <f>IF(OR(B72="",C72=""),"",UPPER(LEFT(C72,1))&amp;LOWER(MID(C72,2,30))&amp;" "&amp;LOWER(LEFT(B72,1))&amp;MID(B72,2,200))</f>
        <v/>
      </c>
      <c r="E72" s="4" t="n"/>
      <c r="F72" s="4" t="n"/>
      <c r="G72" s="4" t="n"/>
      <c r="H72" s="4" t="n"/>
      <c r="I72" s="4" t="n"/>
      <c r="J72" s="4" t="n"/>
      <c r="K72" s="5">
        <f>_xlfn.TEXTJOIN(CHAR(10),TRUE,IF(E72="","","• "&amp;E72),IF(F72="","","• "&amp;F72),IF(G72="","","• "&amp;G72),IF(H72="","","• "&amp;H72),IF(I72="","","• "&amp;I72),IF(J72="","","• "&amp;J72))</f>
        <v/>
      </c>
      <c r="L72" s="4" t="n"/>
      <c r="M72" s="19" t="n"/>
      <c r="N72" s="19" t="n"/>
      <c r="O72" s="30">
        <f>IF(OR(M72="",N72=""),"",INDEX(RiskGrid,6-VALUE(LEFT(M72,1)),VALUE(LEFT(N72,1))))</f>
        <v/>
      </c>
      <c r="P72" s="30">
        <f>IF(O72="","",IF(O72&gt;=BandVH,"Very High",IF(O72&gt;=BandHigh,"High",IF(O72&gt;=BandMed,"Medium","Low"))))</f>
        <v/>
      </c>
      <c r="Q72" s="4" t="n"/>
      <c r="R72" s="19" t="n"/>
      <c r="S72" s="4" t="n"/>
      <c r="T72" s="19" t="n"/>
      <c r="U72" s="4" t="n"/>
      <c r="V72" s="19" t="n"/>
      <c r="W72" s="4" t="n"/>
      <c r="X72" s="19" t="n"/>
      <c r="Y72" s="4" t="n"/>
      <c r="Z72" s="19" t="n"/>
      <c r="AA72" s="4" t="n"/>
      <c r="AB72" s="19" t="n"/>
      <c r="AC72" s="5">
        <f>_xlfn.TEXTJOIN(CHAR(10),TRUE,IF(Q72="","","• "&amp;Q72&amp;IF(R72="Yes","  [IPL]","")),IF(S72="","","• "&amp;S72&amp;IF(T72="Yes","  [IPL]","")),IF(U72="","","• "&amp;U72&amp;IF(V72="Yes","  [IPL]","")),IF(W72="","","• "&amp;W72&amp;IF(X72="Yes","  [IPL]","")),IF(Y72="","","• "&amp;Y72&amp;IF(Z72="Yes","  [IPL]","")),IF(AA72="","","• "&amp;AA72&amp;IF(AB72="Yes","  [IPL]","")))</f>
        <v/>
      </c>
      <c r="AD72" s="30">
        <f>IF(AC72="","",COUNTIF(Q72:AB72,"Yes"))</f>
        <v/>
      </c>
      <c r="AE72" s="19" t="n"/>
      <c r="AF72" s="19" t="n"/>
      <c r="AG72" s="30">
        <f>IF(OR(AE72="",AF72=""),"",INDEX(RiskGrid,6-VALUE(LEFT(AE72,1)),VALUE(LEFT(AF72,1))))</f>
        <v/>
      </c>
      <c r="AH72" s="30">
        <f>IF(AG72="","",IF(AG72&gt;=BandVH,"Very High",IF(AG72&gt;=BandHigh,"High",IF(AG72&gt;=BandMed,"Medium","Low"))))</f>
        <v/>
      </c>
      <c r="AI72" s="4" t="n"/>
      <c r="AJ72" s="4" t="n"/>
    </row>
    <row r="73">
      <c r="A73" s="30">
        <f>IF(B73="","",COUNTIF(B$14:B73,"?*"))</f>
        <v/>
      </c>
      <c r="B73" s="4" t="n"/>
      <c r="C73" s="19" t="n"/>
      <c r="D73" s="5">
        <f>IF(OR(B73="",C73=""),"",UPPER(LEFT(C73,1))&amp;LOWER(MID(C73,2,30))&amp;" "&amp;LOWER(LEFT(B73,1))&amp;MID(B73,2,200))</f>
        <v/>
      </c>
      <c r="E73" s="4" t="n"/>
      <c r="F73" s="4" t="n"/>
      <c r="G73" s="4" t="n"/>
      <c r="H73" s="4" t="n"/>
      <c r="I73" s="4" t="n"/>
      <c r="J73" s="4" t="n"/>
      <c r="K73" s="5">
        <f>_xlfn.TEXTJOIN(CHAR(10),TRUE,IF(E73="","","• "&amp;E73),IF(F73="","","• "&amp;F73),IF(G73="","","• "&amp;G73),IF(H73="","","• "&amp;H73),IF(I73="","","• "&amp;I73),IF(J73="","","• "&amp;J73))</f>
        <v/>
      </c>
      <c r="L73" s="4" t="n"/>
      <c r="M73" s="19" t="n"/>
      <c r="N73" s="19" t="n"/>
      <c r="O73" s="30">
        <f>IF(OR(M73="",N73=""),"",INDEX(RiskGrid,6-VALUE(LEFT(M73,1)),VALUE(LEFT(N73,1))))</f>
        <v/>
      </c>
      <c r="P73" s="30">
        <f>IF(O73="","",IF(O73&gt;=BandVH,"Very High",IF(O73&gt;=BandHigh,"High",IF(O73&gt;=BandMed,"Medium","Low"))))</f>
        <v/>
      </c>
      <c r="Q73" s="4" t="n"/>
      <c r="R73" s="19" t="n"/>
      <c r="S73" s="4" t="n"/>
      <c r="T73" s="19" t="n"/>
      <c r="U73" s="4" t="n"/>
      <c r="V73" s="19" t="n"/>
      <c r="W73" s="4" t="n"/>
      <c r="X73" s="19" t="n"/>
      <c r="Y73" s="4" t="n"/>
      <c r="Z73" s="19" t="n"/>
      <c r="AA73" s="4" t="n"/>
      <c r="AB73" s="19" t="n"/>
      <c r="AC73" s="5">
        <f>_xlfn.TEXTJOIN(CHAR(10),TRUE,IF(Q73="","","• "&amp;Q73&amp;IF(R73="Yes","  [IPL]","")),IF(S73="","","• "&amp;S73&amp;IF(T73="Yes","  [IPL]","")),IF(U73="","","• "&amp;U73&amp;IF(V73="Yes","  [IPL]","")),IF(W73="","","• "&amp;W73&amp;IF(X73="Yes","  [IPL]","")),IF(Y73="","","• "&amp;Y73&amp;IF(Z73="Yes","  [IPL]","")),IF(AA73="","","• "&amp;AA73&amp;IF(AB73="Yes","  [IPL]","")))</f>
        <v/>
      </c>
      <c r="AD73" s="30">
        <f>IF(AC73="","",COUNTIF(Q73:AB73,"Yes"))</f>
        <v/>
      </c>
      <c r="AE73" s="19" t="n"/>
      <c r="AF73" s="19" t="n"/>
      <c r="AG73" s="30">
        <f>IF(OR(AE73="",AF73=""),"",INDEX(RiskGrid,6-VALUE(LEFT(AE73,1)),VALUE(LEFT(AF73,1))))</f>
        <v/>
      </c>
      <c r="AH73" s="30">
        <f>IF(AG73="","",IF(AG73&gt;=BandVH,"Very High",IF(AG73&gt;=BandHigh,"High",IF(AG73&gt;=BandMed,"Medium","Low"))))</f>
        <v/>
      </c>
      <c r="AI73" s="4" t="n"/>
      <c r="AJ73" s="4" t="n"/>
    </row>
    <row r="74">
      <c r="A74" s="30">
        <f>IF(B74="","",COUNTIF(B$14:B74,"?*"))</f>
        <v/>
      </c>
      <c r="B74" s="4" t="n"/>
      <c r="C74" s="19" t="n"/>
      <c r="D74" s="5">
        <f>IF(OR(B74="",C74=""),"",UPPER(LEFT(C74,1))&amp;LOWER(MID(C74,2,30))&amp;" "&amp;LOWER(LEFT(B74,1))&amp;MID(B74,2,200))</f>
        <v/>
      </c>
      <c r="E74" s="4" t="n"/>
      <c r="F74" s="4" t="n"/>
      <c r="G74" s="4" t="n"/>
      <c r="H74" s="4" t="n"/>
      <c r="I74" s="4" t="n"/>
      <c r="J74" s="4" t="n"/>
      <c r="K74" s="5">
        <f>_xlfn.TEXTJOIN(CHAR(10),TRUE,IF(E74="","","• "&amp;E74),IF(F74="","","• "&amp;F74),IF(G74="","","• "&amp;G74),IF(H74="","","• "&amp;H74),IF(I74="","","• "&amp;I74),IF(J74="","","• "&amp;J74))</f>
        <v/>
      </c>
      <c r="L74" s="4" t="n"/>
      <c r="M74" s="19" t="n"/>
      <c r="N74" s="19" t="n"/>
      <c r="O74" s="30">
        <f>IF(OR(M74="",N74=""),"",INDEX(RiskGrid,6-VALUE(LEFT(M74,1)),VALUE(LEFT(N74,1))))</f>
        <v/>
      </c>
      <c r="P74" s="30">
        <f>IF(O74="","",IF(O74&gt;=BandVH,"Very High",IF(O74&gt;=BandHigh,"High",IF(O74&gt;=BandMed,"Medium","Low"))))</f>
        <v/>
      </c>
      <c r="Q74" s="4" t="n"/>
      <c r="R74" s="19" t="n"/>
      <c r="S74" s="4" t="n"/>
      <c r="T74" s="19" t="n"/>
      <c r="U74" s="4" t="n"/>
      <c r="V74" s="19" t="n"/>
      <c r="W74" s="4" t="n"/>
      <c r="X74" s="19" t="n"/>
      <c r="Y74" s="4" t="n"/>
      <c r="Z74" s="19" t="n"/>
      <c r="AA74" s="4" t="n"/>
      <c r="AB74" s="19" t="n"/>
      <c r="AC74" s="5">
        <f>_xlfn.TEXTJOIN(CHAR(10),TRUE,IF(Q74="","","• "&amp;Q74&amp;IF(R74="Yes","  [IPL]","")),IF(S74="","","• "&amp;S74&amp;IF(T74="Yes","  [IPL]","")),IF(U74="","","• "&amp;U74&amp;IF(V74="Yes","  [IPL]","")),IF(W74="","","• "&amp;W74&amp;IF(X74="Yes","  [IPL]","")),IF(Y74="","","• "&amp;Y74&amp;IF(Z74="Yes","  [IPL]","")),IF(AA74="","","• "&amp;AA74&amp;IF(AB74="Yes","  [IPL]","")))</f>
        <v/>
      </c>
      <c r="AD74" s="30">
        <f>IF(AC74="","",COUNTIF(Q74:AB74,"Yes"))</f>
        <v/>
      </c>
      <c r="AE74" s="19" t="n"/>
      <c r="AF74" s="19" t="n"/>
      <c r="AG74" s="30">
        <f>IF(OR(AE74="",AF74=""),"",INDEX(RiskGrid,6-VALUE(LEFT(AE74,1)),VALUE(LEFT(AF74,1))))</f>
        <v/>
      </c>
      <c r="AH74" s="30">
        <f>IF(AG74="","",IF(AG74&gt;=BandVH,"Very High",IF(AG74&gt;=BandHigh,"High",IF(AG74&gt;=BandMed,"Medium","Low"))))</f>
        <v/>
      </c>
      <c r="AI74" s="4" t="n"/>
      <c r="AJ74" s="4" t="n"/>
    </row>
    <row r="75">
      <c r="A75" s="30">
        <f>IF(B75="","",COUNTIF(B$14:B75,"?*"))</f>
        <v/>
      </c>
      <c r="B75" s="4" t="n"/>
      <c r="C75" s="19" t="n"/>
      <c r="D75" s="5">
        <f>IF(OR(B75="",C75=""),"",UPPER(LEFT(C75,1))&amp;LOWER(MID(C75,2,30))&amp;" "&amp;LOWER(LEFT(B75,1))&amp;MID(B75,2,200))</f>
        <v/>
      </c>
      <c r="E75" s="4" t="n"/>
      <c r="F75" s="4" t="n"/>
      <c r="G75" s="4" t="n"/>
      <c r="H75" s="4" t="n"/>
      <c r="I75" s="4" t="n"/>
      <c r="J75" s="4" t="n"/>
      <c r="K75" s="5">
        <f>_xlfn.TEXTJOIN(CHAR(10),TRUE,IF(E75="","","• "&amp;E75),IF(F75="","","• "&amp;F75),IF(G75="","","• "&amp;G75),IF(H75="","","• "&amp;H75),IF(I75="","","• "&amp;I75),IF(J75="","","• "&amp;J75))</f>
        <v/>
      </c>
      <c r="L75" s="4" t="n"/>
      <c r="M75" s="19" t="n"/>
      <c r="N75" s="19" t="n"/>
      <c r="O75" s="30">
        <f>IF(OR(M75="",N75=""),"",INDEX(RiskGrid,6-VALUE(LEFT(M75,1)),VALUE(LEFT(N75,1))))</f>
        <v/>
      </c>
      <c r="P75" s="30">
        <f>IF(O75="","",IF(O75&gt;=BandVH,"Very High",IF(O75&gt;=BandHigh,"High",IF(O75&gt;=BandMed,"Medium","Low"))))</f>
        <v/>
      </c>
      <c r="Q75" s="4" t="n"/>
      <c r="R75" s="19" t="n"/>
      <c r="S75" s="4" t="n"/>
      <c r="T75" s="19" t="n"/>
      <c r="U75" s="4" t="n"/>
      <c r="V75" s="19" t="n"/>
      <c r="W75" s="4" t="n"/>
      <c r="X75" s="19" t="n"/>
      <c r="Y75" s="4" t="n"/>
      <c r="Z75" s="19" t="n"/>
      <c r="AA75" s="4" t="n"/>
      <c r="AB75" s="19" t="n"/>
      <c r="AC75" s="5">
        <f>_xlfn.TEXTJOIN(CHAR(10),TRUE,IF(Q75="","","• "&amp;Q75&amp;IF(R75="Yes","  [IPL]","")),IF(S75="","","• "&amp;S75&amp;IF(T75="Yes","  [IPL]","")),IF(U75="","","• "&amp;U75&amp;IF(V75="Yes","  [IPL]","")),IF(W75="","","• "&amp;W75&amp;IF(X75="Yes","  [IPL]","")),IF(Y75="","","• "&amp;Y75&amp;IF(Z75="Yes","  [IPL]","")),IF(AA75="","","• "&amp;AA75&amp;IF(AB75="Yes","  [IPL]","")))</f>
        <v/>
      </c>
      <c r="AD75" s="30">
        <f>IF(AC75="","",COUNTIF(Q75:AB75,"Yes"))</f>
        <v/>
      </c>
      <c r="AE75" s="19" t="n"/>
      <c r="AF75" s="19" t="n"/>
      <c r="AG75" s="30">
        <f>IF(OR(AE75="",AF75=""),"",INDEX(RiskGrid,6-VALUE(LEFT(AE75,1)),VALUE(LEFT(AF75,1))))</f>
        <v/>
      </c>
      <c r="AH75" s="30">
        <f>IF(AG75="","",IF(AG75&gt;=BandVH,"Very High",IF(AG75&gt;=BandHigh,"High",IF(AG75&gt;=BandMed,"Medium","Low"))))</f>
        <v/>
      </c>
      <c r="AI75" s="4" t="n"/>
      <c r="AJ75" s="4" t="n"/>
    </row>
    <row r="76">
      <c r="A76" s="30">
        <f>IF(B76="","",COUNTIF(B$14:B76,"?*"))</f>
        <v/>
      </c>
      <c r="B76" s="4" t="n"/>
      <c r="C76" s="19" t="n"/>
      <c r="D76" s="5">
        <f>IF(OR(B76="",C76=""),"",UPPER(LEFT(C76,1))&amp;LOWER(MID(C76,2,30))&amp;" "&amp;LOWER(LEFT(B76,1))&amp;MID(B76,2,200))</f>
        <v/>
      </c>
      <c r="E76" s="4" t="n"/>
      <c r="F76" s="4" t="n"/>
      <c r="G76" s="4" t="n"/>
      <c r="H76" s="4" t="n"/>
      <c r="I76" s="4" t="n"/>
      <c r="J76" s="4" t="n"/>
      <c r="K76" s="5">
        <f>_xlfn.TEXTJOIN(CHAR(10),TRUE,IF(E76="","","• "&amp;E76),IF(F76="","","• "&amp;F76),IF(G76="","","• "&amp;G76),IF(H76="","","• "&amp;H76),IF(I76="","","• "&amp;I76),IF(J76="","","• "&amp;J76))</f>
        <v/>
      </c>
      <c r="L76" s="4" t="n"/>
      <c r="M76" s="19" t="n"/>
      <c r="N76" s="19" t="n"/>
      <c r="O76" s="30">
        <f>IF(OR(M76="",N76=""),"",INDEX(RiskGrid,6-VALUE(LEFT(M76,1)),VALUE(LEFT(N76,1))))</f>
        <v/>
      </c>
      <c r="P76" s="30">
        <f>IF(O76="","",IF(O76&gt;=BandVH,"Very High",IF(O76&gt;=BandHigh,"High",IF(O76&gt;=BandMed,"Medium","Low"))))</f>
        <v/>
      </c>
      <c r="Q76" s="4" t="n"/>
      <c r="R76" s="19" t="n"/>
      <c r="S76" s="4" t="n"/>
      <c r="T76" s="19" t="n"/>
      <c r="U76" s="4" t="n"/>
      <c r="V76" s="19" t="n"/>
      <c r="W76" s="4" t="n"/>
      <c r="X76" s="19" t="n"/>
      <c r="Y76" s="4" t="n"/>
      <c r="Z76" s="19" t="n"/>
      <c r="AA76" s="4" t="n"/>
      <c r="AB76" s="19" t="n"/>
      <c r="AC76" s="5">
        <f>_xlfn.TEXTJOIN(CHAR(10),TRUE,IF(Q76="","","• "&amp;Q76&amp;IF(R76="Yes","  [IPL]","")),IF(S76="","","• "&amp;S76&amp;IF(T76="Yes","  [IPL]","")),IF(U76="","","• "&amp;U76&amp;IF(V76="Yes","  [IPL]","")),IF(W76="","","• "&amp;W76&amp;IF(X76="Yes","  [IPL]","")),IF(Y76="","","• "&amp;Y76&amp;IF(Z76="Yes","  [IPL]","")),IF(AA76="","","• "&amp;AA76&amp;IF(AB76="Yes","  [IPL]","")))</f>
        <v/>
      </c>
      <c r="AD76" s="30">
        <f>IF(AC76="","",COUNTIF(Q76:AB76,"Yes"))</f>
        <v/>
      </c>
      <c r="AE76" s="19" t="n"/>
      <c r="AF76" s="19" t="n"/>
      <c r="AG76" s="30">
        <f>IF(OR(AE76="",AF76=""),"",INDEX(RiskGrid,6-VALUE(LEFT(AE76,1)),VALUE(LEFT(AF76,1))))</f>
        <v/>
      </c>
      <c r="AH76" s="30">
        <f>IF(AG76="","",IF(AG76&gt;=BandVH,"Very High",IF(AG76&gt;=BandHigh,"High",IF(AG76&gt;=BandMed,"Medium","Low"))))</f>
        <v/>
      </c>
      <c r="AI76" s="4" t="n"/>
      <c r="AJ76" s="4" t="n"/>
    </row>
    <row r="77">
      <c r="A77" s="30">
        <f>IF(B77="","",COUNTIF(B$14:B77,"?*"))</f>
        <v/>
      </c>
      <c r="B77" s="4" t="n"/>
      <c r="C77" s="19" t="n"/>
      <c r="D77" s="5">
        <f>IF(OR(B77="",C77=""),"",UPPER(LEFT(C77,1))&amp;LOWER(MID(C77,2,30))&amp;" "&amp;LOWER(LEFT(B77,1))&amp;MID(B77,2,200))</f>
        <v/>
      </c>
      <c r="E77" s="4" t="n"/>
      <c r="F77" s="4" t="n"/>
      <c r="G77" s="4" t="n"/>
      <c r="H77" s="4" t="n"/>
      <c r="I77" s="4" t="n"/>
      <c r="J77" s="4" t="n"/>
      <c r="K77" s="5">
        <f>_xlfn.TEXTJOIN(CHAR(10),TRUE,IF(E77="","","• "&amp;E77),IF(F77="","","• "&amp;F77),IF(G77="","","• "&amp;G77),IF(H77="","","• "&amp;H77),IF(I77="","","• "&amp;I77),IF(J77="","","• "&amp;J77))</f>
        <v/>
      </c>
      <c r="L77" s="4" t="n"/>
      <c r="M77" s="19" t="n"/>
      <c r="N77" s="19" t="n"/>
      <c r="O77" s="30">
        <f>IF(OR(M77="",N77=""),"",INDEX(RiskGrid,6-VALUE(LEFT(M77,1)),VALUE(LEFT(N77,1))))</f>
        <v/>
      </c>
      <c r="P77" s="30">
        <f>IF(O77="","",IF(O77&gt;=BandVH,"Very High",IF(O77&gt;=BandHigh,"High",IF(O77&gt;=BandMed,"Medium","Low"))))</f>
        <v/>
      </c>
      <c r="Q77" s="4" t="n"/>
      <c r="R77" s="19" t="n"/>
      <c r="S77" s="4" t="n"/>
      <c r="T77" s="19" t="n"/>
      <c r="U77" s="4" t="n"/>
      <c r="V77" s="19" t="n"/>
      <c r="W77" s="4" t="n"/>
      <c r="X77" s="19" t="n"/>
      <c r="Y77" s="4" t="n"/>
      <c r="Z77" s="19" t="n"/>
      <c r="AA77" s="4" t="n"/>
      <c r="AB77" s="19" t="n"/>
      <c r="AC77" s="5">
        <f>_xlfn.TEXTJOIN(CHAR(10),TRUE,IF(Q77="","","• "&amp;Q77&amp;IF(R77="Yes","  [IPL]","")),IF(S77="","","• "&amp;S77&amp;IF(T77="Yes","  [IPL]","")),IF(U77="","","• "&amp;U77&amp;IF(V77="Yes","  [IPL]","")),IF(W77="","","• "&amp;W77&amp;IF(X77="Yes","  [IPL]","")),IF(Y77="","","• "&amp;Y77&amp;IF(Z77="Yes","  [IPL]","")),IF(AA77="","","• "&amp;AA77&amp;IF(AB77="Yes","  [IPL]","")))</f>
        <v/>
      </c>
      <c r="AD77" s="30">
        <f>IF(AC77="","",COUNTIF(Q77:AB77,"Yes"))</f>
        <v/>
      </c>
      <c r="AE77" s="19" t="n"/>
      <c r="AF77" s="19" t="n"/>
      <c r="AG77" s="30">
        <f>IF(OR(AE77="",AF77=""),"",INDEX(RiskGrid,6-VALUE(LEFT(AE77,1)),VALUE(LEFT(AF77,1))))</f>
        <v/>
      </c>
      <c r="AH77" s="30">
        <f>IF(AG77="","",IF(AG77&gt;=BandVH,"Very High",IF(AG77&gt;=BandHigh,"High",IF(AG77&gt;=BandMed,"Medium","Low"))))</f>
        <v/>
      </c>
      <c r="AI77" s="4" t="n"/>
      <c r="AJ77" s="4" t="n"/>
    </row>
    <row r="78">
      <c r="A78" s="30">
        <f>IF(B78="","",COUNTIF(B$14:B78,"?*"))</f>
        <v/>
      </c>
      <c r="B78" s="4" t="n"/>
      <c r="C78" s="19" t="n"/>
      <c r="D78" s="5">
        <f>IF(OR(B78="",C78=""),"",UPPER(LEFT(C78,1))&amp;LOWER(MID(C78,2,30))&amp;" "&amp;LOWER(LEFT(B78,1))&amp;MID(B78,2,200))</f>
        <v/>
      </c>
      <c r="E78" s="4" t="n"/>
      <c r="F78" s="4" t="n"/>
      <c r="G78" s="4" t="n"/>
      <c r="H78" s="4" t="n"/>
      <c r="I78" s="4" t="n"/>
      <c r="J78" s="4" t="n"/>
      <c r="K78" s="5">
        <f>_xlfn.TEXTJOIN(CHAR(10),TRUE,IF(E78="","","• "&amp;E78),IF(F78="","","• "&amp;F78),IF(G78="","","• "&amp;G78),IF(H78="","","• "&amp;H78),IF(I78="","","• "&amp;I78),IF(J78="","","• "&amp;J78))</f>
        <v/>
      </c>
      <c r="L78" s="4" t="n"/>
      <c r="M78" s="19" t="n"/>
      <c r="N78" s="19" t="n"/>
      <c r="O78" s="30">
        <f>IF(OR(M78="",N78=""),"",INDEX(RiskGrid,6-VALUE(LEFT(M78,1)),VALUE(LEFT(N78,1))))</f>
        <v/>
      </c>
      <c r="P78" s="30">
        <f>IF(O78="","",IF(O78&gt;=BandVH,"Very High",IF(O78&gt;=BandHigh,"High",IF(O78&gt;=BandMed,"Medium","Low"))))</f>
        <v/>
      </c>
      <c r="Q78" s="4" t="n"/>
      <c r="R78" s="19" t="n"/>
      <c r="S78" s="4" t="n"/>
      <c r="T78" s="19" t="n"/>
      <c r="U78" s="4" t="n"/>
      <c r="V78" s="19" t="n"/>
      <c r="W78" s="4" t="n"/>
      <c r="X78" s="19" t="n"/>
      <c r="Y78" s="4" t="n"/>
      <c r="Z78" s="19" t="n"/>
      <c r="AA78" s="4" t="n"/>
      <c r="AB78" s="19" t="n"/>
      <c r="AC78" s="5">
        <f>_xlfn.TEXTJOIN(CHAR(10),TRUE,IF(Q78="","","• "&amp;Q78&amp;IF(R78="Yes","  [IPL]","")),IF(S78="","","• "&amp;S78&amp;IF(T78="Yes","  [IPL]","")),IF(U78="","","• "&amp;U78&amp;IF(V78="Yes","  [IPL]","")),IF(W78="","","• "&amp;W78&amp;IF(X78="Yes","  [IPL]","")),IF(Y78="","","• "&amp;Y78&amp;IF(Z78="Yes","  [IPL]","")),IF(AA78="","","• "&amp;AA78&amp;IF(AB78="Yes","  [IPL]","")))</f>
        <v/>
      </c>
      <c r="AD78" s="30">
        <f>IF(AC78="","",COUNTIF(Q78:AB78,"Yes"))</f>
        <v/>
      </c>
      <c r="AE78" s="19" t="n"/>
      <c r="AF78" s="19" t="n"/>
      <c r="AG78" s="30">
        <f>IF(OR(AE78="",AF78=""),"",INDEX(RiskGrid,6-VALUE(LEFT(AE78,1)),VALUE(LEFT(AF78,1))))</f>
        <v/>
      </c>
      <c r="AH78" s="30">
        <f>IF(AG78="","",IF(AG78&gt;=BandVH,"Very High",IF(AG78&gt;=BandHigh,"High",IF(AG78&gt;=BandMed,"Medium","Low"))))</f>
        <v/>
      </c>
      <c r="AI78" s="4" t="n"/>
      <c r="AJ78" s="4" t="n"/>
    </row>
    <row r="79">
      <c r="A79" s="30">
        <f>IF(B79="","",COUNTIF(B$14:B79,"?*"))</f>
        <v/>
      </c>
      <c r="B79" s="4" t="n"/>
      <c r="C79" s="19" t="n"/>
      <c r="D79" s="5">
        <f>IF(OR(B79="",C79=""),"",UPPER(LEFT(C79,1))&amp;LOWER(MID(C79,2,30))&amp;" "&amp;LOWER(LEFT(B79,1))&amp;MID(B79,2,200))</f>
        <v/>
      </c>
      <c r="E79" s="4" t="n"/>
      <c r="F79" s="4" t="n"/>
      <c r="G79" s="4" t="n"/>
      <c r="H79" s="4" t="n"/>
      <c r="I79" s="4" t="n"/>
      <c r="J79" s="4" t="n"/>
      <c r="K79" s="5">
        <f>_xlfn.TEXTJOIN(CHAR(10),TRUE,IF(E79="","","• "&amp;E79),IF(F79="","","• "&amp;F79),IF(G79="","","• "&amp;G79),IF(H79="","","• "&amp;H79),IF(I79="","","• "&amp;I79),IF(J79="","","• "&amp;J79))</f>
        <v/>
      </c>
      <c r="L79" s="4" t="n"/>
      <c r="M79" s="19" t="n"/>
      <c r="N79" s="19" t="n"/>
      <c r="O79" s="30">
        <f>IF(OR(M79="",N79=""),"",INDEX(RiskGrid,6-VALUE(LEFT(M79,1)),VALUE(LEFT(N79,1))))</f>
        <v/>
      </c>
      <c r="P79" s="30">
        <f>IF(O79="","",IF(O79&gt;=BandVH,"Very High",IF(O79&gt;=BandHigh,"High",IF(O79&gt;=BandMed,"Medium","Low"))))</f>
        <v/>
      </c>
      <c r="Q79" s="4" t="n"/>
      <c r="R79" s="19" t="n"/>
      <c r="S79" s="4" t="n"/>
      <c r="T79" s="19" t="n"/>
      <c r="U79" s="4" t="n"/>
      <c r="V79" s="19" t="n"/>
      <c r="W79" s="4" t="n"/>
      <c r="X79" s="19" t="n"/>
      <c r="Y79" s="4" t="n"/>
      <c r="Z79" s="19" t="n"/>
      <c r="AA79" s="4" t="n"/>
      <c r="AB79" s="19" t="n"/>
      <c r="AC79" s="5">
        <f>_xlfn.TEXTJOIN(CHAR(10),TRUE,IF(Q79="","","• "&amp;Q79&amp;IF(R79="Yes","  [IPL]","")),IF(S79="","","• "&amp;S79&amp;IF(T79="Yes","  [IPL]","")),IF(U79="","","• "&amp;U79&amp;IF(V79="Yes","  [IPL]","")),IF(W79="","","• "&amp;W79&amp;IF(X79="Yes","  [IPL]","")),IF(Y79="","","• "&amp;Y79&amp;IF(Z79="Yes","  [IPL]","")),IF(AA79="","","• "&amp;AA79&amp;IF(AB79="Yes","  [IPL]","")))</f>
        <v/>
      </c>
      <c r="AD79" s="30">
        <f>IF(AC79="","",COUNTIF(Q79:AB79,"Yes"))</f>
        <v/>
      </c>
      <c r="AE79" s="19" t="n"/>
      <c r="AF79" s="19" t="n"/>
      <c r="AG79" s="30">
        <f>IF(OR(AE79="",AF79=""),"",INDEX(RiskGrid,6-VALUE(LEFT(AE79,1)),VALUE(LEFT(AF79,1))))</f>
        <v/>
      </c>
      <c r="AH79" s="30">
        <f>IF(AG79="","",IF(AG79&gt;=BandVH,"Very High",IF(AG79&gt;=BandHigh,"High",IF(AG79&gt;=BandMed,"Medium","Low"))))</f>
        <v/>
      </c>
      <c r="AI79" s="4" t="n"/>
      <c r="AJ79" s="4" t="n"/>
    </row>
    <row r="80">
      <c r="A80" s="30">
        <f>IF(B80="","",COUNTIF(B$14:B80,"?*"))</f>
        <v/>
      </c>
      <c r="B80" s="4" t="n"/>
      <c r="C80" s="19" t="n"/>
      <c r="D80" s="5">
        <f>IF(OR(B80="",C80=""),"",UPPER(LEFT(C80,1))&amp;LOWER(MID(C80,2,30))&amp;" "&amp;LOWER(LEFT(B80,1))&amp;MID(B80,2,200))</f>
        <v/>
      </c>
      <c r="E80" s="4" t="n"/>
      <c r="F80" s="4" t="n"/>
      <c r="G80" s="4" t="n"/>
      <c r="H80" s="4" t="n"/>
      <c r="I80" s="4" t="n"/>
      <c r="J80" s="4" t="n"/>
      <c r="K80" s="5">
        <f>_xlfn.TEXTJOIN(CHAR(10),TRUE,IF(E80="","","• "&amp;E80),IF(F80="","","• "&amp;F80),IF(G80="","","• "&amp;G80),IF(H80="","","• "&amp;H80),IF(I80="","","• "&amp;I80),IF(J80="","","• "&amp;J80))</f>
        <v/>
      </c>
      <c r="L80" s="4" t="n"/>
      <c r="M80" s="19" t="n"/>
      <c r="N80" s="19" t="n"/>
      <c r="O80" s="30">
        <f>IF(OR(M80="",N80=""),"",INDEX(RiskGrid,6-VALUE(LEFT(M80,1)),VALUE(LEFT(N80,1))))</f>
        <v/>
      </c>
      <c r="P80" s="30">
        <f>IF(O80="","",IF(O80&gt;=BandVH,"Very High",IF(O80&gt;=BandHigh,"High",IF(O80&gt;=BandMed,"Medium","Low"))))</f>
        <v/>
      </c>
      <c r="Q80" s="4" t="n"/>
      <c r="R80" s="19" t="n"/>
      <c r="S80" s="4" t="n"/>
      <c r="T80" s="19" t="n"/>
      <c r="U80" s="4" t="n"/>
      <c r="V80" s="19" t="n"/>
      <c r="W80" s="4" t="n"/>
      <c r="X80" s="19" t="n"/>
      <c r="Y80" s="4" t="n"/>
      <c r="Z80" s="19" t="n"/>
      <c r="AA80" s="4" t="n"/>
      <c r="AB80" s="19" t="n"/>
      <c r="AC80" s="5">
        <f>_xlfn.TEXTJOIN(CHAR(10),TRUE,IF(Q80="","","• "&amp;Q80&amp;IF(R80="Yes","  [IPL]","")),IF(S80="","","• "&amp;S80&amp;IF(T80="Yes","  [IPL]","")),IF(U80="","","• "&amp;U80&amp;IF(V80="Yes","  [IPL]","")),IF(W80="","","• "&amp;W80&amp;IF(X80="Yes","  [IPL]","")),IF(Y80="","","• "&amp;Y80&amp;IF(Z80="Yes","  [IPL]","")),IF(AA80="","","• "&amp;AA80&amp;IF(AB80="Yes","  [IPL]","")))</f>
        <v/>
      </c>
      <c r="AD80" s="30">
        <f>IF(AC80="","",COUNTIF(Q80:AB80,"Yes"))</f>
        <v/>
      </c>
      <c r="AE80" s="19" t="n"/>
      <c r="AF80" s="19" t="n"/>
      <c r="AG80" s="30">
        <f>IF(OR(AE80="",AF80=""),"",INDEX(RiskGrid,6-VALUE(LEFT(AE80,1)),VALUE(LEFT(AF80,1))))</f>
        <v/>
      </c>
      <c r="AH80" s="30">
        <f>IF(AG80="","",IF(AG80&gt;=BandVH,"Very High",IF(AG80&gt;=BandHigh,"High",IF(AG80&gt;=BandMed,"Medium","Low"))))</f>
        <v/>
      </c>
      <c r="AI80" s="4" t="n"/>
      <c r="AJ80" s="4" t="n"/>
    </row>
    <row r="81">
      <c r="A81" s="30">
        <f>IF(B81="","",COUNTIF(B$14:B81,"?*"))</f>
        <v/>
      </c>
      <c r="B81" s="4" t="n"/>
      <c r="C81" s="19" t="n"/>
      <c r="D81" s="5">
        <f>IF(OR(B81="",C81=""),"",UPPER(LEFT(C81,1))&amp;LOWER(MID(C81,2,30))&amp;" "&amp;LOWER(LEFT(B81,1))&amp;MID(B81,2,200))</f>
        <v/>
      </c>
      <c r="E81" s="4" t="n"/>
      <c r="F81" s="4" t="n"/>
      <c r="G81" s="4" t="n"/>
      <c r="H81" s="4" t="n"/>
      <c r="I81" s="4" t="n"/>
      <c r="J81" s="4" t="n"/>
      <c r="K81" s="5">
        <f>_xlfn.TEXTJOIN(CHAR(10),TRUE,IF(E81="","","• "&amp;E81),IF(F81="","","• "&amp;F81),IF(G81="","","• "&amp;G81),IF(H81="","","• "&amp;H81),IF(I81="","","• "&amp;I81),IF(J81="","","• "&amp;J81))</f>
        <v/>
      </c>
      <c r="L81" s="4" t="n"/>
      <c r="M81" s="19" t="n"/>
      <c r="N81" s="19" t="n"/>
      <c r="O81" s="30">
        <f>IF(OR(M81="",N81=""),"",INDEX(RiskGrid,6-VALUE(LEFT(M81,1)),VALUE(LEFT(N81,1))))</f>
        <v/>
      </c>
      <c r="P81" s="30">
        <f>IF(O81="","",IF(O81&gt;=BandVH,"Very High",IF(O81&gt;=BandHigh,"High",IF(O81&gt;=BandMed,"Medium","Low"))))</f>
        <v/>
      </c>
      <c r="Q81" s="4" t="n"/>
      <c r="R81" s="19" t="n"/>
      <c r="S81" s="4" t="n"/>
      <c r="T81" s="19" t="n"/>
      <c r="U81" s="4" t="n"/>
      <c r="V81" s="19" t="n"/>
      <c r="W81" s="4" t="n"/>
      <c r="X81" s="19" t="n"/>
      <c r="Y81" s="4" t="n"/>
      <c r="Z81" s="19" t="n"/>
      <c r="AA81" s="4" t="n"/>
      <c r="AB81" s="19" t="n"/>
      <c r="AC81" s="5">
        <f>_xlfn.TEXTJOIN(CHAR(10),TRUE,IF(Q81="","","• "&amp;Q81&amp;IF(R81="Yes","  [IPL]","")),IF(S81="","","• "&amp;S81&amp;IF(T81="Yes","  [IPL]","")),IF(U81="","","• "&amp;U81&amp;IF(V81="Yes","  [IPL]","")),IF(W81="","","• "&amp;W81&amp;IF(X81="Yes","  [IPL]","")),IF(Y81="","","• "&amp;Y81&amp;IF(Z81="Yes","  [IPL]","")),IF(AA81="","","• "&amp;AA81&amp;IF(AB81="Yes","  [IPL]","")))</f>
        <v/>
      </c>
      <c r="AD81" s="30">
        <f>IF(AC81="","",COUNTIF(Q81:AB81,"Yes"))</f>
        <v/>
      </c>
      <c r="AE81" s="19" t="n"/>
      <c r="AF81" s="19" t="n"/>
      <c r="AG81" s="30">
        <f>IF(OR(AE81="",AF81=""),"",INDEX(RiskGrid,6-VALUE(LEFT(AE81,1)),VALUE(LEFT(AF81,1))))</f>
        <v/>
      </c>
      <c r="AH81" s="30">
        <f>IF(AG81="","",IF(AG81&gt;=BandVH,"Very High",IF(AG81&gt;=BandHigh,"High",IF(AG81&gt;=BandMed,"Medium","Low"))))</f>
        <v/>
      </c>
      <c r="AI81" s="4" t="n"/>
      <c r="AJ81" s="4" t="n"/>
    </row>
    <row r="82">
      <c r="A82" s="30">
        <f>IF(B82="","",COUNTIF(B$14:B82,"?*"))</f>
        <v/>
      </c>
      <c r="B82" s="4" t="n"/>
      <c r="C82" s="19" t="n"/>
      <c r="D82" s="5">
        <f>IF(OR(B82="",C82=""),"",UPPER(LEFT(C82,1))&amp;LOWER(MID(C82,2,30))&amp;" "&amp;LOWER(LEFT(B82,1))&amp;MID(B82,2,200))</f>
        <v/>
      </c>
      <c r="E82" s="4" t="n"/>
      <c r="F82" s="4" t="n"/>
      <c r="G82" s="4" t="n"/>
      <c r="H82" s="4" t="n"/>
      <c r="I82" s="4" t="n"/>
      <c r="J82" s="4" t="n"/>
      <c r="K82" s="5">
        <f>_xlfn.TEXTJOIN(CHAR(10),TRUE,IF(E82="","","• "&amp;E82),IF(F82="","","• "&amp;F82),IF(G82="","","• "&amp;G82),IF(H82="","","• "&amp;H82),IF(I82="","","• "&amp;I82),IF(J82="","","• "&amp;J82))</f>
        <v/>
      </c>
      <c r="L82" s="4" t="n"/>
      <c r="M82" s="19" t="n"/>
      <c r="N82" s="19" t="n"/>
      <c r="O82" s="30">
        <f>IF(OR(M82="",N82=""),"",INDEX(RiskGrid,6-VALUE(LEFT(M82,1)),VALUE(LEFT(N82,1))))</f>
        <v/>
      </c>
      <c r="P82" s="30">
        <f>IF(O82="","",IF(O82&gt;=BandVH,"Very High",IF(O82&gt;=BandHigh,"High",IF(O82&gt;=BandMed,"Medium","Low"))))</f>
        <v/>
      </c>
      <c r="Q82" s="4" t="n"/>
      <c r="R82" s="19" t="n"/>
      <c r="S82" s="4" t="n"/>
      <c r="T82" s="19" t="n"/>
      <c r="U82" s="4" t="n"/>
      <c r="V82" s="19" t="n"/>
      <c r="W82" s="4" t="n"/>
      <c r="X82" s="19" t="n"/>
      <c r="Y82" s="4" t="n"/>
      <c r="Z82" s="19" t="n"/>
      <c r="AA82" s="4" t="n"/>
      <c r="AB82" s="19" t="n"/>
      <c r="AC82" s="5">
        <f>_xlfn.TEXTJOIN(CHAR(10),TRUE,IF(Q82="","","• "&amp;Q82&amp;IF(R82="Yes","  [IPL]","")),IF(S82="","","• "&amp;S82&amp;IF(T82="Yes","  [IPL]","")),IF(U82="","","• "&amp;U82&amp;IF(V82="Yes","  [IPL]","")),IF(W82="","","• "&amp;W82&amp;IF(X82="Yes","  [IPL]","")),IF(Y82="","","• "&amp;Y82&amp;IF(Z82="Yes","  [IPL]","")),IF(AA82="","","• "&amp;AA82&amp;IF(AB82="Yes","  [IPL]","")))</f>
        <v/>
      </c>
      <c r="AD82" s="30">
        <f>IF(AC82="","",COUNTIF(Q82:AB82,"Yes"))</f>
        <v/>
      </c>
      <c r="AE82" s="19" t="n"/>
      <c r="AF82" s="19" t="n"/>
      <c r="AG82" s="30">
        <f>IF(OR(AE82="",AF82=""),"",INDEX(RiskGrid,6-VALUE(LEFT(AE82,1)),VALUE(LEFT(AF82,1))))</f>
        <v/>
      </c>
      <c r="AH82" s="30">
        <f>IF(AG82="","",IF(AG82&gt;=BandVH,"Very High",IF(AG82&gt;=BandHigh,"High",IF(AG82&gt;=BandMed,"Medium","Low"))))</f>
        <v/>
      </c>
      <c r="AI82" s="4" t="n"/>
      <c r="AJ82" s="4" t="n"/>
    </row>
    <row r="83">
      <c r="A83" s="30">
        <f>IF(B83="","",COUNTIF(B$14:B83,"?*"))</f>
        <v/>
      </c>
      <c r="B83" s="4" t="n"/>
      <c r="C83" s="19" t="n"/>
      <c r="D83" s="5">
        <f>IF(OR(B83="",C83=""),"",UPPER(LEFT(C83,1))&amp;LOWER(MID(C83,2,30))&amp;" "&amp;LOWER(LEFT(B83,1))&amp;MID(B83,2,200))</f>
        <v/>
      </c>
      <c r="E83" s="4" t="n"/>
      <c r="F83" s="4" t="n"/>
      <c r="G83" s="4" t="n"/>
      <c r="H83" s="4" t="n"/>
      <c r="I83" s="4" t="n"/>
      <c r="J83" s="4" t="n"/>
      <c r="K83" s="5">
        <f>_xlfn.TEXTJOIN(CHAR(10),TRUE,IF(E83="","","• "&amp;E83),IF(F83="","","• "&amp;F83),IF(G83="","","• "&amp;G83),IF(H83="","","• "&amp;H83),IF(I83="","","• "&amp;I83),IF(J83="","","• "&amp;J83))</f>
        <v/>
      </c>
      <c r="L83" s="4" t="n"/>
      <c r="M83" s="19" t="n"/>
      <c r="N83" s="19" t="n"/>
      <c r="O83" s="30">
        <f>IF(OR(M83="",N83=""),"",INDEX(RiskGrid,6-VALUE(LEFT(M83,1)),VALUE(LEFT(N83,1))))</f>
        <v/>
      </c>
      <c r="P83" s="30">
        <f>IF(O83="","",IF(O83&gt;=BandVH,"Very High",IF(O83&gt;=BandHigh,"High",IF(O83&gt;=BandMed,"Medium","Low"))))</f>
        <v/>
      </c>
      <c r="Q83" s="4" t="n"/>
      <c r="R83" s="19" t="n"/>
      <c r="S83" s="4" t="n"/>
      <c r="T83" s="19" t="n"/>
      <c r="U83" s="4" t="n"/>
      <c r="V83" s="19" t="n"/>
      <c r="W83" s="4" t="n"/>
      <c r="X83" s="19" t="n"/>
      <c r="Y83" s="4" t="n"/>
      <c r="Z83" s="19" t="n"/>
      <c r="AA83" s="4" t="n"/>
      <c r="AB83" s="19" t="n"/>
      <c r="AC83" s="5">
        <f>_xlfn.TEXTJOIN(CHAR(10),TRUE,IF(Q83="","","• "&amp;Q83&amp;IF(R83="Yes","  [IPL]","")),IF(S83="","","• "&amp;S83&amp;IF(T83="Yes","  [IPL]","")),IF(U83="","","• "&amp;U83&amp;IF(V83="Yes","  [IPL]","")),IF(W83="","","• "&amp;W83&amp;IF(X83="Yes","  [IPL]","")),IF(Y83="","","• "&amp;Y83&amp;IF(Z83="Yes","  [IPL]","")),IF(AA83="","","• "&amp;AA83&amp;IF(AB83="Yes","  [IPL]","")))</f>
        <v/>
      </c>
      <c r="AD83" s="30">
        <f>IF(AC83="","",COUNTIF(Q83:AB83,"Yes"))</f>
        <v/>
      </c>
      <c r="AE83" s="19" t="n"/>
      <c r="AF83" s="19" t="n"/>
      <c r="AG83" s="30">
        <f>IF(OR(AE83="",AF83=""),"",INDEX(RiskGrid,6-VALUE(LEFT(AE83,1)),VALUE(LEFT(AF83,1))))</f>
        <v/>
      </c>
      <c r="AH83" s="30">
        <f>IF(AG83="","",IF(AG83&gt;=BandVH,"Very High",IF(AG83&gt;=BandHigh,"High",IF(AG83&gt;=BandMed,"Medium","Low"))))</f>
        <v/>
      </c>
      <c r="AI83" s="4" t="n"/>
      <c r="AJ83" s="4" t="n"/>
    </row>
    <row r="84">
      <c r="A84" s="30">
        <f>IF(B84="","",COUNTIF(B$14:B84,"?*"))</f>
        <v/>
      </c>
      <c r="B84" s="4" t="n"/>
      <c r="C84" s="19" t="n"/>
      <c r="D84" s="5">
        <f>IF(OR(B84="",C84=""),"",UPPER(LEFT(C84,1))&amp;LOWER(MID(C84,2,30))&amp;" "&amp;LOWER(LEFT(B84,1))&amp;MID(B84,2,200))</f>
        <v/>
      </c>
      <c r="E84" s="4" t="n"/>
      <c r="F84" s="4" t="n"/>
      <c r="G84" s="4" t="n"/>
      <c r="H84" s="4" t="n"/>
      <c r="I84" s="4" t="n"/>
      <c r="J84" s="4" t="n"/>
      <c r="K84" s="5">
        <f>_xlfn.TEXTJOIN(CHAR(10),TRUE,IF(E84="","","• "&amp;E84),IF(F84="","","• "&amp;F84),IF(G84="","","• "&amp;G84),IF(H84="","","• "&amp;H84),IF(I84="","","• "&amp;I84),IF(J84="","","• "&amp;J84))</f>
        <v/>
      </c>
      <c r="L84" s="4" t="n"/>
      <c r="M84" s="19" t="n"/>
      <c r="N84" s="19" t="n"/>
      <c r="O84" s="30">
        <f>IF(OR(M84="",N84=""),"",INDEX(RiskGrid,6-VALUE(LEFT(M84,1)),VALUE(LEFT(N84,1))))</f>
        <v/>
      </c>
      <c r="P84" s="30">
        <f>IF(O84="","",IF(O84&gt;=BandVH,"Very High",IF(O84&gt;=BandHigh,"High",IF(O84&gt;=BandMed,"Medium","Low"))))</f>
        <v/>
      </c>
      <c r="Q84" s="4" t="n"/>
      <c r="R84" s="19" t="n"/>
      <c r="S84" s="4" t="n"/>
      <c r="T84" s="19" t="n"/>
      <c r="U84" s="4" t="n"/>
      <c r="V84" s="19" t="n"/>
      <c r="W84" s="4" t="n"/>
      <c r="X84" s="19" t="n"/>
      <c r="Y84" s="4" t="n"/>
      <c r="Z84" s="19" t="n"/>
      <c r="AA84" s="4" t="n"/>
      <c r="AB84" s="19" t="n"/>
      <c r="AC84" s="5">
        <f>_xlfn.TEXTJOIN(CHAR(10),TRUE,IF(Q84="","","• "&amp;Q84&amp;IF(R84="Yes","  [IPL]","")),IF(S84="","","• "&amp;S84&amp;IF(T84="Yes","  [IPL]","")),IF(U84="","","• "&amp;U84&amp;IF(V84="Yes","  [IPL]","")),IF(W84="","","• "&amp;W84&amp;IF(X84="Yes","  [IPL]","")),IF(Y84="","","• "&amp;Y84&amp;IF(Z84="Yes","  [IPL]","")),IF(AA84="","","• "&amp;AA84&amp;IF(AB84="Yes","  [IPL]","")))</f>
        <v/>
      </c>
      <c r="AD84" s="30">
        <f>IF(AC84="","",COUNTIF(Q84:AB84,"Yes"))</f>
        <v/>
      </c>
      <c r="AE84" s="19" t="n"/>
      <c r="AF84" s="19" t="n"/>
      <c r="AG84" s="30">
        <f>IF(OR(AE84="",AF84=""),"",INDEX(RiskGrid,6-VALUE(LEFT(AE84,1)),VALUE(LEFT(AF84,1))))</f>
        <v/>
      </c>
      <c r="AH84" s="30">
        <f>IF(AG84="","",IF(AG84&gt;=BandVH,"Very High",IF(AG84&gt;=BandHigh,"High",IF(AG84&gt;=BandMed,"Medium","Low"))))</f>
        <v/>
      </c>
      <c r="AI84" s="4" t="n"/>
      <c r="AJ84" s="4" t="n"/>
    </row>
    <row r="85">
      <c r="A85" s="30">
        <f>IF(B85="","",COUNTIF(B$14:B85,"?*"))</f>
        <v/>
      </c>
      <c r="B85" s="4" t="n"/>
      <c r="C85" s="19" t="n"/>
      <c r="D85" s="5">
        <f>IF(OR(B85="",C85=""),"",UPPER(LEFT(C85,1))&amp;LOWER(MID(C85,2,30))&amp;" "&amp;LOWER(LEFT(B85,1))&amp;MID(B85,2,200))</f>
        <v/>
      </c>
      <c r="E85" s="4" t="n"/>
      <c r="F85" s="4" t="n"/>
      <c r="G85" s="4" t="n"/>
      <c r="H85" s="4" t="n"/>
      <c r="I85" s="4" t="n"/>
      <c r="J85" s="4" t="n"/>
      <c r="K85" s="5">
        <f>_xlfn.TEXTJOIN(CHAR(10),TRUE,IF(E85="","","• "&amp;E85),IF(F85="","","• "&amp;F85),IF(G85="","","• "&amp;G85),IF(H85="","","• "&amp;H85),IF(I85="","","• "&amp;I85),IF(J85="","","• "&amp;J85))</f>
        <v/>
      </c>
      <c r="L85" s="4" t="n"/>
      <c r="M85" s="19" t="n"/>
      <c r="N85" s="19" t="n"/>
      <c r="O85" s="30">
        <f>IF(OR(M85="",N85=""),"",INDEX(RiskGrid,6-VALUE(LEFT(M85,1)),VALUE(LEFT(N85,1))))</f>
        <v/>
      </c>
      <c r="P85" s="30">
        <f>IF(O85="","",IF(O85&gt;=BandVH,"Very High",IF(O85&gt;=BandHigh,"High",IF(O85&gt;=BandMed,"Medium","Low"))))</f>
        <v/>
      </c>
      <c r="Q85" s="4" t="n"/>
      <c r="R85" s="19" t="n"/>
      <c r="S85" s="4" t="n"/>
      <c r="T85" s="19" t="n"/>
      <c r="U85" s="4" t="n"/>
      <c r="V85" s="19" t="n"/>
      <c r="W85" s="4" t="n"/>
      <c r="X85" s="19" t="n"/>
      <c r="Y85" s="4" t="n"/>
      <c r="Z85" s="19" t="n"/>
      <c r="AA85" s="4" t="n"/>
      <c r="AB85" s="19" t="n"/>
      <c r="AC85" s="5">
        <f>_xlfn.TEXTJOIN(CHAR(10),TRUE,IF(Q85="","","• "&amp;Q85&amp;IF(R85="Yes","  [IPL]","")),IF(S85="","","• "&amp;S85&amp;IF(T85="Yes","  [IPL]","")),IF(U85="","","• "&amp;U85&amp;IF(V85="Yes","  [IPL]","")),IF(W85="","","• "&amp;W85&amp;IF(X85="Yes","  [IPL]","")),IF(Y85="","","• "&amp;Y85&amp;IF(Z85="Yes","  [IPL]","")),IF(AA85="","","• "&amp;AA85&amp;IF(AB85="Yes","  [IPL]","")))</f>
        <v/>
      </c>
      <c r="AD85" s="30">
        <f>IF(AC85="","",COUNTIF(Q85:AB85,"Yes"))</f>
        <v/>
      </c>
      <c r="AE85" s="19" t="n"/>
      <c r="AF85" s="19" t="n"/>
      <c r="AG85" s="30">
        <f>IF(OR(AE85="",AF85=""),"",INDEX(RiskGrid,6-VALUE(LEFT(AE85,1)),VALUE(LEFT(AF85,1))))</f>
        <v/>
      </c>
      <c r="AH85" s="30">
        <f>IF(AG85="","",IF(AG85&gt;=BandVH,"Very High",IF(AG85&gt;=BandHigh,"High",IF(AG85&gt;=BandMed,"Medium","Low"))))</f>
        <v/>
      </c>
      <c r="AI85" s="4" t="n"/>
      <c r="AJ85" s="4" t="n"/>
    </row>
    <row r="86">
      <c r="A86" s="30">
        <f>IF(B86="","",COUNTIF(B$14:B86,"?*"))</f>
        <v/>
      </c>
      <c r="B86" s="4" t="n"/>
      <c r="C86" s="19" t="n"/>
      <c r="D86" s="5">
        <f>IF(OR(B86="",C86=""),"",UPPER(LEFT(C86,1))&amp;LOWER(MID(C86,2,30))&amp;" "&amp;LOWER(LEFT(B86,1))&amp;MID(B86,2,200))</f>
        <v/>
      </c>
      <c r="E86" s="4" t="n"/>
      <c r="F86" s="4" t="n"/>
      <c r="G86" s="4" t="n"/>
      <c r="H86" s="4" t="n"/>
      <c r="I86" s="4" t="n"/>
      <c r="J86" s="4" t="n"/>
      <c r="K86" s="5">
        <f>_xlfn.TEXTJOIN(CHAR(10),TRUE,IF(E86="","","• "&amp;E86),IF(F86="","","• "&amp;F86),IF(G86="","","• "&amp;G86),IF(H86="","","• "&amp;H86),IF(I86="","","• "&amp;I86),IF(J86="","","• "&amp;J86))</f>
        <v/>
      </c>
      <c r="L86" s="4" t="n"/>
      <c r="M86" s="19" t="n"/>
      <c r="N86" s="19" t="n"/>
      <c r="O86" s="30">
        <f>IF(OR(M86="",N86=""),"",INDEX(RiskGrid,6-VALUE(LEFT(M86,1)),VALUE(LEFT(N86,1))))</f>
        <v/>
      </c>
      <c r="P86" s="30">
        <f>IF(O86="","",IF(O86&gt;=BandVH,"Very High",IF(O86&gt;=BandHigh,"High",IF(O86&gt;=BandMed,"Medium","Low"))))</f>
        <v/>
      </c>
      <c r="Q86" s="4" t="n"/>
      <c r="R86" s="19" t="n"/>
      <c r="S86" s="4" t="n"/>
      <c r="T86" s="19" t="n"/>
      <c r="U86" s="4" t="n"/>
      <c r="V86" s="19" t="n"/>
      <c r="W86" s="4" t="n"/>
      <c r="X86" s="19" t="n"/>
      <c r="Y86" s="4" t="n"/>
      <c r="Z86" s="19" t="n"/>
      <c r="AA86" s="4" t="n"/>
      <c r="AB86" s="19" t="n"/>
      <c r="AC86" s="5">
        <f>_xlfn.TEXTJOIN(CHAR(10),TRUE,IF(Q86="","","• "&amp;Q86&amp;IF(R86="Yes","  [IPL]","")),IF(S86="","","• "&amp;S86&amp;IF(T86="Yes","  [IPL]","")),IF(U86="","","• "&amp;U86&amp;IF(V86="Yes","  [IPL]","")),IF(W86="","","• "&amp;W86&amp;IF(X86="Yes","  [IPL]","")),IF(Y86="","","• "&amp;Y86&amp;IF(Z86="Yes","  [IPL]","")),IF(AA86="","","• "&amp;AA86&amp;IF(AB86="Yes","  [IPL]","")))</f>
        <v/>
      </c>
      <c r="AD86" s="30">
        <f>IF(AC86="","",COUNTIF(Q86:AB86,"Yes"))</f>
        <v/>
      </c>
      <c r="AE86" s="19" t="n"/>
      <c r="AF86" s="19" t="n"/>
      <c r="AG86" s="30">
        <f>IF(OR(AE86="",AF86=""),"",INDEX(RiskGrid,6-VALUE(LEFT(AE86,1)),VALUE(LEFT(AF86,1))))</f>
        <v/>
      </c>
      <c r="AH86" s="30">
        <f>IF(AG86="","",IF(AG86&gt;=BandVH,"Very High",IF(AG86&gt;=BandHigh,"High",IF(AG86&gt;=BandMed,"Medium","Low"))))</f>
        <v/>
      </c>
      <c r="AI86" s="4" t="n"/>
      <c r="AJ86" s="4" t="n"/>
    </row>
    <row r="87">
      <c r="A87" s="30">
        <f>IF(B87="","",COUNTIF(B$14:B87,"?*"))</f>
        <v/>
      </c>
      <c r="B87" s="4" t="n"/>
      <c r="C87" s="19" t="n"/>
      <c r="D87" s="5">
        <f>IF(OR(B87="",C87=""),"",UPPER(LEFT(C87,1))&amp;LOWER(MID(C87,2,30))&amp;" "&amp;LOWER(LEFT(B87,1))&amp;MID(B87,2,200))</f>
        <v/>
      </c>
      <c r="E87" s="4" t="n"/>
      <c r="F87" s="4" t="n"/>
      <c r="G87" s="4" t="n"/>
      <c r="H87" s="4" t="n"/>
      <c r="I87" s="4" t="n"/>
      <c r="J87" s="4" t="n"/>
      <c r="K87" s="5">
        <f>_xlfn.TEXTJOIN(CHAR(10),TRUE,IF(E87="","","• "&amp;E87),IF(F87="","","• "&amp;F87),IF(G87="","","• "&amp;G87),IF(H87="","","• "&amp;H87),IF(I87="","","• "&amp;I87),IF(J87="","","• "&amp;J87))</f>
        <v/>
      </c>
      <c r="L87" s="4" t="n"/>
      <c r="M87" s="19" t="n"/>
      <c r="N87" s="19" t="n"/>
      <c r="O87" s="30">
        <f>IF(OR(M87="",N87=""),"",INDEX(RiskGrid,6-VALUE(LEFT(M87,1)),VALUE(LEFT(N87,1))))</f>
        <v/>
      </c>
      <c r="P87" s="30">
        <f>IF(O87="","",IF(O87&gt;=BandVH,"Very High",IF(O87&gt;=BandHigh,"High",IF(O87&gt;=BandMed,"Medium","Low"))))</f>
        <v/>
      </c>
      <c r="Q87" s="4" t="n"/>
      <c r="R87" s="19" t="n"/>
      <c r="S87" s="4" t="n"/>
      <c r="T87" s="19" t="n"/>
      <c r="U87" s="4" t="n"/>
      <c r="V87" s="19" t="n"/>
      <c r="W87" s="4" t="n"/>
      <c r="X87" s="19" t="n"/>
      <c r="Y87" s="4" t="n"/>
      <c r="Z87" s="19" t="n"/>
      <c r="AA87" s="4" t="n"/>
      <c r="AB87" s="19" t="n"/>
      <c r="AC87" s="5">
        <f>_xlfn.TEXTJOIN(CHAR(10),TRUE,IF(Q87="","","• "&amp;Q87&amp;IF(R87="Yes","  [IPL]","")),IF(S87="","","• "&amp;S87&amp;IF(T87="Yes","  [IPL]","")),IF(U87="","","• "&amp;U87&amp;IF(V87="Yes","  [IPL]","")),IF(W87="","","• "&amp;W87&amp;IF(X87="Yes","  [IPL]","")),IF(Y87="","","• "&amp;Y87&amp;IF(Z87="Yes","  [IPL]","")),IF(AA87="","","• "&amp;AA87&amp;IF(AB87="Yes","  [IPL]","")))</f>
        <v/>
      </c>
      <c r="AD87" s="30">
        <f>IF(AC87="","",COUNTIF(Q87:AB87,"Yes"))</f>
        <v/>
      </c>
      <c r="AE87" s="19" t="n"/>
      <c r="AF87" s="19" t="n"/>
      <c r="AG87" s="30">
        <f>IF(OR(AE87="",AF87=""),"",INDEX(RiskGrid,6-VALUE(LEFT(AE87,1)),VALUE(LEFT(AF87,1))))</f>
        <v/>
      </c>
      <c r="AH87" s="30">
        <f>IF(AG87="","",IF(AG87&gt;=BandVH,"Very High",IF(AG87&gt;=BandHigh,"High",IF(AG87&gt;=BandMed,"Medium","Low"))))</f>
        <v/>
      </c>
      <c r="AI87" s="4" t="n"/>
      <c r="AJ87" s="4" t="n"/>
    </row>
    <row r="88">
      <c r="A88" s="30">
        <f>IF(B88="","",COUNTIF(B$14:B88,"?*"))</f>
        <v/>
      </c>
      <c r="B88" s="4" t="n"/>
      <c r="C88" s="19" t="n"/>
      <c r="D88" s="5">
        <f>IF(OR(B88="",C88=""),"",UPPER(LEFT(C88,1))&amp;LOWER(MID(C88,2,30))&amp;" "&amp;LOWER(LEFT(B88,1))&amp;MID(B88,2,200))</f>
        <v/>
      </c>
      <c r="E88" s="4" t="n"/>
      <c r="F88" s="4" t="n"/>
      <c r="G88" s="4" t="n"/>
      <c r="H88" s="4" t="n"/>
      <c r="I88" s="4" t="n"/>
      <c r="J88" s="4" t="n"/>
      <c r="K88" s="5">
        <f>_xlfn.TEXTJOIN(CHAR(10),TRUE,IF(E88="","","• "&amp;E88),IF(F88="","","• "&amp;F88),IF(G88="","","• "&amp;G88),IF(H88="","","• "&amp;H88),IF(I88="","","• "&amp;I88),IF(J88="","","• "&amp;J88))</f>
        <v/>
      </c>
      <c r="L88" s="4" t="n"/>
      <c r="M88" s="19" t="n"/>
      <c r="N88" s="19" t="n"/>
      <c r="O88" s="30">
        <f>IF(OR(M88="",N88=""),"",INDEX(RiskGrid,6-VALUE(LEFT(M88,1)),VALUE(LEFT(N88,1))))</f>
        <v/>
      </c>
      <c r="P88" s="30">
        <f>IF(O88="","",IF(O88&gt;=BandVH,"Very High",IF(O88&gt;=BandHigh,"High",IF(O88&gt;=BandMed,"Medium","Low"))))</f>
        <v/>
      </c>
      <c r="Q88" s="4" t="n"/>
      <c r="R88" s="19" t="n"/>
      <c r="S88" s="4" t="n"/>
      <c r="T88" s="19" t="n"/>
      <c r="U88" s="4" t="n"/>
      <c r="V88" s="19" t="n"/>
      <c r="W88" s="4" t="n"/>
      <c r="X88" s="19" t="n"/>
      <c r="Y88" s="4" t="n"/>
      <c r="Z88" s="19" t="n"/>
      <c r="AA88" s="4" t="n"/>
      <c r="AB88" s="19" t="n"/>
      <c r="AC88" s="5">
        <f>_xlfn.TEXTJOIN(CHAR(10),TRUE,IF(Q88="","","• "&amp;Q88&amp;IF(R88="Yes","  [IPL]","")),IF(S88="","","• "&amp;S88&amp;IF(T88="Yes","  [IPL]","")),IF(U88="","","• "&amp;U88&amp;IF(V88="Yes","  [IPL]","")),IF(W88="","","• "&amp;W88&amp;IF(X88="Yes","  [IPL]","")),IF(Y88="","","• "&amp;Y88&amp;IF(Z88="Yes","  [IPL]","")),IF(AA88="","","• "&amp;AA88&amp;IF(AB88="Yes","  [IPL]","")))</f>
        <v/>
      </c>
      <c r="AD88" s="30">
        <f>IF(AC88="","",COUNTIF(Q88:AB88,"Yes"))</f>
        <v/>
      </c>
      <c r="AE88" s="19" t="n"/>
      <c r="AF88" s="19" t="n"/>
      <c r="AG88" s="30">
        <f>IF(OR(AE88="",AF88=""),"",INDEX(RiskGrid,6-VALUE(LEFT(AE88,1)),VALUE(LEFT(AF88,1))))</f>
        <v/>
      </c>
      <c r="AH88" s="30">
        <f>IF(AG88="","",IF(AG88&gt;=BandVH,"Very High",IF(AG88&gt;=BandHigh,"High",IF(AG88&gt;=BandMed,"Medium","Low"))))</f>
        <v/>
      </c>
      <c r="AI88" s="4" t="n"/>
      <c r="AJ88" s="4" t="n"/>
    </row>
    <row r="89">
      <c r="A89" s="30">
        <f>IF(B89="","",COUNTIF(B$14:B89,"?*"))</f>
        <v/>
      </c>
      <c r="B89" s="4" t="n"/>
      <c r="C89" s="19" t="n"/>
      <c r="D89" s="5">
        <f>IF(OR(B89="",C89=""),"",UPPER(LEFT(C89,1))&amp;LOWER(MID(C89,2,30))&amp;" "&amp;LOWER(LEFT(B89,1))&amp;MID(B89,2,200))</f>
        <v/>
      </c>
      <c r="E89" s="4" t="n"/>
      <c r="F89" s="4" t="n"/>
      <c r="G89" s="4" t="n"/>
      <c r="H89" s="4" t="n"/>
      <c r="I89" s="4" t="n"/>
      <c r="J89" s="4" t="n"/>
      <c r="K89" s="5">
        <f>_xlfn.TEXTJOIN(CHAR(10),TRUE,IF(E89="","","• "&amp;E89),IF(F89="","","• "&amp;F89),IF(G89="","","• "&amp;G89),IF(H89="","","• "&amp;H89),IF(I89="","","• "&amp;I89),IF(J89="","","• "&amp;J89))</f>
        <v/>
      </c>
      <c r="L89" s="4" t="n"/>
      <c r="M89" s="19" t="n"/>
      <c r="N89" s="19" t="n"/>
      <c r="O89" s="30">
        <f>IF(OR(M89="",N89=""),"",INDEX(RiskGrid,6-VALUE(LEFT(M89,1)),VALUE(LEFT(N89,1))))</f>
        <v/>
      </c>
      <c r="P89" s="30">
        <f>IF(O89="","",IF(O89&gt;=BandVH,"Very High",IF(O89&gt;=BandHigh,"High",IF(O89&gt;=BandMed,"Medium","Low"))))</f>
        <v/>
      </c>
      <c r="Q89" s="4" t="n"/>
      <c r="R89" s="19" t="n"/>
      <c r="S89" s="4" t="n"/>
      <c r="T89" s="19" t="n"/>
      <c r="U89" s="4" t="n"/>
      <c r="V89" s="19" t="n"/>
      <c r="W89" s="4" t="n"/>
      <c r="X89" s="19" t="n"/>
      <c r="Y89" s="4" t="n"/>
      <c r="Z89" s="19" t="n"/>
      <c r="AA89" s="4" t="n"/>
      <c r="AB89" s="19" t="n"/>
      <c r="AC89" s="5">
        <f>_xlfn.TEXTJOIN(CHAR(10),TRUE,IF(Q89="","","• "&amp;Q89&amp;IF(R89="Yes","  [IPL]","")),IF(S89="","","• "&amp;S89&amp;IF(T89="Yes","  [IPL]","")),IF(U89="","","• "&amp;U89&amp;IF(V89="Yes","  [IPL]","")),IF(W89="","","• "&amp;W89&amp;IF(X89="Yes","  [IPL]","")),IF(Y89="","","• "&amp;Y89&amp;IF(Z89="Yes","  [IPL]","")),IF(AA89="","","• "&amp;AA89&amp;IF(AB89="Yes","  [IPL]","")))</f>
        <v/>
      </c>
      <c r="AD89" s="30">
        <f>IF(AC89="","",COUNTIF(Q89:AB89,"Yes"))</f>
        <v/>
      </c>
      <c r="AE89" s="19" t="n"/>
      <c r="AF89" s="19" t="n"/>
      <c r="AG89" s="30">
        <f>IF(OR(AE89="",AF89=""),"",INDEX(RiskGrid,6-VALUE(LEFT(AE89,1)),VALUE(LEFT(AF89,1))))</f>
        <v/>
      </c>
      <c r="AH89" s="30">
        <f>IF(AG89="","",IF(AG89&gt;=BandVH,"Very High",IF(AG89&gt;=BandHigh,"High",IF(AG89&gt;=BandMed,"Medium","Low"))))</f>
        <v/>
      </c>
      <c r="AI89" s="4" t="n"/>
      <c r="AJ89" s="4" t="n"/>
    </row>
    <row r="90">
      <c r="A90" s="30">
        <f>IF(B90="","",COUNTIF(B$14:B90,"?*"))</f>
        <v/>
      </c>
      <c r="B90" s="4" t="n"/>
      <c r="C90" s="19" t="n"/>
      <c r="D90" s="5">
        <f>IF(OR(B90="",C90=""),"",UPPER(LEFT(C90,1))&amp;LOWER(MID(C90,2,30))&amp;" "&amp;LOWER(LEFT(B90,1))&amp;MID(B90,2,200))</f>
        <v/>
      </c>
      <c r="E90" s="4" t="n"/>
      <c r="F90" s="4" t="n"/>
      <c r="G90" s="4" t="n"/>
      <c r="H90" s="4" t="n"/>
      <c r="I90" s="4" t="n"/>
      <c r="J90" s="4" t="n"/>
      <c r="K90" s="5">
        <f>_xlfn.TEXTJOIN(CHAR(10),TRUE,IF(E90="","","• "&amp;E90),IF(F90="","","• "&amp;F90),IF(G90="","","• "&amp;G90),IF(H90="","","• "&amp;H90),IF(I90="","","• "&amp;I90),IF(J90="","","• "&amp;J90))</f>
        <v/>
      </c>
      <c r="L90" s="4" t="n"/>
      <c r="M90" s="19" t="n"/>
      <c r="N90" s="19" t="n"/>
      <c r="O90" s="30">
        <f>IF(OR(M90="",N90=""),"",INDEX(RiskGrid,6-VALUE(LEFT(M90,1)),VALUE(LEFT(N90,1))))</f>
        <v/>
      </c>
      <c r="P90" s="30">
        <f>IF(O90="","",IF(O90&gt;=BandVH,"Very High",IF(O90&gt;=BandHigh,"High",IF(O90&gt;=BandMed,"Medium","Low"))))</f>
        <v/>
      </c>
      <c r="Q90" s="4" t="n"/>
      <c r="R90" s="19" t="n"/>
      <c r="S90" s="4" t="n"/>
      <c r="T90" s="19" t="n"/>
      <c r="U90" s="4" t="n"/>
      <c r="V90" s="19" t="n"/>
      <c r="W90" s="4" t="n"/>
      <c r="X90" s="19" t="n"/>
      <c r="Y90" s="4" t="n"/>
      <c r="Z90" s="19" t="n"/>
      <c r="AA90" s="4" t="n"/>
      <c r="AB90" s="19" t="n"/>
      <c r="AC90" s="5">
        <f>_xlfn.TEXTJOIN(CHAR(10),TRUE,IF(Q90="","","• "&amp;Q90&amp;IF(R90="Yes","  [IPL]","")),IF(S90="","","• "&amp;S90&amp;IF(T90="Yes","  [IPL]","")),IF(U90="","","• "&amp;U90&amp;IF(V90="Yes","  [IPL]","")),IF(W90="","","• "&amp;W90&amp;IF(X90="Yes","  [IPL]","")),IF(Y90="","","• "&amp;Y90&amp;IF(Z90="Yes","  [IPL]","")),IF(AA90="","","• "&amp;AA90&amp;IF(AB90="Yes","  [IPL]","")))</f>
        <v/>
      </c>
      <c r="AD90" s="30">
        <f>IF(AC90="","",COUNTIF(Q90:AB90,"Yes"))</f>
        <v/>
      </c>
      <c r="AE90" s="19" t="n"/>
      <c r="AF90" s="19" t="n"/>
      <c r="AG90" s="30">
        <f>IF(OR(AE90="",AF90=""),"",INDEX(RiskGrid,6-VALUE(LEFT(AE90,1)),VALUE(LEFT(AF90,1))))</f>
        <v/>
      </c>
      <c r="AH90" s="30">
        <f>IF(AG90="","",IF(AG90&gt;=BandVH,"Very High",IF(AG90&gt;=BandHigh,"High",IF(AG90&gt;=BandMed,"Medium","Low"))))</f>
        <v/>
      </c>
      <c r="AI90" s="4" t="n"/>
      <c r="AJ90" s="4" t="n"/>
    </row>
    <row r="91">
      <c r="A91" s="30">
        <f>IF(B91="","",COUNTIF(B$14:B91,"?*"))</f>
        <v/>
      </c>
      <c r="B91" s="4" t="n"/>
      <c r="C91" s="19" t="n"/>
      <c r="D91" s="5">
        <f>IF(OR(B91="",C91=""),"",UPPER(LEFT(C91,1))&amp;LOWER(MID(C91,2,30))&amp;" "&amp;LOWER(LEFT(B91,1))&amp;MID(B91,2,200))</f>
        <v/>
      </c>
      <c r="E91" s="4" t="n"/>
      <c r="F91" s="4" t="n"/>
      <c r="G91" s="4" t="n"/>
      <c r="H91" s="4" t="n"/>
      <c r="I91" s="4" t="n"/>
      <c r="J91" s="4" t="n"/>
      <c r="K91" s="5">
        <f>_xlfn.TEXTJOIN(CHAR(10),TRUE,IF(E91="","","• "&amp;E91),IF(F91="","","• "&amp;F91),IF(G91="","","• "&amp;G91),IF(H91="","","• "&amp;H91),IF(I91="","","• "&amp;I91),IF(J91="","","• "&amp;J91))</f>
        <v/>
      </c>
      <c r="L91" s="4" t="n"/>
      <c r="M91" s="19" t="n"/>
      <c r="N91" s="19" t="n"/>
      <c r="O91" s="30">
        <f>IF(OR(M91="",N91=""),"",INDEX(RiskGrid,6-VALUE(LEFT(M91,1)),VALUE(LEFT(N91,1))))</f>
        <v/>
      </c>
      <c r="P91" s="30">
        <f>IF(O91="","",IF(O91&gt;=BandVH,"Very High",IF(O91&gt;=BandHigh,"High",IF(O91&gt;=BandMed,"Medium","Low"))))</f>
        <v/>
      </c>
      <c r="Q91" s="4" t="n"/>
      <c r="R91" s="19" t="n"/>
      <c r="S91" s="4" t="n"/>
      <c r="T91" s="19" t="n"/>
      <c r="U91" s="4" t="n"/>
      <c r="V91" s="19" t="n"/>
      <c r="W91" s="4" t="n"/>
      <c r="X91" s="19" t="n"/>
      <c r="Y91" s="4" t="n"/>
      <c r="Z91" s="19" t="n"/>
      <c r="AA91" s="4" t="n"/>
      <c r="AB91" s="19" t="n"/>
      <c r="AC91" s="5">
        <f>_xlfn.TEXTJOIN(CHAR(10),TRUE,IF(Q91="","","• "&amp;Q91&amp;IF(R91="Yes","  [IPL]","")),IF(S91="","","• "&amp;S91&amp;IF(T91="Yes","  [IPL]","")),IF(U91="","","• "&amp;U91&amp;IF(V91="Yes","  [IPL]","")),IF(W91="","","• "&amp;W91&amp;IF(X91="Yes","  [IPL]","")),IF(Y91="","","• "&amp;Y91&amp;IF(Z91="Yes","  [IPL]","")),IF(AA91="","","• "&amp;AA91&amp;IF(AB91="Yes","  [IPL]","")))</f>
        <v/>
      </c>
      <c r="AD91" s="30">
        <f>IF(AC91="","",COUNTIF(Q91:AB91,"Yes"))</f>
        <v/>
      </c>
      <c r="AE91" s="19" t="n"/>
      <c r="AF91" s="19" t="n"/>
      <c r="AG91" s="30">
        <f>IF(OR(AE91="",AF91=""),"",INDEX(RiskGrid,6-VALUE(LEFT(AE91,1)),VALUE(LEFT(AF91,1))))</f>
        <v/>
      </c>
      <c r="AH91" s="30">
        <f>IF(AG91="","",IF(AG91&gt;=BandVH,"Very High",IF(AG91&gt;=BandHigh,"High",IF(AG91&gt;=BandMed,"Medium","Low"))))</f>
        <v/>
      </c>
      <c r="AI91" s="4" t="n"/>
      <c r="AJ91" s="4" t="n"/>
    </row>
    <row r="92">
      <c r="A92" s="30">
        <f>IF(B92="","",COUNTIF(B$14:B92,"?*"))</f>
        <v/>
      </c>
      <c r="B92" s="4" t="n"/>
      <c r="C92" s="19" t="n"/>
      <c r="D92" s="5">
        <f>IF(OR(B92="",C92=""),"",UPPER(LEFT(C92,1))&amp;LOWER(MID(C92,2,30))&amp;" "&amp;LOWER(LEFT(B92,1))&amp;MID(B92,2,200))</f>
        <v/>
      </c>
      <c r="E92" s="4" t="n"/>
      <c r="F92" s="4" t="n"/>
      <c r="G92" s="4" t="n"/>
      <c r="H92" s="4" t="n"/>
      <c r="I92" s="4" t="n"/>
      <c r="J92" s="4" t="n"/>
      <c r="K92" s="5">
        <f>_xlfn.TEXTJOIN(CHAR(10),TRUE,IF(E92="","","• "&amp;E92),IF(F92="","","• "&amp;F92),IF(G92="","","• "&amp;G92),IF(H92="","","• "&amp;H92),IF(I92="","","• "&amp;I92),IF(J92="","","• "&amp;J92))</f>
        <v/>
      </c>
      <c r="L92" s="4" t="n"/>
      <c r="M92" s="19" t="n"/>
      <c r="N92" s="19" t="n"/>
      <c r="O92" s="30">
        <f>IF(OR(M92="",N92=""),"",INDEX(RiskGrid,6-VALUE(LEFT(M92,1)),VALUE(LEFT(N92,1))))</f>
        <v/>
      </c>
      <c r="P92" s="30">
        <f>IF(O92="","",IF(O92&gt;=BandVH,"Very High",IF(O92&gt;=BandHigh,"High",IF(O92&gt;=BandMed,"Medium","Low"))))</f>
        <v/>
      </c>
      <c r="Q92" s="4" t="n"/>
      <c r="R92" s="19" t="n"/>
      <c r="S92" s="4" t="n"/>
      <c r="T92" s="19" t="n"/>
      <c r="U92" s="4" t="n"/>
      <c r="V92" s="19" t="n"/>
      <c r="W92" s="4" t="n"/>
      <c r="X92" s="19" t="n"/>
      <c r="Y92" s="4" t="n"/>
      <c r="Z92" s="19" t="n"/>
      <c r="AA92" s="4" t="n"/>
      <c r="AB92" s="19" t="n"/>
      <c r="AC92" s="5">
        <f>_xlfn.TEXTJOIN(CHAR(10),TRUE,IF(Q92="","","• "&amp;Q92&amp;IF(R92="Yes","  [IPL]","")),IF(S92="","","• "&amp;S92&amp;IF(T92="Yes","  [IPL]","")),IF(U92="","","• "&amp;U92&amp;IF(V92="Yes","  [IPL]","")),IF(W92="","","• "&amp;W92&amp;IF(X92="Yes","  [IPL]","")),IF(Y92="","","• "&amp;Y92&amp;IF(Z92="Yes","  [IPL]","")),IF(AA92="","","• "&amp;AA92&amp;IF(AB92="Yes","  [IPL]","")))</f>
        <v/>
      </c>
      <c r="AD92" s="30">
        <f>IF(AC92="","",COUNTIF(Q92:AB92,"Yes"))</f>
        <v/>
      </c>
      <c r="AE92" s="19" t="n"/>
      <c r="AF92" s="19" t="n"/>
      <c r="AG92" s="30">
        <f>IF(OR(AE92="",AF92=""),"",INDEX(RiskGrid,6-VALUE(LEFT(AE92,1)),VALUE(LEFT(AF92,1))))</f>
        <v/>
      </c>
      <c r="AH92" s="30">
        <f>IF(AG92="","",IF(AG92&gt;=BandVH,"Very High",IF(AG92&gt;=BandHigh,"High",IF(AG92&gt;=BandMed,"Medium","Low"))))</f>
        <v/>
      </c>
      <c r="AI92" s="4" t="n"/>
      <c r="AJ92" s="4" t="n"/>
    </row>
    <row r="93">
      <c r="A93" s="30">
        <f>IF(B93="","",COUNTIF(B$14:B93,"?*"))</f>
        <v/>
      </c>
      <c r="B93" s="4" t="n"/>
      <c r="C93" s="19" t="n"/>
      <c r="D93" s="5">
        <f>IF(OR(B93="",C93=""),"",UPPER(LEFT(C93,1))&amp;LOWER(MID(C93,2,30))&amp;" "&amp;LOWER(LEFT(B93,1))&amp;MID(B93,2,200))</f>
        <v/>
      </c>
      <c r="E93" s="4" t="n"/>
      <c r="F93" s="4" t="n"/>
      <c r="G93" s="4" t="n"/>
      <c r="H93" s="4" t="n"/>
      <c r="I93" s="4" t="n"/>
      <c r="J93" s="4" t="n"/>
      <c r="K93" s="5">
        <f>_xlfn.TEXTJOIN(CHAR(10),TRUE,IF(E93="","","• "&amp;E93),IF(F93="","","• "&amp;F93),IF(G93="","","• "&amp;G93),IF(H93="","","• "&amp;H93),IF(I93="","","• "&amp;I93),IF(J93="","","• "&amp;J93))</f>
        <v/>
      </c>
      <c r="L93" s="4" t="n"/>
      <c r="M93" s="19" t="n"/>
      <c r="N93" s="19" t="n"/>
      <c r="O93" s="30">
        <f>IF(OR(M93="",N93=""),"",INDEX(RiskGrid,6-VALUE(LEFT(M93,1)),VALUE(LEFT(N93,1))))</f>
        <v/>
      </c>
      <c r="P93" s="30">
        <f>IF(O93="","",IF(O93&gt;=BandVH,"Very High",IF(O93&gt;=BandHigh,"High",IF(O93&gt;=BandMed,"Medium","Low"))))</f>
        <v/>
      </c>
      <c r="Q93" s="4" t="n"/>
      <c r="R93" s="19" t="n"/>
      <c r="S93" s="4" t="n"/>
      <c r="T93" s="19" t="n"/>
      <c r="U93" s="4" t="n"/>
      <c r="V93" s="19" t="n"/>
      <c r="W93" s="4" t="n"/>
      <c r="X93" s="19" t="n"/>
      <c r="Y93" s="4" t="n"/>
      <c r="Z93" s="19" t="n"/>
      <c r="AA93" s="4" t="n"/>
      <c r="AB93" s="19" t="n"/>
      <c r="AC93" s="5">
        <f>_xlfn.TEXTJOIN(CHAR(10),TRUE,IF(Q93="","","• "&amp;Q93&amp;IF(R93="Yes","  [IPL]","")),IF(S93="","","• "&amp;S93&amp;IF(T93="Yes","  [IPL]","")),IF(U93="","","• "&amp;U93&amp;IF(V93="Yes","  [IPL]","")),IF(W93="","","• "&amp;W93&amp;IF(X93="Yes","  [IPL]","")),IF(Y93="","","• "&amp;Y93&amp;IF(Z93="Yes","  [IPL]","")),IF(AA93="","","• "&amp;AA93&amp;IF(AB93="Yes","  [IPL]","")))</f>
        <v/>
      </c>
      <c r="AD93" s="30">
        <f>IF(AC93="","",COUNTIF(Q93:AB93,"Yes"))</f>
        <v/>
      </c>
      <c r="AE93" s="19" t="n"/>
      <c r="AF93" s="19" t="n"/>
      <c r="AG93" s="30">
        <f>IF(OR(AE93="",AF93=""),"",INDEX(RiskGrid,6-VALUE(LEFT(AE93,1)),VALUE(LEFT(AF93,1))))</f>
        <v/>
      </c>
      <c r="AH93" s="30">
        <f>IF(AG93="","",IF(AG93&gt;=BandVH,"Very High",IF(AG93&gt;=BandHigh,"High",IF(AG93&gt;=BandMed,"Medium","Low"))))</f>
        <v/>
      </c>
      <c r="AI93" s="4" t="n"/>
      <c r="AJ93" s="4" t="n"/>
    </row>
    <row r="94">
      <c r="A94" s="30">
        <f>IF(B94="","",COUNTIF(B$14:B94,"?*"))</f>
        <v/>
      </c>
      <c r="B94" s="4" t="n"/>
      <c r="C94" s="19" t="n"/>
      <c r="D94" s="5">
        <f>IF(OR(B94="",C94=""),"",UPPER(LEFT(C94,1))&amp;LOWER(MID(C94,2,30))&amp;" "&amp;LOWER(LEFT(B94,1))&amp;MID(B94,2,200))</f>
        <v/>
      </c>
      <c r="E94" s="4" t="n"/>
      <c r="F94" s="4" t="n"/>
      <c r="G94" s="4" t="n"/>
      <c r="H94" s="4" t="n"/>
      <c r="I94" s="4" t="n"/>
      <c r="J94" s="4" t="n"/>
      <c r="K94" s="5">
        <f>_xlfn.TEXTJOIN(CHAR(10),TRUE,IF(E94="","","• "&amp;E94),IF(F94="","","• "&amp;F94),IF(G94="","","• "&amp;G94),IF(H94="","","• "&amp;H94),IF(I94="","","• "&amp;I94),IF(J94="","","• "&amp;J94))</f>
        <v/>
      </c>
      <c r="L94" s="4" t="n"/>
      <c r="M94" s="19" t="n"/>
      <c r="N94" s="19" t="n"/>
      <c r="O94" s="30">
        <f>IF(OR(M94="",N94=""),"",INDEX(RiskGrid,6-VALUE(LEFT(M94,1)),VALUE(LEFT(N94,1))))</f>
        <v/>
      </c>
      <c r="P94" s="30">
        <f>IF(O94="","",IF(O94&gt;=BandVH,"Very High",IF(O94&gt;=BandHigh,"High",IF(O94&gt;=BandMed,"Medium","Low"))))</f>
        <v/>
      </c>
      <c r="Q94" s="4" t="n"/>
      <c r="R94" s="19" t="n"/>
      <c r="S94" s="4" t="n"/>
      <c r="T94" s="19" t="n"/>
      <c r="U94" s="4" t="n"/>
      <c r="V94" s="19" t="n"/>
      <c r="W94" s="4" t="n"/>
      <c r="X94" s="19" t="n"/>
      <c r="Y94" s="4" t="n"/>
      <c r="Z94" s="19" t="n"/>
      <c r="AA94" s="4" t="n"/>
      <c r="AB94" s="19" t="n"/>
      <c r="AC94" s="5">
        <f>_xlfn.TEXTJOIN(CHAR(10),TRUE,IF(Q94="","","• "&amp;Q94&amp;IF(R94="Yes","  [IPL]","")),IF(S94="","","• "&amp;S94&amp;IF(T94="Yes","  [IPL]","")),IF(U94="","","• "&amp;U94&amp;IF(V94="Yes","  [IPL]","")),IF(W94="","","• "&amp;W94&amp;IF(X94="Yes","  [IPL]","")),IF(Y94="","","• "&amp;Y94&amp;IF(Z94="Yes","  [IPL]","")),IF(AA94="","","• "&amp;AA94&amp;IF(AB94="Yes","  [IPL]","")))</f>
        <v/>
      </c>
      <c r="AD94" s="30">
        <f>IF(AC94="","",COUNTIF(Q94:AB94,"Yes"))</f>
        <v/>
      </c>
      <c r="AE94" s="19" t="n"/>
      <c r="AF94" s="19" t="n"/>
      <c r="AG94" s="30">
        <f>IF(OR(AE94="",AF94=""),"",INDEX(RiskGrid,6-VALUE(LEFT(AE94,1)),VALUE(LEFT(AF94,1))))</f>
        <v/>
      </c>
      <c r="AH94" s="30">
        <f>IF(AG94="","",IF(AG94&gt;=BandVH,"Very High",IF(AG94&gt;=BandHigh,"High",IF(AG94&gt;=BandMed,"Medium","Low"))))</f>
        <v/>
      </c>
      <c r="AI94" s="4" t="n"/>
      <c r="AJ94" s="4" t="n"/>
    </row>
    <row r="95">
      <c r="A95" s="30">
        <f>IF(B95="","",COUNTIF(B$14:B95,"?*"))</f>
        <v/>
      </c>
      <c r="B95" s="4" t="n"/>
      <c r="C95" s="19" t="n"/>
      <c r="D95" s="5">
        <f>IF(OR(B95="",C95=""),"",UPPER(LEFT(C95,1))&amp;LOWER(MID(C95,2,30))&amp;" "&amp;LOWER(LEFT(B95,1))&amp;MID(B95,2,200))</f>
        <v/>
      </c>
      <c r="E95" s="4" t="n"/>
      <c r="F95" s="4" t="n"/>
      <c r="G95" s="4" t="n"/>
      <c r="H95" s="4" t="n"/>
      <c r="I95" s="4" t="n"/>
      <c r="J95" s="4" t="n"/>
      <c r="K95" s="5">
        <f>_xlfn.TEXTJOIN(CHAR(10),TRUE,IF(E95="","","• "&amp;E95),IF(F95="","","• "&amp;F95),IF(G95="","","• "&amp;G95),IF(H95="","","• "&amp;H95),IF(I95="","","• "&amp;I95),IF(J95="","","• "&amp;J95))</f>
        <v/>
      </c>
      <c r="L95" s="4" t="n"/>
      <c r="M95" s="19" t="n"/>
      <c r="N95" s="19" t="n"/>
      <c r="O95" s="30">
        <f>IF(OR(M95="",N95=""),"",INDEX(RiskGrid,6-VALUE(LEFT(M95,1)),VALUE(LEFT(N95,1))))</f>
        <v/>
      </c>
      <c r="P95" s="30">
        <f>IF(O95="","",IF(O95&gt;=BandVH,"Very High",IF(O95&gt;=BandHigh,"High",IF(O95&gt;=BandMed,"Medium","Low"))))</f>
        <v/>
      </c>
      <c r="Q95" s="4" t="n"/>
      <c r="R95" s="19" t="n"/>
      <c r="S95" s="4" t="n"/>
      <c r="T95" s="19" t="n"/>
      <c r="U95" s="4" t="n"/>
      <c r="V95" s="19" t="n"/>
      <c r="W95" s="4" t="n"/>
      <c r="X95" s="19" t="n"/>
      <c r="Y95" s="4" t="n"/>
      <c r="Z95" s="19" t="n"/>
      <c r="AA95" s="4" t="n"/>
      <c r="AB95" s="19" t="n"/>
      <c r="AC95" s="5">
        <f>_xlfn.TEXTJOIN(CHAR(10),TRUE,IF(Q95="","","• "&amp;Q95&amp;IF(R95="Yes","  [IPL]","")),IF(S95="","","• "&amp;S95&amp;IF(T95="Yes","  [IPL]","")),IF(U95="","","• "&amp;U95&amp;IF(V95="Yes","  [IPL]","")),IF(W95="","","• "&amp;W95&amp;IF(X95="Yes","  [IPL]","")),IF(Y95="","","• "&amp;Y95&amp;IF(Z95="Yes","  [IPL]","")),IF(AA95="","","• "&amp;AA95&amp;IF(AB95="Yes","  [IPL]","")))</f>
        <v/>
      </c>
      <c r="AD95" s="30">
        <f>IF(AC95="","",COUNTIF(Q95:AB95,"Yes"))</f>
        <v/>
      </c>
      <c r="AE95" s="19" t="n"/>
      <c r="AF95" s="19" t="n"/>
      <c r="AG95" s="30">
        <f>IF(OR(AE95="",AF95=""),"",INDEX(RiskGrid,6-VALUE(LEFT(AE95,1)),VALUE(LEFT(AF95,1))))</f>
        <v/>
      </c>
      <c r="AH95" s="30">
        <f>IF(AG95="","",IF(AG95&gt;=BandVH,"Very High",IF(AG95&gt;=BandHigh,"High",IF(AG95&gt;=BandMed,"Medium","Low"))))</f>
        <v/>
      </c>
      <c r="AI95" s="4" t="n"/>
      <c r="AJ95" s="4" t="n"/>
    </row>
    <row r="96">
      <c r="A96" s="30">
        <f>IF(B96="","",COUNTIF(B$14:B96,"?*"))</f>
        <v/>
      </c>
      <c r="B96" s="4" t="n"/>
      <c r="C96" s="19" t="n"/>
      <c r="D96" s="5">
        <f>IF(OR(B96="",C96=""),"",UPPER(LEFT(C96,1))&amp;LOWER(MID(C96,2,30))&amp;" "&amp;LOWER(LEFT(B96,1))&amp;MID(B96,2,200))</f>
        <v/>
      </c>
      <c r="E96" s="4" t="n"/>
      <c r="F96" s="4" t="n"/>
      <c r="G96" s="4" t="n"/>
      <c r="H96" s="4" t="n"/>
      <c r="I96" s="4" t="n"/>
      <c r="J96" s="4" t="n"/>
      <c r="K96" s="5">
        <f>_xlfn.TEXTJOIN(CHAR(10),TRUE,IF(E96="","","• "&amp;E96),IF(F96="","","• "&amp;F96),IF(G96="","","• "&amp;G96),IF(H96="","","• "&amp;H96),IF(I96="","","• "&amp;I96),IF(J96="","","• "&amp;J96))</f>
        <v/>
      </c>
      <c r="L96" s="4" t="n"/>
      <c r="M96" s="19" t="n"/>
      <c r="N96" s="19" t="n"/>
      <c r="O96" s="30">
        <f>IF(OR(M96="",N96=""),"",INDEX(RiskGrid,6-VALUE(LEFT(M96,1)),VALUE(LEFT(N96,1))))</f>
        <v/>
      </c>
      <c r="P96" s="30">
        <f>IF(O96="","",IF(O96&gt;=BandVH,"Very High",IF(O96&gt;=BandHigh,"High",IF(O96&gt;=BandMed,"Medium","Low"))))</f>
        <v/>
      </c>
      <c r="Q96" s="4" t="n"/>
      <c r="R96" s="19" t="n"/>
      <c r="S96" s="4" t="n"/>
      <c r="T96" s="19" t="n"/>
      <c r="U96" s="4" t="n"/>
      <c r="V96" s="19" t="n"/>
      <c r="W96" s="4" t="n"/>
      <c r="X96" s="19" t="n"/>
      <c r="Y96" s="4" t="n"/>
      <c r="Z96" s="19" t="n"/>
      <c r="AA96" s="4" t="n"/>
      <c r="AB96" s="19" t="n"/>
      <c r="AC96" s="5">
        <f>_xlfn.TEXTJOIN(CHAR(10),TRUE,IF(Q96="","","• "&amp;Q96&amp;IF(R96="Yes","  [IPL]","")),IF(S96="","","• "&amp;S96&amp;IF(T96="Yes","  [IPL]","")),IF(U96="","","• "&amp;U96&amp;IF(V96="Yes","  [IPL]","")),IF(W96="","","• "&amp;W96&amp;IF(X96="Yes","  [IPL]","")),IF(Y96="","","• "&amp;Y96&amp;IF(Z96="Yes","  [IPL]","")),IF(AA96="","","• "&amp;AA96&amp;IF(AB96="Yes","  [IPL]","")))</f>
        <v/>
      </c>
      <c r="AD96" s="30">
        <f>IF(AC96="","",COUNTIF(Q96:AB96,"Yes"))</f>
        <v/>
      </c>
      <c r="AE96" s="19" t="n"/>
      <c r="AF96" s="19" t="n"/>
      <c r="AG96" s="30">
        <f>IF(OR(AE96="",AF96=""),"",INDEX(RiskGrid,6-VALUE(LEFT(AE96,1)),VALUE(LEFT(AF96,1))))</f>
        <v/>
      </c>
      <c r="AH96" s="30">
        <f>IF(AG96="","",IF(AG96&gt;=BandVH,"Very High",IF(AG96&gt;=BandHigh,"High",IF(AG96&gt;=BandMed,"Medium","Low"))))</f>
        <v/>
      </c>
      <c r="AI96" s="4" t="n"/>
      <c r="AJ96" s="4" t="n"/>
    </row>
    <row r="97">
      <c r="A97" s="30">
        <f>IF(B97="","",COUNTIF(B$14:B97,"?*"))</f>
        <v/>
      </c>
      <c r="B97" s="4" t="n"/>
      <c r="C97" s="19" t="n"/>
      <c r="D97" s="5">
        <f>IF(OR(B97="",C97=""),"",UPPER(LEFT(C97,1))&amp;LOWER(MID(C97,2,30))&amp;" "&amp;LOWER(LEFT(B97,1))&amp;MID(B97,2,200))</f>
        <v/>
      </c>
      <c r="E97" s="4" t="n"/>
      <c r="F97" s="4" t="n"/>
      <c r="G97" s="4" t="n"/>
      <c r="H97" s="4" t="n"/>
      <c r="I97" s="4" t="n"/>
      <c r="J97" s="4" t="n"/>
      <c r="K97" s="5">
        <f>_xlfn.TEXTJOIN(CHAR(10),TRUE,IF(E97="","","• "&amp;E97),IF(F97="","","• "&amp;F97),IF(G97="","","• "&amp;G97),IF(H97="","","• "&amp;H97),IF(I97="","","• "&amp;I97),IF(J97="","","• "&amp;J97))</f>
        <v/>
      </c>
      <c r="L97" s="4" t="n"/>
      <c r="M97" s="19" t="n"/>
      <c r="N97" s="19" t="n"/>
      <c r="O97" s="30">
        <f>IF(OR(M97="",N97=""),"",INDEX(RiskGrid,6-VALUE(LEFT(M97,1)),VALUE(LEFT(N97,1))))</f>
        <v/>
      </c>
      <c r="P97" s="30">
        <f>IF(O97="","",IF(O97&gt;=BandVH,"Very High",IF(O97&gt;=BandHigh,"High",IF(O97&gt;=BandMed,"Medium","Low"))))</f>
        <v/>
      </c>
      <c r="Q97" s="4" t="n"/>
      <c r="R97" s="19" t="n"/>
      <c r="S97" s="4" t="n"/>
      <c r="T97" s="19" t="n"/>
      <c r="U97" s="4" t="n"/>
      <c r="V97" s="19" t="n"/>
      <c r="W97" s="4" t="n"/>
      <c r="X97" s="19" t="n"/>
      <c r="Y97" s="4" t="n"/>
      <c r="Z97" s="19" t="n"/>
      <c r="AA97" s="4" t="n"/>
      <c r="AB97" s="19" t="n"/>
      <c r="AC97" s="5">
        <f>_xlfn.TEXTJOIN(CHAR(10),TRUE,IF(Q97="","","• "&amp;Q97&amp;IF(R97="Yes","  [IPL]","")),IF(S97="","","• "&amp;S97&amp;IF(T97="Yes","  [IPL]","")),IF(U97="","","• "&amp;U97&amp;IF(V97="Yes","  [IPL]","")),IF(W97="","","• "&amp;W97&amp;IF(X97="Yes","  [IPL]","")),IF(Y97="","","• "&amp;Y97&amp;IF(Z97="Yes","  [IPL]","")),IF(AA97="","","• "&amp;AA97&amp;IF(AB97="Yes","  [IPL]","")))</f>
        <v/>
      </c>
      <c r="AD97" s="30">
        <f>IF(AC97="","",COUNTIF(Q97:AB97,"Yes"))</f>
        <v/>
      </c>
      <c r="AE97" s="19" t="n"/>
      <c r="AF97" s="19" t="n"/>
      <c r="AG97" s="30">
        <f>IF(OR(AE97="",AF97=""),"",INDEX(RiskGrid,6-VALUE(LEFT(AE97,1)),VALUE(LEFT(AF97,1))))</f>
        <v/>
      </c>
      <c r="AH97" s="30">
        <f>IF(AG97="","",IF(AG97&gt;=BandVH,"Very High",IF(AG97&gt;=BandHigh,"High",IF(AG97&gt;=BandMed,"Medium","Low"))))</f>
        <v/>
      </c>
      <c r="AI97" s="4" t="n"/>
      <c r="AJ97" s="4" t="n"/>
    </row>
    <row r="98">
      <c r="A98" s="30">
        <f>IF(B98="","",COUNTIF(B$14:B98,"?*"))</f>
        <v/>
      </c>
      <c r="B98" s="4" t="n"/>
      <c r="C98" s="19" t="n"/>
      <c r="D98" s="5">
        <f>IF(OR(B98="",C98=""),"",UPPER(LEFT(C98,1))&amp;LOWER(MID(C98,2,30))&amp;" "&amp;LOWER(LEFT(B98,1))&amp;MID(B98,2,200))</f>
        <v/>
      </c>
      <c r="E98" s="4" t="n"/>
      <c r="F98" s="4" t="n"/>
      <c r="G98" s="4" t="n"/>
      <c r="H98" s="4" t="n"/>
      <c r="I98" s="4" t="n"/>
      <c r="J98" s="4" t="n"/>
      <c r="K98" s="5">
        <f>_xlfn.TEXTJOIN(CHAR(10),TRUE,IF(E98="","","• "&amp;E98),IF(F98="","","• "&amp;F98),IF(G98="","","• "&amp;G98),IF(H98="","","• "&amp;H98),IF(I98="","","• "&amp;I98),IF(J98="","","• "&amp;J98))</f>
        <v/>
      </c>
      <c r="L98" s="4" t="n"/>
      <c r="M98" s="19" t="n"/>
      <c r="N98" s="19" t="n"/>
      <c r="O98" s="30">
        <f>IF(OR(M98="",N98=""),"",INDEX(RiskGrid,6-VALUE(LEFT(M98,1)),VALUE(LEFT(N98,1))))</f>
        <v/>
      </c>
      <c r="P98" s="30">
        <f>IF(O98="","",IF(O98&gt;=BandVH,"Very High",IF(O98&gt;=BandHigh,"High",IF(O98&gt;=BandMed,"Medium","Low"))))</f>
        <v/>
      </c>
      <c r="Q98" s="4" t="n"/>
      <c r="R98" s="19" t="n"/>
      <c r="S98" s="4" t="n"/>
      <c r="T98" s="19" t="n"/>
      <c r="U98" s="4" t="n"/>
      <c r="V98" s="19" t="n"/>
      <c r="W98" s="4" t="n"/>
      <c r="X98" s="19" t="n"/>
      <c r="Y98" s="4" t="n"/>
      <c r="Z98" s="19" t="n"/>
      <c r="AA98" s="4" t="n"/>
      <c r="AB98" s="19" t="n"/>
      <c r="AC98" s="5">
        <f>_xlfn.TEXTJOIN(CHAR(10),TRUE,IF(Q98="","","• "&amp;Q98&amp;IF(R98="Yes","  [IPL]","")),IF(S98="","","• "&amp;S98&amp;IF(T98="Yes","  [IPL]","")),IF(U98="","","• "&amp;U98&amp;IF(V98="Yes","  [IPL]","")),IF(W98="","","• "&amp;W98&amp;IF(X98="Yes","  [IPL]","")),IF(Y98="","","• "&amp;Y98&amp;IF(Z98="Yes","  [IPL]","")),IF(AA98="","","• "&amp;AA98&amp;IF(AB98="Yes","  [IPL]","")))</f>
        <v/>
      </c>
      <c r="AD98" s="30">
        <f>IF(AC98="","",COUNTIF(Q98:AB98,"Yes"))</f>
        <v/>
      </c>
      <c r="AE98" s="19" t="n"/>
      <c r="AF98" s="19" t="n"/>
      <c r="AG98" s="30">
        <f>IF(OR(AE98="",AF98=""),"",INDEX(RiskGrid,6-VALUE(LEFT(AE98,1)),VALUE(LEFT(AF98,1))))</f>
        <v/>
      </c>
      <c r="AH98" s="30">
        <f>IF(AG98="","",IF(AG98&gt;=BandVH,"Very High",IF(AG98&gt;=BandHigh,"High",IF(AG98&gt;=BandMed,"Medium","Low"))))</f>
        <v/>
      </c>
      <c r="AI98" s="4" t="n"/>
      <c r="AJ98" s="4" t="n"/>
    </row>
    <row r="99">
      <c r="A99" s="30">
        <f>IF(B99="","",COUNTIF(B$14:B99,"?*"))</f>
        <v/>
      </c>
      <c r="B99" s="4" t="n"/>
      <c r="C99" s="19" t="n"/>
      <c r="D99" s="5">
        <f>IF(OR(B99="",C99=""),"",UPPER(LEFT(C99,1))&amp;LOWER(MID(C99,2,30))&amp;" "&amp;LOWER(LEFT(B99,1))&amp;MID(B99,2,200))</f>
        <v/>
      </c>
      <c r="E99" s="4" t="n"/>
      <c r="F99" s="4" t="n"/>
      <c r="G99" s="4" t="n"/>
      <c r="H99" s="4" t="n"/>
      <c r="I99" s="4" t="n"/>
      <c r="J99" s="4" t="n"/>
      <c r="K99" s="5">
        <f>_xlfn.TEXTJOIN(CHAR(10),TRUE,IF(E99="","","• "&amp;E99),IF(F99="","","• "&amp;F99),IF(G99="","","• "&amp;G99),IF(H99="","","• "&amp;H99),IF(I99="","","• "&amp;I99),IF(J99="","","• "&amp;J99))</f>
        <v/>
      </c>
      <c r="L99" s="4" t="n"/>
      <c r="M99" s="19" t="n"/>
      <c r="N99" s="19" t="n"/>
      <c r="O99" s="30">
        <f>IF(OR(M99="",N99=""),"",INDEX(RiskGrid,6-VALUE(LEFT(M99,1)),VALUE(LEFT(N99,1))))</f>
        <v/>
      </c>
      <c r="P99" s="30">
        <f>IF(O99="","",IF(O99&gt;=BandVH,"Very High",IF(O99&gt;=BandHigh,"High",IF(O99&gt;=BandMed,"Medium","Low"))))</f>
        <v/>
      </c>
      <c r="Q99" s="4" t="n"/>
      <c r="R99" s="19" t="n"/>
      <c r="S99" s="4" t="n"/>
      <c r="T99" s="19" t="n"/>
      <c r="U99" s="4" t="n"/>
      <c r="V99" s="19" t="n"/>
      <c r="W99" s="4" t="n"/>
      <c r="X99" s="19" t="n"/>
      <c r="Y99" s="4" t="n"/>
      <c r="Z99" s="19" t="n"/>
      <c r="AA99" s="4" t="n"/>
      <c r="AB99" s="19" t="n"/>
      <c r="AC99" s="5">
        <f>_xlfn.TEXTJOIN(CHAR(10),TRUE,IF(Q99="","","• "&amp;Q99&amp;IF(R99="Yes","  [IPL]","")),IF(S99="","","• "&amp;S99&amp;IF(T99="Yes","  [IPL]","")),IF(U99="","","• "&amp;U99&amp;IF(V99="Yes","  [IPL]","")),IF(W99="","","• "&amp;W99&amp;IF(X99="Yes","  [IPL]","")),IF(Y99="","","• "&amp;Y99&amp;IF(Z99="Yes","  [IPL]","")),IF(AA99="","","• "&amp;AA99&amp;IF(AB99="Yes","  [IPL]","")))</f>
        <v/>
      </c>
      <c r="AD99" s="30">
        <f>IF(AC99="","",COUNTIF(Q99:AB99,"Yes"))</f>
        <v/>
      </c>
      <c r="AE99" s="19" t="n"/>
      <c r="AF99" s="19" t="n"/>
      <c r="AG99" s="30">
        <f>IF(OR(AE99="",AF99=""),"",INDEX(RiskGrid,6-VALUE(LEFT(AE99,1)),VALUE(LEFT(AF99,1))))</f>
        <v/>
      </c>
      <c r="AH99" s="30">
        <f>IF(AG99="","",IF(AG99&gt;=BandVH,"Very High",IF(AG99&gt;=BandHigh,"High",IF(AG99&gt;=BandMed,"Medium","Low"))))</f>
        <v/>
      </c>
      <c r="AI99" s="4" t="n"/>
      <c r="AJ99" s="4" t="n"/>
    </row>
    <row r="100">
      <c r="A100" s="30">
        <f>IF(B100="","",COUNTIF(B$14:B100,"?*"))</f>
        <v/>
      </c>
      <c r="B100" s="4" t="n"/>
      <c r="C100" s="19" t="n"/>
      <c r="D100" s="5">
        <f>IF(OR(B100="",C100=""),"",UPPER(LEFT(C100,1))&amp;LOWER(MID(C100,2,30))&amp;" "&amp;LOWER(LEFT(B100,1))&amp;MID(B100,2,200))</f>
        <v/>
      </c>
      <c r="E100" s="4" t="n"/>
      <c r="F100" s="4" t="n"/>
      <c r="G100" s="4" t="n"/>
      <c r="H100" s="4" t="n"/>
      <c r="I100" s="4" t="n"/>
      <c r="J100" s="4" t="n"/>
      <c r="K100" s="5">
        <f>_xlfn.TEXTJOIN(CHAR(10),TRUE,IF(E100="","","• "&amp;E100),IF(F100="","","• "&amp;F100),IF(G100="","","• "&amp;G100),IF(H100="","","• "&amp;H100),IF(I100="","","• "&amp;I100),IF(J100="","","• "&amp;J100))</f>
        <v/>
      </c>
      <c r="L100" s="4" t="n"/>
      <c r="M100" s="19" t="n"/>
      <c r="N100" s="19" t="n"/>
      <c r="O100" s="30">
        <f>IF(OR(M100="",N100=""),"",INDEX(RiskGrid,6-VALUE(LEFT(M100,1)),VALUE(LEFT(N100,1))))</f>
        <v/>
      </c>
      <c r="P100" s="30">
        <f>IF(O100="","",IF(O100&gt;=BandVH,"Very High",IF(O100&gt;=BandHigh,"High",IF(O100&gt;=BandMed,"Medium","Low"))))</f>
        <v/>
      </c>
      <c r="Q100" s="4" t="n"/>
      <c r="R100" s="19" t="n"/>
      <c r="S100" s="4" t="n"/>
      <c r="T100" s="19" t="n"/>
      <c r="U100" s="4" t="n"/>
      <c r="V100" s="19" t="n"/>
      <c r="W100" s="4" t="n"/>
      <c r="X100" s="19" t="n"/>
      <c r="Y100" s="4" t="n"/>
      <c r="Z100" s="19" t="n"/>
      <c r="AA100" s="4" t="n"/>
      <c r="AB100" s="19" t="n"/>
      <c r="AC100" s="5">
        <f>_xlfn.TEXTJOIN(CHAR(10),TRUE,IF(Q100="","","• "&amp;Q100&amp;IF(R100="Yes","  [IPL]","")),IF(S100="","","• "&amp;S100&amp;IF(T100="Yes","  [IPL]","")),IF(U100="","","• "&amp;U100&amp;IF(V100="Yes","  [IPL]","")),IF(W100="","","• "&amp;W100&amp;IF(X100="Yes","  [IPL]","")),IF(Y100="","","• "&amp;Y100&amp;IF(Z100="Yes","  [IPL]","")),IF(AA100="","","• "&amp;AA100&amp;IF(AB100="Yes","  [IPL]","")))</f>
        <v/>
      </c>
      <c r="AD100" s="30">
        <f>IF(AC100="","",COUNTIF(Q100:AB100,"Yes"))</f>
        <v/>
      </c>
      <c r="AE100" s="19" t="n"/>
      <c r="AF100" s="19" t="n"/>
      <c r="AG100" s="30">
        <f>IF(OR(AE100="",AF100=""),"",INDEX(RiskGrid,6-VALUE(LEFT(AE100,1)),VALUE(LEFT(AF100,1))))</f>
        <v/>
      </c>
      <c r="AH100" s="30">
        <f>IF(AG100="","",IF(AG100&gt;=BandVH,"Very High",IF(AG100&gt;=BandHigh,"High",IF(AG100&gt;=BandMed,"Medium","Low"))))</f>
        <v/>
      </c>
      <c r="AI100" s="4" t="n"/>
      <c r="AJ100" s="4" t="n"/>
    </row>
    <row r="101">
      <c r="A101" s="30">
        <f>IF(B101="","",COUNTIF(B$14:B101,"?*"))</f>
        <v/>
      </c>
      <c r="B101" s="4" t="n"/>
      <c r="C101" s="19" t="n"/>
      <c r="D101" s="5">
        <f>IF(OR(B101="",C101=""),"",UPPER(LEFT(C101,1))&amp;LOWER(MID(C101,2,30))&amp;" "&amp;LOWER(LEFT(B101,1))&amp;MID(B101,2,200))</f>
        <v/>
      </c>
      <c r="E101" s="4" t="n"/>
      <c r="F101" s="4" t="n"/>
      <c r="G101" s="4" t="n"/>
      <c r="H101" s="4" t="n"/>
      <c r="I101" s="4" t="n"/>
      <c r="J101" s="4" t="n"/>
      <c r="K101" s="5">
        <f>_xlfn.TEXTJOIN(CHAR(10),TRUE,IF(E101="","","• "&amp;E101),IF(F101="","","• "&amp;F101),IF(G101="","","• "&amp;G101),IF(H101="","","• "&amp;H101),IF(I101="","","• "&amp;I101),IF(J101="","","• "&amp;J101))</f>
        <v/>
      </c>
      <c r="L101" s="4" t="n"/>
      <c r="M101" s="19" t="n"/>
      <c r="N101" s="19" t="n"/>
      <c r="O101" s="30">
        <f>IF(OR(M101="",N101=""),"",INDEX(RiskGrid,6-VALUE(LEFT(M101,1)),VALUE(LEFT(N101,1))))</f>
        <v/>
      </c>
      <c r="P101" s="30">
        <f>IF(O101="","",IF(O101&gt;=BandVH,"Very High",IF(O101&gt;=BandHigh,"High",IF(O101&gt;=BandMed,"Medium","Low"))))</f>
        <v/>
      </c>
      <c r="Q101" s="4" t="n"/>
      <c r="R101" s="19" t="n"/>
      <c r="S101" s="4" t="n"/>
      <c r="T101" s="19" t="n"/>
      <c r="U101" s="4" t="n"/>
      <c r="V101" s="19" t="n"/>
      <c r="W101" s="4" t="n"/>
      <c r="X101" s="19" t="n"/>
      <c r="Y101" s="4" t="n"/>
      <c r="Z101" s="19" t="n"/>
      <c r="AA101" s="4" t="n"/>
      <c r="AB101" s="19" t="n"/>
      <c r="AC101" s="5">
        <f>_xlfn.TEXTJOIN(CHAR(10),TRUE,IF(Q101="","","• "&amp;Q101&amp;IF(R101="Yes","  [IPL]","")),IF(S101="","","• "&amp;S101&amp;IF(T101="Yes","  [IPL]","")),IF(U101="","","• "&amp;U101&amp;IF(V101="Yes","  [IPL]","")),IF(W101="","","• "&amp;W101&amp;IF(X101="Yes","  [IPL]","")),IF(Y101="","","• "&amp;Y101&amp;IF(Z101="Yes","  [IPL]","")),IF(AA101="","","• "&amp;AA101&amp;IF(AB101="Yes","  [IPL]","")))</f>
        <v/>
      </c>
      <c r="AD101" s="30">
        <f>IF(AC101="","",COUNTIF(Q101:AB101,"Yes"))</f>
        <v/>
      </c>
      <c r="AE101" s="19" t="n"/>
      <c r="AF101" s="19" t="n"/>
      <c r="AG101" s="30">
        <f>IF(OR(AE101="",AF101=""),"",INDEX(RiskGrid,6-VALUE(LEFT(AE101,1)),VALUE(LEFT(AF101,1))))</f>
        <v/>
      </c>
      <c r="AH101" s="30">
        <f>IF(AG101="","",IF(AG101&gt;=BandVH,"Very High",IF(AG101&gt;=BandHigh,"High",IF(AG101&gt;=BandMed,"Medium","Low"))))</f>
        <v/>
      </c>
      <c r="AI101" s="4" t="n"/>
      <c r="AJ101" s="4" t="n"/>
    </row>
    <row r="102">
      <c r="A102" s="30">
        <f>IF(B102="","",COUNTIF(B$14:B102,"?*"))</f>
        <v/>
      </c>
      <c r="B102" s="4" t="n"/>
      <c r="C102" s="19" t="n"/>
      <c r="D102" s="5">
        <f>IF(OR(B102="",C102=""),"",UPPER(LEFT(C102,1))&amp;LOWER(MID(C102,2,30))&amp;" "&amp;LOWER(LEFT(B102,1))&amp;MID(B102,2,200))</f>
        <v/>
      </c>
      <c r="E102" s="4" t="n"/>
      <c r="F102" s="4" t="n"/>
      <c r="G102" s="4" t="n"/>
      <c r="H102" s="4" t="n"/>
      <c r="I102" s="4" t="n"/>
      <c r="J102" s="4" t="n"/>
      <c r="K102" s="5">
        <f>_xlfn.TEXTJOIN(CHAR(10),TRUE,IF(E102="","","• "&amp;E102),IF(F102="","","• "&amp;F102),IF(G102="","","• "&amp;G102),IF(H102="","","• "&amp;H102),IF(I102="","","• "&amp;I102),IF(J102="","","• "&amp;J102))</f>
        <v/>
      </c>
      <c r="L102" s="4" t="n"/>
      <c r="M102" s="19" t="n"/>
      <c r="N102" s="19" t="n"/>
      <c r="O102" s="30">
        <f>IF(OR(M102="",N102=""),"",INDEX(RiskGrid,6-VALUE(LEFT(M102,1)),VALUE(LEFT(N102,1))))</f>
        <v/>
      </c>
      <c r="P102" s="30">
        <f>IF(O102="","",IF(O102&gt;=BandVH,"Very High",IF(O102&gt;=BandHigh,"High",IF(O102&gt;=BandMed,"Medium","Low"))))</f>
        <v/>
      </c>
      <c r="Q102" s="4" t="n"/>
      <c r="R102" s="19" t="n"/>
      <c r="S102" s="4" t="n"/>
      <c r="T102" s="19" t="n"/>
      <c r="U102" s="4" t="n"/>
      <c r="V102" s="19" t="n"/>
      <c r="W102" s="4" t="n"/>
      <c r="X102" s="19" t="n"/>
      <c r="Y102" s="4" t="n"/>
      <c r="Z102" s="19" t="n"/>
      <c r="AA102" s="4" t="n"/>
      <c r="AB102" s="19" t="n"/>
      <c r="AC102" s="5">
        <f>_xlfn.TEXTJOIN(CHAR(10),TRUE,IF(Q102="","","• "&amp;Q102&amp;IF(R102="Yes","  [IPL]","")),IF(S102="","","• "&amp;S102&amp;IF(T102="Yes","  [IPL]","")),IF(U102="","","• "&amp;U102&amp;IF(V102="Yes","  [IPL]","")),IF(W102="","","• "&amp;W102&amp;IF(X102="Yes","  [IPL]","")),IF(Y102="","","• "&amp;Y102&amp;IF(Z102="Yes","  [IPL]","")),IF(AA102="","","• "&amp;AA102&amp;IF(AB102="Yes","  [IPL]","")))</f>
        <v/>
      </c>
      <c r="AD102" s="30">
        <f>IF(AC102="","",COUNTIF(Q102:AB102,"Yes"))</f>
        <v/>
      </c>
      <c r="AE102" s="19" t="n"/>
      <c r="AF102" s="19" t="n"/>
      <c r="AG102" s="30">
        <f>IF(OR(AE102="",AF102=""),"",INDEX(RiskGrid,6-VALUE(LEFT(AE102,1)),VALUE(LEFT(AF102,1))))</f>
        <v/>
      </c>
      <c r="AH102" s="30">
        <f>IF(AG102="","",IF(AG102&gt;=BandVH,"Very High",IF(AG102&gt;=BandHigh,"High",IF(AG102&gt;=BandMed,"Medium","Low"))))</f>
        <v/>
      </c>
      <c r="AI102" s="4" t="n"/>
      <c r="AJ102" s="4" t="n"/>
    </row>
    <row r="103">
      <c r="A103" s="30">
        <f>IF(B103="","",COUNTIF(B$14:B103,"?*"))</f>
        <v/>
      </c>
      <c r="B103" s="4" t="n"/>
      <c r="C103" s="19" t="n"/>
      <c r="D103" s="5">
        <f>IF(OR(B103="",C103=""),"",UPPER(LEFT(C103,1))&amp;LOWER(MID(C103,2,30))&amp;" "&amp;LOWER(LEFT(B103,1))&amp;MID(B103,2,200))</f>
        <v/>
      </c>
      <c r="E103" s="4" t="n"/>
      <c r="F103" s="4" t="n"/>
      <c r="G103" s="4" t="n"/>
      <c r="H103" s="4" t="n"/>
      <c r="I103" s="4" t="n"/>
      <c r="J103" s="4" t="n"/>
      <c r="K103" s="5">
        <f>_xlfn.TEXTJOIN(CHAR(10),TRUE,IF(E103="","","• "&amp;E103),IF(F103="","","• "&amp;F103),IF(G103="","","• "&amp;G103),IF(H103="","","• "&amp;H103),IF(I103="","","• "&amp;I103),IF(J103="","","• "&amp;J103))</f>
        <v/>
      </c>
      <c r="L103" s="4" t="n"/>
      <c r="M103" s="19" t="n"/>
      <c r="N103" s="19" t="n"/>
      <c r="O103" s="30">
        <f>IF(OR(M103="",N103=""),"",INDEX(RiskGrid,6-VALUE(LEFT(M103,1)),VALUE(LEFT(N103,1))))</f>
        <v/>
      </c>
      <c r="P103" s="30">
        <f>IF(O103="","",IF(O103&gt;=BandVH,"Very High",IF(O103&gt;=BandHigh,"High",IF(O103&gt;=BandMed,"Medium","Low"))))</f>
        <v/>
      </c>
      <c r="Q103" s="4" t="n"/>
      <c r="R103" s="19" t="n"/>
      <c r="S103" s="4" t="n"/>
      <c r="T103" s="19" t="n"/>
      <c r="U103" s="4" t="n"/>
      <c r="V103" s="19" t="n"/>
      <c r="W103" s="4" t="n"/>
      <c r="X103" s="19" t="n"/>
      <c r="Y103" s="4" t="n"/>
      <c r="Z103" s="19" t="n"/>
      <c r="AA103" s="4" t="n"/>
      <c r="AB103" s="19" t="n"/>
      <c r="AC103" s="5">
        <f>_xlfn.TEXTJOIN(CHAR(10),TRUE,IF(Q103="","","• "&amp;Q103&amp;IF(R103="Yes","  [IPL]","")),IF(S103="","","• "&amp;S103&amp;IF(T103="Yes","  [IPL]","")),IF(U103="","","• "&amp;U103&amp;IF(V103="Yes","  [IPL]","")),IF(W103="","","• "&amp;W103&amp;IF(X103="Yes","  [IPL]","")),IF(Y103="","","• "&amp;Y103&amp;IF(Z103="Yes","  [IPL]","")),IF(AA103="","","• "&amp;AA103&amp;IF(AB103="Yes","  [IPL]","")))</f>
        <v/>
      </c>
      <c r="AD103" s="30">
        <f>IF(AC103="","",COUNTIF(Q103:AB103,"Yes"))</f>
        <v/>
      </c>
      <c r="AE103" s="19" t="n"/>
      <c r="AF103" s="19" t="n"/>
      <c r="AG103" s="30">
        <f>IF(OR(AE103="",AF103=""),"",INDEX(RiskGrid,6-VALUE(LEFT(AE103,1)),VALUE(LEFT(AF103,1))))</f>
        <v/>
      </c>
      <c r="AH103" s="30">
        <f>IF(AG103="","",IF(AG103&gt;=BandVH,"Very High",IF(AG103&gt;=BandHigh,"High",IF(AG103&gt;=BandMed,"Medium","Low"))))</f>
        <v/>
      </c>
      <c r="AI103" s="4" t="n"/>
      <c r="AJ103" s="4" t="n"/>
    </row>
    <row r="104">
      <c r="A104" s="30">
        <f>IF(B104="","",COUNTIF(B$14:B104,"?*"))</f>
        <v/>
      </c>
      <c r="B104" s="4" t="n"/>
      <c r="C104" s="19" t="n"/>
      <c r="D104" s="5">
        <f>IF(OR(B104="",C104=""),"",UPPER(LEFT(C104,1))&amp;LOWER(MID(C104,2,30))&amp;" "&amp;LOWER(LEFT(B104,1))&amp;MID(B104,2,200))</f>
        <v/>
      </c>
      <c r="E104" s="4" t="n"/>
      <c r="F104" s="4" t="n"/>
      <c r="G104" s="4" t="n"/>
      <c r="H104" s="4" t="n"/>
      <c r="I104" s="4" t="n"/>
      <c r="J104" s="4" t="n"/>
      <c r="K104" s="5">
        <f>_xlfn.TEXTJOIN(CHAR(10),TRUE,IF(E104="","","• "&amp;E104),IF(F104="","","• "&amp;F104),IF(G104="","","• "&amp;G104),IF(H104="","","• "&amp;H104),IF(I104="","","• "&amp;I104),IF(J104="","","• "&amp;J104))</f>
        <v/>
      </c>
      <c r="L104" s="4" t="n"/>
      <c r="M104" s="19" t="n"/>
      <c r="N104" s="19" t="n"/>
      <c r="O104" s="30">
        <f>IF(OR(M104="",N104=""),"",INDEX(RiskGrid,6-VALUE(LEFT(M104,1)),VALUE(LEFT(N104,1))))</f>
        <v/>
      </c>
      <c r="P104" s="30">
        <f>IF(O104="","",IF(O104&gt;=BandVH,"Very High",IF(O104&gt;=BandHigh,"High",IF(O104&gt;=BandMed,"Medium","Low"))))</f>
        <v/>
      </c>
      <c r="Q104" s="4" t="n"/>
      <c r="R104" s="19" t="n"/>
      <c r="S104" s="4" t="n"/>
      <c r="T104" s="19" t="n"/>
      <c r="U104" s="4" t="n"/>
      <c r="V104" s="19" t="n"/>
      <c r="W104" s="4" t="n"/>
      <c r="X104" s="19" t="n"/>
      <c r="Y104" s="4" t="n"/>
      <c r="Z104" s="19" t="n"/>
      <c r="AA104" s="4" t="n"/>
      <c r="AB104" s="19" t="n"/>
      <c r="AC104" s="5">
        <f>_xlfn.TEXTJOIN(CHAR(10),TRUE,IF(Q104="","","• "&amp;Q104&amp;IF(R104="Yes","  [IPL]","")),IF(S104="","","• "&amp;S104&amp;IF(T104="Yes","  [IPL]","")),IF(U104="","","• "&amp;U104&amp;IF(V104="Yes","  [IPL]","")),IF(W104="","","• "&amp;W104&amp;IF(X104="Yes","  [IPL]","")),IF(Y104="","","• "&amp;Y104&amp;IF(Z104="Yes","  [IPL]","")),IF(AA104="","","• "&amp;AA104&amp;IF(AB104="Yes","  [IPL]","")))</f>
        <v/>
      </c>
      <c r="AD104" s="30">
        <f>IF(AC104="","",COUNTIF(Q104:AB104,"Yes"))</f>
        <v/>
      </c>
      <c r="AE104" s="19" t="n"/>
      <c r="AF104" s="19" t="n"/>
      <c r="AG104" s="30">
        <f>IF(OR(AE104="",AF104=""),"",INDEX(RiskGrid,6-VALUE(LEFT(AE104,1)),VALUE(LEFT(AF104,1))))</f>
        <v/>
      </c>
      <c r="AH104" s="30">
        <f>IF(AG104="","",IF(AG104&gt;=BandVH,"Very High",IF(AG104&gt;=BandHigh,"High",IF(AG104&gt;=BandMed,"Medium","Low"))))</f>
        <v/>
      </c>
      <c r="AI104" s="4" t="n"/>
      <c r="AJ104" s="4" t="n"/>
    </row>
    <row r="105">
      <c r="A105" s="30">
        <f>IF(B105="","",COUNTIF(B$14:B105,"?*"))</f>
        <v/>
      </c>
      <c r="B105" s="4" t="n"/>
      <c r="C105" s="19" t="n"/>
      <c r="D105" s="5">
        <f>IF(OR(B105="",C105=""),"",UPPER(LEFT(C105,1))&amp;LOWER(MID(C105,2,30))&amp;" "&amp;LOWER(LEFT(B105,1))&amp;MID(B105,2,200))</f>
        <v/>
      </c>
      <c r="E105" s="4" t="n"/>
      <c r="F105" s="4" t="n"/>
      <c r="G105" s="4" t="n"/>
      <c r="H105" s="4" t="n"/>
      <c r="I105" s="4" t="n"/>
      <c r="J105" s="4" t="n"/>
      <c r="K105" s="5">
        <f>_xlfn.TEXTJOIN(CHAR(10),TRUE,IF(E105="","","• "&amp;E105),IF(F105="","","• "&amp;F105),IF(G105="","","• "&amp;G105),IF(H105="","","• "&amp;H105),IF(I105="","","• "&amp;I105),IF(J105="","","• "&amp;J105))</f>
        <v/>
      </c>
      <c r="L105" s="4" t="n"/>
      <c r="M105" s="19" t="n"/>
      <c r="N105" s="19" t="n"/>
      <c r="O105" s="30">
        <f>IF(OR(M105="",N105=""),"",INDEX(RiskGrid,6-VALUE(LEFT(M105,1)),VALUE(LEFT(N105,1))))</f>
        <v/>
      </c>
      <c r="P105" s="30">
        <f>IF(O105="","",IF(O105&gt;=BandVH,"Very High",IF(O105&gt;=BandHigh,"High",IF(O105&gt;=BandMed,"Medium","Low"))))</f>
        <v/>
      </c>
      <c r="Q105" s="4" t="n"/>
      <c r="R105" s="19" t="n"/>
      <c r="S105" s="4" t="n"/>
      <c r="T105" s="19" t="n"/>
      <c r="U105" s="4" t="n"/>
      <c r="V105" s="19" t="n"/>
      <c r="W105" s="4" t="n"/>
      <c r="X105" s="19" t="n"/>
      <c r="Y105" s="4" t="n"/>
      <c r="Z105" s="19" t="n"/>
      <c r="AA105" s="4" t="n"/>
      <c r="AB105" s="19" t="n"/>
      <c r="AC105" s="5">
        <f>_xlfn.TEXTJOIN(CHAR(10),TRUE,IF(Q105="","","• "&amp;Q105&amp;IF(R105="Yes","  [IPL]","")),IF(S105="","","• "&amp;S105&amp;IF(T105="Yes","  [IPL]","")),IF(U105="","","• "&amp;U105&amp;IF(V105="Yes","  [IPL]","")),IF(W105="","","• "&amp;W105&amp;IF(X105="Yes","  [IPL]","")),IF(Y105="","","• "&amp;Y105&amp;IF(Z105="Yes","  [IPL]","")),IF(AA105="","","• "&amp;AA105&amp;IF(AB105="Yes","  [IPL]","")))</f>
        <v/>
      </c>
      <c r="AD105" s="30">
        <f>IF(AC105="","",COUNTIF(Q105:AB105,"Yes"))</f>
        <v/>
      </c>
      <c r="AE105" s="19" t="n"/>
      <c r="AF105" s="19" t="n"/>
      <c r="AG105" s="30">
        <f>IF(OR(AE105="",AF105=""),"",INDEX(RiskGrid,6-VALUE(LEFT(AE105,1)),VALUE(LEFT(AF105,1))))</f>
        <v/>
      </c>
      <c r="AH105" s="30">
        <f>IF(AG105="","",IF(AG105&gt;=BandVH,"Very High",IF(AG105&gt;=BandHigh,"High",IF(AG105&gt;=BandMed,"Medium","Low"))))</f>
        <v/>
      </c>
      <c r="AI105" s="4" t="n"/>
      <c r="AJ105" s="4" t="n"/>
    </row>
    <row r="106">
      <c r="A106" s="30">
        <f>IF(B106="","",COUNTIF(B$14:B106,"?*"))</f>
        <v/>
      </c>
      <c r="B106" s="4" t="n"/>
      <c r="C106" s="19" t="n"/>
      <c r="D106" s="5">
        <f>IF(OR(B106="",C106=""),"",UPPER(LEFT(C106,1))&amp;LOWER(MID(C106,2,30))&amp;" "&amp;LOWER(LEFT(B106,1))&amp;MID(B106,2,200))</f>
        <v/>
      </c>
      <c r="E106" s="4" t="n"/>
      <c r="F106" s="4" t="n"/>
      <c r="G106" s="4" t="n"/>
      <c r="H106" s="4" t="n"/>
      <c r="I106" s="4" t="n"/>
      <c r="J106" s="4" t="n"/>
      <c r="K106" s="5">
        <f>_xlfn.TEXTJOIN(CHAR(10),TRUE,IF(E106="","","• "&amp;E106),IF(F106="","","• "&amp;F106),IF(G106="","","• "&amp;G106),IF(H106="","","• "&amp;H106),IF(I106="","","• "&amp;I106),IF(J106="","","• "&amp;J106))</f>
        <v/>
      </c>
      <c r="L106" s="4" t="n"/>
      <c r="M106" s="19" t="n"/>
      <c r="N106" s="19" t="n"/>
      <c r="O106" s="30">
        <f>IF(OR(M106="",N106=""),"",INDEX(RiskGrid,6-VALUE(LEFT(M106,1)),VALUE(LEFT(N106,1))))</f>
        <v/>
      </c>
      <c r="P106" s="30">
        <f>IF(O106="","",IF(O106&gt;=BandVH,"Very High",IF(O106&gt;=BandHigh,"High",IF(O106&gt;=BandMed,"Medium","Low"))))</f>
        <v/>
      </c>
      <c r="Q106" s="4" t="n"/>
      <c r="R106" s="19" t="n"/>
      <c r="S106" s="4" t="n"/>
      <c r="T106" s="19" t="n"/>
      <c r="U106" s="4" t="n"/>
      <c r="V106" s="19" t="n"/>
      <c r="W106" s="4" t="n"/>
      <c r="X106" s="19" t="n"/>
      <c r="Y106" s="4" t="n"/>
      <c r="Z106" s="19" t="n"/>
      <c r="AA106" s="4" t="n"/>
      <c r="AB106" s="19" t="n"/>
      <c r="AC106" s="5">
        <f>_xlfn.TEXTJOIN(CHAR(10),TRUE,IF(Q106="","","• "&amp;Q106&amp;IF(R106="Yes","  [IPL]","")),IF(S106="","","• "&amp;S106&amp;IF(T106="Yes","  [IPL]","")),IF(U106="","","• "&amp;U106&amp;IF(V106="Yes","  [IPL]","")),IF(W106="","","• "&amp;W106&amp;IF(X106="Yes","  [IPL]","")),IF(Y106="","","• "&amp;Y106&amp;IF(Z106="Yes","  [IPL]","")),IF(AA106="","","• "&amp;AA106&amp;IF(AB106="Yes","  [IPL]","")))</f>
        <v/>
      </c>
      <c r="AD106" s="30">
        <f>IF(AC106="","",COUNTIF(Q106:AB106,"Yes"))</f>
        <v/>
      </c>
      <c r="AE106" s="19" t="n"/>
      <c r="AF106" s="19" t="n"/>
      <c r="AG106" s="30">
        <f>IF(OR(AE106="",AF106=""),"",INDEX(RiskGrid,6-VALUE(LEFT(AE106,1)),VALUE(LEFT(AF106,1))))</f>
        <v/>
      </c>
      <c r="AH106" s="30">
        <f>IF(AG106="","",IF(AG106&gt;=BandVH,"Very High",IF(AG106&gt;=BandHigh,"High",IF(AG106&gt;=BandMed,"Medium","Low"))))</f>
        <v/>
      </c>
      <c r="AI106" s="4" t="n"/>
      <c r="AJ106" s="4" t="n"/>
    </row>
    <row r="107">
      <c r="A107" s="30">
        <f>IF(B107="","",COUNTIF(B$14:B107,"?*"))</f>
        <v/>
      </c>
      <c r="B107" s="4" t="n"/>
      <c r="C107" s="19" t="n"/>
      <c r="D107" s="5">
        <f>IF(OR(B107="",C107=""),"",UPPER(LEFT(C107,1))&amp;LOWER(MID(C107,2,30))&amp;" "&amp;LOWER(LEFT(B107,1))&amp;MID(B107,2,200))</f>
        <v/>
      </c>
      <c r="E107" s="4" t="n"/>
      <c r="F107" s="4" t="n"/>
      <c r="G107" s="4" t="n"/>
      <c r="H107" s="4" t="n"/>
      <c r="I107" s="4" t="n"/>
      <c r="J107" s="4" t="n"/>
      <c r="K107" s="5">
        <f>_xlfn.TEXTJOIN(CHAR(10),TRUE,IF(E107="","","• "&amp;E107),IF(F107="","","• "&amp;F107),IF(G107="","","• "&amp;G107),IF(H107="","","• "&amp;H107),IF(I107="","","• "&amp;I107),IF(J107="","","• "&amp;J107))</f>
        <v/>
      </c>
      <c r="L107" s="4" t="n"/>
      <c r="M107" s="19" t="n"/>
      <c r="N107" s="19" t="n"/>
      <c r="O107" s="30">
        <f>IF(OR(M107="",N107=""),"",INDEX(RiskGrid,6-VALUE(LEFT(M107,1)),VALUE(LEFT(N107,1))))</f>
        <v/>
      </c>
      <c r="P107" s="30">
        <f>IF(O107="","",IF(O107&gt;=BandVH,"Very High",IF(O107&gt;=BandHigh,"High",IF(O107&gt;=BandMed,"Medium","Low"))))</f>
        <v/>
      </c>
      <c r="Q107" s="4" t="n"/>
      <c r="R107" s="19" t="n"/>
      <c r="S107" s="4" t="n"/>
      <c r="T107" s="19" t="n"/>
      <c r="U107" s="4" t="n"/>
      <c r="V107" s="19" t="n"/>
      <c r="W107" s="4" t="n"/>
      <c r="X107" s="19" t="n"/>
      <c r="Y107" s="4" t="n"/>
      <c r="Z107" s="19" t="n"/>
      <c r="AA107" s="4" t="n"/>
      <c r="AB107" s="19" t="n"/>
      <c r="AC107" s="5">
        <f>_xlfn.TEXTJOIN(CHAR(10),TRUE,IF(Q107="","","• "&amp;Q107&amp;IF(R107="Yes","  [IPL]","")),IF(S107="","","• "&amp;S107&amp;IF(T107="Yes","  [IPL]","")),IF(U107="","","• "&amp;U107&amp;IF(V107="Yes","  [IPL]","")),IF(W107="","","• "&amp;W107&amp;IF(X107="Yes","  [IPL]","")),IF(Y107="","","• "&amp;Y107&amp;IF(Z107="Yes","  [IPL]","")),IF(AA107="","","• "&amp;AA107&amp;IF(AB107="Yes","  [IPL]","")))</f>
        <v/>
      </c>
      <c r="AD107" s="30">
        <f>IF(AC107="","",COUNTIF(Q107:AB107,"Yes"))</f>
        <v/>
      </c>
      <c r="AE107" s="19" t="n"/>
      <c r="AF107" s="19" t="n"/>
      <c r="AG107" s="30">
        <f>IF(OR(AE107="",AF107=""),"",INDEX(RiskGrid,6-VALUE(LEFT(AE107,1)),VALUE(LEFT(AF107,1))))</f>
        <v/>
      </c>
      <c r="AH107" s="30">
        <f>IF(AG107="","",IF(AG107&gt;=BandVH,"Very High",IF(AG107&gt;=BandHigh,"High",IF(AG107&gt;=BandMed,"Medium","Low"))))</f>
        <v/>
      </c>
      <c r="AI107" s="4" t="n"/>
      <c r="AJ107" s="4" t="n"/>
    </row>
    <row r="108">
      <c r="A108" s="30">
        <f>IF(B108="","",COUNTIF(B$14:B108,"?*"))</f>
        <v/>
      </c>
      <c r="B108" s="4" t="n"/>
      <c r="C108" s="19" t="n"/>
      <c r="D108" s="5">
        <f>IF(OR(B108="",C108=""),"",UPPER(LEFT(C108,1))&amp;LOWER(MID(C108,2,30))&amp;" "&amp;LOWER(LEFT(B108,1))&amp;MID(B108,2,200))</f>
        <v/>
      </c>
      <c r="E108" s="4" t="n"/>
      <c r="F108" s="4" t="n"/>
      <c r="G108" s="4" t="n"/>
      <c r="H108" s="4" t="n"/>
      <c r="I108" s="4" t="n"/>
      <c r="J108" s="4" t="n"/>
      <c r="K108" s="5">
        <f>_xlfn.TEXTJOIN(CHAR(10),TRUE,IF(E108="","","• "&amp;E108),IF(F108="","","• "&amp;F108),IF(G108="","","• "&amp;G108),IF(H108="","","• "&amp;H108),IF(I108="","","• "&amp;I108),IF(J108="","","• "&amp;J108))</f>
        <v/>
      </c>
      <c r="L108" s="4" t="n"/>
      <c r="M108" s="19" t="n"/>
      <c r="N108" s="19" t="n"/>
      <c r="O108" s="30">
        <f>IF(OR(M108="",N108=""),"",INDEX(RiskGrid,6-VALUE(LEFT(M108,1)),VALUE(LEFT(N108,1))))</f>
        <v/>
      </c>
      <c r="P108" s="30">
        <f>IF(O108="","",IF(O108&gt;=BandVH,"Very High",IF(O108&gt;=BandHigh,"High",IF(O108&gt;=BandMed,"Medium","Low"))))</f>
        <v/>
      </c>
      <c r="Q108" s="4" t="n"/>
      <c r="R108" s="19" t="n"/>
      <c r="S108" s="4" t="n"/>
      <c r="T108" s="19" t="n"/>
      <c r="U108" s="4" t="n"/>
      <c r="V108" s="19" t="n"/>
      <c r="W108" s="4" t="n"/>
      <c r="X108" s="19" t="n"/>
      <c r="Y108" s="4" t="n"/>
      <c r="Z108" s="19" t="n"/>
      <c r="AA108" s="4" t="n"/>
      <c r="AB108" s="19" t="n"/>
      <c r="AC108" s="5">
        <f>_xlfn.TEXTJOIN(CHAR(10),TRUE,IF(Q108="","","• "&amp;Q108&amp;IF(R108="Yes","  [IPL]","")),IF(S108="","","• "&amp;S108&amp;IF(T108="Yes","  [IPL]","")),IF(U108="","","• "&amp;U108&amp;IF(V108="Yes","  [IPL]","")),IF(W108="","","• "&amp;W108&amp;IF(X108="Yes","  [IPL]","")),IF(Y108="","","• "&amp;Y108&amp;IF(Z108="Yes","  [IPL]","")),IF(AA108="","","• "&amp;AA108&amp;IF(AB108="Yes","  [IPL]","")))</f>
        <v/>
      </c>
      <c r="AD108" s="30">
        <f>IF(AC108="","",COUNTIF(Q108:AB108,"Yes"))</f>
        <v/>
      </c>
      <c r="AE108" s="19" t="n"/>
      <c r="AF108" s="19" t="n"/>
      <c r="AG108" s="30">
        <f>IF(OR(AE108="",AF108=""),"",INDEX(RiskGrid,6-VALUE(LEFT(AE108,1)),VALUE(LEFT(AF108,1))))</f>
        <v/>
      </c>
      <c r="AH108" s="30">
        <f>IF(AG108="","",IF(AG108&gt;=BandVH,"Very High",IF(AG108&gt;=BandHigh,"High",IF(AG108&gt;=BandMed,"Medium","Low"))))</f>
        <v/>
      </c>
      <c r="AI108" s="4" t="n"/>
      <c r="AJ108" s="4" t="n"/>
    </row>
    <row r="109">
      <c r="A109" s="30">
        <f>IF(B109="","",COUNTIF(B$14:B109,"?*"))</f>
        <v/>
      </c>
      <c r="B109" s="4" t="n"/>
      <c r="C109" s="19" t="n"/>
      <c r="D109" s="5">
        <f>IF(OR(B109="",C109=""),"",UPPER(LEFT(C109,1))&amp;LOWER(MID(C109,2,30))&amp;" "&amp;LOWER(LEFT(B109,1))&amp;MID(B109,2,200))</f>
        <v/>
      </c>
      <c r="E109" s="4" t="n"/>
      <c r="F109" s="4" t="n"/>
      <c r="G109" s="4" t="n"/>
      <c r="H109" s="4" t="n"/>
      <c r="I109" s="4" t="n"/>
      <c r="J109" s="4" t="n"/>
      <c r="K109" s="5">
        <f>_xlfn.TEXTJOIN(CHAR(10),TRUE,IF(E109="","","• "&amp;E109),IF(F109="","","• "&amp;F109),IF(G109="","","• "&amp;G109),IF(H109="","","• "&amp;H109),IF(I109="","","• "&amp;I109),IF(J109="","","• "&amp;J109))</f>
        <v/>
      </c>
      <c r="L109" s="4" t="n"/>
      <c r="M109" s="19" t="n"/>
      <c r="N109" s="19" t="n"/>
      <c r="O109" s="30">
        <f>IF(OR(M109="",N109=""),"",INDEX(RiskGrid,6-VALUE(LEFT(M109,1)),VALUE(LEFT(N109,1))))</f>
        <v/>
      </c>
      <c r="P109" s="30">
        <f>IF(O109="","",IF(O109&gt;=BandVH,"Very High",IF(O109&gt;=BandHigh,"High",IF(O109&gt;=BandMed,"Medium","Low"))))</f>
        <v/>
      </c>
      <c r="Q109" s="4" t="n"/>
      <c r="R109" s="19" t="n"/>
      <c r="S109" s="4" t="n"/>
      <c r="T109" s="19" t="n"/>
      <c r="U109" s="4" t="n"/>
      <c r="V109" s="19" t="n"/>
      <c r="W109" s="4" t="n"/>
      <c r="X109" s="19" t="n"/>
      <c r="Y109" s="4" t="n"/>
      <c r="Z109" s="19" t="n"/>
      <c r="AA109" s="4" t="n"/>
      <c r="AB109" s="19" t="n"/>
      <c r="AC109" s="5">
        <f>_xlfn.TEXTJOIN(CHAR(10),TRUE,IF(Q109="","","• "&amp;Q109&amp;IF(R109="Yes","  [IPL]","")),IF(S109="","","• "&amp;S109&amp;IF(T109="Yes","  [IPL]","")),IF(U109="","","• "&amp;U109&amp;IF(V109="Yes","  [IPL]","")),IF(W109="","","• "&amp;W109&amp;IF(X109="Yes","  [IPL]","")),IF(Y109="","","• "&amp;Y109&amp;IF(Z109="Yes","  [IPL]","")),IF(AA109="","","• "&amp;AA109&amp;IF(AB109="Yes","  [IPL]","")))</f>
        <v/>
      </c>
      <c r="AD109" s="30">
        <f>IF(AC109="","",COUNTIF(Q109:AB109,"Yes"))</f>
        <v/>
      </c>
      <c r="AE109" s="19" t="n"/>
      <c r="AF109" s="19" t="n"/>
      <c r="AG109" s="30">
        <f>IF(OR(AE109="",AF109=""),"",INDEX(RiskGrid,6-VALUE(LEFT(AE109,1)),VALUE(LEFT(AF109,1))))</f>
        <v/>
      </c>
      <c r="AH109" s="30">
        <f>IF(AG109="","",IF(AG109&gt;=BandVH,"Very High",IF(AG109&gt;=BandHigh,"High",IF(AG109&gt;=BandMed,"Medium","Low"))))</f>
        <v/>
      </c>
      <c r="AI109" s="4" t="n"/>
      <c r="AJ109" s="4" t="n"/>
    </row>
    <row r="110">
      <c r="A110" s="30">
        <f>IF(B110="","",COUNTIF(B$14:B110,"?*"))</f>
        <v/>
      </c>
      <c r="B110" s="4" t="n"/>
      <c r="C110" s="19" t="n"/>
      <c r="D110" s="5">
        <f>IF(OR(B110="",C110=""),"",UPPER(LEFT(C110,1))&amp;LOWER(MID(C110,2,30))&amp;" "&amp;LOWER(LEFT(B110,1))&amp;MID(B110,2,200))</f>
        <v/>
      </c>
      <c r="E110" s="4" t="n"/>
      <c r="F110" s="4" t="n"/>
      <c r="G110" s="4" t="n"/>
      <c r="H110" s="4" t="n"/>
      <c r="I110" s="4" t="n"/>
      <c r="J110" s="4" t="n"/>
      <c r="K110" s="5">
        <f>_xlfn.TEXTJOIN(CHAR(10),TRUE,IF(E110="","","• "&amp;E110),IF(F110="","","• "&amp;F110),IF(G110="","","• "&amp;G110),IF(H110="","","• "&amp;H110),IF(I110="","","• "&amp;I110),IF(J110="","","• "&amp;J110))</f>
        <v/>
      </c>
      <c r="L110" s="4" t="n"/>
      <c r="M110" s="19" t="n"/>
      <c r="N110" s="19" t="n"/>
      <c r="O110" s="30">
        <f>IF(OR(M110="",N110=""),"",INDEX(RiskGrid,6-VALUE(LEFT(M110,1)),VALUE(LEFT(N110,1))))</f>
        <v/>
      </c>
      <c r="P110" s="30">
        <f>IF(O110="","",IF(O110&gt;=BandVH,"Very High",IF(O110&gt;=BandHigh,"High",IF(O110&gt;=BandMed,"Medium","Low"))))</f>
        <v/>
      </c>
      <c r="Q110" s="4" t="n"/>
      <c r="R110" s="19" t="n"/>
      <c r="S110" s="4" t="n"/>
      <c r="T110" s="19" t="n"/>
      <c r="U110" s="4" t="n"/>
      <c r="V110" s="19" t="n"/>
      <c r="W110" s="4" t="n"/>
      <c r="X110" s="19" t="n"/>
      <c r="Y110" s="4" t="n"/>
      <c r="Z110" s="19" t="n"/>
      <c r="AA110" s="4" t="n"/>
      <c r="AB110" s="19" t="n"/>
      <c r="AC110" s="5">
        <f>_xlfn.TEXTJOIN(CHAR(10),TRUE,IF(Q110="","","• "&amp;Q110&amp;IF(R110="Yes","  [IPL]","")),IF(S110="","","• "&amp;S110&amp;IF(T110="Yes","  [IPL]","")),IF(U110="","","• "&amp;U110&amp;IF(V110="Yes","  [IPL]","")),IF(W110="","","• "&amp;W110&amp;IF(X110="Yes","  [IPL]","")),IF(Y110="","","• "&amp;Y110&amp;IF(Z110="Yes","  [IPL]","")),IF(AA110="","","• "&amp;AA110&amp;IF(AB110="Yes","  [IPL]","")))</f>
        <v/>
      </c>
      <c r="AD110" s="30">
        <f>IF(AC110="","",COUNTIF(Q110:AB110,"Yes"))</f>
        <v/>
      </c>
      <c r="AE110" s="19" t="n"/>
      <c r="AF110" s="19" t="n"/>
      <c r="AG110" s="30">
        <f>IF(OR(AE110="",AF110=""),"",INDEX(RiskGrid,6-VALUE(LEFT(AE110,1)),VALUE(LEFT(AF110,1))))</f>
        <v/>
      </c>
      <c r="AH110" s="30">
        <f>IF(AG110="","",IF(AG110&gt;=BandVH,"Very High",IF(AG110&gt;=BandHigh,"High",IF(AG110&gt;=BandMed,"Medium","Low"))))</f>
        <v/>
      </c>
      <c r="AI110" s="4" t="n"/>
      <c r="AJ110" s="4" t="n"/>
    </row>
    <row r="111">
      <c r="A111" s="30">
        <f>IF(B111="","",COUNTIF(B$14:B111,"?*"))</f>
        <v/>
      </c>
      <c r="B111" s="4" t="n"/>
      <c r="C111" s="19" t="n"/>
      <c r="D111" s="5">
        <f>IF(OR(B111="",C111=""),"",UPPER(LEFT(C111,1))&amp;LOWER(MID(C111,2,30))&amp;" "&amp;LOWER(LEFT(B111,1))&amp;MID(B111,2,200))</f>
        <v/>
      </c>
      <c r="E111" s="4" t="n"/>
      <c r="F111" s="4" t="n"/>
      <c r="G111" s="4" t="n"/>
      <c r="H111" s="4" t="n"/>
      <c r="I111" s="4" t="n"/>
      <c r="J111" s="4" t="n"/>
      <c r="K111" s="5">
        <f>_xlfn.TEXTJOIN(CHAR(10),TRUE,IF(E111="","","• "&amp;E111),IF(F111="","","• "&amp;F111),IF(G111="","","• "&amp;G111),IF(H111="","","• "&amp;H111),IF(I111="","","• "&amp;I111),IF(J111="","","• "&amp;J111))</f>
        <v/>
      </c>
      <c r="L111" s="4" t="n"/>
      <c r="M111" s="19" t="n"/>
      <c r="N111" s="19" t="n"/>
      <c r="O111" s="30">
        <f>IF(OR(M111="",N111=""),"",INDEX(RiskGrid,6-VALUE(LEFT(M111,1)),VALUE(LEFT(N111,1))))</f>
        <v/>
      </c>
      <c r="P111" s="30">
        <f>IF(O111="","",IF(O111&gt;=BandVH,"Very High",IF(O111&gt;=BandHigh,"High",IF(O111&gt;=BandMed,"Medium","Low"))))</f>
        <v/>
      </c>
      <c r="Q111" s="4" t="n"/>
      <c r="R111" s="19" t="n"/>
      <c r="S111" s="4" t="n"/>
      <c r="T111" s="19" t="n"/>
      <c r="U111" s="4" t="n"/>
      <c r="V111" s="19" t="n"/>
      <c r="W111" s="4" t="n"/>
      <c r="X111" s="19" t="n"/>
      <c r="Y111" s="4" t="n"/>
      <c r="Z111" s="19" t="n"/>
      <c r="AA111" s="4" t="n"/>
      <c r="AB111" s="19" t="n"/>
      <c r="AC111" s="5">
        <f>_xlfn.TEXTJOIN(CHAR(10),TRUE,IF(Q111="","","• "&amp;Q111&amp;IF(R111="Yes","  [IPL]","")),IF(S111="","","• "&amp;S111&amp;IF(T111="Yes","  [IPL]","")),IF(U111="","","• "&amp;U111&amp;IF(V111="Yes","  [IPL]","")),IF(W111="","","• "&amp;W111&amp;IF(X111="Yes","  [IPL]","")),IF(Y111="","","• "&amp;Y111&amp;IF(Z111="Yes","  [IPL]","")),IF(AA111="","","• "&amp;AA111&amp;IF(AB111="Yes","  [IPL]","")))</f>
        <v/>
      </c>
      <c r="AD111" s="30">
        <f>IF(AC111="","",COUNTIF(Q111:AB111,"Yes"))</f>
        <v/>
      </c>
      <c r="AE111" s="19" t="n"/>
      <c r="AF111" s="19" t="n"/>
      <c r="AG111" s="30">
        <f>IF(OR(AE111="",AF111=""),"",INDEX(RiskGrid,6-VALUE(LEFT(AE111,1)),VALUE(LEFT(AF111,1))))</f>
        <v/>
      </c>
      <c r="AH111" s="30">
        <f>IF(AG111="","",IF(AG111&gt;=BandVH,"Very High",IF(AG111&gt;=BandHigh,"High",IF(AG111&gt;=BandMed,"Medium","Low"))))</f>
        <v/>
      </c>
      <c r="AI111" s="4" t="n"/>
      <c r="AJ111" s="4" t="n"/>
    </row>
    <row r="112">
      <c r="A112" s="30">
        <f>IF(B112="","",COUNTIF(B$14:B112,"?*"))</f>
        <v/>
      </c>
      <c r="B112" s="4" t="n"/>
      <c r="C112" s="19" t="n"/>
      <c r="D112" s="5">
        <f>IF(OR(B112="",C112=""),"",UPPER(LEFT(C112,1))&amp;LOWER(MID(C112,2,30))&amp;" "&amp;LOWER(LEFT(B112,1))&amp;MID(B112,2,200))</f>
        <v/>
      </c>
      <c r="E112" s="4" t="n"/>
      <c r="F112" s="4" t="n"/>
      <c r="G112" s="4" t="n"/>
      <c r="H112" s="4" t="n"/>
      <c r="I112" s="4" t="n"/>
      <c r="J112" s="4" t="n"/>
      <c r="K112" s="5">
        <f>_xlfn.TEXTJOIN(CHAR(10),TRUE,IF(E112="","","• "&amp;E112),IF(F112="","","• "&amp;F112),IF(G112="","","• "&amp;G112),IF(H112="","","• "&amp;H112),IF(I112="","","• "&amp;I112),IF(J112="","","• "&amp;J112))</f>
        <v/>
      </c>
      <c r="L112" s="4" t="n"/>
      <c r="M112" s="19" t="n"/>
      <c r="N112" s="19" t="n"/>
      <c r="O112" s="30">
        <f>IF(OR(M112="",N112=""),"",INDEX(RiskGrid,6-VALUE(LEFT(M112,1)),VALUE(LEFT(N112,1))))</f>
        <v/>
      </c>
      <c r="P112" s="30">
        <f>IF(O112="","",IF(O112&gt;=BandVH,"Very High",IF(O112&gt;=BandHigh,"High",IF(O112&gt;=BandMed,"Medium","Low"))))</f>
        <v/>
      </c>
      <c r="Q112" s="4" t="n"/>
      <c r="R112" s="19" t="n"/>
      <c r="S112" s="4" t="n"/>
      <c r="T112" s="19" t="n"/>
      <c r="U112" s="4" t="n"/>
      <c r="V112" s="19" t="n"/>
      <c r="W112" s="4" t="n"/>
      <c r="X112" s="19" t="n"/>
      <c r="Y112" s="4" t="n"/>
      <c r="Z112" s="19" t="n"/>
      <c r="AA112" s="4" t="n"/>
      <c r="AB112" s="19" t="n"/>
      <c r="AC112" s="5">
        <f>_xlfn.TEXTJOIN(CHAR(10),TRUE,IF(Q112="","","• "&amp;Q112&amp;IF(R112="Yes","  [IPL]","")),IF(S112="","","• "&amp;S112&amp;IF(T112="Yes","  [IPL]","")),IF(U112="","","• "&amp;U112&amp;IF(V112="Yes","  [IPL]","")),IF(W112="","","• "&amp;W112&amp;IF(X112="Yes","  [IPL]","")),IF(Y112="","","• "&amp;Y112&amp;IF(Z112="Yes","  [IPL]","")),IF(AA112="","","• "&amp;AA112&amp;IF(AB112="Yes","  [IPL]","")))</f>
        <v/>
      </c>
      <c r="AD112" s="30">
        <f>IF(AC112="","",COUNTIF(Q112:AB112,"Yes"))</f>
        <v/>
      </c>
      <c r="AE112" s="19" t="n"/>
      <c r="AF112" s="19" t="n"/>
      <c r="AG112" s="30">
        <f>IF(OR(AE112="",AF112=""),"",INDEX(RiskGrid,6-VALUE(LEFT(AE112,1)),VALUE(LEFT(AF112,1))))</f>
        <v/>
      </c>
      <c r="AH112" s="30">
        <f>IF(AG112="","",IF(AG112&gt;=BandVH,"Very High",IF(AG112&gt;=BandHigh,"High",IF(AG112&gt;=BandMed,"Medium","Low"))))</f>
        <v/>
      </c>
      <c r="AI112" s="4" t="n"/>
      <c r="AJ112" s="4" t="n"/>
    </row>
    <row r="113">
      <c r="A113" s="30">
        <f>IF(B113="","",COUNTIF(B$14:B113,"?*"))</f>
        <v/>
      </c>
      <c r="B113" s="4" t="n"/>
      <c r="C113" s="19" t="n"/>
      <c r="D113" s="5">
        <f>IF(OR(B113="",C113=""),"",UPPER(LEFT(C113,1))&amp;LOWER(MID(C113,2,30))&amp;" "&amp;LOWER(LEFT(B113,1))&amp;MID(B113,2,200))</f>
        <v/>
      </c>
      <c r="E113" s="4" t="n"/>
      <c r="F113" s="4" t="n"/>
      <c r="G113" s="4" t="n"/>
      <c r="H113" s="4" t="n"/>
      <c r="I113" s="4" t="n"/>
      <c r="J113" s="4" t="n"/>
      <c r="K113" s="5">
        <f>_xlfn.TEXTJOIN(CHAR(10),TRUE,IF(E113="","","• "&amp;E113),IF(F113="","","• "&amp;F113),IF(G113="","","• "&amp;G113),IF(H113="","","• "&amp;H113),IF(I113="","","• "&amp;I113),IF(J113="","","• "&amp;J113))</f>
        <v/>
      </c>
      <c r="L113" s="4" t="n"/>
      <c r="M113" s="19" t="n"/>
      <c r="N113" s="19" t="n"/>
      <c r="O113" s="30">
        <f>IF(OR(M113="",N113=""),"",INDEX(RiskGrid,6-VALUE(LEFT(M113,1)),VALUE(LEFT(N113,1))))</f>
        <v/>
      </c>
      <c r="P113" s="30">
        <f>IF(O113="","",IF(O113&gt;=BandVH,"Very High",IF(O113&gt;=BandHigh,"High",IF(O113&gt;=BandMed,"Medium","Low"))))</f>
        <v/>
      </c>
      <c r="Q113" s="4" t="n"/>
      <c r="R113" s="19" t="n"/>
      <c r="S113" s="4" t="n"/>
      <c r="T113" s="19" t="n"/>
      <c r="U113" s="4" t="n"/>
      <c r="V113" s="19" t="n"/>
      <c r="W113" s="4" t="n"/>
      <c r="X113" s="19" t="n"/>
      <c r="Y113" s="4" t="n"/>
      <c r="Z113" s="19" t="n"/>
      <c r="AA113" s="4" t="n"/>
      <c r="AB113" s="19" t="n"/>
      <c r="AC113" s="5">
        <f>_xlfn.TEXTJOIN(CHAR(10),TRUE,IF(Q113="","","• "&amp;Q113&amp;IF(R113="Yes","  [IPL]","")),IF(S113="","","• "&amp;S113&amp;IF(T113="Yes","  [IPL]","")),IF(U113="","","• "&amp;U113&amp;IF(V113="Yes","  [IPL]","")),IF(W113="","","• "&amp;W113&amp;IF(X113="Yes","  [IPL]","")),IF(Y113="","","• "&amp;Y113&amp;IF(Z113="Yes","  [IPL]","")),IF(AA113="","","• "&amp;AA113&amp;IF(AB113="Yes","  [IPL]","")))</f>
        <v/>
      </c>
      <c r="AD113" s="30">
        <f>IF(AC113="","",COUNTIF(Q113:AB113,"Yes"))</f>
        <v/>
      </c>
      <c r="AE113" s="19" t="n"/>
      <c r="AF113" s="19" t="n"/>
      <c r="AG113" s="30">
        <f>IF(OR(AE113="",AF113=""),"",INDEX(RiskGrid,6-VALUE(LEFT(AE113,1)),VALUE(LEFT(AF113,1))))</f>
        <v/>
      </c>
      <c r="AH113" s="30">
        <f>IF(AG113="","",IF(AG113&gt;=BandVH,"Very High",IF(AG113&gt;=BandHigh,"High",IF(AG113&gt;=BandMed,"Medium","Low"))))</f>
        <v/>
      </c>
      <c r="AI113" s="4" t="n"/>
      <c r="AJ113" s="4" t="n"/>
    </row>
  </sheetData>
  <mergeCells count="24">
    <mergeCell ref="A3:C3"/>
    <mergeCell ref="AC12:AD12"/>
    <mergeCell ref="D7:L7"/>
    <mergeCell ref="N3:O3"/>
    <mergeCell ref="A5:C5"/>
    <mergeCell ref="A8:C8"/>
    <mergeCell ref="D4:L4"/>
    <mergeCell ref="D3:L3"/>
    <mergeCell ref="D9:L9"/>
    <mergeCell ref="A4:C4"/>
    <mergeCell ref="D8:L8"/>
    <mergeCell ref="K12:L12"/>
    <mergeCell ref="D5:L5"/>
    <mergeCell ref="A9:C9"/>
    <mergeCell ref="AE12:AH12"/>
    <mergeCell ref="E12:J12"/>
    <mergeCell ref="Q12:AB12"/>
    <mergeCell ref="AI12:AJ12"/>
    <mergeCell ref="A11:L11"/>
    <mergeCell ref="A12:D12"/>
    <mergeCell ref="A6:C6"/>
    <mergeCell ref="M12:P12"/>
    <mergeCell ref="A7:C7"/>
    <mergeCell ref="D6:L6"/>
  </mergeCells>
  <conditionalFormatting sqref="O14:P113">
    <cfRule type="expression" priority="1" dxfId="0">
      <formula>$P14="Very High"</formula>
    </cfRule>
    <cfRule type="expression" priority="3" dxfId="1">
      <formula>$P14="High"</formula>
    </cfRule>
    <cfRule type="expression" priority="5" dxfId="2">
      <formula>$P14="Medium"</formula>
    </cfRule>
    <cfRule type="expression" priority="7" dxfId="3">
      <formula>$P14="Low"</formula>
    </cfRule>
  </conditionalFormatting>
  <conditionalFormatting sqref="AG14:AH113">
    <cfRule type="expression" priority="2" dxfId="0">
      <formula>$AH14="Very High"</formula>
    </cfRule>
    <cfRule type="expression" priority="4" dxfId="1">
      <formula>$AH14="High"</formula>
    </cfRule>
    <cfRule type="expression" priority="6" dxfId="2">
      <formula>$AH14="Medium"</formula>
    </cfRule>
    <cfRule type="expression" priority="8" dxfId="3">
      <formula>$AH14="Low"</formula>
    </cfRule>
  </conditionalFormatting>
  <dataValidations count="9">
    <dataValidation sqref="D3" showDropDown="0" showInputMessage="1" showErrorMessage="1" allowBlank="1" promptTitle="Select" prompt="Choose the node studied on this sheet" type="list">
      <formula1>=NodeList</formula1>
    </dataValidation>
    <dataValidation sqref="B14:B113" showDropDown="0" showInputMessage="1" showErrorMessage="1" allowBlank="1" promptTitle="Select" prompt="Parameter (from Lists)" type="list">
      <formula1>=ParamList</formula1>
    </dataValidation>
    <dataValidation sqref="C14:C113" showDropDown="0" showInputMessage="1" showErrorMessage="1" allowBlank="1" promptTitle="Select" prompt="Guidewords valid for this parameter" type="list">
      <formula1>=OFFSET(GWStart,MATCH($B14,GWParam,0)-1,0,COUNTIF(GWParam,$B14),1)</formula1>
    </dataValidation>
    <dataValidation sqref="E14:J113" showDropDown="0" showInputMessage="1" showErrorMessage="1" allowBlank="1" errorTitle="Not in list" error="Entry is not in the list – it will be accepted as free text." promptTitle="Select" prompt="Pick a cause for this deviation, or type your own." type="list" errorStyle="information">
      <formula1>=OFFSET(CauseStart,MATCH($B14&amp;"|"&amp;$C14,CauseKey,0)-1,0,MAX(1,COUNTIF(CauseKey,$B14&amp;"|"&amp;$C14)),1)</formula1>
    </dataValidation>
    <dataValidation sqref="M14:M113" showDropDown="0" showInputMessage="0" showErrorMessage="1" allowBlank="1" type="list">
      <formula1>=SevList</formula1>
    </dataValidation>
    <dataValidation sqref="N14:N113" showDropDown="0" showInputMessage="0" showErrorMessage="1" allowBlank="1" type="list">
      <formula1>=LikList</formula1>
    </dataValidation>
    <dataValidation sqref="AE14:AE113" showDropDown="0" showInputMessage="0" showErrorMessage="1" allowBlank="1" type="list">
      <formula1>=SevList</formula1>
    </dataValidation>
    <dataValidation sqref="AF14:AF113" showDropDown="0" showInputMessage="0" showErrorMessage="1" allowBlank="1" type="list">
      <formula1>=LikList</formula1>
    </dataValidation>
    <dataValidation sqref="R14:R113 T14:T113 V14:V113 X14:X113 Z14:Z113 AB14:AB113" showDropDown="0" showInputMessage="1" showErrorMessage="0" allowBlank="1" promptTitle="IPL?" prompt="Is this safeguard an Independent Protection Layer?" type="list">
      <formula1>=IPLList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M113"/>
  <sheetViews>
    <sheetView workbookViewId="0">
      <pane xSplit="4" ySplit="13" topLeftCell="E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4" customWidth="1" min="4" max="4"/>
    <col outlineLevel="1" width="26" customWidth="1" min="5" max="10"/>
    <col width="48" customWidth="1" min="11" max="11"/>
    <col width="42" customWidth="1" min="12" max="12"/>
    <col width="13" customWidth="1" min="13" max="13"/>
    <col width="13" customWidth="1" min="14" max="14"/>
    <col width="7" customWidth="1" min="15" max="15"/>
    <col width="10" customWidth="1" min="16" max="16"/>
    <col outlineLevel="1" width="28" customWidth="1" min="17" max="28"/>
    <col width="48" customWidth="1" min="29" max="29"/>
    <col width="7" customWidth="1" min="30" max="30"/>
    <col width="13" customWidth="1" min="31" max="31"/>
    <col width="13" customWidth="1" min="32" max="32"/>
    <col width="7" customWidth="1" min="33" max="33"/>
    <col width="10" customWidth="1" min="34" max="34"/>
    <col width="36" customWidth="1" min="35" max="35"/>
    <col width="14" customWidth="1" min="36" max="36"/>
  </cols>
  <sheetData>
    <row r="1">
      <c r="A1" s="24" t="inlineStr">
        <is>
          <t>HAZOP WORKSHEET</t>
        </is>
      </c>
      <c r="E1" s="25">
        <f>Cover!B7</f>
        <v/>
      </c>
    </row>
    <row r="3">
      <c r="A3" s="26" t="inlineStr">
        <is>
          <t>Select node ▸</t>
        </is>
      </c>
      <c r="B3" s="8" t="n"/>
      <c r="C3" s="9" t="n"/>
      <c r="D3" s="27" t="inlineStr">
        <is>
          <t>N03 – MP ring main (7 barg) and pipe racks</t>
        </is>
      </c>
      <c r="E3" s="8" t="n"/>
      <c r="F3" s="8" t="n"/>
      <c r="G3" s="8" t="n"/>
      <c r="H3" s="8" t="n"/>
      <c r="I3" s="8" t="n"/>
      <c r="J3" s="8" t="n"/>
      <c r="K3" s="8" t="n"/>
      <c r="L3" s="9" t="n"/>
      <c r="M3" s="26" t="inlineStr">
        <is>
          <t>Session date</t>
        </is>
      </c>
      <c r="N3" s="13" t="n">
        <v>46307</v>
      </c>
      <c r="O3" s="9" t="n"/>
      <c r="P3" s="26" t="inlineStr">
        <is>
          <t>Revision</t>
        </is>
      </c>
      <c r="Q3" s="4" t="inlineStr">
        <is>
          <t>A</t>
        </is>
      </c>
    </row>
    <row r="4" ht="16" customHeight="1">
      <c r="A4" s="10" t="inlineStr">
        <is>
          <t>Node title</t>
        </is>
      </c>
      <c r="B4" s="8" t="n"/>
      <c r="C4" s="9" t="n"/>
      <c r="D4" s="6">
        <f>IF($D$3="","",IFERROR(INDEX(Nodes!$B$5:$B$34,MATCH($D$3,Nodes!$C$5:$C$34,0))&amp;"",""))</f>
        <v/>
      </c>
      <c r="E4" s="8" t="n"/>
      <c r="F4" s="8" t="n"/>
      <c r="G4" s="8" t="n"/>
      <c r="H4" s="8" t="n"/>
      <c r="I4" s="8" t="n"/>
      <c r="J4" s="8" t="n"/>
      <c r="K4" s="8" t="n"/>
      <c r="L4" s="9" t="n"/>
    </row>
    <row r="5" ht="16" customHeight="1">
      <c r="A5" s="10" t="inlineStr">
        <is>
          <t>P&amp;IDs / drawings</t>
        </is>
      </c>
      <c r="B5" s="8" t="n"/>
      <c r="C5" s="9" t="n"/>
      <c r="D5" s="6">
        <f>IF($D$3="","",IFERROR(INDEX(Nodes!$D$5:$D$34,MATCH($D$3,Nodes!$C$5:$C$34,0))&amp;"",""))</f>
        <v/>
      </c>
      <c r="E5" s="8" t="n"/>
      <c r="F5" s="8" t="n"/>
      <c r="G5" s="8" t="n"/>
      <c r="H5" s="8" t="n"/>
      <c r="I5" s="8" t="n"/>
      <c r="J5" s="8" t="n"/>
      <c r="K5" s="8" t="n"/>
      <c r="L5" s="9" t="n"/>
    </row>
    <row r="6" ht="30" customHeight="1">
      <c r="A6" s="10" t="inlineStr">
        <is>
          <t>Battery limits</t>
        </is>
      </c>
      <c r="B6" s="8" t="n"/>
      <c r="C6" s="9" t="n"/>
      <c r="D6" s="6">
        <f>IF($D$3="","",IFERROR(INDEX(Nodes!$E$5:$E$34,MATCH($D$3,Nodes!$C$5:$C$34,0))&amp;"",""))</f>
        <v/>
      </c>
      <c r="E6" s="8" t="n"/>
      <c r="F6" s="8" t="n"/>
      <c r="G6" s="8" t="n"/>
      <c r="H6" s="8" t="n"/>
      <c r="I6" s="8" t="n"/>
      <c r="J6" s="8" t="n"/>
      <c r="K6" s="8" t="n"/>
      <c r="L6" s="9" t="n"/>
    </row>
    <row r="7" ht="30" customHeight="1">
      <c r="A7" s="10" t="inlineStr">
        <is>
          <t>Functional description / design intent</t>
        </is>
      </c>
      <c r="B7" s="8" t="n"/>
      <c r="C7" s="9" t="n"/>
      <c r="D7" s="6">
        <f>IF($D$3="","",IFERROR(INDEX(Nodes!$F$5:$F$34,MATCH($D$3,Nodes!$C$5:$C$34,0))&amp;"",""))</f>
        <v/>
      </c>
      <c r="E7" s="8" t="n"/>
      <c r="F7" s="8" t="n"/>
      <c r="G7" s="8" t="n"/>
      <c r="H7" s="8" t="n"/>
      <c r="I7" s="8" t="n"/>
      <c r="J7" s="8" t="n"/>
      <c r="K7" s="8" t="n"/>
      <c r="L7" s="9" t="n"/>
    </row>
    <row r="8" ht="16" customHeight="1">
      <c r="A8" s="10" t="inlineStr">
        <is>
          <t>Design parameters</t>
        </is>
      </c>
      <c r="B8" s="8" t="n"/>
      <c r="C8" s="9" t="n"/>
      <c r="D8" s="6">
        <f>IF($D$3="","",IFERROR(INDEX(Nodes!$G$5:$G$34,MATCH($D$3,Nodes!$C$5:$C$34,0))&amp;"",""))</f>
        <v/>
      </c>
      <c r="E8" s="8" t="n"/>
      <c r="F8" s="8" t="n"/>
      <c r="G8" s="8" t="n"/>
      <c r="H8" s="8" t="n"/>
      <c r="I8" s="8" t="n"/>
      <c r="J8" s="8" t="n"/>
      <c r="K8" s="8" t="n"/>
      <c r="L8" s="9" t="n"/>
    </row>
    <row r="9" ht="16" customHeight="1">
      <c r="A9" s="10" t="inlineStr">
        <is>
          <t>Operating parameters</t>
        </is>
      </c>
      <c r="B9" s="8" t="n"/>
      <c r="C9" s="9" t="n"/>
      <c r="D9" s="6">
        <f>IF($D$3="","",IFERROR(INDEX(Nodes!$H$5:$H$34,MATCH($D$3,Nodes!$C$5:$C$34,0))&amp;"",""))</f>
        <v/>
      </c>
      <c r="E9" s="8" t="n"/>
      <c r="F9" s="8" t="n"/>
      <c r="G9" s="8" t="n"/>
      <c r="H9" s="8" t="n"/>
      <c r="I9" s="8" t="n"/>
      <c r="J9" s="8" t="n"/>
      <c r="K9" s="8" t="n"/>
      <c r="L9" s="9" t="n"/>
    </row>
    <row r="11">
      <c r="A11" s="2" t="inlineStr">
        <is>
          <t>ONE ROW PER DEVIATION. Choose Parameter + Guideword, then pick up to 6 causes in Cause 1–6 (or type your own) – they are listed line by line in 'Potential causes'. Enter up to 6 safeguards, each marked IPL Yes/No – listed in 'Safeguards'. Use the [–] buttons above the columns to collapse the pick columns.</t>
        </is>
      </c>
    </row>
    <row r="12">
      <c r="A12" s="7" t="inlineStr">
        <is>
          <t>DEVIATION</t>
        </is>
      </c>
      <c r="B12" s="8" t="n"/>
      <c r="C12" s="8" t="n"/>
      <c r="D12" s="9" t="n"/>
      <c r="E12" s="7" t="inlineStr">
        <is>
          <t>CAUSE PICK-LIST</t>
        </is>
      </c>
      <c r="F12" s="8" t="n"/>
      <c r="G12" s="8" t="n"/>
      <c r="H12" s="8" t="n"/>
      <c r="I12" s="8" t="n"/>
      <c r="J12" s="9" t="n"/>
      <c r="K12" s="7" t="inlineStr">
        <is>
          <t>CAUSES &amp; CONSEQUENCES</t>
        </is>
      </c>
      <c r="L12" s="9" t="n"/>
      <c r="M12" s="7" t="inlineStr">
        <is>
          <t>RISK BEFORE SAFEGUARDS</t>
        </is>
      </c>
      <c r="N12" s="8" t="n"/>
      <c r="O12" s="8" t="n"/>
      <c r="P12" s="9" t="n"/>
      <c r="Q12" s="7" t="inlineStr">
        <is>
          <t>SAFEGUARD ENTRY (mark each IPL Yes / No)</t>
        </is>
      </c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9" t="n"/>
      <c r="AC12" s="7" t="inlineStr">
        <is>
          <t>SAFEGUARDS</t>
        </is>
      </c>
      <c r="AD12" s="9" t="n"/>
      <c r="AE12" s="7" t="inlineStr">
        <is>
          <t>RISK AFTER SAFEGUARDS</t>
        </is>
      </c>
      <c r="AF12" s="8" t="n"/>
      <c r="AG12" s="8" t="n"/>
      <c r="AH12" s="9" t="n"/>
      <c r="AI12" s="7" t="inlineStr">
        <is>
          <t>RECOMMENDATIONS</t>
        </is>
      </c>
      <c r="AJ12" s="9" t="n"/>
    </row>
    <row r="13" ht="30" customHeight="1">
      <c r="A13" s="7" t="inlineStr">
        <is>
          <t>Dev. No.</t>
        </is>
      </c>
      <c r="B13" s="7" t="inlineStr">
        <is>
          <t>Parameter</t>
        </is>
      </c>
      <c r="C13" s="7" t="inlineStr">
        <is>
          <t>Guideword</t>
        </is>
      </c>
      <c r="D13" s="7" t="inlineStr">
        <is>
          <t>Deviation</t>
        </is>
      </c>
      <c r="E13" s="29" t="inlineStr">
        <is>
          <t>Cause 1</t>
        </is>
      </c>
      <c r="F13" s="29" t="inlineStr">
        <is>
          <t>Cause 2</t>
        </is>
      </c>
      <c r="G13" s="29" t="inlineStr">
        <is>
          <t>Cause 3</t>
        </is>
      </c>
      <c r="H13" s="29" t="inlineStr">
        <is>
          <t>Cause 4</t>
        </is>
      </c>
      <c r="I13" s="29" t="inlineStr">
        <is>
          <t>Cause 5</t>
        </is>
      </c>
      <c r="J13" s="29" t="inlineStr">
        <is>
          <t>Cause 6</t>
        </is>
      </c>
      <c r="K13" s="7" t="inlineStr">
        <is>
          <t>Potential causes</t>
        </is>
      </c>
      <c r="L13" s="7" t="inlineStr">
        <is>
          <t>Consequences</t>
        </is>
      </c>
      <c r="M13" s="7" t="inlineStr">
        <is>
          <t>Severity (S)</t>
        </is>
      </c>
      <c r="N13" s="7" t="inlineStr">
        <is>
          <t>Likelihood (L)</t>
        </is>
      </c>
      <c r="O13" s="7" t="inlineStr">
        <is>
          <t>Risk score</t>
        </is>
      </c>
      <c r="P13" s="7" t="inlineStr">
        <is>
          <t>Risk rank</t>
        </is>
      </c>
      <c r="Q13" s="29" t="inlineStr">
        <is>
          <t>Safeguard 1</t>
        </is>
      </c>
      <c r="R13" s="29" t="inlineStr">
        <is>
          <t>IPL? 1</t>
        </is>
      </c>
      <c r="S13" s="29" t="inlineStr">
        <is>
          <t>Safeguard 2</t>
        </is>
      </c>
      <c r="T13" s="29" t="inlineStr">
        <is>
          <t>IPL? 2</t>
        </is>
      </c>
      <c r="U13" s="29" t="inlineStr">
        <is>
          <t>Safeguard 3</t>
        </is>
      </c>
      <c r="V13" s="29" t="inlineStr">
        <is>
          <t>IPL? 3</t>
        </is>
      </c>
      <c r="W13" s="29" t="inlineStr">
        <is>
          <t>Safeguard 4</t>
        </is>
      </c>
      <c r="X13" s="29" t="inlineStr">
        <is>
          <t>IPL? 4</t>
        </is>
      </c>
      <c r="Y13" s="29" t="inlineStr">
        <is>
          <t>Safeguard 5</t>
        </is>
      </c>
      <c r="Z13" s="29" t="inlineStr">
        <is>
          <t>IPL? 5</t>
        </is>
      </c>
      <c r="AA13" s="29" t="inlineStr">
        <is>
          <t>Safeguard 6</t>
        </is>
      </c>
      <c r="AB13" s="29" t="inlineStr">
        <is>
          <t>IPL? 6</t>
        </is>
      </c>
      <c r="AC13" s="7" t="inlineStr">
        <is>
          <t>Safeguards</t>
        </is>
      </c>
      <c r="AD13" s="7" t="inlineStr">
        <is>
          <t>No. of IPLs</t>
        </is>
      </c>
      <c r="AE13" s="7" t="inlineStr">
        <is>
          <t>Severity (S)</t>
        </is>
      </c>
      <c r="AF13" s="7" t="inlineStr">
        <is>
          <t>Likelihood (L)</t>
        </is>
      </c>
      <c r="AG13" s="7" t="inlineStr">
        <is>
          <t>Risk score</t>
        </is>
      </c>
      <c r="AH13" s="7" t="inlineStr">
        <is>
          <t>Risk rank</t>
        </is>
      </c>
      <c r="AI13" s="7" t="inlineStr">
        <is>
          <t>Recommendations / actions</t>
        </is>
      </c>
      <c r="AJ13" s="7" t="inlineStr">
        <is>
          <t>Action by</t>
        </is>
      </c>
    </row>
    <row r="14" ht="105" customHeight="1">
      <c r="A14" s="30">
        <f>IF(B14="","",COUNTIF(B$14:B14,"?*"))</f>
        <v/>
      </c>
      <c r="B14" s="4" t="inlineStr">
        <is>
          <t>Process gas (CO, H2 – BFG, COG, LD gas, reducing gas)</t>
        </is>
      </c>
      <c r="C14" s="19" t="inlineStr">
        <is>
          <t>LEAK OF</t>
        </is>
      </c>
      <c r="D14" s="5">
        <f>IF(OR(B14="",C14=""),"",UPPER(LEFT(C14,1))&amp;LOWER(MID(C14,2,30))&amp;" "&amp;LOWER(LEFT(B14,1))&amp;MID(B14,2,200))</f>
        <v/>
      </c>
      <c r="E14" s="4" t="inlineStr">
        <is>
          <t>Flange, valve or seal leak; water-seal blown</t>
        </is>
      </c>
      <c r="F14" s="4" t="inlineStr">
        <is>
          <t>Mechanical impact by mobile cranes / vehicles at rack crossings</t>
        </is>
      </c>
      <c r="G14" s="4" t="inlineStr">
        <is>
          <t>External corrosion of buried crossings or at pipe supports</t>
        </is>
      </c>
      <c r="H14" s="4" t="inlineStr">
        <is>
          <t>Third-party excavation</t>
        </is>
      </c>
      <c r="I14" s="4" t="n"/>
      <c r="J14" s="4" t="n"/>
      <c r="K14" s="5">
        <f>_xlfn.TEXTJOIN(CHAR(10),TRUE,IF(E14="","","• "&amp;E14),IF(F14="","","• "&amp;F14),IF(G14="","","• "&amp;G14),IF(H14="","","• "&amp;H14),IF(I14="","","• "&amp;I14),IF(J14="","","• "&amp;J14))</f>
        <v/>
      </c>
      <c r="L14" s="4" t="inlineStr">
        <is>
          <t>Release in congested plant areas (melt shop, rolling mill): jet fire or vapour cloud explosion; gas migrating into cable trenches and building HVAC intakes – explosion inside buildings
[N03-01] Bow tie BT-GN-01 threats T2 (corrosion), T3 (impact), T4 (flange / fitting failure).</t>
        </is>
      </c>
      <c r="M14" s="19" t="inlineStr">
        <is>
          <t>5 – Catastrophic</t>
        </is>
      </c>
      <c r="N14" s="19" t="inlineStr">
        <is>
          <t>3 – Possible</t>
        </is>
      </c>
      <c r="O14" s="30">
        <f>IF(OR(M14="",N14=""),"",INDEX(RiskGrid,6-VALUE(LEFT(M14,1)),VALUE(LEFT(N14,1))))</f>
        <v/>
      </c>
      <c r="P14" s="30">
        <f>IF(O14="","",IF(O14&gt;=BandVH,"Very High",IF(O14&gt;=BandHigh,"High",IF(O14&gt;=BandMed,"Medium","Low"))))</f>
        <v/>
      </c>
      <c r="Q14" s="4" t="inlineStr">
        <is>
          <t>CP-1200 – Coating and impressed-current cathodic protection of buried sections; annual CP / DCVG survey</t>
        </is>
      </c>
      <c r="R14" s="19" t="inlineStr">
        <is>
          <t>No</t>
        </is>
      </c>
      <c r="S14" s="4" t="inlineStr">
        <is>
          <t>Crash barriers and height gantries at pipe-rack road crossings; lift plans for cranes near racks</t>
        </is>
      </c>
      <c r="T14" s="19" t="inlineStr">
        <is>
          <t>No</t>
        </is>
      </c>
      <c r="U14" s="4" t="inlineStr">
        <is>
          <t>Ground-disturbance / excavation permit with buried-services drawing</t>
        </is>
      </c>
      <c r="V14" s="19" t="inlineStr">
        <is>
          <t>No</t>
        </is>
      </c>
      <c r="W14" s="4" t="inlineStr">
        <is>
          <t>PT-1210 – MP header low-pressure alarm PAL-1210 (leak / supply-loss indication)</t>
        </is>
      </c>
      <c r="X14" s="19" t="inlineStr">
        <is>
          <t>No</t>
        </is>
      </c>
      <c r="Y14" s="4" t="inlineStr">
        <is>
          <t>XV-1201…1204 – Remote-operated sectionalising valves on the MP ring main</t>
        </is>
      </c>
      <c r="Z14" s="19" t="inlineStr">
        <is>
          <t>No</t>
        </is>
      </c>
      <c r="AA14" s="4" t="inlineStr">
        <is>
          <t>Ignition source control – hazardous area classification with Ex equipment, hot-work permit, vehicle control</t>
        </is>
      </c>
      <c r="AB14" s="19" t="inlineStr">
        <is>
          <t>No</t>
        </is>
      </c>
      <c r="AC14" s="5">
        <f>_xlfn.TEXTJOIN(CHAR(10),TRUE,IF(Q14="","","• "&amp;Q14&amp;IF(R14="Yes","  [IPL]","")),IF(S14="","","• "&amp;S14&amp;IF(T14="Yes","  [IPL]","")),IF(U14="","","• "&amp;U14&amp;IF(V14="Yes","  [IPL]","")),IF(W14="","","• "&amp;W14&amp;IF(X14="Yes","  [IPL]","")),IF(Y14="","","• "&amp;Y14&amp;IF(Z14="Yes","  [IPL]","")),IF(AA14="","","• "&amp;AA14&amp;IF(AB14="Yes","  [IPL]","")))</f>
        <v/>
      </c>
      <c r="AD14" s="30">
        <f>IF(AC14="","",COUNTIF(Q14:AB14,"Yes"))</f>
        <v/>
      </c>
      <c r="AE14" s="19" t="inlineStr">
        <is>
          <t>5 – Catastrophic</t>
        </is>
      </c>
      <c r="AF14" s="19" t="inlineStr">
        <is>
          <t>2 – Unlikely</t>
        </is>
      </c>
      <c r="AG14" s="30">
        <f>IF(OR(AE14="",AF14=""),"",INDEX(RiskGrid,6-VALUE(LEFT(AE14,1)),VALUE(LEFT(AF14,1))))</f>
        <v/>
      </c>
      <c r="AH14" s="30">
        <f>IF(AG14="","",IF(AG14&gt;=BandVH,"Very High",IF(AG14&gt;=BandHigh,"High",IF(AG14&gt;=BandMed,"Medium","Low"))))</f>
        <v/>
      </c>
      <c r="AI14" s="4" t="inlineStr">
        <is>
          <t>R-007 Install gas detection at the HVAC intakes and cable-trench entries of buildings near the MP header (substations, control rooms) with HVAC trip.
R-009 Include buried gas-line routes in the ground-disturbance permit; mark crossings on site; review crash protection and height gantries at pipe-rack road crossings.</t>
        </is>
      </c>
      <c r="AJ14" s="4" t="inlineStr">
        <is>
          <t>HSE / process safety / Civil engineer</t>
        </is>
      </c>
    </row>
    <row r="15" ht="90" customHeight="1">
      <c r="A15" s="30">
        <f>IF(B15="","",COUNTIF(B$14:B15,"?*"))</f>
        <v/>
      </c>
      <c r="B15" s="4" t="inlineStr">
        <is>
          <t>Pressure</t>
        </is>
      </c>
      <c r="C15" s="19" t="inlineStr">
        <is>
          <t>MORE</t>
        </is>
      </c>
      <c r="D15" s="5">
        <f>IF(OR(B15="",C15=""),"",UPPER(LEFT(C15,1))&amp;LOWER(MID(C15,2,30))&amp;" "&amp;LOWER(LEFT(B15,1))&amp;MID(B15,2,200))</f>
        <v/>
      </c>
      <c r="E15" s="4" t="inlineStr">
        <is>
          <t>Failed-open pressure control valves (PCVs)</t>
        </is>
      </c>
      <c r="F15" s="4" t="inlineStr">
        <is>
          <t>Leakage from interconnected high-pressure system</t>
        </is>
      </c>
      <c r="G15" s="4" t="n"/>
      <c r="H15" s="4" t="n"/>
      <c r="I15" s="4" t="n"/>
      <c r="J15" s="4" t="n"/>
      <c r="K15" s="5">
        <f>_xlfn.TEXTJOIN(CHAR(10),TRUE,IF(E15="","","• "&amp;E15),IF(F15="","","• "&amp;F15),IF(G15="","","• "&amp;G15),IF(H15="","","• "&amp;H15),IF(I15="","","• "&amp;I15),IF(J15="","","• "&amp;J15))</f>
        <v/>
      </c>
      <c r="L15" s="4" t="inlineStr">
        <is>
          <t>As N02-02 – whole MP network above its 10 barg design pressure
[N03-02] Covered by N02-02 and fault tree FT-GN-01; recorded here so the node is complete. Likelihood after safeguards from the calculated frequency 3.6E-5 /yr.</t>
        </is>
      </c>
      <c r="M15" s="19" t="inlineStr">
        <is>
          <t>5 – Catastrophic</t>
        </is>
      </c>
      <c r="N15" s="19" t="inlineStr">
        <is>
          <t>4 – Likely</t>
        </is>
      </c>
      <c r="O15" s="30">
        <f>IF(OR(M15="",N15=""),"",INDEX(RiskGrid,6-VALUE(LEFT(M15,1)),VALUE(LEFT(N15,1))))</f>
        <v/>
      </c>
      <c r="P15" s="30">
        <f>IF(O15="","",IF(O15&gt;=BandVH,"Very High",IF(O15&gt;=BandHigh,"High",IF(O15&gt;=BandMed,"Medium","Low"))))</f>
        <v/>
      </c>
      <c r="Q15" s="4" t="inlineStr">
        <is>
          <t>PCV-1103A/B – Monitor regulator takes over on active-regulator failure (set 7.5 barg)</t>
        </is>
      </c>
      <c r="R15" s="19" t="inlineStr">
        <is>
          <t>Yes</t>
        </is>
      </c>
      <c r="S15" s="4" t="inlineStr">
        <is>
          <t>SSV-1102A/B – Slam-shut valve with over-pressure shut-off (OPSO 8.5 barg) on each regulator run</t>
        </is>
      </c>
      <c r="T15" s="19" t="inlineStr">
        <is>
          <t>Yes</t>
        </is>
      </c>
      <c r="U15" s="4" t="n"/>
      <c r="V15" s="19" t="n"/>
      <c r="W15" s="4" t="n"/>
      <c r="X15" s="19" t="n"/>
      <c r="Y15" s="4" t="n"/>
      <c r="Z15" s="19" t="n"/>
      <c r="AA15" s="4" t="n"/>
      <c r="AB15" s="19" t="n"/>
      <c r="AC15" s="5">
        <f>_xlfn.TEXTJOIN(CHAR(10),TRUE,IF(Q15="","","• "&amp;Q15&amp;IF(R15="Yes","  [IPL]","")),IF(S15="","","• "&amp;S15&amp;IF(T15="Yes","  [IPL]","")),IF(U15="","","• "&amp;U15&amp;IF(V15="Yes","  [IPL]","")),IF(W15="","","• "&amp;W15&amp;IF(X15="Yes","  [IPL]","")),IF(Y15="","","• "&amp;Y15&amp;IF(Z15="Yes","  [IPL]","")),IF(AA15="","","• "&amp;AA15&amp;IF(AB15="Yes","  [IPL]","")))</f>
        <v/>
      </c>
      <c r="AD15" s="30">
        <f>IF(AC15="","",COUNTIF(Q15:AB15,"Yes"))</f>
        <v/>
      </c>
      <c r="AE15" s="19" t="inlineStr">
        <is>
          <t>5 – Catastrophic</t>
        </is>
      </c>
      <c r="AF15" s="19" t="inlineStr">
        <is>
          <t>1 – Rare</t>
        </is>
      </c>
      <c r="AG15" s="30">
        <f>IF(OR(AE15="",AF15=""),"",INDEX(RiskGrid,6-VALUE(LEFT(AE15,1)),VALUE(LEFT(AF15,1))))</f>
        <v/>
      </c>
      <c r="AH15" s="30">
        <f>IF(AG15="","",IF(AG15&gt;=BandVH,"Very High",IF(AG15&gt;=BandHigh,"High",IF(AG15&gt;=BandMed,"Medium","Low"))))</f>
        <v/>
      </c>
      <c r="AI15" s="4" t="inlineStr">
        <is>
          <t>R-003 Introduce an annual lock-up / take-over test of monitor regulators PCV-1103A/B and a six-monthly trip test of slam-shut valves SSV-1102A/B – these intervals are the basis of fault tree FT-GN-01 (protection PFDavg 2.0E-4).</t>
        </is>
      </c>
      <c r="AJ15" s="4" t="inlineStr">
        <is>
          <t>Instrument engineer</t>
        </is>
      </c>
    </row>
    <row r="16" ht="90" customHeight="1">
      <c r="A16" s="30">
        <f>IF(B16="","",COUNTIF(B$14:B16,"?*"))</f>
        <v/>
      </c>
      <c r="B16" s="4" t="inlineStr">
        <is>
          <t>Air / oxygen in process gas</t>
        </is>
      </c>
      <c r="C16" s="19" t="inlineStr">
        <is>
          <t>AS WELL AS</t>
        </is>
      </c>
      <c r="D16" s="5">
        <f>IF(OR(B16="",C16=""),"",UPPER(LEFT(C16,1))&amp;LOWER(MID(C16,2,30))&amp;" "&amp;LOWER(LEFT(B16,1))&amp;MID(B16,2,200))</f>
        <v/>
      </c>
      <c r="E16" s="4" t="inlineStr">
        <is>
          <t>Inadequate purging at start-up / shutdown</t>
        </is>
      </c>
      <c r="F16" s="4" t="inlineStr">
        <is>
          <t>Air ingress through leaks at negative pressure</t>
        </is>
      </c>
      <c r="G16" s="4" t="n"/>
      <c r="H16" s="4" t="n"/>
      <c r="I16" s="4" t="n"/>
      <c r="J16" s="4" t="n"/>
      <c r="K16" s="5">
        <f>_xlfn.TEXTJOIN(CHAR(10),TRUE,IF(E16="","","• "&amp;E16),IF(F16="","","• "&amp;F16),IF(G16="","","• "&amp;G16),IF(H16="","","• "&amp;H16),IF(I16="","","• "&amp;I16),IF(J16="","","• "&amp;J16))</f>
        <v/>
      </c>
      <c r="L16" s="4" t="inlineStr">
        <is>
          <t>Flammable gas / air mixture inside the header on gas-in – internal deflagration, flashback at the first burner lit
[N03-03] See N07-01.</t>
        </is>
      </c>
      <c r="M16" s="19" t="inlineStr">
        <is>
          <t>5 – Catastrophic</t>
        </is>
      </c>
      <c r="N16" s="19" t="inlineStr">
        <is>
          <t>2 – Unlikely</t>
        </is>
      </c>
      <c r="O16" s="30">
        <f>IF(OR(M16="",N16=""),"",INDEX(RiskGrid,6-VALUE(LEFT(M16,1)),VALUE(LEFT(N16,1))))</f>
        <v/>
      </c>
      <c r="P16" s="30">
        <f>IF(O16="","",IF(O16&gt;=BandVH,"Very High",IF(O16&gt;=BandHigh,"High",IF(O16&gt;=BandMed,"Medium","Low"))))</f>
        <v/>
      </c>
      <c r="Q16" s="4" t="inlineStr">
        <is>
          <t>Written purge plan OP-GN-020: N2 purge to O2 &lt; 2 % before gas-in and gas &gt; 90 % at the vent before relight (portable analyser)</t>
        </is>
      </c>
      <c r="R16" s="19" t="inlineStr">
        <is>
          <t>No</t>
        </is>
      </c>
      <c r="S16" s="4" t="inlineStr">
        <is>
          <t>Valve line-up checklist and spectacle-blind register</t>
        </is>
      </c>
      <c r="T16" s="19" t="inlineStr">
        <is>
          <t>No</t>
        </is>
      </c>
      <c r="U16" s="4" t="n"/>
      <c r="V16" s="19" t="n"/>
      <c r="W16" s="4" t="n"/>
      <c r="X16" s="19" t="n"/>
      <c r="Y16" s="4" t="n"/>
      <c r="Z16" s="19" t="n"/>
      <c r="AA16" s="4" t="n"/>
      <c r="AB16" s="19" t="n"/>
      <c r="AC16" s="5">
        <f>_xlfn.TEXTJOIN(CHAR(10),TRUE,IF(Q16="","","• "&amp;Q16&amp;IF(R16="Yes","  [IPL]","")),IF(S16="","","• "&amp;S16&amp;IF(T16="Yes","  [IPL]","")),IF(U16="","","• "&amp;U16&amp;IF(V16="Yes","  [IPL]","")),IF(W16="","","• "&amp;W16&amp;IF(X16="Yes","  [IPL]","")),IF(Y16="","","• "&amp;Y16&amp;IF(Z16="Yes","  [IPL]","")),IF(AA16="","","• "&amp;AA16&amp;IF(AB16="Yes","  [IPL]","")))</f>
        <v/>
      </c>
      <c r="AD16" s="30">
        <f>IF(AC16="","",COUNTIF(Q16:AB16,"Yes"))</f>
        <v/>
      </c>
      <c r="AE16" s="19" t="inlineStr">
        <is>
          <t>5 – Catastrophic</t>
        </is>
      </c>
      <c r="AF16" s="19" t="inlineStr">
        <is>
          <t>1 – Rare</t>
        </is>
      </c>
      <c r="AG16" s="30">
        <f>IF(OR(AE16="",AF16=""),"",INDEX(RiskGrid,6-VALUE(LEFT(AE16,1)),VALUE(LEFT(AF16,1))))</f>
        <v/>
      </c>
      <c r="AH16" s="30">
        <f>IF(AG16="","",IF(AG16&gt;=BandVH,"Very High",IF(AG16&gt;=BandHigh,"High",IF(AG16&gt;=BandMed,"Medium","Low"))))</f>
        <v/>
      </c>
      <c r="AI16" s="4" t="inlineStr">
        <is>
          <t>R-015 Purge plan for every gas-in / gas-out: N2 purge with O2 &lt; 2 % confirmed before gas-in and gas &gt; 90 % confirmed at the vent before relight; calibrated portable analysers.</t>
        </is>
      </c>
      <c r="AJ16" s="4" t="inlineStr">
        <is>
          <t>Operations superintendent</t>
        </is>
      </c>
    </row>
    <row r="17" ht="90" customHeight="1">
      <c r="A17" s="30">
        <f>IF(B17="","",COUNTIF(B$14:B17,"?*"))</f>
        <v/>
      </c>
      <c r="B17" s="4" t="inlineStr">
        <is>
          <t>Corrosion / erosion</t>
        </is>
      </c>
      <c r="C17" s="19" t="inlineStr">
        <is>
          <t>MORE</t>
        </is>
      </c>
      <c r="D17" s="5">
        <f>IF(OR(B17="",C17=""),"",UPPER(LEFT(C17,1))&amp;LOWER(MID(C17,2,30))&amp;" "&amp;LOWER(LEFT(B17,1))&amp;MID(B17,2,200))</f>
        <v/>
      </c>
      <c r="E17" s="4" t="inlineStr">
        <is>
          <t>Internal / external corrosion protection</t>
        </is>
      </c>
      <c r="F17" s="4" t="inlineStr">
        <is>
          <t>Corrosion at pipe supports on the racks</t>
        </is>
      </c>
      <c r="G17" s="4" t="inlineStr">
        <is>
          <t>Cathodic protection arrangements inadequate</t>
        </is>
      </c>
      <c r="H17" s="4" t="n"/>
      <c r="I17" s="4" t="n"/>
      <c r="J17" s="4" t="n"/>
      <c r="K17" s="5">
        <f>_xlfn.TEXTJOIN(CHAR(10),TRUE,IF(E17="","","• "&amp;E17),IF(F17="","","• "&amp;F17),IF(G17="","","• "&amp;G17),IF(H17="","","• "&amp;H17),IF(I17="","","• "&amp;I17),IF(J17="","","• "&amp;J17))</f>
        <v/>
      </c>
      <c r="L17" s="4" t="inlineStr">
        <is>
          <t>Wall loss – leak (as N03-01)
[N03-04] FMECA S03 L-1200 and CP-1200.</t>
        </is>
      </c>
      <c r="M17" s="19" t="inlineStr">
        <is>
          <t>5 – Catastrophic</t>
        </is>
      </c>
      <c r="N17" s="19" t="inlineStr">
        <is>
          <t>3 – Possible</t>
        </is>
      </c>
      <c r="O17" s="30">
        <f>IF(OR(M17="",N17=""),"",INDEX(RiskGrid,6-VALUE(LEFT(M17,1)),VALUE(LEFT(N17,1))))</f>
        <v/>
      </c>
      <c r="P17" s="30">
        <f>IF(O17="","",IF(O17&gt;=BandVH,"Very High",IF(O17&gt;=BandHigh,"High",IF(O17&gt;=BandMed,"Medium","Low"))))</f>
        <v/>
      </c>
      <c r="Q17" s="4" t="inlineStr">
        <is>
          <t>CP-1200 – Coating and impressed-current cathodic protection of buried sections; annual CP / DCVG survey</t>
        </is>
      </c>
      <c r="R17" s="19" t="inlineStr">
        <is>
          <t>No</t>
        </is>
      </c>
      <c r="S17" s="4" t="inlineStr">
        <is>
          <t>Piping inspection programme – thickness monitoring at supports, rack crossings and low points</t>
        </is>
      </c>
      <c r="T17" s="19" t="inlineStr">
        <is>
          <t>No</t>
        </is>
      </c>
      <c r="U17" s="4" t="n"/>
      <c r="V17" s="19" t="n"/>
      <c r="W17" s="4" t="n"/>
      <c r="X17" s="19" t="n"/>
      <c r="Y17" s="4" t="n"/>
      <c r="Z17" s="19" t="n"/>
      <c r="AA17" s="4" t="n"/>
      <c r="AB17" s="19" t="n"/>
      <c r="AC17" s="5">
        <f>_xlfn.TEXTJOIN(CHAR(10),TRUE,IF(Q17="","","• "&amp;Q17&amp;IF(R17="Yes","  [IPL]","")),IF(S17="","","• "&amp;S17&amp;IF(T17="Yes","  [IPL]","")),IF(U17="","","• "&amp;U17&amp;IF(V17="Yes","  [IPL]","")),IF(W17="","","• "&amp;W17&amp;IF(X17="Yes","  [IPL]","")),IF(Y17="","","• "&amp;Y17&amp;IF(Z17="Yes","  [IPL]","")),IF(AA17="","","• "&amp;AA17&amp;IF(AB17="Yes","  [IPL]","")))</f>
        <v/>
      </c>
      <c r="AD17" s="30">
        <f>IF(AC17="","",COUNTIF(Q17:AB17,"Yes"))</f>
        <v/>
      </c>
      <c r="AE17" s="19" t="inlineStr">
        <is>
          <t>5 – Catastrophic</t>
        </is>
      </c>
      <c r="AF17" s="19" t="inlineStr">
        <is>
          <t>2 – Unlikely</t>
        </is>
      </c>
      <c r="AG17" s="30">
        <f>IF(OR(AE17="",AF17=""),"",INDEX(RiskGrid,6-VALUE(LEFT(AE17,1)),VALUE(LEFT(AF17,1))))</f>
        <v/>
      </c>
      <c r="AH17" s="30">
        <f>IF(AG17="","",IF(AG17&gt;=BandVH,"Very High",IF(AG17&gt;=BandHigh,"High",IF(AG17&gt;=BandMed,"Medium","Low"))))</f>
        <v/>
      </c>
      <c r="AI17" s="4" t="inlineStr">
        <is>
          <t>R-009 Include buried gas-line routes in the ground-disturbance permit; mark crossings on site; review crash protection and height gantries at pipe-rack road crossings.</t>
        </is>
      </c>
      <c r="AJ17" s="4" t="inlineStr">
        <is>
          <t>Civil engineer</t>
        </is>
      </c>
    </row>
    <row r="18" ht="90" customHeight="1">
      <c r="A18" s="30">
        <f>IF(B18="","",COUNTIF(B$14:B18,"?*"))</f>
        <v/>
      </c>
      <c r="B18" s="4" t="inlineStr">
        <is>
          <t>Electrical safety / static</t>
        </is>
      </c>
      <c r="C18" s="19" t="inlineStr">
        <is>
          <t>INADEQUATE</t>
        </is>
      </c>
      <c r="D18" s="5">
        <f>IF(OR(B18="",C18=""),"",UPPER(LEFT(C18,1))&amp;LOWER(MID(C18,2,30))&amp;" "&amp;LOWER(LEFT(B18,1))&amp;MID(B18,2,200))</f>
        <v/>
      </c>
      <c r="E18" s="4" t="inlineStr">
        <is>
          <t>EAF / LF high-current systems inducing voltages on nearby pipework</t>
        </is>
      </c>
      <c r="F18" s="4" t="inlineStr">
        <is>
          <t>Insulating joints bypassed; lightning</t>
        </is>
      </c>
      <c r="G18" s="4" t="n"/>
      <c r="H18" s="4" t="n"/>
      <c r="I18" s="4" t="n"/>
      <c r="J18" s="4" t="n"/>
      <c r="K18" s="5">
        <f>_xlfn.TEXTJOIN(CHAR(10),TRUE,IF(E18="","","• "&amp;E18),IF(F18="","","• "&amp;F18),IF(G18="","","• "&amp;G18),IF(H18="","","• "&amp;H18),IF(I18="","","• "&amp;I18),IF(J18="","","• "&amp;J18))</f>
        <v/>
      </c>
      <c r="L18" s="4" t="inlineStr">
        <is>
          <t>Arcing at flanges during maintenance – ignition of a gas release; accelerated stray-current corrosion of buried sections
[N03-05] Steel-works specific – see FMECA S03.</t>
        </is>
      </c>
      <c r="M18" s="19" t="inlineStr">
        <is>
          <t>4 – Major</t>
        </is>
      </c>
      <c r="N18" s="19" t="inlineStr">
        <is>
          <t>3 – Possible</t>
        </is>
      </c>
      <c r="O18" s="30">
        <f>IF(OR(M18="",N18=""),"",INDEX(RiskGrid,6-VALUE(LEFT(M18,1)),VALUE(LEFT(N18,1))))</f>
        <v/>
      </c>
      <c r="P18" s="30">
        <f>IF(O18="","",IF(O18&gt;=BandVH,"Very High",IF(O18&gt;=BandHigh,"High",IF(O18&gt;=BandMed,"Medium","Low"))))</f>
        <v/>
      </c>
      <c r="Q18" s="4" t="inlineStr">
        <is>
          <t>Bonding / earthing of pipe racks, lightning protection and insulating joints at building entries</t>
        </is>
      </c>
      <c r="R18" s="19" t="inlineStr">
        <is>
          <t>No</t>
        </is>
      </c>
      <c r="S18" s="4" t="inlineStr">
        <is>
          <t>CP-1200 – Coating and impressed-current cathodic protection of buried sections; annual CP / DCVG survey</t>
        </is>
      </c>
      <c r="T18" s="19" t="inlineStr">
        <is>
          <t>No</t>
        </is>
      </c>
      <c r="U18" s="4" t="n"/>
      <c r="V18" s="19" t="n"/>
      <c r="W18" s="4" t="n"/>
      <c r="X18" s="19" t="n"/>
      <c r="Y18" s="4" t="n"/>
      <c r="Z18" s="19" t="n"/>
      <c r="AA18" s="4" t="n"/>
      <c r="AB18" s="19" t="n"/>
      <c r="AC18" s="5">
        <f>_xlfn.TEXTJOIN(CHAR(10),TRUE,IF(Q18="","","• "&amp;Q18&amp;IF(R18="Yes","  [IPL]","")),IF(S18="","","• "&amp;S18&amp;IF(T18="Yes","  [IPL]","")),IF(U18="","","• "&amp;U18&amp;IF(V18="Yes","  [IPL]","")),IF(W18="","","• "&amp;W18&amp;IF(X18="Yes","  [IPL]","")),IF(Y18="","","• "&amp;Y18&amp;IF(Z18="Yes","  [IPL]","")),IF(AA18="","","• "&amp;AA18&amp;IF(AB18="Yes","  [IPL]","")))</f>
        <v/>
      </c>
      <c r="AD18" s="30">
        <f>IF(AC18="","",COUNTIF(Q18:AB18,"Yes"))</f>
        <v/>
      </c>
      <c r="AE18" s="19" t="inlineStr">
        <is>
          <t>4 – Major</t>
        </is>
      </c>
      <c r="AF18" s="19" t="inlineStr">
        <is>
          <t>2 – Unlikely</t>
        </is>
      </c>
      <c r="AG18" s="30">
        <f>IF(OR(AE18="",AF18=""),"",INDEX(RiskGrid,6-VALUE(LEFT(AE18,1)),VALUE(LEFT(AF18,1))))</f>
        <v/>
      </c>
      <c r="AH18" s="30">
        <f>IF(AG18="","",IF(AG18&gt;=BandVH,"Very High",IF(AG18&gt;=BandHigh,"High",IF(AG18&gt;=BandMed,"Medium","Low"))))</f>
        <v/>
      </c>
      <c r="AI18" s="4" t="inlineStr">
        <is>
          <t>R-008 Survey stray currents and induced voltages on gas pipework near the EAF / LF high-current systems; verify insulating joints and bonding; include in CP interference testing.</t>
        </is>
      </c>
      <c r="AJ18" s="4" t="inlineStr">
        <is>
          <t>Electrical engineer</t>
        </is>
      </c>
    </row>
    <row r="19" ht="90" customHeight="1">
      <c r="A19" s="30">
        <f>IF(B19="","",COUNTIF(B$14:B19,"?*"))</f>
        <v/>
      </c>
      <c r="B19" s="4" t="inlineStr">
        <is>
          <t>Operator action</t>
        </is>
      </c>
      <c r="C19" s="19" t="inlineStr">
        <is>
          <t>OTHER THAN</t>
        </is>
      </c>
      <c r="D19" s="5">
        <f>IF(OR(B19="",C19=""),"",UPPER(LEFT(C19,1))&amp;LOWER(MID(C19,2,30))&amp;" "&amp;LOWER(LEFT(B19,1))&amp;MID(B19,2,200))</f>
        <v/>
      </c>
      <c r="E19" s="4" t="inlineStr">
        <is>
          <t>Isolation in error (wrong valve closed, LOTO on wrong equipment)</t>
        </is>
      </c>
      <c r="F19" s="4" t="inlineStr">
        <is>
          <t>Valve line-up not checked</t>
        </is>
      </c>
      <c r="G19" s="4" t="n"/>
      <c r="H19" s="4" t="n"/>
      <c r="I19" s="4" t="n"/>
      <c r="J19" s="4" t="n"/>
      <c r="K19" s="5">
        <f>_xlfn.TEXTJOIN(CHAR(10),TRUE,IF(E19="","","• "&amp;E19),IF(F19="","","• "&amp;F19),IF(G19="","","• "&amp;G19),IF(H19="","","• "&amp;H19),IF(I19="","","• "&amp;I19),IF(J19="","","• "&amp;J19))</f>
        <v/>
      </c>
      <c r="L19" s="4" t="inlineStr">
        <is>
          <t>Loss of gas to a whole plant area – flame-outs (as N02-03); maintenance on a section believed isolated but still live
[N03-06]</t>
        </is>
      </c>
      <c r="M19" s="19" t="inlineStr">
        <is>
          <t>4 – Major</t>
        </is>
      </c>
      <c r="N19" s="19" t="inlineStr">
        <is>
          <t>3 – Possible</t>
        </is>
      </c>
      <c r="O19" s="30">
        <f>IF(OR(M19="",N19=""),"",INDEX(RiskGrid,6-VALUE(LEFT(M19,1)),VALUE(LEFT(N19,1))))</f>
        <v/>
      </c>
      <c r="P19" s="30">
        <f>IF(O19="","",IF(O19&gt;=BandVH,"Very High",IF(O19&gt;=BandHigh,"High",IF(O19&gt;=BandMed,"Medium","Low"))))</f>
        <v/>
      </c>
      <c r="Q19" s="4" t="inlineStr">
        <is>
          <t>Valve line-up checklist and spectacle-blind register</t>
        </is>
      </c>
      <c r="R19" s="19" t="inlineStr">
        <is>
          <t>No</t>
        </is>
      </c>
      <c r="S19" s="4" t="inlineStr">
        <is>
          <t>Permit-to-work with isolation verification (DBB / spades), gas-free test and fire watch</t>
        </is>
      </c>
      <c r="T19" s="19" t="inlineStr">
        <is>
          <t>No</t>
        </is>
      </c>
      <c r="U19" s="4" t="inlineStr">
        <is>
          <t>PSLL-2006 / PSLL-4005 – Low-low gas pressure trips in the user burner management systems (reformer, reheat furnace, preheaters)</t>
        </is>
      </c>
      <c r="V19" s="19" t="inlineStr">
        <is>
          <t>Yes</t>
        </is>
      </c>
      <c r="W19" s="4" t="n"/>
      <c r="X19" s="19" t="n"/>
      <c r="Y19" s="4" t="n"/>
      <c r="Z19" s="19" t="n"/>
      <c r="AA19" s="4" t="n"/>
      <c r="AB19" s="19" t="n"/>
      <c r="AC19" s="5">
        <f>_xlfn.TEXTJOIN(CHAR(10),TRUE,IF(Q19="","","• "&amp;Q19&amp;IF(R19="Yes","  [IPL]","")),IF(S19="","","• "&amp;S19&amp;IF(T19="Yes","  [IPL]","")),IF(U19="","","• "&amp;U19&amp;IF(V19="Yes","  [IPL]","")),IF(W19="","","• "&amp;W19&amp;IF(X19="Yes","  [IPL]","")),IF(Y19="","","• "&amp;Y19&amp;IF(Z19="Yes","  [IPL]","")),IF(AA19="","","• "&amp;AA19&amp;IF(AB19="Yes","  [IPL]","")))</f>
        <v/>
      </c>
      <c r="AD19" s="30">
        <f>IF(AC19="","",COUNTIF(Q19:AB19,"Yes"))</f>
        <v/>
      </c>
      <c r="AE19" s="19" t="inlineStr">
        <is>
          <t>4 – Major</t>
        </is>
      </c>
      <c r="AF19" s="19" t="inlineStr">
        <is>
          <t>2 – Unlikely</t>
        </is>
      </c>
      <c r="AG19" s="30">
        <f>IF(OR(AE19="",AF19=""),"",INDEX(RiskGrid,6-VALUE(LEFT(AE19,1)),VALUE(LEFT(AF19,1))))</f>
        <v/>
      </c>
      <c r="AH19" s="30">
        <f>IF(AG19="","",IF(AG19&gt;=BandVH,"Very High",IF(AG19&gt;=BandHigh,"High",IF(AG19&gt;=BandMed,"Medium","Low"))))</f>
        <v/>
      </c>
      <c r="AI19" s="4" t="inlineStr"/>
      <c r="AJ19" s="4" t="inlineStr"/>
    </row>
    <row r="20">
      <c r="A20" s="30">
        <f>IF(B20="","",COUNTIF(B$14:B20,"?*"))</f>
        <v/>
      </c>
      <c r="B20" s="4" t="n"/>
      <c r="C20" s="19" t="n"/>
      <c r="D20" s="5">
        <f>IF(OR(B20="",C20=""),"",UPPER(LEFT(C20,1))&amp;LOWER(MID(C20,2,30))&amp;" "&amp;LOWER(LEFT(B20,1))&amp;MID(B20,2,200))</f>
        <v/>
      </c>
      <c r="E20" s="4" t="n"/>
      <c r="F20" s="4" t="n"/>
      <c r="G20" s="4" t="n"/>
      <c r="H20" s="4" t="n"/>
      <c r="I20" s="4" t="n"/>
      <c r="J20" s="4" t="n"/>
      <c r="K20" s="5">
        <f>_xlfn.TEXTJOIN(CHAR(10),TRUE,IF(E20="","","• "&amp;E20),IF(F20="","","• "&amp;F20),IF(G20="","","• "&amp;G20),IF(H20="","","• "&amp;H20),IF(I20="","","• "&amp;I20),IF(J20="","","• "&amp;J20))</f>
        <v/>
      </c>
      <c r="L20" s="4" t="n"/>
      <c r="M20" s="19" t="n"/>
      <c r="N20" s="19" t="n"/>
      <c r="O20" s="30">
        <f>IF(OR(M20="",N20=""),"",INDEX(RiskGrid,6-VALUE(LEFT(M20,1)),VALUE(LEFT(N20,1))))</f>
        <v/>
      </c>
      <c r="P20" s="30">
        <f>IF(O20="","",IF(O20&gt;=BandVH,"Very High",IF(O20&gt;=BandHigh,"High",IF(O20&gt;=BandMed,"Medium","Low"))))</f>
        <v/>
      </c>
      <c r="Q20" s="4" t="n"/>
      <c r="R20" s="19" t="n"/>
      <c r="S20" s="4" t="n"/>
      <c r="T20" s="19" t="n"/>
      <c r="U20" s="4" t="n"/>
      <c r="V20" s="19" t="n"/>
      <c r="W20" s="4" t="n"/>
      <c r="X20" s="19" t="n"/>
      <c r="Y20" s="4" t="n"/>
      <c r="Z20" s="19" t="n"/>
      <c r="AA20" s="4" t="n"/>
      <c r="AB20" s="19" t="n"/>
      <c r="AC20" s="5">
        <f>_xlfn.TEXTJOIN(CHAR(10),TRUE,IF(Q20="","","• "&amp;Q20&amp;IF(R20="Yes","  [IPL]","")),IF(S20="","","• "&amp;S20&amp;IF(T20="Yes","  [IPL]","")),IF(U20="","","• "&amp;U20&amp;IF(V20="Yes","  [IPL]","")),IF(W20="","","• "&amp;W20&amp;IF(X20="Yes","  [IPL]","")),IF(Y20="","","• "&amp;Y20&amp;IF(Z20="Yes","  [IPL]","")),IF(AA20="","","• "&amp;AA20&amp;IF(AB20="Yes","  [IPL]","")))</f>
        <v/>
      </c>
      <c r="AD20" s="30">
        <f>IF(AC20="","",COUNTIF(Q20:AB20,"Yes"))</f>
        <v/>
      </c>
      <c r="AE20" s="19" t="n"/>
      <c r="AF20" s="19" t="n"/>
      <c r="AG20" s="30">
        <f>IF(OR(AE20="",AF20=""),"",INDEX(RiskGrid,6-VALUE(LEFT(AE20,1)),VALUE(LEFT(AF20,1))))</f>
        <v/>
      </c>
      <c r="AH20" s="30">
        <f>IF(AG20="","",IF(AG20&gt;=BandVH,"Very High",IF(AG20&gt;=BandHigh,"High",IF(AG20&gt;=BandMed,"Medium","Low"))))</f>
        <v/>
      </c>
      <c r="AI20" s="4" t="n"/>
      <c r="AJ20" s="4" t="n"/>
    </row>
    <row r="21">
      <c r="A21" s="30">
        <f>IF(B21="","",COUNTIF(B$14:B21,"?*"))</f>
        <v/>
      </c>
      <c r="B21" s="4" t="n"/>
      <c r="C21" s="19" t="n"/>
      <c r="D21" s="5">
        <f>IF(OR(B21="",C21=""),"",UPPER(LEFT(C21,1))&amp;LOWER(MID(C21,2,30))&amp;" "&amp;LOWER(LEFT(B21,1))&amp;MID(B21,2,200))</f>
        <v/>
      </c>
      <c r="E21" s="4" t="n"/>
      <c r="F21" s="4" t="n"/>
      <c r="G21" s="4" t="n"/>
      <c r="H21" s="4" t="n"/>
      <c r="I21" s="4" t="n"/>
      <c r="J21" s="4" t="n"/>
      <c r="K21" s="5">
        <f>_xlfn.TEXTJOIN(CHAR(10),TRUE,IF(E21="","","• "&amp;E21),IF(F21="","","• "&amp;F21),IF(G21="","","• "&amp;G21),IF(H21="","","• "&amp;H21),IF(I21="","","• "&amp;I21),IF(J21="","","• "&amp;J21))</f>
        <v/>
      </c>
      <c r="L21" s="4" t="n"/>
      <c r="M21" s="19" t="n"/>
      <c r="N21" s="19" t="n"/>
      <c r="O21" s="30">
        <f>IF(OR(M21="",N21=""),"",INDEX(RiskGrid,6-VALUE(LEFT(M21,1)),VALUE(LEFT(N21,1))))</f>
        <v/>
      </c>
      <c r="P21" s="30">
        <f>IF(O21="","",IF(O21&gt;=BandVH,"Very High",IF(O21&gt;=BandHigh,"High",IF(O21&gt;=BandMed,"Medium","Low"))))</f>
        <v/>
      </c>
      <c r="Q21" s="4" t="n"/>
      <c r="R21" s="19" t="n"/>
      <c r="S21" s="4" t="n"/>
      <c r="T21" s="19" t="n"/>
      <c r="U21" s="4" t="n"/>
      <c r="V21" s="19" t="n"/>
      <c r="W21" s="4" t="n"/>
      <c r="X21" s="19" t="n"/>
      <c r="Y21" s="4" t="n"/>
      <c r="Z21" s="19" t="n"/>
      <c r="AA21" s="4" t="n"/>
      <c r="AB21" s="19" t="n"/>
      <c r="AC21" s="5">
        <f>_xlfn.TEXTJOIN(CHAR(10),TRUE,IF(Q21="","","• "&amp;Q21&amp;IF(R21="Yes","  [IPL]","")),IF(S21="","","• "&amp;S21&amp;IF(T21="Yes","  [IPL]","")),IF(U21="","","• "&amp;U21&amp;IF(V21="Yes","  [IPL]","")),IF(W21="","","• "&amp;W21&amp;IF(X21="Yes","  [IPL]","")),IF(Y21="","","• "&amp;Y21&amp;IF(Z21="Yes","  [IPL]","")),IF(AA21="","","• "&amp;AA21&amp;IF(AB21="Yes","  [IPL]","")))</f>
        <v/>
      </c>
      <c r="AD21" s="30">
        <f>IF(AC21="","",COUNTIF(Q21:AB21,"Yes"))</f>
        <v/>
      </c>
      <c r="AE21" s="19" t="n"/>
      <c r="AF21" s="19" t="n"/>
      <c r="AG21" s="30">
        <f>IF(OR(AE21="",AF21=""),"",INDEX(RiskGrid,6-VALUE(LEFT(AE21,1)),VALUE(LEFT(AF21,1))))</f>
        <v/>
      </c>
      <c r="AH21" s="30">
        <f>IF(AG21="","",IF(AG21&gt;=BandVH,"Very High",IF(AG21&gt;=BandHigh,"High",IF(AG21&gt;=BandMed,"Medium","Low"))))</f>
        <v/>
      </c>
      <c r="AI21" s="4" t="n"/>
      <c r="AJ21" s="4" t="n"/>
    </row>
    <row r="22">
      <c r="A22" s="30">
        <f>IF(B22="","",COUNTIF(B$14:B22,"?*"))</f>
        <v/>
      </c>
      <c r="B22" s="4" t="n"/>
      <c r="C22" s="19" t="n"/>
      <c r="D22" s="5">
        <f>IF(OR(B22="",C22=""),"",UPPER(LEFT(C22,1))&amp;LOWER(MID(C22,2,30))&amp;" "&amp;LOWER(LEFT(B22,1))&amp;MID(B22,2,200))</f>
        <v/>
      </c>
      <c r="E22" s="4" t="n"/>
      <c r="F22" s="4" t="n"/>
      <c r="G22" s="4" t="n"/>
      <c r="H22" s="4" t="n"/>
      <c r="I22" s="4" t="n"/>
      <c r="J22" s="4" t="n"/>
      <c r="K22" s="5">
        <f>_xlfn.TEXTJOIN(CHAR(10),TRUE,IF(E22="","","• "&amp;E22),IF(F22="","","• "&amp;F22),IF(G22="","","• "&amp;G22),IF(H22="","","• "&amp;H22),IF(I22="","","• "&amp;I22),IF(J22="","","• "&amp;J22))</f>
        <v/>
      </c>
      <c r="L22" s="4" t="n"/>
      <c r="M22" s="19" t="n"/>
      <c r="N22" s="19" t="n"/>
      <c r="O22" s="30">
        <f>IF(OR(M22="",N22=""),"",INDEX(RiskGrid,6-VALUE(LEFT(M22,1)),VALUE(LEFT(N22,1))))</f>
        <v/>
      </c>
      <c r="P22" s="30">
        <f>IF(O22="","",IF(O22&gt;=BandVH,"Very High",IF(O22&gt;=BandHigh,"High",IF(O22&gt;=BandMed,"Medium","Low"))))</f>
        <v/>
      </c>
      <c r="Q22" s="4" t="n"/>
      <c r="R22" s="19" t="n"/>
      <c r="S22" s="4" t="n"/>
      <c r="T22" s="19" t="n"/>
      <c r="U22" s="4" t="n"/>
      <c r="V22" s="19" t="n"/>
      <c r="W22" s="4" t="n"/>
      <c r="X22" s="19" t="n"/>
      <c r="Y22" s="4" t="n"/>
      <c r="Z22" s="19" t="n"/>
      <c r="AA22" s="4" t="n"/>
      <c r="AB22" s="19" t="n"/>
      <c r="AC22" s="5">
        <f>_xlfn.TEXTJOIN(CHAR(10),TRUE,IF(Q22="","","• "&amp;Q22&amp;IF(R22="Yes","  [IPL]","")),IF(S22="","","• "&amp;S22&amp;IF(T22="Yes","  [IPL]","")),IF(U22="","","• "&amp;U22&amp;IF(V22="Yes","  [IPL]","")),IF(W22="","","• "&amp;W22&amp;IF(X22="Yes","  [IPL]","")),IF(Y22="","","• "&amp;Y22&amp;IF(Z22="Yes","  [IPL]","")),IF(AA22="","","• "&amp;AA22&amp;IF(AB22="Yes","  [IPL]","")))</f>
        <v/>
      </c>
      <c r="AD22" s="30">
        <f>IF(AC22="","",COUNTIF(Q22:AB22,"Yes"))</f>
        <v/>
      </c>
      <c r="AE22" s="19" t="n"/>
      <c r="AF22" s="19" t="n"/>
      <c r="AG22" s="30">
        <f>IF(OR(AE22="",AF22=""),"",INDEX(RiskGrid,6-VALUE(LEFT(AE22,1)),VALUE(LEFT(AF22,1))))</f>
        <v/>
      </c>
      <c r="AH22" s="30">
        <f>IF(AG22="","",IF(AG22&gt;=BandVH,"Very High",IF(AG22&gt;=BandHigh,"High",IF(AG22&gt;=BandMed,"Medium","Low"))))</f>
        <v/>
      </c>
      <c r="AI22" s="4" t="n"/>
      <c r="AJ22" s="4" t="n"/>
    </row>
    <row r="23">
      <c r="A23" s="30">
        <f>IF(B23="","",COUNTIF(B$14:B23,"?*"))</f>
        <v/>
      </c>
      <c r="B23" s="4" t="n"/>
      <c r="C23" s="19" t="n"/>
      <c r="D23" s="5">
        <f>IF(OR(B23="",C23=""),"",UPPER(LEFT(C23,1))&amp;LOWER(MID(C23,2,30))&amp;" "&amp;LOWER(LEFT(B23,1))&amp;MID(B23,2,200))</f>
        <v/>
      </c>
      <c r="E23" s="4" t="n"/>
      <c r="F23" s="4" t="n"/>
      <c r="G23" s="4" t="n"/>
      <c r="H23" s="4" t="n"/>
      <c r="I23" s="4" t="n"/>
      <c r="J23" s="4" t="n"/>
      <c r="K23" s="5">
        <f>_xlfn.TEXTJOIN(CHAR(10),TRUE,IF(E23="","","• "&amp;E23),IF(F23="","","• "&amp;F23),IF(G23="","","• "&amp;G23),IF(H23="","","• "&amp;H23),IF(I23="","","• "&amp;I23),IF(J23="","","• "&amp;J23))</f>
        <v/>
      </c>
      <c r="L23" s="4" t="n"/>
      <c r="M23" s="19" t="n"/>
      <c r="N23" s="19" t="n"/>
      <c r="O23" s="30">
        <f>IF(OR(M23="",N23=""),"",INDEX(RiskGrid,6-VALUE(LEFT(M23,1)),VALUE(LEFT(N23,1))))</f>
        <v/>
      </c>
      <c r="P23" s="30">
        <f>IF(O23="","",IF(O23&gt;=BandVH,"Very High",IF(O23&gt;=BandHigh,"High",IF(O23&gt;=BandMed,"Medium","Low"))))</f>
        <v/>
      </c>
      <c r="Q23" s="4" t="n"/>
      <c r="R23" s="19" t="n"/>
      <c r="S23" s="4" t="n"/>
      <c r="T23" s="19" t="n"/>
      <c r="U23" s="4" t="n"/>
      <c r="V23" s="19" t="n"/>
      <c r="W23" s="4" t="n"/>
      <c r="X23" s="19" t="n"/>
      <c r="Y23" s="4" t="n"/>
      <c r="Z23" s="19" t="n"/>
      <c r="AA23" s="4" t="n"/>
      <c r="AB23" s="19" t="n"/>
      <c r="AC23" s="5">
        <f>_xlfn.TEXTJOIN(CHAR(10),TRUE,IF(Q23="","","• "&amp;Q23&amp;IF(R23="Yes","  [IPL]","")),IF(S23="","","• "&amp;S23&amp;IF(T23="Yes","  [IPL]","")),IF(U23="","","• "&amp;U23&amp;IF(V23="Yes","  [IPL]","")),IF(W23="","","• "&amp;W23&amp;IF(X23="Yes","  [IPL]","")),IF(Y23="","","• "&amp;Y23&amp;IF(Z23="Yes","  [IPL]","")),IF(AA23="","","• "&amp;AA23&amp;IF(AB23="Yes","  [IPL]","")))</f>
        <v/>
      </c>
      <c r="AD23" s="30">
        <f>IF(AC23="","",COUNTIF(Q23:AB23,"Yes"))</f>
        <v/>
      </c>
      <c r="AE23" s="19" t="n"/>
      <c r="AF23" s="19" t="n"/>
      <c r="AG23" s="30">
        <f>IF(OR(AE23="",AF23=""),"",INDEX(RiskGrid,6-VALUE(LEFT(AE23,1)),VALUE(LEFT(AF23,1))))</f>
        <v/>
      </c>
      <c r="AH23" s="30">
        <f>IF(AG23="","",IF(AG23&gt;=BandVH,"Very High",IF(AG23&gt;=BandHigh,"High",IF(AG23&gt;=BandMed,"Medium","Low"))))</f>
        <v/>
      </c>
      <c r="AI23" s="4" t="n"/>
      <c r="AJ23" s="4" t="n"/>
    </row>
    <row r="24">
      <c r="A24" s="30">
        <f>IF(B24="","",COUNTIF(B$14:B24,"?*"))</f>
        <v/>
      </c>
      <c r="B24" s="4" t="n"/>
      <c r="C24" s="19" t="n"/>
      <c r="D24" s="5">
        <f>IF(OR(B24="",C24=""),"",UPPER(LEFT(C24,1))&amp;LOWER(MID(C24,2,30))&amp;" "&amp;LOWER(LEFT(B24,1))&amp;MID(B24,2,200))</f>
        <v/>
      </c>
      <c r="E24" s="4" t="n"/>
      <c r="F24" s="4" t="n"/>
      <c r="G24" s="4" t="n"/>
      <c r="H24" s="4" t="n"/>
      <c r="I24" s="4" t="n"/>
      <c r="J24" s="4" t="n"/>
      <c r="K24" s="5">
        <f>_xlfn.TEXTJOIN(CHAR(10),TRUE,IF(E24="","","• "&amp;E24),IF(F24="","","• "&amp;F24),IF(G24="","","• "&amp;G24),IF(H24="","","• "&amp;H24),IF(I24="","","• "&amp;I24),IF(J24="","","• "&amp;J24))</f>
        <v/>
      </c>
      <c r="L24" s="4" t="n"/>
      <c r="M24" s="19" t="n"/>
      <c r="N24" s="19" t="n"/>
      <c r="O24" s="30">
        <f>IF(OR(M24="",N24=""),"",INDEX(RiskGrid,6-VALUE(LEFT(M24,1)),VALUE(LEFT(N24,1))))</f>
        <v/>
      </c>
      <c r="P24" s="30">
        <f>IF(O24="","",IF(O24&gt;=BandVH,"Very High",IF(O24&gt;=BandHigh,"High",IF(O24&gt;=BandMed,"Medium","Low"))))</f>
        <v/>
      </c>
      <c r="Q24" s="4" t="n"/>
      <c r="R24" s="19" t="n"/>
      <c r="S24" s="4" t="n"/>
      <c r="T24" s="19" t="n"/>
      <c r="U24" s="4" t="n"/>
      <c r="V24" s="19" t="n"/>
      <c r="W24" s="4" t="n"/>
      <c r="X24" s="19" t="n"/>
      <c r="Y24" s="4" t="n"/>
      <c r="Z24" s="19" t="n"/>
      <c r="AA24" s="4" t="n"/>
      <c r="AB24" s="19" t="n"/>
      <c r="AC24" s="5">
        <f>_xlfn.TEXTJOIN(CHAR(10),TRUE,IF(Q24="","","• "&amp;Q24&amp;IF(R24="Yes","  [IPL]","")),IF(S24="","","• "&amp;S24&amp;IF(T24="Yes","  [IPL]","")),IF(U24="","","• "&amp;U24&amp;IF(V24="Yes","  [IPL]","")),IF(W24="","","• "&amp;W24&amp;IF(X24="Yes","  [IPL]","")),IF(Y24="","","• "&amp;Y24&amp;IF(Z24="Yes","  [IPL]","")),IF(AA24="","","• "&amp;AA24&amp;IF(AB24="Yes","  [IPL]","")))</f>
        <v/>
      </c>
      <c r="AD24" s="30">
        <f>IF(AC24="","",COUNTIF(Q24:AB24,"Yes"))</f>
        <v/>
      </c>
      <c r="AE24" s="19" t="n"/>
      <c r="AF24" s="19" t="n"/>
      <c r="AG24" s="30">
        <f>IF(OR(AE24="",AF24=""),"",INDEX(RiskGrid,6-VALUE(LEFT(AE24,1)),VALUE(LEFT(AF24,1))))</f>
        <v/>
      </c>
      <c r="AH24" s="30">
        <f>IF(AG24="","",IF(AG24&gt;=BandVH,"Very High",IF(AG24&gt;=BandHigh,"High",IF(AG24&gt;=BandMed,"Medium","Low"))))</f>
        <v/>
      </c>
      <c r="AI24" s="4" t="n"/>
      <c r="AJ24" s="4" t="n"/>
    </row>
    <row r="25">
      <c r="A25" s="30">
        <f>IF(B25="","",COUNTIF(B$14:B25,"?*"))</f>
        <v/>
      </c>
      <c r="B25" s="4" t="n"/>
      <c r="C25" s="19" t="n"/>
      <c r="D25" s="5">
        <f>IF(OR(B25="",C25=""),"",UPPER(LEFT(C25,1))&amp;LOWER(MID(C25,2,30))&amp;" "&amp;LOWER(LEFT(B25,1))&amp;MID(B25,2,200))</f>
        <v/>
      </c>
      <c r="E25" s="4" t="n"/>
      <c r="F25" s="4" t="n"/>
      <c r="G25" s="4" t="n"/>
      <c r="H25" s="4" t="n"/>
      <c r="I25" s="4" t="n"/>
      <c r="J25" s="4" t="n"/>
      <c r="K25" s="5">
        <f>_xlfn.TEXTJOIN(CHAR(10),TRUE,IF(E25="","","• "&amp;E25),IF(F25="","","• "&amp;F25),IF(G25="","","• "&amp;G25),IF(H25="","","• "&amp;H25),IF(I25="","","• "&amp;I25),IF(J25="","","• "&amp;J25))</f>
        <v/>
      </c>
      <c r="L25" s="4" t="n"/>
      <c r="M25" s="19" t="n"/>
      <c r="N25" s="19" t="n"/>
      <c r="O25" s="30">
        <f>IF(OR(M25="",N25=""),"",INDEX(RiskGrid,6-VALUE(LEFT(M25,1)),VALUE(LEFT(N25,1))))</f>
        <v/>
      </c>
      <c r="P25" s="30">
        <f>IF(O25="","",IF(O25&gt;=BandVH,"Very High",IF(O25&gt;=BandHigh,"High",IF(O25&gt;=BandMed,"Medium","Low"))))</f>
        <v/>
      </c>
      <c r="Q25" s="4" t="n"/>
      <c r="R25" s="19" t="n"/>
      <c r="S25" s="4" t="n"/>
      <c r="T25" s="19" t="n"/>
      <c r="U25" s="4" t="n"/>
      <c r="V25" s="19" t="n"/>
      <c r="W25" s="4" t="n"/>
      <c r="X25" s="19" t="n"/>
      <c r="Y25" s="4" t="n"/>
      <c r="Z25" s="19" t="n"/>
      <c r="AA25" s="4" t="n"/>
      <c r="AB25" s="19" t="n"/>
      <c r="AC25" s="5">
        <f>_xlfn.TEXTJOIN(CHAR(10),TRUE,IF(Q25="","","• "&amp;Q25&amp;IF(R25="Yes","  [IPL]","")),IF(S25="","","• "&amp;S25&amp;IF(T25="Yes","  [IPL]","")),IF(U25="","","• "&amp;U25&amp;IF(V25="Yes","  [IPL]","")),IF(W25="","","• "&amp;W25&amp;IF(X25="Yes","  [IPL]","")),IF(Y25="","","• "&amp;Y25&amp;IF(Z25="Yes","  [IPL]","")),IF(AA25="","","• "&amp;AA25&amp;IF(AB25="Yes","  [IPL]","")))</f>
        <v/>
      </c>
      <c r="AD25" s="30">
        <f>IF(AC25="","",COUNTIF(Q25:AB25,"Yes"))</f>
        <v/>
      </c>
      <c r="AE25" s="19" t="n"/>
      <c r="AF25" s="19" t="n"/>
      <c r="AG25" s="30">
        <f>IF(OR(AE25="",AF25=""),"",INDEX(RiskGrid,6-VALUE(LEFT(AE25,1)),VALUE(LEFT(AF25,1))))</f>
        <v/>
      </c>
      <c r="AH25" s="30">
        <f>IF(AG25="","",IF(AG25&gt;=BandVH,"Very High",IF(AG25&gt;=BandHigh,"High",IF(AG25&gt;=BandMed,"Medium","Low"))))</f>
        <v/>
      </c>
      <c r="AI25" s="4" t="n"/>
      <c r="AJ25" s="4" t="n"/>
    </row>
    <row r="26">
      <c r="A26" s="30">
        <f>IF(B26="","",COUNTIF(B$14:B26,"?*"))</f>
        <v/>
      </c>
      <c r="B26" s="4" t="n"/>
      <c r="C26" s="19" t="n"/>
      <c r="D26" s="5">
        <f>IF(OR(B26="",C26=""),"",UPPER(LEFT(C26,1))&amp;LOWER(MID(C26,2,30))&amp;" "&amp;LOWER(LEFT(B26,1))&amp;MID(B26,2,200))</f>
        <v/>
      </c>
      <c r="E26" s="4" t="n"/>
      <c r="F26" s="4" t="n"/>
      <c r="G26" s="4" t="n"/>
      <c r="H26" s="4" t="n"/>
      <c r="I26" s="4" t="n"/>
      <c r="J26" s="4" t="n"/>
      <c r="K26" s="5">
        <f>_xlfn.TEXTJOIN(CHAR(10),TRUE,IF(E26="","","• "&amp;E26),IF(F26="","","• "&amp;F26),IF(G26="","","• "&amp;G26),IF(H26="","","• "&amp;H26),IF(I26="","","• "&amp;I26),IF(J26="","","• "&amp;J26))</f>
        <v/>
      </c>
      <c r="L26" s="4" t="n"/>
      <c r="M26" s="19" t="n"/>
      <c r="N26" s="19" t="n"/>
      <c r="O26" s="30">
        <f>IF(OR(M26="",N26=""),"",INDEX(RiskGrid,6-VALUE(LEFT(M26,1)),VALUE(LEFT(N26,1))))</f>
        <v/>
      </c>
      <c r="P26" s="30">
        <f>IF(O26="","",IF(O26&gt;=BandVH,"Very High",IF(O26&gt;=BandHigh,"High",IF(O26&gt;=BandMed,"Medium","Low"))))</f>
        <v/>
      </c>
      <c r="Q26" s="4" t="n"/>
      <c r="R26" s="19" t="n"/>
      <c r="S26" s="4" t="n"/>
      <c r="T26" s="19" t="n"/>
      <c r="U26" s="4" t="n"/>
      <c r="V26" s="19" t="n"/>
      <c r="W26" s="4" t="n"/>
      <c r="X26" s="19" t="n"/>
      <c r="Y26" s="4" t="n"/>
      <c r="Z26" s="19" t="n"/>
      <c r="AA26" s="4" t="n"/>
      <c r="AB26" s="19" t="n"/>
      <c r="AC26" s="5">
        <f>_xlfn.TEXTJOIN(CHAR(10),TRUE,IF(Q26="","","• "&amp;Q26&amp;IF(R26="Yes","  [IPL]","")),IF(S26="","","• "&amp;S26&amp;IF(T26="Yes","  [IPL]","")),IF(U26="","","• "&amp;U26&amp;IF(V26="Yes","  [IPL]","")),IF(W26="","","• "&amp;W26&amp;IF(X26="Yes","  [IPL]","")),IF(Y26="","","• "&amp;Y26&amp;IF(Z26="Yes","  [IPL]","")),IF(AA26="","","• "&amp;AA26&amp;IF(AB26="Yes","  [IPL]","")))</f>
        <v/>
      </c>
      <c r="AD26" s="30">
        <f>IF(AC26="","",COUNTIF(Q26:AB26,"Yes"))</f>
        <v/>
      </c>
      <c r="AE26" s="19" t="n"/>
      <c r="AF26" s="19" t="n"/>
      <c r="AG26" s="30">
        <f>IF(OR(AE26="",AF26=""),"",INDEX(RiskGrid,6-VALUE(LEFT(AE26,1)),VALUE(LEFT(AF26,1))))</f>
        <v/>
      </c>
      <c r="AH26" s="30">
        <f>IF(AG26="","",IF(AG26&gt;=BandVH,"Very High",IF(AG26&gt;=BandHigh,"High",IF(AG26&gt;=BandMed,"Medium","Low"))))</f>
        <v/>
      </c>
      <c r="AI26" s="4" t="n"/>
      <c r="AJ26" s="4" t="n"/>
    </row>
    <row r="27">
      <c r="A27" s="30">
        <f>IF(B27="","",COUNTIF(B$14:B27,"?*"))</f>
        <v/>
      </c>
      <c r="B27" s="4" t="n"/>
      <c r="C27" s="19" t="n"/>
      <c r="D27" s="5">
        <f>IF(OR(B27="",C27=""),"",UPPER(LEFT(C27,1))&amp;LOWER(MID(C27,2,30))&amp;" "&amp;LOWER(LEFT(B27,1))&amp;MID(B27,2,200))</f>
        <v/>
      </c>
      <c r="E27" s="4" t="n"/>
      <c r="F27" s="4" t="n"/>
      <c r="G27" s="4" t="n"/>
      <c r="H27" s="4" t="n"/>
      <c r="I27" s="4" t="n"/>
      <c r="J27" s="4" t="n"/>
      <c r="K27" s="5">
        <f>_xlfn.TEXTJOIN(CHAR(10),TRUE,IF(E27="","","• "&amp;E27),IF(F27="","","• "&amp;F27),IF(G27="","","• "&amp;G27),IF(H27="","","• "&amp;H27),IF(I27="","","• "&amp;I27),IF(J27="","","• "&amp;J27))</f>
        <v/>
      </c>
      <c r="L27" s="4" t="n"/>
      <c r="M27" s="19" t="n"/>
      <c r="N27" s="19" t="n"/>
      <c r="O27" s="30">
        <f>IF(OR(M27="",N27=""),"",INDEX(RiskGrid,6-VALUE(LEFT(M27,1)),VALUE(LEFT(N27,1))))</f>
        <v/>
      </c>
      <c r="P27" s="30">
        <f>IF(O27="","",IF(O27&gt;=BandVH,"Very High",IF(O27&gt;=BandHigh,"High",IF(O27&gt;=BandMed,"Medium","Low"))))</f>
        <v/>
      </c>
      <c r="Q27" s="4" t="n"/>
      <c r="R27" s="19" t="n"/>
      <c r="S27" s="4" t="n"/>
      <c r="T27" s="19" t="n"/>
      <c r="U27" s="4" t="n"/>
      <c r="V27" s="19" t="n"/>
      <c r="W27" s="4" t="n"/>
      <c r="X27" s="19" t="n"/>
      <c r="Y27" s="4" t="n"/>
      <c r="Z27" s="19" t="n"/>
      <c r="AA27" s="4" t="n"/>
      <c r="AB27" s="19" t="n"/>
      <c r="AC27" s="5">
        <f>_xlfn.TEXTJOIN(CHAR(10),TRUE,IF(Q27="","","• "&amp;Q27&amp;IF(R27="Yes","  [IPL]","")),IF(S27="","","• "&amp;S27&amp;IF(T27="Yes","  [IPL]","")),IF(U27="","","• "&amp;U27&amp;IF(V27="Yes","  [IPL]","")),IF(W27="","","• "&amp;W27&amp;IF(X27="Yes","  [IPL]","")),IF(Y27="","","• "&amp;Y27&amp;IF(Z27="Yes","  [IPL]","")),IF(AA27="","","• "&amp;AA27&amp;IF(AB27="Yes","  [IPL]","")))</f>
        <v/>
      </c>
      <c r="AD27" s="30">
        <f>IF(AC27="","",COUNTIF(Q27:AB27,"Yes"))</f>
        <v/>
      </c>
      <c r="AE27" s="19" t="n"/>
      <c r="AF27" s="19" t="n"/>
      <c r="AG27" s="30">
        <f>IF(OR(AE27="",AF27=""),"",INDEX(RiskGrid,6-VALUE(LEFT(AE27,1)),VALUE(LEFT(AF27,1))))</f>
        <v/>
      </c>
      <c r="AH27" s="30">
        <f>IF(AG27="","",IF(AG27&gt;=BandVH,"Very High",IF(AG27&gt;=BandHigh,"High",IF(AG27&gt;=BandMed,"Medium","Low"))))</f>
        <v/>
      </c>
      <c r="AI27" s="4" t="n"/>
      <c r="AJ27" s="4" t="n"/>
    </row>
    <row r="28">
      <c r="A28" s="30">
        <f>IF(B28="","",COUNTIF(B$14:B28,"?*"))</f>
        <v/>
      </c>
      <c r="B28" s="4" t="n"/>
      <c r="C28" s="19" t="n"/>
      <c r="D28" s="5">
        <f>IF(OR(B28="",C28=""),"",UPPER(LEFT(C28,1))&amp;LOWER(MID(C28,2,30))&amp;" "&amp;LOWER(LEFT(B28,1))&amp;MID(B28,2,200))</f>
        <v/>
      </c>
      <c r="E28" s="4" t="n"/>
      <c r="F28" s="4" t="n"/>
      <c r="G28" s="4" t="n"/>
      <c r="H28" s="4" t="n"/>
      <c r="I28" s="4" t="n"/>
      <c r="J28" s="4" t="n"/>
      <c r="K28" s="5">
        <f>_xlfn.TEXTJOIN(CHAR(10),TRUE,IF(E28="","","• "&amp;E28),IF(F28="","","• "&amp;F28),IF(G28="","","• "&amp;G28),IF(H28="","","• "&amp;H28),IF(I28="","","• "&amp;I28),IF(J28="","","• "&amp;J28))</f>
        <v/>
      </c>
      <c r="L28" s="4" t="n"/>
      <c r="M28" s="19" t="n"/>
      <c r="N28" s="19" t="n"/>
      <c r="O28" s="30">
        <f>IF(OR(M28="",N28=""),"",INDEX(RiskGrid,6-VALUE(LEFT(M28,1)),VALUE(LEFT(N28,1))))</f>
        <v/>
      </c>
      <c r="P28" s="30">
        <f>IF(O28="","",IF(O28&gt;=BandVH,"Very High",IF(O28&gt;=BandHigh,"High",IF(O28&gt;=BandMed,"Medium","Low"))))</f>
        <v/>
      </c>
      <c r="Q28" s="4" t="n"/>
      <c r="R28" s="19" t="n"/>
      <c r="S28" s="4" t="n"/>
      <c r="T28" s="19" t="n"/>
      <c r="U28" s="4" t="n"/>
      <c r="V28" s="19" t="n"/>
      <c r="W28" s="4" t="n"/>
      <c r="X28" s="19" t="n"/>
      <c r="Y28" s="4" t="n"/>
      <c r="Z28" s="19" t="n"/>
      <c r="AA28" s="4" t="n"/>
      <c r="AB28" s="19" t="n"/>
      <c r="AC28" s="5">
        <f>_xlfn.TEXTJOIN(CHAR(10),TRUE,IF(Q28="","","• "&amp;Q28&amp;IF(R28="Yes","  [IPL]","")),IF(S28="","","• "&amp;S28&amp;IF(T28="Yes","  [IPL]","")),IF(U28="","","• "&amp;U28&amp;IF(V28="Yes","  [IPL]","")),IF(W28="","","• "&amp;W28&amp;IF(X28="Yes","  [IPL]","")),IF(Y28="","","• "&amp;Y28&amp;IF(Z28="Yes","  [IPL]","")),IF(AA28="","","• "&amp;AA28&amp;IF(AB28="Yes","  [IPL]","")))</f>
        <v/>
      </c>
      <c r="AD28" s="30">
        <f>IF(AC28="","",COUNTIF(Q28:AB28,"Yes"))</f>
        <v/>
      </c>
      <c r="AE28" s="19" t="n"/>
      <c r="AF28" s="19" t="n"/>
      <c r="AG28" s="30">
        <f>IF(OR(AE28="",AF28=""),"",INDEX(RiskGrid,6-VALUE(LEFT(AE28,1)),VALUE(LEFT(AF28,1))))</f>
        <v/>
      </c>
      <c r="AH28" s="30">
        <f>IF(AG28="","",IF(AG28&gt;=BandVH,"Very High",IF(AG28&gt;=BandHigh,"High",IF(AG28&gt;=BandMed,"Medium","Low"))))</f>
        <v/>
      </c>
      <c r="AI28" s="4" t="n"/>
      <c r="AJ28" s="4" t="n"/>
    </row>
    <row r="29">
      <c r="A29" s="30">
        <f>IF(B29="","",COUNTIF(B$14:B29,"?*"))</f>
        <v/>
      </c>
      <c r="B29" s="4" t="n"/>
      <c r="C29" s="19" t="n"/>
      <c r="D29" s="5">
        <f>IF(OR(B29="",C29=""),"",UPPER(LEFT(C29,1))&amp;LOWER(MID(C29,2,30))&amp;" "&amp;LOWER(LEFT(B29,1))&amp;MID(B29,2,200))</f>
        <v/>
      </c>
      <c r="E29" s="4" t="n"/>
      <c r="F29" s="4" t="n"/>
      <c r="G29" s="4" t="n"/>
      <c r="H29" s="4" t="n"/>
      <c r="I29" s="4" t="n"/>
      <c r="J29" s="4" t="n"/>
      <c r="K29" s="5">
        <f>_xlfn.TEXTJOIN(CHAR(10),TRUE,IF(E29="","","• "&amp;E29),IF(F29="","","• "&amp;F29),IF(G29="","","• "&amp;G29),IF(H29="","","• "&amp;H29),IF(I29="","","• "&amp;I29),IF(J29="","","• "&amp;J29))</f>
        <v/>
      </c>
      <c r="L29" s="4" t="n"/>
      <c r="M29" s="19" t="n"/>
      <c r="N29" s="19" t="n"/>
      <c r="O29" s="30">
        <f>IF(OR(M29="",N29=""),"",INDEX(RiskGrid,6-VALUE(LEFT(M29,1)),VALUE(LEFT(N29,1))))</f>
        <v/>
      </c>
      <c r="P29" s="30">
        <f>IF(O29="","",IF(O29&gt;=BandVH,"Very High",IF(O29&gt;=BandHigh,"High",IF(O29&gt;=BandMed,"Medium","Low"))))</f>
        <v/>
      </c>
      <c r="Q29" s="4" t="n"/>
      <c r="R29" s="19" t="n"/>
      <c r="S29" s="4" t="n"/>
      <c r="T29" s="19" t="n"/>
      <c r="U29" s="4" t="n"/>
      <c r="V29" s="19" t="n"/>
      <c r="W29" s="4" t="n"/>
      <c r="X29" s="19" t="n"/>
      <c r="Y29" s="4" t="n"/>
      <c r="Z29" s="19" t="n"/>
      <c r="AA29" s="4" t="n"/>
      <c r="AB29" s="19" t="n"/>
      <c r="AC29" s="5">
        <f>_xlfn.TEXTJOIN(CHAR(10),TRUE,IF(Q29="","","• "&amp;Q29&amp;IF(R29="Yes","  [IPL]","")),IF(S29="","","• "&amp;S29&amp;IF(T29="Yes","  [IPL]","")),IF(U29="","","• "&amp;U29&amp;IF(V29="Yes","  [IPL]","")),IF(W29="","","• "&amp;W29&amp;IF(X29="Yes","  [IPL]","")),IF(Y29="","","• "&amp;Y29&amp;IF(Z29="Yes","  [IPL]","")),IF(AA29="","","• "&amp;AA29&amp;IF(AB29="Yes","  [IPL]","")))</f>
        <v/>
      </c>
      <c r="AD29" s="30">
        <f>IF(AC29="","",COUNTIF(Q29:AB29,"Yes"))</f>
        <v/>
      </c>
      <c r="AE29" s="19" t="n"/>
      <c r="AF29" s="19" t="n"/>
      <c r="AG29" s="30">
        <f>IF(OR(AE29="",AF29=""),"",INDEX(RiskGrid,6-VALUE(LEFT(AE29,1)),VALUE(LEFT(AF29,1))))</f>
        <v/>
      </c>
      <c r="AH29" s="30">
        <f>IF(AG29="","",IF(AG29&gt;=BandVH,"Very High",IF(AG29&gt;=BandHigh,"High",IF(AG29&gt;=BandMed,"Medium","Low"))))</f>
        <v/>
      </c>
      <c r="AI29" s="4" t="n"/>
      <c r="AJ29" s="4" t="n"/>
    </row>
    <row r="30">
      <c r="A30" s="30">
        <f>IF(B30="","",COUNTIF(B$14:B30,"?*"))</f>
        <v/>
      </c>
      <c r="B30" s="4" t="n"/>
      <c r="C30" s="19" t="n"/>
      <c r="D30" s="5">
        <f>IF(OR(B30="",C30=""),"",UPPER(LEFT(C30,1))&amp;LOWER(MID(C30,2,30))&amp;" "&amp;LOWER(LEFT(B30,1))&amp;MID(B30,2,200))</f>
        <v/>
      </c>
      <c r="E30" s="4" t="n"/>
      <c r="F30" s="4" t="n"/>
      <c r="G30" s="4" t="n"/>
      <c r="H30" s="4" t="n"/>
      <c r="I30" s="4" t="n"/>
      <c r="J30" s="4" t="n"/>
      <c r="K30" s="5">
        <f>_xlfn.TEXTJOIN(CHAR(10),TRUE,IF(E30="","","• "&amp;E30),IF(F30="","","• "&amp;F30),IF(G30="","","• "&amp;G30),IF(H30="","","• "&amp;H30),IF(I30="","","• "&amp;I30),IF(J30="","","• "&amp;J30))</f>
        <v/>
      </c>
      <c r="L30" s="4" t="n"/>
      <c r="M30" s="19" t="n"/>
      <c r="N30" s="19" t="n"/>
      <c r="O30" s="30">
        <f>IF(OR(M30="",N30=""),"",INDEX(RiskGrid,6-VALUE(LEFT(M30,1)),VALUE(LEFT(N30,1))))</f>
        <v/>
      </c>
      <c r="P30" s="30">
        <f>IF(O30="","",IF(O30&gt;=BandVH,"Very High",IF(O30&gt;=BandHigh,"High",IF(O30&gt;=BandMed,"Medium","Low"))))</f>
        <v/>
      </c>
      <c r="Q30" s="4" t="n"/>
      <c r="R30" s="19" t="n"/>
      <c r="S30" s="4" t="n"/>
      <c r="T30" s="19" t="n"/>
      <c r="U30" s="4" t="n"/>
      <c r="V30" s="19" t="n"/>
      <c r="W30" s="4" t="n"/>
      <c r="X30" s="19" t="n"/>
      <c r="Y30" s="4" t="n"/>
      <c r="Z30" s="19" t="n"/>
      <c r="AA30" s="4" t="n"/>
      <c r="AB30" s="19" t="n"/>
      <c r="AC30" s="5">
        <f>_xlfn.TEXTJOIN(CHAR(10),TRUE,IF(Q30="","","• "&amp;Q30&amp;IF(R30="Yes","  [IPL]","")),IF(S30="","","• "&amp;S30&amp;IF(T30="Yes","  [IPL]","")),IF(U30="","","• "&amp;U30&amp;IF(V30="Yes","  [IPL]","")),IF(W30="","","• "&amp;W30&amp;IF(X30="Yes","  [IPL]","")),IF(Y30="","","• "&amp;Y30&amp;IF(Z30="Yes","  [IPL]","")),IF(AA30="","","• "&amp;AA30&amp;IF(AB30="Yes","  [IPL]","")))</f>
        <v/>
      </c>
      <c r="AD30" s="30">
        <f>IF(AC30="","",COUNTIF(Q30:AB30,"Yes"))</f>
        <v/>
      </c>
      <c r="AE30" s="19" t="n"/>
      <c r="AF30" s="19" t="n"/>
      <c r="AG30" s="30">
        <f>IF(OR(AE30="",AF30=""),"",INDEX(RiskGrid,6-VALUE(LEFT(AE30,1)),VALUE(LEFT(AF30,1))))</f>
        <v/>
      </c>
      <c r="AH30" s="30">
        <f>IF(AG30="","",IF(AG30&gt;=BandVH,"Very High",IF(AG30&gt;=BandHigh,"High",IF(AG30&gt;=BandMed,"Medium","Low"))))</f>
        <v/>
      </c>
      <c r="AI30" s="4" t="n"/>
      <c r="AJ30" s="4" t="n"/>
    </row>
    <row r="31">
      <c r="A31" s="30">
        <f>IF(B31="","",COUNTIF(B$14:B31,"?*"))</f>
        <v/>
      </c>
      <c r="B31" s="4" t="n"/>
      <c r="C31" s="19" t="n"/>
      <c r="D31" s="5">
        <f>IF(OR(B31="",C31=""),"",UPPER(LEFT(C31,1))&amp;LOWER(MID(C31,2,30))&amp;" "&amp;LOWER(LEFT(B31,1))&amp;MID(B31,2,200))</f>
        <v/>
      </c>
      <c r="E31" s="4" t="n"/>
      <c r="F31" s="4" t="n"/>
      <c r="G31" s="4" t="n"/>
      <c r="H31" s="4" t="n"/>
      <c r="I31" s="4" t="n"/>
      <c r="J31" s="4" t="n"/>
      <c r="K31" s="5">
        <f>_xlfn.TEXTJOIN(CHAR(10),TRUE,IF(E31="","","• "&amp;E31),IF(F31="","","• "&amp;F31),IF(G31="","","• "&amp;G31),IF(H31="","","• "&amp;H31),IF(I31="","","• "&amp;I31),IF(J31="","","• "&amp;J31))</f>
        <v/>
      </c>
      <c r="L31" s="4" t="n"/>
      <c r="M31" s="19" t="n"/>
      <c r="N31" s="19" t="n"/>
      <c r="O31" s="30">
        <f>IF(OR(M31="",N31=""),"",INDEX(RiskGrid,6-VALUE(LEFT(M31,1)),VALUE(LEFT(N31,1))))</f>
        <v/>
      </c>
      <c r="P31" s="30">
        <f>IF(O31="","",IF(O31&gt;=BandVH,"Very High",IF(O31&gt;=BandHigh,"High",IF(O31&gt;=BandMed,"Medium","Low"))))</f>
        <v/>
      </c>
      <c r="Q31" s="4" t="n"/>
      <c r="R31" s="19" t="n"/>
      <c r="S31" s="4" t="n"/>
      <c r="T31" s="19" t="n"/>
      <c r="U31" s="4" t="n"/>
      <c r="V31" s="19" t="n"/>
      <c r="W31" s="4" t="n"/>
      <c r="X31" s="19" t="n"/>
      <c r="Y31" s="4" t="n"/>
      <c r="Z31" s="19" t="n"/>
      <c r="AA31" s="4" t="n"/>
      <c r="AB31" s="19" t="n"/>
      <c r="AC31" s="5">
        <f>_xlfn.TEXTJOIN(CHAR(10),TRUE,IF(Q31="","","• "&amp;Q31&amp;IF(R31="Yes","  [IPL]","")),IF(S31="","","• "&amp;S31&amp;IF(T31="Yes","  [IPL]","")),IF(U31="","","• "&amp;U31&amp;IF(V31="Yes","  [IPL]","")),IF(W31="","","• "&amp;W31&amp;IF(X31="Yes","  [IPL]","")),IF(Y31="","","• "&amp;Y31&amp;IF(Z31="Yes","  [IPL]","")),IF(AA31="","","• "&amp;AA31&amp;IF(AB31="Yes","  [IPL]","")))</f>
        <v/>
      </c>
      <c r="AD31" s="30">
        <f>IF(AC31="","",COUNTIF(Q31:AB31,"Yes"))</f>
        <v/>
      </c>
      <c r="AE31" s="19" t="n"/>
      <c r="AF31" s="19" t="n"/>
      <c r="AG31" s="30">
        <f>IF(OR(AE31="",AF31=""),"",INDEX(RiskGrid,6-VALUE(LEFT(AE31,1)),VALUE(LEFT(AF31,1))))</f>
        <v/>
      </c>
      <c r="AH31" s="30">
        <f>IF(AG31="","",IF(AG31&gt;=BandVH,"Very High",IF(AG31&gt;=BandHigh,"High",IF(AG31&gt;=BandMed,"Medium","Low"))))</f>
        <v/>
      </c>
      <c r="AI31" s="4" t="n"/>
      <c r="AJ31" s="4" t="n"/>
    </row>
    <row r="32">
      <c r="A32" s="30">
        <f>IF(B32="","",COUNTIF(B$14:B32,"?*"))</f>
        <v/>
      </c>
      <c r="B32" s="4" t="n"/>
      <c r="C32" s="19" t="n"/>
      <c r="D32" s="5">
        <f>IF(OR(B32="",C32=""),"",UPPER(LEFT(C32,1))&amp;LOWER(MID(C32,2,30))&amp;" "&amp;LOWER(LEFT(B32,1))&amp;MID(B32,2,200))</f>
        <v/>
      </c>
      <c r="E32" s="4" t="n"/>
      <c r="F32" s="4" t="n"/>
      <c r="G32" s="4" t="n"/>
      <c r="H32" s="4" t="n"/>
      <c r="I32" s="4" t="n"/>
      <c r="J32" s="4" t="n"/>
      <c r="K32" s="5">
        <f>_xlfn.TEXTJOIN(CHAR(10),TRUE,IF(E32="","","• "&amp;E32),IF(F32="","","• "&amp;F32),IF(G32="","","• "&amp;G32),IF(H32="","","• "&amp;H32),IF(I32="","","• "&amp;I32),IF(J32="","","• "&amp;J32))</f>
        <v/>
      </c>
      <c r="L32" s="4" t="n"/>
      <c r="M32" s="19" t="n"/>
      <c r="N32" s="19" t="n"/>
      <c r="O32" s="30">
        <f>IF(OR(M32="",N32=""),"",INDEX(RiskGrid,6-VALUE(LEFT(M32,1)),VALUE(LEFT(N32,1))))</f>
        <v/>
      </c>
      <c r="P32" s="30">
        <f>IF(O32="","",IF(O32&gt;=BandVH,"Very High",IF(O32&gt;=BandHigh,"High",IF(O32&gt;=BandMed,"Medium","Low"))))</f>
        <v/>
      </c>
      <c r="Q32" s="4" t="n"/>
      <c r="R32" s="19" t="n"/>
      <c r="S32" s="4" t="n"/>
      <c r="T32" s="19" t="n"/>
      <c r="U32" s="4" t="n"/>
      <c r="V32" s="19" t="n"/>
      <c r="W32" s="4" t="n"/>
      <c r="X32" s="19" t="n"/>
      <c r="Y32" s="4" t="n"/>
      <c r="Z32" s="19" t="n"/>
      <c r="AA32" s="4" t="n"/>
      <c r="AB32" s="19" t="n"/>
      <c r="AC32" s="5">
        <f>_xlfn.TEXTJOIN(CHAR(10),TRUE,IF(Q32="","","• "&amp;Q32&amp;IF(R32="Yes","  [IPL]","")),IF(S32="","","• "&amp;S32&amp;IF(T32="Yes","  [IPL]","")),IF(U32="","","• "&amp;U32&amp;IF(V32="Yes","  [IPL]","")),IF(W32="","","• "&amp;W32&amp;IF(X32="Yes","  [IPL]","")),IF(Y32="","","• "&amp;Y32&amp;IF(Z32="Yes","  [IPL]","")),IF(AA32="","","• "&amp;AA32&amp;IF(AB32="Yes","  [IPL]","")))</f>
        <v/>
      </c>
      <c r="AD32" s="30">
        <f>IF(AC32="","",COUNTIF(Q32:AB32,"Yes"))</f>
        <v/>
      </c>
      <c r="AE32" s="19" t="n"/>
      <c r="AF32" s="19" t="n"/>
      <c r="AG32" s="30">
        <f>IF(OR(AE32="",AF32=""),"",INDEX(RiskGrid,6-VALUE(LEFT(AE32,1)),VALUE(LEFT(AF32,1))))</f>
        <v/>
      </c>
      <c r="AH32" s="30">
        <f>IF(AG32="","",IF(AG32&gt;=BandVH,"Very High",IF(AG32&gt;=BandHigh,"High",IF(AG32&gt;=BandMed,"Medium","Low"))))</f>
        <v/>
      </c>
      <c r="AI32" s="4" t="n"/>
      <c r="AJ32" s="4" t="n"/>
    </row>
    <row r="33">
      <c r="A33" s="30">
        <f>IF(B33="","",COUNTIF(B$14:B33,"?*"))</f>
        <v/>
      </c>
      <c r="B33" s="4" t="n"/>
      <c r="C33" s="19" t="n"/>
      <c r="D33" s="5">
        <f>IF(OR(B33="",C33=""),"",UPPER(LEFT(C33,1))&amp;LOWER(MID(C33,2,30))&amp;" "&amp;LOWER(LEFT(B33,1))&amp;MID(B33,2,200))</f>
        <v/>
      </c>
      <c r="E33" s="4" t="n"/>
      <c r="F33" s="4" t="n"/>
      <c r="G33" s="4" t="n"/>
      <c r="H33" s="4" t="n"/>
      <c r="I33" s="4" t="n"/>
      <c r="J33" s="4" t="n"/>
      <c r="K33" s="5">
        <f>_xlfn.TEXTJOIN(CHAR(10),TRUE,IF(E33="","","• "&amp;E33),IF(F33="","","• "&amp;F33),IF(G33="","","• "&amp;G33),IF(H33="","","• "&amp;H33),IF(I33="","","• "&amp;I33),IF(J33="","","• "&amp;J33))</f>
        <v/>
      </c>
      <c r="L33" s="4" t="n"/>
      <c r="M33" s="19" t="n"/>
      <c r="N33" s="19" t="n"/>
      <c r="O33" s="30">
        <f>IF(OR(M33="",N33=""),"",INDEX(RiskGrid,6-VALUE(LEFT(M33,1)),VALUE(LEFT(N33,1))))</f>
        <v/>
      </c>
      <c r="P33" s="30">
        <f>IF(O33="","",IF(O33&gt;=BandVH,"Very High",IF(O33&gt;=BandHigh,"High",IF(O33&gt;=BandMed,"Medium","Low"))))</f>
        <v/>
      </c>
      <c r="Q33" s="4" t="n"/>
      <c r="R33" s="19" t="n"/>
      <c r="S33" s="4" t="n"/>
      <c r="T33" s="19" t="n"/>
      <c r="U33" s="4" t="n"/>
      <c r="V33" s="19" t="n"/>
      <c r="W33" s="4" t="n"/>
      <c r="X33" s="19" t="n"/>
      <c r="Y33" s="4" t="n"/>
      <c r="Z33" s="19" t="n"/>
      <c r="AA33" s="4" t="n"/>
      <c r="AB33" s="19" t="n"/>
      <c r="AC33" s="5">
        <f>_xlfn.TEXTJOIN(CHAR(10),TRUE,IF(Q33="","","• "&amp;Q33&amp;IF(R33="Yes","  [IPL]","")),IF(S33="","","• "&amp;S33&amp;IF(T33="Yes","  [IPL]","")),IF(U33="","","• "&amp;U33&amp;IF(V33="Yes","  [IPL]","")),IF(W33="","","• "&amp;W33&amp;IF(X33="Yes","  [IPL]","")),IF(Y33="","","• "&amp;Y33&amp;IF(Z33="Yes","  [IPL]","")),IF(AA33="","","• "&amp;AA33&amp;IF(AB33="Yes","  [IPL]","")))</f>
        <v/>
      </c>
      <c r="AD33" s="30">
        <f>IF(AC33="","",COUNTIF(Q33:AB33,"Yes"))</f>
        <v/>
      </c>
      <c r="AE33" s="19" t="n"/>
      <c r="AF33" s="19" t="n"/>
      <c r="AG33" s="30">
        <f>IF(OR(AE33="",AF33=""),"",INDEX(RiskGrid,6-VALUE(LEFT(AE33,1)),VALUE(LEFT(AF33,1))))</f>
        <v/>
      </c>
      <c r="AH33" s="30">
        <f>IF(AG33="","",IF(AG33&gt;=BandVH,"Very High",IF(AG33&gt;=BandHigh,"High",IF(AG33&gt;=BandMed,"Medium","Low"))))</f>
        <v/>
      </c>
      <c r="AI33" s="4" t="n"/>
      <c r="AJ33" s="4" t="n"/>
    </row>
    <row r="34">
      <c r="A34" s="30">
        <f>IF(B34="","",COUNTIF(B$14:B34,"?*"))</f>
        <v/>
      </c>
      <c r="B34" s="4" t="n"/>
      <c r="C34" s="19" t="n"/>
      <c r="D34" s="5">
        <f>IF(OR(B34="",C34=""),"",UPPER(LEFT(C34,1))&amp;LOWER(MID(C34,2,30))&amp;" "&amp;LOWER(LEFT(B34,1))&amp;MID(B34,2,200))</f>
        <v/>
      </c>
      <c r="E34" s="4" t="n"/>
      <c r="F34" s="4" t="n"/>
      <c r="G34" s="4" t="n"/>
      <c r="H34" s="4" t="n"/>
      <c r="I34" s="4" t="n"/>
      <c r="J34" s="4" t="n"/>
      <c r="K34" s="5">
        <f>_xlfn.TEXTJOIN(CHAR(10),TRUE,IF(E34="","","• "&amp;E34),IF(F34="","","• "&amp;F34),IF(G34="","","• "&amp;G34),IF(H34="","","• "&amp;H34),IF(I34="","","• "&amp;I34),IF(J34="","","• "&amp;J34))</f>
        <v/>
      </c>
      <c r="L34" s="4" t="n"/>
      <c r="M34" s="19" t="n"/>
      <c r="N34" s="19" t="n"/>
      <c r="O34" s="30">
        <f>IF(OR(M34="",N34=""),"",INDEX(RiskGrid,6-VALUE(LEFT(M34,1)),VALUE(LEFT(N34,1))))</f>
        <v/>
      </c>
      <c r="P34" s="30">
        <f>IF(O34="","",IF(O34&gt;=BandVH,"Very High",IF(O34&gt;=BandHigh,"High",IF(O34&gt;=BandMed,"Medium","Low"))))</f>
        <v/>
      </c>
      <c r="Q34" s="4" t="n"/>
      <c r="R34" s="19" t="n"/>
      <c r="S34" s="4" t="n"/>
      <c r="T34" s="19" t="n"/>
      <c r="U34" s="4" t="n"/>
      <c r="V34" s="19" t="n"/>
      <c r="W34" s="4" t="n"/>
      <c r="X34" s="19" t="n"/>
      <c r="Y34" s="4" t="n"/>
      <c r="Z34" s="19" t="n"/>
      <c r="AA34" s="4" t="n"/>
      <c r="AB34" s="19" t="n"/>
      <c r="AC34" s="5">
        <f>_xlfn.TEXTJOIN(CHAR(10),TRUE,IF(Q34="","","• "&amp;Q34&amp;IF(R34="Yes","  [IPL]","")),IF(S34="","","• "&amp;S34&amp;IF(T34="Yes","  [IPL]","")),IF(U34="","","• "&amp;U34&amp;IF(V34="Yes","  [IPL]","")),IF(W34="","","• "&amp;W34&amp;IF(X34="Yes","  [IPL]","")),IF(Y34="","","• "&amp;Y34&amp;IF(Z34="Yes","  [IPL]","")),IF(AA34="","","• "&amp;AA34&amp;IF(AB34="Yes","  [IPL]","")))</f>
        <v/>
      </c>
      <c r="AD34" s="30">
        <f>IF(AC34="","",COUNTIF(Q34:AB34,"Yes"))</f>
        <v/>
      </c>
      <c r="AE34" s="19" t="n"/>
      <c r="AF34" s="19" t="n"/>
      <c r="AG34" s="30">
        <f>IF(OR(AE34="",AF34=""),"",INDEX(RiskGrid,6-VALUE(LEFT(AE34,1)),VALUE(LEFT(AF34,1))))</f>
        <v/>
      </c>
      <c r="AH34" s="30">
        <f>IF(AG34="","",IF(AG34&gt;=BandVH,"Very High",IF(AG34&gt;=BandHigh,"High",IF(AG34&gt;=BandMed,"Medium","Low"))))</f>
        <v/>
      </c>
      <c r="AI34" s="4" t="n"/>
      <c r="AJ34" s="4" t="n"/>
    </row>
    <row r="35">
      <c r="A35" s="30">
        <f>IF(B35="","",COUNTIF(B$14:B35,"?*"))</f>
        <v/>
      </c>
      <c r="B35" s="4" t="n"/>
      <c r="C35" s="19" t="n"/>
      <c r="D35" s="5">
        <f>IF(OR(B35="",C35=""),"",UPPER(LEFT(C35,1))&amp;LOWER(MID(C35,2,30))&amp;" "&amp;LOWER(LEFT(B35,1))&amp;MID(B35,2,200))</f>
        <v/>
      </c>
      <c r="E35" s="4" t="n"/>
      <c r="F35" s="4" t="n"/>
      <c r="G35" s="4" t="n"/>
      <c r="H35" s="4" t="n"/>
      <c r="I35" s="4" t="n"/>
      <c r="J35" s="4" t="n"/>
      <c r="K35" s="5">
        <f>_xlfn.TEXTJOIN(CHAR(10),TRUE,IF(E35="","","• "&amp;E35),IF(F35="","","• "&amp;F35),IF(G35="","","• "&amp;G35),IF(H35="","","• "&amp;H35),IF(I35="","","• "&amp;I35),IF(J35="","","• "&amp;J35))</f>
        <v/>
      </c>
      <c r="L35" s="4" t="n"/>
      <c r="M35" s="19" t="n"/>
      <c r="N35" s="19" t="n"/>
      <c r="O35" s="30">
        <f>IF(OR(M35="",N35=""),"",INDEX(RiskGrid,6-VALUE(LEFT(M35,1)),VALUE(LEFT(N35,1))))</f>
        <v/>
      </c>
      <c r="P35" s="30">
        <f>IF(O35="","",IF(O35&gt;=BandVH,"Very High",IF(O35&gt;=BandHigh,"High",IF(O35&gt;=BandMed,"Medium","Low"))))</f>
        <v/>
      </c>
      <c r="Q35" s="4" t="n"/>
      <c r="R35" s="19" t="n"/>
      <c r="S35" s="4" t="n"/>
      <c r="T35" s="19" t="n"/>
      <c r="U35" s="4" t="n"/>
      <c r="V35" s="19" t="n"/>
      <c r="W35" s="4" t="n"/>
      <c r="X35" s="19" t="n"/>
      <c r="Y35" s="4" t="n"/>
      <c r="Z35" s="19" t="n"/>
      <c r="AA35" s="4" t="n"/>
      <c r="AB35" s="19" t="n"/>
      <c r="AC35" s="5">
        <f>_xlfn.TEXTJOIN(CHAR(10),TRUE,IF(Q35="","","• "&amp;Q35&amp;IF(R35="Yes","  [IPL]","")),IF(S35="","","• "&amp;S35&amp;IF(T35="Yes","  [IPL]","")),IF(U35="","","• "&amp;U35&amp;IF(V35="Yes","  [IPL]","")),IF(W35="","","• "&amp;W35&amp;IF(X35="Yes","  [IPL]","")),IF(Y35="","","• "&amp;Y35&amp;IF(Z35="Yes","  [IPL]","")),IF(AA35="","","• "&amp;AA35&amp;IF(AB35="Yes","  [IPL]","")))</f>
        <v/>
      </c>
      <c r="AD35" s="30">
        <f>IF(AC35="","",COUNTIF(Q35:AB35,"Yes"))</f>
        <v/>
      </c>
      <c r="AE35" s="19" t="n"/>
      <c r="AF35" s="19" t="n"/>
      <c r="AG35" s="30">
        <f>IF(OR(AE35="",AF35=""),"",INDEX(RiskGrid,6-VALUE(LEFT(AE35,1)),VALUE(LEFT(AF35,1))))</f>
        <v/>
      </c>
      <c r="AH35" s="30">
        <f>IF(AG35="","",IF(AG35&gt;=BandVH,"Very High",IF(AG35&gt;=BandHigh,"High",IF(AG35&gt;=BandMed,"Medium","Low"))))</f>
        <v/>
      </c>
      <c r="AI35" s="4" t="n"/>
      <c r="AJ35" s="4" t="n"/>
    </row>
    <row r="36">
      <c r="A36" s="30">
        <f>IF(B36="","",COUNTIF(B$14:B36,"?*"))</f>
        <v/>
      </c>
      <c r="B36" s="4" t="n"/>
      <c r="C36" s="19" t="n"/>
      <c r="D36" s="5">
        <f>IF(OR(B36="",C36=""),"",UPPER(LEFT(C36,1))&amp;LOWER(MID(C36,2,30))&amp;" "&amp;LOWER(LEFT(B36,1))&amp;MID(B36,2,200))</f>
        <v/>
      </c>
      <c r="E36" s="4" t="n"/>
      <c r="F36" s="4" t="n"/>
      <c r="G36" s="4" t="n"/>
      <c r="H36" s="4" t="n"/>
      <c r="I36" s="4" t="n"/>
      <c r="J36" s="4" t="n"/>
      <c r="K36" s="5">
        <f>_xlfn.TEXTJOIN(CHAR(10),TRUE,IF(E36="","","• "&amp;E36),IF(F36="","","• "&amp;F36),IF(G36="","","• "&amp;G36),IF(H36="","","• "&amp;H36),IF(I36="","","• "&amp;I36),IF(J36="","","• "&amp;J36))</f>
        <v/>
      </c>
      <c r="L36" s="4" t="n"/>
      <c r="M36" s="19" t="n"/>
      <c r="N36" s="19" t="n"/>
      <c r="O36" s="30">
        <f>IF(OR(M36="",N36=""),"",INDEX(RiskGrid,6-VALUE(LEFT(M36,1)),VALUE(LEFT(N36,1))))</f>
        <v/>
      </c>
      <c r="P36" s="30">
        <f>IF(O36="","",IF(O36&gt;=BandVH,"Very High",IF(O36&gt;=BandHigh,"High",IF(O36&gt;=BandMed,"Medium","Low"))))</f>
        <v/>
      </c>
      <c r="Q36" s="4" t="n"/>
      <c r="R36" s="19" t="n"/>
      <c r="S36" s="4" t="n"/>
      <c r="T36" s="19" t="n"/>
      <c r="U36" s="4" t="n"/>
      <c r="V36" s="19" t="n"/>
      <c r="W36" s="4" t="n"/>
      <c r="X36" s="19" t="n"/>
      <c r="Y36" s="4" t="n"/>
      <c r="Z36" s="19" t="n"/>
      <c r="AA36" s="4" t="n"/>
      <c r="AB36" s="19" t="n"/>
      <c r="AC36" s="5">
        <f>_xlfn.TEXTJOIN(CHAR(10),TRUE,IF(Q36="","","• "&amp;Q36&amp;IF(R36="Yes","  [IPL]","")),IF(S36="","","• "&amp;S36&amp;IF(T36="Yes","  [IPL]","")),IF(U36="","","• "&amp;U36&amp;IF(V36="Yes","  [IPL]","")),IF(W36="","","• "&amp;W36&amp;IF(X36="Yes","  [IPL]","")),IF(Y36="","","• "&amp;Y36&amp;IF(Z36="Yes","  [IPL]","")),IF(AA36="","","• "&amp;AA36&amp;IF(AB36="Yes","  [IPL]","")))</f>
        <v/>
      </c>
      <c r="AD36" s="30">
        <f>IF(AC36="","",COUNTIF(Q36:AB36,"Yes"))</f>
        <v/>
      </c>
      <c r="AE36" s="19" t="n"/>
      <c r="AF36" s="19" t="n"/>
      <c r="AG36" s="30">
        <f>IF(OR(AE36="",AF36=""),"",INDEX(RiskGrid,6-VALUE(LEFT(AE36,1)),VALUE(LEFT(AF36,1))))</f>
        <v/>
      </c>
      <c r="AH36" s="30">
        <f>IF(AG36="","",IF(AG36&gt;=BandVH,"Very High",IF(AG36&gt;=BandHigh,"High",IF(AG36&gt;=BandMed,"Medium","Low"))))</f>
        <v/>
      </c>
      <c r="AI36" s="4" t="n"/>
      <c r="AJ36" s="4" t="n"/>
    </row>
    <row r="37">
      <c r="A37" s="30">
        <f>IF(B37="","",COUNTIF(B$14:B37,"?*"))</f>
        <v/>
      </c>
      <c r="B37" s="4" t="n"/>
      <c r="C37" s="19" t="n"/>
      <c r="D37" s="5">
        <f>IF(OR(B37="",C37=""),"",UPPER(LEFT(C37,1))&amp;LOWER(MID(C37,2,30))&amp;" "&amp;LOWER(LEFT(B37,1))&amp;MID(B37,2,200))</f>
        <v/>
      </c>
      <c r="E37" s="4" t="n"/>
      <c r="F37" s="4" t="n"/>
      <c r="G37" s="4" t="n"/>
      <c r="H37" s="4" t="n"/>
      <c r="I37" s="4" t="n"/>
      <c r="J37" s="4" t="n"/>
      <c r="K37" s="5">
        <f>_xlfn.TEXTJOIN(CHAR(10),TRUE,IF(E37="","","• "&amp;E37),IF(F37="","","• "&amp;F37),IF(G37="","","• "&amp;G37),IF(H37="","","• "&amp;H37),IF(I37="","","• "&amp;I37),IF(J37="","","• "&amp;J37))</f>
        <v/>
      </c>
      <c r="L37" s="4" t="n"/>
      <c r="M37" s="19" t="n"/>
      <c r="N37" s="19" t="n"/>
      <c r="O37" s="30">
        <f>IF(OR(M37="",N37=""),"",INDEX(RiskGrid,6-VALUE(LEFT(M37,1)),VALUE(LEFT(N37,1))))</f>
        <v/>
      </c>
      <c r="P37" s="30">
        <f>IF(O37="","",IF(O37&gt;=BandVH,"Very High",IF(O37&gt;=BandHigh,"High",IF(O37&gt;=BandMed,"Medium","Low"))))</f>
        <v/>
      </c>
      <c r="Q37" s="4" t="n"/>
      <c r="R37" s="19" t="n"/>
      <c r="S37" s="4" t="n"/>
      <c r="T37" s="19" t="n"/>
      <c r="U37" s="4" t="n"/>
      <c r="V37" s="19" t="n"/>
      <c r="W37" s="4" t="n"/>
      <c r="X37" s="19" t="n"/>
      <c r="Y37" s="4" t="n"/>
      <c r="Z37" s="19" t="n"/>
      <c r="AA37" s="4" t="n"/>
      <c r="AB37" s="19" t="n"/>
      <c r="AC37" s="5">
        <f>_xlfn.TEXTJOIN(CHAR(10),TRUE,IF(Q37="","","• "&amp;Q37&amp;IF(R37="Yes","  [IPL]","")),IF(S37="","","• "&amp;S37&amp;IF(T37="Yes","  [IPL]","")),IF(U37="","","• "&amp;U37&amp;IF(V37="Yes","  [IPL]","")),IF(W37="","","• "&amp;W37&amp;IF(X37="Yes","  [IPL]","")),IF(Y37="","","• "&amp;Y37&amp;IF(Z37="Yes","  [IPL]","")),IF(AA37="","","• "&amp;AA37&amp;IF(AB37="Yes","  [IPL]","")))</f>
        <v/>
      </c>
      <c r="AD37" s="30">
        <f>IF(AC37="","",COUNTIF(Q37:AB37,"Yes"))</f>
        <v/>
      </c>
      <c r="AE37" s="19" t="n"/>
      <c r="AF37" s="19" t="n"/>
      <c r="AG37" s="30">
        <f>IF(OR(AE37="",AF37=""),"",INDEX(RiskGrid,6-VALUE(LEFT(AE37,1)),VALUE(LEFT(AF37,1))))</f>
        <v/>
      </c>
      <c r="AH37" s="30">
        <f>IF(AG37="","",IF(AG37&gt;=BandVH,"Very High",IF(AG37&gt;=BandHigh,"High",IF(AG37&gt;=BandMed,"Medium","Low"))))</f>
        <v/>
      </c>
      <c r="AI37" s="4" t="n"/>
      <c r="AJ37" s="4" t="n"/>
    </row>
    <row r="38">
      <c r="A38" s="30">
        <f>IF(B38="","",COUNTIF(B$14:B38,"?*"))</f>
        <v/>
      </c>
      <c r="B38" s="4" t="n"/>
      <c r="C38" s="19" t="n"/>
      <c r="D38" s="5">
        <f>IF(OR(B38="",C38=""),"",UPPER(LEFT(C38,1))&amp;LOWER(MID(C38,2,30))&amp;" "&amp;LOWER(LEFT(B38,1))&amp;MID(B38,2,200))</f>
        <v/>
      </c>
      <c r="E38" s="4" t="n"/>
      <c r="F38" s="4" t="n"/>
      <c r="G38" s="4" t="n"/>
      <c r="H38" s="4" t="n"/>
      <c r="I38" s="4" t="n"/>
      <c r="J38" s="4" t="n"/>
      <c r="K38" s="5">
        <f>_xlfn.TEXTJOIN(CHAR(10),TRUE,IF(E38="","","• "&amp;E38),IF(F38="","","• "&amp;F38),IF(G38="","","• "&amp;G38),IF(H38="","","• "&amp;H38),IF(I38="","","• "&amp;I38),IF(J38="","","• "&amp;J38))</f>
        <v/>
      </c>
      <c r="L38" s="4" t="n"/>
      <c r="M38" s="19" t="n"/>
      <c r="N38" s="19" t="n"/>
      <c r="O38" s="30">
        <f>IF(OR(M38="",N38=""),"",INDEX(RiskGrid,6-VALUE(LEFT(M38,1)),VALUE(LEFT(N38,1))))</f>
        <v/>
      </c>
      <c r="P38" s="30">
        <f>IF(O38="","",IF(O38&gt;=BandVH,"Very High",IF(O38&gt;=BandHigh,"High",IF(O38&gt;=BandMed,"Medium","Low"))))</f>
        <v/>
      </c>
      <c r="Q38" s="4" t="n"/>
      <c r="R38" s="19" t="n"/>
      <c r="S38" s="4" t="n"/>
      <c r="T38" s="19" t="n"/>
      <c r="U38" s="4" t="n"/>
      <c r="V38" s="19" t="n"/>
      <c r="W38" s="4" t="n"/>
      <c r="X38" s="19" t="n"/>
      <c r="Y38" s="4" t="n"/>
      <c r="Z38" s="19" t="n"/>
      <c r="AA38" s="4" t="n"/>
      <c r="AB38" s="19" t="n"/>
      <c r="AC38" s="5">
        <f>_xlfn.TEXTJOIN(CHAR(10),TRUE,IF(Q38="","","• "&amp;Q38&amp;IF(R38="Yes","  [IPL]","")),IF(S38="","","• "&amp;S38&amp;IF(T38="Yes","  [IPL]","")),IF(U38="","","• "&amp;U38&amp;IF(V38="Yes","  [IPL]","")),IF(W38="","","• "&amp;W38&amp;IF(X38="Yes","  [IPL]","")),IF(Y38="","","• "&amp;Y38&amp;IF(Z38="Yes","  [IPL]","")),IF(AA38="","","• "&amp;AA38&amp;IF(AB38="Yes","  [IPL]","")))</f>
        <v/>
      </c>
      <c r="AD38" s="30">
        <f>IF(AC38="","",COUNTIF(Q38:AB38,"Yes"))</f>
        <v/>
      </c>
      <c r="AE38" s="19" t="n"/>
      <c r="AF38" s="19" t="n"/>
      <c r="AG38" s="30">
        <f>IF(OR(AE38="",AF38=""),"",INDEX(RiskGrid,6-VALUE(LEFT(AE38,1)),VALUE(LEFT(AF38,1))))</f>
        <v/>
      </c>
      <c r="AH38" s="30">
        <f>IF(AG38="","",IF(AG38&gt;=BandVH,"Very High",IF(AG38&gt;=BandHigh,"High",IF(AG38&gt;=BandMed,"Medium","Low"))))</f>
        <v/>
      </c>
      <c r="AI38" s="4" t="n"/>
      <c r="AJ38" s="4" t="n"/>
    </row>
    <row r="39">
      <c r="A39" s="30">
        <f>IF(B39="","",COUNTIF(B$14:B39,"?*"))</f>
        <v/>
      </c>
      <c r="B39" s="4" t="n"/>
      <c r="C39" s="19" t="n"/>
      <c r="D39" s="5">
        <f>IF(OR(B39="",C39=""),"",UPPER(LEFT(C39,1))&amp;LOWER(MID(C39,2,30))&amp;" "&amp;LOWER(LEFT(B39,1))&amp;MID(B39,2,200))</f>
        <v/>
      </c>
      <c r="E39" s="4" t="n"/>
      <c r="F39" s="4" t="n"/>
      <c r="G39" s="4" t="n"/>
      <c r="H39" s="4" t="n"/>
      <c r="I39" s="4" t="n"/>
      <c r="J39" s="4" t="n"/>
      <c r="K39" s="5">
        <f>_xlfn.TEXTJOIN(CHAR(10),TRUE,IF(E39="","","• "&amp;E39),IF(F39="","","• "&amp;F39),IF(G39="","","• "&amp;G39),IF(H39="","","• "&amp;H39),IF(I39="","","• "&amp;I39),IF(J39="","","• "&amp;J39))</f>
        <v/>
      </c>
      <c r="L39" s="4" t="n"/>
      <c r="M39" s="19" t="n"/>
      <c r="N39" s="19" t="n"/>
      <c r="O39" s="30">
        <f>IF(OR(M39="",N39=""),"",INDEX(RiskGrid,6-VALUE(LEFT(M39,1)),VALUE(LEFT(N39,1))))</f>
        <v/>
      </c>
      <c r="P39" s="30">
        <f>IF(O39="","",IF(O39&gt;=BandVH,"Very High",IF(O39&gt;=BandHigh,"High",IF(O39&gt;=BandMed,"Medium","Low"))))</f>
        <v/>
      </c>
      <c r="Q39" s="4" t="n"/>
      <c r="R39" s="19" t="n"/>
      <c r="S39" s="4" t="n"/>
      <c r="T39" s="19" t="n"/>
      <c r="U39" s="4" t="n"/>
      <c r="V39" s="19" t="n"/>
      <c r="W39" s="4" t="n"/>
      <c r="X39" s="19" t="n"/>
      <c r="Y39" s="4" t="n"/>
      <c r="Z39" s="19" t="n"/>
      <c r="AA39" s="4" t="n"/>
      <c r="AB39" s="19" t="n"/>
      <c r="AC39" s="5">
        <f>_xlfn.TEXTJOIN(CHAR(10),TRUE,IF(Q39="","","• "&amp;Q39&amp;IF(R39="Yes","  [IPL]","")),IF(S39="","","• "&amp;S39&amp;IF(T39="Yes","  [IPL]","")),IF(U39="","","• "&amp;U39&amp;IF(V39="Yes","  [IPL]","")),IF(W39="","","• "&amp;W39&amp;IF(X39="Yes","  [IPL]","")),IF(Y39="","","• "&amp;Y39&amp;IF(Z39="Yes","  [IPL]","")),IF(AA39="","","• "&amp;AA39&amp;IF(AB39="Yes","  [IPL]","")))</f>
        <v/>
      </c>
      <c r="AD39" s="30">
        <f>IF(AC39="","",COUNTIF(Q39:AB39,"Yes"))</f>
        <v/>
      </c>
      <c r="AE39" s="19" t="n"/>
      <c r="AF39" s="19" t="n"/>
      <c r="AG39" s="30">
        <f>IF(OR(AE39="",AF39=""),"",INDEX(RiskGrid,6-VALUE(LEFT(AE39,1)),VALUE(LEFT(AF39,1))))</f>
        <v/>
      </c>
      <c r="AH39" s="30">
        <f>IF(AG39="","",IF(AG39&gt;=BandVH,"Very High",IF(AG39&gt;=BandHigh,"High",IF(AG39&gt;=BandMed,"Medium","Low"))))</f>
        <v/>
      </c>
      <c r="AI39" s="4" t="n"/>
      <c r="AJ39" s="4" t="n"/>
    </row>
    <row r="40">
      <c r="A40" s="30">
        <f>IF(B40="","",COUNTIF(B$14:B40,"?*"))</f>
        <v/>
      </c>
      <c r="B40" s="4" t="n"/>
      <c r="C40" s="19" t="n"/>
      <c r="D40" s="5">
        <f>IF(OR(B40="",C40=""),"",UPPER(LEFT(C40,1))&amp;LOWER(MID(C40,2,30))&amp;" "&amp;LOWER(LEFT(B40,1))&amp;MID(B40,2,200))</f>
        <v/>
      </c>
      <c r="E40" s="4" t="n"/>
      <c r="F40" s="4" t="n"/>
      <c r="G40" s="4" t="n"/>
      <c r="H40" s="4" t="n"/>
      <c r="I40" s="4" t="n"/>
      <c r="J40" s="4" t="n"/>
      <c r="K40" s="5">
        <f>_xlfn.TEXTJOIN(CHAR(10),TRUE,IF(E40="","","• "&amp;E40),IF(F40="","","• "&amp;F40),IF(G40="","","• "&amp;G40),IF(H40="","","• "&amp;H40),IF(I40="","","• "&amp;I40),IF(J40="","","• "&amp;J40))</f>
        <v/>
      </c>
      <c r="L40" s="4" t="n"/>
      <c r="M40" s="19" t="n"/>
      <c r="N40" s="19" t="n"/>
      <c r="O40" s="30">
        <f>IF(OR(M40="",N40=""),"",INDEX(RiskGrid,6-VALUE(LEFT(M40,1)),VALUE(LEFT(N40,1))))</f>
        <v/>
      </c>
      <c r="P40" s="30">
        <f>IF(O40="","",IF(O40&gt;=BandVH,"Very High",IF(O40&gt;=BandHigh,"High",IF(O40&gt;=BandMed,"Medium","Low"))))</f>
        <v/>
      </c>
      <c r="Q40" s="4" t="n"/>
      <c r="R40" s="19" t="n"/>
      <c r="S40" s="4" t="n"/>
      <c r="T40" s="19" t="n"/>
      <c r="U40" s="4" t="n"/>
      <c r="V40" s="19" t="n"/>
      <c r="W40" s="4" t="n"/>
      <c r="X40" s="19" t="n"/>
      <c r="Y40" s="4" t="n"/>
      <c r="Z40" s="19" t="n"/>
      <c r="AA40" s="4" t="n"/>
      <c r="AB40" s="19" t="n"/>
      <c r="AC40" s="5">
        <f>_xlfn.TEXTJOIN(CHAR(10),TRUE,IF(Q40="","","• "&amp;Q40&amp;IF(R40="Yes","  [IPL]","")),IF(S40="","","• "&amp;S40&amp;IF(T40="Yes","  [IPL]","")),IF(U40="","","• "&amp;U40&amp;IF(V40="Yes","  [IPL]","")),IF(W40="","","• "&amp;W40&amp;IF(X40="Yes","  [IPL]","")),IF(Y40="","","• "&amp;Y40&amp;IF(Z40="Yes","  [IPL]","")),IF(AA40="","","• "&amp;AA40&amp;IF(AB40="Yes","  [IPL]","")))</f>
        <v/>
      </c>
      <c r="AD40" s="30">
        <f>IF(AC40="","",COUNTIF(Q40:AB40,"Yes"))</f>
        <v/>
      </c>
      <c r="AE40" s="19" t="n"/>
      <c r="AF40" s="19" t="n"/>
      <c r="AG40" s="30">
        <f>IF(OR(AE40="",AF40=""),"",INDEX(RiskGrid,6-VALUE(LEFT(AE40,1)),VALUE(LEFT(AF40,1))))</f>
        <v/>
      </c>
      <c r="AH40" s="30">
        <f>IF(AG40="","",IF(AG40&gt;=BandVH,"Very High",IF(AG40&gt;=BandHigh,"High",IF(AG40&gt;=BandMed,"Medium","Low"))))</f>
        <v/>
      </c>
      <c r="AI40" s="4" t="n"/>
      <c r="AJ40" s="4" t="n"/>
    </row>
    <row r="41">
      <c r="A41" s="30">
        <f>IF(B41="","",COUNTIF(B$14:B41,"?*"))</f>
        <v/>
      </c>
      <c r="B41" s="4" t="n"/>
      <c r="C41" s="19" t="n"/>
      <c r="D41" s="5">
        <f>IF(OR(B41="",C41=""),"",UPPER(LEFT(C41,1))&amp;LOWER(MID(C41,2,30))&amp;" "&amp;LOWER(LEFT(B41,1))&amp;MID(B41,2,200))</f>
        <v/>
      </c>
      <c r="E41" s="4" t="n"/>
      <c r="F41" s="4" t="n"/>
      <c r="G41" s="4" t="n"/>
      <c r="H41" s="4" t="n"/>
      <c r="I41" s="4" t="n"/>
      <c r="J41" s="4" t="n"/>
      <c r="K41" s="5">
        <f>_xlfn.TEXTJOIN(CHAR(10),TRUE,IF(E41="","","• "&amp;E41),IF(F41="","","• "&amp;F41),IF(G41="","","• "&amp;G41),IF(H41="","","• "&amp;H41),IF(I41="","","• "&amp;I41),IF(J41="","","• "&amp;J41))</f>
        <v/>
      </c>
      <c r="L41" s="4" t="n"/>
      <c r="M41" s="19" t="n"/>
      <c r="N41" s="19" t="n"/>
      <c r="O41" s="30">
        <f>IF(OR(M41="",N41=""),"",INDEX(RiskGrid,6-VALUE(LEFT(M41,1)),VALUE(LEFT(N41,1))))</f>
        <v/>
      </c>
      <c r="P41" s="30">
        <f>IF(O41="","",IF(O41&gt;=BandVH,"Very High",IF(O41&gt;=BandHigh,"High",IF(O41&gt;=BandMed,"Medium","Low"))))</f>
        <v/>
      </c>
      <c r="Q41" s="4" t="n"/>
      <c r="R41" s="19" t="n"/>
      <c r="S41" s="4" t="n"/>
      <c r="T41" s="19" t="n"/>
      <c r="U41" s="4" t="n"/>
      <c r="V41" s="19" t="n"/>
      <c r="W41" s="4" t="n"/>
      <c r="X41" s="19" t="n"/>
      <c r="Y41" s="4" t="n"/>
      <c r="Z41" s="19" t="n"/>
      <c r="AA41" s="4" t="n"/>
      <c r="AB41" s="19" t="n"/>
      <c r="AC41" s="5">
        <f>_xlfn.TEXTJOIN(CHAR(10),TRUE,IF(Q41="","","• "&amp;Q41&amp;IF(R41="Yes","  [IPL]","")),IF(S41="","","• "&amp;S41&amp;IF(T41="Yes","  [IPL]","")),IF(U41="","","• "&amp;U41&amp;IF(V41="Yes","  [IPL]","")),IF(W41="","","• "&amp;W41&amp;IF(X41="Yes","  [IPL]","")),IF(Y41="","","• "&amp;Y41&amp;IF(Z41="Yes","  [IPL]","")),IF(AA41="","","• "&amp;AA41&amp;IF(AB41="Yes","  [IPL]","")))</f>
        <v/>
      </c>
      <c r="AD41" s="30">
        <f>IF(AC41="","",COUNTIF(Q41:AB41,"Yes"))</f>
        <v/>
      </c>
      <c r="AE41" s="19" t="n"/>
      <c r="AF41" s="19" t="n"/>
      <c r="AG41" s="30">
        <f>IF(OR(AE41="",AF41=""),"",INDEX(RiskGrid,6-VALUE(LEFT(AE41,1)),VALUE(LEFT(AF41,1))))</f>
        <v/>
      </c>
      <c r="AH41" s="30">
        <f>IF(AG41="","",IF(AG41&gt;=BandVH,"Very High",IF(AG41&gt;=BandHigh,"High",IF(AG41&gt;=BandMed,"Medium","Low"))))</f>
        <v/>
      </c>
      <c r="AI41" s="4" t="n"/>
      <c r="AJ41" s="4" t="n"/>
    </row>
    <row r="42">
      <c r="A42" s="30">
        <f>IF(B42="","",COUNTIF(B$14:B42,"?*"))</f>
        <v/>
      </c>
      <c r="B42" s="4" t="n"/>
      <c r="C42" s="19" t="n"/>
      <c r="D42" s="5">
        <f>IF(OR(B42="",C42=""),"",UPPER(LEFT(C42,1))&amp;LOWER(MID(C42,2,30))&amp;" "&amp;LOWER(LEFT(B42,1))&amp;MID(B42,2,200))</f>
        <v/>
      </c>
      <c r="E42" s="4" t="n"/>
      <c r="F42" s="4" t="n"/>
      <c r="G42" s="4" t="n"/>
      <c r="H42" s="4" t="n"/>
      <c r="I42" s="4" t="n"/>
      <c r="J42" s="4" t="n"/>
      <c r="K42" s="5">
        <f>_xlfn.TEXTJOIN(CHAR(10),TRUE,IF(E42="","","• "&amp;E42),IF(F42="","","• "&amp;F42),IF(G42="","","• "&amp;G42),IF(H42="","","• "&amp;H42),IF(I42="","","• "&amp;I42),IF(J42="","","• "&amp;J42))</f>
        <v/>
      </c>
      <c r="L42" s="4" t="n"/>
      <c r="M42" s="19" t="n"/>
      <c r="N42" s="19" t="n"/>
      <c r="O42" s="30">
        <f>IF(OR(M42="",N42=""),"",INDEX(RiskGrid,6-VALUE(LEFT(M42,1)),VALUE(LEFT(N42,1))))</f>
        <v/>
      </c>
      <c r="P42" s="30">
        <f>IF(O42="","",IF(O42&gt;=BandVH,"Very High",IF(O42&gt;=BandHigh,"High",IF(O42&gt;=BandMed,"Medium","Low"))))</f>
        <v/>
      </c>
      <c r="Q42" s="4" t="n"/>
      <c r="R42" s="19" t="n"/>
      <c r="S42" s="4" t="n"/>
      <c r="T42" s="19" t="n"/>
      <c r="U42" s="4" t="n"/>
      <c r="V42" s="19" t="n"/>
      <c r="W42" s="4" t="n"/>
      <c r="X42" s="19" t="n"/>
      <c r="Y42" s="4" t="n"/>
      <c r="Z42" s="19" t="n"/>
      <c r="AA42" s="4" t="n"/>
      <c r="AB42" s="19" t="n"/>
      <c r="AC42" s="5">
        <f>_xlfn.TEXTJOIN(CHAR(10),TRUE,IF(Q42="","","• "&amp;Q42&amp;IF(R42="Yes","  [IPL]","")),IF(S42="","","• "&amp;S42&amp;IF(T42="Yes","  [IPL]","")),IF(U42="","","• "&amp;U42&amp;IF(V42="Yes","  [IPL]","")),IF(W42="","","• "&amp;W42&amp;IF(X42="Yes","  [IPL]","")),IF(Y42="","","• "&amp;Y42&amp;IF(Z42="Yes","  [IPL]","")),IF(AA42="","","• "&amp;AA42&amp;IF(AB42="Yes","  [IPL]","")))</f>
        <v/>
      </c>
      <c r="AD42" s="30">
        <f>IF(AC42="","",COUNTIF(Q42:AB42,"Yes"))</f>
        <v/>
      </c>
      <c r="AE42" s="19" t="n"/>
      <c r="AF42" s="19" t="n"/>
      <c r="AG42" s="30">
        <f>IF(OR(AE42="",AF42=""),"",INDEX(RiskGrid,6-VALUE(LEFT(AE42,1)),VALUE(LEFT(AF42,1))))</f>
        <v/>
      </c>
      <c r="AH42" s="30">
        <f>IF(AG42="","",IF(AG42&gt;=BandVH,"Very High",IF(AG42&gt;=BandHigh,"High",IF(AG42&gt;=BandMed,"Medium","Low"))))</f>
        <v/>
      </c>
      <c r="AI42" s="4" t="n"/>
      <c r="AJ42" s="4" t="n"/>
    </row>
    <row r="43">
      <c r="A43" s="30">
        <f>IF(B43="","",COUNTIF(B$14:B43,"?*"))</f>
        <v/>
      </c>
      <c r="B43" s="4" t="n"/>
      <c r="C43" s="19" t="n"/>
      <c r="D43" s="5">
        <f>IF(OR(B43="",C43=""),"",UPPER(LEFT(C43,1))&amp;LOWER(MID(C43,2,30))&amp;" "&amp;LOWER(LEFT(B43,1))&amp;MID(B43,2,200))</f>
        <v/>
      </c>
      <c r="E43" s="4" t="n"/>
      <c r="F43" s="4" t="n"/>
      <c r="G43" s="4" t="n"/>
      <c r="H43" s="4" t="n"/>
      <c r="I43" s="4" t="n"/>
      <c r="J43" s="4" t="n"/>
      <c r="K43" s="5">
        <f>_xlfn.TEXTJOIN(CHAR(10),TRUE,IF(E43="","","• "&amp;E43),IF(F43="","","• "&amp;F43),IF(G43="","","• "&amp;G43),IF(H43="","","• "&amp;H43),IF(I43="","","• "&amp;I43),IF(J43="","","• "&amp;J43))</f>
        <v/>
      </c>
      <c r="L43" s="4" t="n"/>
      <c r="M43" s="19" t="n"/>
      <c r="N43" s="19" t="n"/>
      <c r="O43" s="30">
        <f>IF(OR(M43="",N43=""),"",INDEX(RiskGrid,6-VALUE(LEFT(M43,1)),VALUE(LEFT(N43,1))))</f>
        <v/>
      </c>
      <c r="P43" s="30">
        <f>IF(O43="","",IF(O43&gt;=BandVH,"Very High",IF(O43&gt;=BandHigh,"High",IF(O43&gt;=BandMed,"Medium","Low"))))</f>
        <v/>
      </c>
      <c r="Q43" s="4" t="n"/>
      <c r="R43" s="19" t="n"/>
      <c r="S43" s="4" t="n"/>
      <c r="T43" s="19" t="n"/>
      <c r="U43" s="4" t="n"/>
      <c r="V43" s="19" t="n"/>
      <c r="W43" s="4" t="n"/>
      <c r="X43" s="19" t="n"/>
      <c r="Y43" s="4" t="n"/>
      <c r="Z43" s="19" t="n"/>
      <c r="AA43" s="4" t="n"/>
      <c r="AB43" s="19" t="n"/>
      <c r="AC43" s="5">
        <f>_xlfn.TEXTJOIN(CHAR(10),TRUE,IF(Q43="","","• "&amp;Q43&amp;IF(R43="Yes","  [IPL]","")),IF(S43="","","• "&amp;S43&amp;IF(T43="Yes","  [IPL]","")),IF(U43="","","• "&amp;U43&amp;IF(V43="Yes","  [IPL]","")),IF(W43="","","• "&amp;W43&amp;IF(X43="Yes","  [IPL]","")),IF(Y43="","","• "&amp;Y43&amp;IF(Z43="Yes","  [IPL]","")),IF(AA43="","","• "&amp;AA43&amp;IF(AB43="Yes","  [IPL]","")))</f>
        <v/>
      </c>
      <c r="AD43" s="30">
        <f>IF(AC43="","",COUNTIF(Q43:AB43,"Yes"))</f>
        <v/>
      </c>
      <c r="AE43" s="19" t="n"/>
      <c r="AF43" s="19" t="n"/>
      <c r="AG43" s="30">
        <f>IF(OR(AE43="",AF43=""),"",INDEX(RiskGrid,6-VALUE(LEFT(AE43,1)),VALUE(LEFT(AF43,1))))</f>
        <v/>
      </c>
      <c r="AH43" s="30">
        <f>IF(AG43="","",IF(AG43&gt;=BandVH,"Very High",IF(AG43&gt;=BandHigh,"High",IF(AG43&gt;=BandMed,"Medium","Low"))))</f>
        <v/>
      </c>
      <c r="AI43" s="4" t="n"/>
      <c r="AJ43" s="4" t="n"/>
    </row>
    <row r="44">
      <c r="A44" s="30">
        <f>IF(B44="","",COUNTIF(B$14:B44,"?*"))</f>
        <v/>
      </c>
      <c r="B44" s="4" t="n"/>
      <c r="C44" s="19" t="n"/>
      <c r="D44" s="5">
        <f>IF(OR(B44="",C44=""),"",UPPER(LEFT(C44,1))&amp;LOWER(MID(C44,2,30))&amp;" "&amp;LOWER(LEFT(B44,1))&amp;MID(B44,2,200))</f>
        <v/>
      </c>
      <c r="E44" s="4" t="n"/>
      <c r="F44" s="4" t="n"/>
      <c r="G44" s="4" t="n"/>
      <c r="H44" s="4" t="n"/>
      <c r="I44" s="4" t="n"/>
      <c r="J44" s="4" t="n"/>
      <c r="K44" s="5">
        <f>_xlfn.TEXTJOIN(CHAR(10),TRUE,IF(E44="","","• "&amp;E44),IF(F44="","","• "&amp;F44),IF(G44="","","• "&amp;G44),IF(H44="","","• "&amp;H44),IF(I44="","","• "&amp;I44),IF(J44="","","• "&amp;J44))</f>
        <v/>
      </c>
      <c r="L44" s="4" t="n"/>
      <c r="M44" s="19" t="n"/>
      <c r="N44" s="19" t="n"/>
      <c r="O44" s="30">
        <f>IF(OR(M44="",N44=""),"",INDEX(RiskGrid,6-VALUE(LEFT(M44,1)),VALUE(LEFT(N44,1))))</f>
        <v/>
      </c>
      <c r="P44" s="30">
        <f>IF(O44="","",IF(O44&gt;=BandVH,"Very High",IF(O44&gt;=BandHigh,"High",IF(O44&gt;=BandMed,"Medium","Low"))))</f>
        <v/>
      </c>
      <c r="Q44" s="4" t="n"/>
      <c r="R44" s="19" t="n"/>
      <c r="S44" s="4" t="n"/>
      <c r="T44" s="19" t="n"/>
      <c r="U44" s="4" t="n"/>
      <c r="V44" s="19" t="n"/>
      <c r="W44" s="4" t="n"/>
      <c r="X44" s="19" t="n"/>
      <c r="Y44" s="4" t="n"/>
      <c r="Z44" s="19" t="n"/>
      <c r="AA44" s="4" t="n"/>
      <c r="AB44" s="19" t="n"/>
      <c r="AC44" s="5">
        <f>_xlfn.TEXTJOIN(CHAR(10),TRUE,IF(Q44="","","• "&amp;Q44&amp;IF(R44="Yes","  [IPL]","")),IF(S44="","","• "&amp;S44&amp;IF(T44="Yes","  [IPL]","")),IF(U44="","","• "&amp;U44&amp;IF(V44="Yes","  [IPL]","")),IF(W44="","","• "&amp;W44&amp;IF(X44="Yes","  [IPL]","")),IF(Y44="","","• "&amp;Y44&amp;IF(Z44="Yes","  [IPL]","")),IF(AA44="","","• "&amp;AA44&amp;IF(AB44="Yes","  [IPL]","")))</f>
        <v/>
      </c>
      <c r="AD44" s="30">
        <f>IF(AC44="","",COUNTIF(Q44:AB44,"Yes"))</f>
        <v/>
      </c>
      <c r="AE44" s="19" t="n"/>
      <c r="AF44" s="19" t="n"/>
      <c r="AG44" s="30">
        <f>IF(OR(AE44="",AF44=""),"",INDEX(RiskGrid,6-VALUE(LEFT(AE44,1)),VALUE(LEFT(AF44,1))))</f>
        <v/>
      </c>
      <c r="AH44" s="30">
        <f>IF(AG44="","",IF(AG44&gt;=BandVH,"Very High",IF(AG44&gt;=BandHigh,"High",IF(AG44&gt;=BandMed,"Medium","Low"))))</f>
        <v/>
      </c>
      <c r="AI44" s="4" t="n"/>
      <c r="AJ44" s="4" t="n"/>
    </row>
    <row r="45">
      <c r="A45" s="30">
        <f>IF(B45="","",COUNTIF(B$14:B45,"?*"))</f>
        <v/>
      </c>
      <c r="B45" s="4" t="n"/>
      <c r="C45" s="19" t="n"/>
      <c r="D45" s="5">
        <f>IF(OR(B45="",C45=""),"",UPPER(LEFT(C45,1))&amp;LOWER(MID(C45,2,30))&amp;" "&amp;LOWER(LEFT(B45,1))&amp;MID(B45,2,200))</f>
        <v/>
      </c>
      <c r="E45" s="4" t="n"/>
      <c r="F45" s="4" t="n"/>
      <c r="G45" s="4" t="n"/>
      <c r="H45" s="4" t="n"/>
      <c r="I45" s="4" t="n"/>
      <c r="J45" s="4" t="n"/>
      <c r="K45" s="5">
        <f>_xlfn.TEXTJOIN(CHAR(10),TRUE,IF(E45="","","• "&amp;E45),IF(F45="","","• "&amp;F45),IF(G45="","","• "&amp;G45),IF(H45="","","• "&amp;H45),IF(I45="","","• "&amp;I45),IF(J45="","","• "&amp;J45))</f>
        <v/>
      </c>
      <c r="L45" s="4" t="n"/>
      <c r="M45" s="19" t="n"/>
      <c r="N45" s="19" t="n"/>
      <c r="O45" s="30">
        <f>IF(OR(M45="",N45=""),"",INDEX(RiskGrid,6-VALUE(LEFT(M45,1)),VALUE(LEFT(N45,1))))</f>
        <v/>
      </c>
      <c r="P45" s="30">
        <f>IF(O45="","",IF(O45&gt;=BandVH,"Very High",IF(O45&gt;=BandHigh,"High",IF(O45&gt;=BandMed,"Medium","Low"))))</f>
        <v/>
      </c>
      <c r="Q45" s="4" t="n"/>
      <c r="R45" s="19" t="n"/>
      <c r="S45" s="4" t="n"/>
      <c r="T45" s="19" t="n"/>
      <c r="U45" s="4" t="n"/>
      <c r="V45" s="19" t="n"/>
      <c r="W45" s="4" t="n"/>
      <c r="X45" s="19" t="n"/>
      <c r="Y45" s="4" t="n"/>
      <c r="Z45" s="19" t="n"/>
      <c r="AA45" s="4" t="n"/>
      <c r="AB45" s="19" t="n"/>
      <c r="AC45" s="5">
        <f>_xlfn.TEXTJOIN(CHAR(10),TRUE,IF(Q45="","","• "&amp;Q45&amp;IF(R45="Yes","  [IPL]","")),IF(S45="","","• "&amp;S45&amp;IF(T45="Yes","  [IPL]","")),IF(U45="","","• "&amp;U45&amp;IF(V45="Yes","  [IPL]","")),IF(W45="","","• "&amp;W45&amp;IF(X45="Yes","  [IPL]","")),IF(Y45="","","• "&amp;Y45&amp;IF(Z45="Yes","  [IPL]","")),IF(AA45="","","• "&amp;AA45&amp;IF(AB45="Yes","  [IPL]","")))</f>
        <v/>
      </c>
      <c r="AD45" s="30">
        <f>IF(AC45="","",COUNTIF(Q45:AB45,"Yes"))</f>
        <v/>
      </c>
      <c r="AE45" s="19" t="n"/>
      <c r="AF45" s="19" t="n"/>
      <c r="AG45" s="30">
        <f>IF(OR(AE45="",AF45=""),"",INDEX(RiskGrid,6-VALUE(LEFT(AE45,1)),VALUE(LEFT(AF45,1))))</f>
        <v/>
      </c>
      <c r="AH45" s="30">
        <f>IF(AG45="","",IF(AG45&gt;=BandVH,"Very High",IF(AG45&gt;=BandHigh,"High",IF(AG45&gt;=BandMed,"Medium","Low"))))</f>
        <v/>
      </c>
      <c r="AI45" s="4" t="n"/>
      <c r="AJ45" s="4" t="n"/>
    </row>
    <row r="46">
      <c r="A46" s="30">
        <f>IF(B46="","",COUNTIF(B$14:B46,"?*"))</f>
        <v/>
      </c>
      <c r="B46" s="4" t="n"/>
      <c r="C46" s="19" t="n"/>
      <c r="D46" s="5">
        <f>IF(OR(B46="",C46=""),"",UPPER(LEFT(C46,1))&amp;LOWER(MID(C46,2,30))&amp;" "&amp;LOWER(LEFT(B46,1))&amp;MID(B46,2,200))</f>
        <v/>
      </c>
      <c r="E46" s="4" t="n"/>
      <c r="F46" s="4" t="n"/>
      <c r="G46" s="4" t="n"/>
      <c r="H46" s="4" t="n"/>
      <c r="I46" s="4" t="n"/>
      <c r="J46" s="4" t="n"/>
      <c r="K46" s="5">
        <f>_xlfn.TEXTJOIN(CHAR(10),TRUE,IF(E46="","","• "&amp;E46),IF(F46="","","• "&amp;F46),IF(G46="","","• "&amp;G46),IF(H46="","","• "&amp;H46),IF(I46="","","• "&amp;I46),IF(J46="","","• "&amp;J46))</f>
        <v/>
      </c>
      <c r="L46" s="4" t="n"/>
      <c r="M46" s="19" t="n"/>
      <c r="N46" s="19" t="n"/>
      <c r="O46" s="30">
        <f>IF(OR(M46="",N46=""),"",INDEX(RiskGrid,6-VALUE(LEFT(M46,1)),VALUE(LEFT(N46,1))))</f>
        <v/>
      </c>
      <c r="P46" s="30">
        <f>IF(O46="","",IF(O46&gt;=BandVH,"Very High",IF(O46&gt;=BandHigh,"High",IF(O46&gt;=BandMed,"Medium","Low"))))</f>
        <v/>
      </c>
      <c r="Q46" s="4" t="n"/>
      <c r="R46" s="19" t="n"/>
      <c r="S46" s="4" t="n"/>
      <c r="T46" s="19" t="n"/>
      <c r="U46" s="4" t="n"/>
      <c r="V46" s="19" t="n"/>
      <c r="W46" s="4" t="n"/>
      <c r="X46" s="19" t="n"/>
      <c r="Y46" s="4" t="n"/>
      <c r="Z46" s="19" t="n"/>
      <c r="AA46" s="4" t="n"/>
      <c r="AB46" s="19" t="n"/>
      <c r="AC46" s="5">
        <f>_xlfn.TEXTJOIN(CHAR(10),TRUE,IF(Q46="","","• "&amp;Q46&amp;IF(R46="Yes","  [IPL]","")),IF(S46="","","• "&amp;S46&amp;IF(T46="Yes","  [IPL]","")),IF(U46="","","• "&amp;U46&amp;IF(V46="Yes","  [IPL]","")),IF(W46="","","• "&amp;W46&amp;IF(X46="Yes","  [IPL]","")),IF(Y46="","","• "&amp;Y46&amp;IF(Z46="Yes","  [IPL]","")),IF(AA46="","","• "&amp;AA46&amp;IF(AB46="Yes","  [IPL]","")))</f>
        <v/>
      </c>
      <c r="AD46" s="30">
        <f>IF(AC46="","",COUNTIF(Q46:AB46,"Yes"))</f>
        <v/>
      </c>
      <c r="AE46" s="19" t="n"/>
      <c r="AF46" s="19" t="n"/>
      <c r="AG46" s="30">
        <f>IF(OR(AE46="",AF46=""),"",INDEX(RiskGrid,6-VALUE(LEFT(AE46,1)),VALUE(LEFT(AF46,1))))</f>
        <v/>
      </c>
      <c r="AH46" s="30">
        <f>IF(AG46="","",IF(AG46&gt;=BandVH,"Very High",IF(AG46&gt;=BandHigh,"High",IF(AG46&gt;=BandMed,"Medium","Low"))))</f>
        <v/>
      </c>
      <c r="AI46" s="4" t="n"/>
      <c r="AJ46" s="4" t="n"/>
    </row>
    <row r="47">
      <c r="A47" s="30">
        <f>IF(B47="","",COUNTIF(B$14:B47,"?*"))</f>
        <v/>
      </c>
      <c r="B47" s="4" t="n"/>
      <c r="C47" s="19" t="n"/>
      <c r="D47" s="5">
        <f>IF(OR(B47="",C47=""),"",UPPER(LEFT(C47,1))&amp;LOWER(MID(C47,2,30))&amp;" "&amp;LOWER(LEFT(B47,1))&amp;MID(B47,2,200))</f>
        <v/>
      </c>
      <c r="E47" s="4" t="n"/>
      <c r="F47" s="4" t="n"/>
      <c r="G47" s="4" t="n"/>
      <c r="H47" s="4" t="n"/>
      <c r="I47" s="4" t="n"/>
      <c r="J47" s="4" t="n"/>
      <c r="K47" s="5">
        <f>_xlfn.TEXTJOIN(CHAR(10),TRUE,IF(E47="","","• "&amp;E47),IF(F47="","","• "&amp;F47),IF(G47="","","• "&amp;G47),IF(H47="","","• "&amp;H47),IF(I47="","","• "&amp;I47),IF(J47="","","• "&amp;J47))</f>
        <v/>
      </c>
      <c r="L47" s="4" t="n"/>
      <c r="M47" s="19" t="n"/>
      <c r="N47" s="19" t="n"/>
      <c r="O47" s="30">
        <f>IF(OR(M47="",N47=""),"",INDEX(RiskGrid,6-VALUE(LEFT(M47,1)),VALUE(LEFT(N47,1))))</f>
        <v/>
      </c>
      <c r="P47" s="30">
        <f>IF(O47="","",IF(O47&gt;=BandVH,"Very High",IF(O47&gt;=BandHigh,"High",IF(O47&gt;=BandMed,"Medium","Low"))))</f>
        <v/>
      </c>
      <c r="Q47" s="4" t="n"/>
      <c r="R47" s="19" t="n"/>
      <c r="S47" s="4" t="n"/>
      <c r="T47" s="19" t="n"/>
      <c r="U47" s="4" t="n"/>
      <c r="V47" s="19" t="n"/>
      <c r="W47" s="4" t="n"/>
      <c r="X47" s="19" t="n"/>
      <c r="Y47" s="4" t="n"/>
      <c r="Z47" s="19" t="n"/>
      <c r="AA47" s="4" t="n"/>
      <c r="AB47" s="19" t="n"/>
      <c r="AC47" s="5">
        <f>_xlfn.TEXTJOIN(CHAR(10),TRUE,IF(Q47="","","• "&amp;Q47&amp;IF(R47="Yes","  [IPL]","")),IF(S47="","","• "&amp;S47&amp;IF(T47="Yes","  [IPL]","")),IF(U47="","","• "&amp;U47&amp;IF(V47="Yes","  [IPL]","")),IF(W47="","","• "&amp;W47&amp;IF(X47="Yes","  [IPL]","")),IF(Y47="","","• "&amp;Y47&amp;IF(Z47="Yes","  [IPL]","")),IF(AA47="","","• "&amp;AA47&amp;IF(AB47="Yes","  [IPL]","")))</f>
        <v/>
      </c>
      <c r="AD47" s="30">
        <f>IF(AC47="","",COUNTIF(Q47:AB47,"Yes"))</f>
        <v/>
      </c>
      <c r="AE47" s="19" t="n"/>
      <c r="AF47" s="19" t="n"/>
      <c r="AG47" s="30">
        <f>IF(OR(AE47="",AF47=""),"",INDEX(RiskGrid,6-VALUE(LEFT(AE47,1)),VALUE(LEFT(AF47,1))))</f>
        <v/>
      </c>
      <c r="AH47" s="30">
        <f>IF(AG47="","",IF(AG47&gt;=BandVH,"Very High",IF(AG47&gt;=BandHigh,"High",IF(AG47&gt;=BandMed,"Medium","Low"))))</f>
        <v/>
      </c>
      <c r="AI47" s="4" t="n"/>
      <c r="AJ47" s="4" t="n"/>
    </row>
    <row r="48">
      <c r="A48" s="30">
        <f>IF(B48="","",COUNTIF(B$14:B48,"?*"))</f>
        <v/>
      </c>
      <c r="B48" s="4" t="n"/>
      <c r="C48" s="19" t="n"/>
      <c r="D48" s="5">
        <f>IF(OR(B48="",C48=""),"",UPPER(LEFT(C48,1))&amp;LOWER(MID(C48,2,30))&amp;" "&amp;LOWER(LEFT(B48,1))&amp;MID(B48,2,200))</f>
        <v/>
      </c>
      <c r="E48" s="4" t="n"/>
      <c r="F48" s="4" t="n"/>
      <c r="G48" s="4" t="n"/>
      <c r="H48" s="4" t="n"/>
      <c r="I48" s="4" t="n"/>
      <c r="J48" s="4" t="n"/>
      <c r="K48" s="5">
        <f>_xlfn.TEXTJOIN(CHAR(10),TRUE,IF(E48="","","• "&amp;E48),IF(F48="","","• "&amp;F48),IF(G48="","","• "&amp;G48),IF(H48="","","• "&amp;H48),IF(I48="","","• "&amp;I48),IF(J48="","","• "&amp;J48))</f>
        <v/>
      </c>
      <c r="L48" s="4" t="n"/>
      <c r="M48" s="19" t="n"/>
      <c r="N48" s="19" t="n"/>
      <c r="O48" s="30">
        <f>IF(OR(M48="",N48=""),"",INDEX(RiskGrid,6-VALUE(LEFT(M48,1)),VALUE(LEFT(N48,1))))</f>
        <v/>
      </c>
      <c r="P48" s="30">
        <f>IF(O48="","",IF(O48&gt;=BandVH,"Very High",IF(O48&gt;=BandHigh,"High",IF(O48&gt;=BandMed,"Medium","Low"))))</f>
        <v/>
      </c>
      <c r="Q48" s="4" t="n"/>
      <c r="R48" s="19" t="n"/>
      <c r="S48" s="4" t="n"/>
      <c r="T48" s="19" t="n"/>
      <c r="U48" s="4" t="n"/>
      <c r="V48" s="19" t="n"/>
      <c r="W48" s="4" t="n"/>
      <c r="X48" s="19" t="n"/>
      <c r="Y48" s="4" t="n"/>
      <c r="Z48" s="19" t="n"/>
      <c r="AA48" s="4" t="n"/>
      <c r="AB48" s="19" t="n"/>
      <c r="AC48" s="5">
        <f>_xlfn.TEXTJOIN(CHAR(10),TRUE,IF(Q48="","","• "&amp;Q48&amp;IF(R48="Yes","  [IPL]","")),IF(S48="","","• "&amp;S48&amp;IF(T48="Yes","  [IPL]","")),IF(U48="","","• "&amp;U48&amp;IF(V48="Yes","  [IPL]","")),IF(W48="","","• "&amp;W48&amp;IF(X48="Yes","  [IPL]","")),IF(Y48="","","• "&amp;Y48&amp;IF(Z48="Yes","  [IPL]","")),IF(AA48="","","• "&amp;AA48&amp;IF(AB48="Yes","  [IPL]","")))</f>
        <v/>
      </c>
      <c r="AD48" s="30">
        <f>IF(AC48="","",COUNTIF(Q48:AB48,"Yes"))</f>
        <v/>
      </c>
      <c r="AE48" s="19" t="n"/>
      <c r="AF48" s="19" t="n"/>
      <c r="AG48" s="30">
        <f>IF(OR(AE48="",AF48=""),"",INDEX(RiskGrid,6-VALUE(LEFT(AE48,1)),VALUE(LEFT(AF48,1))))</f>
        <v/>
      </c>
      <c r="AH48" s="30">
        <f>IF(AG48="","",IF(AG48&gt;=BandVH,"Very High",IF(AG48&gt;=BandHigh,"High",IF(AG48&gt;=BandMed,"Medium","Low"))))</f>
        <v/>
      </c>
      <c r="AI48" s="4" t="n"/>
      <c r="AJ48" s="4" t="n"/>
    </row>
    <row r="49">
      <c r="A49" s="30">
        <f>IF(B49="","",COUNTIF(B$14:B49,"?*"))</f>
        <v/>
      </c>
      <c r="B49" s="4" t="n"/>
      <c r="C49" s="19" t="n"/>
      <c r="D49" s="5">
        <f>IF(OR(B49="",C49=""),"",UPPER(LEFT(C49,1))&amp;LOWER(MID(C49,2,30))&amp;" "&amp;LOWER(LEFT(B49,1))&amp;MID(B49,2,200))</f>
        <v/>
      </c>
      <c r="E49" s="4" t="n"/>
      <c r="F49" s="4" t="n"/>
      <c r="G49" s="4" t="n"/>
      <c r="H49" s="4" t="n"/>
      <c r="I49" s="4" t="n"/>
      <c r="J49" s="4" t="n"/>
      <c r="K49" s="5">
        <f>_xlfn.TEXTJOIN(CHAR(10),TRUE,IF(E49="","","• "&amp;E49),IF(F49="","","• "&amp;F49),IF(G49="","","• "&amp;G49),IF(H49="","","• "&amp;H49),IF(I49="","","• "&amp;I49),IF(J49="","","• "&amp;J49))</f>
        <v/>
      </c>
      <c r="L49" s="4" t="n"/>
      <c r="M49" s="19" t="n"/>
      <c r="N49" s="19" t="n"/>
      <c r="O49" s="30">
        <f>IF(OR(M49="",N49=""),"",INDEX(RiskGrid,6-VALUE(LEFT(M49,1)),VALUE(LEFT(N49,1))))</f>
        <v/>
      </c>
      <c r="P49" s="30">
        <f>IF(O49="","",IF(O49&gt;=BandVH,"Very High",IF(O49&gt;=BandHigh,"High",IF(O49&gt;=BandMed,"Medium","Low"))))</f>
        <v/>
      </c>
      <c r="Q49" s="4" t="n"/>
      <c r="R49" s="19" t="n"/>
      <c r="S49" s="4" t="n"/>
      <c r="T49" s="19" t="n"/>
      <c r="U49" s="4" t="n"/>
      <c r="V49" s="19" t="n"/>
      <c r="W49" s="4" t="n"/>
      <c r="X49" s="19" t="n"/>
      <c r="Y49" s="4" t="n"/>
      <c r="Z49" s="19" t="n"/>
      <c r="AA49" s="4" t="n"/>
      <c r="AB49" s="19" t="n"/>
      <c r="AC49" s="5">
        <f>_xlfn.TEXTJOIN(CHAR(10),TRUE,IF(Q49="","","• "&amp;Q49&amp;IF(R49="Yes","  [IPL]","")),IF(S49="","","• "&amp;S49&amp;IF(T49="Yes","  [IPL]","")),IF(U49="","","• "&amp;U49&amp;IF(V49="Yes","  [IPL]","")),IF(W49="","","• "&amp;W49&amp;IF(X49="Yes","  [IPL]","")),IF(Y49="","","• "&amp;Y49&amp;IF(Z49="Yes","  [IPL]","")),IF(AA49="","","• "&amp;AA49&amp;IF(AB49="Yes","  [IPL]","")))</f>
        <v/>
      </c>
      <c r="AD49" s="30">
        <f>IF(AC49="","",COUNTIF(Q49:AB49,"Yes"))</f>
        <v/>
      </c>
      <c r="AE49" s="19" t="n"/>
      <c r="AF49" s="19" t="n"/>
      <c r="AG49" s="30">
        <f>IF(OR(AE49="",AF49=""),"",INDEX(RiskGrid,6-VALUE(LEFT(AE49,1)),VALUE(LEFT(AF49,1))))</f>
        <v/>
      </c>
      <c r="AH49" s="30">
        <f>IF(AG49="","",IF(AG49&gt;=BandVH,"Very High",IF(AG49&gt;=BandHigh,"High",IF(AG49&gt;=BandMed,"Medium","Low"))))</f>
        <v/>
      </c>
      <c r="AI49" s="4" t="n"/>
      <c r="AJ49" s="4" t="n"/>
    </row>
    <row r="50">
      <c r="A50" s="30">
        <f>IF(B50="","",COUNTIF(B$14:B50,"?*"))</f>
        <v/>
      </c>
      <c r="B50" s="4" t="n"/>
      <c r="C50" s="19" t="n"/>
      <c r="D50" s="5">
        <f>IF(OR(B50="",C50=""),"",UPPER(LEFT(C50,1))&amp;LOWER(MID(C50,2,30))&amp;" "&amp;LOWER(LEFT(B50,1))&amp;MID(B50,2,200))</f>
        <v/>
      </c>
      <c r="E50" s="4" t="n"/>
      <c r="F50" s="4" t="n"/>
      <c r="G50" s="4" t="n"/>
      <c r="H50" s="4" t="n"/>
      <c r="I50" s="4" t="n"/>
      <c r="J50" s="4" t="n"/>
      <c r="K50" s="5">
        <f>_xlfn.TEXTJOIN(CHAR(10),TRUE,IF(E50="","","• "&amp;E50),IF(F50="","","• "&amp;F50),IF(G50="","","• "&amp;G50),IF(H50="","","• "&amp;H50),IF(I50="","","• "&amp;I50),IF(J50="","","• "&amp;J50))</f>
        <v/>
      </c>
      <c r="L50" s="4" t="n"/>
      <c r="M50" s="19" t="n"/>
      <c r="N50" s="19" t="n"/>
      <c r="O50" s="30">
        <f>IF(OR(M50="",N50=""),"",INDEX(RiskGrid,6-VALUE(LEFT(M50,1)),VALUE(LEFT(N50,1))))</f>
        <v/>
      </c>
      <c r="P50" s="30">
        <f>IF(O50="","",IF(O50&gt;=BandVH,"Very High",IF(O50&gt;=BandHigh,"High",IF(O50&gt;=BandMed,"Medium","Low"))))</f>
        <v/>
      </c>
      <c r="Q50" s="4" t="n"/>
      <c r="R50" s="19" t="n"/>
      <c r="S50" s="4" t="n"/>
      <c r="T50" s="19" t="n"/>
      <c r="U50" s="4" t="n"/>
      <c r="V50" s="19" t="n"/>
      <c r="W50" s="4" t="n"/>
      <c r="X50" s="19" t="n"/>
      <c r="Y50" s="4" t="n"/>
      <c r="Z50" s="19" t="n"/>
      <c r="AA50" s="4" t="n"/>
      <c r="AB50" s="19" t="n"/>
      <c r="AC50" s="5">
        <f>_xlfn.TEXTJOIN(CHAR(10),TRUE,IF(Q50="","","• "&amp;Q50&amp;IF(R50="Yes","  [IPL]","")),IF(S50="","","• "&amp;S50&amp;IF(T50="Yes","  [IPL]","")),IF(U50="","","• "&amp;U50&amp;IF(V50="Yes","  [IPL]","")),IF(W50="","","• "&amp;W50&amp;IF(X50="Yes","  [IPL]","")),IF(Y50="","","• "&amp;Y50&amp;IF(Z50="Yes","  [IPL]","")),IF(AA50="","","• "&amp;AA50&amp;IF(AB50="Yes","  [IPL]","")))</f>
        <v/>
      </c>
      <c r="AD50" s="30">
        <f>IF(AC50="","",COUNTIF(Q50:AB50,"Yes"))</f>
        <v/>
      </c>
      <c r="AE50" s="19" t="n"/>
      <c r="AF50" s="19" t="n"/>
      <c r="AG50" s="30">
        <f>IF(OR(AE50="",AF50=""),"",INDEX(RiskGrid,6-VALUE(LEFT(AE50,1)),VALUE(LEFT(AF50,1))))</f>
        <v/>
      </c>
      <c r="AH50" s="30">
        <f>IF(AG50="","",IF(AG50&gt;=BandVH,"Very High",IF(AG50&gt;=BandHigh,"High",IF(AG50&gt;=BandMed,"Medium","Low"))))</f>
        <v/>
      </c>
      <c r="AI50" s="4" t="n"/>
      <c r="AJ50" s="4" t="n"/>
    </row>
    <row r="51">
      <c r="A51" s="30">
        <f>IF(B51="","",COUNTIF(B$14:B51,"?*"))</f>
        <v/>
      </c>
      <c r="B51" s="4" t="n"/>
      <c r="C51" s="19" t="n"/>
      <c r="D51" s="5">
        <f>IF(OR(B51="",C51=""),"",UPPER(LEFT(C51,1))&amp;LOWER(MID(C51,2,30))&amp;" "&amp;LOWER(LEFT(B51,1))&amp;MID(B51,2,200))</f>
        <v/>
      </c>
      <c r="E51" s="4" t="n"/>
      <c r="F51" s="4" t="n"/>
      <c r="G51" s="4" t="n"/>
      <c r="H51" s="4" t="n"/>
      <c r="I51" s="4" t="n"/>
      <c r="J51" s="4" t="n"/>
      <c r="K51" s="5">
        <f>_xlfn.TEXTJOIN(CHAR(10),TRUE,IF(E51="","","• "&amp;E51),IF(F51="","","• "&amp;F51),IF(G51="","","• "&amp;G51),IF(H51="","","• "&amp;H51),IF(I51="","","• "&amp;I51),IF(J51="","","• "&amp;J51))</f>
        <v/>
      </c>
      <c r="L51" s="4" t="n"/>
      <c r="M51" s="19" t="n"/>
      <c r="N51" s="19" t="n"/>
      <c r="O51" s="30">
        <f>IF(OR(M51="",N51=""),"",INDEX(RiskGrid,6-VALUE(LEFT(M51,1)),VALUE(LEFT(N51,1))))</f>
        <v/>
      </c>
      <c r="P51" s="30">
        <f>IF(O51="","",IF(O51&gt;=BandVH,"Very High",IF(O51&gt;=BandHigh,"High",IF(O51&gt;=BandMed,"Medium","Low"))))</f>
        <v/>
      </c>
      <c r="Q51" s="4" t="n"/>
      <c r="R51" s="19" t="n"/>
      <c r="S51" s="4" t="n"/>
      <c r="T51" s="19" t="n"/>
      <c r="U51" s="4" t="n"/>
      <c r="V51" s="19" t="n"/>
      <c r="W51" s="4" t="n"/>
      <c r="X51" s="19" t="n"/>
      <c r="Y51" s="4" t="n"/>
      <c r="Z51" s="19" t="n"/>
      <c r="AA51" s="4" t="n"/>
      <c r="AB51" s="19" t="n"/>
      <c r="AC51" s="5">
        <f>_xlfn.TEXTJOIN(CHAR(10),TRUE,IF(Q51="","","• "&amp;Q51&amp;IF(R51="Yes","  [IPL]","")),IF(S51="","","• "&amp;S51&amp;IF(T51="Yes","  [IPL]","")),IF(U51="","","• "&amp;U51&amp;IF(V51="Yes","  [IPL]","")),IF(W51="","","• "&amp;W51&amp;IF(X51="Yes","  [IPL]","")),IF(Y51="","","• "&amp;Y51&amp;IF(Z51="Yes","  [IPL]","")),IF(AA51="","","• "&amp;AA51&amp;IF(AB51="Yes","  [IPL]","")))</f>
        <v/>
      </c>
      <c r="AD51" s="30">
        <f>IF(AC51="","",COUNTIF(Q51:AB51,"Yes"))</f>
        <v/>
      </c>
      <c r="AE51" s="19" t="n"/>
      <c r="AF51" s="19" t="n"/>
      <c r="AG51" s="30">
        <f>IF(OR(AE51="",AF51=""),"",INDEX(RiskGrid,6-VALUE(LEFT(AE51,1)),VALUE(LEFT(AF51,1))))</f>
        <v/>
      </c>
      <c r="AH51" s="30">
        <f>IF(AG51="","",IF(AG51&gt;=BandVH,"Very High",IF(AG51&gt;=BandHigh,"High",IF(AG51&gt;=BandMed,"Medium","Low"))))</f>
        <v/>
      </c>
      <c r="AI51" s="4" t="n"/>
      <c r="AJ51" s="4" t="n"/>
    </row>
    <row r="52">
      <c r="A52" s="30">
        <f>IF(B52="","",COUNTIF(B$14:B52,"?*"))</f>
        <v/>
      </c>
      <c r="B52" s="4" t="n"/>
      <c r="C52" s="19" t="n"/>
      <c r="D52" s="5">
        <f>IF(OR(B52="",C52=""),"",UPPER(LEFT(C52,1))&amp;LOWER(MID(C52,2,30))&amp;" "&amp;LOWER(LEFT(B52,1))&amp;MID(B52,2,200))</f>
        <v/>
      </c>
      <c r="E52" s="4" t="n"/>
      <c r="F52" s="4" t="n"/>
      <c r="G52" s="4" t="n"/>
      <c r="H52" s="4" t="n"/>
      <c r="I52" s="4" t="n"/>
      <c r="J52" s="4" t="n"/>
      <c r="K52" s="5">
        <f>_xlfn.TEXTJOIN(CHAR(10),TRUE,IF(E52="","","• "&amp;E52),IF(F52="","","• "&amp;F52),IF(G52="","","• "&amp;G52),IF(H52="","","• "&amp;H52),IF(I52="","","• "&amp;I52),IF(J52="","","• "&amp;J52))</f>
        <v/>
      </c>
      <c r="L52" s="4" t="n"/>
      <c r="M52" s="19" t="n"/>
      <c r="N52" s="19" t="n"/>
      <c r="O52" s="30">
        <f>IF(OR(M52="",N52=""),"",INDEX(RiskGrid,6-VALUE(LEFT(M52,1)),VALUE(LEFT(N52,1))))</f>
        <v/>
      </c>
      <c r="P52" s="30">
        <f>IF(O52="","",IF(O52&gt;=BandVH,"Very High",IF(O52&gt;=BandHigh,"High",IF(O52&gt;=BandMed,"Medium","Low"))))</f>
        <v/>
      </c>
      <c r="Q52" s="4" t="n"/>
      <c r="R52" s="19" t="n"/>
      <c r="S52" s="4" t="n"/>
      <c r="T52" s="19" t="n"/>
      <c r="U52" s="4" t="n"/>
      <c r="V52" s="19" t="n"/>
      <c r="W52" s="4" t="n"/>
      <c r="X52" s="19" t="n"/>
      <c r="Y52" s="4" t="n"/>
      <c r="Z52" s="19" t="n"/>
      <c r="AA52" s="4" t="n"/>
      <c r="AB52" s="19" t="n"/>
      <c r="AC52" s="5">
        <f>_xlfn.TEXTJOIN(CHAR(10),TRUE,IF(Q52="","","• "&amp;Q52&amp;IF(R52="Yes","  [IPL]","")),IF(S52="","","• "&amp;S52&amp;IF(T52="Yes","  [IPL]","")),IF(U52="","","• "&amp;U52&amp;IF(V52="Yes","  [IPL]","")),IF(W52="","","• "&amp;W52&amp;IF(X52="Yes","  [IPL]","")),IF(Y52="","","• "&amp;Y52&amp;IF(Z52="Yes","  [IPL]","")),IF(AA52="","","• "&amp;AA52&amp;IF(AB52="Yes","  [IPL]","")))</f>
        <v/>
      </c>
      <c r="AD52" s="30">
        <f>IF(AC52="","",COUNTIF(Q52:AB52,"Yes"))</f>
        <v/>
      </c>
      <c r="AE52" s="19" t="n"/>
      <c r="AF52" s="19" t="n"/>
      <c r="AG52" s="30">
        <f>IF(OR(AE52="",AF52=""),"",INDEX(RiskGrid,6-VALUE(LEFT(AE52,1)),VALUE(LEFT(AF52,1))))</f>
        <v/>
      </c>
      <c r="AH52" s="30">
        <f>IF(AG52="","",IF(AG52&gt;=BandVH,"Very High",IF(AG52&gt;=BandHigh,"High",IF(AG52&gt;=BandMed,"Medium","Low"))))</f>
        <v/>
      </c>
      <c r="AI52" s="4" t="n"/>
      <c r="AJ52" s="4" t="n"/>
    </row>
    <row r="53">
      <c r="A53" s="30">
        <f>IF(B53="","",COUNTIF(B$14:B53,"?*"))</f>
        <v/>
      </c>
      <c r="B53" s="4" t="n"/>
      <c r="C53" s="19" t="n"/>
      <c r="D53" s="5">
        <f>IF(OR(B53="",C53=""),"",UPPER(LEFT(C53,1))&amp;LOWER(MID(C53,2,30))&amp;" "&amp;LOWER(LEFT(B53,1))&amp;MID(B53,2,200))</f>
        <v/>
      </c>
      <c r="E53" s="4" t="n"/>
      <c r="F53" s="4" t="n"/>
      <c r="G53" s="4" t="n"/>
      <c r="H53" s="4" t="n"/>
      <c r="I53" s="4" t="n"/>
      <c r="J53" s="4" t="n"/>
      <c r="K53" s="5">
        <f>_xlfn.TEXTJOIN(CHAR(10),TRUE,IF(E53="","","• "&amp;E53),IF(F53="","","• "&amp;F53),IF(G53="","","• "&amp;G53),IF(H53="","","• "&amp;H53),IF(I53="","","• "&amp;I53),IF(J53="","","• "&amp;J53))</f>
        <v/>
      </c>
      <c r="L53" s="4" t="n"/>
      <c r="M53" s="19" t="n"/>
      <c r="N53" s="19" t="n"/>
      <c r="O53" s="30">
        <f>IF(OR(M53="",N53=""),"",INDEX(RiskGrid,6-VALUE(LEFT(M53,1)),VALUE(LEFT(N53,1))))</f>
        <v/>
      </c>
      <c r="P53" s="30">
        <f>IF(O53="","",IF(O53&gt;=BandVH,"Very High",IF(O53&gt;=BandHigh,"High",IF(O53&gt;=BandMed,"Medium","Low"))))</f>
        <v/>
      </c>
      <c r="Q53" s="4" t="n"/>
      <c r="R53" s="19" t="n"/>
      <c r="S53" s="4" t="n"/>
      <c r="T53" s="19" t="n"/>
      <c r="U53" s="4" t="n"/>
      <c r="V53" s="19" t="n"/>
      <c r="W53" s="4" t="n"/>
      <c r="X53" s="19" t="n"/>
      <c r="Y53" s="4" t="n"/>
      <c r="Z53" s="19" t="n"/>
      <c r="AA53" s="4" t="n"/>
      <c r="AB53" s="19" t="n"/>
      <c r="AC53" s="5">
        <f>_xlfn.TEXTJOIN(CHAR(10),TRUE,IF(Q53="","","• "&amp;Q53&amp;IF(R53="Yes","  [IPL]","")),IF(S53="","","• "&amp;S53&amp;IF(T53="Yes","  [IPL]","")),IF(U53="","","• "&amp;U53&amp;IF(V53="Yes","  [IPL]","")),IF(W53="","","• "&amp;W53&amp;IF(X53="Yes","  [IPL]","")),IF(Y53="","","• "&amp;Y53&amp;IF(Z53="Yes","  [IPL]","")),IF(AA53="","","• "&amp;AA53&amp;IF(AB53="Yes","  [IPL]","")))</f>
        <v/>
      </c>
      <c r="AD53" s="30">
        <f>IF(AC53="","",COUNTIF(Q53:AB53,"Yes"))</f>
        <v/>
      </c>
      <c r="AE53" s="19" t="n"/>
      <c r="AF53" s="19" t="n"/>
      <c r="AG53" s="30">
        <f>IF(OR(AE53="",AF53=""),"",INDEX(RiskGrid,6-VALUE(LEFT(AE53,1)),VALUE(LEFT(AF53,1))))</f>
        <v/>
      </c>
      <c r="AH53" s="30">
        <f>IF(AG53="","",IF(AG53&gt;=BandVH,"Very High",IF(AG53&gt;=BandHigh,"High",IF(AG53&gt;=BandMed,"Medium","Low"))))</f>
        <v/>
      </c>
      <c r="AI53" s="4" t="n"/>
      <c r="AJ53" s="4" t="n"/>
    </row>
    <row r="54">
      <c r="A54" s="30">
        <f>IF(B54="","",COUNTIF(B$14:B54,"?*"))</f>
        <v/>
      </c>
      <c r="B54" s="4" t="n"/>
      <c r="C54" s="19" t="n"/>
      <c r="D54" s="5">
        <f>IF(OR(B54="",C54=""),"",UPPER(LEFT(C54,1))&amp;LOWER(MID(C54,2,30))&amp;" "&amp;LOWER(LEFT(B54,1))&amp;MID(B54,2,200))</f>
        <v/>
      </c>
      <c r="E54" s="4" t="n"/>
      <c r="F54" s="4" t="n"/>
      <c r="G54" s="4" t="n"/>
      <c r="H54" s="4" t="n"/>
      <c r="I54" s="4" t="n"/>
      <c r="J54" s="4" t="n"/>
      <c r="K54" s="5">
        <f>_xlfn.TEXTJOIN(CHAR(10),TRUE,IF(E54="","","• "&amp;E54),IF(F54="","","• "&amp;F54),IF(G54="","","• "&amp;G54),IF(H54="","","• "&amp;H54),IF(I54="","","• "&amp;I54),IF(J54="","","• "&amp;J54))</f>
        <v/>
      </c>
      <c r="L54" s="4" t="n"/>
      <c r="M54" s="19" t="n"/>
      <c r="N54" s="19" t="n"/>
      <c r="O54" s="30">
        <f>IF(OR(M54="",N54=""),"",INDEX(RiskGrid,6-VALUE(LEFT(M54,1)),VALUE(LEFT(N54,1))))</f>
        <v/>
      </c>
      <c r="P54" s="30">
        <f>IF(O54="","",IF(O54&gt;=BandVH,"Very High",IF(O54&gt;=BandHigh,"High",IF(O54&gt;=BandMed,"Medium","Low"))))</f>
        <v/>
      </c>
      <c r="Q54" s="4" t="n"/>
      <c r="R54" s="19" t="n"/>
      <c r="S54" s="4" t="n"/>
      <c r="T54" s="19" t="n"/>
      <c r="U54" s="4" t="n"/>
      <c r="V54" s="19" t="n"/>
      <c r="W54" s="4" t="n"/>
      <c r="X54" s="19" t="n"/>
      <c r="Y54" s="4" t="n"/>
      <c r="Z54" s="19" t="n"/>
      <c r="AA54" s="4" t="n"/>
      <c r="AB54" s="19" t="n"/>
      <c r="AC54" s="5">
        <f>_xlfn.TEXTJOIN(CHAR(10),TRUE,IF(Q54="","","• "&amp;Q54&amp;IF(R54="Yes","  [IPL]","")),IF(S54="","","• "&amp;S54&amp;IF(T54="Yes","  [IPL]","")),IF(U54="","","• "&amp;U54&amp;IF(V54="Yes","  [IPL]","")),IF(W54="","","• "&amp;W54&amp;IF(X54="Yes","  [IPL]","")),IF(Y54="","","• "&amp;Y54&amp;IF(Z54="Yes","  [IPL]","")),IF(AA54="","","• "&amp;AA54&amp;IF(AB54="Yes","  [IPL]","")))</f>
        <v/>
      </c>
      <c r="AD54" s="30">
        <f>IF(AC54="","",COUNTIF(Q54:AB54,"Yes"))</f>
        <v/>
      </c>
      <c r="AE54" s="19" t="n"/>
      <c r="AF54" s="19" t="n"/>
      <c r="AG54" s="30">
        <f>IF(OR(AE54="",AF54=""),"",INDEX(RiskGrid,6-VALUE(LEFT(AE54,1)),VALUE(LEFT(AF54,1))))</f>
        <v/>
      </c>
      <c r="AH54" s="30">
        <f>IF(AG54="","",IF(AG54&gt;=BandVH,"Very High",IF(AG54&gt;=BandHigh,"High",IF(AG54&gt;=BandMed,"Medium","Low"))))</f>
        <v/>
      </c>
      <c r="AI54" s="4" t="n"/>
      <c r="AJ54" s="4" t="n"/>
    </row>
    <row r="55">
      <c r="A55" s="30">
        <f>IF(B55="","",COUNTIF(B$14:B55,"?*"))</f>
        <v/>
      </c>
      <c r="B55" s="4" t="n"/>
      <c r="C55" s="19" t="n"/>
      <c r="D55" s="5">
        <f>IF(OR(B55="",C55=""),"",UPPER(LEFT(C55,1))&amp;LOWER(MID(C55,2,30))&amp;" "&amp;LOWER(LEFT(B55,1))&amp;MID(B55,2,200))</f>
        <v/>
      </c>
      <c r="E55" s="4" t="n"/>
      <c r="F55" s="4" t="n"/>
      <c r="G55" s="4" t="n"/>
      <c r="H55" s="4" t="n"/>
      <c r="I55" s="4" t="n"/>
      <c r="J55" s="4" t="n"/>
      <c r="K55" s="5">
        <f>_xlfn.TEXTJOIN(CHAR(10),TRUE,IF(E55="","","• "&amp;E55),IF(F55="","","• "&amp;F55),IF(G55="","","• "&amp;G55),IF(H55="","","• "&amp;H55),IF(I55="","","• "&amp;I55),IF(J55="","","• "&amp;J55))</f>
        <v/>
      </c>
      <c r="L55" s="4" t="n"/>
      <c r="M55" s="19" t="n"/>
      <c r="N55" s="19" t="n"/>
      <c r="O55" s="30">
        <f>IF(OR(M55="",N55=""),"",INDEX(RiskGrid,6-VALUE(LEFT(M55,1)),VALUE(LEFT(N55,1))))</f>
        <v/>
      </c>
      <c r="P55" s="30">
        <f>IF(O55="","",IF(O55&gt;=BandVH,"Very High",IF(O55&gt;=BandHigh,"High",IF(O55&gt;=BandMed,"Medium","Low"))))</f>
        <v/>
      </c>
      <c r="Q55" s="4" t="n"/>
      <c r="R55" s="19" t="n"/>
      <c r="S55" s="4" t="n"/>
      <c r="T55" s="19" t="n"/>
      <c r="U55" s="4" t="n"/>
      <c r="V55" s="19" t="n"/>
      <c r="W55" s="4" t="n"/>
      <c r="X55" s="19" t="n"/>
      <c r="Y55" s="4" t="n"/>
      <c r="Z55" s="19" t="n"/>
      <c r="AA55" s="4" t="n"/>
      <c r="AB55" s="19" t="n"/>
      <c r="AC55" s="5">
        <f>_xlfn.TEXTJOIN(CHAR(10),TRUE,IF(Q55="","","• "&amp;Q55&amp;IF(R55="Yes","  [IPL]","")),IF(S55="","","• "&amp;S55&amp;IF(T55="Yes","  [IPL]","")),IF(U55="","","• "&amp;U55&amp;IF(V55="Yes","  [IPL]","")),IF(W55="","","• "&amp;W55&amp;IF(X55="Yes","  [IPL]","")),IF(Y55="","","• "&amp;Y55&amp;IF(Z55="Yes","  [IPL]","")),IF(AA55="","","• "&amp;AA55&amp;IF(AB55="Yes","  [IPL]","")))</f>
        <v/>
      </c>
      <c r="AD55" s="30">
        <f>IF(AC55="","",COUNTIF(Q55:AB55,"Yes"))</f>
        <v/>
      </c>
      <c r="AE55" s="19" t="n"/>
      <c r="AF55" s="19" t="n"/>
      <c r="AG55" s="30">
        <f>IF(OR(AE55="",AF55=""),"",INDEX(RiskGrid,6-VALUE(LEFT(AE55,1)),VALUE(LEFT(AF55,1))))</f>
        <v/>
      </c>
      <c r="AH55" s="30">
        <f>IF(AG55="","",IF(AG55&gt;=BandVH,"Very High",IF(AG55&gt;=BandHigh,"High",IF(AG55&gt;=BandMed,"Medium","Low"))))</f>
        <v/>
      </c>
      <c r="AI55" s="4" t="n"/>
      <c r="AJ55" s="4" t="n"/>
    </row>
    <row r="56">
      <c r="A56" s="30">
        <f>IF(B56="","",COUNTIF(B$14:B56,"?*"))</f>
        <v/>
      </c>
      <c r="B56" s="4" t="n"/>
      <c r="C56" s="19" t="n"/>
      <c r="D56" s="5">
        <f>IF(OR(B56="",C56=""),"",UPPER(LEFT(C56,1))&amp;LOWER(MID(C56,2,30))&amp;" "&amp;LOWER(LEFT(B56,1))&amp;MID(B56,2,200))</f>
        <v/>
      </c>
      <c r="E56" s="4" t="n"/>
      <c r="F56" s="4" t="n"/>
      <c r="G56" s="4" t="n"/>
      <c r="H56" s="4" t="n"/>
      <c r="I56" s="4" t="n"/>
      <c r="J56" s="4" t="n"/>
      <c r="K56" s="5">
        <f>_xlfn.TEXTJOIN(CHAR(10),TRUE,IF(E56="","","• "&amp;E56),IF(F56="","","• "&amp;F56),IF(G56="","","• "&amp;G56),IF(H56="","","• "&amp;H56),IF(I56="","","• "&amp;I56),IF(J56="","","• "&amp;J56))</f>
        <v/>
      </c>
      <c r="L56" s="4" t="n"/>
      <c r="M56" s="19" t="n"/>
      <c r="N56" s="19" t="n"/>
      <c r="O56" s="30">
        <f>IF(OR(M56="",N56=""),"",INDEX(RiskGrid,6-VALUE(LEFT(M56,1)),VALUE(LEFT(N56,1))))</f>
        <v/>
      </c>
      <c r="P56" s="30">
        <f>IF(O56="","",IF(O56&gt;=BandVH,"Very High",IF(O56&gt;=BandHigh,"High",IF(O56&gt;=BandMed,"Medium","Low"))))</f>
        <v/>
      </c>
      <c r="Q56" s="4" t="n"/>
      <c r="R56" s="19" t="n"/>
      <c r="S56" s="4" t="n"/>
      <c r="T56" s="19" t="n"/>
      <c r="U56" s="4" t="n"/>
      <c r="V56" s="19" t="n"/>
      <c r="W56" s="4" t="n"/>
      <c r="X56" s="19" t="n"/>
      <c r="Y56" s="4" t="n"/>
      <c r="Z56" s="19" t="n"/>
      <c r="AA56" s="4" t="n"/>
      <c r="AB56" s="19" t="n"/>
      <c r="AC56" s="5">
        <f>_xlfn.TEXTJOIN(CHAR(10),TRUE,IF(Q56="","","• "&amp;Q56&amp;IF(R56="Yes","  [IPL]","")),IF(S56="","","• "&amp;S56&amp;IF(T56="Yes","  [IPL]","")),IF(U56="","","• "&amp;U56&amp;IF(V56="Yes","  [IPL]","")),IF(W56="","","• "&amp;W56&amp;IF(X56="Yes","  [IPL]","")),IF(Y56="","","• "&amp;Y56&amp;IF(Z56="Yes","  [IPL]","")),IF(AA56="","","• "&amp;AA56&amp;IF(AB56="Yes","  [IPL]","")))</f>
        <v/>
      </c>
      <c r="AD56" s="30">
        <f>IF(AC56="","",COUNTIF(Q56:AB56,"Yes"))</f>
        <v/>
      </c>
      <c r="AE56" s="19" t="n"/>
      <c r="AF56" s="19" t="n"/>
      <c r="AG56" s="30">
        <f>IF(OR(AE56="",AF56=""),"",INDEX(RiskGrid,6-VALUE(LEFT(AE56,1)),VALUE(LEFT(AF56,1))))</f>
        <v/>
      </c>
      <c r="AH56" s="30">
        <f>IF(AG56="","",IF(AG56&gt;=BandVH,"Very High",IF(AG56&gt;=BandHigh,"High",IF(AG56&gt;=BandMed,"Medium","Low"))))</f>
        <v/>
      </c>
      <c r="AI56" s="4" t="n"/>
      <c r="AJ56" s="4" t="n"/>
    </row>
    <row r="57">
      <c r="A57" s="30">
        <f>IF(B57="","",COUNTIF(B$14:B57,"?*"))</f>
        <v/>
      </c>
      <c r="B57" s="4" t="n"/>
      <c r="C57" s="19" t="n"/>
      <c r="D57" s="5">
        <f>IF(OR(B57="",C57=""),"",UPPER(LEFT(C57,1))&amp;LOWER(MID(C57,2,30))&amp;" "&amp;LOWER(LEFT(B57,1))&amp;MID(B57,2,200))</f>
        <v/>
      </c>
      <c r="E57" s="4" t="n"/>
      <c r="F57" s="4" t="n"/>
      <c r="G57" s="4" t="n"/>
      <c r="H57" s="4" t="n"/>
      <c r="I57" s="4" t="n"/>
      <c r="J57" s="4" t="n"/>
      <c r="K57" s="5">
        <f>_xlfn.TEXTJOIN(CHAR(10),TRUE,IF(E57="","","• "&amp;E57),IF(F57="","","• "&amp;F57),IF(G57="","","• "&amp;G57),IF(H57="","","• "&amp;H57),IF(I57="","","• "&amp;I57),IF(J57="","","• "&amp;J57))</f>
        <v/>
      </c>
      <c r="L57" s="4" t="n"/>
      <c r="M57" s="19" t="n"/>
      <c r="N57" s="19" t="n"/>
      <c r="O57" s="30">
        <f>IF(OR(M57="",N57=""),"",INDEX(RiskGrid,6-VALUE(LEFT(M57,1)),VALUE(LEFT(N57,1))))</f>
        <v/>
      </c>
      <c r="P57" s="30">
        <f>IF(O57="","",IF(O57&gt;=BandVH,"Very High",IF(O57&gt;=BandHigh,"High",IF(O57&gt;=BandMed,"Medium","Low"))))</f>
        <v/>
      </c>
      <c r="Q57" s="4" t="n"/>
      <c r="R57" s="19" t="n"/>
      <c r="S57" s="4" t="n"/>
      <c r="T57" s="19" t="n"/>
      <c r="U57" s="4" t="n"/>
      <c r="V57" s="19" t="n"/>
      <c r="W57" s="4" t="n"/>
      <c r="X57" s="19" t="n"/>
      <c r="Y57" s="4" t="n"/>
      <c r="Z57" s="19" t="n"/>
      <c r="AA57" s="4" t="n"/>
      <c r="AB57" s="19" t="n"/>
      <c r="AC57" s="5">
        <f>_xlfn.TEXTJOIN(CHAR(10),TRUE,IF(Q57="","","• "&amp;Q57&amp;IF(R57="Yes","  [IPL]","")),IF(S57="","","• "&amp;S57&amp;IF(T57="Yes","  [IPL]","")),IF(U57="","","• "&amp;U57&amp;IF(V57="Yes","  [IPL]","")),IF(W57="","","• "&amp;W57&amp;IF(X57="Yes","  [IPL]","")),IF(Y57="","","• "&amp;Y57&amp;IF(Z57="Yes","  [IPL]","")),IF(AA57="","","• "&amp;AA57&amp;IF(AB57="Yes","  [IPL]","")))</f>
        <v/>
      </c>
      <c r="AD57" s="30">
        <f>IF(AC57="","",COUNTIF(Q57:AB57,"Yes"))</f>
        <v/>
      </c>
      <c r="AE57" s="19" t="n"/>
      <c r="AF57" s="19" t="n"/>
      <c r="AG57" s="30">
        <f>IF(OR(AE57="",AF57=""),"",INDEX(RiskGrid,6-VALUE(LEFT(AE57,1)),VALUE(LEFT(AF57,1))))</f>
        <v/>
      </c>
      <c r="AH57" s="30">
        <f>IF(AG57="","",IF(AG57&gt;=BandVH,"Very High",IF(AG57&gt;=BandHigh,"High",IF(AG57&gt;=BandMed,"Medium","Low"))))</f>
        <v/>
      </c>
      <c r="AI57" s="4" t="n"/>
      <c r="AJ57" s="4" t="n"/>
    </row>
    <row r="58">
      <c r="A58" s="30">
        <f>IF(B58="","",COUNTIF(B$14:B58,"?*"))</f>
        <v/>
      </c>
      <c r="B58" s="4" t="n"/>
      <c r="C58" s="19" t="n"/>
      <c r="D58" s="5">
        <f>IF(OR(B58="",C58=""),"",UPPER(LEFT(C58,1))&amp;LOWER(MID(C58,2,30))&amp;" "&amp;LOWER(LEFT(B58,1))&amp;MID(B58,2,200))</f>
        <v/>
      </c>
      <c r="E58" s="4" t="n"/>
      <c r="F58" s="4" t="n"/>
      <c r="G58" s="4" t="n"/>
      <c r="H58" s="4" t="n"/>
      <c r="I58" s="4" t="n"/>
      <c r="J58" s="4" t="n"/>
      <c r="K58" s="5">
        <f>_xlfn.TEXTJOIN(CHAR(10),TRUE,IF(E58="","","• "&amp;E58),IF(F58="","","• "&amp;F58),IF(G58="","","• "&amp;G58),IF(H58="","","• "&amp;H58),IF(I58="","","• "&amp;I58),IF(J58="","","• "&amp;J58))</f>
        <v/>
      </c>
      <c r="L58" s="4" t="n"/>
      <c r="M58" s="19" t="n"/>
      <c r="N58" s="19" t="n"/>
      <c r="O58" s="30">
        <f>IF(OR(M58="",N58=""),"",INDEX(RiskGrid,6-VALUE(LEFT(M58,1)),VALUE(LEFT(N58,1))))</f>
        <v/>
      </c>
      <c r="P58" s="30">
        <f>IF(O58="","",IF(O58&gt;=BandVH,"Very High",IF(O58&gt;=BandHigh,"High",IF(O58&gt;=BandMed,"Medium","Low"))))</f>
        <v/>
      </c>
      <c r="Q58" s="4" t="n"/>
      <c r="R58" s="19" t="n"/>
      <c r="S58" s="4" t="n"/>
      <c r="T58" s="19" t="n"/>
      <c r="U58" s="4" t="n"/>
      <c r="V58" s="19" t="n"/>
      <c r="W58" s="4" t="n"/>
      <c r="X58" s="19" t="n"/>
      <c r="Y58" s="4" t="n"/>
      <c r="Z58" s="19" t="n"/>
      <c r="AA58" s="4" t="n"/>
      <c r="AB58" s="19" t="n"/>
      <c r="AC58" s="5">
        <f>_xlfn.TEXTJOIN(CHAR(10),TRUE,IF(Q58="","","• "&amp;Q58&amp;IF(R58="Yes","  [IPL]","")),IF(S58="","","• "&amp;S58&amp;IF(T58="Yes","  [IPL]","")),IF(U58="","","• "&amp;U58&amp;IF(V58="Yes","  [IPL]","")),IF(W58="","","• "&amp;W58&amp;IF(X58="Yes","  [IPL]","")),IF(Y58="","","• "&amp;Y58&amp;IF(Z58="Yes","  [IPL]","")),IF(AA58="","","• "&amp;AA58&amp;IF(AB58="Yes","  [IPL]","")))</f>
        <v/>
      </c>
      <c r="AD58" s="30">
        <f>IF(AC58="","",COUNTIF(Q58:AB58,"Yes"))</f>
        <v/>
      </c>
      <c r="AE58" s="19" t="n"/>
      <c r="AF58" s="19" t="n"/>
      <c r="AG58" s="30">
        <f>IF(OR(AE58="",AF58=""),"",INDEX(RiskGrid,6-VALUE(LEFT(AE58,1)),VALUE(LEFT(AF58,1))))</f>
        <v/>
      </c>
      <c r="AH58" s="30">
        <f>IF(AG58="","",IF(AG58&gt;=BandVH,"Very High",IF(AG58&gt;=BandHigh,"High",IF(AG58&gt;=BandMed,"Medium","Low"))))</f>
        <v/>
      </c>
      <c r="AI58" s="4" t="n"/>
      <c r="AJ58" s="4" t="n"/>
    </row>
    <row r="59">
      <c r="A59" s="30">
        <f>IF(B59="","",COUNTIF(B$14:B59,"?*"))</f>
        <v/>
      </c>
      <c r="B59" s="4" t="n"/>
      <c r="C59" s="19" t="n"/>
      <c r="D59" s="5">
        <f>IF(OR(B59="",C59=""),"",UPPER(LEFT(C59,1))&amp;LOWER(MID(C59,2,30))&amp;" "&amp;LOWER(LEFT(B59,1))&amp;MID(B59,2,200))</f>
        <v/>
      </c>
      <c r="E59" s="4" t="n"/>
      <c r="F59" s="4" t="n"/>
      <c r="G59" s="4" t="n"/>
      <c r="H59" s="4" t="n"/>
      <c r="I59" s="4" t="n"/>
      <c r="J59" s="4" t="n"/>
      <c r="K59" s="5">
        <f>_xlfn.TEXTJOIN(CHAR(10),TRUE,IF(E59="","","• "&amp;E59),IF(F59="","","• "&amp;F59),IF(G59="","","• "&amp;G59),IF(H59="","","• "&amp;H59),IF(I59="","","• "&amp;I59),IF(J59="","","• "&amp;J59))</f>
        <v/>
      </c>
      <c r="L59" s="4" t="n"/>
      <c r="M59" s="19" t="n"/>
      <c r="N59" s="19" t="n"/>
      <c r="O59" s="30">
        <f>IF(OR(M59="",N59=""),"",INDEX(RiskGrid,6-VALUE(LEFT(M59,1)),VALUE(LEFT(N59,1))))</f>
        <v/>
      </c>
      <c r="P59" s="30">
        <f>IF(O59="","",IF(O59&gt;=BandVH,"Very High",IF(O59&gt;=BandHigh,"High",IF(O59&gt;=BandMed,"Medium","Low"))))</f>
        <v/>
      </c>
      <c r="Q59" s="4" t="n"/>
      <c r="R59" s="19" t="n"/>
      <c r="S59" s="4" t="n"/>
      <c r="T59" s="19" t="n"/>
      <c r="U59" s="4" t="n"/>
      <c r="V59" s="19" t="n"/>
      <c r="W59" s="4" t="n"/>
      <c r="X59" s="19" t="n"/>
      <c r="Y59" s="4" t="n"/>
      <c r="Z59" s="19" t="n"/>
      <c r="AA59" s="4" t="n"/>
      <c r="AB59" s="19" t="n"/>
      <c r="AC59" s="5">
        <f>_xlfn.TEXTJOIN(CHAR(10),TRUE,IF(Q59="","","• "&amp;Q59&amp;IF(R59="Yes","  [IPL]","")),IF(S59="","","• "&amp;S59&amp;IF(T59="Yes","  [IPL]","")),IF(U59="","","• "&amp;U59&amp;IF(V59="Yes","  [IPL]","")),IF(W59="","","• "&amp;W59&amp;IF(X59="Yes","  [IPL]","")),IF(Y59="","","• "&amp;Y59&amp;IF(Z59="Yes","  [IPL]","")),IF(AA59="","","• "&amp;AA59&amp;IF(AB59="Yes","  [IPL]","")))</f>
        <v/>
      </c>
      <c r="AD59" s="30">
        <f>IF(AC59="","",COUNTIF(Q59:AB59,"Yes"))</f>
        <v/>
      </c>
      <c r="AE59" s="19" t="n"/>
      <c r="AF59" s="19" t="n"/>
      <c r="AG59" s="30">
        <f>IF(OR(AE59="",AF59=""),"",INDEX(RiskGrid,6-VALUE(LEFT(AE59,1)),VALUE(LEFT(AF59,1))))</f>
        <v/>
      </c>
      <c r="AH59" s="30">
        <f>IF(AG59="","",IF(AG59&gt;=BandVH,"Very High",IF(AG59&gt;=BandHigh,"High",IF(AG59&gt;=BandMed,"Medium","Low"))))</f>
        <v/>
      </c>
      <c r="AI59" s="4" t="n"/>
      <c r="AJ59" s="4" t="n"/>
    </row>
    <row r="60">
      <c r="A60" s="30">
        <f>IF(B60="","",COUNTIF(B$14:B60,"?*"))</f>
        <v/>
      </c>
      <c r="B60" s="4" t="n"/>
      <c r="C60" s="19" t="n"/>
      <c r="D60" s="5">
        <f>IF(OR(B60="",C60=""),"",UPPER(LEFT(C60,1))&amp;LOWER(MID(C60,2,30))&amp;" "&amp;LOWER(LEFT(B60,1))&amp;MID(B60,2,200))</f>
        <v/>
      </c>
      <c r="E60" s="4" t="n"/>
      <c r="F60" s="4" t="n"/>
      <c r="G60" s="4" t="n"/>
      <c r="H60" s="4" t="n"/>
      <c r="I60" s="4" t="n"/>
      <c r="J60" s="4" t="n"/>
      <c r="K60" s="5">
        <f>_xlfn.TEXTJOIN(CHAR(10),TRUE,IF(E60="","","• "&amp;E60),IF(F60="","","• "&amp;F60),IF(G60="","","• "&amp;G60),IF(H60="","","• "&amp;H60),IF(I60="","","• "&amp;I60),IF(J60="","","• "&amp;J60))</f>
        <v/>
      </c>
      <c r="L60" s="4" t="n"/>
      <c r="M60" s="19" t="n"/>
      <c r="N60" s="19" t="n"/>
      <c r="O60" s="30">
        <f>IF(OR(M60="",N60=""),"",INDEX(RiskGrid,6-VALUE(LEFT(M60,1)),VALUE(LEFT(N60,1))))</f>
        <v/>
      </c>
      <c r="P60" s="30">
        <f>IF(O60="","",IF(O60&gt;=BandVH,"Very High",IF(O60&gt;=BandHigh,"High",IF(O60&gt;=BandMed,"Medium","Low"))))</f>
        <v/>
      </c>
      <c r="Q60" s="4" t="n"/>
      <c r="R60" s="19" t="n"/>
      <c r="S60" s="4" t="n"/>
      <c r="T60" s="19" t="n"/>
      <c r="U60" s="4" t="n"/>
      <c r="V60" s="19" t="n"/>
      <c r="W60" s="4" t="n"/>
      <c r="X60" s="19" t="n"/>
      <c r="Y60" s="4" t="n"/>
      <c r="Z60" s="19" t="n"/>
      <c r="AA60" s="4" t="n"/>
      <c r="AB60" s="19" t="n"/>
      <c r="AC60" s="5">
        <f>_xlfn.TEXTJOIN(CHAR(10),TRUE,IF(Q60="","","• "&amp;Q60&amp;IF(R60="Yes","  [IPL]","")),IF(S60="","","• "&amp;S60&amp;IF(T60="Yes","  [IPL]","")),IF(U60="","","• "&amp;U60&amp;IF(V60="Yes","  [IPL]","")),IF(W60="","","• "&amp;W60&amp;IF(X60="Yes","  [IPL]","")),IF(Y60="","","• "&amp;Y60&amp;IF(Z60="Yes","  [IPL]","")),IF(AA60="","","• "&amp;AA60&amp;IF(AB60="Yes","  [IPL]","")))</f>
        <v/>
      </c>
      <c r="AD60" s="30">
        <f>IF(AC60="","",COUNTIF(Q60:AB60,"Yes"))</f>
        <v/>
      </c>
      <c r="AE60" s="19" t="n"/>
      <c r="AF60" s="19" t="n"/>
      <c r="AG60" s="30">
        <f>IF(OR(AE60="",AF60=""),"",INDEX(RiskGrid,6-VALUE(LEFT(AE60,1)),VALUE(LEFT(AF60,1))))</f>
        <v/>
      </c>
      <c r="AH60" s="30">
        <f>IF(AG60="","",IF(AG60&gt;=BandVH,"Very High",IF(AG60&gt;=BandHigh,"High",IF(AG60&gt;=BandMed,"Medium","Low"))))</f>
        <v/>
      </c>
      <c r="AI60" s="4" t="n"/>
      <c r="AJ60" s="4" t="n"/>
    </row>
    <row r="61">
      <c r="A61" s="30">
        <f>IF(B61="","",COUNTIF(B$14:B61,"?*"))</f>
        <v/>
      </c>
      <c r="B61" s="4" t="n"/>
      <c r="C61" s="19" t="n"/>
      <c r="D61" s="5">
        <f>IF(OR(B61="",C61=""),"",UPPER(LEFT(C61,1))&amp;LOWER(MID(C61,2,30))&amp;" "&amp;LOWER(LEFT(B61,1))&amp;MID(B61,2,200))</f>
        <v/>
      </c>
      <c r="E61" s="4" t="n"/>
      <c r="F61" s="4" t="n"/>
      <c r="G61" s="4" t="n"/>
      <c r="H61" s="4" t="n"/>
      <c r="I61" s="4" t="n"/>
      <c r="J61" s="4" t="n"/>
      <c r="K61" s="5">
        <f>_xlfn.TEXTJOIN(CHAR(10),TRUE,IF(E61="","","• "&amp;E61),IF(F61="","","• "&amp;F61),IF(G61="","","• "&amp;G61),IF(H61="","","• "&amp;H61),IF(I61="","","• "&amp;I61),IF(J61="","","• "&amp;J61))</f>
        <v/>
      </c>
      <c r="L61" s="4" t="n"/>
      <c r="M61" s="19" t="n"/>
      <c r="N61" s="19" t="n"/>
      <c r="O61" s="30">
        <f>IF(OR(M61="",N61=""),"",INDEX(RiskGrid,6-VALUE(LEFT(M61,1)),VALUE(LEFT(N61,1))))</f>
        <v/>
      </c>
      <c r="P61" s="30">
        <f>IF(O61="","",IF(O61&gt;=BandVH,"Very High",IF(O61&gt;=BandHigh,"High",IF(O61&gt;=BandMed,"Medium","Low"))))</f>
        <v/>
      </c>
      <c r="Q61" s="4" t="n"/>
      <c r="R61" s="19" t="n"/>
      <c r="S61" s="4" t="n"/>
      <c r="T61" s="19" t="n"/>
      <c r="U61" s="4" t="n"/>
      <c r="V61" s="19" t="n"/>
      <c r="W61" s="4" t="n"/>
      <c r="X61" s="19" t="n"/>
      <c r="Y61" s="4" t="n"/>
      <c r="Z61" s="19" t="n"/>
      <c r="AA61" s="4" t="n"/>
      <c r="AB61" s="19" t="n"/>
      <c r="AC61" s="5">
        <f>_xlfn.TEXTJOIN(CHAR(10),TRUE,IF(Q61="","","• "&amp;Q61&amp;IF(R61="Yes","  [IPL]","")),IF(S61="","","• "&amp;S61&amp;IF(T61="Yes","  [IPL]","")),IF(U61="","","• "&amp;U61&amp;IF(V61="Yes","  [IPL]","")),IF(W61="","","• "&amp;W61&amp;IF(X61="Yes","  [IPL]","")),IF(Y61="","","• "&amp;Y61&amp;IF(Z61="Yes","  [IPL]","")),IF(AA61="","","• "&amp;AA61&amp;IF(AB61="Yes","  [IPL]","")))</f>
        <v/>
      </c>
      <c r="AD61" s="30">
        <f>IF(AC61="","",COUNTIF(Q61:AB61,"Yes"))</f>
        <v/>
      </c>
      <c r="AE61" s="19" t="n"/>
      <c r="AF61" s="19" t="n"/>
      <c r="AG61" s="30">
        <f>IF(OR(AE61="",AF61=""),"",INDEX(RiskGrid,6-VALUE(LEFT(AE61,1)),VALUE(LEFT(AF61,1))))</f>
        <v/>
      </c>
      <c r="AH61" s="30">
        <f>IF(AG61="","",IF(AG61&gt;=BandVH,"Very High",IF(AG61&gt;=BandHigh,"High",IF(AG61&gt;=BandMed,"Medium","Low"))))</f>
        <v/>
      </c>
      <c r="AI61" s="4" t="n"/>
      <c r="AJ61" s="4" t="n"/>
    </row>
    <row r="62">
      <c r="A62" s="30">
        <f>IF(B62="","",COUNTIF(B$14:B62,"?*"))</f>
        <v/>
      </c>
      <c r="B62" s="4" t="n"/>
      <c r="C62" s="19" t="n"/>
      <c r="D62" s="5">
        <f>IF(OR(B62="",C62=""),"",UPPER(LEFT(C62,1))&amp;LOWER(MID(C62,2,30))&amp;" "&amp;LOWER(LEFT(B62,1))&amp;MID(B62,2,200))</f>
        <v/>
      </c>
      <c r="E62" s="4" t="n"/>
      <c r="F62" s="4" t="n"/>
      <c r="G62" s="4" t="n"/>
      <c r="H62" s="4" t="n"/>
      <c r="I62" s="4" t="n"/>
      <c r="J62" s="4" t="n"/>
      <c r="K62" s="5">
        <f>_xlfn.TEXTJOIN(CHAR(10),TRUE,IF(E62="","","• "&amp;E62),IF(F62="","","• "&amp;F62),IF(G62="","","• "&amp;G62),IF(H62="","","• "&amp;H62),IF(I62="","","• "&amp;I62),IF(J62="","","• "&amp;J62))</f>
        <v/>
      </c>
      <c r="L62" s="4" t="n"/>
      <c r="M62" s="19" t="n"/>
      <c r="N62" s="19" t="n"/>
      <c r="O62" s="30">
        <f>IF(OR(M62="",N62=""),"",INDEX(RiskGrid,6-VALUE(LEFT(M62,1)),VALUE(LEFT(N62,1))))</f>
        <v/>
      </c>
      <c r="P62" s="30">
        <f>IF(O62="","",IF(O62&gt;=BandVH,"Very High",IF(O62&gt;=BandHigh,"High",IF(O62&gt;=BandMed,"Medium","Low"))))</f>
        <v/>
      </c>
      <c r="Q62" s="4" t="n"/>
      <c r="R62" s="19" t="n"/>
      <c r="S62" s="4" t="n"/>
      <c r="T62" s="19" t="n"/>
      <c r="U62" s="4" t="n"/>
      <c r="V62" s="19" t="n"/>
      <c r="W62" s="4" t="n"/>
      <c r="X62" s="19" t="n"/>
      <c r="Y62" s="4" t="n"/>
      <c r="Z62" s="19" t="n"/>
      <c r="AA62" s="4" t="n"/>
      <c r="AB62" s="19" t="n"/>
      <c r="AC62" s="5">
        <f>_xlfn.TEXTJOIN(CHAR(10),TRUE,IF(Q62="","","• "&amp;Q62&amp;IF(R62="Yes","  [IPL]","")),IF(S62="","","• "&amp;S62&amp;IF(T62="Yes","  [IPL]","")),IF(U62="","","• "&amp;U62&amp;IF(V62="Yes","  [IPL]","")),IF(W62="","","• "&amp;W62&amp;IF(X62="Yes","  [IPL]","")),IF(Y62="","","• "&amp;Y62&amp;IF(Z62="Yes","  [IPL]","")),IF(AA62="","","• "&amp;AA62&amp;IF(AB62="Yes","  [IPL]","")))</f>
        <v/>
      </c>
      <c r="AD62" s="30">
        <f>IF(AC62="","",COUNTIF(Q62:AB62,"Yes"))</f>
        <v/>
      </c>
      <c r="AE62" s="19" t="n"/>
      <c r="AF62" s="19" t="n"/>
      <c r="AG62" s="30">
        <f>IF(OR(AE62="",AF62=""),"",INDEX(RiskGrid,6-VALUE(LEFT(AE62,1)),VALUE(LEFT(AF62,1))))</f>
        <v/>
      </c>
      <c r="AH62" s="30">
        <f>IF(AG62="","",IF(AG62&gt;=BandVH,"Very High",IF(AG62&gt;=BandHigh,"High",IF(AG62&gt;=BandMed,"Medium","Low"))))</f>
        <v/>
      </c>
      <c r="AI62" s="4" t="n"/>
      <c r="AJ62" s="4" t="n"/>
    </row>
    <row r="63">
      <c r="A63" s="30">
        <f>IF(B63="","",COUNTIF(B$14:B63,"?*"))</f>
        <v/>
      </c>
      <c r="B63" s="4" t="n"/>
      <c r="C63" s="19" t="n"/>
      <c r="D63" s="5">
        <f>IF(OR(B63="",C63=""),"",UPPER(LEFT(C63,1))&amp;LOWER(MID(C63,2,30))&amp;" "&amp;LOWER(LEFT(B63,1))&amp;MID(B63,2,200))</f>
        <v/>
      </c>
      <c r="E63" s="4" t="n"/>
      <c r="F63" s="4" t="n"/>
      <c r="G63" s="4" t="n"/>
      <c r="H63" s="4" t="n"/>
      <c r="I63" s="4" t="n"/>
      <c r="J63" s="4" t="n"/>
      <c r="K63" s="5">
        <f>_xlfn.TEXTJOIN(CHAR(10),TRUE,IF(E63="","","• "&amp;E63),IF(F63="","","• "&amp;F63),IF(G63="","","• "&amp;G63),IF(H63="","","• "&amp;H63),IF(I63="","","• "&amp;I63),IF(J63="","","• "&amp;J63))</f>
        <v/>
      </c>
      <c r="L63" s="4" t="n"/>
      <c r="M63" s="19" t="n"/>
      <c r="N63" s="19" t="n"/>
      <c r="O63" s="30">
        <f>IF(OR(M63="",N63=""),"",INDEX(RiskGrid,6-VALUE(LEFT(M63,1)),VALUE(LEFT(N63,1))))</f>
        <v/>
      </c>
      <c r="P63" s="30">
        <f>IF(O63="","",IF(O63&gt;=BandVH,"Very High",IF(O63&gt;=BandHigh,"High",IF(O63&gt;=BandMed,"Medium","Low"))))</f>
        <v/>
      </c>
      <c r="Q63" s="4" t="n"/>
      <c r="R63" s="19" t="n"/>
      <c r="S63" s="4" t="n"/>
      <c r="T63" s="19" t="n"/>
      <c r="U63" s="4" t="n"/>
      <c r="V63" s="19" t="n"/>
      <c r="W63" s="4" t="n"/>
      <c r="X63" s="19" t="n"/>
      <c r="Y63" s="4" t="n"/>
      <c r="Z63" s="19" t="n"/>
      <c r="AA63" s="4" t="n"/>
      <c r="AB63" s="19" t="n"/>
      <c r="AC63" s="5">
        <f>_xlfn.TEXTJOIN(CHAR(10),TRUE,IF(Q63="","","• "&amp;Q63&amp;IF(R63="Yes","  [IPL]","")),IF(S63="","","• "&amp;S63&amp;IF(T63="Yes","  [IPL]","")),IF(U63="","","• "&amp;U63&amp;IF(V63="Yes","  [IPL]","")),IF(W63="","","• "&amp;W63&amp;IF(X63="Yes","  [IPL]","")),IF(Y63="","","• "&amp;Y63&amp;IF(Z63="Yes","  [IPL]","")),IF(AA63="","","• "&amp;AA63&amp;IF(AB63="Yes","  [IPL]","")))</f>
        <v/>
      </c>
      <c r="AD63" s="30">
        <f>IF(AC63="","",COUNTIF(Q63:AB63,"Yes"))</f>
        <v/>
      </c>
      <c r="AE63" s="19" t="n"/>
      <c r="AF63" s="19" t="n"/>
      <c r="AG63" s="30">
        <f>IF(OR(AE63="",AF63=""),"",INDEX(RiskGrid,6-VALUE(LEFT(AE63,1)),VALUE(LEFT(AF63,1))))</f>
        <v/>
      </c>
      <c r="AH63" s="30">
        <f>IF(AG63="","",IF(AG63&gt;=BandVH,"Very High",IF(AG63&gt;=BandHigh,"High",IF(AG63&gt;=BandMed,"Medium","Low"))))</f>
        <v/>
      </c>
      <c r="AI63" s="4" t="n"/>
      <c r="AJ63" s="4" t="n"/>
    </row>
    <row r="64">
      <c r="A64" s="30">
        <f>IF(B64="","",COUNTIF(B$14:B64,"?*"))</f>
        <v/>
      </c>
      <c r="B64" s="4" t="n"/>
      <c r="C64" s="19" t="n"/>
      <c r="D64" s="5">
        <f>IF(OR(B64="",C64=""),"",UPPER(LEFT(C64,1))&amp;LOWER(MID(C64,2,30))&amp;" "&amp;LOWER(LEFT(B64,1))&amp;MID(B64,2,200))</f>
        <v/>
      </c>
      <c r="E64" s="4" t="n"/>
      <c r="F64" s="4" t="n"/>
      <c r="G64" s="4" t="n"/>
      <c r="H64" s="4" t="n"/>
      <c r="I64" s="4" t="n"/>
      <c r="J64" s="4" t="n"/>
      <c r="K64" s="5">
        <f>_xlfn.TEXTJOIN(CHAR(10),TRUE,IF(E64="","","• "&amp;E64),IF(F64="","","• "&amp;F64),IF(G64="","","• "&amp;G64),IF(H64="","","• "&amp;H64),IF(I64="","","• "&amp;I64),IF(J64="","","• "&amp;J64))</f>
        <v/>
      </c>
      <c r="L64" s="4" t="n"/>
      <c r="M64" s="19" t="n"/>
      <c r="N64" s="19" t="n"/>
      <c r="O64" s="30">
        <f>IF(OR(M64="",N64=""),"",INDEX(RiskGrid,6-VALUE(LEFT(M64,1)),VALUE(LEFT(N64,1))))</f>
        <v/>
      </c>
      <c r="P64" s="30">
        <f>IF(O64="","",IF(O64&gt;=BandVH,"Very High",IF(O64&gt;=BandHigh,"High",IF(O64&gt;=BandMed,"Medium","Low"))))</f>
        <v/>
      </c>
      <c r="Q64" s="4" t="n"/>
      <c r="R64" s="19" t="n"/>
      <c r="S64" s="4" t="n"/>
      <c r="T64" s="19" t="n"/>
      <c r="U64" s="4" t="n"/>
      <c r="V64" s="19" t="n"/>
      <c r="W64" s="4" t="n"/>
      <c r="X64" s="19" t="n"/>
      <c r="Y64" s="4" t="n"/>
      <c r="Z64" s="19" t="n"/>
      <c r="AA64" s="4" t="n"/>
      <c r="AB64" s="19" t="n"/>
      <c r="AC64" s="5">
        <f>_xlfn.TEXTJOIN(CHAR(10),TRUE,IF(Q64="","","• "&amp;Q64&amp;IF(R64="Yes","  [IPL]","")),IF(S64="","","• "&amp;S64&amp;IF(T64="Yes","  [IPL]","")),IF(U64="","","• "&amp;U64&amp;IF(V64="Yes","  [IPL]","")),IF(W64="","","• "&amp;W64&amp;IF(X64="Yes","  [IPL]","")),IF(Y64="","","• "&amp;Y64&amp;IF(Z64="Yes","  [IPL]","")),IF(AA64="","","• "&amp;AA64&amp;IF(AB64="Yes","  [IPL]","")))</f>
        <v/>
      </c>
      <c r="AD64" s="30">
        <f>IF(AC64="","",COUNTIF(Q64:AB64,"Yes"))</f>
        <v/>
      </c>
      <c r="AE64" s="19" t="n"/>
      <c r="AF64" s="19" t="n"/>
      <c r="AG64" s="30">
        <f>IF(OR(AE64="",AF64=""),"",INDEX(RiskGrid,6-VALUE(LEFT(AE64,1)),VALUE(LEFT(AF64,1))))</f>
        <v/>
      </c>
      <c r="AH64" s="30">
        <f>IF(AG64="","",IF(AG64&gt;=BandVH,"Very High",IF(AG64&gt;=BandHigh,"High",IF(AG64&gt;=BandMed,"Medium","Low"))))</f>
        <v/>
      </c>
      <c r="AI64" s="4" t="n"/>
      <c r="AJ64" s="4" t="n"/>
    </row>
    <row r="65">
      <c r="A65" s="30">
        <f>IF(B65="","",COUNTIF(B$14:B65,"?*"))</f>
        <v/>
      </c>
      <c r="B65" s="4" t="n"/>
      <c r="C65" s="19" t="n"/>
      <c r="D65" s="5">
        <f>IF(OR(B65="",C65=""),"",UPPER(LEFT(C65,1))&amp;LOWER(MID(C65,2,30))&amp;" "&amp;LOWER(LEFT(B65,1))&amp;MID(B65,2,200))</f>
        <v/>
      </c>
      <c r="E65" s="4" t="n"/>
      <c r="F65" s="4" t="n"/>
      <c r="G65" s="4" t="n"/>
      <c r="H65" s="4" t="n"/>
      <c r="I65" s="4" t="n"/>
      <c r="J65" s="4" t="n"/>
      <c r="K65" s="5">
        <f>_xlfn.TEXTJOIN(CHAR(10),TRUE,IF(E65="","","• "&amp;E65),IF(F65="","","• "&amp;F65),IF(G65="","","• "&amp;G65),IF(H65="","","• "&amp;H65),IF(I65="","","• "&amp;I65),IF(J65="","","• "&amp;J65))</f>
        <v/>
      </c>
      <c r="L65" s="4" t="n"/>
      <c r="M65" s="19" t="n"/>
      <c r="N65" s="19" t="n"/>
      <c r="O65" s="30">
        <f>IF(OR(M65="",N65=""),"",INDEX(RiskGrid,6-VALUE(LEFT(M65,1)),VALUE(LEFT(N65,1))))</f>
        <v/>
      </c>
      <c r="P65" s="30">
        <f>IF(O65="","",IF(O65&gt;=BandVH,"Very High",IF(O65&gt;=BandHigh,"High",IF(O65&gt;=BandMed,"Medium","Low"))))</f>
        <v/>
      </c>
      <c r="Q65" s="4" t="n"/>
      <c r="R65" s="19" t="n"/>
      <c r="S65" s="4" t="n"/>
      <c r="T65" s="19" t="n"/>
      <c r="U65" s="4" t="n"/>
      <c r="V65" s="19" t="n"/>
      <c r="W65" s="4" t="n"/>
      <c r="X65" s="19" t="n"/>
      <c r="Y65" s="4" t="n"/>
      <c r="Z65" s="19" t="n"/>
      <c r="AA65" s="4" t="n"/>
      <c r="AB65" s="19" t="n"/>
      <c r="AC65" s="5">
        <f>_xlfn.TEXTJOIN(CHAR(10),TRUE,IF(Q65="","","• "&amp;Q65&amp;IF(R65="Yes","  [IPL]","")),IF(S65="","","• "&amp;S65&amp;IF(T65="Yes","  [IPL]","")),IF(U65="","","• "&amp;U65&amp;IF(V65="Yes","  [IPL]","")),IF(W65="","","• "&amp;W65&amp;IF(X65="Yes","  [IPL]","")),IF(Y65="","","• "&amp;Y65&amp;IF(Z65="Yes","  [IPL]","")),IF(AA65="","","• "&amp;AA65&amp;IF(AB65="Yes","  [IPL]","")))</f>
        <v/>
      </c>
      <c r="AD65" s="30">
        <f>IF(AC65="","",COUNTIF(Q65:AB65,"Yes"))</f>
        <v/>
      </c>
      <c r="AE65" s="19" t="n"/>
      <c r="AF65" s="19" t="n"/>
      <c r="AG65" s="30">
        <f>IF(OR(AE65="",AF65=""),"",INDEX(RiskGrid,6-VALUE(LEFT(AE65,1)),VALUE(LEFT(AF65,1))))</f>
        <v/>
      </c>
      <c r="AH65" s="30">
        <f>IF(AG65="","",IF(AG65&gt;=BandVH,"Very High",IF(AG65&gt;=BandHigh,"High",IF(AG65&gt;=BandMed,"Medium","Low"))))</f>
        <v/>
      </c>
      <c r="AI65" s="4" t="n"/>
      <c r="AJ65" s="4" t="n"/>
    </row>
    <row r="66">
      <c r="A66" s="30">
        <f>IF(B66="","",COUNTIF(B$14:B66,"?*"))</f>
        <v/>
      </c>
      <c r="B66" s="4" t="n"/>
      <c r="C66" s="19" t="n"/>
      <c r="D66" s="5">
        <f>IF(OR(B66="",C66=""),"",UPPER(LEFT(C66,1))&amp;LOWER(MID(C66,2,30))&amp;" "&amp;LOWER(LEFT(B66,1))&amp;MID(B66,2,200))</f>
        <v/>
      </c>
      <c r="E66" s="4" t="n"/>
      <c r="F66" s="4" t="n"/>
      <c r="G66" s="4" t="n"/>
      <c r="H66" s="4" t="n"/>
      <c r="I66" s="4" t="n"/>
      <c r="J66" s="4" t="n"/>
      <c r="K66" s="5">
        <f>_xlfn.TEXTJOIN(CHAR(10),TRUE,IF(E66="","","• "&amp;E66),IF(F66="","","• "&amp;F66),IF(G66="","","• "&amp;G66),IF(H66="","","• "&amp;H66),IF(I66="","","• "&amp;I66),IF(J66="","","• "&amp;J66))</f>
        <v/>
      </c>
      <c r="L66" s="4" t="n"/>
      <c r="M66" s="19" t="n"/>
      <c r="N66" s="19" t="n"/>
      <c r="O66" s="30">
        <f>IF(OR(M66="",N66=""),"",INDEX(RiskGrid,6-VALUE(LEFT(M66,1)),VALUE(LEFT(N66,1))))</f>
        <v/>
      </c>
      <c r="P66" s="30">
        <f>IF(O66="","",IF(O66&gt;=BandVH,"Very High",IF(O66&gt;=BandHigh,"High",IF(O66&gt;=BandMed,"Medium","Low"))))</f>
        <v/>
      </c>
      <c r="Q66" s="4" t="n"/>
      <c r="R66" s="19" t="n"/>
      <c r="S66" s="4" t="n"/>
      <c r="T66" s="19" t="n"/>
      <c r="U66" s="4" t="n"/>
      <c r="V66" s="19" t="n"/>
      <c r="W66" s="4" t="n"/>
      <c r="X66" s="19" t="n"/>
      <c r="Y66" s="4" t="n"/>
      <c r="Z66" s="19" t="n"/>
      <c r="AA66" s="4" t="n"/>
      <c r="AB66" s="19" t="n"/>
      <c r="AC66" s="5">
        <f>_xlfn.TEXTJOIN(CHAR(10),TRUE,IF(Q66="","","• "&amp;Q66&amp;IF(R66="Yes","  [IPL]","")),IF(S66="","","• "&amp;S66&amp;IF(T66="Yes","  [IPL]","")),IF(U66="","","• "&amp;U66&amp;IF(V66="Yes","  [IPL]","")),IF(W66="","","• "&amp;W66&amp;IF(X66="Yes","  [IPL]","")),IF(Y66="","","• "&amp;Y66&amp;IF(Z66="Yes","  [IPL]","")),IF(AA66="","","• "&amp;AA66&amp;IF(AB66="Yes","  [IPL]","")))</f>
        <v/>
      </c>
      <c r="AD66" s="30">
        <f>IF(AC66="","",COUNTIF(Q66:AB66,"Yes"))</f>
        <v/>
      </c>
      <c r="AE66" s="19" t="n"/>
      <c r="AF66" s="19" t="n"/>
      <c r="AG66" s="30">
        <f>IF(OR(AE66="",AF66=""),"",INDEX(RiskGrid,6-VALUE(LEFT(AE66,1)),VALUE(LEFT(AF66,1))))</f>
        <v/>
      </c>
      <c r="AH66" s="30">
        <f>IF(AG66="","",IF(AG66&gt;=BandVH,"Very High",IF(AG66&gt;=BandHigh,"High",IF(AG66&gt;=BandMed,"Medium","Low"))))</f>
        <v/>
      </c>
      <c r="AI66" s="4" t="n"/>
      <c r="AJ66" s="4" t="n"/>
    </row>
    <row r="67">
      <c r="A67" s="30">
        <f>IF(B67="","",COUNTIF(B$14:B67,"?*"))</f>
        <v/>
      </c>
      <c r="B67" s="4" t="n"/>
      <c r="C67" s="19" t="n"/>
      <c r="D67" s="5">
        <f>IF(OR(B67="",C67=""),"",UPPER(LEFT(C67,1))&amp;LOWER(MID(C67,2,30))&amp;" "&amp;LOWER(LEFT(B67,1))&amp;MID(B67,2,200))</f>
        <v/>
      </c>
      <c r="E67" s="4" t="n"/>
      <c r="F67" s="4" t="n"/>
      <c r="G67" s="4" t="n"/>
      <c r="H67" s="4" t="n"/>
      <c r="I67" s="4" t="n"/>
      <c r="J67" s="4" t="n"/>
      <c r="K67" s="5">
        <f>_xlfn.TEXTJOIN(CHAR(10),TRUE,IF(E67="","","• "&amp;E67),IF(F67="","","• "&amp;F67),IF(G67="","","• "&amp;G67),IF(H67="","","• "&amp;H67),IF(I67="","","• "&amp;I67),IF(J67="","","• "&amp;J67))</f>
        <v/>
      </c>
      <c r="L67" s="4" t="n"/>
      <c r="M67" s="19" t="n"/>
      <c r="N67" s="19" t="n"/>
      <c r="O67" s="30">
        <f>IF(OR(M67="",N67=""),"",INDEX(RiskGrid,6-VALUE(LEFT(M67,1)),VALUE(LEFT(N67,1))))</f>
        <v/>
      </c>
      <c r="P67" s="30">
        <f>IF(O67="","",IF(O67&gt;=BandVH,"Very High",IF(O67&gt;=BandHigh,"High",IF(O67&gt;=BandMed,"Medium","Low"))))</f>
        <v/>
      </c>
      <c r="Q67" s="4" t="n"/>
      <c r="R67" s="19" t="n"/>
      <c r="S67" s="4" t="n"/>
      <c r="T67" s="19" t="n"/>
      <c r="U67" s="4" t="n"/>
      <c r="V67" s="19" t="n"/>
      <c r="W67" s="4" t="n"/>
      <c r="X67" s="19" t="n"/>
      <c r="Y67" s="4" t="n"/>
      <c r="Z67" s="19" t="n"/>
      <c r="AA67" s="4" t="n"/>
      <c r="AB67" s="19" t="n"/>
      <c r="AC67" s="5">
        <f>_xlfn.TEXTJOIN(CHAR(10),TRUE,IF(Q67="","","• "&amp;Q67&amp;IF(R67="Yes","  [IPL]","")),IF(S67="","","• "&amp;S67&amp;IF(T67="Yes","  [IPL]","")),IF(U67="","","• "&amp;U67&amp;IF(V67="Yes","  [IPL]","")),IF(W67="","","• "&amp;W67&amp;IF(X67="Yes","  [IPL]","")),IF(Y67="","","• "&amp;Y67&amp;IF(Z67="Yes","  [IPL]","")),IF(AA67="","","• "&amp;AA67&amp;IF(AB67="Yes","  [IPL]","")))</f>
        <v/>
      </c>
      <c r="AD67" s="30">
        <f>IF(AC67="","",COUNTIF(Q67:AB67,"Yes"))</f>
        <v/>
      </c>
      <c r="AE67" s="19" t="n"/>
      <c r="AF67" s="19" t="n"/>
      <c r="AG67" s="30">
        <f>IF(OR(AE67="",AF67=""),"",INDEX(RiskGrid,6-VALUE(LEFT(AE67,1)),VALUE(LEFT(AF67,1))))</f>
        <v/>
      </c>
      <c r="AH67" s="30">
        <f>IF(AG67="","",IF(AG67&gt;=BandVH,"Very High",IF(AG67&gt;=BandHigh,"High",IF(AG67&gt;=BandMed,"Medium","Low"))))</f>
        <v/>
      </c>
      <c r="AI67" s="4" t="n"/>
      <c r="AJ67" s="4" t="n"/>
    </row>
    <row r="68">
      <c r="A68" s="30">
        <f>IF(B68="","",COUNTIF(B$14:B68,"?*"))</f>
        <v/>
      </c>
      <c r="B68" s="4" t="n"/>
      <c r="C68" s="19" t="n"/>
      <c r="D68" s="5">
        <f>IF(OR(B68="",C68=""),"",UPPER(LEFT(C68,1))&amp;LOWER(MID(C68,2,30))&amp;" "&amp;LOWER(LEFT(B68,1))&amp;MID(B68,2,200))</f>
        <v/>
      </c>
      <c r="E68" s="4" t="n"/>
      <c r="F68" s="4" t="n"/>
      <c r="G68" s="4" t="n"/>
      <c r="H68" s="4" t="n"/>
      <c r="I68" s="4" t="n"/>
      <c r="J68" s="4" t="n"/>
      <c r="K68" s="5">
        <f>_xlfn.TEXTJOIN(CHAR(10),TRUE,IF(E68="","","• "&amp;E68),IF(F68="","","• "&amp;F68),IF(G68="","","• "&amp;G68),IF(H68="","","• "&amp;H68),IF(I68="","","• "&amp;I68),IF(J68="","","• "&amp;J68))</f>
        <v/>
      </c>
      <c r="L68" s="4" t="n"/>
      <c r="M68" s="19" t="n"/>
      <c r="N68" s="19" t="n"/>
      <c r="O68" s="30">
        <f>IF(OR(M68="",N68=""),"",INDEX(RiskGrid,6-VALUE(LEFT(M68,1)),VALUE(LEFT(N68,1))))</f>
        <v/>
      </c>
      <c r="P68" s="30">
        <f>IF(O68="","",IF(O68&gt;=BandVH,"Very High",IF(O68&gt;=BandHigh,"High",IF(O68&gt;=BandMed,"Medium","Low"))))</f>
        <v/>
      </c>
      <c r="Q68" s="4" t="n"/>
      <c r="R68" s="19" t="n"/>
      <c r="S68" s="4" t="n"/>
      <c r="T68" s="19" t="n"/>
      <c r="U68" s="4" t="n"/>
      <c r="V68" s="19" t="n"/>
      <c r="W68" s="4" t="n"/>
      <c r="X68" s="19" t="n"/>
      <c r="Y68" s="4" t="n"/>
      <c r="Z68" s="19" t="n"/>
      <c r="AA68" s="4" t="n"/>
      <c r="AB68" s="19" t="n"/>
      <c r="AC68" s="5">
        <f>_xlfn.TEXTJOIN(CHAR(10),TRUE,IF(Q68="","","• "&amp;Q68&amp;IF(R68="Yes","  [IPL]","")),IF(S68="","","• "&amp;S68&amp;IF(T68="Yes","  [IPL]","")),IF(U68="","","• "&amp;U68&amp;IF(V68="Yes","  [IPL]","")),IF(W68="","","• "&amp;W68&amp;IF(X68="Yes","  [IPL]","")),IF(Y68="","","• "&amp;Y68&amp;IF(Z68="Yes","  [IPL]","")),IF(AA68="","","• "&amp;AA68&amp;IF(AB68="Yes","  [IPL]","")))</f>
        <v/>
      </c>
      <c r="AD68" s="30">
        <f>IF(AC68="","",COUNTIF(Q68:AB68,"Yes"))</f>
        <v/>
      </c>
      <c r="AE68" s="19" t="n"/>
      <c r="AF68" s="19" t="n"/>
      <c r="AG68" s="30">
        <f>IF(OR(AE68="",AF68=""),"",INDEX(RiskGrid,6-VALUE(LEFT(AE68,1)),VALUE(LEFT(AF68,1))))</f>
        <v/>
      </c>
      <c r="AH68" s="30">
        <f>IF(AG68="","",IF(AG68&gt;=BandVH,"Very High",IF(AG68&gt;=BandHigh,"High",IF(AG68&gt;=BandMed,"Medium","Low"))))</f>
        <v/>
      </c>
      <c r="AI68" s="4" t="n"/>
      <c r="AJ68" s="4" t="n"/>
    </row>
    <row r="69">
      <c r="A69" s="30">
        <f>IF(B69="","",COUNTIF(B$14:B69,"?*"))</f>
        <v/>
      </c>
      <c r="B69" s="4" t="n"/>
      <c r="C69" s="19" t="n"/>
      <c r="D69" s="5">
        <f>IF(OR(B69="",C69=""),"",UPPER(LEFT(C69,1))&amp;LOWER(MID(C69,2,30))&amp;" "&amp;LOWER(LEFT(B69,1))&amp;MID(B69,2,200))</f>
        <v/>
      </c>
      <c r="E69" s="4" t="n"/>
      <c r="F69" s="4" t="n"/>
      <c r="G69" s="4" t="n"/>
      <c r="H69" s="4" t="n"/>
      <c r="I69" s="4" t="n"/>
      <c r="J69" s="4" t="n"/>
      <c r="K69" s="5">
        <f>_xlfn.TEXTJOIN(CHAR(10),TRUE,IF(E69="","","• "&amp;E69),IF(F69="","","• "&amp;F69),IF(G69="","","• "&amp;G69),IF(H69="","","• "&amp;H69),IF(I69="","","• "&amp;I69),IF(J69="","","• "&amp;J69))</f>
        <v/>
      </c>
      <c r="L69" s="4" t="n"/>
      <c r="M69" s="19" t="n"/>
      <c r="N69" s="19" t="n"/>
      <c r="O69" s="30">
        <f>IF(OR(M69="",N69=""),"",INDEX(RiskGrid,6-VALUE(LEFT(M69,1)),VALUE(LEFT(N69,1))))</f>
        <v/>
      </c>
      <c r="P69" s="30">
        <f>IF(O69="","",IF(O69&gt;=BandVH,"Very High",IF(O69&gt;=BandHigh,"High",IF(O69&gt;=BandMed,"Medium","Low"))))</f>
        <v/>
      </c>
      <c r="Q69" s="4" t="n"/>
      <c r="R69" s="19" t="n"/>
      <c r="S69" s="4" t="n"/>
      <c r="T69" s="19" t="n"/>
      <c r="U69" s="4" t="n"/>
      <c r="V69" s="19" t="n"/>
      <c r="W69" s="4" t="n"/>
      <c r="X69" s="19" t="n"/>
      <c r="Y69" s="4" t="n"/>
      <c r="Z69" s="19" t="n"/>
      <c r="AA69" s="4" t="n"/>
      <c r="AB69" s="19" t="n"/>
      <c r="AC69" s="5">
        <f>_xlfn.TEXTJOIN(CHAR(10),TRUE,IF(Q69="","","• "&amp;Q69&amp;IF(R69="Yes","  [IPL]","")),IF(S69="","","• "&amp;S69&amp;IF(T69="Yes","  [IPL]","")),IF(U69="","","• "&amp;U69&amp;IF(V69="Yes","  [IPL]","")),IF(W69="","","• "&amp;W69&amp;IF(X69="Yes","  [IPL]","")),IF(Y69="","","• "&amp;Y69&amp;IF(Z69="Yes","  [IPL]","")),IF(AA69="","","• "&amp;AA69&amp;IF(AB69="Yes","  [IPL]","")))</f>
        <v/>
      </c>
      <c r="AD69" s="30">
        <f>IF(AC69="","",COUNTIF(Q69:AB69,"Yes"))</f>
        <v/>
      </c>
      <c r="AE69" s="19" t="n"/>
      <c r="AF69" s="19" t="n"/>
      <c r="AG69" s="30">
        <f>IF(OR(AE69="",AF69=""),"",INDEX(RiskGrid,6-VALUE(LEFT(AE69,1)),VALUE(LEFT(AF69,1))))</f>
        <v/>
      </c>
      <c r="AH69" s="30">
        <f>IF(AG69="","",IF(AG69&gt;=BandVH,"Very High",IF(AG69&gt;=BandHigh,"High",IF(AG69&gt;=BandMed,"Medium","Low"))))</f>
        <v/>
      </c>
      <c r="AI69" s="4" t="n"/>
      <c r="AJ69" s="4" t="n"/>
    </row>
    <row r="70">
      <c r="A70" s="30">
        <f>IF(B70="","",COUNTIF(B$14:B70,"?*"))</f>
        <v/>
      </c>
      <c r="B70" s="4" t="n"/>
      <c r="C70" s="19" t="n"/>
      <c r="D70" s="5">
        <f>IF(OR(B70="",C70=""),"",UPPER(LEFT(C70,1))&amp;LOWER(MID(C70,2,30))&amp;" "&amp;LOWER(LEFT(B70,1))&amp;MID(B70,2,200))</f>
        <v/>
      </c>
      <c r="E70" s="4" t="n"/>
      <c r="F70" s="4" t="n"/>
      <c r="G70" s="4" t="n"/>
      <c r="H70" s="4" t="n"/>
      <c r="I70" s="4" t="n"/>
      <c r="J70" s="4" t="n"/>
      <c r="K70" s="5">
        <f>_xlfn.TEXTJOIN(CHAR(10),TRUE,IF(E70="","","• "&amp;E70),IF(F70="","","• "&amp;F70),IF(G70="","","• "&amp;G70),IF(H70="","","• "&amp;H70),IF(I70="","","• "&amp;I70),IF(J70="","","• "&amp;J70))</f>
        <v/>
      </c>
      <c r="L70" s="4" t="n"/>
      <c r="M70" s="19" t="n"/>
      <c r="N70" s="19" t="n"/>
      <c r="O70" s="30">
        <f>IF(OR(M70="",N70=""),"",INDEX(RiskGrid,6-VALUE(LEFT(M70,1)),VALUE(LEFT(N70,1))))</f>
        <v/>
      </c>
      <c r="P70" s="30">
        <f>IF(O70="","",IF(O70&gt;=BandVH,"Very High",IF(O70&gt;=BandHigh,"High",IF(O70&gt;=BandMed,"Medium","Low"))))</f>
        <v/>
      </c>
      <c r="Q70" s="4" t="n"/>
      <c r="R70" s="19" t="n"/>
      <c r="S70" s="4" t="n"/>
      <c r="T70" s="19" t="n"/>
      <c r="U70" s="4" t="n"/>
      <c r="V70" s="19" t="n"/>
      <c r="W70" s="4" t="n"/>
      <c r="X70" s="19" t="n"/>
      <c r="Y70" s="4" t="n"/>
      <c r="Z70" s="19" t="n"/>
      <c r="AA70" s="4" t="n"/>
      <c r="AB70" s="19" t="n"/>
      <c r="AC70" s="5">
        <f>_xlfn.TEXTJOIN(CHAR(10),TRUE,IF(Q70="","","• "&amp;Q70&amp;IF(R70="Yes","  [IPL]","")),IF(S70="","","• "&amp;S70&amp;IF(T70="Yes","  [IPL]","")),IF(U70="","","• "&amp;U70&amp;IF(V70="Yes","  [IPL]","")),IF(W70="","","• "&amp;W70&amp;IF(X70="Yes","  [IPL]","")),IF(Y70="","","• "&amp;Y70&amp;IF(Z70="Yes","  [IPL]","")),IF(AA70="","","• "&amp;AA70&amp;IF(AB70="Yes","  [IPL]","")))</f>
        <v/>
      </c>
      <c r="AD70" s="30">
        <f>IF(AC70="","",COUNTIF(Q70:AB70,"Yes"))</f>
        <v/>
      </c>
      <c r="AE70" s="19" t="n"/>
      <c r="AF70" s="19" t="n"/>
      <c r="AG70" s="30">
        <f>IF(OR(AE70="",AF70=""),"",INDEX(RiskGrid,6-VALUE(LEFT(AE70,1)),VALUE(LEFT(AF70,1))))</f>
        <v/>
      </c>
      <c r="AH70" s="30">
        <f>IF(AG70="","",IF(AG70&gt;=BandVH,"Very High",IF(AG70&gt;=BandHigh,"High",IF(AG70&gt;=BandMed,"Medium","Low"))))</f>
        <v/>
      </c>
      <c r="AI70" s="4" t="n"/>
      <c r="AJ70" s="4" t="n"/>
    </row>
    <row r="71">
      <c r="A71" s="30">
        <f>IF(B71="","",COUNTIF(B$14:B71,"?*"))</f>
        <v/>
      </c>
      <c r="B71" s="4" t="n"/>
      <c r="C71" s="19" t="n"/>
      <c r="D71" s="5">
        <f>IF(OR(B71="",C71=""),"",UPPER(LEFT(C71,1))&amp;LOWER(MID(C71,2,30))&amp;" "&amp;LOWER(LEFT(B71,1))&amp;MID(B71,2,200))</f>
        <v/>
      </c>
      <c r="E71" s="4" t="n"/>
      <c r="F71" s="4" t="n"/>
      <c r="G71" s="4" t="n"/>
      <c r="H71" s="4" t="n"/>
      <c r="I71" s="4" t="n"/>
      <c r="J71" s="4" t="n"/>
      <c r="K71" s="5">
        <f>_xlfn.TEXTJOIN(CHAR(10),TRUE,IF(E71="","","• "&amp;E71),IF(F71="","","• "&amp;F71),IF(G71="","","• "&amp;G71),IF(H71="","","• "&amp;H71),IF(I71="","","• "&amp;I71),IF(J71="","","• "&amp;J71))</f>
        <v/>
      </c>
      <c r="L71" s="4" t="n"/>
      <c r="M71" s="19" t="n"/>
      <c r="N71" s="19" t="n"/>
      <c r="O71" s="30">
        <f>IF(OR(M71="",N71=""),"",INDEX(RiskGrid,6-VALUE(LEFT(M71,1)),VALUE(LEFT(N71,1))))</f>
        <v/>
      </c>
      <c r="P71" s="30">
        <f>IF(O71="","",IF(O71&gt;=BandVH,"Very High",IF(O71&gt;=BandHigh,"High",IF(O71&gt;=BandMed,"Medium","Low"))))</f>
        <v/>
      </c>
      <c r="Q71" s="4" t="n"/>
      <c r="R71" s="19" t="n"/>
      <c r="S71" s="4" t="n"/>
      <c r="T71" s="19" t="n"/>
      <c r="U71" s="4" t="n"/>
      <c r="V71" s="19" t="n"/>
      <c r="W71" s="4" t="n"/>
      <c r="X71" s="19" t="n"/>
      <c r="Y71" s="4" t="n"/>
      <c r="Z71" s="19" t="n"/>
      <c r="AA71" s="4" t="n"/>
      <c r="AB71" s="19" t="n"/>
      <c r="AC71" s="5">
        <f>_xlfn.TEXTJOIN(CHAR(10),TRUE,IF(Q71="","","• "&amp;Q71&amp;IF(R71="Yes","  [IPL]","")),IF(S71="","","• "&amp;S71&amp;IF(T71="Yes","  [IPL]","")),IF(U71="","","• "&amp;U71&amp;IF(V71="Yes","  [IPL]","")),IF(W71="","","• "&amp;W71&amp;IF(X71="Yes","  [IPL]","")),IF(Y71="","","• "&amp;Y71&amp;IF(Z71="Yes","  [IPL]","")),IF(AA71="","","• "&amp;AA71&amp;IF(AB71="Yes","  [IPL]","")))</f>
        <v/>
      </c>
      <c r="AD71" s="30">
        <f>IF(AC71="","",COUNTIF(Q71:AB71,"Yes"))</f>
        <v/>
      </c>
      <c r="AE71" s="19" t="n"/>
      <c r="AF71" s="19" t="n"/>
      <c r="AG71" s="30">
        <f>IF(OR(AE71="",AF71=""),"",INDEX(RiskGrid,6-VALUE(LEFT(AE71,1)),VALUE(LEFT(AF71,1))))</f>
        <v/>
      </c>
      <c r="AH71" s="30">
        <f>IF(AG71="","",IF(AG71&gt;=BandVH,"Very High",IF(AG71&gt;=BandHigh,"High",IF(AG71&gt;=BandMed,"Medium","Low"))))</f>
        <v/>
      </c>
      <c r="AI71" s="4" t="n"/>
      <c r="AJ71" s="4" t="n"/>
    </row>
    <row r="72">
      <c r="A72" s="30">
        <f>IF(B72="","",COUNTIF(B$14:B72,"?*"))</f>
        <v/>
      </c>
      <c r="B72" s="4" t="n"/>
      <c r="C72" s="19" t="n"/>
      <c r="D72" s="5">
        <f>IF(OR(B72="",C72=""),"",UPPER(LEFT(C72,1))&amp;LOWER(MID(C72,2,30))&amp;" "&amp;LOWER(LEFT(B72,1))&amp;MID(B72,2,200))</f>
        <v/>
      </c>
      <c r="E72" s="4" t="n"/>
      <c r="F72" s="4" t="n"/>
      <c r="G72" s="4" t="n"/>
      <c r="H72" s="4" t="n"/>
      <c r="I72" s="4" t="n"/>
      <c r="J72" s="4" t="n"/>
      <c r="K72" s="5">
        <f>_xlfn.TEXTJOIN(CHAR(10),TRUE,IF(E72="","","• "&amp;E72),IF(F72="","","• "&amp;F72),IF(G72="","","• "&amp;G72),IF(H72="","","• "&amp;H72),IF(I72="","","• "&amp;I72),IF(J72="","","• "&amp;J72))</f>
        <v/>
      </c>
      <c r="L72" s="4" t="n"/>
      <c r="M72" s="19" t="n"/>
      <c r="N72" s="19" t="n"/>
      <c r="O72" s="30">
        <f>IF(OR(M72="",N72=""),"",INDEX(RiskGrid,6-VALUE(LEFT(M72,1)),VALUE(LEFT(N72,1))))</f>
        <v/>
      </c>
      <c r="P72" s="30">
        <f>IF(O72="","",IF(O72&gt;=BandVH,"Very High",IF(O72&gt;=BandHigh,"High",IF(O72&gt;=BandMed,"Medium","Low"))))</f>
        <v/>
      </c>
      <c r="Q72" s="4" t="n"/>
      <c r="R72" s="19" t="n"/>
      <c r="S72" s="4" t="n"/>
      <c r="T72" s="19" t="n"/>
      <c r="U72" s="4" t="n"/>
      <c r="V72" s="19" t="n"/>
      <c r="W72" s="4" t="n"/>
      <c r="X72" s="19" t="n"/>
      <c r="Y72" s="4" t="n"/>
      <c r="Z72" s="19" t="n"/>
      <c r="AA72" s="4" t="n"/>
      <c r="AB72" s="19" t="n"/>
      <c r="AC72" s="5">
        <f>_xlfn.TEXTJOIN(CHAR(10),TRUE,IF(Q72="","","• "&amp;Q72&amp;IF(R72="Yes","  [IPL]","")),IF(S72="","","• "&amp;S72&amp;IF(T72="Yes","  [IPL]","")),IF(U72="","","• "&amp;U72&amp;IF(V72="Yes","  [IPL]","")),IF(W72="","","• "&amp;W72&amp;IF(X72="Yes","  [IPL]","")),IF(Y72="","","• "&amp;Y72&amp;IF(Z72="Yes","  [IPL]","")),IF(AA72="","","• "&amp;AA72&amp;IF(AB72="Yes","  [IPL]","")))</f>
        <v/>
      </c>
      <c r="AD72" s="30">
        <f>IF(AC72="","",COUNTIF(Q72:AB72,"Yes"))</f>
        <v/>
      </c>
      <c r="AE72" s="19" t="n"/>
      <c r="AF72" s="19" t="n"/>
      <c r="AG72" s="30">
        <f>IF(OR(AE72="",AF72=""),"",INDEX(RiskGrid,6-VALUE(LEFT(AE72,1)),VALUE(LEFT(AF72,1))))</f>
        <v/>
      </c>
      <c r="AH72" s="30">
        <f>IF(AG72="","",IF(AG72&gt;=BandVH,"Very High",IF(AG72&gt;=BandHigh,"High",IF(AG72&gt;=BandMed,"Medium","Low"))))</f>
        <v/>
      </c>
      <c r="AI72" s="4" t="n"/>
      <c r="AJ72" s="4" t="n"/>
    </row>
    <row r="73">
      <c r="A73" s="30">
        <f>IF(B73="","",COUNTIF(B$14:B73,"?*"))</f>
        <v/>
      </c>
      <c r="B73" s="4" t="n"/>
      <c r="C73" s="19" t="n"/>
      <c r="D73" s="5">
        <f>IF(OR(B73="",C73=""),"",UPPER(LEFT(C73,1))&amp;LOWER(MID(C73,2,30))&amp;" "&amp;LOWER(LEFT(B73,1))&amp;MID(B73,2,200))</f>
        <v/>
      </c>
      <c r="E73" s="4" t="n"/>
      <c r="F73" s="4" t="n"/>
      <c r="G73" s="4" t="n"/>
      <c r="H73" s="4" t="n"/>
      <c r="I73" s="4" t="n"/>
      <c r="J73" s="4" t="n"/>
      <c r="K73" s="5">
        <f>_xlfn.TEXTJOIN(CHAR(10),TRUE,IF(E73="","","• "&amp;E73),IF(F73="","","• "&amp;F73),IF(G73="","","• "&amp;G73),IF(H73="","","• "&amp;H73),IF(I73="","","• "&amp;I73),IF(J73="","","• "&amp;J73))</f>
        <v/>
      </c>
      <c r="L73" s="4" t="n"/>
      <c r="M73" s="19" t="n"/>
      <c r="N73" s="19" t="n"/>
      <c r="O73" s="30">
        <f>IF(OR(M73="",N73=""),"",INDEX(RiskGrid,6-VALUE(LEFT(M73,1)),VALUE(LEFT(N73,1))))</f>
        <v/>
      </c>
      <c r="P73" s="30">
        <f>IF(O73="","",IF(O73&gt;=BandVH,"Very High",IF(O73&gt;=BandHigh,"High",IF(O73&gt;=BandMed,"Medium","Low"))))</f>
        <v/>
      </c>
      <c r="Q73" s="4" t="n"/>
      <c r="R73" s="19" t="n"/>
      <c r="S73" s="4" t="n"/>
      <c r="T73" s="19" t="n"/>
      <c r="U73" s="4" t="n"/>
      <c r="V73" s="19" t="n"/>
      <c r="W73" s="4" t="n"/>
      <c r="X73" s="19" t="n"/>
      <c r="Y73" s="4" t="n"/>
      <c r="Z73" s="19" t="n"/>
      <c r="AA73" s="4" t="n"/>
      <c r="AB73" s="19" t="n"/>
      <c r="AC73" s="5">
        <f>_xlfn.TEXTJOIN(CHAR(10),TRUE,IF(Q73="","","• "&amp;Q73&amp;IF(R73="Yes","  [IPL]","")),IF(S73="","","• "&amp;S73&amp;IF(T73="Yes","  [IPL]","")),IF(U73="","","• "&amp;U73&amp;IF(V73="Yes","  [IPL]","")),IF(W73="","","• "&amp;W73&amp;IF(X73="Yes","  [IPL]","")),IF(Y73="","","• "&amp;Y73&amp;IF(Z73="Yes","  [IPL]","")),IF(AA73="","","• "&amp;AA73&amp;IF(AB73="Yes","  [IPL]","")))</f>
        <v/>
      </c>
      <c r="AD73" s="30">
        <f>IF(AC73="","",COUNTIF(Q73:AB73,"Yes"))</f>
        <v/>
      </c>
      <c r="AE73" s="19" t="n"/>
      <c r="AF73" s="19" t="n"/>
      <c r="AG73" s="30">
        <f>IF(OR(AE73="",AF73=""),"",INDEX(RiskGrid,6-VALUE(LEFT(AE73,1)),VALUE(LEFT(AF73,1))))</f>
        <v/>
      </c>
      <c r="AH73" s="30">
        <f>IF(AG73="","",IF(AG73&gt;=BandVH,"Very High",IF(AG73&gt;=BandHigh,"High",IF(AG73&gt;=BandMed,"Medium","Low"))))</f>
        <v/>
      </c>
      <c r="AI73" s="4" t="n"/>
      <c r="AJ73" s="4" t="n"/>
    </row>
    <row r="74">
      <c r="A74" s="30">
        <f>IF(B74="","",COUNTIF(B$14:B74,"?*"))</f>
        <v/>
      </c>
      <c r="B74" s="4" t="n"/>
      <c r="C74" s="19" t="n"/>
      <c r="D74" s="5">
        <f>IF(OR(B74="",C74=""),"",UPPER(LEFT(C74,1))&amp;LOWER(MID(C74,2,30))&amp;" "&amp;LOWER(LEFT(B74,1))&amp;MID(B74,2,200))</f>
        <v/>
      </c>
      <c r="E74" s="4" t="n"/>
      <c r="F74" s="4" t="n"/>
      <c r="G74" s="4" t="n"/>
      <c r="H74" s="4" t="n"/>
      <c r="I74" s="4" t="n"/>
      <c r="J74" s="4" t="n"/>
      <c r="K74" s="5">
        <f>_xlfn.TEXTJOIN(CHAR(10),TRUE,IF(E74="","","• "&amp;E74),IF(F74="","","• "&amp;F74),IF(G74="","","• "&amp;G74),IF(H74="","","• "&amp;H74),IF(I74="","","• "&amp;I74),IF(J74="","","• "&amp;J74))</f>
        <v/>
      </c>
      <c r="L74" s="4" t="n"/>
      <c r="M74" s="19" t="n"/>
      <c r="N74" s="19" t="n"/>
      <c r="O74" s="30">
        <f>IF(OR(M74="",N74=""),"",INDEX(RiskGrid,6-VALUE(LEFT(M74,1)),VALUE(LEFT(N74,1))))</f>
        <v/>
      </c>
      <c r="P74" s="30">
        <f>IF(O74="","",IF(O74&gt;=BandVH,"Very High",IF(O74&gt;=BandHigh,"High",IF(O74&gt;=BandMed,"Medium","Low"))))</f>
        <v/>
      </c>
      <c r="Q74" s="4" t="n"/>
      <c r="R74" s="19" t="n"/>
      <c r="S74" s="4" t="n"/>
      <c r="T74" s="19" t="n"/>
      <c r="U74" s="4" t="n"/>
      <c r="V74" s="19" t="n"/>
      <c r="W74" s="4" t="n"/>
      <c r="X74" s="19" t="n"/>
      <c r="Y74" s="4" t="n"/>
      <c r="Z74" s="19" t="n"/>
      <c r="AA74" s="4" t="n"/>
      <c r="AB74" s="19" t="n"/>
      <c r="AC74" s="5">
        <f>_xlfn.TEXTJOIN(CHAR(10),TRUE,IF(Q74="","","• "&amp;Q74&amp;IF(R74="Yes","  [IPL]","")),IF(S74="","","• "&amp;S74&amp;IF(T74="Yes","  [IPL]","")),IF(U74="","","• "&amp;U74&amp;IF(V74="Yes","  [IPL]","")),IF(W74="","","• "&amp;W74&amp;IF(X74="Yes","  [IPL]","")),IF(Y74="","","• "&amp;Y74&amp;IF(Z74="Yes","  [IPL]","")),IF(AA74="","","• "&amp;AA74&amp;IF(AB74="Yes","  [IPL]","")))</f>
        <v/>
      </c>
      <c r="AD74" s="30">
        <f>IF(AC74="","",COUNTIF(Q74:AB74,"Yes"))</f>
        <v/>
      </c>
      <c r="AE74" s="19" t="n"/>
      <c r="AF74" s="19" t="n"/>
      <c r="AG74" s="30">
        <f>IF(OR(AE74="",AF74=""),"",INDEX(RiskGrid,6-VALUE(LEFT(AE74,1)),VALUE(LEFT(AF74,1))))</f>
        <v/>
      </c>
      <c r="AH74" s="30">
        <f>IF(AG74="","",IF(AG74&gt;=BandVH,"Very High",IF(AG74&gt;=BandHigh,"High",IF(AG74&gt;=BandMed,"Medium","Low"))))</f>
        <v/>
      </c>
      <c r="AI74" s="4" t="n"/>
      <c r="AJ74" s="4" t="n"/>
    </row>
    <row r="75">
      <c r="A75" s="30">
        <f>IF(B75="","",COUNTIF(B$14:B75,"?*"))</f>
        <v/>
      </c>
      <c r="B75" s="4" t="n"/>
      <c r="C75" s="19" t="n"/>
      <c r="D75" s="5">
        <f>IF(OR(B75="",C75=""),"",UPPER(LEFT(C75,1))&amp;LOWER(MID(C75,2,30))&amp;" "&amp;LOWER(LEFT(B75,1))&amp;MID(B75,2,200))</f>
        <v/>
      </c>
      <c r="E75" s="4" t="n"/>
      <c r="F75" s="4" t="n"/>
      <c r="G75" s="4" t="n"/>
      <c r="H75" s="4" t="n"/>
      <c r="I75" s="4" t="n"/>
      <c r="J75" s="4" t="n"/>
      <c r="K75" s="5">
        <f>_xlfn.TEXTJOIN(CHAR(10),TRUE,IF(E75="","","• "&amp;E75),IF(F75="","","• "&amp;F75),IF(G75="","","• "&amp;G75),IF(H75="","","• "&amp;H75),IF(I75="","","• "&amp;I75),IF(J75="","","• "&amp;J75))</f>
        <v/>
      </c>
      <c r="L75" s="4" t="n"/>
      <c r="M75" s="19" t="n"/>
      <c r="N75" s="19" t="n"/>
      <c r="O75" s="30">
        <f>IF(OR(M75="",N75=""),"",INDEX(RiskGrid,6-VALUE(LEFT(M75,1)),VALUE(LEFT(N75,1))))</f>
        <v/>
      </c>
      <c r="P75" s="30">
        <f>IF(O75="","",IF(O75&gt;=BandVH,"Very High",IF(O75&gt;=BandHigh,"High",IF(O75&gt;=BandMed,"Medium","Low"))))</f>
        <v/>
      </c>
      <c r="Q75" s="4" t="n"/>
      <c r="R75" s="19" t="n"/>
      <c r="S75" s="4" t="n"/>
      <c r="T75" s="19" t="n"/>
      <c r="U75" s="4" t="n"/>
      <c r="V75" s="19" t="n"/>
      <c r="W75" s="4" t="n"/>
      <c r="X75" s="19" t="n"/>
      <c r="Y75" s="4" t="n"/>
      <c r="Z75" s="19" t="n"/>
      <c r="AA75" s="4" t="n"/>
      <c r="AB75" s="19" t="n"/>
      <c r="AC75" s="5">
        <f>_xlfn.TEXTJOIN(CHAR(10),TRUE,IF(Q75="","","• "&amp;Q75&amp;IF(R75="Yes","  [IPL]","")),IF(S75="","","• "&amp;S75&amp;IF(T75="Yes","  [IPL]","")),IF(U75="","","• "&amp;U75&amp;IF(V75="Yes","  [IPL]","")),IF(W75="","","• "&amp;W75&amp;IF(X75="Yes","  [IPL]","")),IF(Y75="","","• "&amp;Y75&amp;IF(Z75="Yes","  [IPL]","")),IF(AA75="","","• "&amp;AA75&amp;IF(AB75="Yes","  [IPL]","")))</f>
        <v/>
      </c>
      <c r="AD75" s="30">
        <f>IF(AC75="","",COUNTIF(Q75:AB75,"Yes"))</f>
        <v/>
      </c>
      <c r="AE75" s="19" t="n"/>
      <c r="AF75" s="19" t="n"/>
      <c r="AG75" s="30">
        <f>IF(OR(AE75="",AF75=""),"",INDEX(RiskGrid,6-VALUE(LEFT(AE75,1)),VALUE(LEFT(AF75,1))))</f>
        <v/>
      </c>
      <c r="AH75" s="30">
        <f>IF(AG75="","",IF(AG75&gt;=BandVH,"Very High",IF(AG75&gt;=BandHigh,"High",IF(AG75&gt;=BandMed,"Medium","Low"))))</f>
        <v/>
      </c>
      <c r="AI75" s="4" t="n"/>
      <c r="AJ75" s="4" t="n"/>
    </row>
    <row r="76">
      <c r="A76" s="30">
        <f>IF(B76="","",COUNTIF(B$14:B76,"?*"))</f>
        <v/>
      </c>
      <c r="B76" s="4" t="n"/>
      <c r="C76" s="19" t="n"/>
      <c r="D76" s="5">
        <f>IF(OR(B76="",C76=""),"",UPPER(LEFT(C76,1))&amp;LOWER(MID(C76,2,30))&amp;" "&amp;LOWER(LEFT(B76,1))&amp;MID(B76,2,200))</f>
        <v/>
      </c>
      <c r="E76" s="4" t="n"/>
      <c r="F76" s="4" t="n"/>
      <c r="G76" s="4" t="n"/>
      <c r="H76" s="4" t="n"/>
      <c r="I76" s="4" t="n"/>
      <c r="J76" s="4" t="n"/>
      <c r="K76" s="5">
        <f>_xlfn.TEXTJOIN(CHAR(10),TRUE,IF(E76="","","• "&amp;E76),IF(F76="","","• "&amp;F76),IF(G76="","","• "&amp;G76),IF(H76="","","• "&amp;H76),IF(I76="","","• "&amp;I76),IF(J76="","","• "&amp;J76))</f>
        <v/>
      </c>
      <c r="L76" s="4" t="n"/>
      <c r="M76" s="19" t="n"/>
      <c r="N76" s="19" t="n"/>
      <c r="O76" s="30">
        <f>IF(OR(M76="",N76=""),"",INDEX(RiskGrid,6-VALUE(LEFT(M76,1)),VALUE(LEFT(N76,1))))</f>
        <v/>
      </c>
      <c r="P76" s="30">
        <f>IF(O76="","",IF(O76&gt;=BandVH,"Very High",IF(O76&gt;=BandHigh,"High",IF(O76&gt;=BandMed,"Medium","Low"))))</f>
        <v/>
      </c>
      <c r="Q76" s="4" t="n"/>
      <c r="R76" s="19" t="n"/>
      <c r="S76" s="4" t="n"/>
      <c r="T76" s="19" t="n"/>
      <c r="U76" s="4" t="n"/>
      <c r="V76" s="19" t="n"/>
      <c r="W76" s="4" t="n"/>
      <c r="X76" s="19" t="n"/>
      <c r="Y76" s="4" t="n"/>
      <c r="Z76" s="19" t="n"/>
      <c r="AA76" s="4" t="n"/>
      <c r="AB76" s="19" t="n"/>
      <c r="AC76" s="5">
        <f>_xlfn.TEXTJOIN(CHAR(10),TRUE,IF(Q76="","","• "&amp;Q76&amp;IF(R76="Yes","  [IPL]","")),IF(S76="","","• "&amp;S76&amp;IF(T76="Yes","  [IPL]","")),IF(U76="","","• "&amp;U76&amp;IF(V76="Yes","  [IPL]","")),IF(W76="","","• "&amp;W76&amp;IF(X76="Yes","  [IPL]","")),IF(Y76="","","• "&amp;Y76&amp;IF(Z76="Yes","  [IPL]","")),IF(AA76="","","• "&amp;AA76&amp;IF(AB76="Yes","  [IPL]","")))</f>
        <v/>
      </c>
      <c r="AD76" s="30">
        <f>IF(AC76="","",COUNTIF(Q76:AB76,"Yes"))</f>
        <v/>
      </c>
      <c r="AE76" s="19" t="n"/>
      <c r="AF76" s="19" t="n"/>
      <c r="AG76" s="30">
        <f>IF(OR(AE76="",AF76=""),"",INDEX(RiskGrid,6-VALUE(LEFT(AE76,1)),VALUE(LEFT(AF76,1))))</f>
        <v/>
      </c>
      <c r="AH76" s="30">
        <f>IF(AG76="","",IF(AG76&gt;=BandVH,"Very High",IF(AG76&gt;=BandHigh,"High",IF(AG76&gt;=BandMed,"Medium","Low"))))</f>
        <v/>
      </c>
      <c r="AI76" s="4" t="n"/>
      <c r="AJ76" s="4" t="n"/>
    </row>
    <row r="77">
      <c r="A77" s="30">
        <f>IF(B77="","",COUNTIF(B$14:B77,"?*"))</f>
        <v/>
      </c>
      <c r="B77" s="4" t="n"/>
      <c r="C77" s="19" t="n"/>
      <c r="D77" s="5">
        <f>IF(OR(B77="",C77=""),"",UPPER(LEFT(C77,1))&amp;LOWER(MID(C77,2,30))&amp;" "&amp;LOWER(LEFT(B77,1))&amp;MID(B77,2,200))</f>
        <v/>
      </c>
      <c r="E77" s="4" t="n"/>
      <c r="F77" s="4" t="n"/>
      <c r="G77" s="4" t="n"/>
      <c r="H77" s="4" t="n"/>
      <c r="I77" s="4" t="n"/>
      <c r="J77" s="4" t="n"/>
      <c r="K77" s="5">
        <f>_xlfn.TEXTJOIN(CHAR(10),TRUE,IF(E77="","","• "&amp;E77),IF(F77="","","• "&amp;F77),IF(G77="","","• "&amp;G77),IF(H77="","","• "&amp;H77),IF(I77="","","• "&amp;I77),IF(J77="","","• "&amp;J77))</f>
        <v/>
      </c>
      <c r="L77" s="4" t="n"/>
      <c r="M77" s="19" t="n"/>
      <c r="N77" s="19" t="n"/>
      <c r="O77" s="30">
        <f>IF(OR(M77="",N77=""),"",INDEX(RiskGrid,6-VALUE(LEFT(M77,1)),VALUE(LEFT(N77,1))))</f>
        <v/>
      </c>
      <c r="P77" s="30">
        <f>IF(O77="","",IF(O77&gt;=BandVH,"Very High",IF(O77&gt;=BandHigh,"High",IF(O77&gt;=BandMed,"Medium","Low"))))</f>
        <v/>
      </c>
      <c r="Q77" s="4" t="n"/>
      <c r="R77" s="19" t="n"/>
      <c r="S77" s="4" t="n"/>
      <c r="T77" s="19" t="n"/>
      <c r="U77" s="4" t="n"/>
      <c r="V77" s="19" t="n"/>
      <c r="W77" s="4" t="n"/>
      <c r="X77" s="19" t="n"/>
      <c r="Y77" s="4" t="n"/>
      <c r="Z77" s="19" t="n"/>
      <c r="AA77" s="4" t="n"/>
      <c r="AB77" s="19" t="n"/>
      <c r="AC77" s="5">
        <f>_xlfn.TEXTJOIN(CHAR(10),TRUE,IF(Q77="","","• "&amp;Q77&amp;IF(R77="Yes","  [IPL]","")),IF(S77="","","• "&amp;S77&amp;IF(T77="Yes","  [IPL]","")),IF(U77="","","• "&amp;U77&amp;IF(V77="Yes","  [IPL]","")),IF(W77="","","• "&amp;W77&amp;IF(X77="Yes","  [IPL]","")),IF(Y77="","","• "&amp;Y77&amp;IF(Z77="Yes","  [IPL]","")),IF(AA77="","","• "&amp;AA77&amp;IF(AB77="Yes","  [IPL]","")))</f>
        <v/>
      </c>
      <c r="AD77" s="30">
        <f>IF(AC77="","",COUNTIF(Q77:AB77,"Yes"))</f>
        <v/>
      </c>
      <c r="AE77" s="19" t="n"/>
      <c r="AF77" s="19" t="n"/>
      <c r="AG77" s="30">
        <f>IF(OR(AE77="",AF77=""),"",INDEX(RiskGrid,6-VALUE(LEFT(AE77,1)),VALUE(LEFT(AF77,1))))</f>
        <v/>
      </c>
      <c r="AH77" s="30">
        <f>IF(AG77="","",IF(AG77&gt;=BandVH,"Very High",IF(AG77&gt;=BandHigh,"High",IF(AG77&gt;=BandMed,"Medium","Low"))))</f>
        <v/>
      </c>
      <c r="AI77" s="4" t="n"/>
      <c r="AJ77" s="4" t="n"/>
    </row>
    <row r="78">
      <c r="A78" s="30">
        <f>IF(B78="","",COUNTIF(B$14:B78,"?*"))</f>
        <v/>
      </c>
      <c r="B78" s="4" t="n"/>
      <c r="C78" s="19" t="n"/>
      <c r="D78" s="5">
        <f>IF(OR(B78="",C78=""),"",UPPER(LEFT(C78,1))&amp;LOWER(MID(C78,2,30))&amp;" "&amp;LOWER(LEFT(B78,1))&amp;MID(B78,2,200))</f>
        <v/>
      </c>
      <c r="E78" s="4" t="n"/>
      <c r="F78" s="4" t="n"/>
      <c r="G78" s="4" t="n"/>
      <c r="H78" s="4" t="n"/>
      <c r="I78" s="4" t="n"/>
      <c r="J78" s="4" t="n"/>
      <c r="K78" s="5">
        <f>_xlfn.TEXTJOIN(CHAR(10),TRUE,IF(E78="","","• "&amp;E78),IF(F78="","","• "&amp;F78),IF(G78="","","• "&amp;G78),IF(H78="","","• "&amp;H78),IF(I78="","","• "&amp;I78),IF(J78="","","• "&amp;J78))</f>
        <v/>
      </c>
      <c r="L78" s="4" t="n"/>
      <c r="M78" s="19" t="n"/>
      <c r="N78" s="19" t="n"/>
      <c r="O78" s="30">
        <f>IF(OR(M78="",N78=""),"",INDEX(RiskGrid,6-VALUE(LEFT(M78,1)),VALUE(LEFT(N78,1))))</f>
        <v/>
      </c>
      <c r="P78" s="30">
        <f>IF(O78="","",IF(O78&gt;=BandVH,"Very High",IF(O78&gt;=BandHigh,"High",IF(O78&gt;=BandMed,"Medium","Low"))))</f>
        <v/>
      </c>
      <c r="Q78" s="4" t="n"/>
      <c r="R78" s="19" t="n"/>
      <c r="S78" s="4" t="n"/>
      <c r="T78" s="19" t="n"/>
      <c r="U78" s="4" t="n"/>
      <c r="V78" s="19" t="n"/>
      <c r="W78" s="4" t="n"/>
      <c r="X78" s="19" t="n"/>
      <c r="Y78" s="4" t="n"/>
      <c r="Z78" s="19" t="n"/>
      <c r="AA78" s="4" t="n"/>
      <c r="AB78" s="19" t="n"/>
      <c r="AC78" s="5">
        <f>_xlfn.TEXTJOIN(CHAR(10),TRUE,IF(Q78="","","• "&amp;Q78&amp;IF(R78="Yes","  [IPL]","")),IF(S78="","","• "&amp;S78&amp;IF(T78="Yes","  [IPL]","")),IF(U78="","","• "&amp;U78&amp;IF(V78="Yes","  [IPL]","")),IF(W78="","","• "&amp;W78&amp;IF(X78="Yes","  [IPL]","")),IF(Y78="","","• "&amp;Y78&amp;IF(Z78="Yes","  [IPL]","")),IF(AA78="","","• "&amp;AA78&amp;IF(AB78="Yes","  [IPL]","")))</f>
        <v/>
      </c>
      <c r="AD78" s="30">
        <f>IF(AC78="","",COUNTIF(Q78:AB78,"Yes"))</f>
        <v/>
      </c>
      <c r="AE78" s="19" t="n"/>
      <c r="AF78" s="19" t="n"/>
      <c r="AG78" s="30">
        <f>IF(OR(AE78="",AF78=""),"",INDEX(RiskGrid,6-VALUE(LEFT(AE78,1)),VALUE(LEFT(AF78,1))))</f>
        <v/>
      </c>
      <c r="AH78" s="30">
        <f>IF(AG78="","",IF(AG78&gt;=BandVH,"Very High",IF(AG78&gt;=BandHigh,"High",IF(AG78&gt;=BandMed,"Medium","Low"))))</f>
        <v/>
      </c>
      <c r="AI78" s="4" t="n"/>
      <c r="AJ78" s="4" t="n"/>
    </row>
    <row r="79">
      <c r="A79" s="30">
        <f>IF(B79="","",COUNTIF(B$14:B79,"?*"))</f>
        <v/>
      </c>
      <c r="B79" s="4" t="n"/>
      <c r="C79" s="19" t="n"/>
      <c r="D79" s="5">
        <f>IF(OR(B79="",C79=""),"",UPPER(LEFT(C79,1))&amp;LOWER(MID(C79,2,30))&amp;" "&amp;LOWER(LEFT(B79,1))&amp;MID(B79,2,200))</f>
        <v/>
      </c>
      <c r="E79" s="4" t="n"/>
      <c r="F79" s="4" t="n"/>
      <c r="G79" s="4" t="n"/>
      <c r="H79" s="4" t="n"/>
      <c r="I79" s="4" t="n"/>
      <c r="J79" s="4" t="n"/>
      <c r="K79" s="5">
        <f>_xlfn.TEXTJOIN(CHAR(10),TRUE,IF(E79="","","• "&amp;E79),IF(F79="","","• "&amp;F79),IF(G79="","","• "&amp;G79),IF(H79="","","• "&amp;H79),IF(I79="","","• "&amp;I79),IF(J79="","","• "&amp;J79))</f>
        <v/>
      </c>
      <c r="L79" s="4" t="n"/>
      <c r="M79" s="19" t="n"/>
      <c r="N79" s="19" t="n"/>
      <c r="O79" s="30">
        <f>IF(OR(M79="",N79=""),"",INDEX(RiskGrid,6-VALUE(LEFT(M79,1)),VALUE(LEFT(N79,1))))</f>
        <v/>
      </c>
      <c r="P79" s="30">
        <f>IF(O79="","",IF(O79&gt;=BandVH,"Very High",IF(O79&gt;=BandHigh,"High",IF(O79&gt;=BandMed,"Medium","Low"))))</f>
        <v/>
      </c>
      <c r="Q79" s="4" t="n"/>
      <c r="R79" s="19" t="n"/>
      <c r="S79" s="4" t="n"/>
      <c r="T79" s="19" t="n"/>
      <c r="U79" s="4" t="n"/>
      <c r="V79" s="19" t="n"/>
      <c r="W79" s="4" t="n"/>
      <c r="X79" s="19" t="n"/>
      <c r="Y79" s="4" t="n"/>
      <c r="Z79" s="19" t="n"/>
      <c r="AA79" s="4" t="n"/>
      <c r="AB79" s="19" t="n"/>
      <c r="AC79" s="5">
        <f>_xlfn.TEXTJOIN(CHAR(10),TRUE,IF(Q79="","","• "&amp;Q79&amp;IF(R79="Yes","  [IPL]","")),IF(S79="","","• "&amp;S79&amp;IF(T79="Yes","  [IPL]","")),IF(U79="","","• "&amp;U79&amp;IF(V79="Yes","  [IPL]","")),IF(W79="","","• "&amp;W79&amp;IF(X79="Yes","  [IPL]","")),IF(Y79="","","• "&amp;Y79&amp;IF(Z79="Yes","  [IPL]","")),IF(AA79="","","• "&amp;AA79&amp;IF(AB79="Yes","  [IPL]","")))</f>
        <v/>
      </c>
      <c r="AD79" s="30">
        <f>IF(AC79="","",COUNTIF(Q79:AB79,"Yes"))</f>
        <v/>
      </c>
      <c r="AE79" s="19" t="n"/>
      <c r="AF79" s="19" t="n"/>
      <c r="AG79" s="30">
        <f>IF(OR(AE79="",AF79=""),"",INDEX(RiskGrid,6-VALUE(LEFT(AE79,1)),VALUE(LEFT(AF79,1))))</f>
        <v/>
      </c>
      <c r="AH79" s="30">
        <f>IF(AG79="","",IF(AG79&gt;=BandVH,"Very High",IF(AG79&gt;=BandHigh,"High",IF(AG79&gt;=BandMed,"Medium","Low"))))</f>
        <v/>
      </c>
      <c r="AI79" s="4" t="n"/>
      <c r="AJ79" s="4" t="n"/>
    </row>
    <row r="80">
      <c r="A80" s="30">
        <f>IF(B80="","",COUNTIF(B$14:B80,"?*"))</f>
        <v/>
      </c>
      <c r="B80" s="4" t="n"/>
      <c r="C80" s="19" t="n"/>
      <c r="D80" s="5">
        <f>IF(OR(B80="",C80=""),"",UPPER(LEFT(C80,1))&amp;LOWER(MID(C80,2,30))&amp;" "&amp;LOWER(LEFT(B80,1))&amp;MID(B80,2,200))</f>
        <v/>
      </c>
      <c r="E80" s="4" t="n"/>
      <c r="F80" s="4" t="n"/>
      <c r="G80" s="4" t="n"/>
      <c r="H80" s="4" t="n"/>
      <c r="I80" s="4" t="n"/>
      <c r="J80" s="4" t="n"/>
      <c r="K80" s="5">
        <f>_xlfn.TEXTJOIN(CHAR(10),TRUE,IF(E80="","","• "&amp;E80),IF(F80="","","• "&amp;F80),IF(G80="","","• "&amp;G80),IF(H80="","","• "&amp;H80),IF(I80="","","• "&amp;I80),IF(J80="","","• "&amp;J80))</f>
        <v/>
      </c>
      <c r="L80" s="4" t="n"/>
      <c r="M80" s="19" t="n"/>
      <c r="N80" s="19" t="n"/>
      <c r="O80" s="30">
        <f>IF(OR(M80="",N80=""),"",INDEX(RiskGrid,6-VALUE(LEFT(M80,1)),VALUE(LEFT(N80,1))))</f>
        <v/>
      </c>
      <c r="P80" s="30">
        <f>IF(O80="","",IF(O80&gt;=BandVH,"Very High",IF(O80&gt;=BandHigh,"High",IF(O80&gt;=BandMed,"Medium","Low"))))</f>
        <v/>
      </c>
      <c r="Q80" s="4" t="n"/>
      <c r="R80" s="19" t="n"/>
      <c r="S80" s="4" t="n"/>
      <c r="T80" s="19" t="n"/>
      <c r="U80" s="4" t="n"/>
      <c r="V80" s="19" t="n"/>
      <c r="W80" s="4" t="n"/>
      <c r="X80" s="19" t="n"/>
      <c r="Y80" s="4" t="n"/>
      <c r="Z80" s="19" t="n"/>
      <c r="AA80" s="4" t="n"/>
      <c r="AB80" s="19" t="n"/>
      <c r="AC80" s="5">
        <f>_xlfn.TEXTJOIN(CHAR(10),TRUE,IF(Q80="","","• "&amp;Q80&amp;IF(R80="Yes","  [IPL]","")),IF(S80="","","• "&amp;S80&amp;IF(T80="Yes","  [IPL]","")),IF(U80="","","• "&amp;U80&amp;IF(V80="Yes","  [IPL]","")),IF(W80="","","• "&amp;W80&amp;IF(X80="Yes","  [IPL]","")),IF(Y80="","","• "&amp;Y80&amp;IF(Z80="Yes","  [IPL]","")),IF(AA80="","","• "&amp;AA80&amp;IF(AB80="Yes","  [IPL]","")))</f>
        <v/>
      </c>
      <c r="AD80" s="30">
        <f>IF(AC80="","",COUNTIF(Q80:AB80,"Yes"))</f>
        <v/>
      </c>
      <c r="AE80" s="19" t="n"/>
      <c r="AF80" s="19" t="n"/>
      <c r="AG80" s="30">
        <f>IF(OR(AE80="",AF80=""),"",INDEX(RiskGrid,6-VALUE(LEFT(AE80,1)),VALUE(LEFT(AF80,1))))</f>
        <v/>
      </c>
      <c r="AH80" s="30">
        <f>IF(AG80="","",IF(AG80&gt;=BandVH,"Very High",IF(AG80&gt;=BandHigh,"High",IF(AG80&gt;=BandMed,"Medium","Low"))))</f>
        <v/>
      </c>
      <c r="AI80" s="4" t="n"/>
      <c r="AJ80" s="4" t="n"/>
    </row>
    <row r="81">
      <c r="A81" s="30">
        <f>IF(B81="","",COUNTIF(B$14:B81,"?*"))</f>
        <v/>
      </c>
      <c r="B81" s="4" t="n"/>
      <c r="C81" s="19" t="n"/>
      <c r="D81" s="5">
        <f>IF(OR(B81="",C81=""),"",UPPER(LEFT(C81,1))&amp;LOWER(MID(C81,2,30))&amp;" "&amp;LOWER(LEFT(B81,1))&amp;MID(B81,2,200))</f>
        <v/>
      </c>
      <c r="E81" s="4" t="n"/>
      <c r="F81" s="4" t="n"/>
      <c r="G81" s="4" t="n"/>
      <c r="H81" s="4" t="n"/>
      <c r="I81" s="4" t="n"/>
      <c r="J81" s="4" t="n"/>
      <c r="K81" s="5">
        <f>_xlfn.TEXTJOIN(CHAR(10),TRUE,IF(E81="","","• "&amp;E81),IF(F81="","","• "&amp;F81),IF(G81="","","• "&amp;G81),IF(H81="","","• "&amp;H81),IF(I81="","","• "&amp;I81),IF(J81="","","• "&amp;J81))</f>
        <v/>
      </c>
      <c r="L81" s="4" t="n"/>
      <c r="M81" s="19" t="n"/>
      <c r="N81" s="19" t="n"/>
      <c r="O81" s="30">
        <f>IF(OR(M81="",N81=""),"",INDEX(RiskGrid,6-VALUE(LEFT(M81,1)),VALUE(LEFT(N81,1))))</f>
        <v/>
      </c>
      <c r="P81" s="30">
        <f>IF(O81="","",IF(O81&gt;=BandVH,"Very High",IF(O81&gt;=BandHigh,"High",IF(O81&gt;=BandMed,"Medium","Low"))))</f>
        <v/>
      </c>
      <c r="Q81" s="4" t="n"/>
      <c r="R81" s="19" t="n"/>
      <c r="S81" s="4" t="n"/>
      <c r="T81" s="19" t="n"/>
      <c r="U81" s="4" t="n"/>
      <c r="V81" s="19" t="n"/>
      <c r="W81" s="4" t="n"/>
      <c r="X81" s="19" t="n"/>
      <c r="Y81" s="4" t="n"/>
      <c r="Z81" s="19" t="n"/>
      <c r="AA81" s="4" t="n"/>
      <c r="AB81" s="19" t="n"/>
      <c r="AC81" s="5">
        <f>_xlfn.TEXTJOIN(CHAR(10),TRUE,IF(Q81="","","• "&amp;Q81&amp;IF(R81="Yes","  [IPL]","")),IF(S81="","","• "&amp;S81&amp;IF(T81="Yes","  [IPL]","")),IF(U81="","","• "&amp;U81&amp;IF(V81="Yes","  [IPL]","")),IF(W81="","","• "&amp;W81&amp;IF(X81="Yes","  [IPL]","")),IF(Y81="","","• "&amp;Y81&amp;IF(Z81="Yes","  [IPL]","")),IF(AA81="","","• "&amp;AA81&amp;IF(AB81="Yes","  [IPL]","")))</f>
        <v/>
      </c>
      <c r="AD81" s="30">
        <f>IF(AC81="","",COUNTIF(Q81:AB81,"Yes"))</f>
        <v/>
      </c>
      <c r="AE81" s="19" t="n"/>
      <c r="AF81" s="19" t="n"/>
      <c r="AG81" s="30">
        <f>IF(OR(AE81="",AF81=""),"",INDEX(RiskGrid,6-VALUE(LEFT(AE81,1)),VALUE(LEFT(AF81,1))))</f>
        <v/>
      </c>
      <c r="AH81" s="30">
        <f>IF(AG81="","",IF(AG81&gt;=BandVH,"Very High",IF(AG81&gt;=BandHigh,"High",IF(AG81&gt;=BandMed,"Medium","Low"))))</f>
        <v/>
      </c>
      <c r="AI81" s="4" t="n"/>
      <c r="AJ81" s="4" t="n"/>
    </row>
    <row r="82">
      <c r="A82" s="30">
        <f>IF(B82="","",COUNTIF(B$14:B82,"?*"))</f>
        <v/>
      </c>
      <c r="B82" s="4" t="n"/>
      <c r="C82" s="19" t="n"/>
      <c r="D82" s="5">
        <f>IF(OR(B82="",C82=""),"",UPPER(LEFT(C82,1))&amp;LOWER(MID(C82,2,30))&amp;" "&amp;LOWER(LEFT(B82,1))&amp;MID(B82,2,200))</f>
        <v/>
      </c>
      <c r="E82" s="4" t="n"/>
      <c r="F82" s="4" t="n"/>
      <c r="G82" s="4" t="n"/>
      <c r="H82" s="4" t="n"/>
      <c r="I82" s="4" t="n"/>
      <c r="J82" s="4" t="n"/>
      <c r="K82" s="5">
        <f>_xlfn.TEXTJOIN(CHAR(10),TRUE,IF(E82="","","• "&amp;E82),IF(F82="","","• "&amp;F82),IF(G82="","","• "&amp;G82),IF(H82="","","• "&amp;H82),IF(I82="","","• "&amp;I82),IF(J82="","","• "&amp;J82))</f>
        <v/>
      </c>
      <c r="L82" s="4" t="n"/>
      <c r="M82" s="19" t="n"/>
      <c r="N82" s="19" t="n"/>
      <c r="O82" s="30">
        <f>IF(OR(M82="",N82=""),"",INDEX(RiskGrid,6-VALUE(LEFT(M82,1)),VALUE(LEFT(N82,1))))</f>
        <v/>
      </c>
      <c r="P82" s="30">
        <f>IF(O82="","",IF(O82&gt;=BandVH,"Very High",IF(O82&gt;=BandHigh,"High",IF(O82&gt;=BandMed,"Medium","Low"))))</f>
        <v/>
      </c>
      <c r="Q82" s="4" t="n"/>
      <c r="R82" s="19" t="n"/>
      <c r="S82" s="4" t="n"/>
      <c r="T82" s="19" t="n"/>
      <c r="U82" s="4" t="n"/>
      <c r="V82" s="19" t="n"/>
      <c r="W82" s="4" t="n"/>
      <c r="X82" s="19" t="n"/>
      <c r="Y82" s="4" t="n"/>
      <c r="Z82" s="19" t="n"/>
      <c r="AA82" s="4" t="n"/>
      <c r="AB82" s="19" t="n"/>
      <c r="AC82" s="5">
        <f>_xlfn.TEXTJOIN(CHAR(10),TRUE,IF(Q82="","","• "&amp;Q82&amp;IF(R82="Yes","  [IPL]","")),IF(S82="","","• "&amp;S82&amp;IF(T82="Yes","  [IPL]","")),IF(U82="","","• "&amp;U82&amp;IF(V82="Yes","  [IPL]","")),IF(W82="","","• "&amp;W82&amp;IF(X82="Yes","  [IPL]","")),IF(Y82="","","• "&amp;Y82&amp;IF(Z82="Yes","  [IPL]","")),IF(AA82="","","• "&amp;AA82&amp;IF(AB82="Yes","  [IPL]","")))</f>
        <v/>
      </c>
      <c r="AD82" s="30">
        <f>IF(AC82="","",COUNTIF(Q82:AB82,"Yes"))</f>
        <v/>
      </c>
      <c r="AE82" s="19" t="n"/>
      <c r="AF82" s="19" t="n"/>
      <c r="AG82" s="30">
        <f>IF(OR(AE82="",AF82=""),"",INDEX(RiskGrid,6-VALUE(LEFT(AE82,1)),VALUE(LEFT(AF82,1))))</f>
        <v/>
      </c>
      <c r="AH82" s="30">
        <f>IF(AG82="","",IF(AG82&gt;=BandVH,"Very High",IF(AG82&gt;=BandHigh,"High",IF(AG82&gt;=BandMed,"Medium","Low"))))</f>
        <v/>
      </c>
      <c r="AI82" s="4" t="n"/>
      <c r="AJ82" s="4" t="n"/>
    </row>
    <row r="83">
      <c r="A83" s="30">
        <f>IF(B83="","",COUNTIF(B$14:B83,"?*"))</f>
        <v/>
      </c>
      <c r="B83" s="4" t="n"/>
      <c r="C83" s="19" t="n"/>
      <c r="D83" s="5">
        <f>IF(OR(B83="",C83=""),"",UPPER(LEFT(C83,1))&amp;LOWER(MID(C83,2,30))&amp;" "&amp;LOWER(LEFT(B83,1))&amp;MID(B83,2,200))</f>
        <v/>
      </c>
      <c r="E83" s="4" t="n"/>
      <c r="F83" s="4" t="n"/>
      <c r="G83" s="4" t="n"/>
      <c r="H83" s="4" t="n"/>
      <c r="I83" s="4" t="n"/>
      <c r="J83" s="4" t="n"/>
      <c r="K83" s="5">
        <f>_xlfn.TEXTJOIN(CHAR(10),TRUE,IF(E83="","","• "&amp;E83),IF(F83="","","• "&amp;F83),IF(G83="","","• "&amp;G83),IF(H83="","","• "&amp;H83),IF(I83="","","• "&amp;I83),IF(J83="","","• "&amp;J83))</f>
        <v/>
      </c>
      <c r="L83" s="4" t="n"/>
      <c r="M83" s="19" t="n"/>
      <c r="N83" s="19" t="n"/>
      <c r="O83" s="30">
        <f>IF(OR(M83="",N83=""),"",INDEX(RiskGrid,6-VALUE(LEFT(M83,1)),VALUE(LEFT(N83,1))))</f>
        <v/>
      </c>
      <c r="P83" s="30">
        <f>IF(O83="","",IF(O83&gt;=BandVH,"Very High",IF(O83&gt;=BandHigh,"High",IF(O83&gt;=BandMed,"Medium","Low"))))</f>
        <v/>
      </c>
      <c r="Q83" s="4" t="n"/>
      <c r="R83" s="19" t="n"/>
      <c r="S83" s="4" t="n"/>
      <c r="T83" s="19" t="n"/>
      <c r="U83" s="4" t="n"/>
      <c r="V83" s="19" t="n"/>
      <c r="W83" s="4" t="n"/>
      <c r="X83" s="19" t="n"/>
      <c r="Y83" s="4" t="n"/>
      <c r="Z83" s="19" t="n"/>
      <c r="AA83" s="4" t="n"/>
      <c r="AB83" s="19" t="n"/>
      <c r="AC83" s="5">
        <f>_xlfn.TEXTJOIN(CHAR(10),TRUE,IF(Q83="","","• "&amp;Q83&amp;IF(R83="Yes","  [IPL]","")),IF(S83="","","• "&amp;S83&amp;IF(T83="Yes","  [IPL]","")),IF(U83="","","• "&amp;U83&amp;IF(V83="Yes","  [IPL]","")),IF(W83="","","• "&amp;W83&amp;IF(X83="Yes","  [IPL]","")),IF(Y83="","","• "&amp;Y83&amp;IF(Z83="Yes","  [IPL]","")),IF(AA83="","","• "&amp;AA83&amp;IF(AB83="Yes","  [IPL]","")))</f>
        <v/>
      </c>
      <c r="AD83" s="30">
        <f>IF(AC83="","",COUNTIF(Q83:AB83,"Yes"))</f>
        <v/>
      </c>
      <c r="AE83" s="19" t="n"/>
      <c r="AF83" s="19" t="n"/>
      <c r="AG83" s="30">
        <f>IF(OR(AE83="",AF83=""),"",INDEX(RiskGrid,6-VALUE(LEFT(AE83,1)),VALUE(LEFT(AF83,1))))</f>
        <v/>
      </c>
      <c r="AH83" s="30">
        <f>IF(AG83="","",IF(AG83&gt;=BandVH,"Very High",IF(AG83&gt;=BandHigh,"High",IF(AG83&gt;=BandMed,"Medium","Low"))))</f>
        <v/>
      </c>
      <c r="AI83" s="4" t="n"/>
      <c r="AJ83" s="4" t="n"/>
    </row>
    <row r="84">
      <c r="A84" s="30">
        <f>IF(B84="","",COUNTIF(B$14:B84,"?*"))</f>
        <v/>
      </c>
      <c r="B84" s="4" t="n"/>
      <c r="C84" s="19" t="n"/>
      <c r="D84" s="5">
        <f>IF(OR(B84="",C84=""),"",UPPER(LEFT(C84,1))&amp;LOWER(MID(C84,2,30))&amp;" "&amp;LOWER(LEFT(B84,1))&amp;MID(B84,2,200))</f>
        <v/>
      </c>
      <c r="E84" s="4" t="n"/>
      <c r="F84" s="4" t="n"/>
      <c r="G84" s="4" t="n"/>
      <c r="H84" s="4" t="n"/>
      <c r="I84" s="4" t="n"/>
      <c r="J84" s="4" t="n"/>
      <c r="K84" s="5">
        <f>_xlfn.TEXTJOIN(CHAR(10),TRUE,IF(E84="","","• "&amp;E84),IF(F84="","","• "&amp;F84),IF(G84="","","• "&amp;G84),IF(H84="","","• "&amp;H84),IF(I84="","","• "&amp;I84),IF(J84="","","• "&amp;J84))</f>
        <v/>
      </c>
      <c r="L84" s="4" t="n"/>
      <c r="M84" s="19" t="n"/>
      <c r="N84" s="19" t="n"/>
      <c r="O84" s="30">
        <f>IF(OR(M84="",N84=""),"",INDEX(RiskGrid,6-VALUE(LEFT(M84,1)),VALUE(LEFT(N84,1))))</f>
        <v/>
      </c>
      <c r="P84" s="30">
        <f>IF(O84="","",IF(O84&gt;=BandVH,"Very High",IF(O84&gt;=BandHigh,"High",IF(O84&gt;=BandMed,"Medium","Low"))))</f>
        <v/>
      </c>
      <c r="Q84" s="4" t="n"/>
      <c r="R84" s="19" t="n"/>
      <c r="S84" s="4" t="n"/>
      <c r="T84" s="19" t="n"/>
      <c r="U84" s="4" t="n"/>
      <c r="V84" s="19" t="n"/>
      <c r="W84" s="4" t="n"/>
      <c r="X84" s="19" t="n"/>
      <c r="Y84" s="4" t="n"/>
      <c r="Z84" s="19" t="n"/>
      <c r="AA84" s="4" t="n"/>
      <c r="AB84" s="19" t="n"/>
      <c r="AC84" s="5">
        <f>_xlfn.TEXTJOIN(CHAR(10),TRUE,IF(Q84="","","• "&amp;Q84&amp;IF(R84="Yes","  [IPL]","")),IF(S84="","","• "&amp;S84&amp;IF(T84="Yes","  [IPL]","")),IF(U84="","","• "&amp;U84&amp;IF(V84="Yes","  [IPL]","")),IF(W84="","","• "&amp;W84&amp;IF(X84="Yes","  [IPL]","")),IF(Y84="","","• "&amp;Y84&amp;IF(Z84="Yes","  [IPL]","")),IF(AA84="","","• "&amp;AA84&amp;IF(AB84="Yes","  [IPL]","")))</f>
        <v/>
      </c>
      <c r="AD84" s="30">
        <f>IF(AC84="","",COUNTIF(Q84:AB84,"Yes"))</f>
        <v/>
      </c>
      <c r="AE84" s="19" t="n"/>
      <c r="AF84" s="19" t="n"/>
      <c r="AG84" s="30">
        <f>IF(OR(AE84="",AF84=""),"",INDEX(RiskGrid,6-VALUE(LEFT(AE84,1)),VALUE(LEFT(AF84,1))))</f>
        <v/>
      </c>
      <c r="AH84" s="30">
        <f>IF(AG84="","",IF(AG84&gt;=BandVH,"Very High",IF(AG84&gt;=BandHigh,"High",IF(AG84&gt;=BandMed,"Medium","Low"))))</f>
        <v/>
      </c>
      <c r="AI84" s="4" t="n"/>
      <c r="AJ84" s="4" t="n"/>
    </row>
    <row r="85">
      <c r="A85" s="30">
        <f>IF(B85="","",COUNTIF(B$14:B85,"?*"))</f>
        <v/>
      </c>
      <c r="B85" s="4" t="n"/>
      <c r="C85" s="19" t="n"/>
      <c r="D85" s="5">
        <f>IF(OR(B85="",C85=""),"",UPPER(LEFT(C85,1))&amp;LOWER(MID(C85,2,30))&amp;" "&amp;LOWER(LEFT(B85,1))&amp;MID(B85,2,200))</f>
        <v/>
      </c>
      <c r="E85" s="4" t="n"/>
      <c r="F85" s="4" t="n"/>
      <c r="G85" s="4" t="n"/>
      <c r="H85" s="4" t="n"/>
      <c r="I85" s="4" t="n"/>
      <c r="J85" s="4" t="n"/>
      <c r="K85" s="5">
        <f>_xlfn.TEXTJOIN(CHAR(10),TRUE,IF(E85="","","• "&amp;E85),IF(F85="","","• "&amp;F85),IF(G85="","","• "&amp;G85),IF(H85="","","• "&amp;H85),IF(I85="","","• "&amp;I85),IF(J85="","","• "&amp;J85))</f>
        <v/>
      </c>
      <c r="L85" s="4" t="n"/>
      <c r="M85" s="19" t="n"/>
      <c r="N85" s="19" t="n"/>
      <c r="O85" s="30">
        <f>IF(OR(M85="",N85=""),"",INDEX(RiskGrid,6-VALUE(LEFT(M85,1)),VALUE(LEFT(N85,1))))</f>
        <v/>
      </c>
      <c r="P85" s="30">
        <f>IF(O85="","",IF(O85&gt;=BandVH,"Very High",IF(O85&gt;=BandHigh,"High",IF(O85&gt;=BandMed,"Medium","Low"))))</f>
        <v/>
      </c>
      <c r="Q85" s="4" t="n"/>
      <c r="R85" s="19" t="n"/>
      <c r="S85" s="4" t="n"/>
      <c r="T85" s="19" t="n"/>
      <c r="U85" s="4" t="n"/>
      <c r="V85" s="19" t="n"/>
      <c r="W85" s="4" t="n"/>
      <c r="X85" s="19" t="n"/>
      <c r="Y85" s="4" t="n"/>
      <c r="Z85" s="19" t="n"/>
      <c r="AA85" s="4" t="n"/>
      <c r="AB85" s="19" t="n"/>
      <c r="AC85" s="5">
        <f>_xlfn.TEXTJOIN(CHAR(10),TRUE,IF(Q85="","","• "&amp;Q85&amp;IF(R85="Yes","  [IPL]","")),IF(S85="","","• "&amp;S85&amp;IF(T85="Yes","  [IPL]","")),IF(U85="","","• "&amp;U85&amp;IF(V85="Yes","  [IPL]","")),IF(W85="","","• "&amp;W85&amp;IF(X85="Yes","  [IPL]","")),IF(Y85="","","• "&amp;Y85&amp;IF(Z85="Yes","  [IPL]","")),IF(AA85="","","• "&amp;AA85&amp;IF(AB85="Yes","  [IPL]","")))</f>
        <v/>
      </c>
      <c r="AD85" s="30">
        <f>IF(AC85="","",COUNTIF(Q85:AB85,"Yes"))</f>
        <v/>
      </c>
      <c r="AE85" s="19" t="n"/>
      <c r="AF85" s="19" t="n"/>
      <c r="AG85" s="30">
        <f>IF(OR(AE85="",AF85=""),"",INDEX(RiskGrid,6-VALUE(LEFT(AE85,1)),VALUE(LEFT(AF85,1))))</f>
        <v/>
      </c>
      <c r="AH85" s="30">
        <f>IF(AG85="","",IF(AG85&gt;=BandVH,"Very High",IF(AG85&gt;=BandHigh,"High",IF(AG85&gt;=BandMed,"Medium","Low"))))</f>
        <v/>
      </c>
      <c r="AI85" s="4" t="n"/>
      <c r="AJ85" s="4" t="n"/>
    </row>
    <row r="86">
      <c r="A86" s="30">
        <f>IF(B86="","",COUNTIF(B$14:B86,"?*"))</f>
        <v/>
      </c>
      <c r="B86" s="4" t="n"/>
      <c r="C86" s="19" t="n"/>
      <c r="D86" s="5">
        <f>IF(OR(B86="",C86=""),"",UPPER(LEFT(C86,1))&amp;LOWER(MID(C86,2,30))&amp;" "&amp;LOWER(LEFT(B86,1))&amp;MID(B86,2,200))</f>
        <v/>
      </c>
      <c r="E86" s="4" t="n"/>
      <c r="F86" s="4" t="n"/>
      <c r="G86" s="4" t="n"/>
      <c r="H86" s="4" t="n"/>
      <c r="I86" s="4" t="n"/>
      <c r="J86" s="4" t="n"/>
      <c r="K86" s="5">
        <f>_xlfn.TEXTJOIN(CHAR(10),TRUE,IF(E86="","","• "&amp;E86),IF(F86="","","• "&amp;F86),IF(G86="","","• "&amp;G86),IF(H86="","","• "&amp;H86),IF(I86="","","• "&amp;I86),IF(J86="","","• "&amp;J86))</f>
        <v/>
      </c>
      <c r="L86" s="4" t="n"/>
      <c r="M86" s="19" t="n"/>
      <c r="N86" s="19" t="n"/>
      <c r="O86" s="30">
        <f>IF(OR(M86="",N86=""),"",INDEX(RiskGrid,6-VALUE(LEFT(M86,1)),VALUE(LEFT(N86,1))))</f>
        <v/>
      </c>
      <c r="P86" s="30">
        <f>IF(O86="","",IF(O86&gt;=BandVH,"Very High",IF(O86&gt;=BandHigh,"High",IF(O86&gt;=BandMed,"Medium","Low"))))</f>
        <v/>
      </c>
      <c r="Q86" s="4" t="n"/>
      <c r="R86" s="19" t="n"/>
      <c r="S86" s="4" t="n"/>
      <c r="T86" s="19" t="n"/>
      <c r="U86" s="4" t="n"/>
      <c r="V86" s="19" t="n"/>
      <c r="W86" s="4" t="n"/>
      <c r="X86" s="19" t="n"/>
      <c r="Y86" s="4" t="n"/>
      <c r="Z86" s="19" t="n"/>
      <c r="AA86" s="4" t="n"/>
      <c r="AB86" s="19" t="n"/>
      <c r="AC86" s="5">
        <f>_xlfn.TEXTJOIN(CHAR(10),TRUE,IF(Q86="","","• "&amp;Q86&amp;IF(R86="Yes","  [IPL]","")),IF(S86="","","• "&amp;S86&amp;IF(T86="Yes","  [IPL]","")),IF(U86="","","• "&amp;U86&amp;IF(V86="Yes","  [IPL]","")),IF(W86="","","• "&amp;W86&amp;IF(X86="Yes","  [IPL]","")),IF(Y86="","","• "&amp;Y86&amp;IF(Z86="Yes","  [IPL]","")),IF(AA86="","","• "&amp;AA86&amp;IF(AB86="Yes","  [IPL]","")))</f>
        <v/>
      </c>
      <c r="AD86" s="30">
        <f>IF(AC86="","",COUNTIF(Q86:AB86,"Yes"))</f>
        <v/>
      </c>
      <c r="AE86" s="19" t="n"/>
      <c r="AF86" s="19" t="n"/>
      <c r="AG86" s="30">
        <f>IF(OR(AE86="",AF86=""),"",INDEX(RiskGrid,6-VALUE(LEFT(AE86,1)),VALUE(LEFT(AF86,1))))</f>
        <v/>
      </c>
      <c r="AH86" s="30">
        <f>IF(AG86="","",IF(AG86&gt;=BandVH,"Very High",IF(AG86&gt;=BandHigh,"High",IF(AG86&gt;=BandMed,"Medium","Low"))))</f>
        <v/>
      </c>
      <c r="AI86" s="4" t="n"/>
      <c r="AJ86" s="4" t="n"/>
    </row>
    <row r="87">
      <c r="A87" s="30">
        <f>IF(B87="","",COUNTIF(B$14:B87,"?*"))</f>
        <v/>
      </c>
      <c r="B87" s="4" t="n"/>
      <c r="C87" s="19" t="n"/>
      <c r="D87" s="5">
        <f>IF(OR(B87="",C87=""),"",UPPER(LEFT(C87,1))&amp;LOWER(MID(C87,2,30))&amp;" "&amp;LOWER(LEFT(B87,1))&amp;MID(B87,2,200))</f>
        <v/>
      </c>
      <c r="E87" s="4" t="n"/>
      <c r="F87" s="4" t="n"/>
      <c r="G87" s="4" t="n"/>
      <c r="H87" s="4" t="n"/>
      <c r="I87" s="4" t="n"/>
      <c r="J87" s="4" t="n"/>
      <c r="K87" s="5">
        <f>_xlfn.TEXTJOIN(CHAR(10),TRUE,IF(E87="","","• "&amp;E87),IF(F87="","","• "&amp;F87),IF(G87="","","• "&amp;G87),IF(H87="","","• "&amp;H87),IF(I87="","","• "&amp;I87),IF(J87="","","• "&amp;J87))</f>
        <v/>
      </c>
      <c r="L87" s="4" t="n"/>
      <c r="M87" s="19" t="n"/>
      <c r="N87" s="19" t="n"/>
      <c r="O87" s="30">
        <f>IF(OR(M87="",N87=""),"",INDEX(RiskGrid,6-VALUE(LEFT(M87,1)),VALUE(LEFT(N87,1))))</f>
        <v/>
      </c>
      <c r="P87" s="30">
        <f>IF(O87="","",IF(O87&gt;=BandVH,"Very High",IF(O87&gt;=BandHigh,"High",IF(O87&gt;=BandMed,"Medium","Low"))))</f>
        <v/>
      </c>
      <c r="Q87" s="4" t="n"/>
      <c r="R87" s="19" t="n"/>
      <c r="S87" s="4" t="n"/>
      <c r="T87" s="19" t="n"/>
      <c r="U87" s="4" t="n"/>
      <c r="V87" s="19" t="n"/>
      <c r="W87" s="4" t="n"/>
      <c r="X87" s="19" t="n"/>
      <c r="Y87" s="4" t="n"/>
      <c r="Z87" s="19" t="n"/>
      <c r="AA87" s="4" t="n"/>
      <c r="AB87" s="19" t="n"/>
      <c r="AC87" s="5">
        <f>_xlfn.TEXTJOIN(CHAR(10),TRUE,IF(Q87="","","• "&amp;Q87&amp;IF(R87="Yes","  [IPL]","")),IF(S87="","","• "&amp;S87&amp;IF(T87="Yes","  [IPL]","")),IF(U87="","","• "&amp;U87&amp;IF(V87="Yes","  [IPL]","")),IF(W87="","","• "&amp;W87&amp;IF(X87="Yes","  [IPL]","")),IF(Y87="","","• "&amp;Y87&amp;IF(Z87="Yes","  [IPL]","")),IF(AA87="","","• "&amp;AA87&amp;IF(AB87="Yes","  [IPL]","")))</f>
        <v/>
      </c>
      <c r="AD87" s="30">
        <f>IF(AC87="","",COUNTIF(Q87:AB87,"Yes"))</f>
        <v/>
      </c>
      <c r="AE87" s="19" t="n"/>
      <c r="AF87" s="19" t="n"/>
      <c r="AG87" s="30">
        <f>IF(OR(AE87="",AF87=""),"",INDEX(RiskGrid,6-VALUE(LEFT(AE87,1)),VALUE(LEFT(AF87,1))))</f>
        <v/>
      </c>
      <c r="AH87" s="30">
        <f>IF(AG87="","",IF(AG87&gt;=BandVH,"Very High",IF(AG87&gt;=BandHigh,"High",IF(AG87&gt;=BandMed,"Medium","Low"))))</f>
        <v/>
      </c>
      <c r="AI87" s="4" t="n"/>
      <c r="AJ87" s="4" t="n"/>
    </row>
    <row r="88">
      <c r="A88" s="30">
        <f>IF(B88="","",COUNTIF(B$14:B88,"?*"))</f>
        <v/>
      </c>
      <c r="B88" s="4" t="n"/>
      <c r="C88" s="19" t="n"/>
      <c r="D88" s="5">
        <f>IF(OR(B88="",C88=""),"",UPPER(LEFT(C88,1))&amp;LOWER(MID(C88,2,30))&amp;" "&amp;LOWER(LEFT(B88,1))&amp;MID(B88,2,200))</f>
        <v/>
      </c>
      <c r="E88" s="4" t="n"/>
      <c r="F88" s="4" t="n"/>
      <c r="G88" s="4" t="n"/>
      <c r="H88" s="4" t="n"/>
      <c r="I88" s="4" t="n"/>
      <c r="J88" s="4" t="n"/>
      <c r="K88" s="5">
        <f>_xlfn.TEXTJOIN(CHAR(10),TRUE,IF(E88="","","• "&amp;E88),IF(F88="","","• "&amp;F88),IF(G88="","","• "&amp;G88),IF(H88="","","• "&amp;H88),IF(I88="","","• "&amp;I88),IF(J88="","","• "&amp;J88))</f>
        <v/>
      </c>
      <c r="L88" s="4" t="n"/>
      <c r="M88" s="19" t="n"/>
      <c r="N88" s="19" t="n"/>
      <c r="O88" s="30">
        <f>IF(OR(M88="",N88=""),"",INDEX(RiskGrid,6-VALUE(LEFT(M88,1)),VALUE(LEFT(N88,1))))</f>
        <v/>
      </c>
      <c r="P88" s="30">
        <f>IF(O88="","",IF(O88&gt;=BandVH,"Very High",IF(O88&gt;=BandHigh,"High",IF(O88&gt;=BandMed,"Medium","Low"))))</f>
        <v/>
      </c>
      <c r="Q88" s="4" t="n"/>
      <c r="R88" s="19" t="n"/>
      <c r="S88" s="4" t="n"/>
      <c r="T88" s="19" t="n"/>
      <c r="U88" s="4" t="n"/>
      <c r="V88" s="19" t="n"/>
      <c r="W88" s="4" t="n"/>
      <c r="X88" s="19" t="n"/>
      <c r="Y88" s="4" t="n"/>
      <c r="Z88" s="19" t="n"/>
      <c r="AA88" s="4" t="n"/>
      <c r="AB88" s="19" t="n"/>
      <c r="AC88" s="5">
        <f>_xlfn.TEXTJOIN(CHAR(10),TRUE,IF(Q88="","","• "&amp;Q88&amp;IF(R88="Yes","  [IPL]","")),IF(S88="","","• "&amp;S88&amp;IF(T88="Yes","  [IPL]","")),IF(U88="","","• "&amp;U88&amp;IF(V88="Yes","  [IPL]","")),IF(W88="","","• "&amp;W88&amp;IF(X88="Yes","  [IPL]","")),IF(Y88="","","• "&amp;Y88&amp;IF(Z88="Yes","  [IPL]","")),IF(AA88="","","• "&amp;AA88&amp;IF(AB88="Yes","  [IPL]","")))</f>
        <v/>
      </c>
      <c r="AD88" s="30">
        <f>IF(AC88="","",COUNTIF(Q88:AB88,"Yes"))</f>
        <v/>
      </c>
      <c r="AE88" s="19" t="n"/>
      <c r="AF88" s="19" t="n"/>
      <c r="AG88" s="30">
        <f>IF(OR(AE88="",AF88=""),"",INDEX(RiskGrid,6-VALUE(LEFT(AE88,1)),VALUE(LEFT(AF88,1))))</f>
        <v/>
      </c>
      <c r="AH88" s="30">
        <f>IF(AG88="","",IF(AG88&gt;=BandVH,"Very High",IF(AG88&gt;=BandHigh,"High",IF(AG88&gt;=BandMed,"Medium","Low"))))</f>
        <v/>
      </c>
      <c r="AI88" s="4" t="n"/>
      <c r="AJ88" s="4" t="n"/>
    </row>
    <row r="89">
      <c r="A89" s="30">
        <f>IF(B89="","",COUNTIF(B$14:B89,"?*"))</f>
        <v/>
      </c>
      <c r="B89" s="4" t="n"/>
      <c r="C89" s="19" t="n"/>
      <c r="D89" s="5">
        <f>IF(OR(B89="",C89=""),"",UPPER(LEFT(C89,1))&amp;LOWER(MID(C89,2,30))&amp;" "&amp;LOWER(LEFT(B89,1))&amp;MID(B89,2,200))</f>
        <v/>
      </c>
      <c r="E89" s="4" t="n"/>
      <c r="F89" s="4" t="n"/>
      <c r="G89" s="4" t="n"/>
      <c r="H89" s="4" t="n"/>
      <c r="I89" s="4" t="n"/>
      <c r="J89" s="4" t="n"/>
      <c r="K89" s="5">
        <f>_xlfn.TEXTJOIN(CHAR(10),TRUE,IF(E89="","","• "&amp;E89),IF(F89="","","• "&amp;F89),IF(G89="","","• "&amp;G89),IF(H89="","","• "&amp;H89),IF(I89="","","• "&amp;I89),IF(J89="","","• "&amp;J89))</f>
        <v/>
      </c>
      <c r="L89" s="4" t="n"/>
      <c r="M89" s="19" t="n"/>
      <c r="N89" s="19" t="n"/>
      <c r="O89" s="30">
        <f>IF(OR(M89="",N89=""),"",INDEX(RiskGrid,6-VALUE(LEFT(M89,1)),VALUE(LEFT(N89,1))))</f>
        <v/>
      </c>
      <c r="P89" s="30">
        <f>IF(O89="","",IF(O89&gt;=BandVH,"Very High",IF(O89&gt;=BandHigh,"High",IF(O89&gt;=BandMed,"Medium","Low"))))</f>
        <v/>
      </c>
      <c r="Q89" s="4" t="n"/>
      <c r="R89" s="19" t="n"/>
      <c r="S89" s="4" t="n"/>
      <c r="T89" s="19" t="n"/>
      <c r="U89" s="4" t="n"/>
      <c r="V89" s="19" t="n"/>
      <c r="W89" s="4" t="n"/>
      <c r="X89" s="19" t="n"/>
      <c r="Y89" s="4" t="n"/>
      <c r="Z89" s="19" t="n"/>
      <c r="AA89" s="4" t="n"/>
      <c r="AB89" s="19" t="n"/>
      <c r="AC89" s="5">
        <f>_xlfn.TEXTJOIN(CHAR(10),TRUE,IF(Q89="","","• "&amp;Q89&amp;IF(R89="Yes","  [IPL]","")),IF(S89="","","• "&amp;S89&amp;IF(T89="Yes","  [IPL]","")),IF(U89="","","• "&amp;U89&amp;IF(V89="Yes","  [IPL]","")),IF(W89="","","• "&amp;W89&amp;IF(X89="Yes","  [IPL]","")),IF(Y89="","","• "&amp;Y89&amp;IF(Z89="Yes","  [IPL]","")),IF(AA89="","","• "&amp;AA89&amp;IF(AB89="Yes","  [IPL]","")))</f>
        <v/>
      </c>
      <c r="AD89" s="30">
        <f>IF(AC89="","",COUNTIF(Q89:AB89,"Yes"))</f>
        <v/>
      </c>
      <c r="AE89" s="19" t="n"/>
      <c r="AF89" s="19" t="n"/>
      <c r="AG89" s="30">
        <f>IF(OR(AE89="",AF89=""),"",INDEX(RiskGrid,6-VALUE(LEFT(AE89,1)),VALUE(LEFT(AF89,1))))</f>
        <v/>
      </c>
      <c r="AH89" s="30">
        <f>IF(AG89="","",IF(AG89&gt;=BandVH,"Very High",IF(AG89&gt;=BandHigh,"High",IF(AG89&gt;=BandMed,"Medium","Low"))))</f>
        <v/>
      </c>
      <c r="AI89" s="4" t="n"/>
      <c r="AJ89" s="4" t="n"/>
    </row>
    <row r="90">
      <c r="A90" s="30">
        <f>IF(B90="","",COUNTIF(B$14:B90,"?*"))</f>
        <v/>
      </c>
      <c r="B90" s="4" t="n"/>
      <c r="C90" s="19" t="n"/>
      <c r="D90" s="5">
        <f>IF(OR(B90="",C90=""),"",UPPER(LEFT(C90,1))&amp;LOWER(MID(C90,2,30))&amp;" "&amp;LOWER(LEFT(B90,1))&amp;MID(B90,2,200))</f>
        <v/>
      </c>
      <c r="E90" s="4" t="n"/>
      <c r="F90" s="4" t="n"/>
      <c r="G90" s="4" t="n"/>
      <c r="H90" s="4" t="n"/>
      <c r="I90" s="4" t="n"/>
      <c r="J90" s="4" t="n"/>
      <c r="K90" s="5">
        <f>_xlfn.TEXTJOIN(CHAR(10),TRUE,IF(E90="","","• "&amp;E90),IF(F90="","","• "&amp;F90),IF(G90="","","• "&amp;G90),IF(H90="","","• "&amp;H90),IF(I90="","","• "&amp;I90),IF(J90="","","• "&amp;J90))</f>
        <v/>
      </c>
      <c r="L90" s="4" t="n"/>
      <c r="M90" s="19" t="n"/>
      <c r="N90" s="19" t="n"/>
      <c r="O90" s="30">
        <f>IF(OR(M90="",N90=""),"",INDEX(RiskGrid,6-VALUE(LEFT(M90,1)),VALUE(LEFT(N90,1))))</f>
        <v/>
      </c>
      <c r="P90" s="30">
        <f>IF(O90="","",IF(O90&gt;=BandVH,"Very High",IF(O90&gt;=BandHigh,"High",IF(O90&gt;=BandMed,"Medium","Low"))))</f>
        <v/>
      </c>
      <c r="Q90" s="4" t="n"/>
      <c r="R90" s="19" t="n"/>
      <c r="S90" s="4" t="n"/>
      <c r="T90" s="19" t="n"/>
      <c r="U90" s="4" t="n"/>
      <c r="V90" s="19" t="n"/>
      <c r="W90" s="4" t="n"/>
      <c r="X90" s="19" t="n"/>
      <c r="Y90" s="4" t="n"/>
      <c r="Z90" s="19" t="n"/>
      <c r="AA90" s="4" t="n"/>
      <c r="AB90" s="19" t="n"/>
      <c r="AC90" s="5">
        <f>_xlfn.TEXTJOIN(CHAR(10),TRUE,IF(Q90="","","• "&amp;Q90&amp;IF(R90="Yes","  [IPL]","")),IF(S90="","","• "&amp;S90&amp;IF(T90="Yes","  [IPL]","")),IF(U90="","","• "&amp;U90&amp;IF(V90="Yes","  [IPL]","")),IF(W90="","","• "&amp;W90&amp;IF(X90="Yes","  [IPL]","")),IF(Y90="","","• "&amp;Y90&amp;IF(Z90="Yes","  [IPL]","")),IF(AA90="","","• "&amp;AA90&amp;IF(AB90="Yes","  [IPL]","")))</f>
        <v/>
      </c>
      <c r="AD90" s="30">
        <f>IF(AC90="","",COUNTIF(Q90:AB90,"Yes"))</f>
        <v/>
      </c>
      <c r="AE90" s="19" t="n"/>
      <c r="AF90" s="19" t="n"/>
      <c r="AG90" s="30">
        <f>IF(OR(AE90="",AF90=""),"",INDEX(RiskGrid,6-VALUE(LEFT(AE90,1)),VALUE(LEFT(AF90,1))))</f>
        <v/>
      </c>
      <c r="AH90" s="30">
        <f>IF(AG90="","",IF(AG90&gt;=BandVH,"Very High",IF(AG90&gt;=BandHigh,"High",IF(AG90&gt;=BandMed,"Medium","Low"))))</f>
        <v/>
      </c>
      <c r="AI90" s="4" t="n"/>
      <c r="AJ90" s="4" t="n"/>
    </row>
    <row r="91">
      <c r="A91" s="30">
        <f>IF(B91="","",COUNTIF(B$14:B91,"?*"))</f>
        <v/>
      </c>
      <c r="B91" s="4" t="n"/>
      <c r="C91" s="19" t="n"/>
      <c r="D91" s="5">
        <f>IF(OR(B91="",C91=""),"",UPPER(LEFT(C91,1))&amp;LOWER(MID(C91,2,30))&amp;" "&amp;LOWER(LEFT(B91,1))&amp;MID(B91,2,200))</f>
        <v/>
      </c>
      <c r="E91" s="4" t="n"/>
      <c r="F91" s="4" t="n"/>
      <c r="G91" s="4" t="n"/>
      <c r="H91" s="4" t="n"/>
      <c r="I91" s="4" t="n"/>
      <c r="J91" s="4" t="n"/>
      <c r="K91" s="5">
        <f>_xlfn.TEXTJOIN(CHAR(10),TRUE,IF(E91="","","• "&amp;E91),IF(F91="","","• "&amp;F91),IF(G91="","","• "&amp;G91),IF(H91="","","• "&amp;H91),IF(I91="","","• "&amp;I91),IF(J91="","","• "&amp;J91))</f>
        <v/>
      </c>
      <c r="L91" s="4" t="n"/>
      <c r="M91" s="19" t="n"/>
      <c r="N91" s="19" t="n"/>
      <c r="O91" s="30">
        <f>IF(OR(M91="",N91=""),"",INDEX(RiskGrid,6-VALUE(LEFT(M91,1)),VALUE(LEFT(N91,1))))</f>
        <v/>
      </c>
      <c r="P91" s="30">
        <f>IF(O91="","",IF(O91&gt;=BandVH,"Very High",IF(O91&gt;=BandHigh,"High",IF(O91&gt;=BandMed,"Medium","Low"))))</f>
        <v/>
      </c>
      <c r="Q91" s="4" t="n"/>
      <c r="R91" s="19" t="n"/>
      <c r="S91" s="4" t="n"/>
      <c r="T91" s="19" t="n"/>
      <c r="U91" s="4" t="n"/>
      <c r="V91" s="19" t="n"/>
      <c r="W91" s="4" t="n"/>
      <c r="X91" s="19" t="n"/>
      <c r="Y91" s="4" t="n"/>
      <c r="Z91" s="19" t="n"/>
      <c r="AA91" s="4" t="n"/>
      <c r="AB91" s="19" t="n"/>
      <c r="AC91" s="5">
        <f>_xlfn.TEXTJOIN(CHAR(10),TRUE,IF(Q91="","","• "&amp;Q91&amp;IF(R91="Yes","  [IPL]","")),IF(S91="","","• "&amp;S91&amp;IF(T91="Yes","  [IPL]","")),IF(U91="","","• "&amp;U91&amp;IF(V91="Yes","  [IPL]","")),IF(W91="","","• "&amp;W91&amp;IF(X91="Yes","  [IPL]","")),IF(Y91="","","• "&amp;Y91&amp;IF(Z91="Yes","  [IPL]","")),IF(AA91="","","• "&amp;AA91&amp;IF(AB91="Yes","  [IPL]","")))</f>
        <v/>
      </c>
      <c r="AD91" s="30">
        <f>IF(AC91="","",COUNTIF(Q91:AB91,"Yes"))</f>
        <v/>
      </c>
      <c r="AE91" s="19" t="n"/>
      <c r="AF91" s="19" t="n"/>
      <c r="AG91" s="30">
        <f>IF(OR(AE91="",AF91=""),"",INDEX(RiskGrid,6-VALUE(LEFT(AE91,1)),VALUE(LEFT(AF91,1))))</f>
        <v/>
      </c>
      <c r="AH91" s="30">
        <f>IF(AG91="","",IF(AG91&gt;=BandVH,"Very High",IF(AG91&gt;=BandHigh,"High",IF(AG91&gt;=BandMed,"Medium","Low"))))</f>
        <v/>
      </c>
      <c r="AI91" s="4" t="n"/>
      <c r="AJ91" s="4" t="n"/>
    </row>
    <row r="92">
      <c r="A92" s="30">
        <f>IF(B92="","",COUNTIF(B$14:B92,"?*"))</f>
        <v/>
      </c>
      <c r="B92" s="4" t="n"/>
      <c r="C92" s="19" t="n"/>
      <c r="D92" s="5">
        <f>IF(OR(B92="",C92=""),"",UPPER(LEFT(C92,1))&amp;LOWER(MID(C92,2,30))&amp;" "&amp;LOWER(LEFT(B92,1))&amp;MID(B92,2,200))</f>
        <v/>
      </c>
      <c r="E92" s="4" t="n"/>
      <c r="F92" s="4" t="n"/>
      <c r="G92" s="4" t="n"/>
      <c r="H92" s="4" t="n"/>
      <c r="I92" s="4" t="n"/>
      <c r="J92" s="4" t="n"/>
      <c r="K92" s="5">
        <f>_xlfn.TEXTJOIN(CHAR(10),TRUE,IF(E92="","","• "&amp;E92),IF(F92="","","• "&amp;F92),IF(G92="","","• "&amp;G92),IF(H92="","","• "&amp;H92),IF(I92="","","• "&amp;I92),IF(J92="","","• "&amp;J92))</f>
        <v/>
      </c>
      <c r="L92" s="4" t="n"/>
      <c r="M92" s="19" t="n"/>
      <c r="N92" s="19" t="n"/>
      <c r="O92" s="30">
        <f>IF(OR(M92="",N92=""),"",INDEX(RiskGrid,6-VALUE(LEFT(M92,1)),VALUE(LEFT(N92,1))))</f>
        <v/>
      </c>
      <c r="P92" s="30">
        <f>IF(O92="","",IF(O92&gt;=BandVH,"Very High",IF(O92&gt;=BandHigh,"High",IF(O92&gt;=BandMed,"Medium","Low"))))</f>
        <v/>
      </c>
      <c r="Q92" s="4" t="n"/>
      <c r="R92" s="19" t="n"/>
      <c r="S92" s="4" t="n"/>
      <c r="T92" s="19" t="n"/>
      <c r="U92" s="4" t="n"/>
      <c r="V92" s="19" t="n"/>
      <c r="W92" s="4" t="n"/>
      <c r="X92" s="19" t="n"/>
      <c r="Y92" s="4" t="n"/>
      <c r="Z92" s="19" t="n"/>
      <c r="AA92" s="4" t="n"/>
      <c r="AB92" s="19" t="n"/>
      <c r="AC92" s="5">
        <f>_xlfn.TEXTJOIN(CHAR(10),TRUE,IF(Q92="","","• "&amp;Q92&amp;IF(R92="Yes","  [IPL]","")),IF(S92="","","• "&amp;S92&amp;IF(T92="Yes","  [IPL]","")),IF(U92="","","• "&amp;U92&amp;IF(V92="Yes","  [IPL]","")),IF(W92="","","• "&amp;W92&amp;IF(X92="Yes","  [IPL]","")),IF(Y92="","","• "&amp;Y92&amp;IF(Z92="Yes","  [IPL]","")),IF(AA92="","","• "&amp;AA92&amp;IF(AB92="Yes","  [IPL]","")))</f>
        <v/>
      </c>
      <c r="AD92" s="30">
        <f>IF(AC92="","",COUNTIF(Q92:AB92,"Yes"))</f>
        <v/>
      </c>
      <c r="AE92" s="19" t="n"/>
      <c r="AF92" s="19" t="n"/>
      <c r="AG92" s="30">
        <f>IF(OR(AE92="",AF92=""),"",INDEX(RiskGrid,6-VALUE(LEFT(AE92,1)),VALUE(LEFT(AF92,1))))</f>
        <v/>
      </c>
      <c r="AH92" s="30">
        <f>IF(AG92="","",IF(AG92&gt;=BandVH,"Very High",IF(AG92&gt;=BandHigh,"High",IF(AG92&gt;=BandMed,"Medium","Low"))))</f>
        <v/>
      </c>
      <c r="AI92" s="4" t="n"/>
      <c r="AJ92" s="4" t="n"/>
    </row>
    <row r="93">
      <c r="A93" s="30">
        <f>IF(B93="","",COUNTIF(B$14:B93,"?*"))</f>
        <v/>
      </c>
      <c r="B93" s="4" t="n"/>
      <c r="C93" s="19" t="n"/>
      <c r="D93" s="5">
        <f>IF(OR(B93="",C93=""),"",UPPER(LEFT(C93,1))&amp;LOWER(MID(C93,2,30))&amp;" "&amp;LOWER(LEFT(B93,1))&amp;MID(B93,2,200))</f>
        <v/>
      </c>
      <c r="E93" s="4" t="n"/>
      <c r="F93" s="4" t="n"/>
      <c r="G93" s="4" t="n"/>
      <c r="H93" s="4" t="n"/>
      <c r="I93" s="4" t="n"/>
      <c r="J93" s="4" t="n"/>
      <c r="K93" s="5">
        <f>_xlfn.TEXTJOIN(CHAR(10),TRUE,IF(E93="","","• "&amp;E93),IF(F93="","","• "&amp;F93),IF(G93="","","• "&amp;G93),IF(H93="","","• "&amp;H93),IF(I93="","","• "&amp;I93),IF(J93="","","• "&amp;J93))</f>
        <v/>
      </c>
      <c r="L93" s="4" t="n"/>
      <c r="M93" s="19" t="n"/>
      <c r="N93" s="19" t="n"/>
      <c r="O93" s="30">
        <f>IF(OR(M93="",N93=""),"",INDEX(RiskGrid,6-VALUE(LEFT(M93,1)),VALUE(LEFT(N93,1))))</f>
        <v/>
      </c>
      <c r="P93" s="30">
        <f>IF(O93="","",IF(O93&gt;=BandVH,"Very High",IF(O93&gt;=BandHigh,"High",IF(O93&gt;=BandMed,"Medium","Low"))))</f>
        <v/>
      </c>
      <c r="Q93" s="4" t="n"/>
      <c r="R93" s="19" t="n"/>
      <c r="S93" s="4" t="n"/>
      <c r="T93" s="19" t="n"/>
      <c r="U93" s="4" t="n"/>
      <c r="V93" s="19" t="n"/>
      <c r="W93" s="4" t="n"/>
      <c r="X93" s="19" t="n"/>
      <c r="Y93" s="4" t="n"/>
      <c r="Z93" s="19" t="n"/>
      <c r="AA93" s="4" t="n"/>
      <c r="AB93" s="19" t="n"/>
      <c r="AC93" s="5">
        <f>_xlfn.TEXTJOIN(CHAR(10),TRUE,IF(Q93="","","• "&amp;Q93&amp;IF(R93="Yes","  [IPL]","")),IF(S93="","","• "&amp;S93&amp;IF(T93="Yes","  [IPL]","")),IF(U93="","","• "&amp;U93&amp;IF(V93="Yes","  [IPL]","")),IF(W93="","","• "&amp;W93&amp;IF(X93="Yes","  [IPL]","")),IF(Y93="","","• "&amp;Y93&amp;IF(Z93="Yes","  [IPL]","")),IF(AA93="","","• "&amp;AA93&amp;IF(AB93="Yes","  [IPL]","")))</f>
        <v/>
      </c>
      <c r="AD93" s="30">
        <f>IF(AC93="","",COUNTIF(Q93:AB93,"Yes"))</f>
        <v/>
      </c>
      <c r="AE93" s="19" t="n"/>
      <c r="AF93" s="19" t="n"/>
      <c r="AG93" s="30">
        <f>IF(OR(AE93="",AF93=""),"",INDEX(RiskGrid,6-VALUE(LEFT(AE93,1)),VALUE(LEFT(AF93,1))))</f>
        <v/>
      </c>
      <c r="AH93" s="30">
        <f>IF(AG93="","",IF(AG93&gt;=BandVH,"Very High",IF(AG93&gt;=BandHigh,"High",IF(AG93&gt;=BandMed,"Medium","Low"))))</f>
        <v/>
      </c>
      <c r="AI93" s="4" t="n"/>
      <c r="AJ93" s="4" t="n"/>
    </row>
    <row r="94">
      <c r="A94" s="30">
        <f>IF(B94="","",COUNTIF(B$14:B94,"?*"))</f>
        <v/>
      </c>
      <c r="B94" s="4" t="n"/>
      <c r="C94" s="19" t="n"/>
      <c r="D94" s="5">
        <f>IF(OR(B94="",C94=""),"",UPPER(LEFT(C94,1))&amp;LOWER(MID(C94,2,30))&amp;" "&amp;LOWER(LEFT(B94,1))&amp;MID(B94,2,200))</f>
        <v/>
      </c>
      <c r="E94" s="4" t="n"/>
      <c r="F94" s="4" t="n"/>
      <c r="G94" s="4" t="n"/>
      <c r="H94" s="4" t="n"/>
      <c r="I94" s="4" t="n"/>
      <c r="J94" s="4" t="n"/>
      <c r="K94" s="5">
        <f>_xlfn.TEXTJOIN(CHAR(10),TRUE,IF(E94="","","• "&amp;E94),IF(F94="","","• "&amp;F94),IF(G94="","","• "&amp;G94),IF(H94="","","• "&amp;H94),IF(I94="","","• "&amp;I94),IF(J94="","","• "&amp;J94))</f>
        <v/>
      </c>
      <c r="L94" s="4" t="n"/>
      <c r="M94" s="19" t="n"/>
      <c r="N94" s="19" t="n"/>
      <c r="O94" s="30">
        <f>IF(OR(M94="",N94=""),"",INDEX(RiskGrid,6-VALUE(LEFT(M94,1)),VALUE(LEFT(N94,1))))</f>
        <v/>
      </c>
      <c r="P94" s="30">
        <f>IF(O94="","",IF(O94&gt;=BandVH,"Very High",IF(O94&gt;=BandHigh,"High",IF(O94&gt;=BandMed,"Medium","Low"))))</f>
        <v/>
      </c>
      <c r="Q94" s="4" t="n"/>
      <c r="R94" s="19" t="n"/>
      <c r="S94" s="4" t="n"/>
      <c r="T94" s="19" t="n"/>
      <c r="U94" s="4" t="n"/>
      <c r="V94" s="19" t="n"/>
      <c r="W94" s="4" t="n"/>
      <c r="X94" s="19" t="n"/>
      <c r="Y94" s="4" t="n"/>
      <c r="Z94" s="19" t="n"/>
      <c r="AA94" s="4" t="n"/>
      <c r="AB94" s="19" t="n"/>
      <c r="AC94" s="5">
        <f>_xlfn.TEXTJOIN(CHAR(10),TRUE,IF(Q94="","","• "&amp;Q94&amp;IF(R94="Yes","  [IPL]","")),IF(S94="","","• "&amp;S94&amp;IF(T94="Yes","  [IPL]","")),IF(U94="","","• "&amp;U94&amp;IF(V94="Yes","  [IPL]","")),IF(W94="","","• "&amp;W94&amp;IF(X94="Yes","  [IPL]","")),IF(Y94="","","• "&amp;Y94&amp;IF(Z94="Yes","  [IPL]","")),IF(AA94="","","• "&amp;AA94&amp;IF(AB94="Yes","  [IPL]","")))</f>
        <v/>
      </c>
      <c r="AD94" s="30">
        <f>IF(AC94="","",COUNTIF(Q94:AB94,"Yes"))</f>
        <v/>
      </c>
      <c r="AE94" s="19" t="n"/>
      <c r="AF94" s="19" t="n"/>
      <c r="AG94" s="30">
        <f>IF(OR(AE94="",AF94=""),"",INDEX(RiskGrid,6-VALUE(LEFT(AE94,1)),VALUE(LEFT(AF94,1))))</f>
        <v/>
      </c>
      <c r="AH94" s="30">
        <f>IF(AG94="","",IF(AG94&gt;=BandVH,"Very High",IF(AG94&gt;=BandHigh,"High",IF(AG94&gt;=BandMed,"Medium","Low"))))</f>
        <v/>
      </c>
      <c r="AI94" s="4" t="n"/>
      <c r="AJ94" s="4" t="n"/>
    </row>
    <row r="95">
      <c r="A95" s="30">
        <f>IF(B95="","",COUNTIF(B$14:B95,"?*"))</f>
        <v/>
      </c>
      <c r="B95" s="4" t="n"/>
      <c r="C95" s="19" t="n"/>
      <c r="D95" s="5">
        <f>IF(OR(B95="",C95=""),"",UPPER(LEFT(C95,1))&amp;LOWER(MID(C95,2,30))&amp;" "&amp;LOWER(LEFT(B95,1))&amp;MID(B95,2,200))</f>
        <v/>
      </c>
      <c r="E95" s="4" t="n"/>
      <c r="F95" s="4" t="n"/>
      <c r="G95" s="4" t="n"/>
      <c r="H95" s="4" t="n"/>
      <c r="I95" s="4" t="n"/>
      <c r="J95" s="4" t="n"/>
      <c r="K95" s="5">
        <f>_xlfn.TEXTJOIN(CHAR(10),TRUE,IF(E95="","","• "&amp;E95),IF(F95="","","• "&amp;F95),IF(G95="","","• "&amp;G95),IF(H95="","","• "&amp;H95),IF(I95="","","• "&amp;I95),IF(J95="","","• "&amp;J95))</f>
        <v/>
      </c>
      <c r="L95" s="4" t="n"/>
      <c r="M95" s="19" t="n"/>
      <c r="N95" s="19" t="n"/>
      <c r="O95" s="30">
        <f>IF(OR(M95="",N95=""),"",INDEX(RiskGrid,6-VALUE(LEFT(M95,1)),VALUE(LEFT(N95,1))))</f>
        <v/>
      </c>
      <c r="P95" s="30">
        <f>IF(O95="","",IF(O95&gt;=BandVH,"Very High",IF(O95&gt;=BandHigh,"High",IF(O95&gt;=BandMed,"Medium","Low"))))</f>
        <v/>
      </c>
      <c r="Q95" s="4" t="n"/>
      <c r="R95" s="19" t="n"/>
      <c r="S95" s="4" t="n"/>
      <c r="T95" s="19" t="n"/>
      <c r="U95" s="4" t="n"/>
      <c r="V95" s="19" t="n"/>
      <c r="W95" s="4" t="n"/>
      <c r="X95" s="19" t="n"/>
      <c r="Y95" s="4" t="n"/>
      <c r="Z95" s="19" t="n"/>
      <c r="AA95" s="4" t="n"/>
      <c r="AB95" s="19" t="n"/>
      <c r="AC95" s="5">
        <f>_xlfn.TEXTJOIN(CHAR(10),TRUE,IF(Q95="","","• "&amp;Q95&amp;IF(R95="Yes","  [IPL]","")),IF(S95="","","• "&amp;S95&amp;IF(T95="Yes","  [IPL]","")),IF(U95="","","• "&amp;U95&amp;IF(V95="Yes","  [IPL]","")),IF(W95="","","• "&amp;W95&amp;IF(X95="Yes","  [IPL]","")),IF(Y95="","","• "&amp;Y95&amp;IF(Z95="Yes","  [IPL]","")),IF(AA95="","","• "&amp;AA95&amp;IF(AB95="Yes","  [IPL]","")))</f>
        <v/>
      </c>
      <c r="AD95" s="30">
        <f>IF(AC95="","",COUNTIF(Q95:AB95,"Yes"))</f>
        <v/>
      </c>
      <c r="AE95" s="19" t="n"/>
      <c r="AF95" s="19" t="n"/>
      <c r="AG95" s="30">
        <f>IF(OR(AE95="",AF95=""),"",INDEX(RiskGrid,6-VALUE(LEFT(AE95,1)),VALUE(LEFT(AF95,1))))</f>
        <v/>
      </c>
      <c r="AH95" s="30">
        <f>IF(AG95="","",IF(AG95&gt;=BandVH,"Very High",IF(AG95&gt;=BandHigh,"High",IF(AG95&gt;=BandMed,"Medium","Low"))))</f>
        <v/>
      </c>
      <c r="AI95" s="4" t="n"/>
      <c r="AJ95" s="4" t="n"/>
    </row>
    <row r="96">
      <c r="A96" s="30">
        <f>IF(B96="","",COUNTIF(B$14:B96,"?*"))</f>
        <v/>
      </c>
      <c r="B96" s="4" t="n"/>
      <c r="C96" s="19" t="n"/>
      <c r="D96" s="5">
        <f>IF(OR(B96="",C96=""),"",UPPER(LEFT(C96,1))&amp;LOWER(MID(C96,2,30))&amp;" "&amp;LOWER(LEFT(B96,1))&amp;MID(B96,2,200))</f>
        <v/>
      </c>
      <c r="E96" s="4" t="n"/>
      <c r="F96" s="4" t="n"/>
      <c r="G96" s="4" t="n"/>
      <c r="H96" s="4" t="n"/>
      <c r="I96" s="4" t="n"/>
      <c r="J96" s="4" t="n"/>
      <c r="K96" s="5">
        <f>_xlfn.TEXTJOIN(CHAR(10),TRUE,IF(E96="","","• "&amp;E96),IF(F96="","","• "&amp;F96),IF(G96="","","• "&amp;G96),IF(H96="","","• "&amp;H96),IF(I96="","","• "&amp;I96),IF(J96="","","• "&amp;J96))</f>
        <v/>
      </c>
      <c r="L96" s="4" t="n"/>
      <c r="M96" s="19" t="n"/>
      <c r="N96" s="19" t="n"/>
      <c r="O96" s="30">
        <f>IF(OR(M96="",N96=""),"",INDEX(RiskGrid,6-VALUE(LEFT(M96,1)),VALUE(LEFT(N96,1))))</f>
        <v/>
      </c>
      <c r="P96" s="30">
        <f>IF(O96="","",IF(O96&gt;=BandVH,"Very High",IF(O96&gt;=BandHigh,"High",IF(O96&gt;=BandMed,"Medium","Low"))))</f>
        <v/>
      </c>
      <c r="Q96" s="4" t="n"/>
      <c r="R96" s="19" t="n"/>
      <c r="S96" s="4" t="n"/>
      <c r="T96" s="19" t="n"/>
      <c r="U96" s="4" t="n"/>
      <c r="V96" s="19" t="n"/>
      <c r="W96" s="4" t="n"/>
      <c r="X96" s="19" t="n"/>
      <c r="Y96" s="4" t="n"/>
      <c r="Z96" s="19" t="n"/>
      <c r="AA96" s="4" t="n"/>
      <c r="AB96" s="19" t="n"/>
      <c r="AC96" s="5">
        <f>_xlfn.TEXTJOIN(CHAR(10),TRUE,IF(Q96="","","• "&amp;Q96&amp;IF(R96="Yes","  [IPL]","")),IF(S96="","","• "&amp;S96&amp;IF(T96="Yes","  [IPL]","")),IF(U96="","","• "&amp;U96&amp;IF(V96="Yes","  [IPL]","")),IF(W96="","","• "&amp;W96&amp;IF(X96="Yes","  [IPL]","")),IF(Y96="","","• "&amp;Y96&amp;IF(Z96="Yes","  [IPL]","")),IF(AA96="","","• "&amp;AA96&amp;IF(AB96="Yes","  [IPL]","")))</f>
        <v/>
      </c>
      <c r="AD96" s="30">
        <f>IF(AC96="","",COUNTIF(Q96:AB96,"Yes"))</f>
        <v/>
      </c>
      <c r="AE96" s="19" t="n"/>
      <c r="AF96" s="19" t="n"/>
      <c r="AG96" s="30">
        <f>IF(OR(AE96="",AF96=""),"",INDEX(RiskGrid,6-VALUE(LEFT(AE96,1)),VALUE(LEFT(AF96,1))))</f>
        <v/>
      </c>
      <c r="AH96" s="30">
        <f>IF(AG96="","",IF(AG96&gt;=BandVH,"Very High",IF(AG96&gt;=BandHigh,"High",IF(AG96&gt;=BandMed,"Medium","Low"))))</f>
        <v/>
      </c>
      <c r="AI96" s="4" t="n"/>
      <c r="AJ96" s="4" t="n"/>
    </row>
    <row r="97">
      <c r="A97" s="30">
        <f>IF(B97="","",COUNTIF(B$14:B97,"?*"))</f>
        <v/>
      </c>
      <c r="B97" s="4" t="n"/>
      <c r="C97" s="19" t="n"/>
      <c r="D97" s="5">
        <f>IF(OR(B97="",C97=""),"",UPPER(LEFT(C97,1))&amp;LOWER(MID(C97,2,30))&amp;" "&amp;LOWER(LEFT(B97,1))&amp;MID(B97,2,200))</f>
        <v/>
      </c>
      <c r="E97" s="4" t="n"/>
      <c r="F97" s="4" t="n"/>
      <c r="G97" s="4" t="n"/>
      <c r="H97" s="4" t="n"/>
      <c r="I97" s="4" t="n"/>
      <c r="J97" s="4" t="n"/>
      <c r="K97" s="5">
        <f>_xlfn.TEXTJOIN(CHAR(10),TRUE,IF(E97="","","• "&amp;E97),IF(F97="","","• "&amp;F97),IF(G97="","","• "&amp;G97),IF(H97="","","• "&amp;H97),IF(I97="","","• "&amp;I97),IF(J97="","","• "&amp;J97))</f>
        <v/>
      </c>
      <c r="L97" s="4" t="n"/>
      <c r="M97" s="19" t="n"/>
      <c r="N97" s="19" t="n"/>
      <c r="O97" s="30">
        <f>IF(OR(M97="",N97=""),"",INDEX(RiskGrid,6-VALUE(LEFT(M97,1)),VALUE(LEFT(N97,1))))</f>
        <v/>
      </c>
      <c r="P97" s="30">
        <f>IF(O97="","",IF(O97&gt;=BandVH,"Very High",IF(O97&gt;=BandHigh,"High",IF(O97&gt;=BandMed,"Medium","Low"))))</f>
        <v/>
      </c>
      <c r="Q97" s="4" t="n"/>
      <c r="R97" s="19" t="n"/>
      <c r="S97" s="4" t="n"/>
      <c r="T97" s="19" t="n"/>
      <c r="U97" s="4" t="n"/>
      <c r="V97" s="19" t="n"/>
      <c r="W97" s="4" t="n"/>
      <c r="X97" s="19" t="n"/>
      <c r="Y97" s="4" t="n"/>
      <c r="Z97" s="19" t="n"/>
      <c r="AA97" s="4" t="n"/>
      <c r="AB97" s="19" t="n"/>
      <c r="AC97" s="5">
        <f>_xlfn.TEXTJOIN(CHAR(10),TRUE,IF(Q97="","","• "&amp;Q97&amp;IF(R97="Yes","  [IPL]","")),IF(S97="","","• "&amp;S97&amp;IF(T97="Yes","  [IPL]","")),IF(U97="","","• "&amp;U97&amp;IF(V97="Yes","  [IPL]","")),IF(W97="","","• "&amp;W97&amp;IF(X97="Yes","  [IPL]","")),IF(Y97="","","• "&amp;Y97&amp;IF(Z97="Yes","  [IPL]","")),IF(AA97="","","• "&amp;AA97&amp;IF(AB97="Yes","  [IPL]","")))</f>
        <v/>
      </c>
      <c r="AD97" s="30">
        <f>IF(AC97="","",COUNTIF(Q97:AB97,"Yes"))</f>
        <v/>
      </c>
      <c r="AE97" s="19" t="n"/>
      <c r="AF97" s="19" t="n"/>
      <c r="AG97" s="30">
        <f>IF(OR(AE97="",AF97=""),"",INDEX(RiskGrid,6-VALUE(LEFT(AE97,1)),VALUE(LEFT(AF97,1))))</f>
        <v/>
      </c>
      <c r="AH97" s="30">
        <f>IF(AG97="","",IF(AG97&gt;=BandVH,"Very High",IF(AG97&gt;=BandHigh,"High",IF(AG97&gt;=BandMed,"Medium","Low"))))</f>
        <v/>
      </c>
      <c r="AI97" s="4" t="n"/>
      <c r="AJ97" s="4" t="n"/>
    </row>
    <row r="98">
      <c r="A98" s="30">
        <f>IF(B98="","",COUNTIF(B$14:B98,"?*"))</f>
        <v/>
      </c>
      <c r="B98" s="4" t="n"/>
      <c r="C98" s="19" t="n"/>
      <c r="D98" s="5">
        <f>IF(OR(B98="",C98=""),"",UPPER(LEFT(C98,1))&amp;LOWER(MID(C98,2,30))&amp;" "&amp;LOWER(LEFT(B98,1))&amp;MID(B98,2,200))</f>
        <v/>
      </c>
      <c r="E98" s="4" t="n"/>
      <c r="F98" s="4" t="n"/>
      <c r="G98" s="4" t="n"/>
      <c r="H98" s="4" t="n"/>
      <c r="I98" s="4" t="n"/>
      <c r="J98" s="4" t="n"/>
      <c r="K98" s="5">
        <f>_xlfn.TEXTJOIN(CHAR(10),TRUE,IF(E98="","","• "&amp;E98),IF(F98="","","• "&amp;F98),IF(G98="","","• "&amp;G98),IF(H98="","","• "&amp;H98),IF(I98="","","• "&amp;I98),IF(J98="","","• "&amp;J98))</f>
        <v/>
      </c>
      <c r="L98" s="4" t="n"/>
      <c r="M98" s="19" t="n"/>
      <c r="N98" s="19" t="n"/>
      <c r="O98" s="30">
        <f>IF(OR(M98="",N98=""),"",INDEX(RiskGrid,6-VALUE(LEFT(M98,1)),VALUE(LEFT(N98,1))))</f>
        <v/>
      </c>
      <c r="P98" s="30">
        <f>IF(O98="","",IF(O98&gt;=BandVH,"Very High",IF(O98&gt;=BandHigh,"High",IF(O98&gt;=BandMed,"Medium","Low"))))</f>
        <v/>
      </c>
      <c r="Q98" s="4" t="n"/>
      <c r="R98" s="19" t="n"/>
      <c r="S98" s="4" t="n"/>
      <c r="T98" s="19" t="n"/>
      <c r="U98" s="4" t="n"/>
      <c r="V98" s="19" t="n"/>
      <c r="W98" s="4" t="n"/>
      <c r="X98" s="19" t="n"/>
      <c r="Y98" s="4" t="n"/>
      <c r="Z98" s="19" t="n"/>
      <c r="AA98" s="4" t="n"/>
      <c r="AB98" s="19" t="n"/>
      <c r="AC98" s="5">
        <f>_xlfn.TEXTJOIN(CHAR(10),TRUE,IF(Q98="","","• "&amp;Q98&amp;IF(R98="Yes","  [IPL]","")),IF(S98="","","• "&amp;S98&amp;IF(T98="Yes","  [IPL]","")),IF(U98="","","• "&amp;U98&amp;IF(V98="Yes","  [IPL]","")),IF(W98="","","• "&amp;W98&amp;IF(X98="Yes","  [IPL]","")),IF(Y98="","","• "&amp;Y98&amp;IF(Z98="Yes","  [IPL]","")),IF(AA98="","","• "&amp;AA98&amp;IF(AB98="Yes","  [IPL]","")))</f>
        <v/>
      </c>
      <c r="AD98" s="30">
        <f>IF(AC98="","",COUNTIF(Q98:AB98,"Yes"))</f>
        <v/>
      </c>
      <c r="AE98" s="19" t="n"/>
      <c r="AF98" s="19" t="n"/>
      <c r="AG98" s="30">
        <f>IF(OR(AE98="",AF98=""),"",INDEX(RiskGrid,6-VALUE(LEFT(AE98,1)),VALUE(LEFT(AF98,1))))</f>
        <v/>
      </c>
      <c r="AH98" s="30">
        <f>IF(AG98="","",IF(AG98&gt;=BandVH,"Very High",IF(AG98&gt;=BandHigh,"High",IF(AG98&gt;=BandMed,"Medium","Low"))))</f>
        <v/>
      </c>
      <c r="AI98" s="4" t="n"/>
      <c r="AJ98" s="4" t="n"/>
    </row>
    <row r="99">
      <c r="A99" s="30">
        <f>IF(B99="","",COUNTIF(B$14:B99,"?*"))</f>
        <v/>
      </c>
      <c r="B99" s="4" t="n"/>
      <c r="C99" s="19" t="n"/>
      <c r="D99" s="5">
        <f>IF(OR(B99="",C99=""),"",UPPER(LEFT(C99,1))&amp;LOWER(MID(C99,2,30))&amp;" "&amp;LOWER(LEFT(B99,1))&amp;MID(B99,2,200))</f>
        <v/>
      </c>
      <c r="E99" s="4" t="n"/>
      <c r="F99" s="4" t="n"/>
      <c r="G99" s="4" t="n"/>
      <c r="H99" s="4" t="n"/>
      <c r="I99" s="4" t="n"/>
      <c r="J99" s="4" t="n"/>
      <c r="K99" s="5">
        <f>_xlfn.TEXTJOIN(CHAR(10),TRUE,IF(E99="","","• "&amp;E99),IF(F99="","","• "&amp;F99),IF(G99="","","• "&amp;G99),IF(H99="","","• "&amp;H99),IF(I99="","","• "&amp;I99),IF(J99="","","• "&amp;J99))</f>
        <v/>
      </c>
      <c r="L99" s="4" t="n"/>
      <c r="M99" s="19" t="n"/>
      <c r="N99" s="19" t="n"/>
      <c r="O99" s="30">
        <f>IF(OR(M99="",N99=""),"",INDEX(RiskGrid,6-VALUE(LEFT(M99,1)),VALUE(LEFT(N99,1))))</f>
        <v/>
      </c>
      <c r="P99" s="30">
        <f>IF(O99="","",IF(O99&gt;=BandVH,"Very High",IF(O99&gt;=BandHigh,"High",IF(O99&gt;=BandMed,"Medium","Low"))))</f>
        <v/>
      </c>
      <c r="Q99" s="4" t="n"/>
      <c r="R99" s="19" t="n"/>
      <c r="S99" s="4" t="n"/>
      <c r="T99" s="19" t="n"/>
      <c r="U99" s="4" t="n"/>
      <c r="V99" s="19" t="n"/>
      <c r="W99" s="4" t="n"/>
      <c r="X99" s="19" t="n"/>
      <c r="Y99" s="4" t="n"/>
      <c r="Z99" s="19" t="n"/>
      <c r="AA99" s="4" t="n"/>
      <c r="AB99" s="19" t="n"/>
      <c r="AC99" s="5">
        <f>_xlfn.TEXTJOIN(CHAR(10),TRUE,IF(Q99="","","• "&amp;Q99&amp;IF(R99="Yes","  [IPL]","")),IF(S99="","","• "&amp;S99&amp;IF(T99="Yes","  [IPL]","")),IF(U99="","","• "&amp;U99&amp;IF(V99="Yes","  [IPL]","")),IF(W99="","","• "&amp;W99&amp;IF(X99="Yes","  [IPL]","")),IF(Y99="","","• "&amp;Y99&amp;IF(Z99="Yes","  [IPL]","")),IF(AA99="","","• "&amp;AA99&amp;IF(AB99="Yes","  [IPL]","")))</f>
        <v/>
      </c>
      <c r="AD99" s="30">
        <f>IF(AC99="","",COUNTIF(Q99:AB99,"Yes"))</f>
        <v/>
      </c>
      <c r="AE99" s="19" t="n"/>
      <c r="AF99" s="19" t="n"/>
      <c r="AG99" s="30">
        <f>IF(OR(AE99="",AF99=""),"",INDEX(RiskGrid,6-VALUE(LEFT(AE99,1)),VALUE(LEFT(AF99,1))))</f>
        <v/>
      </c>
      <c r="AH99" s="30">
        <f>IF(AG99="","",IF(AG99&gt;=BandVH,"Very High",IF(AG99&gt;=BandHigh,"High",IF(AG99&gt;=BandMed,"Medium","Low"))))</f>
        <v/>
      </c>
      <c r="AI99" s="4" t="n"/>
      <c r="AJ99" s="4" t="n"/>
    </row>
    <row r="100">
      <c r="A100" s="30">
        <f>IF(B100="","",COUNTIF(B$14:B100,"?*"))</f>
        <v/>
      </c>
      <c r="B100" s="4" t="n"/>
      <c r="C100" s="19" t="n"/>
      <c r="D100" s="5">
        <f>IF(OR(B100="",C100=""),"",UPPER(LEFT(C100,1))&amp;LOWER(MID(C100,2,30))&amp;" "&amp;LOWER(LEFT(B100,1))&amp;MID(B100,2,200))</f>
        <v/>
      </c>
      <c r="E100" s="4" t="n"/>
      <c r="F100" s="4" t="n"/>
      <c r="G100" s="4" t="n"/>
      <c r="H100" s="4" t="n"/>
      <c r="I100" s="4" t="n"/>
      <c r="J100" s="4" t="n"/>
      <c r="K100" s="5">
        <f>_xlfn.TEXTJOIN(CHAR(10),TRUE,IF(E100="","","• "&amp;E100),IF(F100="","","• "&amp;F100),IF(G100="","","• "&amp;G100),IF(H100="","","• "&amp;H100),IF(I100="","","• "&amp;I100),IF(J100="","","• "&amp;J100))</f>
        <v/>
      </c>
      <c r="L100" s="4" t="n"/>
      <c r="M100" s="19" t="n"/>
      <c r="N100" s="19" t="n"/>
      <c r="O100" s="30">
        <f>IF(OR(M100="",N100=""),"",INDEX(RiskGrid,6-VALUE(LEFT(M100,1)),VALUE(LEFT(N100,1))))</f>
        <v/>
      </c>
      <c r="P100" s="30">
        <f>IF(O100="","",IF(O100&gt;=BandVH,"Very High",IF(O100&gt;=BandHigh,"High",IF(O100&gt;=BandMed,"Medium","Low"))))</f>
        <v/>
      </c>
      <c r="Q100" s="4" t="n"/>
      <c r="R100" s="19" t="n"/>
      <c r="S100" s="4" t="n"/>
      <c r="T100" s="19" t="n"/>
      <c r="U100" s="4" t="n"/>
      <c r="V100" s="19" t="n"/>
      <c r="W100" s="4" t="n"/>
      <c r="X100" s="19" t="n"/>
      <c r="Y100" s="4" t="n"/>
      <c r="Z100" s="19" t="n"/>
      <c r="AA100" s="4" t="n"/>
      <c r="AB100" s="19" t="n"/>
      <c r="AC100" s="5">
        <f>_xlfn.TEXTJOIN(CHAR(10),TRUE,IF(Q100="","","• "&amp;Q100&amp;IF(R100="Yes","  [IPL]","")),IF(S100="","","• "&amp;S100&amp;IF(T100="Yes","  [IPL]","")),IF(U100="","","• "&amp;U100&amp;IF(V100="Yes","  [IPL]","")),IF(W100="","","• "&amp;W100&amp;IF(X100="Yes","  [IPL]","")),IF(Y100="","","• "&amp;Y100&amp;IF(Z100="Yes","  [IPL]","")),IF(AA100="","","• "&amp;AA100&amp;IF(AB100="Yes","  [IPL]","")))</f>
        <v/>
      </c>
      <c r="AD100" s="30">
        <f>IF(AC100="","",COUNTIF(Q100:AB100,"Yes"))</f>
        <v/>
      </c>
      <c r="AE100" s="19" t="n"/>
      <c r="AF100" s="19" t="n"/>
      <c r="AG100" s="30">
        <f>IF(OR(AE100="",AF100=""),"",INDEX(RiskGrid,6-VALUE(LEFT(AE100,1)),VALUE(LEFT(AF100,1))))</f>
        <v/>
      </c>
      <c r="AH100" s="30">
        <f>IF(AG100="","",IF(AG100&gt;=BandVH,"Very High",IF(AG100&gt;=BandHigh,"High",IF(AG100&gt;=BandMed,"Medium","Low"))))</f>
        <v/>
      </c>
      <c r="AI100" s="4" t="n"/>
      <c r="AJ100" s="4" t="n"/>
    </row>
    <row r="101">
      <c r="A101" s="30">
        <f>IF(B101="","",COUNTIF(B$14:B101,"?*"))</f>
        <v/>
      </c>
      <c r="B101" s="4" t="n"/>
      <c r="C101" s="19" t="n"/>
      <c r="D101" s="5">
        <f>IF(OR(B101="",C101=""),"",UPPER(LEFT(C101,1))&amp;LOWER(MID(C101,2,30))&amp;" "&amp;LOWER(LEFT(B101,1))&amp;MID(B101,2,200))</f>
        <v/>
      </c>
      <c r="E101" s="4" t="n"/>
      <c r="F101" s="4" t="n"/>
      <c r="G101" s="4" t="n"/>
      <c r="H101" s="4" t="n"/>
      <c r="I101" s="4" t="n"/>
      <c r="J101" s="4" t="n"/>
      <c r="K101" s="5">
        <f>_xlfn.TEXTJOIN(CHAR(10),TRUE,IF(E101="","","• "&amp;E101),IF(F101="","","• "&amp;F101),IF(G101="","","• "&amp;G101),IF(H101="","","• "&amp;H101),IF(I101="","","• "&amp;I101),IF(J101="","","• "&amp;J101))</f>
        <v/>
      </c>
      <c r="L101" s="4" t="n"/>
      <c r="M101" s="19" t="n"/>
      <c r="N101" s="19" t="n"/>
      <c r="O101" s="30">
        <f>IF(OR(M101="",N101=""),"",INDEX(RiskGrid,6-VALUE(LEFT(M101,1)),VALUE(LEFT(N101,1))))</f>
        <v/>
      </c>
      <c r="P101" s="30">
        <f>IF(O101="","",IF(O101&gt;=BandVH,"Very High",IF(O101&gt;=BandHigh,"High",IF(O101&gt;=BandMed,"Medium","Low"))))</f>
        <v/>
      </c>
      <c r="Q101" s="4" t="n"/>
      <c r="R101" s="19" t="n"/>
      <c r="S101" s="4" t="n"/>
      <c r="T101" s="19" t="n"/>
      <c r="U101" s="4" t="n"/>
      <c r="V101" s="19" t="n"/>
      <c r="W101" s="4" t="n"/>
      <c r="X101" s="19" t="n"/>
      <c r="Y101" s="4" t="n"/>
      <c r="Z101" s="19" t="n"/>
      <c r="AA101" s="4" t="n"/>
      <c r="AB101" s="19" t="n"/>
      <c r="AC101" s="5">
        <f>_xlfn.TEXTJOIN(CHAR(10),TRUE,IF(Q101="","","• "&amp;Q101&amp;IF(R101="Yes","  [IPL]","")),IF(S101="","","• "&amp;S101&amp;IF(T101="Yes","  [IPL]","")),IF(U101="","","• "&amp;U101&amp;IF(V101="Yes","  [IPL]","")),IF(W101="","","• "&amp;W101&amp;IF(X101="Yes","  [IPL]","")),IF(Y101="","","• "&amp;Y101&amp;IF(Z101="Yes","  [IPL]","")),IF(AA101="","","• "&amp;AA101&amp;IF(AB101="Yes","  [IPL]","")))</f>
        <v/>
      </c>
      <c r="AD101" s="30">
        <f>IF(AC101="","",COUNTIF(Q101:AB101,"Yes"))</f>
        <v/>
      </c>
      <c r="AE101" s="19" t="n"/>
      <c r="AF101" s="19" t="n"/>
      <c r="AG101" s="30">
        <f>IF(OR(AE101="",AF101=""),"",INDEX(RiskGrid,6-VALUE(LEFT(AE101,1)),VALUE(LEFT(AF101,1))))</f>
        <v/>
      </c>
      <c r="AH101" s="30">
        <f>IF(AG101="","",IF(AG101&gt;=BandVH,"Very High",IF(AG101&gt;=BandHigh,"High",IF(AG101&gt;=BandMed,"Medium","Low"))))</f>
        <v/>
      </c>
      <c r="AI101" s="4" t="n"/>
      <c r="AJ101" s="4" t="n"/>
    </row>
    <row r="102">
      <c r="A102" s="30">
        <f>IF(B102="","",COUNTIF(B$14:B102,"?*"))</f>
        <v/>
      </c>
      <c r="B102" s="4" t="n"/>
      <c r="C102" s="19" t="n"/>
      <c r="D102" s="5">
        <f>IF(OR(B102="",C102=""),"",UPPER(LEFT(C102,1))&amp;LOWER(MID(C102,2,30))&amp;" "&amp;LOWER(LEFT(B102,1))&amp;MID(B102,2,200))</f>
        <v/>
      </c>
      <c r="E102" s="4" t="n"/>
      <c r="F102" s="4" t="n"/>
      <c r="G102" s="4" t="n"/>
      <c r="H102" s="4" t="n"/>
      <c r="I102" s="4" t="n"/>
      <c r="J102" s="4" t="n"/>
      <c r="K102" s="5">
        <f>_xlfn.TEXTJOIN(CHAR(10),TRUE,IF(E102="","","• "&amp;E102),IF(F102="","","• "&amp;F102),IF(G102="","","• "&amp;G102),IF(H102="","","• "&amp;H102),IF(I102="","","• "&amp;I102),IF(J102="","","• "&amp;J102))</f>
        <v/>
      </c>
      <c r="L102" s="4" t="n"/>
      <c r="M102" s="19" t="n"/>
      <c r="N102" s="19" t="n"/>
      <c r="O102" s="30">
        <f>IF(OR(M102="",N102=""),"",INDEX(RiskGrid,6-VALUE(LEFT(M102,1)),VALUE(LEFT(N102,1))))</f>
        <v/>
      </c>
      <c r="P102" s="30">
        <f>IF(O102="","",IF(O102&gt;=BandVH,"Very High",IF(O102&gt;=BandHigh,"High",IF(O102&gt;=BandMed,"Medium","Low"))))</f>
        <v/>
      </c>
      <c r="Q102" s="4" t="n"/>
      <c r="R102" s="19" t="n"/>
      <c r="S102" s="4" t="n"/>
      <c r="T102" s="19" t="n"/>
      <c r="U102" s="4" t="n"/>
      <c r="V102" s="19" t="n"/>
      <c r="W102" s="4" t="n"/>
      <c r="X102" s="19" t="n"/>
      <c r="Y102" s="4" t="n"/>
      <c r="Z102" s="19" t="n"/>
      <c r="AA102" s="4" t="n"/>
      <c r="AB102" s="19" t="n"/>
      <c r="AC102" s="5">
        <f>_xlfn.TEXTJOIN(CHAR(10),TRUE,IF(Q102="","","• "&amp;Q102&amp;IF(R102="Yes","  [IPL]","")),IF(S102="","","• "&amp;S102&amp;IF(T102="Yes","  [IPL]","")),IF(U102="","","• "&amp;U102&amp;IF(V102="Yes","  [IPL]","")),IF(W102="","","• "&amp;W102&amp;IF(X102="Yes","  [IPL]","")),IF(Y102="","","• "&amp;Y102&amp;IF(Z102="Yes","  [IPL]","")),IF(AA102="","","• "&amp;AA102&amp;IF(AB102="Yes","  [IPL]","")))</f>
        <v/>
      </c>
      <c r="AD102" s="30">
        <f>IF(AC102="","",COUNTIF(Q102:AB102,"Yes"))</f>
        <v/>
      </c>
      <c r="AE102" s="19" t="n"/>
      <c r="AF102" s="19" t="n"/>
      <c r="AG102" s="30">
        <f>IF(OR(AE102="",AF102=""),"",INDEX(RiskGrid,6-VALUE(LEFT(AE102,1)),VALUE(LEFT(AF102,1))))</f>
        <v/>
      </c>
      <c r="AH102" s="30">
        <f>IF(AG102="","",IF(AG102&gt;=BandVH,"Very High",IF(AG102&gt;=BandHigh,"High",IF(AG102&gt;=BandMed,"Medium","Low"))))</f>
        <v/>
      </c>
      <c r="AI102" s="4" t="n"/>
      <c r="AJ102" s="4" t="n"/>
    </row>
    <row r="103">
      <c r="A103" s="30">
        <f>IF(B103="","",COUNTIF(B$14:B103,"?*"))</f>
        <v/>
      </c>
      <c r="B103" s="4" t="n"/>
      <c r="C103" s="19" t="n"/>
      <c r="D103" s="5">
        <f>IF(OR(B103="",C103=""),"",UPPER(LEFT(C103,1))&amp;LOWER(MID(C103,2,30))&amp;" "&amp;LOWER(LEFT(B103,1))&amp;MID(B103,2,200))</f>
        <v/>
      </c>
      <c r="E103" s="4" t="n"/>
      <c r="F103" s="4" t="n"/>
      <c r="G103" s="4" t="n"/>
      <c r="H103" s="4" t="n"/>
      <c r="I103" s="4" t="n"/>
      <c r="J103" s="4" t="n"/>
      <c r="K103" s="5">
        <f>_xlfn.TEXTJOIN(CHAR(10),TRUE,IF(E103="","","• "&amp;E103),IF(F103="","","• "&amp;F103),IF(G103="","","• "&amp;G103),IF(H103="","","• "&amp;H103),IF(I103="","","• "&amp;I103),IF(J103="","","• "&amp;J103))</f>
        <v/>
      </c>
      <c r="L103" s="4" t="n"/>
      <c r="M103" s="19" t="n"/>
      <c r="N103" s="19" t="n"/>
      <c r="O103" s="30">
        <f>IF(OR(M103="",N103=""),"",INDEX(RiskGrid,6-VALUE(LEFT(M103,1)),VALUE(LEFT(N103,1))))</f>
        <v/>
      </c>
      <c r="P103" s="30">
        <f>IF(O103="","",IF(O103&gt;=BandVH,"Very High",IF(O103&gt;=BandHigh,"High",IF(O103&gt;=BandMed,"Medium","Low"))))</f>
        <v/>
      </c>
      <c r="Q103" s="4" t="n"/>
      <c r="R103" s="19" t="n"/>
      <c r="S103" s="4" t="n"/>
      <c r="T103" s="19" t="n"/>
      <c r="U103" s="4" t="n"/>
      <c r="V103" s="19" t="n"/>
      <c r="W103" s="4" t="n"/>
      <c r="X103" s="19" t="n"/>
      <c r="Y103" s="4" t="n"/>
      <c r="Z103" s="19" t="n"/>
      <c r="AA103" s="4" t="n"/>
      <c r="AB103" s="19" t="n"/>
      <c r="AC103" s="5">
        <f>_xlfn.TEXTJOIN(CHAR(10),TRUE,IF(Q103="","","• "&amp;Q103&amp;IF(R103="Yes","  [IPL]","")),IF(S103="","","• "&amp;S103&amp;IF(T103="Yes","  [IPL]","")),IF(U103="","","• "&amp;U103&amp;IF(V103="Yes","  [IPL]","")),IF(W103="","","• "&amp;W103&amp;IF(X103="Yes","  [IPL]","")),IF(Y103="","","• "&amp;Y103&amp;IF(Z103="Yes","  [IPL]","")),IF(AA103="","","• "&amp;AA103&amp;IF(AB103="Yes","  [IPL]","")))</f>
        <v/>
      </c>
      <c r="AD103" s="30">
        <f>IF(AC103="","",COUNTIF(Q103:AB103,"Yes"))</f>
        <v/>
      </c>
      <c r="AE103" s="19" t="n"/>
      <c r="AF103" s="19" t="n"/>
      <c r="AG103" s="30">
        <f>IF(OR(AE103="",AF103=""),"",INDEX(RiskGrid,6-VALUE(LEFT(AE103,1)),VALUE(LEFT(AF103,1))))</f>
        <v/>
      </c>
      <c r="AH103" s="30">
        <f>IF(AG103="","",IF(AG103&gt;=BandVH,"Very High",IF(AG103&gt;=BandHigh,"High",IF(AG103&gt;=BandMed,"Medium","Low"))))</f>
        <v/>
      </c>
      <c r="AI103" s="4" t="n"/>
      <c r="AJ103" s="4" t="n"/>
    </row>
    <row r="104">
      <c r="A104" s="30">
        <f>IF(B104="","",COUNTIF(B$14:B104,"?*"))</f>
        <v/>
      </c>
      <c r="B104" s="4" t="n"/>
      <c r="C104" s="19" t="n"/>
      <c r="D104" s="5">
        <f>IF(OR(B104="",C104=""),"",UPPER(LEFT(C104,1))&amp;LOWER(MID(C104,2,30))&amp;" "&amp;LOWER(LEFT(B104,1))&amp;MID(B104,2,200))</f>
        <v/>
      </c>
      <c r="E104" s="4" t="n"/>
      <c r="F104" s="4" t="n"/>
      <c r="G104" s="4" t="n"/>
      <c r="H104" s="4" t="n"/>
      <c r="I104" s="4" t="n"/>
      <c r="J104" s="4" t="n"/>
      <c r="K104" s="5">
        <f>_xlfn.TEXTJOIN(CHAR(10),TRUE,IF(E104="","","• "&amp;E104),IF(F104="","","• "&amp;F104),IF(G104="","","• "&amp;G104),IF(H104="","","• "&amp;H104),IF(I104="","","• "&amp;I104),IF(J104="","","• "&amp;J104))</f>
        <v/>
      </c>
      <c r="L104" s="4" t="n"/>
      <c r="M104" s="19" t="n"/>
      <c r="N104" s="19" t="n"/>
      <c r="O104" s="30">
        <f>IF(OR(M104="",N104=""),"",INDEX(RiskGrid,6-VALUE(LEFT(M104,1)),VALUE(LEFT(N104,1))))</f>
        <v/>
      </c>
      <c r="P104" s="30">
        <f>IF(O104="","",IF(O104&gt;=BandVH,"Very High",IF(O104&gt;=BandHigh,"High",IF(O104&gt;=BandMed,"Medium","Low"))))</f>
        <v/>
      </c>
      <c r="Q104" s="4" t="n"/>
      <c r="R104" s="19" t="n"/>
      <c r="S104" s="4" t="n"/>
      <c r="T104" s="19" t="n"/>
      <c r="U104" s="4" t="n"/>
      <c r="V104" s="19" t="n"/>
      <c r="W104" s="4" t="n"/>
      <c r="X104" s="19" t="n"/>
      <c r="Y104" s="4" t="n"/>
      <c r="Z104" s="19" t="n"/>
      <c r="AA104" s="4" t="n"/>
      <c r="AB104" s="19" t="n"/>
      <c r="AC104" s="5">
        <f>_xlfn.TEXTJOIN(CHAR(10),TRUE,IF(Q104="","","• "&amp;Q104&amp;IF(R104="Yes","  [IPL]","")),IF(S104="","","• "&amp;S104&amp;IF(T104="Yes","  [IPL]","")),IF(U104="","","• "&amp;U104&amp;IF(V104="Yes","  [IPL]","")),IF(W104="","","• "&amp;W104&amp;IF(X104="Yes","  [IPL]","")),IF(Y104="","","• "&amp;Y104&amp;IF(Z104="Yes","  [IPL]","")),IF(AA104="","","• "&amp;AA104&amp;IF(AB104="Yes","  [IPL]","")))</f>
        <v/>
      </c>
      <c r="AD104" s="30">
        <f>IF(AC104="","",COUNTIF(Q104:AB104,"Yes"))</f>
        <v/>
      </c>
      <c r="AE104" s="19" t="n"/>
      <c r="AF104" s="19" t="n"/>
      <c r="AG104" s="30">
        <f>IF(OR(AE104="",AF104=""),"",INDEX(RiskGrid,6-VALUE(LEFT(AE104,1)),VALUE(LEFT(AF104,1))))</f>
        <v/>
      </c>
      <c r="AH104" s="30">
        <f>IF(AG104="","",IF(AG104&gt;=BandVH,"Very High",IF(AG104&gt;=BandHigh,"High",IF(AG104&gt;=BandMed,"Medium","Low"))))</f>
        <v/>
      </c>
      <c r="AI104" s="4" t="n"/>
      <c r="AJ104" s="4" t="n"/>
    </row>
    <row r="105">
      <c r="A105" s="30">
        <f>IF(B105="","",COUNTIF(B$14:B105,"?*"))</f>
        <v/>
      </c>
      <c r="B105" s="4" t="n"/>
      <c r="C105" s="19" t="n"/>
      <c r="D105" s="5">
        <f>IF(OR(B105="",C105=""),"",UPPER(LEFT(C105,1))&amp;LOWER(MID(C105,2,30))&amp;" "&amp;LOWER(LEFT(B105,1))&amp;MID(B105,2,200))</f>
        <v/>
      </c>
      <c r="E105" s="4" t="n"/>
      <c r="F105" s="4" t="n"/>
      <c r="G105" s="4" t="n"/>
      <c r="H105" s="4" t="n"/>
      <c r="I105" s="4" t="n"/>
      <c r="J105" s="4" t="n"/>
      <c r="K105" s="5">
        <f>_xlfn.TEXTJOIN(CHAR(10),TRUE,IF(E105="","","• "&amp;E105),IF(F105="","","• "&amp;F105),IF(G105="","","• "&amp;G105),IF(H105="","","• "&amp;H105),IF(I105="","","• "&amp;I105),IF(J105="","","• "&amp;J105))</f>
        <v/>
      </c>
      <c r="L105" s="4" t="n"/>
      <c r="M105" s="19" t="n"/>
      <c r="N105" s="19" t="n"/>
      <c r="O105" s="30">
        <f>IF(OR(M105="",N105=""),"",INDEX(RiskGrid,6-VALUE(LEFT(M105,1)),VALUE(LEFT(N105,1))))</f>
        <v/>
      </c>
      <c r="P105" s="30">
        <f>IF(O105="","",IF(O105&gt;=BandVH,"Very High",IF(O105&gt;=BandHigh,"High",IF(O105&gt;=BandMed,"Medium","Low"))))</f>
        <v/>
      </c>
      <c r="Q105" s="4" t="n"/>
      <c r="R105" s="19" t="n"/>
      <c r="S105" s="4" t="n"/>
      <c r="T105" s="19" t="n"/>
      <c r="U105" s="4" t="n"/>
      <c r="V105" s="19" t="n"/>
      <c r="W105" s="4" t="n"/>
      <c r="X105" s="19" t="n"/>
      <c r="Y105" s="4" t="n"/>
      <c r="Z105" s="19" t="n"/>
      <c r="AA105" s="4" t="n"/>
      <c r="AB105" s="19" t="n"/>
      <c r="AC105" s="5">
        <f>_xlfn.TEXTJOIN(CHAR(10),TRUE,IF(Q105="","","• "&amp;Q105&amp;IF(R105="Yes","  [IPL]","")),IF(S105="","","• "&amp;S105&amp;IF(T105="Yes","  [IPL]","")),IF(U105="","","• "&amp;U105&amp;IF(V105="Yes","  [IPL]","")),IF(W105="","","• "&amp;W105&amp;IF(X105="Yes","  [IPL]","")),IF(Y105="","","• "&amp;Y105&amp;IF(Z105="Yes","  [IPL]","")),IF(AA105="","","• "&amp;AA105&amp;IF(AB105="Yes","  [IPL]","")))</f>
        <v/>
      </c>
      <c r="AD105" s="30">
        <f>IF(AC105="","",COUNTIF(Q105:AB105,"Yes"))</f>
        <v/>
      </c>
      <c r="AE105" s="19" t="n"/>
      <c r="AF105" s="19" t="n"/>
      <c r="AG105" s="30">
        <f>IF(OR(AE105="",AF105=""),"",INDEX(RiskGrid,6-VALUE(LEFT(AE105,1)),VALUE(LEFT(AF105,1))))</f>
        <v/>
      </c>
      <c r="AH105" s="30">
        <f>IF(AG105="","",IF(AG105&gt;=BandVH,"Very High",IF(AG105&gt;=BandHigh,"High",IF(AG105&gt;=BandMed,"Medium","Low"))))</f>
        <v/>
      </c>
      <c r="AI105" s="4" t="n"/>
      <c r="AJ105" s="4" t="n"/>
    </row>
    <row r="106">
      <c r="A106" s="30">
        <f>IF(B106="","",COUNTIF(B$14:B106,"?*"))</f>
        <v/>
      </c>
      <c r="B106" s="4" t="n"/>
      <c r="C106" s="19" t="n"/>
      <c r="D106" s="5">
        <f>IF(OR(B106="",C106=""),"",UPPER(LEFT(C106,1))&amp;LOWER(MID(C106,2,30))&amp;" "&amp;LOWER(LEFT(B106,1))&amp;MID(B106,2,200))</f>
        <v/>
      </c>
      <c r="E106" s="4" t="n"/>
      <c r="F106" s="4" t="n"/>
      <c r="G106" s="4" t="n"/>
      <c r="H106" s="4" t="n"/>
      <c r="I106" s="4" t="n"/>
      <c r="J106" s="4" t="n"/>
      <c r="K106" s="5">
        <f>_xlfn.TEXTJOIN(CHAR(10),TRUE,IF(E106="","","• "&amp;E106),IF(F106="","","• "&amp;F106),IF(G106="","","• "&amp;G106),IF(H106="","","• "&amp;H106),IF(I106="","","• "&amp;I106),IF(J106="","","• "&amp;J106))</f>
        <v/>
      </c>
      <c r="L106" s="4" t="n"/>
      <c r="M106" s="19" t="n"/>
      <c r="N106" s="19" t="n"/>
      <c r="O106" s="30">
        <f>IF(OR(M106="",N106=""),"",INDEX(RiskGrid,6-VALUE(LEFT(M106,1)),VALUE(LEFT(N106,1))))</f>
        <v/>
      </c>
      <c r="P106" s="30">
        <f>IF(O106="","",IF(O106&gt;=BandVH,"Very High",IF(O106&gt;=BandHigh,"High",IF(O106&gt;=BandMed,"Medium","Low"))))</f>
        <v/>
      </c>
      <c r="Q106" s="4" t="n"/>
      <c r="R106" s="19" t="n"/>
      <c r="S106" s="4" t="n"/>
      <c r="T106" s="19" t="n"/>
      <c r="U106" s="4" t="n"/>
      <c r="V106" s="19" t="n"/>
      <c r="W106" s="4" t="n"/>
      <c r="X106" s="19" t="n"/>
      <c r="Y106" s="4" t="n"/>
      <c r="Z106" s="19" t="n"/>
      <c r="AA106" s="4" t="n"/>
      <c r="AB106" s="19" t="n"/>
      <c r="AC106" s="5">
        <f>_xlfn.TEXTJOIN(CHAR(10),TRUE,IF(Q106="","","• "&amp;Q106&amp;IF(R106="Yes","  [IPL]","")),IF(S106="","","• "&amp;S106&amp;IF(T106="Yes","  [IPL]","")),IF(U106="","","• "&amp;U106&amp;IF(V106="Yes","  [IPL]","")),IF(W106="","","• "&amp;W106&amp;IF(X106="Yes","  [IPL]","")),IF(Y106="","","• "&amp;Y106&amp;IF(Z106="Yes","  [IPL]","")),IF(AA106="","","• "&amp;AA106&amp;IF(AB106="Yes","  [IPL]","")))</f>
        <v/>
      </c>
      <c r="AD106" s="30">
        <f>IF(AC106="","",COUNTIF(Q106:AB106,"Yes"))</f>
        <v/>
      </c>
      <c r="AE106" s="19" t="n"/>
      <c r="AF106" s="19" t="n"/>
      <c r="AG106" s="30">
        <f>IF(OR(AE106="",AF106=""),"",INDEX(RiskGrid,6-VALUE(LEFT(AE106,1)),VALUE(LEFT(AF106,1))))</f>
        <v/>
      </c>
      <c r="AH106" s="30">
        <f>IF(AG106="","",IF(AG106&gt;=BandVH,"Very High",IF(AG106&gt;=BandHigh,"High",IF(AG106&gt;=BandMed,"Medium","Low"))))</f>
        <v/>
      </c>
      <c r="AI106" s="4" t="n"/>
      <c r="AJ106" s="4" t="n"/>
    </row>
    <row r="107">
      <c r="A107" s="30">
        <f>IF(B107="","",COUNTIF(B$14:B107,"?*"))</f>
        <v/>
      </c>
      <c r="B107" s="4" t="n"/>
      <c r="C107" s="19" t="n"/>
      <c r="D107" s="5">
        <f>IF(OR(B107="",C107=""),"",UPPER(LEFT(C107,1))&amp;LOWER(MID(C107,2,30))&amp;" "&amp;LOWER(LEFT(B107,1))&amp;MID(B107,2,200))</f>
        <v/>
      </c>
      <c r="E107" s="4" t="n"/>
      <c r="F107" s="4" t="n"/>
      <c r="G107" s="4" t="n"/>
      <c r="H107" s="4" t="n"/>
      <c r="I107" s="4" t="n"/>
      <c r="J107" s="4" t="n"/>
      <c r="K107" s="5">
        <f>_xlfn.TEXTJOIN(CHAR(10),TRUE,IF(E107="","","• "&amp;E107),IF(F107="","","• "&amp;F107),IF(G107="","","• "&amp;G107),IF(H107="","","• "&amp;H107),IF(I107="","","• "&amp;I107),IF(J107="","","• "&amp;J107))</f>
        <v/>
      </c>
      <c r="L107" s="4" t="n"/>
      <c r="M107" s="19" t="n"/>
      <c r="N107" s="19" t="n"/>
      <c r="O107" s="30">
        <f>IF(OR(M107="",N107=""),"",INDEX(RiskGrid,6-VALUE(LEFT(M107,1)),VALUE(LEFT(N107,1))))</f>
        <v/>
      </c>
      <c r="P107" s="30">
        <f>IF(O107="","",IF(O107&gt;=BandVH,"Very High",IF(O107&gt;=BandHigh,"High",IF(O107&gt;=BandMed,"Medium","Low"))))</f>
        <v/>
      </c>
      <c r="Q107" s="4" t="n"/>
      <c r="R107" s="19" t="n"/>
      <c r="S107" s="4" t="n"/>
      <c r="T107" s="19" t="n"/>
      <c r="U107" s="4" t="n"/>
      <c r="V107" s="19" t="n"/>
      <c r="W107" s="4" t="n"/>
      <c r="X107" s="19" t="n"/>
      <c r="Y107" s="4" t="n"/>
      <c r="Z107" s="19" t="n"/>
      <c r="AA107" s="4" t="n"/>
      <c r="AB107" s="19" t="n"/>
      <c r="AC107" s="5">
        <f>_xlfn.TEXTJOIN(CHAR(10),TRUE,IF(Q107="","","• "&amp;Q107&amp;IF(R107="Yes","  [IPL]","")),IF(S107="","","• "&amp;S107&amp;IF(T107="Yes","  [IPL]","")),IF(U107="","","• "&amp;U107&amp;IF(V107="Yes","  [IPL]","")),IF(W107="","","• "&amp;W107&amp;IF(X107="Yes","  [IPL]","")),IF(Y107="","","• "&amp;Y107&amp;IF(Z107="Yes","  [IPL]","")),IF(AA107="","","• "&amp;AA107&amp;IF(AB107="Yes","  [IPL]","")))</f>
        <v/>
      </c>
      <c r="AD107" s="30">
        <f>IF(AC107="","",COUNTIF(Q107:AB107,"Yes"))</f>
        <v/>
      </c>
      <c r="AE107" s="19" t="n"/>
      <c r="AF107" s="19" t="n"/>
      <c r="AG107" s="30">
        <f>IF(OR(AE107="",AF107=""),"",INDEX(RiskGrid,6-VALUE(LEFT(AE107,1)),VALUE(LEFT(AF107,1))))</f>
        <v/>
      </c>
      <c r="AH107" s="30">
        <f>IF(AG107="","",IF(AG107&gt;=BandVH,"Very High",IF(AG107&gt;=BandHigh,"High",IF(AG107&gt;=BandMed,"Medium","Low"))))</f>
        <v/>
      </c>
      <c r="AI107" s="4" t="n"/>
      <c r="AJ107" s="4" t="n"/>
    </row>
    <row r="108">
      <c r="A108" s="30">
        <f>IF(B108="","",COUNTIF(B$14:B108,"?*"))</f>
        <v/>
      </c>
      <c r="B108" s="4" t="n"/>
      <c r="C108" s="19" t="n"/>
      <c r="D108" s="5">
        <f>IF(OR(B108="",C108=""),"",UPPER(LEFT(C108,1))&amp;LOWER(MID(C108,2,30))&amp;" "&amp;LOWER(LEFT(B108,1))&amp;MID(B108,2,200))</f>
        <v/>
      </c>
      <c r="E108" s="4" t="n"/>
      <c r="F108" s="4" t="n"/>
      <c r="G108" s="4" t="n"/>
      <c r="H108" s="4" t="n"/>
      <c r="I108" s="4" t="n"/>
      <c r="J108" s="4" t="n"/>
      <c r="K108" s="5">
        <f>_xlfn.TEXTJOIN(CHAR(10),TRUE,IF(E108="","","• "&amp;E108),IF(F108="","","• "&amp;F108),IF(G108="","","• "&amp;G108),IF(H108="","","• "&amp;H108),IF(I108="","","• "&amp;I108),IF(J108="","","• "&amp;J108))</f>
        <v/>
      </c>
      <c r="L108" s="4" t="n"/>
      <c r="M108" s="19" t="n"/>
      <c r="N108" s="19" t="n"/>
      <c r="O108" s="30">
        <f>IF(OR(M108="",N108=""),"",INDEX(RiskGrid,6-VALUE(LEFT(M108,1)),VALUE(LEFT(N108,1))))</f>
        <v/>
      </c>
      <c r="P108" s="30">
        <f>IF(O108="","",IF(O108&gt;=BandVH,"Very High",IF(O108&gt;=BandHigh,"High",IF(O108&gt;=BandMed,"Medium","Low"))))</f>
        <v/>
      </c>
      <c r="Q108" s="4" t="n"/>
      <c r="R108" s="19" t="n"/>
      <c r="S108" s="4" t="n"/>
      <c r="T108" s="19" t="n"/>
      <c r="U108" s="4" t="n"/>
      <c r="V108" s="19" t="n"/>
      <c r="W108" s="4" t="n"/>
      <c r="X108" s="19" t="n"/>
      <c r="Y108" s="4" t="n"/>
      <c r="Z108" s="19" t="n"/>
      <c r="AA108" s="4" t="n"/>
      <c r="AB108" s="19" t="n"/>
      <c r="AC108" s="5">
        <f>_xlfn.TEXTJOIN(CHAR(10),TRUE,IF(Q108="","","• "&amp;Q108&amp;IF(R108="Yes","  [IPL]","")),IF(S108="","","• "&amp;S108&amp;IF(T108="Yes","  [IPL]","")),IF(U108="","","• "&amp;U108&amp;IF(V108="Yes","  [IPL]","")),IF(W108="","","• "&amp;W108&amp;IF(X108="Yes","  [IPL]","")),IF(Y108="","","• "&amp;Y108&amp;IF(Z108="Yes","  [IPL]","")),IF(AA108="","","• "&amp;AA108&amp;IF(AB108="Yes","  [IPL]","")))</f>
        <v/>
      </c>
      <c r="AD108" s="30">
        <f>IF(AC108="","",COUNTIF(Q108:AB108,"Yes"))</f>
        <v/>
      </c>
      <c r="AE108" s="19" t="n"/>
      <c r="AF108" s="19" t="n"/>
      <c r="AG108" s="30">
        <f>IF(OR(AE108="",AF108=""),"",INDEX(RiskGrid,6-VALUE(LEFT(AE108,1)),VALUE(LEFT(AF108,1))))</f>
        <v/>
      </c>
      <c r="AH108" s="30">
        <f>IF(AG108="","",IF(AG108&gt;=BandVH,"Very High",IF(AG108&gt;=BandHigh,"High",IF(AG108&gt;=BandMed,"Medium","Low"))))</f>
        <v/>
      </c>
      <c r="AI108" s="4" t="n"/>
      <c r="AJ108" s="4" t="n"/>
    </row>
    <row r="109">
      <c r="A109" s="30">
        <f>IF(B109="","",COUNTIF(B$14:B109,"?*"))</f>
        <v/>
      </c>
      <c r="B109" s="4" t="n"/>
      <c r="C109" s="19" t="n"/>
      <c r="D109" s="5">
        <f>IF(OR(B109="",C109=""),"",UPPER(LEFT(C109,1))&amp;LOWER(MID(C109,2,30))&amp;" "&amp;LOWER(LEFT(B109,1))&amp;MID(B109,2,200))</f>
        <v/>
      </c>
      <c r="E109" s="4" t="n"/>
      <c r="F109" s="4" t="n"/>
      <c r="G109" s="4" t="n"/>
      <c r="H109" s="4" t="n"/>
      <c r="I109" s="4" t="n"/>
      <c r="J109" s="4" t="n"/>
      <c r="K109" s="5">
        <f>_xlfn.TEXTJOIN(CHAR(10),TRUE,IF(E109="","","• "&amp;E109),IF(F109="","","• "&amp;F109),IF(G109="","","• "&amp;G109),IF(H109="","","• "&amp;H109),IF(I109="","","• "&amp;I109),IF(J109="","","• "&amp;J109))</f>
        <v/>
      </c>
      <c r="L109" s="4" t="n"/>
      <c r="M109" s="19" t="n"/>
      <c r="N109" s="19" t="n"/>
      <c r="O109" s="30">
        <f>IF(OR(M109="",N109=""),"",INDEX(RiskGrid,6-VALUE(LEFT(M109,1)),VALUE(LEFT(N109,1))))</f>
        <v/>
      </c>
      <c r="P109" s="30">
        <f>IF(O109="","",IF(O109&gt;=BandVH,"Very High",IF(O109&gt;=BandHigh,"High",IF(O109&gt;=BandMed,"Medium","Low"))))</f>
        <v/>
      </c>
      <c r="Q109" s="4" t="n"/>
      <c r="R109" s="19" t="n"/>
      <c r="S109" s="4" t="n"/>
      <c r="T109" s="19" t="n"/>
      <c r="U109" s="4" t="n"/>
      <c r="V109" s="19" t="n"/>
      <c r="W109" s="4" t="n"/>
      <c r="X109" s="19" t="n"/>
      <c r="Y109" s="4" t="n"/>
      <c r="Z109" s="19" t="n"/>
      <c r="AA109" s="4" t="n"/>
      <c r="AB109" s="19" t="n"/>
      <c r="AC109" s="5">
        <f>_xlfn.TEXTJOIN(CHAR(10),TRUE,IF(Q109="","","• "&amp;Q109&amp;IF(R109="Yes","  [IPL]","")),IF(S109="","","• "&amp;S109&amp;IF(T109="Yes","  [IPL]","")),IF(U109="","","• "&amp;U109&amp;IF(V109="Yes","  [IPL]","")),IF(W109="","","• "&amp;W109&amp;IF(X109="Yes","  [IPL]","")),IF(Y109="","","• "&amp;Y109&amp;IF(Z109="Yes","  [IPL]","")),IF(AA109="","","• "&amp;AA109&amp;IF(AB109="Yes","  [IPL]","")))</f>
        <v/>
      </c>
      <c r="AD109" s="30">
        <f>IF(AC109="","",COUNTIF(Q109:AB109,"Yes"))</f>
        <v/>
      </c>
      <c r="AE109" s="19" t="n"/>
      <c r="AF109" s="19" t="n"/>
      <c r="AG109" s="30">
        <f>IF(OR(AE109="",AF109=""),"",INDEX(RiskGrid,6-VALUE(LEFT(AE109,1)),VALUE(LEFT(AF109,1))))</f>
        <v/>
      </c>
      <c r="AH109" s="30">
        <f>IF(AG109="","",IF(AG109&gt;=BandVH,"Very High",IF(AG109&gt;=BandHigh,"High",IF(AG109&gt;=BandMed,"Medium","Low"))))</f>
        <v/>
      </c>
      <c r="AI109" s="4" t="n"/>
      <c r="AJ109" s="4" t="n"/>
    </row>
    <row r="110">
      <c r="A110" s="30">
        <f>IF(B110="","",COUNTIF(B$14:B110,"?*"))</f>
        <v/>
      </c>
      <c r="B110" s="4" t="n"/>
      <c r="C110" s="19" t="n"/>
      <c r="D110" s="5">
        <f>IF(OR(B110="",C110=""),"",UPPER(LEFT(C110,1))&amp;LOWER(MID(C110,2,30))&amp;" "&amp;LOWER(LEFT(B110,1))&amp;MID(B110,2,200))</f>
        <v/>
      </c>
      <c r="E110" s="4" t="n"/>
      <c r="F110" s="4" t="n"/>
      <c r="G110" s="4" t="n"/>
      <c r="H110" s="4" t="n"/>
      <c r="I110" s="4" t="n"/>
      <c r="J110" s="4" t="n"/>
      <c r="K110" s="5">
        <f>_xlfn.TEXTJOIN(CHAR(10),TRUE,IF(E110="","","• "&amp;E110),IF(F110="","","• "&amp;F110),IF(G110="","","• "&amp;G110),IF(H110="","","• "&amp;H110),IF(I110="","","• "&amp;I110),IF(J110="","","• "&amp;J110))</f>
        <v/>
      </c>
      <c r="L110" s="4" t="n"/>
      <c r="M110" s="19" t="n"/>
      <c r="N110" s="19" t="n"/>
      <c r="O110" s="30">
        <f>IF(OR(M110="",N110=""),"",INDEX(RiskGrid,6-VALUE(LEFT(M110,1)),VALUE(LEFT(N110,1))))</f>
        <v/>
      </c>
      <c r="P110" s="30">
        <f>IF(O110="","",IF(O110&gt;=BandVH,"Very High",IF(O110&gt;=BandHigh,"High",IF(O110&gt;=BandMed,"Medium","Low"))))</f>
        <v/>
      </c>
      <c r="Q110" s="4" t="n"/>
      <c r="R110" s="19" t="n"/>
      <c r="S110" s="4" t="n"/>
      <c r="T110" s="19" t="n"/>
      <c r="U110" s="4" t="n"/>
      <c r="V110" s="19" t="n"/>
      <c r="W110" s="4" t="n"/>
      <c r="X110" s="19" t="n"/>
      <c r="Y110" s="4" t="n"/>
      <c r="Z110" s="19" t="n"/>
      <c r="AA110" s="4" t="n"/>
      <c r="AB110" s="19" t="n"/>
      <c r="AC110" s="5">
        <f>_xlfn.TEXTJOIN(CHAR(10),TRUE,IF(Q110="","","• "&amp;Q110&amp;IF(R110="Yes","  [IPL]","")),IF(S110="","","• "&amp;S110&amp;IF(T110="Yes","  [IPL]","")),IF(U110="","","• "&amp;U110&amp;IF(V110="Yes","  [IPL]","")),IF(W110="","","• "&amp;W110&amp;IF(X110="Yes","  [IPL]","")),IF(Y110="","","• "&amp;Y110&amp;IF(Z110="Yes","  [IPL]","")),IF(AA110="","","• "&amp;AA110&amp;IF(AB110="Yes","  [IPL]","")))</f>
        <v/>
      </c>
      <c r="AD110" s="30">
        <f>IF(AC110="","",COUNTIF(Q110:AB110,"Yes"))</f>
        <v/>
      </c>
      <c r="AE110" s="19" t="n"/>
      <c r="AF110" s="19" t="n"/>
      <c r="AG110" s="30">
        <f>IF(OR(AE110="",AF110=""),"",INDEX(RiskGrid,6-VALUE(LEFT(AE110,1)),VALUE(LEFT(AF110,1))))</f>
        <v/>
      </c>
      <c r="AH110" s="30">
        <f>IF(AG110="","",IF(AG110&gt;=BandVH,"Very High",IF(AG110&gt;=BandHigh,"High",IF(AG110&gt;=BandMed,"Medium","Low"))))</f>
        <v/>
      </c>
      <c r="AI110" s="4" t="n"/>
      <c r="AJ110" s="4" t="n"/>
    </row>
    <row r="111">
      <c r="A111" s="30">
        <f>IF(B111="","",COUNTIF(B$14:B111,"?*"))</f>
        <v/>
      </c>
      <c r="B111" s="4" t="n"/>
      <c r="C111" s="19" t="n"/>
      <c r="D111" s="5">
        <f>IF(OR(B111="",C111=""),"",UPPER(LEFT(C111,1))&amp;LOWER(MID(C111,2,30))&amp;" "&amp;LOWER(LEFT(B111,1))&amp;MID(B111,2,200))</f>
        <v/>
      </c>
      <c r="E111" s="4" t="n"/>
      <c r="F111" s="4" t="n"/>
      <c r="G111" s="4" t="n"/>
      <c r="H111" s="4" t="n"/>
      <c r="I111" s="4" t="n"/>
      <c r="J111" s="4" t="n"/>
      <c r="K111" s="5">
        <f>_xlfn.TEXTJOIN(CHAR(10),TRUE,IF(E111="","","• "&amp;E111),IF(F111="","","• "&amp;F111),IF(G111="","","• "&amp;G111),IF(H111="","","• "&amp;H111),IF(I111="","","• "&amp;I111),IF(J111="","","• "&amp;J111))</f>
        <v/>
      </c>
      <c r="L111" s="4" t="n"/>
      <c r="M111" s="19" t="n"/>
      <c r="N111" s="19" t="n"/>
      <c r="O111" s="30">
        <f>IF(OR(M111="",N111=""),"",INDEX(RiskGrid,6-VALUE(LEFT(M111,1)),VALUE(LEFT(N111,1))))</f>
        <v/>
      </c>
      <c r="P111" s="30">
        <f>IF(O111="","",IF(O111&gt;=BandVH,"Very High",IF(O111&gt;=BandHigh,"High",IF(O111&gt;=BandMed,"Medium","Low"))))</f>
        <v/>
      </c>
      <c r="Q111" s="4" t="n"/>
      <c r="R111" s="19" t="n"/>
      <c r="S111" s="4" t="n"/>
      <c r="T111" s="19" t="n"/>
      <c r="U111" s="4" t="n"/>
      <c r="V111" s="19" t="n"/>
      <c r="W111" s="4" t="n"/>
      <c r="X111" s="19" t="n"/>
      <c r="Y111" s="4" t="n"/>
      <c r="Z111" s="19" t="n"/>
      <c r="AA111" s="4" t="n"/>
      <c r="AB111" s="19" t="n"/>
      <c r="AC111" s="5">
        <f>_xlfn.TEXTJOIN(CHAR(10),TRUE,IF(Q111="","","• "&amp;Q111&amp;IF(R111="Yes","  [IPL]","")),IF(S111="","","• "&amp;S111&amp;IF(T111="Yes","  [IPL]","")),IF(U111="","","• "&amp;U111&amp;IF(V111="Yes","  [IPL]","")),IF(W111="","","• "&amp;W111&amp;IF(X111="Yes","  [IPL]","")),IF(Y111="","","• "&amp;Y111&amp;IF(Z111="Yes","  [IPL]","")),IF(AA111="","","• "&amp;AA111&amp;IF(AB111="Yes","  [IPL]","")))</f>
        <v/>
      </c>
      <c r="AD111" s="30">
        <f>IF(AC111="","",COUNTIF(Q111:AB111,"Yes"))</f>
        <v/>
      </c>
      <c r="AE111" s="19" t="n"/>
      <c r="AF111" s="19" t="n"/>
      <c r="AG111" s="30">
        <f>IF(OR(AE111="",AF111=""),"",INDEX(RiskGrid,6-VALUE(LEFT(AE111,1)),VALUE(LEFT(AF111,1))))</f>
        <v/>
      </c>
      <c r="AH111" s="30">
        <f>IF(AG111="","",IF(AG111&gt;=BandVH,"Very High",IF(AG111&gt;=BandHigh,"High",IF(AG111&gt;=BandMed,"Medium","Low"))))</f>
        <v/>
      </c>
      <c r="AI111" s="4" t="n"/>
      <c r="AJ111" s="4" t="n"/>
    </row>
    <row r="112">
      <c r="A112" s="30">
        <f>IF(B112="","",COUNTIF(B$14:B112,"?*"))</f>
        <v/>
      </c>
      <c r="B112" s="4" t="n"/>
      <c r="C112" s="19" t="n"/>
      <c r="D112" s="5">
        <f>IF(OR(B112="",C112=""),"",UPPER(LEFT(C112,1))&amp;LOWER(MID(C112,2,30))&amp;" "&amp;LOWER(LEFT(B112,1))&amp;MID(B112,2,200))</f>
        <v/>
      </c>
      <c r="E112" s="4" t="n"/>
      <c r="F112" s="4" t="n"/>
      <c r="G112" s="4" t="n"/>
      <c r="H112" s="4" t="n"/>
      <c r="I112" s="4" t="n"/>
      <c r="J112" s="4" t="n"/>
      <c r="K112" s="5">
        <f>_xlfn.TEXTJOIN(CHAR(10),TRUE,IF(E112="","","• "&amp;E112),IF(F112="","","• "&amp;F112),IF(G112="","","• "&amp;G112),IF(H112="","","• "&amp;H112),IF(I112="","","• "&amp;I112),IF(J112="","","• "&amp;J112))</f>
        <v/>
      </c>
      <c r="L112" s="4" t="n"/>
      <c r="M112" s="19" t="n"/>
      <c r="N112" s="19" t="n"/>
      <c r="O112" s="30">
        <f>IF(OR(M112="",N112=""),"",INDEX(RiskGrid,6-VALUE(LEFT(M112,1)),VALUE(LEFT(N112,1))))</f>
        <v/>
      </c>
      <c r="P112" s="30">
        <f>IF(O112="","",IF(O112&gt;=BandVH,"Very High",IF(O112&gt;=BandHigh,"High",IF(O112&gt;=BandMed,"Medium","Low"))))</f>
        <v/>
      </c>
      <c r="Q112" s="4" t="n"/>
      <c r="R112" s="19" t="n"/>
      <c r="S112" s="4" t="n"/>
      <c r="T112" s="19" t="n"/>
      <c r="U112" s="4" t="n"/>
      <c r="V112" s="19" t="n"/>
      <c r="W112" s="4" t="n"/>
      <c r="X112" s="19" t="n"/>
      <c r="Y112" s="4" t="n"/>
      <c r="Z112" s="19" t="n"/>
      <c r="AA112" s="4" t="n"/>
      <c r="AB112" s="19" t="n"/>
      <c r="AC112" s="5">
        <f>_xlfn.TEXTJOIN(CHAR(10),TRUE,IF(Q112="","","• "&amp;Q112&amp;IF(R112="Yes","  [IPL]","")),IF(S112="","","• "&amp;S112&amp;IF(T112="Yes","  [IPL]","")),IF(U112="","","• "&amp;U112&amp;IF(V112="Yes","  [IPL]","")),IF(W112="","","• "&amp;W112&amp;IF(X112="Yes","  [IPL]","")),IF(Y112="","","• "&amp;Y112&amp;IF(Z112="Yes","  [IPL]","")),IF(AA112="","","• "&amp;AA112&amp;IF(AB112="Yes","  [IPL]","")))</f>
        <v/>
      </c>
      <c r="AD112" s="30">
        <f>IF(AC112="","",COUNTIF(Q112:AB112,"Yes"))</f>
        <v/>
      </c>
      <c r="AE112" s="19" t="n"/>
      <c r="AF112" s="19" t="n"/>
      <c r="AG112" s="30">
        <f>IF(OR(AE112="",AF112=""),"",INDEX(RiskGrid,6-VALUE(LEFT(AE112,1)),VALUE(LEFT(AF112,1))))</f>
        <v/>
      </c>
      <c r="AH112" s="30">
        <f>IF(AG112="","",IF(AG112&gt;=BandVH,"Very High",IF(AG112&gt;=BandHigh,"High",IF(AG112&gt;=BandMed,"Medium","Low"))))</f>
        <v/>
      </c>
      <c r="AI112" s="4" t="n"/>
      <c r="AJ112" s="4" t="n"/>
    </row>
    <row r="113">
      <c r="A113" s="30">
        <f>IF(B113="","",COUNTIF(B$14:B113,"?*"))</f>
        <v/>
      </c>
      <c r="B113" s="4" t="n"/>
      <c r="C113" s="19" t="n"/>
      <c r="D113" s="5">
        <f>IF(OR(B113="",C113=""),"",UPPER(LEFT(C113,1))&amp;LOWER(MID(C113,2,30))&amp;" "&amp;LOWER(LEFT(B113,1))&amp;MID(B113,2,200))</f>
        <v/>
      </c>
      <c r="E113" s="4" t="n"/>
      <c r="F113" s="4" t="n"/>
      <c r="G113" s="4" t="n"/>
      <c r="H113" s="4" t="n"/>
      <c r="I113" s="4" t="n"/>
      <c r="J113" s="4" t="n"/>
      <c r="K113" s="5">
        <f>_xlfn.TEXTJOIN(CHAR(10),TRUE,IF(E113="","","• "&amp;E113),IF(F113="","","• "&amp;F113),IF(G113="","","• "&amp;G113),IF(H113="","","• "&amp;H113),IF(I113="","","• "&amp;I113),IF(J113="","","• "&amp;J113))</f>
        <v/>
      </c>
      <c r="L113" s="4" t="n"/>
      <c r="M113" s="19" t="n"/>
      <c r="N113" s="19" t="n"/>
      <c r="O113" s="30">
        <f>IF(OR(M113="",N113=""),"",INDEX(RiskGrid,6-VALUE(LEFT(M113,1)),VALUE(LEFT(N113,1))))</f>
        <v/>
      </c>
      <c r="P113" s="30">
        <f>IF(O113="","",IF(O113&gt;=BandVH,"Very High",IF(O113&gt;=BandHigh,"High",IF(O113&gt;=BandMed,"Medium","Low"))))</f>
        <v/>
      </c>
      <c r="Q113" s="4" t="n"/>
      <c r="R113" s="19" t="n"/>
      <c r="S113" s="4" t="n"/>
      <c r="T113" s="19" t="n"/>
      <c r="U113" s="4" t="n"/>
      <c r="V113" s="19" t="n"/>
      <c r="W113" s="4" t="n"/>
      <c r="X113" s="19" t="n"/>
      <c r="Y113" s="4" t="n"/>
      <c r="Z113" s="19" t="n"/>
      <c r="AA113" s="4" t="n"/>
      <c r="AB113" s="19" t="n"/>
      <c r="AC113" s="5">
        <f>_xlfn.TEXTJOIN(CHAR(10),TRUE,IF(Q113="","","• "&amp;Q113&amp;IF(R113="Yes","  [IPL]","")),IF(S113="","","• "&amp;S113&amp;IF(T113="Yes","  [IPL]","")),IF(U113="","","• "&amp;U113&amp;IF(V113="Yes","  [IPL]","")),IF(W113="","","• "&amp;W113&amp;IF(X113="Yes","  [IPL]","")),IF(Y113="","","• "&amp;Y113&amp;IF(Z113="Yes","  [IPL]","")),IF(AA113="","","• "&amp;AA113&amp;IF(AB113="Yes","  [IPL]","")))</f>
        <v/>
      </c>
      <c r="AD113" s="30">
        <f>IF(AC113="","",COUNTIF(Q113:AB113,"Yes"))</f>
        <v/>
      </c>
      <c r="AE113" s="19" t="n"/>
      <c r="AF113" s="19" t="n"/>
      <c r="AG113" s="30">
        <f>IF(OR(AE113="",AF113=""),"",INDEX(RiskGrid,6-VALUE(LEFT(AE113,1)),VALUE(LEFT(AF113,1))))</f>
        <v/>
      </c>
      <c r="AH113" s="30">
        <f>IF(AG113="","",IF(AG113&gt;=BandVH,"Very High",IF(AG113&gt;=BandHigh,"High",IF(AG113&gt;=BandMed,"Medium","Low"))))</f>
        <v/>
      </c>
      <c r="AI113" s="4" t="n"/>
      <c r="AJ113" s="4" t="n"/>
    </row>
  </sheetData>
  <mergeCells count="24">
    <mergeCell ref="A3:C3"/>
    <mergeCell ref="AC12:AD12"/>
    <mergeCell ref="D7:L7"/>
    <mergeCell ref="N3:O3"/>
    <mergeCell ref="A5:C5"/>
    <mergeCell ref="A8:C8"/>
    <mergeCell ref="D4:L4"/>
    <mergeCell ref="D3:L3"/>
    <mergeCell ref="D9:L9"/>
    <mergeCell ref="A4:C4"/>
    <mergeCell ref="D8:L8"/>
    <mergeCell ref="K12:L12"/>
    <mergeCell ref="D5:L5"/>
    <mergeCell ref="A9:C9"/>
    <mergeCell ref="AE12:AH12"/>
    <mergeCell ref="E12:J12"/>
    <mergeCell ref="Q12:AB12"/>
    <mergeCell ref="AI12:AJ12"/>
    <mergeCell ref="A11:L11"/>
    <mergeCell ref="A12:D12"/>
    <mergeCell ref="A6:C6"/>
    <mergeCell ref="M12:P12"/>
    <mergeCell ref="A7:C7"/>
    <mergeCell ref="D6:L6"/>
  </mergeCells>
  <conditionalFormatting sqref="O14:P113">
    <cfRule type="expression" priority="1" dxfId="0">
      <formula>$P14="Very High"</formula>
    </cfRule>
    <cfRule type="expression" priority="3" dxfId="1">
      <formula>$P14="High"</formula>
    </cfRule>
    <cfRule type="expression" priority="5" dxfId="2">
      <formula>$P14="Medium"</formula>
    </cfRule>
    <cfRule type="expression" priority="7" dxfId="3">
      <formula>$P14="Low"</formula>
    </cfRule>
  </conditionalFormatting>
  <conditionalFormatting sqref="AG14:AH113">
    <cfRule type="expression" priority="2" dxfId="0">
      <formula>$AH14="Very High"</formula>
    </cfRule>
    <cfRule type="expression" priority="4" dxfId="1">
      <formula>$AH14="High"</formula>
    </cfRule>
    <cfRule type="expression" priority="6" dxfId="2">
      <formula>$AH14="Medium"</formula>
    </cfRule>
    <cfRule type="expression" priority="8" dxfId="3">
      <formula>$AH14="Low"</formula>
    </cfRule>
  </conditionalFormatting>
  <dataValidations count="9">
    <dataValidation sqref="D3" showDropDown="0" showInputMessage="1" showErrorMessage="1" allowBlank="1" promptTitle="Select" prompt="Choose the node studied on this sheet" type="list">
      <formula1>=NodeList</formula1>
    </dataValidation>
    <dataValidation sqref="B14:B113" showDropDown="0" showInputMessage="1" showErrorMessage="1" allowBlank="1" promptTitle="Select" prompt="Parameter (from Lists)" type="list">
      <formula1>=ParamList</formula1>
    </dataValidation>
    <dataValidation sqref="C14:C113" showDropDown="0" showInputMessage="1" showErrorMessage="1" allowBlank="1" promptTitle="Select" prompt="Guidewords valid for this parameter" type="list">
      <formula1>=OFFSET(GWStart,MATCH($B14,GWParam,0)-1,0,COUNTIF(GWParam,$B14),1)</formula1>
    </dataValidation>
    <dataValidation sqref="E14:J113" showDropDown="0" showInputMessage="1" showErrorMessage="1" allowBlank="1" errorTitle="Not in list" error="Entry is not in the list – it will be accepted as free text." promptTitle="Select" prompt="Pick a cause for this deviation, or type your own." type="list" errorStyle="information">
      <formula1>=OFFSET(CauseStart,MATCH($B14&amp;"|"&amp;$C14,CauseKey,0)-1,0,MAX(1,COUNTIF(CauseKey,$B14&amp;"|"&amp;$C14)),1)</formula1>
    </dataValidation>
    <dataValidation sqref="M14:M113" showDropDown="0" showInputMessage="0" showErrorMessage="1" allowBlank="1" type="list">
      <formula1>=SevList</formula1>
    </dataValidation>
    <dataValidation sqref="N14:N113" showDropDown="0" showInputMessage="0" showErrorMessage="1" allowBlank="1" type="list">
      <formula1>=LikList</formula1>
    </dataValidation>
    <dataValidation sqref="AE14:AE113" showDropDown="0" showInputMessage="0" showErrorMessage="1" allowBlank="1" type="list">
      <formula1>=SevList</formula1>
    </dataValidation>
    <dataValidation sqref="AF14:AF113" showDropDown="0" showInputMessage="0" showErrorMessage="1" allowBlank="1" type="list">
      <formula1>=LikList</formula1>
    </dataValidation>
    <dataValidation sqref="R14:R113 T14:T113 V14:V113 X14:X113 Z14:Z113 AB14:AB113" showDropDown="0" showInputMessage="1" showErrorMessage="0" allowBlank="1" promptTitle="IPL?" prompt="Is this safeguard an Independent Protection Layer?" type="list">
      <formula1>=IPLList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M113"/>
  <sheetViews>
    <sheetView workbookViewId="0">
      <pane xSplit="4" ySplit="13" topLeftCell="E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4" customWidth="1" min="4" max="4"/>
    <col outlineLevel="1" width="26" customWidth="1" min="5" max="10"/>
    <col width="48" customWidth="1" min="11" max="11"/>
    <col width="42" customWidth="1" min="12" max="12"/>
    <col width="13" customWidth="1" min="13" max="13"/>
    <col width="13" customWidth="1" min="14" max="14"/>
    <col width="7" customWidth="1" min="15" max="15"/>
    <col width="10" customWidth="1" min="16" max="16"/>
    <col outlineLevel="1" width="28" customWidth="1" min="17" max="28"/>
    <col width="48" customWidth="1" min="29" max="29"/>
    <col width="7" customWidth="1" min="30" max="30"/>
    <col width="13" customWidth="1" min="31" max="31"/>
    <col width="13" customWidth="1" min="32" max="32"/>
    <col width="7" customWidth="1" min="33" max="33"/>
    <col width="10" customWidth="1" min="34" max="34"/>
    <col width="36" customWidth="1" min="35" max="35"/>
    <col width="14" customWidth="1" min="36" max="36"/>
  </cols>
  <sheetData>
    <row r="1">
      <c r="A1" s="24" t="inlineStr">
        <is>
          <t>HAZOP WORKSHEET</t>
        </is>
      </c>
      <c r="E1" s="25">
        <f>Cover!B7</f>
        <v/>
      </c>
    </row>
    <row r="3">
      <c r="A3" s="26" t="inlineStr">
        <is>
          <t>Select node ▸</t>
        </is>
      </c>
      <c r="B3" s="8" t="n"/>
      <c r="C3" s="9" t="n"/>
      <c r="D3" s="27" t="inlineStr">
        <is>
          <t>N04 – DRI plant gas supply – district station DS-2</t>
        </is>
      </c>
      <c r="E3" s="8" t="n"/>
      <c r="F3" s="8" t="n"/>
      <c r="G3" s="8" t="n"/>
      <c r="H3" s="8" t="n"/>
      <c r="I3" s="8" t="n"/>
      <c r="J3" s="8" t="n"/>
      <c r="K3" s="8" t="n"/>
      <c r="L3" s="9" t="n"/>
      <c r="M3" s="26" t="inlineStr">
        <is>
          <t>Session date</t>
        </is>
      </c>
      <c r="N3" s="13" t="n">
        <v>46308</v>
      </c>
      <c r="O3" s="9" t="n"/>
      <c r="P3" s="26" t="inlineStr">
        <is>
          <t>Revision</t>
        </is>
      </c>
      <c r="Q3" s="4" t="inlineStr">
        <is>
          <t>A</t>
        </is>
      </c>
    </row>
    <row r="4" ht="16" customHeight="1">
      <c r="A4" s="10" t="inlineStr">
        <is>
          <t>Node title</t>
        </is>
      </c>
      <c r="B4" s="8" t="n"/>
      <c r="C4" s="9" t="n"/>
      <c r="D4" s="6">
        <f>IF($D$3="","",IFERROR(INDEX(Nodes!$B$5:$B$34,MATCH($D$3,Nodes!$C$5:$C$34,0))&amp;"",""))</f>
        <v/>
      </c>
      <c r="E4" s="8" t="n"/>
      <c r="F4" s="8" t="n"/>
      <c r="G4" s="8" t="n"/>
      <c r="H4" s="8" t="n"/>
      <c r="I4" s="8" t="n"/>
      <c r="J4" s="8" t="n"/>
      <c r="K4" s="8" t="n"/>
      <c r="L4" s="9" t="n"/>
    </row>
    <row r="5" ht="16" customHeight="1">
      <c r="A5" s="10" t="inlineStr">
        <is>
          <t>P&amp;IDs / drawings</t>
        </is>
      </c>
      <c r="B5" s="8" t="n"/>
      <c r="C5" s="9" t="n"/>
      <c r="D5" s="6">
        <f>IF($D$3="","",IFERROR(INDEX(Nodes!$D$5:$D$34,MATCH($D$3,Nodes!$C$5:$C$34,0))&amp;"",""))</f>
        <v/>
      </c>
      <c r="E5" s="8" t="n"/>
      <c r="F5" s="8" t="n"/>
      <c r="G5" s="8" t="n"/>
      <c r="H5" s="8" t="n"/>
      <c r="I5" s="8" t="n"/>
      <c r="J5" s="8" t="n"/>
      <c r="K5" s="8" t="n"/>
      <c r="L5" s="9" t="n"/>
    </row>
    <row r="6" ht="30" customHeight="1">
      <c r="A6" s="10" t="inlineStr">
        <is>
          <t>Battery limits</t>
        </is>
      </c>
      <c r="B6" s="8" t="n"/>
      <c r="C6" s="9" t="n"/>
      <c r="D6" s="6">
        <f>IF($D$3="","",IFERROR(INDEX(Nodes!$E$5:$E$34,MATCH($D$3,Nodes!$C$5:$C$34,0))&amp;"",""))</f>
        <v/>
      </c>
      <c r="E6" s="8" t="n"/>
      <c r="F6" s="8" t="n"/>
      <c r="G6" s="8" t="n"/>
      <c r="H6" s="8" t="n"/>
      <c r="I6" s="8" t="n"/>
      <c r="J6" s="8" t="n"/>
      <c r="K6" s="8" t="n"/>
      <c r="L6" s="9" t="n"/>
    </row>
    <row r="7" ht="30" customHeight="1">
      <c r="A7" s="10" t="inlineStr">
        <is>
          <t>Functional description / design intent</t>
        </is>
      </c>
      <c r="B7" s="8" t="n"/>
      <c r="C7" s="9" t="n"/>
      <c r="D7" s="6">
        <f>IF($D$3="","",IFERROR(INDEX(Nodes!$F$5:$F$34,MATCH($D$3,Nodes!$C$5:$C$34,0))&amp;"",""))</f>
        <v/>
      </c>
      <c r="E7" s="8" t="n"/>
      <c r="F7" s="8" t="n"/>
      <c r="G7" s="8" t="n"/>
      <c r="H7" s="8" t="n"/>
      <c r="I7" s="8" t="n"/>
      <c r="J7" s="8" t="n"/>
      <c r="K7" s="8" t="n"/>
      <c r="L7" s="9" t="n"/>
    </row>
    <row r="8" ht="16" customHeight="1">
      <c r="A8" s="10" t="inlineStr">
        <is>
          <t>Design parameters</t>
        </is>
      </c>
      <c r="B8" s="8" t="n"/>
      <c r="C8" s="9" t="n"/>
      <c r="D8" s="6">
        <f>IF($D$3="","",IFERROR(INDEX(Nodes!$G$5:$G$34,MATCH($D$3,Nodes!$C$5:$C$34,0))&amp;"",""))</f>
        <v/>
      </c>
      <c r="E8" s="8" t="n"/>
      <c r="F8" s="8" t="n"/>
      <c r="G8" s="8" t="n"/>
      <c r="H8" s="8" t="n"/>
      <c r="I8" s="8" t="n"/>
      <c r="J8" s="8" t="n"/>
      <c r="K8" s="8" t="n"/>
      <c r="L8" s="9" t="n"/>
    </row>
    <row r="9" ht="16" customHeight="1">
      <c r="A9" s="10" t="inlineStr">
        <is>
          <t>Operating parameters</t>
        </is>
      </c>
      <c r="B9" s="8" t="n"/>
      <c r="C9" s="9" t="n"/>
      <c r="D9" s="6">
        <f>IF($D$3="","",IFERROR(INDEX(Nodes!$H$5:$H$34,MATCH($D$3,Nodes!$C$5:$C$34,0))&amp;"",""))</f>
        <v/>
      </c>
      <c r="E9" s="8" t="n"/>
      <c r="F9" s="8" t="n"/>
      <c r="G9" s="8" t="n"/>
      <c r="H9" s="8" t="n"/>
      <c r="I9" s="8" t="n"/>
      <c r="J9" s="8" t="n"/>
      <c r="K9" s="8" t="n"/>
      <c r="L9" s="9" t="n"/>
    </row>
    <row r="11">
      <c r="A11" s="2" t="inlineStr">
        <is>
          <t>ONE ROW PER DEVIATION. Choose Parameter + Guideword, then pick up to 6 causes in Cause 1–6 (or type your own) – they are listed line by line in 'Potential causes'. Enter up to 6 safeguards, each marked IPL Yes/No – listed in 'Safeguards'. Use the [–] buttons above the columns to collapse the pick columns.</t>
        </is>
      </c>
    </row>
    <row r="12">
      <c r="A12" s="7" t="inlineStr">
        <is>
          <t>DEVIATION</t>
        </is>
      </c>
      <c r="B12" s="8" t="n"/>
      <c r="C12" s="8" t="n"/>
      <c r="D12" s="9" t="n"/>
      <c r="E12" s="7" t="inlineStr">
        <is>
          <t>CAUSE PICK-LIST</t>
        </is>
      </c>
      <c r="F12" s="8" t="n"/>
      <c r="G12" s="8" t="n"/>
      <c r="H12" s="8" t="n"/>
      <c r="I12" s="8" t="n"/>
      <c r="J12" s="9" t="n"/>
      <c r="K12" s="7" t="inlineStr">
        <is>
          <t>CAUSES &amp; CONSEQUENCES</t>
        </is>
      </c>
      <c r="L12" s="9" t="n"/>
      <c r="M12" s="7" t="inlineStr">
        <is>
          <t>RISK BEFORE SAFEGUARDS</t>
        </is>
      </c>
      <c r="N12" s="8" t="n"/>
      <c r="O12" s="8" t="n"/>
      <c r="P12" s="9" t="n"/>
      <c r="Q12" s="7" t="inlineStr">
        <is>
          <t>SAFEGUARD ENTRY (mark each IPL Yes / No)</t>
        </is>
      </c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9" t="n"/>
      <c r="AC12" s="7" t="inlineStr">
        <is>
          <t>SAFEGUARDS</t>
        </is>
      </c>
      <c r="AD12" s="9" t="n"/>
      <c r="AE12" s="7" t="inlineStr">
        <is>
          <t>RISK AFTER SAFEGUARDS</t>
        </is>
      </c>
      <c r="AF12" s="8" t="n"/>
      <c r="AG12" s="8" t="n"/>
      <c r="AH12" s="9" t="n"/>
      <c r="AI12" s="7" t="inlineStr">
        <is>
          <t>RECOMMENDATIONS</t>
        </is>
      </c>
      <c r="AJ12" s="9" t="n"/>
    </row>
    <row r="13" ht="30" customHeight="1">
      <c r="A13" s="7" t="inlineStr">
        <is>
          <t>Dev. No.</t>
        </is>
      </c>
      <c r="B13" s="7" t="inlineStr">
        <is>
          <t>Parameter</t>
        </is>
      </c>
      <c r="C13" s="7" t="inlineStr">
        <is>
          <t>Guideword</t>
        </is>
      </c>
      <c r="D13" s="7" t="inlineStr">
        <is>
          <t>Deviation</t>
        </is>
      </c>
      <c r="E13" s="29" t="inlineStr">
        <is>
          <t>Cause 1</t>
        </is>
      </c>
      <c r="F13" s="29" t="inlineStr">
        <is>
          <t>Cause 2</t>
        </is>
      </c>
      <c r="G13" s="29" t="inlineStr">
        <is>
          <t>Cause 3</t>
        </is>
      </c>
      <c r="H13" s="29" t="inlineStr">
        <is>
          <t>Cause 4</t>
        </is>
      </c>
      <c r="I13" s="29" t="inlineStr">
        <is>
          <t>Cause 5</t>
        </is>
      </c>
      <c r="J13" s="29" t="inlineStr">
        <is>
          <t>Cause 6</t>
        </is>
      </c>
      <c r="K13" s="7" t="inlineStr">
        <is>
          <t>Potential causes</t>
        </is>
      </c>
      <c r="L13" s="7" t="inlineStr">
        <is>
          <t>Consequences</t>
        </is>
      </c>
      <c r="M13" s="7" t="inlineStr">
        <is>
          <t>Severity (S)</t>
        </is>
      </c>
      <c r="N13" s="7" t="inlineStr">
        <is>
          <t>Likelihood (L)</t>
        </is>
      </c>
      <c r="O13" s="7" t="inlineStr">
        <is>
          <t>Risk score</t>
        </is>
      </c>
      <c r="P13" s="7" t="inlineStr">
        <is>
          <t>Risk rank</t>
        </is>
      </c>
      <c r="Q13" s="29" t="inlineStr">
        <is>
          <t>Safeguard 1</t>
        </is>
      </c>
      <c r="R13" s="29" t="inlineStr">
        <is>
          <t>IPL? 1</t>
        </is>
      </c>
      <c r="S13" s="29" t="inlineStr">
        <is>
          <t>Safeguard 2</t>
        </is>
      </c>
      <c r="T13" s="29" t="inlineStr">
        <is>
          <t>IPL? 2</t>
        </is>
      </c>
      <c r="U13" s="29" t="inlineStr">
        <is>
          <t>Safeguard 3</t>
        </is>
      </c>
      <c r="V13" s="29" t="inlineStr">
        <is>
          <t>IPL? 3</t>
        </is>
      </c>
      <c r="W13" s="29" t="inlineStr">
        <is>
          <t>Safeguard 4</t>
        </is>
      </c>
      <c r="X13" s="29" t="inlineStr">
        <is>
          <t>IPL? 4</t>
        </is>
      </c>
      <c r="Y13" s="29" t="inlineStr">
        <is>
          <t>Safeguard 5</t>
        </is>
      </c>
      <c r="Z13" s="29" t="inlineStr">
        <is>
          <t>IPL? 5</t>
        </is>
      </c>
      <c r="AA13" s="29" t="inlineStr">
        <is>
          <t>Safeguard 6</t>
        </is>
      </c>
      <c r="AB13" s="29" t="inlineStr">
        <is>
          <t>IPL? 6</t>
        </is>
      </c>
      <c r="AC13" s="7" t="inlineStr">
        <is>
          <t>Safeguards</t>
        </is>
      </c>
      <c r="AD13" s="7" t="inlineStr">
        <is>
          <t>No. of IPLs</t>
        </is>
      </c>
      <c r="AE13" s="7" t="inlineStr">
        <is>
          <t>Severity (S)</t>
        </is>
      </c>
      <c r="AF13" s="7" t="inlineStr">
        <is>
          <t>Likelihood (L)</t>
        </is>
      </c>
      <c r="AG13" s="7" t="inlineStr">
        <is>
          <t>Risk score</t>
        </is>
      </c>
      <c r="AH13" s="7" t="inlineStr">
        <is>
          <t>Risk rank</t>
        </is>
      </c>
      <c r="AI13" s="7" t="inlineStr">
        <is>
          <t>Recommendations / actions</t>
        </is>
      </c>
      <c r="AJ13" s="7" t="inlineStr">
        <is>
          <t>Action by</t>
        </is>
      </c>
    </row>
    <row r="14" ht="90" customHeight="1">
      <c r="A14" s="30">
        <f>IF(B14="","",COUNTIF(B$14:B14,"?*"))</f>
        <v/>
      </c>
      <c r="B14" s="4" t="inlineStr">
        <is>
          <t>Flow</t>
        </is>
      </c>
      <c r="C14" s="19" t="inlineStr">
        <is>
          <t>MORE</t>
        </is>
      </c>
      <c r="D14" s="5">
        <f>IF(OR(B14="",C14=""),"",UPPER(LEFT(C14,1))&amp;LOWER(MID(C14,2,30))&amp;" "&amp;LOWER(LEFT(B14,1))&amp;MID(B14,2,200))</f>
        <v/>
      </c>
      <c r="E14" s="4" t="inlineStr">
        <is>
          <t>[S] Excess fuel gas to reheat furnace, ladle pre-heater or stove burners</t>
        </is>
      </c>
      <c r="F14" s="4" t="inlineStr">
        <is>
          <t>FCV-2004 fails open</t>
        </is>
      </c>
      <c r="G14" s="4" t="n"/>
      <c r="H14" s="4" t="n"/>
      <c r="I14" s="4" t="n"/>
      <c r="J14" s="4" t="n"/>
      <c r="K14" s="5">
        <f>_xlfn.TEXTJOIN(CHAR(10),TRUE,IF(E14="","","• "&amp;E14),IF(F14="","","• "&amp;F14),IF(G14="","","• "&amp;G14),IF(H14="","","• "&amp;H14),IF(I14="","","• "&amp;I14),IF(J14="","","• "&amp;J14))</f>
        <v/>
      </c>
      <c r="L14" s="4" t="inlineStr">
        <is>
          <t>Reformer over-firing: tube overheating and rupture – reducing-gas fire in the reformer box; CO in the flue gas
[N04-01] FMECA S04 FCV-2004; reformer covered in detail by the DRI plant HAZOP.</t>
        </is>
      </c>
      <c r="M14" s="19" t="inlineStr">
        <is>
          <t>4 – Major</t>
        </is>
      </c>
      <c r="N14" s="19" t="inlineStr">
        <is>
          <t>3 – Possible</t>
        </is>
      </c>
      <c r="O14" s="30">
        <f>IF(OR(M14="",N14=""),"",INDEX(RiskGrid,6-VALUE(LEFT(M14,1)),VALUE(LEFT(N14,1))))</f>
        <v/>
      </c>
      <c r="P14" s="30">
        <f>IF(O14="","",IF(O14&gt;=BandVH,"Very High",IF(O14&gt;=BandHigh,"High",IF(O14&gt;=BandMed,"Medium","Low"))))</f>
        <v/>
      </c>
      <c r="Q14" s="4" t="inlineStr">
        <is>
          <t>Reformer burner management – high fuel flow and high tube-wall temperature trips</t>
        </is>
      </c>
      <c r="R14" s="19" t="inlineStr">
        <is>
          <t>Yes</t>
        </is>
      </c>
      <c r="S14" s="4" t="inlineStr">
        <is>
          <t>Cross-limited air / fuel ratio control</t>
        </is>
      </c>
      <c r="T14" s="19" t="inlineStr">
        <is>
          <t>No</t>
        </is>
      </c>
      <c r="U14" s="4" t="n"/>
      <c r="V14" s="19" t="n"/>
      <c r="W14" s="4" t="n"/>
      <c r="X14" s="19" t="n"/>
      <c r="Y14" s="4" t="n"/>
      <c r="Z14" s="19" t="n"/>
      <c r="AA14" s="4" t="n"/>
      <c r="AB14" s="19" t="n"/>
      <c r="AC14" s="5">
        <f>_xlfn.TEXTJOIN(CHAR(10),TRUE,IF(Q14="","","• "&amp;Q14&amp;IF(R14="Yes","  [IPL]","")),IF(S14="","","• "&amp;S14&amp;IF(T14="Yes","  [IPL]","")),IF(U14="","","• "&amp;U14&amp;IF(V14="Yes","  [IPL]","")),IF(W14="","","• "&amp;W14&amp;IF(X14="Yes","  [IPL]","")),IF(Y14="","","• "&amp;Y14&amp;IF(Z14="Yes","  [IPL]","")),IF(AA14="","","• "&amp;AA14&amp;IF(AB14="Yes","  [IPL]","")))</f>
        <v/>
      </c>
      <c r="AD14" s="30">
        <f>IF(AC14="","",COUNTIF(Q14:AB14,"Yes"))</f>
        <v/>
      </c>
      <c r="AE14" s="19" t="inlineStr">
        <is>
          <t>4 – Major</t>
        </is>
      </c>
      <c r="AF14" s="19" t="inlineStr">
        <is>
          <t>2 – Unlikely</t>
        </is>
      </c>
      <c r="AG14" s="30">
        <f>IF(OR(AE14="",AF14=""),"",INDEX(RiskGrid,6-VALUE(LEFT(AE14,1)),VALUE(LEFT(AF14,1))))</f>
        <v/>
      </c>
      <c r="AH14" s="30">
        <f>IF(AG14="","",IF(AG14&gt;=BandVH,"Very High",IF(AG14&gt;=BandHigh,"High",IF(AG14&gt;=BandMed,"Medium","Low"))))</f>
        <v/>
      </c>
      <c r="AI14" s="4" t="inlineStr"/>
      <c r="AJ14" s="4" t="inlineStr"/>
    </row>
    <row r="15" ht="90" customHeight="1">
      <c r="A15" s="30">
        <f>IF(B15="","",COUNTIF(B$14:B15,"?*"))</f>
        <v/>
      </c>
      <c r="B15" s="4" t="inlineStr">
        <is>
          <t>Flow</t>
        </is>
      </c>
      <c r="C15" s="19" t="inlineStr">
        <is>
          <t>NO</t>
        </is>
      </c>
      <c r="D15" s="5">
        <f>IF(OR(B15="",C15=""),"",UPPER(LEFT(C15,1))&amp;LOWER(MID(C15,2,30))&amp;" "&amp;LOWER(LEFT(B15,1))&amp;MID(B15,2,200))</f>
        <v/>
      </c>
      <c r="E15" s="4" t="inlineStr">
        <is>
          <t>Equipment failure – control valve fails closed, isolation valve, pump or compressor trip, vessel failure</t>
        </is>
      </c>
      <c r="F15" s="4" t="inlineStr">
        <is>
          <t>ESDV-2001 spurious closure</t>
        </is>
      </c>
      <c r="G15" s="4" t="n"/>
      <c r="H15" s="4" t="n"/>
      <c r="I15" s="4" t="n"/>
      <c r="J15" s="4" t="n"/>
      <c r="K15" s="5">
        <f>_xlfn.TEXTJOIN(CHAR(10),TRUE,IF(E15="","","• "&amp;E15),IF(F15="","","• "&amp;F15),IF(G15="","","• "&amp;G15),IF(H15="","","• "&amp;H15),IF(I15="","","• "&amp;I15),IF(J15="","","• "&amp;J15))</f>
        <v/>
      </c>
      <c r="L15" s="4" t="inlineStr">
        <is>
          <t>Reformer flame-out and DRI module trip; loss of reducing gas quality; production loss
[N04-02]</t>
        </is>
      </c>
      <c r="M15" s="19" t="inlineStr">
        <is>
          <t>3 – Moderate</t>
        </is>
      </c>
      <c r="N15" s="19" t="inlineStr">
        <is>
          <t>3 – Possible</t>
        </is>
      </c>
      <c r="O15" s="30">
        <f>IF(OR(M15="",N15=""),"",INDEX(RiskGrid,6-VALUE(LEFT(M15,1)),VALUE(LEFT(N15,1))))</f>
        <v/>
      </c>
      <c r="P15" s="30">
        <f>IF(O15="","",IF(O15&gt;=BandVH,"Very High",IF(O15&gt;=BandHigh,"High",IF(O15&gt;=BandMed,"Medium","Low"))))</f>
        <v/>
      </c>
      <c r="Q15" s="4" t="inlineStr">
        <is>
          <t>PSLL-2006 / PSLL-4005 – Low-low gas pressure trips in the user burner management systems (reformer, reheat furnace, preheaters)</t>
        </is>
      </c>
      <c r="R15" s="19" t="inlineStr">
        <is>
          <t>Yes</t>
        </is>
      </c>
      <c r="S15" s="4" t="n"/>
      <c r="T15" s="19" t="n"/>
      <c r="U15" s="4" t="n"/>
      <c r="V15" s="19" t="n"/>
      <c r="W15" s="4" t="n"/>
      <c r="X15" s="19" t="n"/>
      <c r="Y15" s="4" t="n"/>
      <c r="Z15" s="19" t="n"/>
      <c r="AA15" s="4" t="n"/>
      <c r="AB15" s="19" t="n"/>
      <c r="AC15" s="5">
        <f>_xlfn.TEXTJOIN(CHAR(10),TRUE,IF(Q15="","","• "&amp;Q15&amp;IF(R15="Yes","  [IPL]","")),IF(S15="","","• "&amp;S15&amp;IF(T15="Yes","  [IPL]","")),IF(U15="","","• "&amp;U15&amp;IF(V15="Yes","  [IPL]","")),IF(W15="","","• "&amp;W15&amp;IF(X15="Yes","  [IPL]","")),IF(Y15="","","• "&amp;Y15&amp;IF(Z15="Yes","  [IPL]","")),IF(AA15="","","• "&amp;AA15&amp;IF(AB15="Yes","  [IPL]","")))</f>
        <v/>
      </c>
      <c r="AD15" s="30">
        <f>IF(AC15="","",COUNTIF(Q15:AB15,"Yes"))</f>
        <v/>
      </c>
      <c r="AE15" s="19" t="inlineStr">
        <is>
          <t>3 – Moderate</t>
        </is>
      </c>
      <c r="AF15" s="19" t="inlineStr">
        <is>
          <t>2 – Unlikely</t>
        </is>
      </c>
      <c r="AG15" s="30">
        <f>IF(OR(AE15="",AF15=""),"",INDEX(RiskGrid,6-VALUE(LEFT(AE15,1)),VALUE(LEFT(AF15,1))))</f>
        <v/>
      </c>
      <c r="AH15" s="30">
        <f>IF(AG15="","",IF(AG15&gt;=BandVH,"Very High",IF(AG15&gt;=BandHigh,"High",IF(AG15&gt;=BandMed,"Medium","Low"))))</f>
        <v/>
      </c>
      <c r="AI15" s="4" t="inlineStr"/>
      <c r="AJ15" s="4" t="inlineStr"/>
    </row>
    <row r="16" ht="90" customHeight="1">
      <c r="A16" s="30">
        <f>IF(B16="","",COUNTIF(B$14:B16,"?*"))</f>
        <v/>
      </c>
      <c r="B16" s="4" t="inlineStr">
        <is>
          <t>Flow</t>
        </is>
      </c>
      <c r="C16" s="19" t="inlineStr">
        <is>
          <t>REVERSE</t>
        </is>
      </c>
      <c r="D16" s="5">
        <f>IF(OR(B16="",C16=""),"",UPPER(LEFT(C16,1))&amp;LOWER(MID(C16,2,30))&amp;" "&amp;LOWER(LEFT(B16,1))&amp;MID(B16,2,200))</f>
        <v/>
      </c>
      <c r="E16" s="4" t="inlineStr">
        <is>
          <t>Defective or passing non-return valve</t>
        </is>
      </c>
      <c r="F16" s="4" t="inlineStr">
        <is>
          <t>Two-way flow in common headers</t>
        </is>
      </c>
      <c r="G16" s="4" t="inlineStr">
        <is>
          <t>Low NG pressure at the make-up point (supply loss)</t>
        </is>
      </c>
      <c r="H16" s="4" t="n"/>
      <c r="I16" s="4" t="n"/>
      <c r="J16" s="4" t="n"/>
      <c r="K16" s="5">
        <f>_xlfn.TEXTJOIN(CHAR(10),TRUE,IF(E16="","","• "&amp;E16),IF(F16="","","• "&amp;F16),IF(G16="","","• "&amp;G16),IF(H16="","","• "&amp;H16),IF(I16="","","• "&amp;I16),IF(J16="","","• "&amp;J16))</f>
        <v/>
      </c>
      <c r="L16" s="4" t="inlineStr">
        <is>
          <t>H2 / CO-rich reducing gas flows back into the NG system – CO toxic exposure at other users' burners and vents, flame instability
[N04-03] FMECA S04 XV-2008 (hidden failure – passing in the closed position).</t>
        </is>
      </c>
      <c r="M16" s="19" t="inlineStr">
        <is>
          <t>5 – Catastrophic</t>
        </is>
      </c>
      <c r="N16" s="19" t="inlineStr">
        <is>
          <t>3 – Possible</t>
        </is>
      </c>
      <c r="O16" s="30">
        <f>IF(OR(M16="",N16=""),"",INDEX(RiskGrid,6-VALUE(LEFT(M16,1)),VALUE(LEFT(N16,1))))</f>
        <v/>
      </c>
      <c r="P16" s="30">
        <f>IF(O16="","",IF(O16&gt;=BandVH,"Very High",IF(O16&gt;=BandHigh,"High",IF(O16&gt;=BandMed,"Medium","Low"))))</f>
        <v/>
      </c>
      <c r="Q16" s="4" t="inlineStr">
        <is>
          <t>XV-2008 – Double non-return valves + XV-2008 closes on low NG / process-gas differential pressure PDALL-2009</t>
        </is>
      </c>
      <c r="R16" s="19" t="inlineStr">
        <is>
          <t>Yes</t>
        </is>
      </c>
      <c r="S16" s="4" t="n"/>
      <c r="T16" s="19" t="n"/>
      <c r="U16" s="4" t="n"/>
      <c r="V16" s="19" t="n"/>
      <c r="W16" s="4" t="n"/>
      <c r="X16" s="19" t="n"/>
      <c r="Y16" s="4" t="n"/>
      <c r="Z16" s="19" t="n"/>
      <c r="AA16" s="4" t="n"/>
      <c r="AB16" s="19" t="n"/>
      <c r="AC16" s="5">
        <f>_xlfn.TEXTJOIN(CHAR(10),TRUE,IF(Q16="","","• "&amp;Q16&amp;IF(R16="Yes","  [IPL]","")),IF(S16="","","• "&amp;S16&amp;IF(T16="Yes","  [IPL]","")),IF(U16="","","• "&amp;U16&amp;IF(V16="Yes","  [IPL]","")),IF(W16="","","• "&amp;W16&amp;IF(X16="Yes","  [IPL]","")),IF(Y16="","","• "&amp;Y16&amp;IF(Z16="Yes","  [IPL]","")),IF(AA16="","","• "&amp;AA16&amp;IF(AB16="Yes","  [IPL]","")))</f>
        <v/>
      </c>
      <c r="AD16" s="30">
        <f>IF(AC16="","",COUNTIF(Q16:AB16,"Yes"))</f>
        <v/>
      </c>
      <c r="AE16" s="19" t="inlineStr">
        <is>
          <t>5 – Catastrophic</t>
        </is>
      </c>
      <c r="AF16" s="19" t="inlineStr">
        <is>
          <t>2 – Unlikely</t>
        </is>
      </c>
      <c r="AG16" s="30">
        <f>IF(OR(AE16="",AF16=""),"",INDEX(RiskGrid,6-VALUE(LEFT(AE16,1)),VALUE(LEFT(AF16,1))))</f>
        <v/>
      </c>
      <c r="AH16" s="30">
        <f>IF(AG16="","",IF(AG16&gt;=BandVH,"Very High",IF(AG16&gt;=BandHigh,"High",IF(AG16&gt;=BandMed,"Medium","Low"))))</f>
        <v/>
      </c>
      <c r="AI16" s="4" t="inlineStr">
        <is>
          <t>R-018 Provide reverse-flow protection at the DRI process-gas NG make-up point: double check valves plus a PDALL-2009 trip closing XV-2008; annual reverse-flow leak test.</t>
        </is>
      </c>
      <c r="AJ16" s="4" t="inlineStr">
        <is>
          <t>DRI process engineer</t>
        </is>
      </c>
    </row>
    <row r="17" ht="90" customHeight="1">
      <c r="A17" s="30">
        <f>IF(B17="","",COUNTIF(B$14:B17,"?*"))</f>
        <v/>
      </c>
      <c r="B17" s="4" t="inlineStr">
        <is>
          <t>Composition</t>
        </is>
      </c>
      <c r="C17" s="19" t="inlineStr">
        <is>
          <t>AS WELL AS</t>
        </is>
      </c>
      <c r="D17" s="5">
        <f>IF(OR(B17="",C17=""),"",UPPER(LEFT(C17,1))&amp;LOWER(MID(C17,2,30))&amp;" "&amp;LOWER(LEFT(B17,1))&amp;MID(B17,2,200))</f>
        <v/>
      </c>
      <c r="E17" s="4" t="inlineStr">
        <is>
          <t>[S] Hydrogen, CO or H2S in process gas above design values</t>
        </is>
      </c>
      <c r="F17" s="4" t="inlineStr">
        <is>
          <t>Black powder carry-over from the GRMS</t>
        </is>
      </c>
      <c r="G17" s="4" t="n"/>
      <c r="H17" s="4" t="n"/>
      <c r="I17" s="4" t="n"/>
      <c r="J17" s="4" t="n"/>
      <c r="K17" s="5">
        <f>_xlfn.TEXTJOIN(CHAR(10),TRUE,IF(E17="","","• "&amp;E17),IF(F17="","","• "&amp;F17),IF(G17="","","• "&amp;G17),IF(H17="","","• "&amp;H17),IF(I17="","","• "&amp;I17),IF(J17="","","• "&amp;J17))</f>
        <v/>
      </c>
      <c r="L17" s="4" t="inlineStr">
        <is>
          <t>Reformer catalyst poisoning; fouling of burner nozzles
[N04-04] See N01-04.</t>
        </is>
      </c>
      <c r="M17" s="19" t="inlineStr">
        <is>
          <t>3 – Moderate</t>
        </is>
      </c>
      <c r="N17" s="19" t="inlineStr">
        <is>
          <t>3 – Possible</t>
        </is>
      </c>
      <c r="O17" s="30">
        <f>IF(OR(M17="",N17=""),"",INDEX(RiskGrid,6-VALUE(LEFT(M17,1)),VALUE(LEFT(N17,1))))</f>
        <v/>
      </c>
      <c r="P17" s="30">
        <f>IF(O17="","",IF(O17&gt;=BandVH,"Very High",IF(O17&gt;=BandHigh,"High",IF(O17&gt;=BandMed,"Medium","Low"))))</f>
        <v/>
      </c>
      <c r="Q17" s="4" t="inlineStr">
        <is>
          <t>AT-1004 – Gas chromatograph – composition, Wobbe index and H2S monitoring with alarm</t>
        </is>
      </c>
      <c r="R17" s="19" t="inlineStr">
        <is>
          <t>No</t>
        </is>
      </c>
      <c r="S17" s="4" t="inlineStr">
        <is>
          <t>F-1002A/B – Duty / standby filter-separators with LSH-1002 high-liquid alarm and PDIT-1002 differential-pressure alarm</t>
        </is>
      </c>
      <c r="T17" s="19" t="inlineStr">
        <is>
          <t>No</t>
        </is>
      </c>
      <c r="U17" s="4" t="n"/>
      <c r="V17" s="19" t="n"/>
      <c r="W17" s="4" t="n"/>
      <c r="X17" s="19" t="n"/>
      <c r="Y17" s="4" t="n"/>
      <c r="Z17" s="19" t="n"/>
      <c r="AA17" s="4" t="n"/>
      <c r="AB17" s="19" t="n"/>
      <c r="AC17" s="5">
        <f>_xlfn.TEXTJOIN(CHAR(10),TRUE,IF(Q17="","","• "&amp;Q17&amp;IF(R17="Yes","  [IPL]","")),IF(S17="","","• "&amp;S17&amp;IF(T17="Yes","  [IPL]","")),IF(U17="","","• "&amp;U17&amp;IF(V17="Yes","  [IPL]","")),IF(W17="","","• "&amp;W17&amp;IF(X17="Yes","  [IPL]","")),IF(Y17="","","• "&amp;Y17&amp;IF(Z17="Yes","  [IPL]","")),IF(AA17="","","• "&amp;AA17&amp;IF(AB17="Yes","  [IPL]","")))</f>
        <v/>
      </c>
      <c r="AD17" s="30">
        <f>IF(AC17="","",COUNTIF(Q17:AB17,"Yes"))</f>
        <v/>
      </c>
      <c r="AE17" s="19" t="inlineStr">
        <is>
          <t>3 – Moderate</t>
        </is>
      </c>
      <c r="AF17" s="19" t="inlineStr">
        <is>
          <t>2 – Unlikely</t>
        </is>
      </c>
      <c r="AG17" s="30">
        <f>IF(OR(AE17="",AF17=""),"",INDEX(RiskGrid,6-VALUE(LEFT(AE17,1)),VALUE(LEFT(AF17,1))))</f>
        <v/>
      </c>
      <c r="AH17" s="30">
        <f>IF(AG17="","",IF(AG17&gt;=BandVH,"Very High",IF(AG17&gt;=BandHigh,"High",IF(AG17&gt;=BandMed,"Medium","Low"))))</f>
        <v/>
      </c>
      <c r="AI17" s="4" t="inlineStr"/>
      <c r="AJ17" s="4" t="inlineStr"/>
    </row>
    <row r="18" ht="90" customHeight="1">
      <c r="A18" s="30">
        <f>IF(B18="","",COUNTIF(B$14:B18,"?*"))</f>
        <v/>
      </c>
      <c r="B18" s="4" t="inlineStr">
        <is>
          <t>Pressure</t>
        </is>
      </c>
      <c r="C18" s="19" t="inlineStr">
        <is>
          <t>MORE</t>
        </is>
      </c>
      <c r="D18" s="5">
        <f>IF(OR(B18="",C18=""),"",UPPER(LEFT(C18,1))&amp;LOWER(MID(C18,2,30))&amp;" "&amp;LOWER(LEFT(B18,1))&amp;MID(B18,2,200))</f>
        <v/>
      </c>
      <c r="E18" s="4" t="inlineStr">
        <is>
          <t>Failed-open pressure control valves (PCVs)</t>
        </is>
      </c>
      <c r="F18" s="4" t="n"/>
      <c r="G18" s="4" t="n"/>
      <c r="H18" s="4" t="n"/>
      <c r="I18" s="4" t="n"/>
      <c r="J18" s="4" t="n"/>
      <c r="K18" s="5">
        <f>_xlfn.TEXTJOIN(CHAR(10),TRUE,IF(E18="","","• "&amp;E18),IF(F18="","","• "&amp;F18),IF(G18="","","• "&amp;G18),IF(H18="","","• "&amp;H18),IF(I18="","","• "&amp;I18),IF(J18="","","• "&amp;J18))</f>
        <v/>
      </c>
      <c r="L18" s="4" t="inlineStr">
        <is>
          <t>Downstream piping exposed to full MP pressure (7 barg) – within its 10 barg design; burner pressure high, trip on high pressure
[N04-05] Inherently safe – downstream designed for MP pressure.</t>
        </is>
      </c>
      <c r="M18" s="19" t="inlineStr">
        <is>
          <t>2 – Minor</t>
        </is>
      </c>
      <c r="N18" s="19" t="inlineStr">
        <is>
          <t>3 – Possible</t>
        </is>
      </c>
      <c r="O18" s="30">
        <f>IF(OR(M18="",N18=""),"",INDEX(RiskGrid,6-VALUE(LEFT(M18,1)),VALUE(LEFT(N18,1))))</f>
        <v/>
      </c>
      <c r="P18" s="30">
        <f>IF(O18="","",IF(O18&gt;=BandVH,"Very High",IF(O18&gt;=BandHigh,"High",IF(O18&gt;=BandMed,"Medium","Low"))))</f>
        <v/>
      </c>
      <c r="Q18" s="4" t="inlineStr">
        <is>
          <t>District-station downstream piping designed for full MP header pressure (10 barg)</t>
        </is>
      </c>
      <c r="R18" s="19" t="inlineStr">
        <is>
          <t>Yes</t>
        </is>
      </c>
      <c r="S18" s="4" t="inlineStr">
        <is>
          <t>Reformer burner management – high fuel flow and high tube-wall temperature trips</t>
        </is>
      </c>
      <c r="T18" s="19" t="inlineStr">
        <is>
          <t>No</t>
        </is>
      </c>
      <c r="U18" s="4" t="n"/>
      <c r="V18" s="19" t="n"/>
      <c r="W18" s="4" t="n"/>
      <c r="X18" s="19" t="n"/>
      <c r="Y18" s="4" t="n"/>
      <c r="Z18" s="19" t="n"/>
      <c r="AA18" s="4" t="n"/>
      <c r="AB18" s="19" t="n"/>
      <c r="AC18" s="5">
        <f>_xlfn.TEXTJOIN(CHAR(10),TRUE,IF(Q18="","","• "&amp;Q18&amp;IF(R18="Yes","  [IPL]","")),IF(S18="","","• "&amp;S18&amp;IF(T18="Yes","  [IPL]","")),IF(U18="","","• "&amp;U18&amp;IF(V18="Yes","  [IPL]","")),IF(W18="","","• "&amp;W18&amp;IF(X18="Yes","  [IPL]","")),IF(Y18="","","• "&amp;Y18&amp;IF(Z18="Yes","  [IPL]","")),IF(AA18="","","• "&amp;AA18&amp;IF(AB18="Yes","  [IPL]","")))</f>
        <v/>
      </c>
      <c r="AD18" s="30">
        <f>IF(AC18="","",COUNTIF(Q18:AB18,"Yes"))</f>
        <v/>
      </c>
      <c r="AE18" s="19" t="inlineStr">
        <is>
          <t>2 – Minor</t>
        </is>
      </c>
      <c r="AF18" s="19" t="inlineStr">
        <is>
          <t>2 – Unlikely</t>
        </is>
      </c>
      <c r="AG18" s="30">
        <f>IF(OR(AE18="",AF18=""),"",INDEX(RiskGrid,6-VALUE(LEFT(AE18,1)),VALUE(LEFT(AF18,1))))</f>
        <v/>
      </c>
      <c r="AH18" s="30">
        <f>IF(AG18="","",IF(AG18&gt;=BandVH,"Very High",IF(AG18&gt;=BandHigh,"High",IF(AG18&gt;=BandMed,"Medium","Low"))))</f>
        <v/>
      </c>
      <c r="AI18" s="4" t="inlineStr"/>
      <c r="AJ18" s="4" t="inlineStr"/>
    </row>
    <row r="19">
      <c r="A19" s="30">
        <f>IF(B19="","",COUNTIF(B$14:B19,"?*"))</f>
        <v/>
      </c>
      <c r="B19" s="4" t="n"/>
      <c r="C19" s="19" t="n"/>
      <c r="D19" s="5">
        <f>IF(OR(B19="",C19=""),"",UPPER(LEFT(C19,1))&amp;LOWER(MID(C19,2,30))&amp;" "&amp;LOWER(LEFT(B19,1))&amp;MID(B19,2,200))</f>
        <v/>
      </c>
      <c r="E19" s="4" t="n"/>
      <c r="F19" s="4" t="n"/>
      <c r="G19" s="4" t="n"/>
      <c r="H19" s="4" t="n"/>
      <c r="I19" s="4" t="n"/>
      <c r="J19" s="4" t="n"/>
      <c r="K19" s="5">
        <f>_xlfn.TEXTJOIN(CHAR(10),TRUE,IF(E19="","","• "&amp;E19),IF(F19="","","• "&amp;F19),IF(G19="","","• "&amp;G19),IF(H19="","","• "&amp;H19),IF(I19="","","• "&amp;I19),IF(J19="","","• "&amp;J19))</f>
        <v/>
      </c>
      <c r="L19" s="4" t="n"/>
      <c r="M19" s="19" t="n"/>
      <c r="N19" s="19" t="n"/>
      <c r="O19" s="30">
        <f>IF(OR(M19="",N19=""),"",INDEX(RiskGrid,6-VALUE(LEFT(M19,1)),VALUE(LEFT(N19,1))))</f>
        <v/>
      </c>
      <c r="P19" s="30">
        <f>IF(O19="","",IF(O19&gt;=BandVH,"Very High",IF(O19&gt;=BandHigh,"High",IF(O19&gt;=BandMed,"Medium","Low"))))</f>
        <v/>
      </c>
      <c r="Q19" s="4" t="n"/>
      <c r="R19" s="19" t="n"/>
      <c r="S19" s="4" t="n"/>
      <c r="T19" s="19" t="n"/>
      <c r="U19" s="4" t="n"/>
      <c r="V19" s="19" t="n"/>
      <c r="W19" s="4" t="n"/>
      <c r="X19" s="19" t="n"/>
      <c r="Y19" s="4" t="n"/>
      <c r="Z19" s="19" t="n"/>
      <c r="AA19" s="4" t="n"/>
      <c r="AB19" s="19" t="n"/>
      <c r="AC19" s="5">
        <f>_xlfn.TEXTJOIN(CHAR(10),TRUE,IF(Q19="","","• "&amp;Q19&amp;IF(R19="Yes","  [IPL]","")),IF(S19="","","• "&amp;S19&amp;IF(T19="Yes","  [IPL]","")),IF(U19="","","• "&amp;U19&amp;IF(V19="Yes","  [IPL]","")),IF(W19="","","• "&amp;W19&amp;IF(X19="Yes","  [IPL]","")),IF(Y19="","","• "&amp;Y19&amp;IF(Z19="Yes","  [IPL]","")),IF(AA19="","","• "&amp;AA19&amp;IF(AB19="Yes","  [IPL]","")))</f>
        <v/>
      </c>
      <c r="AD19" s="30">
        <f>IF(AC19="","",COUNTIF(Q19:AB19,"Yes"))</f>
        <v/>
      </c>
      <c r="AE19" s="19" t="n"/>
      <c r="AF19" s="19" t="n"/>
      <c r="AG19" s="30">
        <f>IF(OR(AE19="",AF19=""),"",INDEX(RiskGrid,6-VALUE(LEFT(AE19,1)),VALUE(LEFT(AF19,1))))</f>
        <v/>
      </c>
      <c r="AH19" s="30">
        <f>IF(AG19="","",IF(AG19&gt;=BandVH,"Very High",IF(AG19&gt;=BandHigh,"High",IF(AG19&gt;=BandMed,"Medium","Low"))))</f>
        <v/>
      </c>
      <c r="AI19" s="4" t="n"/>
      <c r="AJ19" s="4" t="n"/>
    </row>
    <row r="20">
      <c r="A20" s="30">
        <f>IF(B20="","",COUNTIF(B$14:B20,"?*"))</f>
        <v/>
      </c>
      <c r="B20" s="4" t="n"/>
      <c r="C20" s="19" t="n"/>
      <c r="D20" s="5">
        <f>IF(OR(B20="",C20=""),"",UPPER(LEFT(C20,1))&amp;LOWER(MID(C20,2,30))&amp;" "&amp;LOWER(LEFT(B20,1))&amp;MID(B20,2,200))</f>
        <v/>
      </c>
      <c r="E20" s="4" t="n"/>
      <c r="F20" s="4" t="n"/>
      <c r="G20" s="4" t="n"/>
      <c r="H20" s="4" t="n"/>
      <c r="I20" s="4" t="n"/>
      <c r="J20" s="4" t="n"/>
      <c r="K20" s="5">
        <f>_xlfn.TEXTJOIN(CHAR(10),TRUE,IF(E20="","","• "&amp;E20),IF(F20="","","• "&amp;F20),IF(G20="","","• "&amp;G20),IF(H20="","","• "&amp;H20),IF(I20="","","• "&amp;I20),IF(J20="","","• "&amp;J20))</f>
        <v/>
      </c>
      <c r="L20" s="4" t="n"/>
      <c r="M20" s="19" t="n"/>
      <c r="N20" s="19" t="n"/>
      <c r="O20" s="30">
        <f>IF(OR(M20="",N20=""),"",INDEX(RiskGrid,6-VALUE(LEFT(M20,1)),VALUE(LEFT(N20,1))))</f>
        <v/>
      </c>
      <c r="P20" s="30">
        <f>IF(O20="","",IF(O20&gt;=BandVH,"Very High",IF(O20&gt;=BandHigh,"High",IF(O20&gt;=BandMed,"Medium","Low"))))</f>
        <v/>
      </c>
      <c r="Q20" s="4" t="n"/>
      <c r="R20" s="19" t="n"/>
      <c r="S20" s="4" t="n"/>
      <c r="T20" s="19" t="n"/>
      <c r="U20" s="4" t="n"/>
      <c r="V20" s="19" t="n"/>
      <c r="W20" s="4" t="n"/>
      <c r="X20" s="19" t="n"/>
      <c r="Y20" s="4" t="n"/>
      <c r="Z20" s="19" t="n"/>
      <c r="AA20" s="4" t="n"/>
      <c r="AB20" s="19" t="n"/>
      <c r="AC20" s="5">
        <f>_xlfn.TEXTJOIN(CHAR(10),TRUE,IF(Q20="","","• "&amp;Q20&amp;IF(R20="Yes","  [IPL]","")),IF(S20="","","• "&amp;S20&amp;IF(T20="Yes","  [IPL]","")),IF(U20="","","• "&amp;U20&amp;IF(V20="Yes","  [IPL]","")),IF(W20="","","• "&amp;W20&amp;IF(X20="Yes","  [IPL]","")),IF(Y20="","","• "&amp;Y20&amp;IF(Z20="Yes","  [IPL]","")),IF(AA20="","","• "&amp;AA20&amp;IF(AB20="Yes","  [IPL]","")))</f>
        <v/>
      </c>
      <c r="AD20" s="30">
        <f>IF(AC20="","",COUNTIF(Q20:AB20,"Yes"))</f>
        <v/>
      </c>
      <c r="AE20" s="19" t="n"/>
      <c r="AF20" s="19" t="n"/>
      <c r="AG20" s="30">
        <f>IF(OR(AE20="",AF20=""),"",INDEX(RiskGrid,6-VALUE(LEFT(AE20,1)),VALUE(LEFT(AF20,1))))</f>
        <v/>
      </c>
      <c r="AH20" s="30">
        <f>IF(AG20="","",IF(AG20&gt;=BandVH,"Very High",IF(AG20&gt;=BandHigh,"High",IF(AG20&gt;=BandMed,"Medium","Low"))))</f>
        <v/>
      </c>
      <c r="AI20" s="4" t="n"/>
      <c r="AJ20" s="4" t="n"/>
    </row>
    <row r="21">
      <c r="A21" s="30">
        <f>IF(B21="","",COUNTIF(B$14:B21,"?*"))</f>
        <v/>
      </c>
      <c r="B21" s="4" t="n"/>
      <c r="C21" s="19" t="n"/>
      <c r="D21" s="5">
        <f>IF(OR(B21="",C21=""),"",UPPER(LEFT(C21,1))&amp;LOWER(MID(C21,2,30))&amp;" "&amp;LOWER(LEFT(B21,1))&amp;MID(B21,2,200))</f>
        <v/>
      </c>
      <c r="E21" s="4" t="n"/>
      <c r="F21" s="4" t="n"/>
      <c r="G21" s="4" t="n"/>
      <c r="H21" s="4" t="n"/>
      <c r="I21" s="4" t="n"/>
      <c r="J21" s="4" t="n"/>
      <c r="K21" s="5">
        <f>_xlfn.TEXTJOIN(CHAR(10),TRUE,IF(E21="","","• "&amp;E21),IF(F21="","","• "&amp;F21),IF(G21="","","• "&amp;G21),IF(H21="","","• "&amp;H21),IF(I21="","","• "&amp;I21),IF(J21="","","• "&amp;J21))</f>
        <v/>
      </c>
      <c r="L21" s="4" t="n"/>
      <c r="M21" s="19" t="n"/>
      <c r="N21" s="19" t="n"/>
      <c r="O21" s="30">
        <f>IF(OR(M21="",N21=""),"",INDEX(RiskGrid,6-VALUE(LEFT(M21,1)),VALUE(LEFT(N21,1))))</f>
        <v/>
      </c>
      <c r="P21" s="30">
        <f>IF(O21="","",IF(O21&gt;=BandVH,"Very High",IF(O21&gt;=BandHigh,"High",IF(O21&gt;=BandMed,"Medium","Low"))))</f>
        <v/>
      </c>
      <c r="Q21" s="4" t="n"/>
      <c r="R21" s="19" t="n"/>
      <c r="S21" s="4" t="n"/>
      <c r="T21" s="19" t="n"/>
      <c r="U21" s="4" t="n"/>
      <c r="V21" s="19" t="n"/>
      <c r="W21" s="4" t="n"/>
      <c r="X21" s="19" t="n"/>
      <c r="Y21" s="4" t="n"/>
      <c r="Z21" s="19" t="n"/>
      <c r="AA21" s="4" t="n"/>
      <c r="AB21" s="19" t="n"/>
      <c r="AC21" s="5">
        <f>_xlfn.TEXTJOIN(CHAR(10),TRUE,IF(Q21="","","• "&amp;Q21&amp;IF(R21="Yes","  [IPL]","")),IF(S21="","","• "&amp;S21&amp;IF(T21="Yes","  [IPL]","")),IF(U21="","","• "&amp;U21&amp;IF(V21="Yes","  [IPL]","")),IF(W21="","","• "&amp;W21&amp;IF(X21="Yes","  [IPL]","")),IF(Y21="","","• "&amp;Y21&amp;IF(Z21="Yes","  [IPL]","")),IF(AA21="","","• "&amp;AA21&amp;IF(AB21="Yes","  [IPL]","")))</f>
        <v/>
      </c>
      <c r="AD21" s="30">
        <f>IF(AC21="","",COUNTIF(Q21:AB21,"Yes"))</f>
        <v/>
      </c>
      <c r="AE21" s="19" t="n"/>
      <c r="AF21" s="19" t="n"/>
      <c r="AG21" s="30">
        <f>IF(OR(AE21="",AF21=""),"",INDEX(RiskGrid,6-VALUE(LEFT(AE21,1)),VALUE(LEFT(AF21,1))))</f>
        <v/>
      </c>
      <c r="AH21" s="30">
        <f>IF(AG21="","",IF(AG21&gt;=BandVH,"Very High",IF(AG21&gt;=BandHigh,"High",IF(AG21&gt;=BandMed,"Medium","Low"))))</f>
        <v/>
      </c>
      <c r="AI21" s="4" t="n"/>
      <c r="AJ21" s="4" t="n"/>
    </row>
    <row r="22">
      <c r="A22" s="30">
        <f>IF(B22="","",COUNTIF(B$14:B22,"?*"))</f>
        <v/>
      </c>
      <c r="B22" s="4" t="n"/>
      <c r="C22" s="19" t="n"/>
      <c r="D22" s="5">
        <f>IF(OR(B22="",C22=""),"",UPPER(LEFT(C22,1))&amp;LOWER(MID(C22,2,30))&amp;" "&amp;LOWER(LEFT(B22,1))&amp;MID(B22,2,200))</f>
        <v/>
      </c>
      <c r="E22" s="4" t="n"/>
      <c r="F22" s="4" t="n"/>
      <c r="G22" s="4" t="n"/>
      <c r="H22" s="4" t="n"/>
      <c r="I22" s="4" t="n"/>
      <c r="J22" s="4" t="n"/>
      <c r="K22" s="5">
        <f>_xlfn.TEXTJOIN(CHAR(10),TRUE,IF(E22="","","• "&amp;E22),IF(F22="","","• "&amp;F22),IF(G22="","","• "&amp;G22),IF(H22="","","• "&amp;H22),IF(I22="","","• "&amp;I22),IF(J22="","","• "&amp;J22))</f>
        <v/>
      </c>
      <c r="L22" s="4" t="n"/>
      <c r="M22" s="19" t="n"/>
      <c r="N22" s="19" t="n"/>
      <c r="O22" s="30">
        <f>IF(OR(M22="",N22=""),"",INDEX(RiskGrid,6-VALUE(LEFT(M22,1)),VALUE(LEFT(N22,1))))</f>
        <v/>
      </c>
      <c r="P22" s="30">
        <f>IF(O22="","",IF(O22&gt;=BandVH,"Very High",IF(O22&gt;=BandHigh,"High",IF(O22&gt;=BandMed,"Medium","Low"))))</f>
        <v/>
      </c>
      <c r="Q22" s="4" t="n"/>
      <c r="R22" s="19" t="n"/>
      <c r="S22" s="4" t="n"/>
      <c r="T22" s="19" t="n"/>
      <c r="U22" s="4" t="n"/>
      <c r="V22" s="19" t="n"/>
      <c r="W22" s="4" t="n"/>
      <c r="X22" s="19" t="n"/>
      <c r="Y22" s="4" t="n"/>
      <c r="Z22" s="19" t="n"/>
      <c r="AA22" s="4" t="n"/>
      <c r="AB22" s="19" t="n"/>
      <c r="AC22" s="5">
        <f>_xlfn.TEXTJOIN(CHAR(10),TRUE,IF(Q22="","","• "&amp;Q22&amp;IF(R22="Yes","  [IPL]","")),IF(S22="","","• "&amp;S22&amp;IF(T22="Yes","  [IPL]","")),IF(U22="","","• "&amp;U22&amp;IF(V22="Yes","  [IPL]","")),IF(W22="","","• "&amp;W22&amp;IF(X22="Yes","  [IPL]","")),IF(Y22="","","• "&amp;Y22&amp;IF(Z22="Yes","  [IPL]","")),IF(AA22="","","• "&amp;AA22&amp;IF(AB22="Yes","  [IPL]","")))</f>
        <v/>
      </c>
      <c r="AD22" s="30">
        <f>IF(AC22="","",COUNTIF(Q22:AB22,"Yes"))</f>
        <v/>
      </c>
      <c r="AE22" s="19" t="n"/>
      <c r="AF22" s="19" t="n"/>
      <c r="AG22" s="30">
        <f>IF(OR(AE22="",AF22=""),"",INDEX(RiskGrid,6-VALUE(LEFT(AE22,1)),VALUE(LEFT(AF22,1))))</f>
        <v/>
      </c>
      <c r="AH22" s="30">
        <f>IF(AG22="","",IF(AG22&gt;=BandVH,"Very High",IF(AG22&gt;=BandHigh,"High",IF(AG22&gt;=BandMed,"Medium","Low"))))</f>
        <v/>
      </c>
      <c r="AI22" s="4" t="n"/>
      <c r="AJ22" s="4" t="n"/>
    </row>
    <row r="23">
      <c r="A23" s="30">
        <f>IF(B23="","",COUNTIF(B$14:B23,"?*"))</f>
        <v/>
      </c>
      <c r="B23" s="4" t="n"/>
      <c r="C23" s="19" t="n"/>
      <c r="D23" s="5">
        <f>IF(OR(B23="",C23=""),"",UPPER(LEFT(C23,1))&amp;LOWER(MID(C23,2,30))&amp;" "&amp;LOWER(LEFT(B23,1))&amp;MID(B23,2,200))</f>
        <v/>
      </c>
      <c r="E23" s="4" t="n"/>
      <c r="F23" s="4" t="n"/>
      <c r="G23" s="4" t="n"/>
      <c r="H23" s="4" t="n"/>
      <c r="I23" s="4" t="n"/>
      <c r="J23" s="4" t="n"/>
      <c r="K23" s="5">
        <f>_xlfn.TEXTJOIN(CHAR(10),TRUE,IF(E23="","","• "&amp;E23),IF(F23="","","• "&amp;F23),IF(G23="","","• "&amp;G23),IF(H23="","","• "&amp;H23),IF(I23="","","• "&amp;I23),IF(J23="","","• "&amp;J23))</f>
        <v/>
      </c>
      <c r="L23" s="4" t="n"/>
      <c r="M23" s="19" t="n"/>
      <c r="N23" s="19" t="n"/>
      <c r="O23" s="30">
        <f>IF(OR(M23="",N23=""),"",INDEX(RiskGrid,6-VALUE(LEFT(M23,1)),VALUE(LEFT(N23,1))))</f>
        <v/>
      </c>
      <c r="P23" s="30">
        <f>IF(O23="","",IF(O23&gt;=BandVH,"Very High",IF(O23&gt;=BandHigh,"High",IF(O23&gt;=BandMed,"Medium","Low"))))</f>
        <v/>
      </c>
      <c r="Q23" s="4" t="n"/>
      <c r="R23" s="19" t="n"/>
      <c r="S23" s="4" t="n"/>
      <c r="T23" s="19" t="n"/>
      <c r="U23" s="4" t="n"/>
      <c r="V23" s="19" t="n"/>
      <c r="W23" s="4" t="n"/>
      <c r="X23" s="19" t="n"/>
      <c r="Y23" s="4" t="n"/>
      <c r="Z23" s="19" t="n"/>
      <c r="AA23" s="4" t="n"/>
      <c r="AB23" s="19" t="n"/>
      <c r="AC23" s="5">
        <f>_xlfn.TEXTJOIN(CHAR(10),TRUE,IF(Q23="","","• "&amp;Q23&amp;IF(R23="Yes","  [IPL]","")),IF(S23="","","• "&amp;S23&amp;IF(T23="Yes","  [IPL]","")),IF(U23="","","• "&amp;U23&amp;IF(V23="Yes","  [IPL]","")),IF(W23="","","• "&amp;W23&amp;IF(X23="Yes","  [IPL]","")),IF(Y23="","","• "&amp;Y23&amp;IF(Z23="Yes","  [IPL]","")),IF(AA23="","","• "&amp;AA23&amp;IF(AB23="Yes","  [IPL]","")))</f>
        <v/>
      </c>
      <c r="AD23" s="30">
        <f>IF(AC23="","",COUNTIF(Q23:AB23,"Yes"))</f>
        <v/>
      </c>
      <c r="AE23" s="19" t="n"/>
      <c r="AF23" s="19" t="n"/>
      <c r="AG23" s="30">
        <f>IF(OR(AE23="",AF23=""),"",INDEX(RiskGrid,6-VALUE(LEFT(AE23,1)),VALUE(LEFT(AF23,1))))</f>
        <v/>
      </c>
      <c r="AH23" s="30">
        <f>IF(AG23="","",IF(AG23&gt;=BandVH,"Very High",IF(AG23&gt;=BandHigh,"High",IF(AG23&gt;=BandMed,"Medium","Low"))))</f>
        <v/>
      </c>
      <c r="AI23" s="4" t="n"/>
      <c r="AJ23" s="4" t="n"/>
    </row>
    <row r="24">
      <c r="A24" s="30">
        <f>IF(B24="","",COUNTIF(B$14:B24,"?*"))</f>
        <v/>
      </c>
      <c r="B24" s="4" t="n"/>
      <c r="C24" s="19" t="n"/>
      <c r="D24" s="5">
        <f>IF(OR(B24="",C24=""),"",UPPER(LEFT(C24,1))&amp;LOWER(MID(C24,2,30))&amp;" "&amp;LOWER(LEFT(B24,1))&amp;MID(B24,2,200))</f>
        <v/>
      </c>
      <c r="E24" s="4" t="n"/>
      <c r="F24" s="4" t="n"/>
      <c r="G24" s="4" t="n"/>
      <c r="H24" s="4" t="n"/>
      <c r="I24" s="4" t="n"/>
      <c r="J24" s="4" t="n"/>
      <c r="K24" s="5">
        <f>_xlfn.TEXTJOIN(CHAR(10),TRUE,IF(E24="","","• "&amp;E24),IF(F24="","","• "&amp;F24),IF(G24="","","• "&amp;G24),IF(H24="","","• "&amp;H24),IF(I24="","","• "&amp;I24),IF(J24="","","• "&amp;J24))</f>
        <v/>
      </c>
      <c r="L24" s="4" t="n"/>
      <c r="M24" s="19" t="n"/>
      <c r="N24" s="19" t="n"/>
      <c r="O24" s="30">
        <f>IF(OR(M24="",N24=""),"",INDEX(RiskGrid,6-VALUE(LEFT(M24,1)),VALUE(LEFT(N24,1))))</f>
        <v/>
      </c>
      <c r="P24" s="30">
        <f>IF(O24="","",IF(O24&gt;=BandVH,"Very High",IF(O24&gt;=BandHigh,"High",IF(O24&gt;=BandMed,"Medium","Low"))))</f>
        <v/>
      </c>
      <c r="Q24" s="4" t="n"/>
      <c r="R24" s="19" t="n"/>
      <c r="S24" s="4" t="n"/>
      <c r="T24" s="19" t="n"/>
      <c r="U24" s="4" t="n"/>
      <c r="V24" s="19" t="n"/>
      <c r="W24" s="4" t="n"/>
      <c r="X24" s="19" t="n"/>
      <c r="Y24" s="4" t="n"/>
      <c r="Z24" s="19" t="n"/>
      <c r="AA24" s="4" t="n"/>
      <c r="AB24" s="19" t="n"/>
      <c r="AC24" s="5">
        <f>_xlfn.TEXTJOIN(CHAR(10),TRUE,IF(Q24="","","• "&amp;Q24&amp;IF(R24="Yes","  [IPL]","")),IF(S24="","","• "&amp;S24&amp;IF(T24="Yes","  [IPL]","")),IF(U24="","","• "&amp;U24&amp;IF(V24="Yes","  [IPL]","")),IF(W24="","","• "&amp;W24&amp;IF(X24="Yes","  [IPL]","")),IF(Y24="","","• "&amp;Y24&amp;IF(Z24="Yes","  [IPL]","")),IF(AA24="","","• "&amp;AA24&amp;IF(AB24="Yes","  [IPL]","")))</f>
        <v/>
      </c>
      <c r="AD24" s="30">
        <f>IF(AC24="","",COUNTIF(Q24:AB24,"Yes"))</f>
        <v/>
      </c>
      <c r="AE24" s="19" t="n"/>
      <c r="AF24" s="19" t="n"/>
      <c r="AG24" s="30">
        <f>IF(OR(AE24="",AF24=""),"",INDEX(RiskGrid,6-VALUE(LEFT(AE24,1)),VALUE(LEFT(AF24,1))))</f>
        <v/>
      </c>
      <c r="AH24" s="30">
        <f>IF(AG24="","",IF(AG24&gt;=BandVH,"Very High",IF(AG24&gt;=BandHigh,"High",IF(AG24&gt;=BandMed,"Medium","Low"))))</f>
        <v/>
      </c>
      <c r="AI24" s="4" t="n"/>
      <c r="AJ24" s="4" t="n"/>
    </row>
    <row r="25">
      <c r="A25" s="30">
        <f>IF(B25="","",COUNTIF(B$14:B25,"?*"))</f>
        <v/>
      </c>
      <c r="B25" s="4" t="n"/>
      <c r="C25" s="19" t="n"/>
      <c r="D25" s="5">
        <f>IF(OR(B25="",C25=""),"",UPPER(LEFT(C25,1))&amp;LOWER(MID(C25,2,30))&amp;" "&amp;LOWER(LEFT(B25,1))&amp;MID(B25,2,200))</f>
        <v/>
      </c>
      <c r="E25" s="4" t="n"/>
      <c r="F25" s="4" t="n"/>
      <c r="G25" s="4" t="n"/>
      <c r="H25" s="4" t="n"/>
      <c r="I25" s="4" t="n"/>
      <c r="J25" s="4" t="n"/>
      <c r="K25" s="5">
        <f>_xlfn.TEXTJOIN(CHAR(10),TRUE,IF(E25="","","• "&amp;E25),IF(F25="","","• "&amp;F25),IF(G25="","","• "&amp;G25),IF(H25="","","• "&amp;H25),IF(I25="","","• "&amp;I25),IF(J25="","","• "&amp;J25))</f>
        <v/>
      </c>
      <c r="L25" s="4" t="n"/>
      <c r="M25" s="19" t="n"/>
      <c r="N25" s="19" t="n"/>
      <c r="O25" s="30">
        <f>IF(OR(M25="",N25=""),"",INDEX(RiskGrid,6-VALUE(LEFT(M25,1)),VALUE(LEFT(N25,1))))</f>
        <v/>
      </c>
      <c r="P25" s="30">
        <f>IF(O25="","",IF(O25&gt;=BandVH,"Very High",IF(O25&gt;=BandHigh,"High",IF(O25&gt;=BandMed,"Medium","Low"))))</f>
        <v/>
      </c>
      <c r="Q25" s="4" t="n"/>
      <c r="R25" s="19" t="n"/>
      <c r="S25" s="4" t="n"/>
      <c r="T25" s="19" t="n"/>
      <c r="U25" s="4" t="n"/>
      <c r="V25" s="19" t="n"/>
      <c r="W25" s="4" t="n"/>
      <c r="X25" s="19" t="n"/>
      <c r="Y25" s="4" t="n"/>
      <c r="Z25" s="19" t="n"/>
      <c r="AA25" s="4" t="n"/>
      <c r="AB25" s="19" t="n"/>
      <c r="AC25" s="5">
        <f>_xlfn.TEXTJOIN(CHAR(10),TRUE,IF(Q25="","","• "&amp;Q25&amp;IF(R25="Yes","  [IPL]","")),IF(S25="","","• "&amp;S25&amp;IF(T25="Yes","  [IPL]","")),IF(U25="","","• "&amp;U25&amp;IF(V25="Yes","  [IPL]","")),IF(W25="","","• "&amp;W25&amp;IF(X25="Yes","  [IPL]","")),IF(Y25="","","• "&amp;Y25&amp;IF(Z25="Yes","  [IPL]","")),IF(AA25="","","• "&amp;AA25&amp;IF(AB25="Yes","  [IPL]","")))</f>
        <v/>
      </c>
      <c r="AD25" s="30">
        <f>IF(AC25="","",COUNTIF(Q25:AB25,"Yes"))</f>
        <v/>
      </c>
      <c r="AE25" s="19" t="n"/>
      <c r="AF25" s="19" t="n"/>
      <c r="AG25" s="30">
        <f>IF(OR(AE25="",AF25=""),"",INDEX(RiskGrid,6-VALUE(LEFT(AE25,1)),VALUE(LEFT(AF25,1))))</f>
        <v/>
      </c>
      <c r="AH25" s="30">
        <f>IF(AG25="","",IF(AG25&gt;=BandVH,"Very High",IF(AG25&gt;=BandHigh,"High",IF(AG25&gt;=BandMed,"Medium","Low"))))</f>
        <v/>
      </c>
      <c r="AI25" s="4" t="n"/>
      <c r="AJ25" s="4" t="n"/>
    </row>
    <row r="26">
      <c r="A26" s="30">
        <f>IF(B26="","",COUNTIF(B$14:B26,"?*"))</f>
        <v/>
      </c>
      <c r="B26" s="4" t="n"/>
      <c r="C26" s="19" t="n"/>
      <c r="D26" s="5">
        <f>IF(OR(B26="",C26=""),"",UPPER(LEFT(C26,1))&amp;LOWER(MID(C26,2,30))&amp;" "&amp;LOWER(LEFT(B26,1))&amp;MID(B26,2,200))</f>
        <v/>
      </c>
      <c r="E26" s="4" t="n"/>
      <c r="F26" s="4" t="n"/>
      <c r="G26" s="4" t="n"/>
      <c r="H26" s="4" t="n"/>
      <c r="I26" s="4" t="n"/>
      <c r="J26" s="4" t="n"/>
      <c r="K26" s="5">
        <f>_xlfn.TEXTJOIN(CHAR(10),TRUE,IF(E26="","","• "&amp;E26),IF(F26="","","• "&amp;F26),IF(G26="","","• "&amp;G26),IF(H26="","","• "&amp;H26),IF(I26="","","• "&amp;I26),IF(J26="","","• "&amp;J26))</f>
        <v/>
      </c>
      <c r="L26" s="4" t="n"/>
      <c r="M26" s="19" t="n"/>
      <c r="N26" s="19" t="n"/>
      <c r="O26" s="30">
        <f>IF(OR(M26="",N26=""),"",INDEX(RiskGrid,6-VALUE(LEFT(M26,1)),VALUE(LEFT(N26,1))))</f>
        <v/>
      </c>
      <c r="P26" s="30">
        <f>IF(O26="","",IF(O26&gt;=BandVH,"Very High",IF(O26&gt;=BandHigh,"High",IF(O26&gt;=BandMed,"Medium","Low"))))</f>
        <v/>
      </c>
      <c r="Q26" s="4" t="n"/>
      <c r="R26" s="19" t="n"/>
      <c r="S26" s="4" t="n"/>
      <c r="T26" s="19" t="n"/>
      <c r="U26" s="4" t="n"/>
      <c r="V26" s="19" t="n"/>
      <c r="W26" s="4" t="n"/>
      <c r="X26" s="19" t="n"/>
      <c r="Y26" s="4" t="n"/>
      <c r="Z26" s="19" t="n"/>
      <c r="AA26" s="4" t="n"/>
      <c r="AB26" s="19" t="n"/>
      <c r="AC26" s="5">
        <f>_xlfn.TEXTJOIN(CHAR(10),TRUE,IF(Q26="","","• "&amp;Q26&amp;IF(R26="Yes","  [IPL]","")),IF(S26="","","• "&amp;S26&amp;IF(T26="Yes","  [IPL]","")),IF(U26="","","• "&amp;U26&amp;IF(V26="Yes","  [IPL]","")),IF(W26="","","• "&amp;W26&amp;IF(X26="Yes","  [IPL]","")),IF(Y26="","","• "&amp;Y26&amp;IF(Z26="Yes","  [IPL]","")),IF(AA26="","","• "&amp;AA26&amp;IF(AB26="Yes","  [IPL]","")))</f>
        <v/>
      </c>
      <c r="AD26" s="30">
        <f>IF(AC26="","",COUNTIF(Q26:AB26,"Yes"))</f>
        <v/>
      </c>
      <c r="AE26" s="19" t="n"/>
      <c r="AF26" s="19" t="n"/>
      <c r="AG26" s="30">
        <f>IF(OR(AE26="",AF26=""),"",INDEX(RiskGrid,6-VALUE(LEFT(AE26,1)),VALUE(LEFT(AF26,1))))</f>
        <v/>
      </c>
      <c r="AH26" s="30">
        <f>IF(AG26="","",IF(AG26&gt;=BandVH,"Very High",IF(AG26&gt;=BandHigh,"High",IF(AG26&gt;=BandMed,"Medium","Low"))))</f>
        <v/>
      </c>
      <c r="AI26" s="4" t="n"/>
      <c r="AJ26" s="4" t="n"/>
    </row>
    <row r="27">
      <c r="A27" s="30">
        <f>IF(B27="","",COUNTIF(B$14:B27,"?*"))</f>
        <v/>
      </c>
      <c r="B27" s="4" t="n"/>
      <c r="C27" s="19" t="n"/>
      <c r="D27" s="5">
        <f>IF(OR(B27="",C27=""),"",UPPER(LEFT(C27,1))&amp;LOWER(MID(C27,2,30))&amp;" "&amp;LOWER(LEFT(B27,1))&amp;MID(B27,2,200))</f>
        <v/>
      </c>
      <c r="E27" s="4" t="n"/>
      <c r="F27" s="4" t="n"/>
      <c r="G27" s="4" t="n"/>
      <c r="H27" s="4" t="n"/>
      <c r="I27" s="4" t="n"/>
      <c r="J27" s="4" t="n"/>
      <c r="K27" s="5">
        <f>_xlfn.TEXTJOIN(CHAR(10),TRUE,IF(E27="","","• "&amp;E27),IF(F27="","","• "&amp;F27),IF(G27="","","• "&amp;G27),IF(H27="","","• "&amp;H27),IF(I27="","","• "&amp;I27),IF(J27="","","• "&amp;J27))</f>
        <v/>
      </c>
      <c r="L27" s="4" t="n"/>
      <c r="M27" s="19" t="n"/>
      <c r="N27" s="19" t="n"/>
      <c r="O27" s="30">
        <f>IF(OR(M27="",N27=""),"",INDEX(RiskGrid,6-VALUE(LEFT(M27,1)),VALUE(LEFT(N27,1))))</f>
        <v/>
      </c>
      <c r="P27" s="30">
        <f>IF(O27="","",IF(O27&gt;=BandVH,"Very High",IF(O27&gt;=BandHigh,"High",IF(O27&gt;=BandMed,"Medium","Low"))))</f>
        <v/>
      </c>
      <c r="Q27" s="4" t="n"/>
      <c r="R27" s="19" t="n"/>
      <c r="S27" s="4" t="n"/>
      <c r="T27" s="19" t="n"/>
      <c r="U27" s="4" t="n"/>
      <c r="V27" s="19" t="n"/>
      <c r="W27" s="4" t="n"/>
      <c r="X27" s="19" t="n"/>
      <c r="Y27" s="4" t="n"/>
      <c r="Z27" s="19" t="n"/>
      <c r="AA27" s="4" t="n"/>
      <c r="AB27" s="19" t="n"/>
      <c r="AC27" s="5">
        <f>_xlfn.TEXTJOIN(CHAR(10),TRUE,IF(Q27="","","• "&amp;Q27&amp;IF(R27="Yes","  [IPL]","")),IF(S27="","","• "&amp;S27&amp;IF(T27="Yes","  [IPL]","")),IF(U27="","","• "&amp;U27&amp;IF(V27="Yes","  [IPL]","")),IF(W27="","","• "&amp;W27&amp;IF(X27="Yes","  [IPL]","")),IF(Y27="","","• "&amp;Y27&amp;IF(Z27="Yes","  [IPL]","")),IF(AA27="","","• "&amp;AA27&amp;IF(AB27="Yes","  [IPL]","")))</f>
        <v/>
      </c>
      <c r="AD27" s="30">
        <f>IF(AC27="","",COUNTIF(Q27:AB27,"Yes"))</f>
        <v/>
      </c>
      <c r="AE27" s="19" t="n"/>
      <c r="AF27" s="19" t="n"/>
      <c r="AG27" s="30">
        <f>IF(OR(AE27="",AF27=""),"",INDEX(RiskGrid,6-VALUE(LEFT(AE27,1)),VALUE(LEFT(AF27,1))))</f>
        <v/>
      </c>
      <c r="AH27" s="30">
        <f>IF(AG27="","",IF(AG27&gt;=BandVH,"Very High",IF(AG27&gt;=BandHigh,"High",IF(AG27&gt;=BandMed,"Medium","Low"))))</f>
        <v/>
      </c>
      <c r="AI27" s="4" t="n"/>
      <c r="AJ27" s="4" t="n"/>
    </row>
    <row r="28">
      <c r="A28" s="30">
        <f>IF(B28="","",COUNTIF(B$14:B28,"?*"))</f>
        <v/>
      </c>
      <c r="B28" s="4" t="n"/>
      <c r="C28" s="19" t="n"/>
      <c r="D28" s="5">
        <f>IF(OR(B28="",C28=""),"",UPPER(LEFT(C28,1))&amp;LOWER(MID(C28,2,30))&amp;" "&amp;LOWER(LEFT(B28,1))&amp;MID(B28,2,200))</f>
        <v/>
      </c>
      <c r="E28" s="4" t="n"/>
      <c r="F28" s="4" t="n"/>
      <c r="G28" s="4" t="n"/>
      <c r="H28" s="4" t="n"/>
      <c r="I28" s="4" t="n"/>
      <c r="J28" s="4" t="n"/>
      <c r="K28" s="5">
        <f>_xlfn.TEXTJOIN(CHAR(10),TRUE,IF(E28="","","• "&amp;E28),IF(F28="","","• "&amp;F28),IF(G28="","","• "&amp;G28),IF(H28="","","• "&amp;H28),IF(I28="","","• "&amp;I28),IF(J28="","","• "&amp;J28))</f>
        <v/>
      </c>
      <c r="L28" s="4" t="n"/>
      <c r="M28" s="19" t="n"/>
      <c r="N28" s="19" t="n"/>
      <c r="O28" s="30">
        <f>IF(OR(M28="",N28=""),"",INDEX(RiskGrid,6-VALUE(LEFT(M28,1)),VALUE(LEFT(N28,1))))</f>
        <v/>
      </c>
      <c r="P28" s="30">
        <f>IF(O28="","",IF(O28&gt;=BandVH,"Very High",IF(O28&gt;=BandHigh,"High",IF(O28&gt;=BandMed,"Medium","Low"))))</f>
        <v/>
      </c>
      <c r="Q28" s="4" t="n"/>
      <c r="R28" s="19" t="n"/>
      <c r="S28" s="4" t="n"/>
      <c r="T28" s="19" t="n"/>
      <c r="U28" s="4" t="n"/>
      <c r="V28" s="19" t="n"/>
      <c r="W28" s="4" t="n"/>
      <c r="X28" s="19" t="n"/>
      <c r="Y28" s="4" t="n"/>
      <c r="Z28" s="19" t="n"/>
      <c r="AA28" s="4" t="n"/>
      <c r="AB28" s="19" t="n"/>
      <c r="AC28" s="5">
        <f>_xlfn.TEXTJOIN(CHAR(10),TRUE,IF(Q28="","","• "&amp;Q28&amp;IF(R28="Yes","  [IPL]","")),IF(S28="","","• "&amp;S28&amp;IF(T28="Yes","  [IPL]","")),IF(U28="","","• "&amp;U28&amp;IF(V28="Yes","  [IPL]","")),IF(W28="","","• "&amp;W28&amp;IF(X28="Yes","  [IPL]","")),IF(Y28="","","• "&amp;Y28&amp;IF(Z28="Yes","  [IPL]","")),IF(AA28="","","• "&amp;AA28&amp;IF(AB28="Yes","  [IPL]","")))</f>
        <v/>
      </c>
      <c r="AD28" s="30">
        <f>IF(AC28="","",COUNTIF(Q28:AB28,"Yes"))</f>
        <v/>
      </c>
      <c r="AE28" s="19" t="n"/>
      <c r="AF28" s="19" t="n"/>
      <c r="AG28" s="30">
        <f>IF(OR(AE28="",AF28=""),"",INDEX(RiskGrid,6-VALUE(LEFT(AE28,1)),VALUE(LEFT(AF28,1))))</f>
        <v/>
      </c>
      <c r="AH28" s="30">
        <f>IF(AG28="","",IF(AG28&gt;=BandVH,"Very High",IF(AG28&gt;=BandHigh,"High",IF(AG28&gt;=BandMed,"Medium","Low"))))</f>
        <v/>
      </c>
      <c r="AI28" s="4" t="n"/>
      <c r="AJ28" s="4" t="n"/>
    </row>
    <row r="29">
      <c r="A29" s="30">
        <f>IF(B29="","",COUNTIF(B$14:B29,"?*"))</f>
        <v/>
      </c>
      <c r="B29" s="4" t="n"/>
      <c r="C29" s="19" t="n"/>
      <c r="D29" s="5">
        <f>IF(OR(B29="",C29=""),"",UPPER(LEFT(C29,1))&amp;LOWER(MID(C29,2,30))&amp;" "&amp;LOWER(LEFT(B29,1))&amp;MID(B29,2,200))</f>
        <v/>
      </c>
      <c r="E29" s="4" t="n"/>
      <c r="F29" s="4" t="n"/>
      <c r="G29" s="4" t="n"/>
      <c r="H29" s="4" t="n"/>
      <c r="I29" s="4" t="n"/>
      <c r="J29" s="4" t="n"/>
      <c r="K29" s="5">
        <f>_xlfn.TEXTJOIN(CHAR(10),TRUE,IF(E29="","","• "&amp;E29),IF(F29="","","• "&amp;F29),IF(G29="","","• "&amp;G29),IF(H29="","","• "&amp;H29),IF(I29="","","• "&amp;I29),IF(J29="","","• "&amp;J29))</f>
        <v/>
      </c>
      <c r="L29" s="4" t="n"/>
      <c r="M29" s="19" t="n"/>
      <c r="N29" s="19" t="n"/>
      <c r="O29" s="30">
        <f>IF(OR(M29="",N29=""),"",INDEX(RiskGrid,6-VALUE(LEFT(M29,1)),VALUE(LEFT(N29,1))))</f>
        <v/>
      </c>
      <c r="P29" s="30">
        <f>IF(O29="","",IF(O29&gt;=BandVH,"Very High",IF(O29&gt;=BandHigh,"High",IF(O29&gt;=BandMed,"Medium","Low"))))</f>
        <v/>
      </c>
      <c r="Q29" s="4" t="n"/>
      <c r="R29" s="19" t="n"/>
      <c r="S29" s="4" t="n"/>
      <c r="T29" s="19" t="n"/>
      <c r="U29" s="4" t="n"/>
      <c r="V29" s="19" t="n"/>
      <c r="W29" s="4" t="n"/>
      <c r="X29" s="19" t="n"/>
      <c r="Y29" s="4" t="n"/>
      <c r="Z29" s="19" t="n"/>
      <c r="AA29" s="4" t="n"/>
      <c r="AB29" s="19" t="n"/>
      <c r="AC29" s="5">
        <f>_xlfn.TEXTJOIN(CHAR(10),TRUE,IF(Q29="","","• "&amp;Q29&amp;IF(R29="Yes","  [IPL]","")),IF(S29="","","• "&amp;S29&amp;IF(T29="Yes","  [IPL]","")),IF(U29="","","• "&amp;U29&amp;IF(V29="Yes","  [IPL]","")),IF(W29="","","• "&amp;W29&amp;IF(X29="Yes","  [IPL]","")),IF(Y29="","","• "&amp;Y29&amp;IF(Z29="Yes","  [IPL]","")),IF(AA29="","","• "&amp;AA29&amp;IF(AB29="Yes","  [IPL]","")))</f>
        <v/>
      </c>
      <c r="AD29" s="30">
        <f>IF(AC29="","",COUNTIF(Q29:AB29,"Yes"))</f>
        <v/>
      </c>
      <c r="AE29" s="19" t="n"/>
      <c r="AF29" s="19" t="n"/>
      <c r="AG29" s="30">
        <f>IF(OR(AE29="",AF29=""),"",INDEX(RiskGrid,6-VALUE(LEFT(AE29,1)),VALUE(LEFT(AF29,1))))</f>
        <v/>
      </c>
      <c r="AH29" s="30">
        <f>IF(AG29="","",IF(AG29&gt;=BandVH,"Very High",IF(AG29&gt;=BandHigh,"High",IF(AG29&gt;=BandMed,"Medium","Low"))))</f>
        <v/>
      </c>
      <c r="AI29" s="4" t="n"/>
      <c r="AJ29" s="4" t="n"/>
    </row>
    <row r="30">
      <c r="A30" s="30">
        <f>IF(B30="","",COUNTIF(B$14:B30,"?*"))</f>
        <v/>
      </c>
      <c r="B30" s="4" t="n"/>
      <c r="C30" s="19" t="n"/>
      <c r="D30" s="5">
        <f>IF(OR(B30="",C30=""),"",UPPER(LEFT(C30,1))&amp;LOWER(MID(C30,2,30))&amp;" "&amp;LOWER(LEFT(B30,1))&amp;MID(B30,2,200))</f>
        <v/>
      </c>
      <c r="E30" s="4" t="n"/>
      <c r="F30" s="4" t="n"/>
      <c r="G30" s="4" t="n"/>
      <c r="H30" s="4" t="n"/>
      <c r="I30" s="4" t="n"/>
      <c r="J30" s="4" t="n"/>
      <c r="K30" s="5">
        <f>_xlfn.TEXTJOIN(CHAR(10),TRUE,IF(E30="","","• "&amp;E30),IF(F30="","","• "&amp;F30),IF(G30="","","• "&amp;G30),IF(H30="","","• "&amp;H30),IF(I30="","","• "&amp;I30),IF(J30="","","• "&amp;J30))</f>
        <v/>
      </c>
      <c r="L30" s="4" t="n"/>
      <c r="M30" s="19" t="n"/>
      <c r="N30" s="19" t="n"/>
      <c r="O30" s="30">
        <f>IF(OR(M30="",N30=""),"",INDEX(RiskGrid,6-VALUE(LEFT(M30,1)),VALUE(LEFT(N30,1))))</f>
        <v/>
      </c>
      <c r="P30" s="30">
        <f>IF(O30="","",IF(O30&gt;=BandVH,"Very High",IF(O30&gt;=BandHigh,"High",IF(O30&gt;=BandMed,"Medium","Low"))))</f>
        <v/>
      </c>
      <c r="Q30" s="4" t="n"/>
      <c r="R30" s="19" t="n"/>
      <c r="S30" s="4" t="n"/>
      <c r="T30" s="19" t="n"/>
      <c r="U30" s="4" t="n"/>
      <c r="V30" s="19" t="n"/>
      <c r="W30" s="4" t="n"/>
      <c r="X30" s="19" t="n"/>
      <c r="Y30" s="4" t="n"/>
      <c r="Z30" s="19" t="n"/>
      <c r="AA30" s="4" t="n"/>
      <c r="AB30" s="19" t="n"/>
      <c r="AC30" s="5">
        <f>_xlfn.TEXTJOIN(CHAR(10),TRUE,IF(Q30="","","• "&amp;Q30&amp;IF(R30="Yes","  [IPL]","")),IF(S30="","","• "&amp;S30&amp;IF(T30="Yes","  [IPL]","")),IF(U30="","","• "&amp;U30&amp;IF(V30="Yes","  [IPL]","")),IF(W30="","","• "&amp;W30&amp;IF(X30="Yes","  [IPL]","")),IF(Y30="","","• "&amp;Y30&amp;IF(Z30="Yes","  [IPL]","")),IF(AA30="","","• "&amp;AA30&amp;IF(AB30="Yes","  [IPL]","")))</f>
        <v/>
      </c>
      <c r="AD30" s="30">
        <f>IF(AC30="","",COUNTIF(Q30:AB30,"Yes"))</f>
        <v/>
      </c>
      <c r="AE30" s="19" t="n"/>
      <c r="AF30" s="19" t="n"/>
      <c r="AG30" s="30">
        <f>IF(OR(AE30="",AF30=""),"",INDEX(RiskGrid,6-VALUE(LEFT(AE30,1)),VALUE(LEFT(AF30,1))))</f>
        <v/>
      </c>
      <c r="AH30" s="30">
        <f>IF(AG30="","",IF(AG30&gt;=BandVH,"Very High",IF(AG30&gt;=BandHigh,"High",IF(AG30&gt;=BandMed,"Medium","Low"))))</f>
        <v/>
      </c>
      <c r="AI30" s="4" t="n"/>
      <c r="AJ30" s="4" t="n"/>
    </row>
    <row r="31">
      <c r="A31" s="30">
        <f>IF(B31="","",COUNTIF(B$14:B31,"?*"))</f>
        <v/>
      </c>
      <c r="B31" s="4" t="n"/>
      <c r="C31" s="19" t="n"/>
      <c r="D31" s="5">
        <f>IF(OR(B31="",C31=""),"",UPPER(LEFT(C31,1))&amp;LOWER(MID(C31,2,30))&amp;" "&amp;LOWER(LEFT(B31,1))&amp;MID(B31,2,200))</f>
        <v/>
      </c>
      <c r="E31" s="4" t="n"/>
      <c r="F31" s="4" t="n"/>
      <c r="G31" s="4" t="n"/>
      <c r="H31" s="4" t="n"/>
      <c r="I31" s="4" t="n"/>
      <c r="J31" s="4" t="n"/>
      <c r="K31" s="5">
        <f>_xlfn.TEXTJOIN(CHAR(10),TRUE,IF(E31="","","• "&amp;E31),IF(F31="","","• "&amp;F31),IF(G31="","","• "&amp;G31),IF(H31="","","• "&amp;H31),IF(I31="","","• "&amp;I31),IF(J31="","","• "&amp;J31))</f>
        <v/>
      </c>
      <c r="L31" s="4" t="n"/>
      <c r="M31" s="19" t="n"/>
      <c r="N31" s="19" t="n"/>
      <c r="O31" s="30">
        <f>IF(OR(M31="",N31=""),"",INDEX(RiskGrid,6-VALUE(LEFT(M31,1)),VALUE(LEFT(N31,1))))</f>
        <v/>
      </c>
      <c r="P31" s="30">
        <f>IF(O31="","",IF(O31&gt;=BandVH,"Very High",IF(O31&gt;=BandHigh,"High",IF(O31&gt;=BandMed,"Medium","Low"))))</f>
        <v/>
      </c>
      <c r="Q31" s="4" t="n"/>
      <c r="R31" s="19" t="n"/>
      <c r="S31" s="4" t="n"/>
      <c r="T31" s="19" t="n"/>
      <c r="U31" s="4" t="n"/>
      <c r="V31" s="19" t="n"/>
      <c r="W31" s="4" t="n"/>
      <c r="X31" s="19" t="n"/>
      <c r="Y31" s="4" t="n"/>
      <c r="Z31" s="19" t="n"/>
      <c r="AA31" s="4" t="n"/>
      <c r="AB31" s="19" t="n"/>
      <c r="AC31" s="5">
        <f>_xlfn.TEXTJOIN(CHAR(10),TRUE,IF(Q31="","","• "&amp;Q31&amp;IF(R31="Yes","  [IPL]","")),IF(S31="","","• "&amp;S31&amp;IF(T31="Yes","  [IPL]","")),IF(U31="","","• "&amp;U31&amp;IF(V31="Yes","  [IPL]","")),IF(W31="","","• "&amp;W31&amp;IF(X31="Yes","  [IPL]","")),IF(Y31="","","• "&amp;Y31&amp;IF(Z31="Yes","  [IPL]","")),IF(AA31="","","• "&amp;AA31&amp;IF(AB31="Yes","  [IPL]","")))</f>
        <v/>
      </c>
      <c r="AD31" s="30">
        <f>IF(AC31="","",COUNTIF(Q31:AB31,"Yes"))</f>
        <v/>
      </c>
      <c r="AE31" s="19" t="n"/>
      <c r="AF31" s="19" t="n"/>
      <c r="AG31" s="30">
        <f>IF(OR(AE31="",AF31=""),"",INDEX(RiskGrid,6-VALUE(LEFT(AE31,1)),VALUE(LEFT(AF31,1))))</f>
        <v/>
      </c>
      <c r="AH31" s="30">
        <f>IF(AG31="","",IF(AG31&gt;=BandVH,"Very High",IF(AG31&gt;=BandHigh,"High",IF(AG31&gt;=BandMed,"Medium","Low"))))</f>
        <v/>
      </c>
      <c r="AI31" s="4" t="n"/>
      <c r="AJ31" s="4" t="n"/>
    </row>
    <row r="32">
      <c r="A32" s="30">
        <f>IF(B32="","",COUNTIF(B$14:B32,"?*"))</f>
        <v/>
      </c>
      <c r="B32" s="4" t="n"/>
      <c r="C32" s="19" t="n"/>
      <c r="D32" s="5">
        <f>IF(OR(B32="",C32=""),"",UPPER(LEFT(C32,1))&amp;LOWER(MID(C32,2,30))&amp;" "&amp;LOWER(LEFT(B32,1))&amp;MID(B32,2,200))</f>
        <v/>
      </c>
      <c r="E32" s="4" t="n"/>
      <c r="F32" s="4" t="n"/>
      <c r="G32" s="4" t="n"/>
      <c r="H32" s="4" t="n"/>
      <c r="I32" s="4" t="n"/>
      <c r="J32" s="4" t="n"/>
      <c r="K32" s="5">
        <f>_xlfn.TEXTJOIN(CHAR(10),TRUE,IF(E32="","","• "&amp;E32),IF(F32="","","• "&amp;F32),IF(G32="","","• "&amp;G32),IF(H32="","","• "&amp;H32),IF(I32="","","• "&amp;I32),IF(J32="","","• "&amp;J32))</f>
        <v/>
      </c>
      <c r="L32" s="4" t="n"/>
      <c r="M32" s="19" t="n"/>
      <c r="N32" s="19" t="n"/>
      <c r="O32" s="30">
        <f>IF(OR(M32="",N32=""),"",INDEX(RiskGrid,6-VALUE(LEFT(M32,1)),VALUE(LEFT(N32,1))))</f>
        <v/>
      </c>
      <c r="P32" s="30">
        <f>IF(O32="","",IF(O32&gt;=BandVH,"Very High",IF(O32&gt;=BandHigh,"High",IF(O32&gt;=BandMed,"Medium","Low"))))</f>
        <v/>
      </c>
      <c r="Q32" s="4" t="n"/>
      <c r="R32" s="19" t="n"/>
      <c r="S32" s="4" t="n"/>
      <c r="T32" s="19" t="n"/>
      <c r="U32" s="4" t="n"/>
      <c r="V32" s="19" t="n"/>
      <c r="W32" s="4" t="n"/>
      <c r="X32" s="19" t="n"/>
      <c r="Y32" s="4" t="n"/>
      <c r="Z32" s="19" t="n"/>
      <c r="AA32" s="4" t="n"/>
      <c r="AB32" s="19" t="n"/>
      <c r="AC32" s="5">
        <f>_xlfn.TEXTJOIN(CHAR(10),TRUE,IF(Q32="","","• "&amp;Q32&amp;IF(R32="Yes","  [IPL]","")),IF(S32="","","• "&amp;S32&amp;IF(T32="Yes","  [IPL]","")),IF(U32="","","• "&amp;U32&amp;IF(V32="Yes","  [IPL]","")),IF(W32="","","• "&amp;W32&amp;IF(X32="Yes","  [IPL]","")),IF(Y32="","","• "&amp;Y32&amp;IF(Z32="Yes","  [IPL]","")),IF(AA32="","","• "&amp;AA32&amp;IF(AB32="Yes","  [IPL]","")))</f>
        <v/>
      </c>
      <c r="AD32" s="30">
        <f>IF(AC32="","",COUNTIF(Q32:AB32,"Yes"))</f>
        <v/>
      </c>
      <c r="AE32" s="19" t="n"/>
      <c r="AF32" s="19" t="n"/>
      <c r="AG32" s="30">
        <f>IF(OR(AE32="",AF32=""),"",INDEX(RiskGrid,6-VALUE(LEFT(AE32,1)),VALUE(LEFT(AF32,1))))</f>
        <v/>
      </c>
      <c r="AH32" s="30">
        <f>IF(AG32="","",IF(AG32&gt;=BandVH,"Very High",IF(AG32&gt;=BandHigh,"High",IF(AG32&gt;=BandMed,"Medium","Low"))))</f>
        <v/>
      </c>
      <c r="AI32" s="4" t="n"/>
      <c r="AJ32" s="4" t="n"/>
    </row>
    <row r="33">
      <c r="A33" s="30">
        <f>IF(B33="","",COUNTIF(B$14:B33,"?*"))</f>
        <v/>
      </c>
      <c r="B33" s="4" t="n"/>
      <c r="C33" s="19" t="n"/>
      <c r="D33" s="5">
        <f>IF(OR(B33="",C33=""),"",UPPER(LEFT(C33,1))&amp;LOWER(MID(C33,2,30))&amp;" "&amp;LOWER(LEFT(B33,1))&amp;MID(B33,2,200))</f>
        <v/>
      </c>
      <c r="E33" s="4" t="n"/>
      <c r="F33" s="4" t="n"/>
      <c r="G33" s="4" t="n"/>
      <c r="H33" s="4" t="n"/>
      <c r="I33" s="4" t="n"/>
      <c r="J33" s="4" t="n"/>
      <c r="K33" s="5">
        <f>_xlfn.TEXTJOIN(CHAR(10),TRUE,IF(E33="","","• "&amp;E33),IF(F33="","","• "&amp;F33),IF(G33="","","• "&amp;G33),IF(H33="","","• "&amp;H33),IF(I33="","","• "&amp;I33),IF(J33="","","• "&amp;J33))</f>
        <v/>
      </c>
      <c r="L33" s="4" t="n"/>
      <c r="M33" s="19" t="n"/>
      <c r="N33" s="19" t="n"/>
      <c r="O33" s="30">
        <f>IF(OR(M33="",N33=""),"",INDEX(RiskGrid,6-VALUE(LEFT(M33,1)),VALUE(LEFT(N33,1))))</f>
        <v/>
      </c>
      <c r="P33" s="30">
        <f>IF(O33="","",IF(O33&gt;=BandVH,"Very High",IF(O33&gt;=BandHigh,"High",IF(O33&gt;=BandMed,"Medium","Low"))))</f>
        <v/>
      </c>
      <c r="Q33" s="4" t="n"/>
      <c r="R33" s="19" t="n"/>
      <c r="S33" s="4" t="n"/>
      <c r="T33" s="19" t="n"/>
      <c r="U33" s="4" t="n"/>
      <c r="V33" s="19" t="n"/>
      <c r="W33" s="4" t="n"/>
      <c r="X33" s="19" t="n"/>
      <c r="Y33" s="4" t="n"/>
      <c r="Z33" s="19" t="n"/>
      <c r="AA33" s="4" t="n"/>
      <c r="AB33" s="19" t="n"/>
      <c r="AC33" s="5">
        <f>_xlfn.TEXTJOIN(CHAR(10),TRUE,IF(Q33="","","• "&amp;Q33&amp;IF(R33="Yes","  [IPL]","")),IF(S33="","","• "&amp;S33&amp;IF(T33="Yes","  [IPL]","")),IF(U33="","","• "&amp;U33&amp;IF(V33="Yes","  [IPL]","")),IF(W33="","","• "&amp;W33&amp;IF(X33="Yes","  [IPL]","")),IF(Y33="","","• "&amp;Y33&amp;IF(Z33="Yes","  [IPL]","")),IF(AA33="","","• "&amp;AA33&amp;IF(AB33="Yes","  [IPL]","")))</f>
        <v/>
      </c>
      <c r="AD33" s="30">
        <f>IF(AC33="","",COUNTIF(Q33:AB33,"Yes"))</f>
        <v/>
      </c>
      <c r="AE33" s="19" t="n"/>
      <c r="AF33" s="19" t="n"/>
      <c r="AG33" s="30">
        <f>IF(OR(AE33="",AF33=""),"",INDEX(RiskGrid,6-VALUE(LEFT(AE33,1)),VALUE(LEFT(AF33,1))))</f>
        <v/>
      </c>
      <c r="AH33" s="30">
        <f>IF(AG33="","",IF(AG33&gt;=BandVH,"Very High",IF(AG33&gt;=BandHigh,"High",IF(AG33&gt;=BandMed,"Medium","Low"))))</f>
        <v/>
      </c>
      <c r="AI33" s="4" t="n"/>
      <c r="AJ33" s="4" t="n"/>
    </row>
    <row r="34">
      <c r="A34" s="30">
        <f>IF(B34="","",COUNTIF(B$14:B34,"?*"))</f>
        <v/>
      </c>
      <c r="B34" s="4" t="n"/>
      <c r="C34" s="19" t="n"/>
      <c r="D34" s="5">
        <f>IF(OR(B34="",C34=""),"",UPPER(LEFT(C34,1))&amp;LOWER(MID(C34,2,30))&amp;" "&amp;LOWER(LEFT(B34,1))&amp;MID(B34,2,200))</f>
        <v/>
      </c>
      <c r="E34" s="4" t="n"/>
      <c r="F34" s="4" t="n"/>
      <c r="G34" s="4" t="n"/>
      <c r="H34" s="4" t="n"/>
      <c r="I34" s="4" t="n"/>
      <c r="J34" s="4" t="n"/>
      <c r="K34" s="5">
        <f>_xlfn.TEXTJOIN(CHAR(10),TRUE,IF(E34="","","• "&amp;E34),IF(F34="","","• "&amp;F34),IF(G34="","","• "&amp;G34),IF(H34="","","• "&amp;H34),IF(I34="","","• "&amp;I34),IF(J34="","","• "&amp;J34))</f>
        <v/>
      </c>
      <c r="L34" s="4" t="n"/>
      <c r="M34" s="19" t="n"/>
      <c r="N34" s="19" t="n"/>
      <c r="O34" s="30">
        <f>IF(OR(M34="",N34=""),"",INDEX(RiskGrid,6-VALUE(LEFT(M34,1)),VALUE(LEFT(N34,1))))</f>
        <v/>
      </c>
      <c r="P34" s="30">
        <f>IF(O34="","",IF(O34&gt;=BandVH,"Very High",IF(O34&gt;=BandHigh,"High",IF(O34&gt;=BandMed,"Medium","Low"))))</f>
        <v/>
      </c>
      <c r="Q34" s="4" t="n"/>
      <c r="R34" s="19" t="n"/>
      <c r="S34" s="4" t="n"/>
      <c r="T34" s="19" t="n"/>
      <c r="U34" s="4" t="n"/>
      <c r="V34" s="19" t="n"/>
      <c r="W34" s="4" t="n"/>
      <c r="X34" s="19" t="n"/>
      <c r="Y34" s="4" t="n"/>
      <c r="Z34" s="19" t="n"/>
      <c r="AA34" s="4" t="n"/>
      <c r="AB34" s="19" t="n"/>
      <c r="AC34" s="5">
        <f>_xlfn.TEXTJOIN(CHAR(10),TRUE,IF(Q34="","","• "&amp;Q34&amp;IF(R34="Yes","  [IPL]","")),IF(S34="","","• "&amp;S34&amp;IF(T34="Yes","  [IPL]","")),IF(U34="","","• "&amp;U34&amp;IF(V34="Yes","  [IPL]","")),IF(W34="","","• "&amp;W34&amp;IF(X34="Yes","  [IPL]","")),IF(Y34="","","• "&amp;Y34&amp;IF(Z34="Yes","  [IPL]","")),IF(AA34="","","• "&amp;AA34&amp;IF(AB34="Yes","  [IPL]","")))</f>
        <v/>
      </c>
      <c r="AD34" s="30">
        <f>IF(AC34="","",COUNTIF(Q34:AB34,"Yes"))</f>
        <v/>
      </c>
      <c r="AE34" s="19" t="n"/>
      <c r="AF34" s="19" t="n"/>
      <c r="AG34" s="30">
        <f>IF(OR(AE34="",AF34=""),"",INDEX(RiskGrid,6-VALUE(LEFT(AE34,1)),VALUE(LEFT(AF34,1))))</f>
        <v/>
      </c>
      <c r="AH34" s="30">
        <f>IF(AG34="","",IF(AG34&gt;=BandVH,"Very High",IF(AG34&gt;=BandHigh,"High",IF(AG34&gt;=BandMed,"Medium","Low"))))</f>
        <v/>
      </c>
      <c r="AI34" s="4" t="n"/>
      <c r="AJ34" s="4" t="n"/>
    </row>
    <row r="35">
      <c r="A35" s="30">
        <f>IF(B35="","",COUNTIF(B$14:B35,"?*"))</f>
        <v/>
      </c>
      <c r="B35" s="4" t="n"/>
      <c r="C35" s="19" t="n"/>
      <c r="D35" s="5">
        <f>IF(OR(B35="",C35=""),"",UPPER(LEFT(C35,1))&amp;LOWER(MID(C35,2,30))&amp;" "&amp;LOWER(LEFT(B35,1))&amp;MID(B35,2,200))</f>
        <v/>
      </c>
      <c r="E35" s="4" t="n"/>
      <c r="F35" s="4" t="n"/>
      <c r="G35" s="4" t="n"/>
      <c r="H35" s="4" t="n"/>
      <c r="I35" s="4" t="n"/>
      <c r="J35" s="4" t="n"/>
      <c r="K35" s="5">
        <f>_xlfn.TEXTJOIN(CHAR(10),TRUE,IF(E35="","","• "&amp;E35),IF(F35="","","• "&amp;F35),IF(G35="","","• "&amp;G35),IF(H35="","","• "&amp;H35),IF(I35="","","• "&amp;I35),IF(J35="","","• "&amp;J35))</f>
        <v/>
      </c>
      <c r="L35" s="4" t="n"/>
      <c r="M35" s="19" t="n"/>
      <c r="N35" s="19" t="n"/>
      <c r="O35" s="30">
        <f>IF(OR(M35="",N35=""),"",INDEX(RiskGrid,6-VALUE(LEFT(M35,1)),VALUE(LEFT(N35,1))))</f>
        <v/>
      </c>
      <c r="P35" s="30">
        <f>IF(O35="","",IF(O35&gt;=BandVH,"Very High",IF(O35&gt;=BandHigh,"High",IF(O35&gt;=BandMed,"Medium","Low"))))</f>
        <v/>
      </c>
      <c r="Q35" s="4" t="n"/>
      <c r="R35" s="19" t="n"/>
      <c r="S35" s="4" t="n"/>
      <c r="T35" s="19" t="n"/>
      <c r="U35" s="4" t="n"/>
      <c r="V35" s="19" t="n"/>
      <c r="W35" s="4" t="n"/>
      <c r="X35" s="19" t="n"/>
      <c r="Y35" s="4" t="n"/>
      <c r="Z35" s="19" t="n"/>
      <c r="AA35" s="4" t="n"/>
      <c r="AB35" s="19" t="n"/>
      <c r="AC35" s="5">
        <f>_xlfn.TEXTJOIN(CHAR(10),TRUE,IF(Q35="","","• "&amp;Q35&amp;IF(R35="Yes","  [IPL]","")),IF(S35="","","• "&amp;S35&amp;IF(T35="Yes","  [IPL]","")),IF(U35="","","• "&amp;U35&amp;IF(V35="Yes","  [IPL]","")),IF(W35="","","• "&amp;W35&amp;IF(X35="Yes","  [IPL]","")),IF(Y35="","","• "&amp;Y35&amp;IF(Z35="Yes","  [IPL]","")),IF(AA35="","","• "&amp;AA35&amp;IF(AB35="Yes","  [IPL]","")))</f>
        <v/>
      </c>
      <c r="AD35" s="30">
        <f>IF(AC35="","",COUNTIF(Q35:AB35,"Yes"))</f>
        <v/>
      </c>
      <c r="AE35" s="19" t="n"/>
      <c r="AF35" s="19" t="n"/>
      <c r="AG35" s="30">
        <f>IF(OR(AE35="",AF35=""),"",INDEX(RiskGrid,6-VALUE(LEFT(AE35,1)),VALUE(LEFT(AF35,1))))</f>
        <v/>
      </c>
      <c r="AH35" s="30">
        <f>IF(AG35="","",IF(AG35&gt;=BandVH,"Very High",IF(AG35&gt;=BandHigh,"High",IF(AG35&gt;=BandMed,"Medium","Low"))))</f>
        <v/>
      </c>
      <c r="AI35" s="4" t="n"/>
      <c r="AJ35" s="4" t="n"/>
    </row>
    <row r="36">
      <c r="A36" s="30">
        <f>IF(B36="","",COUNTIF(B$14:B36,"?*"))</f>
        <v/>
      </c>
      <c r="B36" s="4" t="n"/>
      <c r="C36" s="19" t="n"/>
      <c r="D36" s="5">
        <f>IF(OR(B36="",C36=""),"",UPPER(LEFT(C36,1))&amp;LOWER(MID(C36,2,30))&amp;" "&amp;LOWER(LEFT(B36,1))&amp;MID(B36,2,200))</f>
        <v/>
      </c>
      <c r="E36" s="4" t="n"/>
      <c r="F36" s="4" t="n"/>
      <c r="G36" s="4" t="n"/>
      <c r="H36" s="4" t="n"/>
      <c r="I36" s="4" t="n"/>
      <c r="J36" s="4" t="n"/>
      <c r="K36" s="5">
        <f>_xlfn.TEXTJOIN(CHAR(10),TRUE,IF(E36="","","• "&amp;E36),IF(F36="","","• "&amp;F36),IF(G36="","","• "&amp;G36),IF(H36="","","• "&amp;H36),IF(I36="","","• "&amp;I36),IF(J36="","","• "&amp;J36))</f>
        <v/>
      </c>
      <c r="L36" s="4" t="n"/>
      <c r="M36" s="19" t="n"/>
      <c r="N36" s="19" t="n"/>
      <c r="O36" s="30">
        <f>IF(OR(M36="",N36=""),"",INDEX(RiskGrid,6-VALUE(LEFT(M36,1)),VALUE(LEFT(N36,1))))</f>
        <v/>
      </c>
      <c r="P36" s="30">
        <f>IF(O36="","",IF(O36&gt;=BandVH,"Very High",IF(O36&gt;=BandHigh,"High",IF(O36&gt;=BandMed,"Medium","Low"))))</f>
        <v/>
      </c>
      <c r="Q36" s="4" t="n"/>
      <c r="R36" s="19" t="n"/>
      <c r="S36" s="4" t="n"/>
      <c r="T36" s="19" t="n"/>
      <c r="U36" s="4" t="n"/>
      <c r="V36" s="19" t="n"/>
      <c r="W36" s="4" t="n"/>
      <c r="X36" s="19" t="n"/>
      <c r="Y36" s="4" t="n"/>
      <c r="Z36" s="19" t="n"/>
      <c r="AA36" s="4" t="n"/>
      <c r="AB36" s="19" t="n"/>
      <c r="AC36" s="5">
        <f>_xlfn.TEXTJOIN(CHAR(10),TRUE,IF(Q36="","","• "&amp;Q36&amp;IF(R36="Yes","  [IPL]","")),IF(S36="","","• "&amp;S36&amp;IF(T36="Yes","  [IPL]","")),IF(U36="","","• "&amp;U36&amp;IF(V36="Yes","  [IPL]","")),IF(W36="","","• "&amp;W36&amp;IF(X36="Yes","  [IPL]","")),IF(Y36="","","• "&amp;Y36&amp;IF(Z36="Yes","  [IPL]","")),IF(AA36="","","• "&amp;AA36&amp;IF(AB36="Yes","  [IPL]","")))</f>
        <v/>
      </c>
      <c r="AD36" s="30">
        <f>IF(AC36="","",COUNTIF(Q36:AB36,"Yes"))</f>
        <v/>
      </c>
      <c r="AE36" s="19" t="n"/>
      <c r="AF36" s="19" t="n"/>
      <c r="AG36" s="30">
        <f>IF(OR(AE36="",AF36=""),"",INDEX(RiskGrid,6-VALUE(LEFT(AE36,1)),VALUE(LEFT(AF36,1))))</f>
        <v/>
      </c>
      <c r="AH36" s="30">
        <f>IF(AG36="","",IF(AG36&gt;=BandVH,"Very High",IF(AG36&gt;=BandHigh,"High",IF(AG36&gt;=BandMed,"Medium","Low"))))</f>
        <v/>
      </c>
      <c r="AI36" s="4" t="n"/>
      <c r="AJ36" s="4" t="n"/>
    </row>
    <row r="37">
      <c r="A37" s="30">
        <f>IF(B37="","",COUNTIF(B$14:B37,"?*"))</f>
        <v/>
      </c>
      <c r="B37" s="4" t="n"/>
      <c r="C37" s="19" t="n"/>
      <c r="D37" s="5">
        <f>IF(OR(B37="",C37=""),"",UPPER(LEFT(C37,1))&amp;LOWER(MID(C37,2,30))&amp;" "&amp;LOWER(LEFT(B37,1))&amp;MID(B37,2,200))</f>
        <v/>
      </c>
      <c r="E37" s="4" t="n"/>
      <c r="F37" s="4" t="n"/>
      <c r="G37" s="4" t="n"/>
      <c r="H37" s="4" t="n"/>
      <c r="I37" s="4" t="n"/>
      <c r="J37" s="4" t="n"/>
      <c r="K37" s="5">
        <f>_xlfn.TEXTJOIN(CHAR(10),TRUE,IF(E37="","","• "&amp;E37),IF(F37="","","• "&amp;F37),IF(G37="","","• "&amp;G37),IF(H37="","","• "&amp;H37),IF(I37="","","• "&amp;I37),IF(J37="","","• "&amp;J37))</f>
        <v/>
      </c>
      <c r="L37" s="4" t="n"/>
      <c r="M37" s="19" t="n"/>
      <c r="N37" s="19" t="n"/>
      <c r="O37" s="30">
        <f>IF(OR(M37="",N37=""),"",INDEX(RiskGrid,6-VALUE(LEFT(M37,1)),VALUE(LEFT(N37,1))))</f>
        <v/>
      </c>
      <c r="P37" s="30">
        <f>IF(O37="","",IF(O37&gt;=BandVH,"Very High",IF(O37&gt;=BandHigh,"High",IF(O37&gt;=BandMed,"Medium","Low"))))</f>
        <v/>
      </c>
      <c r="Q37" s="4" t="n"/>
      <c r="R37" s="19" t="n"/>
      <c r="S37" s="4" t="n"/>
      <c r="T37" s="19" t="n"/>
      <c r="U37" s="4" t="n"/>
      <c r="V37" s="19" t="n"/>
      <c r="W37" s="4" t="n"/>
      <c r="X37" s="19" t="n"/>
      <c r="Y37" s="4" t="n"/>
      <c r="Z37" s="19" t="n"/>
      <c r="AA37" s="4" t="n"/>
      <c r="AB37" s="19" t="n"/>
      <c r="AC37" s="5">
        <f>_xlfn.TEXTJOIN(CHAR(10),TRUE,IF(Q37="","","• "&amp;Q37&amp;IF(R37="Yes","  [IPL]","")),IF(S37="","","• "&amp;S37&amp;IF(T37="Yes","  [IPL]","")),IF(U37="","","• "&amp;U37&amp;IF(V37="Yes","  [IPL]","")),IF(W37="","","• "&amp;W37&amp;IF(X37="Yes","  [IPL]","")),IF(Y37="","","• "&amp;Y37&amp;IF(Z37="Yes","  [IPL]","")),IF(AA37="","","• "&amp;AA37&amp;IF(AB37="Yes","  [IPL]","")))</f>
        <v/>
      </c>
      <c r="AD37" s="30">
        <f>IF(AC37="","",COUNTIF(Q37:AB37,"Yes"))</f>
        <v/>
      </c>
      <c r="AE37" s="19" t="n"/>
      <c r="AF37" s="19" t="n"/>
      <c r="AG37" s="30">
        <f>IF(OR(AE37="",AF37=""),"",INDEX(RiskGrid,6-VALUE(LEFT(AE37,1)),VALUE(LEFT(AF37,1))))</f>
        <v/>
      </c>
      <c r="AH37" s="30">
        <f>IF(AG37="","",IF(AG37&gt;=BandVH,"Very High",IF(AG37&gt;=BandHigh,"High",IF(AG37&gt;=BandMed,"Medium","Low"))))</f>
        <v/>
      </c>
      <c r="AI37" s="4" t="n"/>
      <c r="AJ37" s="4" t="n"/>
    </row>
    <row r="38">
      <c r="A38" s="30">
        <f>IF(B38="","",COUNTIF(B$14:B38,"?*"))</f>
        <v/>
      </c>
      <c r="B38" s="4" t="n"/>
      <c r="C38" s="19" t="n"/>
      <c r="D38" s="5">
        <f>IF(OR(B38="",C38=""),"",UPPER(LEFT(C38,1))&amp;LOWER(MID(C38,2,30))&amp;" "&amp;LOWER(LEFT(B38,1))&amp;MID(B38,2,200))</f>
        <v/>
      </c>
      <c r="E38" s="4" t="n"/>
      <c r="F38" s="4" t="n"/>
      <c r="G38" s="4" t="n"/>
      <c r="H38" s="4" t="n"/>
      <c r="I38" s="4" t="n"/>
      <c r="J38" s="4" t="n"/>
      <c r="K38" s="5">
        <f>_xlfn.TEXTJOIN(CHAR(10),TRUE,IF(E38="","","• "&amp;E38),IF(F38="","","• "&amp;F38),IF(G38="","","• "&amp;G38),IF(H38="","","• "&amp;H38),IF(I38="","","• "&amp;I38),IF(J38="","","• "&amp;J38))</f>
        <v/>
      </c>
      <c r="L38" s="4" t="n"/>
      <c r="M38" s="19" t="n"/>
      <c r="N38" s="19" t="n"/>
      <c r="O38" s="30">
        <f>IF(OR(M38="",N38=""),"",INDEX(RiskGrid,6-VALUE(LEFT(M38,1)),VALUE(LEFT(N38,1))))</f>
        <v/>
      </c>
      <c r="P38" s="30">
        <f>IF(O38="","",IF(O38&gt;=BandVH,"Very High",IF(O38&gt;=BandHigh,"High",IF(O38&gt;=BandMed,"Medium","Low"))))</f>
        <v/>
      </c>
      <c r="Q38" s="4" t="n"/>
      <c r="R38" s="19" t="n"/>
      <c r="S38" s="4" t="n"/>
      <c r="T38" s="19" t="n"/>
      <c r="U38" s="4" t="n"/>
      <c r="V38" s="19" t="n"/>
      <c r="W38" s="4" t="n"/>
      <c r="X38" s="19" t="n"/>
      <c r="Y38" s="4" t="n"/>
      <c r="Z38" s="19" t="n"/>
      <c r="AA38" s="4" t="n"/>
      <c r="AB38" s="19" t="n"/>
      <c r="AC38" s="5">
        <f>_xlfn.TEXTJOIN(CHAR(10),TRUE,IF(Q38="","","• "&amp;Q38&amp;IF(R38="Yes","  [IPL]","")),IF(S38="","","• "&amp;S38&amp;IF(T38="Yes","  [IPL]","")),IF(U38="","","• "&amp;U38&amp;IF(V38="Yes","  [IPL]","")),IF(W38="","","• "&amp;W38&amp;IF(X38="Yes","  [IPL]","")),IF(Y38="","","• "&amp;Y38&amp;IF(Z38="Yes","  [IPL]","")),IF(AA38="","","• "&amp;AA38&amp;IF(AB38="Yes","  [IPL]","")))</f>
        <v/>
      </c>
      <c r="AD38" s="30">
        <f>IF(AC38="","",COUNTIF(Q38:AB38,"Yes"))</f>
        <v/>
      </c>
      <c r="AE38" s="19" t="n"/>
      <c r="AF38" s="19" t="n"/>
      <c r="AG38" s="30">
        <f>IF(OR(AE38="",AF38=""),"",INDEX(RiskGrid,6-VALUE(LEFT(AE38,1)),VALUE(LEFT(AF38,1))))</f>
        <v/>
      </c>
      <c r="AH38" s="30">
        <f>IF(AG38="","",IF(AG38&gt;=BandVH,"Very High",IF(AG38&gt;=BandHigh,"High",IF(AG38&gt;=BandMed,"Medium","Low"))))</f>
        <v/>
      </c>
      <c r="AI38" s="4" t="n"/>
      <c r="AJ38" s="4" t="n"/>
    </row>
    <row r="39">
      <c r="A39" s="30">
        <f>IF(B39="","",COUNTIF(B$14:B39,"?*"))</f>
        <v/>
      </c>
      <c r="B39" s="4" t="n"/>
      <c r="C39" s="19" t="n"/>
      <c r="D39" s="5">
        <f>IF(OR(B39="",C39=""),"",UPPER(LEFT(C39,1))&amp;LOWER(MID(C39,2,30))&amp;" "&amp;LOWER(LEFT(B39,1))&amp;MID(B39,2,200))</f>
        <v/>
      </c>
      <c r="E39" s="4" t="n"/>
      <c r="F39" s="4" t="n"/>
      <c r="G39" s="4" t="n"/>
      <c r="H39" s="4" t="n"/>
      <c r="I39" s="4" t="n"/>
      <c r="J39" s="4" t="n"/>
      <c r="K39" s="5">
        <f>_xlfn.TEXTJOIN(CHAR(10),TRUE,IF(E39="","","• "&amp;E39),IF(F39="","","• "&amp;F39),IF(G39="","","• "&amp;G39),IF(H39="","","• "&amp;H39),IF(I39="","","• "&amp;I39),IF(J39="","","• "&amp;J39))</f>
        <v/>
      </c>
      <c r="L39" s="4" t="n"/>
      <c r="M39" s="19" t="n"/>
      <c r="N39" s="19" t="n"/>
      <c r="O39" s="30">
        <f>IF(OR(M39="",N39=""),"",INDEX(RiskGrid,6-VALUE(LEFT(M39,1)),VALUE(LEFT(N39,1))))</f>
        <v/>
      </c>
      <c r="P39" s="30">
        <f>IF(O39="","",IF(O39&gt;=BandVH,"Very High",IF(O39&gt;=BandHigh,"High",IF(O39&gt;=BandMed,"Medium","Low"))))</f>
        <v/>
      </c>
      <c r="Q39" s="4" t="n"/>
      <c r="R39" s="19" t="n"/>
      <c r="S39" s="4" t="n"/>
      <c r="T39" s="19" t="n"/>
      <c r="U39" s="4" t="n"/>
      <c r="V39" s="19" t="n"/>
      <c r="W39" s="4" t="n"/>
      <c r="X39" s="19" t="n"/>
      <c r="Y39" s="4" t="n"/>
      <c r="Z39" s="19" t="n"/>
      <c r="AA39" s="4" t="n"/>
      <c r="AB39" s="19" t="n"/>
      <c r="AC39" s="5">
        <f>_xlfn.TEXTJOIN(CHAR(10),TRUE,IF(Q39="","","• "&amp;Q39&amp;IF(R39="Yes","  [IPL]","")),IF(S39="","","• "&amp;S39&amp;IF(T39="Yes","  [IPL]","")),IF(U39="","","• "&amp;U39&amp;IF(V39="Yes","  [IPL]","")),IF(W39="","","• "&amp;W39&amp;IF(X39="Yes","  [IPL]","")),IF(Y39="","","• "&amp;Y39&amp;IF(Z39="Yes","  [IPL]","")),IF(AA39="","","• "&amp;AA39&amp;IF(AB39="Yes","  [IPL]","")))</f>
        <v/>
      </c>
      <c r="AD39" s="30">
        <f>IF(AC39="","",COUNTIF(Q39:AB39,"Yes"))</f>
        <v/>
      </c>
      <c r="AE39" s="19" t="n"/>
      <c r="AF39" s="19" t="n"/>
      <c r="AG39" s="30">
        <f>IF(OR(AE39="",AF39=""),"",INDEX(RiskGrid,6-VALUE(LEFT(AE39,1)),VALUE(LEFT(AF39,1))))</f>
        <v/>
      </c>
      <c r="AH39" s="30">
        <f>IF(AG39="","",IF(AG39&gt;=BandVH,"Very High",IF(AG39&gt;=BandHigh,"High",IF(AG39&gt;=BandMed,"Medium","Low"))))</f>
        <v/>
      </c>
      <c r="AI39" s="4" t="n"/>
      <c r="AJ39" s="4" t="n"/>
    </row>
    <row r="40">
      <c r="A40" s="30">
        <f>IF(B40="","",COUNTIF(B$14:B40,"?*"))</f>
        <v/>
      </c>
      <c r="B40" s="4" t="n"/>
      <c r="C40" s="19" t="n"/>
      <c r="D40" s="5">
        <f>IF(OR(B40="",C40=""),"",UPPER(LEFT(C40,1))&amp;LOWER(MID(C40,2,30))&amp;" "&amp;LOWER(LEFT(B40,1))&amp;MID(B40,2,200))</f>
        <v/>
      </c>
      <c r="E40" s="4" t="n"/>
      <c r="F40" s="4" t="n"/>
      <c r="G40" s="4" t="n"/>
      <c r="H40" s="4" t="n"/>
      <c r="I40" s="4" t="n"/>
      <c r="J40" s="4" t="n"/>
      <c r="K40" s="5">
        <f>_xlfn.TEXTJOIN(CHAR(10),TRUE,IF(E40="","","• "&amp;E40),IF(F40="","","• "&amp;F40),IF(G40="","","• "&amp;G40),IF(H40="","","• "&amp;H40),IF(I40="","","• "&amp;I40),IF(J40="","","• "&amp;J40))</f>
        <v/>
      </c>
      <c r="L40" s="4" t="n"/>
      <c r="M40" s="19" t="n"/>
      <c r="N40" s="19" t="n"/>
      <c r="O40" s="30">
        <f>IF(OR(M40="",N40=""),"",INDEX(RiskGrid,6-VALUE(LEFT(M40,1)),VALUE(LEFT(N40,1))))</f>
        <v/>
      </c>
      <c r="P40" s="30">
        <f>IF(O40="","",IF(O40&gt;=BandVH,"Very High",IF(O40&gt;=BandHigh,"High",IF(O40&gt;=BandMed,"Medium","Low"))))</f>
        <v/>
      </c>
      <c r="Q40" s="4" t="n"/>
      <c r="R40" s="19" t="n"/>
      <c r="S40" s="4" t="n"/>
      <c r="T40" s="19" t="n"/>
      <c r="U40" s="4" t="n"/>
      <c r="V40" s="19" t="n"/>
      <c r="W40" s="4" t="n"/>
      <c r="X40" s="19" t="n"/>
      <c r="Y40" s="4" t="n"/>
      <c r="Z40" s="19" t="n"/>
      <c r="AA40" s="4" t="n"/>
      <c r="AB40" s="19" t="n"/>
      <c r="AC40" s="5">
        <f>_xlfn.TEXTJOIN(CHAR(10),TRUE,IF(Q40="","","• "&amp;Q40&amp;IF(R40="Yes","  [IPL]","")),IF(S40="","","• "&amp;S40&amp;IF(T40="Yes","  [IPL]","")),IF(U40="","","• "&amp;U40&amp;IF(V40="Yes","  [IPL]","")),IF(W40="","","• "&amp;W40&amp;IF(X40="Yes","  [IPL]","")),IF(Y40="","","• "&amp;Y40&amp;IF(Z40="Yes","  [IPL]","")),IF(AA40="","","• "&amp;AA40&amp;IF(AB40="Yes","  [IPL]","")))</f>
        <v/>
      </c>
      <c r="AD40" s="30">
        <f>IF(AC40="","",COUNTIF(Q40:AB40,"Yes"))</f>
        <v/>
      </c>
      <c r="AE40" s="19" t="n"/>
      <c r="AF40" s="19" t="n"/>
      <c r="AG40" s="30">
        <f>IF(OR(AE40="",AF40=""),"",INDEX(RiskGrid,6-VALUE(LEFT(AE40,1)),VALUE(LEFT(AF40,1))))</f>
        <v/>
      </c>
      <c r="AH40" s="30">
        <f>IF(AG40="","",IF(AG40&gt;=BandVH,"Very High",IF(AG40&gt;=BandHigh,"High",IF(AG40&gt;=BandMed,"Medium","Low"))))</f>
        <v/>
      </c>
      <c r="AI40" s="4" t="n"/>
      <c r="AJ40" s="4" t="n"/>
    </row>
    <row r="41">
      <c r="A41" s="30">
        <f>IF(B41="","",COUNTIF(B$14:B41,"?*"))</f>
        <v/>
      </c>
      <c r="B41" s="4" t="n"/>
      <c r="C41" s="19" t="n"/>
      <c r="D41" s="5">
        <f>IF(OR(B41="",C41=""),"",UPPER(LEFT(C41,1))&amp;LOWER(MID(C41,2,30))&amp;" "&amp;LOWER(LEFT(B41,1))&amp;MID(B41,2,200))</f>
        <v/>
      </c>
      <c r="E41" s="4" t="n"/>
      <c r="F41" s="4" t="n"/>
      <c r="G41" s="4" t="n"/>
      <c r="H41" s="4" t="n"/>
      <c r="I41" s="4" t="n"/>
      <c r="J41" s="4" t="n"/>
      <c r="K41" s="5">
        <f>_xlfn.TEXTJOIN(CHAR(10),TRUE,IF(E41="","","• "&amp;E41),IF(F41="","","• "&amp;F41),IF(G41="","","• "&amp;G41),IF(H41="","","• "&amp;H41),IF(I41="","","• "&amp;I41),IF(J41="","","• "&amp;J41))</f>
        <v/>
      </c>
      <c r="L41" s="4" t="n"/>
      <c r="M41" s="19" t="n"/>
      <c r="N41" s="19" t="n"/>
      <c r="O41" s="30">
        <f>IF(OR(M41="",N41=""),"",INDEX(RiskGrid,6-VALUE(LEFT(M41,1)),VALUE(LEFT(N41,1))))</f>
        <v/>
      </c>
      <c r="P41" s="30">
        <f>IF(O41="","",IF(O41&gt;=BandVH,"Very High",IF(O41&gt;=BandHigh,"High",IF(O41&gt;=BandMed,"Medium","Low"))))</f>
        <v/>
      </c>
      <c r="Q41" s="4" t="n"/>
      <c r="R41" s="19" t="n"/>
      <c r="S41" s="4" t="n"/>
      <c r="T41" s="19" t="n"/>
      <c r="U41" s="4" t="n"/>
      <c r="V41" s="19" t="n"/>
      <c r="W41" s="4" t="n"/>
      <c r="X41" s="19" t="n"/>
      <c r="Y41" s="4" t="n"/>
      <c r="Z41" s="19" t="n"/>
      <c r="AA41" s="4" t="n"/>
      <c r="AB41" s="19" t="n"/>
      <c r="AC41" s="5">
        <f>_xlfn.TEXTJOIN(CHAR(10),TRUE,IF(Q41="","","• "&amp;Q41&amp;IF(R41="Yes","  [IPL]","")),IF(S41="","","• "&amp;S41&amp;IF(T41="Yes","  [IPL]","")),IF(U41="","","• "&amp;U41&amp;IF(V41="Yes","  [IPL]","")),IF(W41="","","• "&amp;W41&amp;IF(X41="Yes","  [IPL]","")),IF(Y41="","","• "&amp;Y41&amp;IF(Z41="Yes","  [IPL]","")),IF(AA41="","","• "&amp;AA41&amp;IF(AB41="Yes","  [IPL]","")))</f>
        <v/>
      </c>
      <c r="AD41" s="30">
        <f>IF(AC41="","",COUNTIF(Q41:AB41,"Yes"))</f>
        <v/>
      </c>
      <c r="AE41" s="19" t="n"/>
      <c r="AF41" s="19" t="n"/>
      <c r="AG41" s="30">
        <f>IF(OR(AE41="",AF41=""),"",INDEX(RiskGrid,6-VALUE(LEFT(AE41,1)),VALUE(LEFT(AF41,1))))</f>
        <v/>
      </c>
      <c r="AH41" s="30">
        <f>IF(AG41="","",IF(AG41&gt;=BandVH,"Very High",IF(AG41&gt;=BandHigh,"High",IF(AG41&gt;=BandMed,"Medium","Low"))))</f>
        <v/>
      </c>
      <c r="AI41" s="4" t="n"/>
      <c r="AJ41" s="4" t="n"/>
    </row>
    <row r="42">
      <c r="A42" s="30">
        <f>IF(B42="","",COUNTIF(B$14:B42,"?*"))</f>
        <v/>
      </c>
      <c r="B42" s="4" t="n"/>
      <c r="C42" s="19" t="n"/>
      <c r="D42" s="5">
        <f>IF(OR(B42="",C42=""),"",UPPER(LEFT(C42,1))&amp;LOWER(MID(C42,2,30))&amp;" "&amp;LOWER(LEFT(B42,1))&amp;MID(B42,2,200))</f>
        <v/>
      </c>
      <c r="E42" s="4" t="n"/>
      <c r="F42" s="4" t="n"/>
      <c r="G42" s="4" t="n"/>
      <c r="H42" s="4" t="n"/>
      <c r="I42" s="4" t="n"/>
      <c r="J42" s="4" t="n"/>
      <c r="K42" s="5">
        <f>_xlfn.TEXTJOIN(CHAR(10),TRUE,IF(E42="","","• "&amp;E42),IF(F42="","","• "&amp;F42),IF(G42="","","• "&amp;G42),IF(H42="","","• "&amp;H42),IF(I42="","","• "&amp;I42),IF(J42="","","• "&amp;J42))</f>
        <v/>
      </c>
      <c r="L42" s="4" t="n"/>
      <c r="M42" s="19" t="n"/>
      <c r="N42" s="19" t="n"/>
      <c r="O42" s="30">
        <f>IF(OR(M42="",N42=""),"",INDEX(RiskGrid,6-VALUE(LEFT(M42,1)),VALUE(LEFT(N42,1))))</f>
        <v/>
      </c>
      <c r="P42" s="30">
        <f>IF(O42="","",IF(O42&gt;=BandVH,"Very High",IF(O42&gt;=BandHigh,"High",IF(O42&gt;=BandMed,"Medium","Low"))))</f>
        <v/>
      </c>
      <c r="Q42" s="4" t="n"/>
      <c r="R42" s="19" t="n"/>
      <c r="S42" s="4" t="n"/>
      <c r="T42" s="19" t="n"/>
      <c r="U42" s="4" t="n"/>
      <c r="V42" s="19" t="n"/>
      <c r="W42" s="4" t="n"/>
      <c r="X42" s="19" t="n"/>
      <c r="Y42" s="4" t="n"/>
      <c r="Z42" s="19" t="n"/>
      <c r="AA42" s="4" t="n"/>
      <c r="AB42" s="19" t="n"/>
      <c r="AC42" s="5">
        <f>_xlfn.TEXTJOIN(CHAR(10),TRUE,IF(Q42="","","• "&amp;Q42&amp;IF(R42="Yes","  [IPL]","")),IF(S42="","","• "&amp;S42&amp;IF(T42="Yes","  [IPL]","")),IF(U42="","","• "&amp;U42&amp;IF(V42="Yes","  [IPL]","")),IF(W42="","","• "&amp;W42&amp;IF(X42="Yes","  [IPL]","")),IF(Y42="","","• "&amp;Y42&amp;IF(Z42="Yes","  [IPL]","")),IF(AA42="","","• "&amp;AA42&amp;IF(AB42="Yes","  [IPL]","")))</f>
        <v/>
      </c>
      <c r="AD42" s="30">
        <f>IF(AC42="","",COUNTIF(Q42:AB42,"Yes"))</f>
        <v/>
      </c>
      <c r="AE42" s="19" t="n"/>
      <c r="AF42" s="19" t="n"/>
      <c r="AG42" s="30">
        <f>IF(OR(AE42="",AF42=""),"",INDEX(RiskGrid,6-VALUE(LEFT(AE42,1)),VALUE(LEFT(AF42,1))))</f>
        <v/>
      </c>
      <c r="AH42" s="30">
        <f>IF(AG42="","",IF(AG42&gt;=BandVH,"Very High",IF(AG42&gt;=BandHigh,"High",IF(AG42&gt;=BandMed,"Medium","Low"))))</f>
        <v/>
      </c>
      <c r="AI42" s="4" t="n"/>
      <c r="AJ42" s="4" t="n"/>
    </row>
    <row r="43">
      <c r="A43" s="30">
        <f>IF(B43="","",COUNTIF(B$14:B43,"?*"))</f>
        <v/>
      </c>
      <c r="B43" s="4" t="n"/>
      <c r="C43" s="19" t="n"/>
      <c r="D43" s="5">
        <f>IF(OR(B43="",C43=""),"",UPPER(LEFT(C43,1))&amp;LOWER(MID(C43,2,30))&amp;" "&amp;LOWER(LEFT(B43,1))&amp;MID(B43,2,200))</f>
        <v/>
      </c>
      <c r="E43" s="4" t="n"/>
      <c r="F43" s="4" t="n"/>
      <c r="G43" s="4" t="n"/>
      <c r="H43" s="4" t="n"/>
      <c r="I43" s="4" t="n"/>
      <c r="J43" s="4" t="n"/>
      <c r="K43" s="5">
        <f>_xlfn.TEXTJOIN(CHAR(10),TRUE,IF(E43="","","• "&amp;E43),IF(F43="","","• "&amp;F43),IF(G43="","","• "&amp;G43),IF(H43="","","• "&amp;H43),IF(I43="","","• "&amp;I43),IF(J43="","","• "&amp;J43))</f>
        <v/>
      </c>
      <c r="L43" s="4" t="n"/>
      <c r="M43" s="19" t="n"/>
      <c r="N43" s="19" t="n"/>
      <c r="O43" s="30">
        <f>IF(OR(M43="",N43=""),"",INDEX(RiskGrid,6-VALUE(LEFT(M43,1)),VALUE(LEFT(N43,1))))</f>
        <v/>
      </c>
      <c r="P43" s="30">
        <f>IF(O43="","",IF(O43&gt;=BandVH,"Very High",IF(O43&gt;=BandHigh,"High",IF(O43&gt;=BandMed,"Medium","Low"))))</f>
        <v/>
      </c>
      <c r="Q43" s="4" t="n"/>
      <c r="R43" s="19" t="n"/>
      <c r="S43" s="4" t="n"/>
      <c r="T43" s="19" t="n"/>
      <c r="U43" s="4" t="n"/>
      <c r="V43" s="19" t="n"/>
      <c r="W43" s="4" t="n"/>
      <c r="X43" s="19" t="n"/>
      <c r="Y43" s="4" t="n"/>
      <c r="Z43" s="19" t="n"/>
      <c r="AA43" s="4" t="n"/>
      <c r="AB43" s="19" t="n"/>
      <c r="AC43" s="5">
        <f>_xlfn.TEXTJOIN(CHAR(10),TRUE,IF(Q43="","","• "&amp;Q43&amp;IF(R43="Yes","  [IPL]","")),IF(S43="","","• "&amp;S43&amp;IF(T43="Yes","  [IPL]","")),IF(U43="","","• "&amp;U43&amp;IF(V43="Yes","  [IPL]","")),IF(W43="","","• "&amp;W43&amp;IF(X43="Yes","  [IPL]","")),IF(Y43="","","• "&amp;Y43&amp;IF(Z43="Yes","  [IPL]","")),IF(AA43="","","• "&amp;AA43&amp;IF(AB43="Yes","  [IPL]","")))</f>
        <v/>
      </c>
      <c r="AD43" s="30">
        <f>IF(AC43="","",COUNTIF(Q43:AB43,"Yes"))</f>
        <v/>
      </c>
      <c r="AE43" s="19" t="n"/>
      <c r="AF43" s="19" t="n"/>
      <c r="AG43" s="30">
        <f>IF(OR(AE43="",AF43=""),"",INDEX(RiskGrid,6-VALUE(LEFT(AE43,1)),VALUE(LEFT(AF43,1))))</f>
        <v/>
      </c>
      <c r="AH43" s="30">
        <f>IF(AG43="","",IF(AG43&gt;=BandVH,"Very High",IF(AG43&gt;=BandHigh,"High",IF(AG43&gt;=BandMed,"Medium","Low"))))</f>
        <v/>
      </c>
      <c r="AI43" s="4" t="n"/>
      <c r="AJ43" s="4" t="n"/>
    </row>
    <row r="44">
      <c r="A44" s="30">
        <f>IF(B44="","",COUNTIF(B$14:B44,"?*"))</f>
        <v/>
      </c>
      <c r="B44" s="4" t="n"/>
      <c r="C44" s="19" t="n"/>
      <c r="D44" s="5">
        <f>IF(OR(B44="",C44=""),"",UPPER(LEFT(C44,1))&amp;LOWER(MID(C44,2,30))&amp;" "&amp;LOWER(LEFT(B44,1))&amp;MID(B44,2,200))</f>
        <v/>
      </c>
      <c r="E44" s="4" t="n"/>
      <c r="F44" s="4" t="n"/>
      <c r="G44" s="4" t="n"/>
      <c r="H44" s="4" t="n"/>
      <c r="I44" s="4" t="n"/>
      <c r="J44" s="4" t="n"/>
      <c r="K44" s="5">
        <f>_xlfn.TEXTJOIN(CHAR(10),TRUE,IF(E44="","","• "&amp;E44),IF(F44="","","• "&amp;F44),IF(G44="","","• "&amp;G44),IF(H44="","","• "&amp;H44),IF(I44="","","• "&amp;I44),IF(J44="","","• "&amp;J44))</f>
        <v/>
      </c>
      <c r="L44" s="4" t="n"/>
      <c r="M44" s="19" t="n"/>
      <c r="N44" s="19" t="n"/>
      <c r="O44" s="30">
        <f>IF(OR(M44="",N44=""),"",INDEX(RiskGrid,6-VALUE(LEFT(M44,1)),VALUE(LEFT(N44,1))))</f>
        <v/>
      </c>
      <c r="P44" s="30">
        <f>IF(O44="","",IF(O44&gt;=BandVH,"Very High",IF(O44&gt;=BandHigh,"High",IF(O44&gt;=BandMed,"Medium","Low"))))</f>
        <v/>
      </c>
      <c r="Q44" s="4" t="n"/>
      <c r="R44" s="19" t="n"/>
      <c r="S44" s="4" t="n"/>
      <c r="T44" s="19" t="n"/>
      <c r="U44" s="4" t="n"/>
      <c r="V44" s="19" t="n"/>
      <c r="W44" s="4" t="n"/>
      <c r="X44" s="19" t="n"/>
      <c r="Y44" s="4" t="n"/>
      <c r="Z44" s="19" t="n"/>
      <c r="AA44" s="4" t="n"/>
      <c r="AB44" s="19" t="n"/>
      <c r="AC44" s="5">
        <f>_xlfn.TEXTJOIN(CHAR(10),TRUE,IF(Q44="","","• "&amp;Q44&amp;IF(R44="Yes","  [IPL]","")),IF(S44="","","• "&amp;S44&amp;IF(T44="Yes","  [IPL]","")),IF(U44="","","• "&amp;U44&amp;IF(V44="Yes","  [IPL]","")),IF(W44="","","• "&amp;W44&amp;IF(X44="Yes","  [IPL]","")),IF(Y44="","","• "&amp;Y44&amp;IF(Z44="Yes","  [IPL]","")),IF(AA44="","","• "&amp;AA44&amp;IF(AB44="Yes","  [IPL]","")))</f>
        <v/>
      </c>
      <c r="AD44" s="30">
        <f>IF(AC44="","",COUNTIF(Q44:AB44,"Yes"))</f>
        <v/>
      </c>
      <c r="AE44" s="19" t="n"/>
      <c r="AF44" s="19" t="n"/>
      <c r="AG44" s="30">
        <f>IF(OR(AE44="",AF44=""),"",INDEX(RiskGrid,6-VALUE(LEFT(AE44,1)),VALUE(LEFT(AF44,1))))</f>
        <v/>
      </c>
      <c r="AH44" s="30">
        <f>IF(AG44="","",IF(AG44&gt;=BandVH,"Very High",IF(AG44&gt;=BandHigh,"High",IF(AG44&gt;=BandMed,"Medium","Low"))))</f>
        <v/>
      </c>
      <c r="AI44" s="4" t="n"/>
      <c r="AJ44" s="4" t="n"/>
    </row>
    <row r="45">
      <c r="A45" s="30">
        <f>IF(B45="","",COUNTIF(B$14:B45,"?*"))</f>
        <v/>
      </c>
      <c r="B45" s="4" t="n"/>
      <c r="C45" s="19" t="n"/>
      <c r="D45" s="5">
        <f>IF(OR(B45="",C45=""),"",UPPER(LEFT(C45,1))&amp;LOWER(MID(C45,2,30))&amp;" "&amp;LOWER(LEFT(B45,1))&amp;MID(B45,2,200))</f>
        <v/>
      </c>
      <c r="E45" s="4" t="n"/>
      <c r="F45" s="4" t="n"/>
      <c r="G45" s="4" t="n"/>
      <c r="H45" s="4" t="n"/>
      <c r="I45" s="4" t="n"/>
      <c r="J45" s="4" t="n"/>
      <c r="K45" s="5">
        <f>_xlfn.TEXTJOIN(CHAR(10),TRUE,IF(E45="","","• "&amp;E45),IF(F45="","","• "&amp;F45),IF(G45="","","• "&amp;G45),IF(H45="","","• "&amp;H45),IF(I45="","","• "&amp;I45),IF(J45="","","• "&amp;J45))</f>
        <v/>
      </c>
      <c r="L45" s="4" t="n"/>
      <c r="M45" s="19" t="n"/>
      <c r="N45" s="19" t="n"/>
      <c r="O45" s="30">
        <f>IF(OR(M45="",N45=""),"",INDEX(RiskGrid,6-VALUE(LEFT(M45,1)),VALUE(LEFT(N45,1))))</f>
        <v/>
      </c>
      <c r="P45" s="30">
        <f>IF(O45="","",IF(O45&gt;=BandVH,"Very High",IF(O45&gt;=BandHigh,"High",IF(O45&gt;=BandMed,"Medium","Low"))))</f>
        <v/>
      </c>
      <c r="Q45" s="4" t="n"/>
      <c r="R45" s="19" t="n"/>
      <c r="S45" s="4" t="n"/>
      <c r="T45" s="19" t="n"/>
      <c r="U45" s="4" t="n"/>
      <c r="V45" s="19" t="n"/>
      <c r="W45" s="4" t="n"/>
      <c r="X45" s="19" t="n"/>
      <c r="Y45" s="4" t="n"/>
      <c r="Z45" s="19" t="n"/>
      <c r="AA45" s="4" t="n"/>
      <c r="AB45" s="19" t="n"/>
      <c r="AC45" s="5">
        <f>_xlfn.TEXTJOIN(CHAR(10),TRUE,IF(Q45="","","• "&amp;Q45&amp;IF(R45="Yes","  [IPL]","")),IF(S45="","","• "&amp;S45&amp;IF(T45="Yes","  [IPL]","")),IF(U45="","","• "&amp;U45&amp;IF(V45="Yes","  [IPL]","")),IF(W45="","","• "&amp;W45&amp;IF(X45="Yes","  [IPL]","")),IF(Y45="","","• "&amp;Y45&amp;IF(Z45="Yes","  [IPL]","")),IF(AA45="","","• "&amp;AA45&amp;IF(AB45="Yes","  [IPL]","")))</f>
        <v/>
      </c>
      <c r="AD45" s="30">
        <f>IF(AC45="","",COUNTIF(Q45:AB45,"Yes"))</f>
        <v/>
      </c>
      <c r="AE45" s="19" t="n"/>
      <c r="AF45" s="19" t="n"/>
      <c r="AG45" s="30">
        <f>IF(OR(AE45="",AF45=""),"",INDEX(RiskGrid,6-VALUE(LEFT(AE45,1)),VALUE(LEFT(AF45,1))))</f>
        <v/>
      </c>
      <c r="AH45" s="30">
        <f>IF(AG45="","",IF(AG45&gt;=BandVH,"Very High",IF(AG45&gt;=BandHigh,"High",IF(AG45&gt;=BandMed,"Medium","Low"))))</f>
        <v/>
      </c>
      <c r="AI45" s="4" t="n"/>
      <c r="AJ45" s="4" t="n"/>
    </row>
    <row r="46">
      <c r="A46" s="30">
        <f>IF(B46="","",COUNTIF(B$14:B46,"?*"))</f>
        <v/>
      </c>
      <c r="B46" s="4" t="n"/>
      <c r="C46" s="19" t="n"/>
      <c r="D46" s="5">
        <f>IF(OR(B46="",C46=""),"",UPPER(LEFT(C46,1))&amp;LOWER(MID(C46,2,30))&amp;" "&amp;LOWER(LEFT(B46,1))&amp;MID(B46,2,200))</f>
        <v/>
      </c>
      <c r="E46" s="4" t="n"/>
      <c r="F46" s="4" t="n"/>
      <c r="G46" s="4" t="n"/>
      <c r="H46" s="4" t="n"/>
      <c r="I46" s="4" t="n"/>
      <c r="J46" s="4" t="n"/>
      <c r="K46" s="5">
        <f>_xlfn.TEXTJOIN(CHAR(10),TRUE,IF(E46="","","• "&amp;E46),IF(F46="","","• "&amp;F46),IF(G46="","","• "&amp;G46),IF(H46="","","• "&amp;H46),IF(I46="","","• "&amp;I46),IF(J46="","","• "&amp;J46))</f>
        <v/>
      </c>
      <c r="L46" s="4" t="n"/>
      <c r="M46" s="19" t="n"/>
      <c r="N46" s="19" t="n"/>
      <c r="O46" s="30">
        <f>IF(OR(M46="",N46=""),"",INDEX(RiskGrid,6-VALUE(LEFT(M46,1)),VALUE(LEFT(N46,1))))</f>
        <v/>
      </c>
      <c r="P46" s="30">
        <f>IF(O46="","",IF(O46&gt;=BandVH,"Very High",IF(O46&gt;=BandHigh,"High",IF(O46&gt;=BandMed,"Medium","Low"))))</f>
        <v/>
      </c>
      <c r="Q46" s="4" t="n"/>
      <c r="R46" s="19" t="n"/>
      <c r="S46" s="4" t="n"/>
      <c r="T46" s="19" t="n"/>
      <c r="U46" s="4" t="n"/>
      <c r="V46" s="19" t="n"/>
      <c r="W46" s="4" t="n"/>
      <c r="X46" s="19" t="n"/>
      <c r="Y46" s="4" t="n"/>
      <c r="Z46" s="19" t="n"/>
      <c r="AA46" s="4" t="n"/>
      <c r="AB46" s="19" t="n"/>
      <c r="AC46" s="5">
        <f>_xlfn.TEXTJOIN(CHAR(10),TRUE,IF(Q46="","","• "&amp;Q46&amp;IF(R46="Yes","  [IPL]","")),IF(S46="","","• "&amp;S46&amp;IF(T46="Yes","  [IPL]","")),IF(U46="","","• "&amp;U46&amp;IF(V46="Yes","  [IPL]","")),IF(W46="","","• "&amp;W46&amp;IF(X46="Yes","  [IPL]","")),IF(Y46="","","• "&amp;Y46&amp;IF(Z46="Yes","  [IPL]","")),IF(AA46="","","• "&amp;AA46&amp;IF(AB46="Yes","  [IPL]","")))</f>
        <v/>
      </c>
      <c r="AD46" s="30">
        <f>IF(AC46="","",COUNTIF(Q46:AB46,"Yes"))</f>
        <v/>
      </c>
      <c r="AE46" s="19" t="n"/>
      <c r="AF46" s="19" t="n"/>
      <c r="AG46" s="30">
        <f>IF(OR(AE46="",AF46=""),"",INDEX(RiskGrid,6-VALUE(LEFT(AE46,1)),VALUE(LEFT(AF46,1))))</f>
        <v/>
      </c>
      <c r="AH46" s="30">
        <f>IF(AG46="","",IF(AG46&gt;=BandVH,"Very High",IF(AG46&gt;=BandHigh,"High",IF(AG46&gt;=BandMed,"Medium","Low"))))</f>
        <v/>
      </c>
      <c r="AI46" s="4" t="n"/>
      <c r="AJ46" s="4" t="n"/>
    </row>
    <row r="47">
      <c r="A47" s="30">
        <f>IF(B47="","",COUNTIF(B$14:B47,"?*"))</f>
        <v/>
      </c>
      <c r="B47" s="4" t="n"/>
      <c r="C47" s="19" t="n"/>
      <c r="D47" s="5">
        <f>IF(OR(B47="",C47=""),"",UPPER(LEFT(C47,1))&amp;LOWER(MID(C47,2,30))&amp;" "&amp;LOWER(LEFT(B47,1))&amp;MID(B47,2,200))</f>
        <v/>
      </c>
      <c r="E47" s="4" t="n"/>
      <c r="F47" s="4" t="n"/>
      <c r="G47" s="4" t="n"/>
      <c r="H47" s="4" t="n"/>
      <c r="I47" s="4" t="n"/>
      <c r="J47" s="4" t="n"/>
      <c r="K47" s="5">
        <f>_xlfn.TEXTJOIN(CHAR(10),TRUE,IF(E47="","","• "&amp;E47),IF(F47="","","• "&amp;F47),IF(G47="","","• "&amp;G47),IF(H47="","","• "&amp;H47),IF(I47="","","• "&amp;I47),IF(J47="","","• "&amp;J47))</f>
        <v/>
      </c>
      <c r="L47" s="4" t="n"/>
      <c r="M47" s="19" t="n"/>
      <c r="N47" s="19" t="n"/>
      <c r="O47" s="30">
        <f>IF(OR(M47="",N47=""),"",INDEX(RiskGrid,6-VALUE(LEFT(M47,1)),VALUE(LEFT(N47,1))))</f>
        <v/>
      </c>
      <c r="P47" s="30">
        <f>IF(O47="","",IF(O47&gt;=BandVH,"Very High",IF(O47&gt;=BandHigh,"High",IF(O47&gt;=BandMed,"Medium","Low"))))</f>
        <v/>
      </c>
      <c r="Q47" s="4" t="n"/>
      <c r="R47" s="19" t="n"/>
      <c r="S47" s="4" t="n"/>
      <c r="T47" s="19" t="n"/>
      <c r="U47" s="4" t="n"/>
      <c r="V47" s="19" t="n"/>
      <c r="W47" s="4" t="n"/>
      <c r="X47" s="19" t="n"/>
      <c r="Y47" s="4" t="n"/>
      <c r="Z47" s="19" t="n"/>
      <c r="AA47" s="4" t="n"/>
      <c r="AB47" s="19" t="n"/>
      <c r="AC47" s="5">
        <f>_xlfn.TEXTJOIN(CHAR(10),TRUE,IF(Q47="","","• "&amp;Q47&amp;IF(R47="Yes","  [IPL]","")),IF(S47="","","• "&amp;S47&amp;IF(T47="Yes","  [IPL]","")),IF(U47="","","• "&amp;U47&amp;IF(V47="Yes","  [IPL]","")),IF(W47="","","• "&amp;W47&amp;IF(X47="Yes","  [IPL]","")),IF(Y47="","","• "&amp;Y47&amp;IF(Z47="Yes","  [IPL]","")),IF(AA47="","","• "&amp;AA47&amp;IF(AB47="Yes","  [IPL]","")))</f>
        <v/>
      </c>
      <c r="AD47" s="30">
        <f>IF(AC47="","",COUNTIF(Q47:AB47,"Yes"))</f>
        <v/>
      </c>
      <c r="AE47" s="19" t="n"/>
      <c r="AF47" s="19" t="n"/>
      <c r="AG47" s="30">
        <f>IF(OR(AE47="",AF47=""),"",INDEX(RiskGrid,6-VALUE(LEFT(AE47,1)),VALUE(LEFT(AF47,1))))</f>
        <v/>
      </c>
      <c r="AH47" s="30">
        <f>IF(AG47="","",IF(AG47&gt;=BandVH,"Very High",IF(AG47&gt;=BandHigh,"High",IF(AG47&gt;=BandMed,"Medium","Low"))))</f>
        <v/>
      </c>
      <c r="AI47" s="4" t="n"/>
      <c r="AJ47" s="4" t="n"/>
    </row>
    <row r="48">
      <c r="A48" s="30">
        <f>IF(B48="","",COUNTIF(B$14:B48,"?*"))</f>
        <v/>
      </c>
      <c r="B48" s="4" t="n"/>
      <c r="C48" s="19" t="n"/>
      <c r="D48" s="5">
        <f>IF(OR(B48="",C48=""),"",UPPER(LEFT(C48,1))&amp;LOWER(MID(C48,2,30))&amp;" "&amp;LOWER(LEFT(B48,1))&amp;MID(B48,2,200))</f>
        <v/>
      </c>
      <c r="E48" s="4" t="n"/>
      <c r="F48" s="4" t="n"/>
      <c r="G48" s="4" t="n"/>
      <c r="H48" s="4" t="n"/>
      <c r="I48" s="4" t="n"/>
      <c r="J48" s="4" t="n"/>
      <c r="K48" s="5">
        <f>_xlfn.TEXTJOIN(CHAR(10),TRUE,IF(E48="","","• "&amp;E48),IF(F48="","","• "&amp;F48),IF(G48="","","• "&amp;G48),IF(H48="","","• "&amp;H48),IF(I48="","","• "&amp;I48),IF(J48="","","• "&amp;J48))</f>
        <v/>
      </c>
      <c r="L48" s="4" t="n"/>
      <c r="M48" s="19" t="n"/>
      <c r="N48" s="19" t="n"/>
      <c r="O48" s="30">
        <f>IF(OR(M48="",N48=""),"",INDEX(RiskGrid,6-VALUE(LEFT(M48,1)),VALUE(LEFT(N48,1))))</f>
        <v/>
      </c>
      <c r="P48" s="30">
        <f>IF(O48="","",IF(O48&gt;=BandVH,"Very High",IF(O48&gt;=BandHigh,"High",IF(O48&gt;=BandMed,"Medium","Low"))))</f>
        <v/>
      </c>
      <c r="Q48" s="4" t="n"/>
      <c r="R48" s="19" t="n"/>
      <c r="S48" s="4" t="n"/>
      <c r="T48" s="19" t="n"/>
      <c r="U48" s="4" t="n"/>
      <c r="V48" s="19" t="n"/>
      <c r="W48" s="4" t="n"/>
      <c r="X48" s="19" t="n"/>
      <c r="Y48" s="4" t="n"/>
      <c r="Z48" s="19" t="n"/>
      <c r="AA48" s="4" t="n"/>
      <c r="AB48" s="19" t="n"/>
      <c r="AC48" s="5">
        <f>_xlfn.TEXTJOIN(CHAR(10),TRUE,IF(Q48="","","• "&amp;Q48&amp;IF(R48="Yes","  [IPL]","")),IF(S48="","","• "&amp;S48&amp;IF(T48="Yes","  [IPL]","")),IF(U48="","","• "&amp;U48&amp;IF(V48="Yes","  [IPL]","")),IF(W48="","","• "&amp;W48&amp;IF(X48="Yes","  [IPL]","")),IF(Y48="","","• "&amp;Y48&amp;IF(Z48="Yes","  [IPL]","")),IF(AA48="","","• "&amp;AA48&amp;IF(AB48="Yes","  [IPL]","")))</f>
        <v/>
      </c>
      <c r="AD48" s="30">
        <f>IF(AC48="","",COUNTIF(Q48:AB48,"Yes"))</f>
        <v/>
      </c>
      <c r="AE48" s="19" t="n"/>
      <c r="AF48" s="19" t="n"/>
      <c r="AG48" s="30">
        <f>IF(OR(AE48="",AF48=""),"",INDEX(RiskGrid,6-VALUE(LEFT(AE48,1)),VALUE(LEFT(AF48,1))))</f>
        <v/>
      </c>
      <c r="AH48" s="30">
        <f>IF(AG48="","",IF(AG48&gt;=BandVH,"Very High",IF(AG48&gt;=BandHigh,"High",IF(AG48&gt;=BandMed,"Medium","Low"))))</f>
        <v/>
      </c>
      <c r="AI48" s="4" t="n"/>
      <c r="AJ48" s="4" t="n"/>
    </row>
    <row r="49">
      <c r="A49" s="30">
        <f>IF(B49="","",COUNTIF(B$14:B49,"?*"))</f>
        <v/>
      </c>
      <c r="B49" s="4" t="n"/>
      <c r="C49" s="19" t="n"/>
      <c r="D49" s="5">
        <f>IF(OR(B49="",C49=""),"",UPPER(LEFT(C49,1))&amp;LOWER(MID(C49,2,30))&amp;" "&amp;LOWER(LEFT(B49,1))&amp;MID(B49,2,200))</f>
        <v/>
      </c>
      <c r="E49" s="4" t="n"/>
      <c r="F49" s="4" t="n"/>
      <c r="G49" s="4" t="n"/>
      <c r="H49" s="4" t="n"/>
      <c r="I49" s="4" t="n"/>
      <c r="J49" s="4" t="n"/>
      <c r="K49" s="5">
        <f>_xlfn.TEXTJOIN(CHAR(10),TRUE,IF(E49="","","• "&amp;E49),IF(F49="","","• "&amp;F49),IF(G49="","","• "&amp;G49),IF(H49="","","• "&amp;H49),IF(I49="","","• "&amp;I49),IF(J49="","","• "&amp;J49))</f>
        <v/>
      </c>
      <c r="L49" s="4" t="n"/>
      <c r="M49" s="19" t="n"/>
      <c r="N49" s="19" t="n"/>
      <c r="O49" s="30">
        <f>IF(OR(M49="",N49=""),"",INDEX(RiskGrid,6-VALUE(LEFT(M49,1)),VALUE(LEFT(N49,1))))</f>
        <v/>
      </c>
      <c r="P49" s="30">
        <f>IF(O49="","",IF(O49&gt;=BandVH,"Very High",IF(O49&gt;=BandHigh,"High",IF(O49&gt;=BandMed,"Medium","Low"))))</f>
        <v/>
      </c>
      <c r="Q49" s="4" t="n"/>
      <c r="R49" s="19" t="n"/>
      <c r="S49" s="4" t="n"/>
      <c r="T49" s="19" t="n"/>
      <c r="U49" s="4" t="n"/>
      <c r="V49" s="19" t="n"/>
      <c r="W49" s="4" t="n"/>
      <c r="X49" s="19" t="n"/>
      <c r="Y49" s="4" t="n"/>
      <c r="Z49" s="19" t="n"/>
      <c r="AA49" s="4" t="n"/>
      <c r="AB49" s="19" t="n"/>
      <c r="AC49" s="5">
        <f>_xlfn.TEXTJOIN(CHAR(10),TRUE,IF(Q49="","","• "&amp;Q49&amp;IF(R49="Yes","  [IPL]","")),IF(S49="","","• "&amp;S49&amp;IF(T49="Yes","  [IPL]","")),IF(U49="","","• "&amp;U49&amp;IF(V49="Yes","  [IPL]","")),IF(W49="","","• "&amp;W49&amp;IF(X49="Yes","  [IPL]","")),IF(Y49="","","• "&amp;Y49&amp;IF(Z49="Yes","  [IPL]","")),IF(AA49="","","• "&amp;AA49&amp;IF(AB49="Yes","  [IPL]","")))</f>
        <v/>
      </c>
      <c r="AD49" s="30">
        <f>IF(AC49="","",COUNTIF(Q49:AB49,"Yes"))</f>
        <v/>
      </c>
      <c r="AE49" s="19" t="n"/>
      <c r="AF49" s="19" t="n"/>
      <c r="AG49" s="30">
        <f>IF(OR(AE49="",AF49=""),"",INDEX(RiskGrid,6-VALUE(LEFT(AE49,1)),VALUE(LEFT(AF49,1))))</f>
        <v/>
      </c>
      <c r="AH49" s="30">
        <f>IF(AG49="","",IF(AG49&gt;=BandVH,"Very High",IF(AG49&gt;=BandHigh,"High",IF(AG49&gt;=BandMed,"Medium","Low"))))</f>
        <v/>
      </c>
      <c r="AI49" s="4" t="n"/>
      <c r="AJ49" s="4" t="n"/>
    </row>
    <row r="50">
      <c r="A50" s="30">
        <f>IF(B50="","",COUNTIF(B$14:B50,"?*"))</f>
        <v/>
      </c>
      <c r="B50" s="4" t="n"/>
      <c r="C50" s="19" t="n"/>
      <c r="D50" s="5">
        <f>IF(OR(B50="",C50=""),"",UPPER(LEFT(C50,1))&amp;LOWER(MID(C50,2,30))&amp;" "&amp;LOWER(LEFT(B50,1))&amp;MID(B50,2,200))</f>
        <v/>
      </c>
      <c r="E50" s="4" t="n"/>
      <c r="F50" s="4" t="n"/>
      <c r="G50" s="4" t="n"/>
      <c r="H50" s="4" t="n"/>
      <c r="I50" s="4" t="n"/>
      <c r="J50" s="4" t="n"/>
      <c r="K50" s="5">
        <f>_xlfn.TEXTJOIN(CHAR(10),TRUE,IF(E50="","","• "&amp;E50),IF(F50="","","• "&amp;F50),IF(G50="","","• "&amp;G50),IF(H50="","","• "&amp;H50),IF(I50="","","• "&amp;I50),IF(J50="","","• "&amp;J50))</f>
        <v/>
      </c>
      <c r="L50" s="4" t="n"/>
      <c r="M50" s="19" t="n"/>
      <c r="N50" s="19" t="n"/>
      <c r="O50" s="30">
        <f>IF(OR(M50="",N50=""),"",INDEX(RiskGrid,6-VALUE(LEFT(M50,1)),VALUE(LEFT(N50,1))))</f>
        <v/>
      </c>
      <c r="P50" s="30">
        <f>IF(O50="","",IF(O50&gt;=BandVH,"Very High",IF(O50&gt;=BandHigh,"High",IF(O50&gt;=BandMed,"Medium","Low"))))</f>
        <v/>
      </c>
      <c r="Q50" s="4" t="n"/>
      <c r="R50" s="19" t="n"/>
      <c r="S50" s="4" t="n"/>
      <c r="T50" s="19" t="n"/>
      <c r="U50" s="4" t="n"/>
      <c r="V50" s="19" t="n"/>
      <c r="W50" s="4" t="n"/>
      <c r="X50" s="19" t="n"/>
      <c r="Y50" s="4" t="n"/>
      <c r="Z50" s="19" t="n"/>
      <c r="AA50" s="4" t="n"/>
      <c r="AB50" s="19" t="n"/>
      <c r="AC50" s="5">
        <f>_xlfn.TEXTJOIN(CHAR(10),TRUE,IF(Q50="","","• "&amp;Q50&amp;IF(R50="Yes","  [IPL]","")),IF(S50="","","• "&amp;S50&amp;IF(T50="Yes","  [IPL]","")),IF(U50="","","• "&amp;U50&amp;IF(V50="Yes","  [IPL]","")),IF(W50="","","• "&amp;W50&amp;IF(X50="Yes","  [IPL]","")),IF(Y50="","","• "&amp;Y50&amp;IF(Z50="Yes","  [IPL]","")),IF(AA50="","","• "&amp;AA50&amp;IF(AB50="Yes","  [IPL]","")))</f>
        <v/>
      </c>
      <c r="AD50" s="30">
        <f>IF(AC50="","",COUNTIF(Q50:AB50,"Yes"))</f>
        <v/>
      </c>
      <c r="AE50" s="19" t="n"/>
      <c r="AF50" s="19" t="n"/>
      <c r="AG50" s="30">
        <f>IF(OR(AE50="",AF50=""),"",INDEX(RiskGrid,6-VALUE(LEFT(AE50,1)),VALUE(LEFT(AF50,1))))</f>
        <v/>
      </c>
      <c r="AH50" s="30">
        <f>IF(AG50="","",IF(AG50&gt;=BandVH,"Very High",IF(AG50&gt;=BandHigh,"High",IF(AG50&gt;=BandMed,"Medium","Low"))))</f>
        <v/>
      </c>
      <c r="AI50" s="4" t="n"/>
      <c r="AJ50" s="4" t="n"/>
    </row>
    <row r="51">
      <c r="A51" s="30">
        <f>IF(B51="","",COUNTIF(B$14:B51,"?*"))</f>
        <v/>
      </c>
      <c r="B51" s="4" t="n"/>
      <c r="C51" s="19" t="n"/>
      <c r="D51" s="5">
        <f>IF(OR(B51="",C51=""),"",UPPER(LEFT(C51,1))&amp;LOWER(MID(C51,2,30))&amp;" "&amp;LOWER(LEFT(B51,1))&amp;MID(B51,2,200))</f>
        <v/>
      </c>
      <c r="E51" s="4" t="n"/>
      <c r="F51" s="4" t="n"/>
      <c r="G51" s="4" t="n"/>
      <c r="H51" s="4" t="n"/>
      <c r="I51" s="4" t="n"/>
      <c r="J51" s="4" t="n"/>
      <c r="K51" s="5">
        <f>_xlfn.TEXTJOIN(CHAR(10),TRUE,IF(E51="","","• "&amp;E51),IF(F51="","","• "&amp;F51),IF(G51="","","• "&amp;G51),IF(H51="","","• "&amp;H51),IF(I51="","","• "&amp;I51),IF(J51="","","• "&amp;J51))</f>
        <v/>
      </c>
      <c r="L51" s="4" t="n"/>
      <c r="M51" s="19" t="n"/>
      <c r="N51" s="19" t="n"/>
      <c r="O51" s="30">
        <f>IF(OR(M51="",N51=""),"",INDEX(RiskGrid,6-VALUE(LEFT(M51,1)),VALUE(LEFT(N51,1))))</f>
        <v/>
      </c>
      <c r="P51" s="30">
        <f>IF(O51="","",IF(O51&gt;=BandVH,"Very High",IF(O51&gt;=BandHigh,"High",IF(O51&gt;=BandMed,"Medium","Low"))))</f>
        <v/>
      </c>
      <c r="Q51" s="4" t="n"/>
      <c r="R51" s="19" t="n"/>
      <c r="S51" s="4" t="n"/>
      <c r="T51" s="19" t="n"/>
      <c r="U51" s="4" t="n"/>
      <c r="V51" s="19" t="n"/>
      <c r="W51" s="4" t="n"/>
      <c r="X51" s="19" t="n"/>
      <c r="Y51" s="4" t="n"/>
      <c r="Z51" s="19" t="n"/>
      <c r="AA51" s="4" t="n"/>
      <c r="AB51" s="19" t="n"/>
      <c r="AC51" s="5">
        <f>_xlfn.TEXTJOIN(CHAR(10),TRUE,IF(Q51="","","• "&amp;Q51&amp;IF(R51="Yes","  [IPL]","")),IF(S51="","","• "&amp;S51&amp;IF(T51="Yes","  [IPL]","")),IF(U51="","","• "&amp;U51&amp;IF(V51="Yes","  [IPL]","")),IF(W51="","","• "&amp;W51&amp;IF(X51="Yes","  [IPL]","")),IF(Y51="","","• "&amp;Y51&amp;IF(Z51="Yes","  [IPL]","")),IF(AA51="","","• "&amp;AA51&amp;IF(AB51="Yes","  [IPL]","")))</f>
        <v/>
      </c>
      <c r="AD51" s="30">
        <f>IF(AC51="","",COUNTIF(Q51:AB51,"Yes"))</f>
        <v/>
      </c>
      <c r="AE51" s="19" t="n"/>
      <c r="AF51" s="19" t="n"/>
      <c r="AG51" s="30">
        <f>IF(OR(AE51="",AF51=""),"",INDEX(RiskGrid,6-VALUE(LEFT(AE51,1)),VALUE(LEFT(AF51,1))))</f>
        <v/>
      </c>
      <c r="AH51" s="30">
        <f>IF(AG51="","",IF(AG51&gt;=BandVH,"Very High",IF(AG51&gt;=BandHigh,"High",IF(AG51&gt;=BandMed,"Medium","Low"))))</f>
        <v/>
      </c>
      <c r="AI51" s="4" t="n"/>
      <c r="AJ51" s="4" t="n"/>
    </row>
    <row r="52">
      <c r="A52" s="30">
        <f>IF(B52="","",COUNTIF(B$14:B52,"?*"))</f>
        <v/>
      </c>
      <c r="B52" s="4" t="n"/>
      <c r="C52" s="19" t="n"/>
      <c r="D52" s="5">
        <f>IF(OR(B52="",C52=""),"",UPPER(LEFT(C52,1))&amp;LOWER(MID(C52,2,30))&amp;" "&amp;LOWER(LEFT(B52,1))&amp;MID(B52,2,200))</f>
        <v/>
      </c>
      <c r="E52" s="4" t="n"/>
      <c r="F52" s="4" t="n"/>
      <c r="G52" s="4" t="n"/>
      <c r="H52" s="4" t="n"/>
      <c r="I52" s="4" t="n"/>
      <c r="J52" s="4" t="n"/>
      <c r="K52" s="5">
        <f>_xlfn.TEXTJOIN(CHAR(10),TRUE,IF(E52="","","• "&amp;E52),IF(F52="","","• "&amp;F52),IF(G52="","","• "&amp;G52),IF(H52="","","• "&amp;H52),IF(I52="","","• "&amp;I52),IF(J52="","","• "&amp;J52))</f>
        <v/>
      </c>
      <c r="L52" s="4" t="n"/>
      <c r="M52" s="19" t="n"/>
      <c r="N52" s="19" t="n"/>
      <c r="O52" s="30">
        <f>IF(OR(M52="",N52=""),"",INDEX(RiskGrid,6-VALUE(LEFT(M52,1)),VALUE(LEFT(N52,1))))</f>
        <v/>
      </c>
      <c r="P52" s="30">
        <f>IF(O52="","",IF(O52&gt;=BandVH,"Very High",IF(O52&gt;=BandHigh,"High",IF(O52&gt;=BandMed,"Medium","Low"))))</f>
        <v/>
      </c>
      <c r="Q52" s="4" t="n"/>
      <c r="R52" s="19" t="n"/>
      <c r="S52" s="4" t="n"/>
      <c r="T52" s="19" t="n"/>
      <c r="U52" s="4" t="n"/>
      <c r="V52" s="19" t="n"/>
      <c r="W52" s="4" t="n"/>
      <c r="X52" s="19" t="n"/>
      <c r="Y52" s="4" t="n"/>
      <c r="Z52" s="19" t="n"/>
      <c r="AA52" s="4" t="n"/>
      <c r="AB52" s="19" t="n"/>
      <c r="AC52" s="5">
        <f>_xlfn.TEXTJOIN(CHAR(10),TRUE,IF(Q52="","","• "&amp;Q52&amp;IF(R52="Yes","  [IPL]","")),IF(S52="","","• "&amp;S52&amp;IF(T52="Yes","  [IPL]","")),IF(U52="","","• "&amp;U52&amp;IF(V52="Yes","  [IPL]","")),IF(W52="","","• "&amp;W52&amp;IF(X52="Yes","  [IPL]","")),IF(Y52="","","• "&amp;Y52&amp;IF(Z52="Yes","  [IPL]","")),IF(AA52="","","• "&amp;AA52&amp;IF(AB52="Yes","  [IPL]","")))</f>
        <v/>
      </c>
      <c r="AD52" s="30">
        <f>IF(AC52="","",COUNTIF(Q52:AB52,"Yes"))</f>
        <v/>
      </c>
      <c r="AE52" s="19" t="n"/>
      <c r="AF52" s="19" t="n"/>
      <c r="AG52" s="30">
        <f>IF(OR(AE52="",AF52=""),"",INDEX(RiskGrid,6-VALUE(LEFT(AE52,1)),VALUE(LEFT(AF52,1))))</f>
        <v/>
      </c>
      <c r="AH52" s="30">
        <f>IF(AG52="","",IF(AG52&gt;=BandVH,"Very High",IF(AG52&gt;=BandHigh,"High",IF(AG52&gt;=BandMed,"Medium","Low"))))</f>
        <v/>
      </c>
      <c r="AI52" s="4" t="n"/>
      <c r="AJ52" s="4" t="n"/>
    </row>
    <row r="53">
      <c r="A53" s="30">
        <f>IF(B53="","",COUNTIF(B$14:B53,"?*"))</f>
        <v/>
      </c>
      <c r="B53" s="4" t="n"/>
      <c r="C53" s="19" t="n"/>
      <c r="D53" s="5">
        <f>IF(OR(B53="",C53=""),"",UPPER(LEFT(C53,1))&amp;LOWER(MID(C53,2,30))&amp;" "&amp;LOWER(LEFT(B53,1))&amp;MID(B53,2,200))</f>
        <v/>
      </c>
      <c r="E53" s="4" t="n"/>
      <c r="F53" s="4" t="n"/>
      <c r="G53" s="4" t="n"/>
      <c r="H53" s="4" t="n"/>
      <c r="I53" s="4" t="n"/>
      <c r="J53" s="4" t="n"/>
      <c r="K53" s="5">
        <f>_xlfn.TEXTJOIN(CHAR(10),TRUE,IF(E53="","","• "&amp;E53),IF(F53="","","• "&amp;F53),IF(G53="","","• "&amp;G53),IF(H53="","","• "&amp;H53),IF(I53="","","• "&amp;I53),IF(J53="","","• "&amp;J53))</f>
        <v/>
      </c>
      <c r="L53" s="4" t="n"/>
      <c r="M53" s="19" t="n"/>
      <c r="N53" s="19" t="n"/>
      <c r="O53" s="30">
        <f>IF(OR(M53="",N53=""),"",INDEX(RiskGrid,6-VALUE(LEFT(M53,1)),VALUE(LEFT(N53,1))))</f>
        <v/>
      </c>
      <c r="P53" s="30">
        <f>IF(O53="","",IF(O53&gt;=BandVH,"Very High",IF(O53&gt;=BandHigh,"High",IF(O53&gt;=BandMed,"Medium","Low"))))</f>
        <v/>
      </c>
      <c r="Q53" s="4" t="n"/>
      <c r="R53" s="19" t="n"/>
      <c r="S53" s="4" t="n"/>
      <c r="T53" s="19" t="n"/>
      <c r="U53" s="4" t="n"/>
      <c r="V53" s="19" t="n"/>
      <c r="W53" s="4" t="n"/>
      <c r="X53" s="19" t="n"/>
      <c r="Y53" s="4" t="n"/>
      <c r="Z53" s="19" t="n"/>
      <c r="AA53" s="4" t="n"/>
      <c r="AB53" s="19" t="n"/>
      <c r="AC53" s="5">
        <f>_xlfn.TEXTJOIN(CHAR(10),TRUE,IF(Q53="","","• "&amp;Q53&amp;IF(R53="Yes","  [IPL]","")),IF(S53="","","• "&amp;S53&amp;IF(T53="Yes","  [IPL]","")),IF(U53="","","• "&amp;U53&amp;IF(V53="Yes","  [IPL]","")),IF(W53="","","• "&amp;W53&amp;IF(X53="Yes","  [IPL]","")),IF(Y53="","","• "&amp;Y53&amp;IF(Z53="Yes","  [IPL]","")),IF(AA53="","","• "&amp;AA53&amp;IF(AB53="Yes","  [IPL]","")))</f>
        <v/>
      </c>
      <c r="AD53" s="30">
        <f>IF(AC53="","",COUNTIF(Q53:AB53,"Yes"))</f>
        <v/>
      </c>
      <c r="AE53" s="19" t="n"/>
      <c r="AF53" s="19" t="n"/>
      <c r="AG53" s="30">
        <f>IF(OR(AE53="",AF53=""),"",INDEX(RiskGrid,6-VALUE(LEFT(AE53,1)),VALUE(LEFT(AF53,1))))</f>
        <v/>
      </c>
      <c r="AH53" s="30">
        <f>IF(AG53="","",IF(AG53&gt;=BandVH,"Very High",IF(AG53&gt;=BandHigh,"High",IF(AG53&gt;=BandMed,"Medium","Low"))))</f>
        <v/>
      </c>
      <c r="AI53" s="4" t="n"/>
      <c r="AJ53" s="4" t="n"/>
    </row>
    <row r="54">
      <c r="A54" s="30">
        <f>IF(B54="","",COUNTIF(B$14:B54,"?*"))</f>
        <v/>
      </c>
      <c r="B54" s="4" t="n"/>
      <c r="C54" s="19" t="n"/>
      <c r="D54" s="5">
        <f>IF(OR(B54="",C54=""),"",UPPER(LEFT(C54,1))&amp;LOWER(MID(C54,2,30))&amp;" "&amp;LOWER(LEFT(B54,1))&amp;MID(B54,2,200))</f>
        <v/>
      </c>
      <c r="E54" s="4" t="n"/>
      <c r="F54" s="4" t="n"/>
      <c r="G54" s="4" t="n"/>
      <c r="H54" s="4" t="n"/>
      <c r="I54" s="4" t="n"/>
      <c r="J54" s="4" t="n"/>
      <c r="K54" s="5">
        <f>_xlfn.TEXTJOIN(CHAR(10),TRUE,IF(E54="","","• "&amp;E54),IF(F54="","","• "&amp;F54),IF(G54="","","• "&amp;G54),IF(H54="","","• "&amp;H54),IF(I54="","","• "&amp;I54),IF(J54="","","• "&amp;J54))</f>
        <v/>
      </c>
      <c r="L54" s="4" t="n"/>
      <c r="M54" s="19" t="n"/>
      <c r="N54" s="19" t="n"/>
      <c r="O54" s="30">
        <f>IF(OR(M54="",N54=""),"",INDEX(RiskGrid,6-VALUE(LEFT(M54,1)),VALUE(LEFT(N54,1))))</f>
        <v/>
      </c>
      <c r="P54" s="30">
        <f>IF(O54="","",IF(O54&gt;=BandVH,"Very High",IF(O54&gt;=BandHigh,"High",IF(O54&gt;=BandMed,"Medium","Low"))))</f>
        <v/>
      </c>
      <c r="Q54" s="4" t="n"/>
      <c r="R54" s="19" t="n"/>
      <c r="S54" s="4" t="n"/>
      <c r="T54" s="19" t="n"/>
      <c r="U54" s="4" t="n"/>
      <c r="V54" s="19" t="n"/>
      <c r="W54" s="4" t="n"/>
      <c r="X54" s="19" t="n"/>
      <c r="Y54" s="4" t="n"/>
      <c r="Z54" s="19" t="n"/>
      <c r="AA54" s="4" t="n"/>
      <c r="AB54" s="19" t="n"/>
      <c r="AC54" s="5">
        <f>_xlfn.TEXTJOIN(CHAR(10),TRUE,IF(Q54="","","• "&amp;Q54&amp;IF(R54="Yes","  [IPL]","")),IF(S54="","","• "&amp;S54&amp;IF(T54="Yes","  [IPL]","")),IF(U54="","","• "&amp;U54&amp;IF(V54="Yes","  [IPL]","")),IF(W54="","","• "&amp;W54&amp;IF(X54="Yes","  [IPL]","")),IF(Y54="","","• "&amp;Y54&amp;IF(Z54="Yes","  [IPL]","")),IF(AA54="","","• "&amp;AA54&amp;IF(AB54="Yes","  [IPL]","")))</f>
        <v/>
      </c>
      <c r="AD54" s="30">
        <f>IF(AC54="","",COUNTIF(Q54:AB54,"Yes"))</f>
        <v/>
      </c>
      <c r="AE54" s="19" t="n"/>
      <c r="AF54" s="19" t="n"/>
      <c r="AG54" s="30">
        <f>IF(OR(AE54="",AF54=""),"",INDEX(RiskGrid,6-VALUE(LEFT(AE54,1)),VALUE(LEFT(AF54,1))))</f>
        <v/>
      </c>
      <c r="AH54" s="30">
        <f>IF(AG54="","",IF(AG54&gt;=BandVH,"Very High",IF(AG54&gt;=BandHigh,"High",IF(AG54&gt;=BandMed,"Medium","Low"))))</f>
        <v/>
      </c>
      <c r="AI54" s="4" t="n"/>
      <c r="AJ54" s="4" t="n"/>
    </row>
    <row r="55">
      <c r="A55" s="30">
        <f>IF(B55="","",COUNTIF(B$14:B55,"?*"))</f>
        <v/>
      </c>
      <c r="B55" s="4" t="n"/>
      <c r="C55" s="19" t="n"/>
      <c r="D55" s="5">
        <f>IF(OR(B55="",C55=""),"",UPPER(LEFT(C55,1))&amp;LOWER(MID(C55,2,30))&amp;" "&amp;LOWER(LEFT(B55,1))&amp;MID(B55,2,200))</f>
        <v/>
      </c>
      <c r="E55" s="4" t="n"/>
      <c r="F55" s="4" t="n"/>
      <c r="G55" s="4" t="n"/>
      <c r="H55" s="4" t="n"/>
      <c r="I55" s="4" t="n"/>
      <c r="J55" s="4" t="n"/>
      <c r="K55" s="5">
        <f>_xlfn.TEXTJOIN(CHAR(10),TRUE,IF(E55="","","• "&amp;E55),IF(F55="","","• "&amp;F55),IF(G55="","","• "&amp;G55),IF(H55="","","• "&amp;H55),IF(I55="","","• "&amp;I55),IF(J55="","","• "&amp;J55))</f>
        <v/>
      </c>
      <c r="L55" s="4" t="n"/>
      <c r="M55" s="19" t="n"/>
      <c r="N55" s="19" t="n"/>
      <c r="O55" s="30">
        <f>IF(OR(M55="",N55=""),"",INDEX(RiskGrid,6-VALUE(LEFT(M55,1)),VALUE(LEFT(N55,1))))</f>
        <v/>
      </c>
      <c r="P55" s="30">
        <f>IF(O55="","",IF(O55&gt;=BandVH,"Very High",IF(O55&gt;=BandHigh,"High",IF(O55&gt;=BandMed,"Medium","Low"))))</f>
        <v/>
      </c>
      <c r="Q55" s="4" t="n"/>
      <c r="R55" s="19" t="n"/>
      <c r="S55" s="4" t="n"/>
      <c r="T55" s="19" t="n"/>
      <c r="U55" s="4" t="n"/>
      <c r="V55" s="19" t="n"/>
      <c r="W55" s="4" t="n"/>
      <c r="X55" s="19" t="n"/>
      <c r="Y55" s="4" t="n"/>
      <c r="Z55" s="19" t="n"/>
      <c r="AA55" s="4" t="n"/>
      <c r="AB55" s="19" t="n"/>
      <c r="AC55" s="5">
        <f>_xlfn.TEXTJOIN(CHAR(10),TRUE,IF(Q55="","","• "&amp;Q55&amp;IF(R55="Yes","  [IPL]","")),IF(S55="","","• "&amp;S55&amp;IF(T55="Yes","  [IPL]","")),IF(U55="","","• "&amp;U55&amp;IF(V55="Yes","  [IPL]","")),IF(W55="","","• "&amp;W55&amp;IF(X55="Yes","  [IPL]","")),IF(Y55="","","• "&amp;Y55&amp;IF(Z55="Yes","  [IPL]","")),IF(AA55="","","• "&amp;AA55&amp;IF(AB55="Yes","  [IPL]","")))</f>
        <v/>
      </c>
      <c r="AD55" s="30">
        <f>IF(AC55="","",COUNTIF(Q55:AB55,"Yes"))</f>
        <v/>
      </c>
      <c r="AE55" s="19" t="n"/>
      <c r="AF55" s="19" t="n"/>
      <c r="AG55" s="30">
        <f>IF(OR(AE55="",AF55=""),"",INDEX(RiskGrid,6-VALUE(LEFT(AE55,1)),VALUE(LEFT(AF55,1))))</f>
        <v/>
      </c>
      <c r="AH55" s="30">
        <f>IF(AG55="","",IF(AG55&gt;=BandVH,"Very High",IF(AG55&gt;=BandHigh,"High",IF(AG55&gt;=BandMed,"Medium","Low"))))</f>
        <v/>
      </c>
      <c r="AI55" s="4" t="n"/>
      <c r="AJ55" s="4" t="n"/>
    </row>
    <row r="56">
      <c r="A56" s="30">
        <f>IF(B56="","",COUNTIF(B$14:B56,"?*"))</f>
        <v/>
      </c>
      <c r="B56" s="4" t="n"/>
      <c r="C56" s="19" t="n"/>
      <c r="D56" s="5">
        <f>IF(OR(B56="",C56=""),"",UPPER(LEFT(C56,1))&amp;LOWER(MID(C56,2,30))&amp;" "&amp;LOWER(LEFT(B56,1))&amp;MID(B56,2,200))</f>
        <v/>
      </c>
      <c r="E56" s="4" t="n"/>
      <c r="F56" s="4" t="n"/>
      <c r="G56" s="4" t="n"/>
      <c r="H56" s="4" t="n"/>
      <c r="I56" s="4" t="n"/>
      <c r="J56" s="4" t="n"/>
      <c r="K56" s="5">
        <f>_xlfn.TEXTJOIN(CHAR(10),TRUE,IF(E56="","","• "&amp;E56),IF(F56="","","• "&amp;F56),IF(G56="","","• "&amp;G56),IF(H56="","","• "&amp;H56),IF(I56="","","• "&amp;I56),IF(J56="","","• "&amp;J56))</f>
        <v/>
      </c>
      <c r="L56" s="4" t="n"/>
      <c r="M56" s="19" t="n"/>
      <c r="N56" s="19" t="n"/>
      <c r="O56" s="30">
        <f>IF(OR(M56="",N56=""),"",INDEX(RiskGrid,6-VALUE(LEFT(M56,1)),VALUE(LEFT(N56,1))))</f>
        <v/>
      </c>
      <c r="P56" s="30">
        <f>IF(O56="","",IF(O56&gt;=BandVH,"Very High",IF(O56&gt;=BandHigh,"High",IF(O56&gt;=BandMed,"Medium","Low"))))</f>
        <v/>
      </c>
      <c r="Q56" s="4" t="n"/>
      <c r="R56" s="19" t="n"/>
      <c r="S56" s="4" t="n"/>
      <c r="T56" s="19" t="n"/>
      <c r="U56" s="4" t="n"/>
      <c r="V56" s="19" t="n"/>
      <c r="W56" s="4" t="n"/>
      <c r="X56" s="19" t="n"/>
      <c r="Y56" s="4" t="n"/>
      <c r="Z56" s="19" t="n"/>
      <c r="AA56" s="4" t="n"/>
      <c r="AB56" s="19" t="n"/>
      <c r="AC56" s="5">
        <f>_xlfn.TEXTJOIN(CHAR(10),TRUE,IF(Q56="","","• "&amp;Q56&amp;IF(R56="Yes","  [IPL]","")),IF(S56="","","• "&amp;S56&amp;IF(T56="Yes","  [IPL]","")),IF(U56="","","• "&amp;U56&amp;IF(V56="Yes","  [IPL]","")),IF(W56="","","• "&amp;W56&amp;IF(X56="Yes","  [IPL]","")),IF(Y56="","","• "&amp;Y56&amp;IF(Z56="Yes","  [IPL]","")),IF(AA56="","","• "&amp;AA56&amp;IF(AB56="Yes","  [IPL]","")))</f>
        <v/>
      </c>
      <c r="AD56" s="30">
        <f>IF(AC56="","",COUNTIF(Q56:AB56,"Yes"))</f>
        <v/>
      </c>
      <c r="AE56" s="19" t="n"/>
      <c r="AF56" s="19" t="n"/>
      <c r="AG56" s="30">
        <f>IF(OR(AE56="",AF56=""),"",INDEX(RiskGrid,6-VALUE(LEFT(AE56,1)),VALUE(LEFT(AF56,1))))</f>
        <v/>
      </c>
      <c r="AH56" s="30">
        <f>IF(AG56="","",IF(AG56&gt;=BandVH,"Very High",IF(AG56&gt;=BandHigh,"High",IF(AG56&gt;=BandMed,"Medium","Low"))))</f>
        <v/>
      </c>
      <c r="AI56" s="4" t="n"/>
      <c r="AJ56" s="4" t="n"/>
    </row>
    <row r="57">
      <c r="A57" s="30">
        <f>IF(B57="","",COUNTIF(B$14:B57,"?*"))</f>
        <v/>
      </c>
      <c r="B57" s="4" t="n"/>
      <c r="C57" s="19" t="n"/>
      <c r="D57" s="5">
        <f>IF(OR(B57="",C57=""),"",UPPER(LEFT(C57,1))&amp;LOWER(MID(C57,2,30))&amp;" "&amp;LOWER(LEFT(B57,1))&amp;MID(B57,2,200))</f>
        <v/>
      </c>
      <c r="E57" s="4" t="n"/>
      <c r="F57" s="4" t="n"/>
      <c r="G57" s="4" t="n"/>
      <c r="H57" s="4" t="n"/>
      <c r="I57" s="4" t="n"/>
      <c r="J57" s="4" t="n"/>
      <c r="K57" s="5">
        <f>_xlfn.TEXTJOIN(CHAR(10),TRUE,IF(E57="","","• "&amp;E57),IF(F57="","","• "&amp;F57),IF(G57="","","• "&amp;G57),IF(H57="","","• "&amp;H57),IF(I57="","","• "&amp;I57),IF(J57="","","• "&amp;J57))</f>
        <v/>
      </c>
      <c r="L57" s="4" t="n"/>
      <c r="M57" s="19" t="n"/>
      <c r="N57" s="19" t="n"/>
      <c r="O57" s="30">
        <f>IF(OR(M57="",N57=""),"",INDEX(RiskGrid,6-VALUE(LEFT(M57,1)),VALUE(LEFT(N57,1))))</f>
        <v/>
      </c>
      <c r="P57" s="30">
        <f>IF(O57="","",IF(O57&gt;=BandVH,"Very High",IF(O57&gt;=BandHigh,"High",IF(O57&gt;=BandMed,"Medium","Low"))))</f>
        <v/>
      </c>
      <c r="Q57" s="4" t="n"/>
      <c r="R57" s="19" t="n"/>
      <c r="S57" s="4" t="n"/>
      <c r="T57" s="19" t="n"/>
      <c r="U57" s="4" t="n"/>
      <c r="V57" s="19" t="n"/>
      <c r="W57" s="4" t="n"/>
      <c r="X57" s="19" t="n"/>
      <c r="Y57" s="4" t="n"/>
      <c r="Z57" s="19" t="n"/>
      <c r="AA57" s="4" t="n"/>
      <c r="AB57" s="19" t="n"/>
      <c r="AC57" s="5">
        <f>_xlfn.TEXTJOIN(CHAR(10),TRUE,IF(Q57="","","• "&amp;Q57&amp;IF(R57="Yes","  [IPL]","")),IF(S57="","","• "&amp;S57&amp;IF(T57="Yes","  [IPL]","")),IF(U57="","","• "&amp;U57&amp;IF(V57="Yes","  [IPL]","")),IF(W57="","","• "&amp;W57&amp;IF(X57="Yes","  [IPL]","")),IF(Y57="","","• "&amp;Y57&amp;IF(Z57="Yes","  [IPL]","")),IF(AA57="","","• "&amp;AA57&amp;IF(AB57="Yes","  [IPL]","")))</f>
        <v/>
      </c>
      <c r="AD57" s="30">
        <f>IF(AC57="","",COUNTIF(Q57:AB57,"Yes"))</f>
        <v/>
      </c>
      <c r="AE57" s="19" t="n"/>
      <c r="AF57" s="19" t="n"/>
      <c r="AG57" s="30">
        <f>IF(OR(AE57="",AF57=""),"",INDEX(RiskGrid,6-VALUE(LEFT(AE57,1)),VALUE(LEFT(AF57,1))))</f>
        <v/>
      </c>
      <c r="AH57" s="30">
        <f>IF(AG57="","",IF(AG57&gt;=BandVH,"Very High",IF(AG57&gt;=BandHigh,"High",IF(AG57&gt;=BandMed,"Medium","Low"))))</f>
        <v/>
      </c>
      <c r="AI57" s="4" t="n"/>
      <c r="AJ57" s="4" t="n"/>
    </row>
    <row r="58">
      <c r="A58" s="30">
        <f>IF(B58="","",COUNTIF(B$14:B58,"?*"))</f>
        <v/>
      </c>
      <c r="B58" s="4" t="n"/>
      <c r="C58" s="19" t="n"/>
      <c r="D58" s="5">
        <f>IF(OR(B58="",C58=""),"",UPPER(LEFT(C58,1))&amp;LOWER(MID(C58,2,30))&amp;" "&amp;LOWER(LEFT(B58,1))&amp;MID(B58,2,200))</f>
        <v/>
      </c>
      <c r="E58" s="4" t="n"/>
      <c r="F58" s="4" t="n"/>
      <c r="G58" s="4" t="n"/>
      <c r="H58" s="4" t="n"/>
      <c r="I58" s="4" t="n"/>
      <c r="J58" s="4" t="n"/>
      <c r="K58" s="5">
        <f>_xlfn.TEXTJOIN(CHAR(10),TRUE,IF(E58="","","• "&amp;E58),IF(F58="","","• "&amp;F58),IF(G58="","","• "&amp;G58),IF(H58="","","• "&amp;H58),IF(I58="","","• "&amp;I58),IF(J58="","","• "&amp;J58))</f>
        <v/>
      </c>
      <c r="L58" s="4" t="n"/>
      <c r="M58" s="19" t="n"/>
      <c r="N58" s="19" t="n"/>
      <c r="O58" s="30">
        <f>IF(OR(M58="",N58=""),"",INDEX(RiskGrid,6-VALUE(LEFT(M58,1)),VALUE(LEFT(N58,1))))</f>
        <v/>
      </c>
      <c r="P58" s="30">
        <f>IF(O58="","",IF(O58&gt;=BandVH,"Very High",IF(O58&gt;=BandHigh,"High",IF(O58&gt;=BandMed,"Medium","Low"))))</f>
        <v/>
      </c>
      <c r="Q58" s="4" t="n"/>
      <c r="R58" s="19" t="n"/>
      <c r="S58" s="4" t="n"/>
      <c r="T58" s="19" t="n"/>
      <c r="U58" s="4" t="n"/>
      <c r="V58" s="19" t="n"/>
      <c r="W58" s="4" t="n"/>
      <c r="X58" s="19" t="n"/>
      <c r="Y58" s="4" t="n"/>
      <c r="Z58" s="19" t="n"/>
      <c r="AA58" s="4" t="n"/>
      <c r="AB58" s="19" t="n"/>
      <c r="AC58" s="5">
        <f>_xlfn.TEXTJOIN(CHAR(10),TRUE,IF(Q58="","","• "&amp;Q58&amp;IF(R58="Yes","  [IPL]","")),IF(S58="","","• "&amp;S58&amp;IF(T58="Yes","  [IPL]","")),IF(U58="","","• "&amp;U58&amp;IF(V58="Yes","  [IPL]","")),IF(W58="","","• "&amp;W58&amp;IF(X58="Yes","  [IPL]","")),IF(Y58="","","• "&amp;Y58&amp;IF(Z58="Yes","  [IPL]","")),IF(AA58="","","• "&amp;AA58&amp;IF(AB58="Yes","  [IPL]","")))</f>
        <v/>
      </c>
      <c r="AD58" s="30">
        <f>IF(AC58="","",COUNTIF(Q58:AB58,"Yes"))</f>
        <v/>
      </c>
      <c r="AE58" s="19" t="n"/>
      <c r="AF58" s="19" t="n"/>
      <c r="AG58" s="30">
        <f>IF(OR(AE58="",AF58=""),"",INDEX(RiskGrid,6-VALUE(LEFT(AE58,1)),VALUE(LEFT(AF58,1))))</f>
        <v/>
      </c>
      <c r="AH58" s="30">
        <f>IF(AG58="","",IF(AG58&gt;=BandVH,"Very High",IF(AG58&gt;=BandHigh,"High",IF(AG58&gt;=BandMed,"Medium","Low"))))</f>
        <v/>
      </c>
      <c r="AI58" s="4" t="n"/>
      <c r="AJ58" s="4" t="n"/>
    </row>
    <row r="59">
      <c r="A59" s="30">
        <f>IF(B59="","",COUNTIF(B$14:B59,"?*"))</f>
        <v/>
      </c>
      <c r="B59" s="4" t="n"/>
      <c r="C59" s="19" t="n"/>
      <c r="D59" s="5">
        <f>IF(OR(B59="",C59=""),"",UPPER(LEFT(C59,1))&amp;LOWER(MID(C59,2,30))&amp;" "&amp;LOWER(LEFT(B59,1))&amp;MID(B59,2,200))</f>
        <v/>
      </c>
      <c r="E59" s="4" t="n"/>
      <c r="F59" s="4" t="n"/>
      <c r="G59" s="4" t="n"/>
      <c r="H59" s="4" t="n"/>
      <c r="I59" s="4" t="n"/>
      <c r="J59" s="4" t="n"/>
      <c r="K59" s="5">
        <f>_xlfn.TEXTJOIN(CHAR(10),TRUE,IF(E59="","","• "&amp;E59),IF(F59="","","• "&amp;F59),IF(G59="","","• "&amp;G59),IF(H59="","","• "&amp;H59),IF(I59="","","• "&amp;I59),IF(J59="","","• "&amp;J59))</f>
        <v/>
      </c>
      <c r="L59" s="4" t="n"/>
      <c r="M59" s="19" t="n"/>
      <c r="N59" s="19" t="n"/>
      <c r="O59" s="30">
        <f>IF(OR(M59="",N59=""),"",INDEX(RiskGrid,6-VALUE(LEFT(M59,1)),VALUE(LEFT(N59,1))))</f>
        <v/>
      </c>
      <c r="P59" s="30">
        <f>IF(O59="","",IF(O59&gt;=BandVH,"Very High",IF(O59&gt;=BandHigh,"High",IF(O59&gt;=BandMed,"Medium","Low"))))</f>
        <v/>
      </c>
      <c r="Q59" s="4" t="n"/>
      <c r="R59" s="19" t="n"/>
      <c r="S59" s="4" t="n"/>
      <c r="T59" s="19" t="n"/>
      <c r="U59" s="4" t="n"/>
      <c r="V59" s="19" t="n"/>
      <c r="W59" s="4" t="n"/>
      <c r="X59" s="19" t="n"/>
      <c r="Y59" s="4" t="n"/>
      <c r="Z59" s="19" t="n"/>
      <c r="AA59" s="4" t="n"/>
      <c r="AB59" s="19" t="n"/>
      <c r="AC59" s="5">
        <f>_xlfn.TEXTJOIN(CHAR(10),TRUE,IF(Q59="","","• "&amp;Q59&amp;IF(R59="Yes","  [IPL]","")),IF(S59="","","• "&amp;S59&amp;IF(T59="Yes","  [IPL]","")),IF(U59="","","• "&amp;U59&amp;IF(V59="Yes","  [IPL]","")),IF(W59="","","• "&amp;W59&amp;IF(X59="Yes","  [IPL]","")),IF(Y59="","","• "&amp;Y59&amp;IF(Z59="Yes","  [IPL]","")),IF(AA59="","","• "&amp;AA59&amp;IF(AB59="Yes","  [IPL]","")))</f>
        <v/>
      </c>
      <c r="AD59" s="30">
        <f>IF(AC59="","",COUNTIF(Q59:AB59,"Yes"))</f>
        <v/>
      </c>
      <c r="AE59" s="19" t="n"/>
      <c r="AF59" s="19" t="n"/>
      <c r="AG59" s="30">
        <f>IF(OR(AE59="",AF59=""),"",INDEX(RiskGrid,6-VALUE(LEFT(AE59,1)),VALUE(LEFT(AF59,1))))</f>
        <v/>
      </c>
      <c r="AH59" s="30">
        <f>IF(AG59="","",IF(AG59&gt;=BandVH,"Very High",IF(AG59&gt;=BandHigh,"High",IF(AG59&gt;=BandMed,"Medium","Low"))))</f>
        <v/>
      </c>
      <c r="AI59" s="4" t="n"/>
      <c r="AJ59" s="4" t="n"/>
    </row>
    <row r="60">
      <c r="A60" s="30">
        <f>IF(B60="","",COUNTIF(B$14:B60,"?*"))</f>
        <v/>
      </c>
      <c r="B60" s="4" t="n"/>
      <c r="C60" s="19" t="n"/>
      <c r="D60" s="5">
        <f>IF(OR(B60="",C60=""),"",UPPER(LEFT(C60,1))&amp;LOWER(MID(C60,2,30))&amp;" "&amp;LOWER(LEFT(B60,1))&amp;MID(B60,2,200))</f>
        <v/>
      </c>
      <c r="E60" s="4" t="n"/>
      <c r="F60" s="4" t="n"/>
      <c r="G60" s="4" t="n"/>
      <c r="H60" s="4" t="n"/>
      <c r="I60" s="4" t="n"/>
      <c r="J60" s="4" t="n"/>
      <c r="K60" s="5">
        <f>_xlfn.TEXTJOIN(CHAR(10),TRUE,IF(E60="","","• "&amp;E60),IF(F60="","","• "&amp;F60),IF(G60="","","• "&amp;G60),IF(H60="","","• "&amp;H60),IF(I60="","","• "&amp;I60),IF(J60="","","• "&amp;J60))</f>
        <v/>
      </c>
      <c r="L60" s="4" t="n"/>
      <c r="M60" s="19" t="n"/>
      <c r="N60" s="19" t="n"/>
      <c r="O60" s="30">
        <f>IF(OR(M60="",N60=""),"",INDEX(RiskGrid,6-VALUE(LEFT(M60,1)),VALUE(LEFT(N60,1))))</f>
        <v/>
      </c>
      <c r="P60" s="30">
        <f>IF(O60="","",IF(O60&gt;=BandVH,"Very High",IF(O60&gt;=BandHigh,"High",IF(O60&gt;=BandMed,"Medium","Low"))))</f>
        <v/>
      </c>
      <c r="Q60" s="4" t="n"/>
      <c r="R60" s="19" t="n"/>
      <c r="S60" s="4" t="n"/>
      <c r="T60" s="19" t="n"/>
      <c r="U60" s="4" t="n"/>
      <c r="V60" s="19" t="n"/>
      <c r="W60" s="4" t="n"/>
      <c r="X60" s="19" t="n"/>
      <c r="Y60" s="4" t="n"/>
      <c r="Z60" s="19" t="n"/>
      <c r="AA60" s="4" t="n"/>
      <c r="AB60" s="19" t="n"/>
      <c r="AC60" s="5">
        <f>_xlfn.TEXTJOIN(CHAR(10),TRUE,IF(Q60="","","• "&amp;Q60&amp;IF(R60="Yes","  [IPL]","")),IF(S60="","","• "&amp;S60&amp;IF(T60="Yes","  [IPL]","")),IF(U60="","","• "&amp;U60&amp;IF(V60="Yes","  [IPL]","")),IF(W60="","","• "&amp;W60&amp;IF(X60="Yes","  [IPL]","")),IF(Y60="","","• "&amp;Y60&amp;IF(Z60="Yes","  [IPL]","")),IF(AA60="","","• "&amp;AA60&amp;IF(AB60="Yes","  [IPL]","")))</f>
        <v/>
      </c>
      <c r="AD60" s="30">
        <f>IF(AC60="","",COUNTIF(Q60:AB60,"Yes"))</f>
        <v/>
      </c>
      <c r="AE60" s="19" t="n"/>
      <c r="AF60" s="19" t="n"/>
      <c r="AG60" s="30">
        <f>IF(OR(AE60="",AF60=""),"",INDEX(RiskGrid,6-VALUE(LEFT(AE60,1)),VALUE(LEFT(AF60,1))))</f>
        <v/>
      </c>
      <c r="AH60" s="30">
        <f>IF(AG60="","",IF(AG60&gt;=BandVH,"Very High",IF(AG60&gt;=BandHigh,"High",IF(AG60&gt;=BandMed,"Medium","Low"))))</f>
        <v/>
      </c>
      <c r="AI60" s="4" t="n"/>
      <c r="AJ60" s="4" t="n"/>
    </row>
    <row r="61">
      <c r="A61" s="30">
        <f>IF(B61="","",COUNTIF(B$14:B61,"?*"))</f>
        <v/>
      </c>
      <c r="B61" s="4" t="n"/>
      <c r="C61" s="19" t="n"/>
      <c r="D61" s="5">
        <f>IF(OR(B61="",C61=""),"",UPPER(LEFT(C61,1))&amp;LOWER(MID(C61,2,30))&amp;" "&amp;LOWER(LEFT(B61,1))&amp;MID(B61,2,200))</f>
        <v/>
      </c>
      <c r="E61" s="4" t="n"/>
      <c r="F61" s="4" t="n"/>
      <c r="G61" s="4" t="n"/>
      <c r="H61" s="4" t="n"/>
      <c r="I61" s="4" t="n"/>
      <c r="J61" s="4" t="n"/>
      <c r="K61" s="5">
        <f>_xlfn.TEXTJOIN(CHAR(10),TRUE,IF(E61="","","• "&amp;E61),IF(F61="","","• "&amp;F61),IF(G61="","","• "&amp;G61),IF(H61="","","• "&amp;H61),IF(I61="","","• "&amp;I61),IF(J61="","","• "&amp;J61))</f>
        <v/>
      </c>
      <c r="L61" s="4" t="n"/>
      <c r="M61" s="19" t="n"/>
      <c r="N61" s="19" t="n"/>
      <c r="O61" s="30">
        <f>IF(OR(M61="",N61=""),"",INDEX(RiskGrid,6-VALUE(LEFT(M61,1)),VALUE(LEFT(N61,1))))</f>
        <v/>
      </c>
      <c r="P61" s="30">
        <f>IF(O61="","",IF(O61&gt;=BandVH,"Very High",IF(O61&gt;=BandHigh,"High",IF(O61&gt;=BandMed,"Medium","Low"))))</f>
        <v/>
      </c>
      <c r="Q61" s="4" t="n"/>
      <c r="R61" s="19" t="n"/>
      <c r="S61" s="4" t="n"/>
      <c r="T61" s="19" t="n"/>
      <c r="U61" s="4" t="n"/>
      <c r="V61" s="19" t="n"/>
      <c r="W61" s="4" t="n"/>
      <c r="X61" s="19" t="n"/>
      <c r="Y61" s="4" t="n"/>
      <c r="Z61" s="19" t="n"/>
      <c r="AA61" s="4" t="n"/>
      <c r="AB61" s="19" t="n"/>
      <c r="AC61" s="5">
        <f>_xlfn.TEXTJOIN(CHAR(10),TRUE,IF(Q61="","","• "&amp;Q61&amp;IF(R61="Yes","  [IPL]","")),IF(S61="","","• "&amp;S61&amp;IF(T61="Yes","  [IPL]","")),IF(U61="","","• "&amp;U61&amp;IF(V61="Yes","  [IPL]","")),IF(W61="","","• "&amp;W61&amp;IF(X61="Yes","  [IPL]","")),IF(Y61="","","• "&amp;Y61&amp;IF(Z61="Yes","  [IPL]","")),IF(AA61="","","• "&amp;AA61&amp;IF(AB61="Yes","  [IPL]","")))</f>
        <v/>
      </c>
      <c r="AD61" s="30">
        <f>IF(AC61="","",COUNTIF(Q61:AB61,"Yes"))</f>
        <v/>
      </c>
      <c r="AE61" s="19" t="n"/>
      <c r="AF61" s="19" t="n"/>
      <c r="AG61" s="30">
        <f>IF(OR(AE61="",AF61=""),"",INDEX(RiskGrid,6-VALUE(LEFT(AE61,1)),VALUE(LEFT(AF61,1))))</f>
        <v/>
      </c>
      <c r="AH61" s="30">
        <f>IF(AG61="","",IF(AG61&gt;=BandVH,"Very High",IF(AG61&gt;=BandHigh,"High",IF(AG61&gt;=BandMed,"Medium","Low"))))</f>
        <v/>
      </c>
      <c r="AI61" s="4" t="n"/>
      <c r="AJ61" s="4" t="n"/>
    </row>
    <row r="62">
      <c r="A62" s="30">
        <f>IF(B62="","",COUNTIF(B$14:B62,"?*"))</f>
        <v/>
      </c>
      <c r="B62" s="4" t="n"/>
      <c r="C62" s="19" t="n"/>
      <c r="D62" s="5">
        <f>IF(OR(B62="",C62=""),"",UPPER(LEFT(C62,1))&amp;LOWER(MID(C62,2,30))&amp;" "&amp;LOWER(LEFT(B62,1))&amp;MID(B62,2,200))</f>
        <v/>
      </c>
      <c r="E62" s="4" t="n"/>
      <c r="F62" s="4" t="n"/>
      <c r="G62" s="4" t="n"/>
      <c r="H62" s="4" t="n"/>
      <c r="I62" s="4" t="n"/>
      <c r="J62" s="4" t="n"/>
      <c r="K62" s="5">
        <f>_xlfn.TEXTJOIN(CHAR(10),TRUE,IF(E62="","","• "&amp;E62),IF(F62="","","• "&amp;F62),IF(G62="","","• "&amp;G62),IF(H62="","","• "&amp;H62),IF(I62="","","• "&amp;I62),IF(J62="","","• "&amp;J62))</f>
        <v/>
      </c>
      <c r="L62" s="4" t="n"/>
      <c r="M62" s="19" t="n"/>
      <c r="N62" s="19" t="n"/>
      <c r="O62" s="30">
        <f>IF(OR(M62="",N62=""),"",INDEX(RiskGrid,6-VALUE(LEFT(M62,1)),VALUE(LEFT(N62,1))))</f>
        <v/>
      </c>
      <c r="P62" s="30">
        <f>IF(O62="","",IF(O62&gt;=BandVH,"Very High",IF(O62&gt;=BandHigh,"High",IF(O62&gt;=BandMed,"Medium","Low"))))</f>
        <v/>
      </c>
      <c r="Q62" s="4" t="n"/>
      <c r="R62" s="19" t="n"/>
      <c r="S62" s="4" t="n"/>
      <c r="T62" s="19" t="n"/>
      <c r="U62" s="4" t="n"/>
      <c r="V62" s="19" t="n"/>
      <c r="W62" s="4" t="n"/>
      <c r="X62" s="19" t="n"/>
      <c r="Y62" s="4" t="n"/>
      <c r="Z62" s="19" t="n"/>
      <c r="AA62" s="4" t="n"/>
      <c r="AB62" s="19" t="n"/>
      <c r="AC62" s="5">
        <f>_xlfn.TEXTJOIN(CHAR(10),TRUE,IF(Q62="","","• "&amp;Q62&amp;IF(R62="Yes","  [IPL]","")),IF(S62="","","• "&amp;S62&amp;IF(T62="Yes","  [IPL]","")),IF(U62="","","• "&amp;U62&amp;IF(V62="Yes","  [IPL]","")),IF(W62="","","• "&amp;W62&amp;IF(X62="Yes","  [IPL]","")),IF(Y62="","","• "&amp;Y62&amp;IF(Z62="Yes","  [IPL]","")),IF(AA62="","","• "&amp;AA62&amp;IF(AB62="Yes","  [IPL]","")))</f>
        <v/>
      </c>
      <c r="AD62" s="30">
        <f>IF(AC62="","",COUNTIF(Q62:AB62,"Yes"))</f>
        <v/>
      </c>
      <c r="AE62" s="19" t="n"/>
      <c r="AF62" s="19" t="n"/>
      <c r="AG62" s="30">
        <f>IF(OR(AE62="",AF62=""),"",INDEX(RiskGrid,6-VALUE(LEFT(AE62,1)),VALUE(LEFT(AF62,1))))</f>
        <v/>
      </c>
      <c r="AH62" s="30">
        <f>IF(AG62="","",IF(AG62&gt;=BandVH,"Very High",IF(AG62&gt;=BandHigh,"High",IF(AG62&gt;=BandMed,"Medium","Low"))))</f>
        <v/>
      </c>
      <c r="AI62" s="4" t="n"/>
      <c r="AJ62" s="4" t="n"/>
    </row>
    <row r="63">
      <c r="A63" s="30">
        <f>IF(B63="","",COUNTIF(B$14:B63,"?*"))</f>
        <v/>
      </c>
      <c r="B63" s="4" t="n"/>
      <c r="C63" s="19" t="n"/>
      <c r="D63" s="5">
        <f>IF(OR(B63="",C63=""),"",UPPER(LEFT(C63,1))&amp;LOWER(MID(C63,2,30))&amp;" "&amp;LOWER(LEFT(B63,1))&amp;MID(B63,2,200))</f>
        <v/>
      </c>
      <c r="E63" s="4" t="n"/>
      <c r="F63" s="4" t="n"/>
      <c r="G63" s="4" t="n"/>
      <c r="H63" s="4" t="n"/>
      <c r="I63" s="4" t="n"/>
      <c r="J63" s="4" t="n"/>
      <c r="K63" s="5">
        <f>_xlfn.TEXTJOIN(CHAR(10),TRUE,IF(E63="","","• "&amp;E63),IF(F63="","","• "&amp;F63),IF(G63="","","• "&amp;G63),IF(H63="","","• "&amp;H63),IF(I63="","","• "&amp;I63),IF(J63="","","• "&amp;J63))</f>
        <v/>
      </c>
      <c r="L63" s="4" t="n"/>
      <c r="M63" s="19" t="n"/>
      <c r="N63" s="19" t="n"/>
      <c r="O63" s="30">
        <f>IF(OR(M63="",N63=""),"",INDEX(RiskGrid,6-VALUE(LEFT(M63,1)),VALUE(LEFT(N63,1))))</f>
        <v/>
      </c>
      <c r="P63" s="30">
        <f>IF(O63="","",IF(O63&gt;=BandVH,"Very High",IF(O63&gt;=BandHigh,"High",IF(O63&gt;=BandMed,"Medium","Low"))))</f>
        <v/>
      </c>
      <c r="Q63" s="4" t="n"/>
      <c r="R63" s="19" t="n"/>
      <c r="S63" s="4" t="n"/>
      <c r="T63" s="19" t="n"/>
      <c r="U63" s="4" t="n"/>
      <c r="V63" s="19" t="n"/>
      <c r="W63" s="4" t="n"/>
      <c r="X63" s="19" t="n"/>
      <c r="Y63" s="4" t="n"/>
      <c r="Z63" s="19" t="n"/>
      <c r="AA63" s="4" t="n"/>
      <c r="AB63" s="19" t="n"/>
      <c r="AC63" s="5">
        <f>_xlfn.TEXTJOIN(CHAR(10),TRUE,IF(Q63="","","• "&amp;Q63&amp;IF(R63="Yes","  [IPL]","")),IF(S63="","","• "&amp;S63&amp;IF(T63="Yes","  [IPL]","")),IF(U63="","","• "&amp;U63&amp;IF(V63="Yes","  [IPL]","")),IF(W63="","","• "&amp;W63&amp;IF(X63="Yes","  [IPL]","")),IF(Y63="","","• "&amp;Y63&amp;IF(Z63="Yes","  [IPL]","")),IF(AA63="","","• "&amp;AA63&amp;IF(AB63="Yes","  [IPL]","")))</f>
        <v/>
      </c>
      <c r="AD63" s="30">
        <f>IF(AC63="","",COUNTIF(Q63:AB63,"Yes"))</f>
        <v/>
      </c>
      <c r="AE63" s="19" t="n"/>
      <c r="AF63" s="19" t="n"/>
      <c r="AG63" s="30">
        <f>IF(OR(AE63="",AF63=""),"",INDEX(RiskGrid,6-VALUE(LEFT(AE63,1)),VALUE(LEFT(AF63,1))))</f>
        <v/>
      </c>
      <c r="AH63" s="30">
        <f>IF(AG63="","",IF(AG63&gt;=BandVH,"Very High",IF(AG63&gt;=BandHigh,"High",IF(AG63&gt;=BandMed,"Medium","Low"))))</f>
        <v/>
      </c>
      <c r="AI63" s="4" t="n"/>
      <c r="AJ63" s="4" t="n"/>
    </row>
    <row r="64">
      <c r="A64" s="30">
        <f>IF(B64="","",COUNTIF(B$14:B64,"?*"))</f>
        <v/>
      </c>
      <c r="B64" s="4" t="n"/>
      <c r="C64" s="19" t="n"/>
      <c r="D64" s="5">
        <f>IF(OR(B64="",C64=""),"",UPPER(LEFT(C64,1))&amp;LOWER(MID(C64,2,30))&amp;" "&amp;LOWER(LEFT(B64,1))&amp;MID(B64,2,200))</f>
        <v/>
      </c>
      <c r="E64" s="4" t="n"/>
      <c r="F64" s="4" t="n"/>
      <c r="G64" s="4" t="n"/>
      <c r="H64" s="4" t="n"/>
      <c r="I64" s="4" t="n"/>
      <c r="J64" s="4" t="n"/>
      <c r="K64" s="5">
        <f>_xlfn.TEXTJOIN(CHAR(10),TRUE,IF(E64="","","• "&amp;E64),IF(F64="","","• "&amp;F64),IF(G64="","","• "&amp;G64),IF(H64="","","• "&amp;H64),IF(I64="","","• "&amp;I64),IF(J64="","","• "&amp;J64))</f>
        <v/>
      </c>
      <c r="L64" s="4" t="n"/>
      <c r="M64" s="19" t="n"/>
      <c r="N64" s="19" t="n"/>
      <c r="O64" s="30">
        <f>IF(OR(M64="",N64=""),"",INDEX(RiskGrid,6-VALUE(LEFT(M64,1)),VALUE(LEFT(N64,1))))</f>
        <v/>
      </c>
      <c r="P64" s="30">
        <f>IF(O64="","",IF(O64&gt;=BandVH,"Very High",IF(O64&gt;=BandHigh,"High",IF(O64&gt;=BandMed,"Medium","Low"))))</f>
        <v/>
      </c>
      <c r="Q64" s="4" t="n"/>
      <c r="R64" s="19" t="n"/>
      <c r="S64" s="4" t="n"/>
      <c r="T64" s="19" t="n"/>
      <c r="U64" s="4" t="n"/>
      <c r="V64" s="19" t="n"/>
      <c r="W64" s="4" t="n"/>
      <c r="X64" s="19" t="n"/>
      <c r="Y64" s="4" t="n"/>
      <c r="Z64" s="19" t="n"/>
      <c r="AA64" s="4" t="n"/>
      <c r="AB64" s="19" t="n"/>
      <c r="AC64" s="5">
        <f>_xlfn.TEXTJOIN(CHAR(10),TRUE,IF(Q64="","","• "&amp;Q64&amp;IF(R64="Yes","  [IPL]","")),IF(S64="","","• "&amp;S64&amp;IF(T64="Yes","  [IPL]","")),IF(U64="","","• "&amp;U64&amp;IF(V64="Yes","  [IPL]","")),IF(W64="","","• "&amp;W64&amp;IF(X64="Yes","  [IPL]","")),IF(Y64="","","• "&amp;Y64&amp;IF(Z64="Yes","  [IPL]","")),IF(AA64="","","• "&amp;AA64&amp;IF(AB64="Yes","  [IPL]","")))</f>
        <v/>
      </c>
      <c r="AD64" s="30">
        <f>IF(AC64="","",COUNTIF(Q64:AB64,"Yes"))</f>
        <v/>
      </c>
      <c r="AE64" s="19" t="n"/>
      <c r="AF64" s="19" t="n"/>
      <c r="AG64" s="30">
        <f>IF(OR(AE64="",AF64=""),"",INDEX(RiskGrid,6-VALUE(LEFT(AE64,1)),VALUE(LEFT(AF64,1))))</f>
        <v/>
      </c>
      <c r="AH64" s="30">
        <f>IF(AG64="","",IF(AG64&gt;=BandVH,"Very High",IF(AG64&gt;=BandHigh,"High",IF(AG64&gt;=BandMed,"Medium","Low"))))</f>
        <v/>
      </c>
      <c r="AI64" s="4" t="n"/>
      <c r="AJ64" s="4" t="n"/>
    </row>
    <row r="65">
      <c r="A65" s="30">
        <f>IF(B65="","",COUNTIF(B$14:B65,"?*"))</f>
        <v/>
      </c>
      <c r="B65" s="4" t="n"/>
      <c r="C65" s="19" t="n"/>
      <c r="D65" s="5">
        <f>IF(OR(B65="",C65=""),"",UPPER(LEFT(C65,1))&amp;LOWER(MID(C65,2,30))&amp;" "&amp;LOWER(LEFT(B65,1))&amp;MID(B65,2,200))</f>
        <v/>
      </c>
      <c r="E65" s="4" t="n"/>
      <c r="F65" s="4" t="n"/>
      <c r="G65" s="4" t="n"/>
      <c r="H65" s="4" t="n"/>
      <c r="I65" s="4" t="n"/>
      <c r="J65" s="4" t="n"/>
      <c r="K65" s="5">
        <f>_xlfn.TEXTJOIN(CHAR(10),TRUE,IF(E65="","","• "&amp;E65),IF(F65="","","• "&amp;F65),IF(G65="","","• "&amp;G65),IF(H65="","","• "&amp;H65),IF(I65="","","• "&amp;I65),IF(J65="","","• "&amp;J65))</f>
        <v/>
      </c>
      <c r="L65" s="4" t="n"/>
      <c r="M65" s="19" t="n"/>
      <c r="N65" s="19" t="n"/>
      <c r="O65" s="30">
        <f>IF(OR(M65="",N65=""),"",INDEX(RiskGrid,6-VALUE(LEFT(M65,1)),VALUE(LEFT(N65,1))))</f>
        <v/>
      </c>
      <c r="P65" s="30">
        <f>IF(O65="","",IF(O65&gt;=BandVH,"Very High",IF(O65&gt;=BandHigh,"High",IF(O65&gt;=BandMed,"Medium","Low"))))</f>
        <v/>
      </c>
      <c r="Q65" s="4" t="n"/>
      <c r="R65" s="19" t="n"/>
      <c r="S65" s="4" t="n"/>
      <c r="T65" s="19" t="n"/>
      <c r="U65" s="4" t="n"/>
      <c r="V65" s="19" t="n"/>
      <c r="W65" s="4" t="n"/>
      <c r="X65" s="19" t="n"/>
      <c r="Y65" s="4" t="n"/>
      <c r="Z65" s="19" t="n"/>
      <c r="AA65" s="4" t="n"/>
      <c r="AB65" s="19" t="n"/>
      <c r="AC65" s="5">
        <f>_xlfn.TEXTJOIN(CHAR(10),TRUE,IF(Q65="","","• "&amp;Q65&amp;IF(R65="Yes","  [IPL]","")),IF(S65="","","• "&amp;S65&amp;IF(T65="Yes","  [IPL]","")),IF(U65="","","• "&amp;U65&amp;IF(V65="Yes","  [IPL]","")),IF(W65="","","• "&amp;W65&amp;IF(X65="Yes","  [IPL]","")),IF(Y65="","","• "&amp;Y65&amp;IF(Z65="Yes","  [IPL]","")),IF(AA65="","","• "&amp;AA65&amp;IF(AB65="Yes","  [IPL]","")))</f>
        <v/>
      </c>
      <c r="AD65" s="30">
        <f>IF(AC65="","",COUNTIF(Q65:AB65,"Yes"))</f>
        <v/>
      </c>
      <c r="AE65" s="19" t="n"/>
      <c r="AF65" s="19" t="n"/>
      <c r="AG65" s="30">
        <f>IF(OR(AE65="",AF65=""),"",INDEX(RiskGrid,6-VALUE(LEFT(AE65,1)),VALUE(LEFT(AF65,1))))</f>
        <v/>
      </c>
      <c r="AH65" s="30">
        <f>IF(AG65="","",IF(AG65&gt;=BandVH,"Very High",IF(AG65&gt;=BandHigh,"High",IF(AG65&gt;=BandMed,"Medium","Low"))))</f>
        <v/>
      </c>
      <c r="AI65" s="4" t="n"/>
      <c r="AJ65" s="4" t="n"/>
    </row>
    <row r="66">
      <c r="A66" s="30">
        <f>IF(B66="","",COUNTIF(B$14:B66,"?*"))</f>
        <v/>
      </c>
      <c r="B66" s="4" t="n"/>
      <c r="C66" s="19" t="n"/>
      <c r="D66" s="5">
        <f>IF(OR(B66="",C66=""),"",UPPER(LEFT(C66,1))&amp;LOWER(MID(C66,2,30))&amp;" "&amp;LOWER(LEFT(B66,1))&amp;MID(B66,2,200))</f>
        <v/>
      </c>
      <c r="E66" s="4" t="n"/>
      <c r="F66" s="4" t="n"/>
      <c r="G66" s="4" t="n"/>
      <c r="H66" s="4" t="n"/>
      <c r="I66" s="4" t="n"/>
      <c r="J66" s="4" t="n"/>
      <c r="K66" s="5">
        <f>_xlfn.TEXTJOIN(CHAR(10),TRUE,IF(E66="","","• "&amp;E66),IF(F66="","","• "&amp;F66),IF(G66="","","• "&amp;G66),IF(H66="","","• "&amp;H66),IF(I66="","","• "&amp;I66),IF(J66="","","• "&amp;J66))</f>
        <v/>
      </c>
      <c r="L66" s="4" t="n"/>
      <c r="M66" s="19" t="n"/>
      <c r="N66" s="19" t="n"/>
      <c r="O66" s="30">
        <f>IF(OR(M66="",N66=""),"",INDEX(RiskGrid,6-VALUE(LEFT(M66,1)),VALUE(LEFT(N66,1))))</f>
        <v/>
      </c>
      <c r="P66" s="30">
        <f>IF(O66="","",IF(O66&gt;=BandVH,"Very High",IF(O66&gt;=BandHigh,"High",IF(O66&gt;=BandMed,"Medium","Low"))))</f>
        <v/>
      </c>
      <c r="Q66" s="4" t="n"/>
      <c r="R66" s="19" t="n"/>
      <c r="S66" s="4" t="n"/>
      <c r="T66" s="19" t="n"/>
      <c r="U66" s="4" t="n"/>
      <c r="V66" s="19" t="n"/>
      <c r="W66" s="4" t="n"/>
      <c r="X66" s="19" t="n"/>
      <c r="Y66" s="4" t="n"/>
      <c r="Z66" s="19" t="n"/>
      <c r="AA66" s="4" t="n"/>
      <c r="AB66" s="19" t="n"/>
      <c r="AC66" s="5">
        <f>_xlfn.TEXTJOIN(CHAR(10),TRUE,IF(Q66="","","• "&amp;Q66&amp;IF(R66="Yes","  [IPL]","")),IF(S66="","","• "&amp;S66&amp;IF(T66="Yes","  [IPL]","")),IF(U66="","","• "&amp;U66&amp;IF(V66="Yes","  [IPL]","")),IF(W66="","","• "&amp;W66&amp;IF(X66="Yes","  [IPL]","")),IF(Y66="","","• "&amp;Y66&amp;IF(Z66="Yes","  [IPL]","")),IF(AA66="","","• "&amp;AA66&amp;IF(AB66="Yes","  [IPL]","")))</f>
        <v/>
      </c>
      <c r="AD66" s="30">
        <f>IF(AC66="","",COUNTIF(Q66:AB66,"Yes"))</f>
        <v/>
      </c>
      <c r="AE66" s="19" t="n"/>
      <c r="AF66" s="19" t="n"/>
      <c r="AG66" s="30">
        <f>IF(OR(AE66="",AF66=""),"",INDEX(RiskGrid,6-VALUE(LEFT(AE66,1)),VALUE(LEFT(AF66,1))))</f>
        <v/>
      </c>
      <c r="AH66" s="30">
        <f>IF(AG66="","",IF(AG66&gt;=BandVH,"Very High",IF(AG66&gt;=BandHigh,"High",IF(AG66&gt;=BandMed,"Medium","Low"))))</f>
        <v/>
      </c>
      <c r="AI66" s="4" t="n"/>
      <c r="AJ66" s="4" t="n"/>
    </row>
    <row r="67">
      <c r="A67" s="30">
        <f>IF(B67="","",COUNTIF(B$14:B67,"?*"))</f>
        <v/>
      </c>
      <c r="B67" s="4" t="n"/>
      <c r="C67" s="19" t="n"/>
      <c r="D67" s="5">
        <f>IF(OR(B67="",C67=""),"",UPPER(LEFT(C67,1))&amp;LOWER(MID(C67,2,30))&amp;" "&amp;LOWER(LEFT(B67,1))&amp;MID(B67,2,200))</f>
        <v/>
      </c>
      <c r="E67" s="4" t="n"/>
      <c r="F67" s="4" t="n"/>
      <c r="G67" s="4" t="n"/>
      <c r="H67" s="4" t="n"/>
      <c r="I67" s="4" t="n"/>
      <c r="J67" s="4" t="n"/>
      <c r="K67" s="5">
        <f>_xlfn.TEXTJOIN(CHAR(10),TRUE,IF(E67="","","• "&amp;E67),IF(F67="","","• "&amp;F67),IF(G67="","","• "&amp;G67),IF(H67="","","• "&amp;H67),IF(I67="","","• "&amp;I67),IF(J67="","","• "&amp;J67))</f>
        <v/>
      </c>
      <c r="L67" s="4" t="n"/>
      <c r="M67" s="19" t="n"/>
      <c r="N67" s="19" t="n"/>
      <c r="O67" s="30">
        <f>IF(OR(M67="",N67=""),"",INDEX(RiskGrid,6-VALUE(LEFT(M67,1)),VALUE(LEFT(N67,1))))</f>
        <v/>
      </c>
      <c r="P67" s="30">
        <f>IF(O67="","",IF(O67&gt;=BandVH,"Very High",IF(O67&gt;=BandHigh,"High",IF(O67&gt;=BandMed,"Medium","Low"))))</f>
        <v/>
      </c>
      <c r="Q67" s="4" t="n"/>
      <c r="R67" s="19" t="n"/>
      <c r="S67" s="4" t="n"/>
      <c r="T67" s="19" t="n"/>
      <c r="U67" s="4" t="n"/>
      <c r="V67" s="19" t="n"/>
      <c r="W67" s="4" t="n"/>
      <c r="X67" s="19" t="n"/>
      <c r="Y67" s="4" t="n"/>
      <c r="Z67" s="19" t="n"/>
      <c r="AA67" s="4" t="n"/>
      <c r="AB67" s="19" t="n"/>
      <c r="AC67" s="5">
        <f>_xlfn.TEXTJOIN(CHAR(10),TRUE,IF(Q67="","","• "&amp;Q67&amp;IF(R67="Yes","  [IPL]","")),IF(S67="","","• "&amp;S67&amp;IF(T67="Yes","  [IPL]","")),IF(U67="","","• "&amp;U67&amp;IF(V67="Yes","  [IPL]","")),IF(W67="","","• "&amp;W67&amp;IF(X67="Yes","  [IPL]","")),IF(Y67="","","• "&amp;Y67&amp;IF(Z67="Yes","  [IPL]","")),IF(AA67="","","• "&amp;AA67&amp;IF(AB67="Yes","  [IPL]","")))</f>
        <v/>
      </c>
      <c r="AD67" s="30">
        <f>IF(AC67="","",COUNTIF(Q67:AB67,"Yes"))</f>
        <v/>
      </c>
      <c r="AE67" s="19" t="n"/>
      <c r="AF67" s="19" t="n"/>
      <c r="AG67" s="30">
        <f>IF(OR(AE67="",AF67=""),"",INDEX(RiskGrid,6-VALUE(LEFT(AE67,1)),VALUE(LEFT(AF67,1))))</f>
        <v/>
      </c>
      <c r="AH67" s="30">
        <f>IF(AG67="","",IF(AG67&gt;=BandVH,"Very High",IF(AG67&gt;=BandHigh,"High",IF(AG67&gt;=BandMed,"Medium","Low"))))</f>
        <v/>
      </c>
      <c r="AI67" s="4" t="n"/>
      <c r="AJ67" s="4" t="n"/>
    </row>
    <row r="68">
      <c r="A68" s="30">
        <f>IF(B68="","",COUNTIF(B$14:B68,"?*"))</f>
        <v/>
      </c>
      <c r="B68" s="4" t="n"/>
      <c r="C68" s="19" t="n"/>
      <c r="D68" s="5">
        <f>IF(OR(B68="",C68=""),"",UPPER(LEFT(C68,1))&amp;LOWER(MID(C68,2,30))&amp;" "&amp;LOWER(LEFT(B68,1))&amp;MID(B68,2,200))</f>
        <v/>
      </c>
      <c r="E68" s="4" t="n"/>
      <c r="F68" s="4" t="n"/>
      <c r="G68" s="4" t="n"/>
      <c r="H68" s="4" t="n"/>
      <c r="I68" s="4" t="n"/>
      <c r="J68" s="4" t="n"/>
      <c r="K68" s="5">
        <f>_xlfn.TEXTJOIN(CHAR(10),TRUE,IF(E68="","","• "&amp;E68),IF(F68="","","• "&amp;F68),IF(G68="","","• "&amp;G68),IF(H68="","","• "&amp;H68),IF(I68="","","• "&amp;I68),IF(J68="","","• "&amp;J68))</f>
        <v/>
      </c>
      <c r="L68" s="4" t="n"/>
      <c r="M68" s="19" t="n"/>
      <c r="N68" s="19" t="n"/>
      <c r="O68" s="30">
        <f>IF(OR(M68="",N68=""),"",INDEX(RiskGrid,6-VALUE(LEFT(M68,1)),VALUE(LEFT(N68,1))))</f>
        <v/>
      </c>
      <c r="P68" s="30">
        <f>IF(O68="","",IF(O68&gt;=BandVH,"Very High",IF(O68&gt;=BandHigh,"High",IF(O68&gt;=BandMed,"Medium","Low"))))</f>
        <v/>
      </c>
      <c r="Q68" s="4" t="n"/>
      <c r="R68" s="19" t="n"/>
      <c r="S68" s="4" t="n"/>
      <c r="T68" s="19" t="n"/>
      <c r="U68" s="4" t="n"/>
      <c r="V68" s="19" t="n"/>
      <c r="W68" s="4" t="n"/>
      <c r="X68" s="19" t="n"/>
      <c r="Y68" s="4" t="n"/>
      <c r="Z68" s="19" t="n"/>
      <c r="AA68" s="4" t="n"/>
      <c r="AB68" s="19" t="n"/>
      <c r="AC68" s="5">
        <f>_xlfn.TEXTJOIN(CHAR(10),TRUE,IF(Q68="","","• "&amp;Q68&amp;IF(R68="Yes","  [IPL]","")),IF(S68="","","• "&amp;S68&amp;IF(T68="Yes","  [IPL]","")),IF(U68="","","• "&amp;U68&amp;IF(V68="Yes","  [IPL]","")),IF(W68="","","• "&amp;W68&amp;IF(X68="Yes","  [IPL]","")),IF(Y68="","","• "&amp;Y68&amp;IF(Z68="Yes","  [IPL]","")),IF(AA68="","","• "&amp;AA68&amp;IF(AB68="Yes","  [IPL]","")))</f>
        <v/>
      </c>
      <c r="AD68" s="30">
        <f>IF(AC68="","",COUNTIF(Q68:AB68,"Yes"))</f>
        <v/>
      </c>
      <c r="AE68" s="19" t="n"/>
      <c r="AF68" s="19" t="n"/>
      <c r="AG68" s="30">
        <f>IF(OR(AE68="",AF68=""),"",INDEX(RiskGrid,6-VALUE(LEFT(AE68,1)),VALUE(LEFT(AF68,1))))</f>
        <v/>
      </c>
      <c r="AH68" s="30">
        <f>IF(AG68="","",IF(AG68&gt;=BandVH,"Very High",IF(AG68&gt;=BandHigh,"High",IF(AG68&gt;=BandMed,"Medium","Low"))))</f>
        <v/>
      </c>
      <c r="AI68" s="4" t="n"/>
      <c r="AJ68" s="4" t="n"/>
    </row>
    <row r="69">
      <c r="A69" s="30">
        <f>IF(B69="","",COUNTIF(B$14:B69,"?*"))</f>
        <v/>
      </c>
      <c r="B69" s="4" t="n"/>
      <c r="C69" s="19" t="n"/>
      <c r="D69" s="5">
        <f>IF(OR(B69="",C69=""),"",UPPER(LEFT(C69,1))&amp;LOWER(MID(C69,2,30))&amp;" "&amp;LOWER(LEFT(B69,1))&amp;MID(B69,2,200))</f>
        <v/>
      </c>
      <c r="E69" s="4" t="n"/>
      <c r="F69" s="4" t="n"/>
      <c r="G69" s="4" t="n"/>
      <c r="H69" s="4" t="n"/>
      <c r="I69" s="4" t="n"/>
      <c r="J69" s="4" t="n"/>
      <c r="K69" s="5">
        <f>_xlfn.TEXTJOIN(CHAR(10),TRUE,IF(E69="","","• "&amp;E69),IF(F69="","","• "&amp;F69),IF(G69="","","• "&amp;G69),IF(H69="","","• "&amp;H69),IF(I69="","","• "&amp;I69),IF(J69="","","• "&amp;J69))</f>
        <v/>
      </c>
      <c r="L69" s="4" t="n"/>
      <c r="M69" s="19" t="n"/>
      <c r="N69" s="19" t="n"/>
      <c r="O69" s="30">
        <f>IF(OR(M69="",N69=""),"",INDEX(RiskGrid,6-VALUE(LEFT(M69,1)),VALUE(LEFT(N69,1))))</f>
        <v/>
      </c>
      <c r="P69" s="30">
        <f>IF(O69="","",IF(O69&gt;=BandVH,"Very High",IF(O69&gt;=BandHigh,"High",IF(O69&gt;=BandMed,"Medium","Low"))))</f>
        <v/>
      </c>
      <c r="Q69" s="4" t="n"/>
      <c r="R69" s="19" t="n"/>
      <c r="S69" s="4" t="n"/>
      <c r="T69" s="19" t="n"/>
      <c r="U69" s="4" t="n"/>
      <c r="V69" s="19" t="n"/>
      <c r="W69" s="4" t="n"/>
      <c r="X69" s="19" t="n"/>
      <c r="Y69" s="4" t="n"/>
      <c r="Z69" s="19" t="n"/>
      <c r="AA69" s="4" t="n"/>
      <c r="AB69" s="19" t="n"/>
      <c r="AC69" s="5">
        <f>_xlfn.TEXTJOIN(CHAR(10),TRUE,IF(Q69="","","• "&amp;Q69&amp;IF(R69="Yes","  [IPL]","")),IF(S69="","","• "&amp;S69&amp;IF(T69="Yes","  [IPL]","")),IF(U69="","","• "&amp;U69&amp;IF(V69="Yes","  [IPL]","")),IF(W69="","","• "&amp;W69&amp;IF(X69="Yes","  [IPL]","")),IF(Y69="","","• "&amp;Y69&amp;IF(Z69="Yes","  [IPL]","")),IF(AA69="","","• "&amp;AA69&amp;IF(AB69="Yes","  [IPL]","")))</f>
        <v/>
      </c>
      <c r="AD69" s="30">
        <f>IF(AC69="","",COUNTIF(Q69:AB69,"Yes"))</f>
        <v/>
      </c>
      <c r="AE69" s="19" t="n"/>
      <c r="AF69" s="19" t="n"/>
      <c r="AG69" s="30">
        <f>IF(OR(AE69="",AF69=""),"",INDEX(RiskGrid,6-VALUE(LEFT(AE69,1)),VALUE(LEFT(AF69,1))))</f>
        <v/>
      </c>
      <c r="AH69" s="30">
        <f>IF(AG69="","",IF(AG69&gt;=BandVH,"Very High",IF(AG69&gt;=BandHigh,"High",IF(AG69&gt;=BandMed,"Medium","Low"))))</f>
        <v/>
      </c>
      <c r="AI69" s="4" t="n"/>
      <c r="AJ69" s="4" t="n"/>
    </row>
    <row r="70">
      <c r="A70" s="30">
        <f>IF(B70="","",COUNTIF(B$14:B70,"?*"))</f>
        <v/>
      </c>
      <c r="B70" s="4" t="n"/>
      <c r="C70" s="19" t="n"/>
      <c r="D70" s="5">
        <f>IF(OR(B70="",C70=""),"",UPPER(LEFT(C70,1))&amp;LOWER(MID(C70,2,30))&amp;" "&amp;LOWER(LEFT(B70,1))&amp;MID(B70,2,200))</f>
        <v/>
      </c>
      <c r="E70" s="4" t="n"/>
      <c r="F70" s="4" t="n"/>
      <c r="G70" s="4" t="n"/>
      <c r="H70" s="4" t="n"/>
      <c r="I70" s="4" t="n"/>
      <c r="J70" s="4" t="n"/>
      <c r="K70" s="5">
        <f>_xlfn.TEXTJOIN(CHAR(10),TRUE,IF(E70="","","• "&amp;E70),IF(F70="","","• "&amp;F70),IF(G70="","","• "&amp;G70),IF(H70="","","• "&amp;H70),IF(I70="","","• "&amp;I70),IF(J70="","","• "&amp;J70))</f>
        <v/>
      </c>
      <c r="L70" s="4" t="n"/>
      <c r="M70" s="19" t="n"/>
      <c r="N70" s="19" t="n"/>
      <c r="O70" s="30">
        <f>IF(OR(M70="",N70=""),"",INDEX(RiskGrid,6-VALUE(LEFT(M70,1)),VALUE(LEFT(N70,1))))</f>
        <v/>
      </c>
      <c r="P70" s="30">
        <f>IF(O70="","",IF(O70&gt;=BandVH,"Very High",IF(O70&gt;=BandHigh,"High",IF(O70&gt;=BandMed,"Medium","Low"))))</f>
        <v/>
      </c>
      <c r="Q70" s="4" t="n"/>
      <c r="R70" s="19" t="n"/>
      <c r="S70" s="4" t="n"/>
      <c r="T70" s="19" t="n"/>
      <c r="U70" s="4" t="n"/>
      <c r="V70" s="19" t="n"/>
      <c r="W70" s="4" t="n"/>
      <c r="X70" s="19" t="n"/>
      <c r="Y70" s="4" t="n"/>
      <c r="Z70" s="19" t="n"/>
      <c r="AA70" s="4" t="n"/>
      <c r="AB70" s="19" t="n"/>
      <c r="AC70" s="5">
        <f>_xlfn.TEXTJOIN(CHAR(10),TRUE,IF(Q70="","","• "&amp;Q70&amp;IF(R70="Yes","  [IPL]","")),IF(S70="","","• "&amp;S70&amp;IF(T70="Yes","  [IPL]","")),IF(U70="","","• "&amp;U70&amp;IF(V70="Yes","  [IPL]","")),IF(W70="","","• "&amp;W70&amp;IF(X70="Yes","  [IPL]","")),IF(Y70="","","• "&amp;Y70&amp;IF(Z70="Yes","  [IPL]","")),IF(AA70="","","• "&amp;AA70&amp;IF(AB70="Yes","  [IPL]","")))</f>
        <v/>
      </c>
      <c r="AD70" s="30">
        <f>IF(AC70="","",COUNTIF(Q70:AB70,"Yes"))</f>
        <v/>
      </c>
      <c r="AE70" s="19" t="n"/>
      <c r="AF70" s="19" t="n"/>
      <c r="AG70" s="30">
        <f>IF(OR(AE70="",AF70=""),"",INDEX(RiskGrid,6-VALUE(LEFT(AE70,1)),VALUE(LEFT(AF70,1))))</f>
        <v/>
      </c>
      <c r="AH70" s="30">
        <f>IF(AG70="","",IF(AG70&gt;=BandVH,"Very High",IF(AG70&gt;=BandHigh,"High",IF(AG70&gt;=BandMed,"Medium","Low"))))</f>
        <v/>
      </c>
      <c r="AI70" s="4" t="n"/>
      <c r="AJ70" s="4" t="n"/>
    </row>
    <row r="71">
      <c r="A71" s="30">
        <f>IF(B71="","",COUNTIF(B$14:B71,"?*"))</f>
        <v/>
      </c>
      <c r="B71" s="4" t="n"/>
      <c r="C71" s="19" t="n"/>
      <c r="D71" s="5">
        <f>IF(OR(B71="",C71=""),"",UPPER(LEFT(C71,1))&amp;LOWER(MID(C71,2,30))&amp;" "&amp;LOWER(LEFT(B71,1))&amp;MID(B71,2,200))</f>
        <v/>
      </c>
      <c r="E71" s="4" t="n"/>
      <c r="F71" s="4" t="n"/>
      <c r="G71" s="4" t="n"/>
      <c r="H71" s="4" t="n"/>
      <c r="I71" s="4" t="n"/>
      <c r="J71" s="4" t="n"/>
      <c r="K71" s="5">
        <f>_xlfn.TEXTJOIN(CHAR(10),TRUE,IF(E71="","","• "&amp;E71),IF(F71="","","• "&amp;F71),IF(G71="","","• "&amp;G71),IF(H71="","","• "&amp;H71),IF(I71="","","• "&amp;I71),IF(J71="","","• "&amp;J71))</f>
        <v/>
      </c>
      <c r="L71" s="4" t="n"/>
      <c r="M71" s="19" t="n"/>
      <c r="N71" s="19" t="n"/>
      <c r="O71" s="30">
        <f>IF(OR(M71="",N71=""),"",INDEX(RiskGrid,6-VALUE(LEFT(M71,1)),VALUE(LEFT(N71,1))))</f>
        <v/>
      </c>
      <c r="P71" s="30">
        <f>IF(O71="","",IF(O71&gt;=BandVH,"Very High",IF(O71&gt;=BandHigh,"High",IF(O71&gt;=BandMed,"Medium","Low"))))</f>
        <v/>
      </c>
      <c r="Q71" s="4" t="n"/>
      <c r="R71" s="19" t="n"/>
      <c r="S71" s="4" t="n"/>
      <c r="T71" s="19" t="n"/>
      <c r="U71" s="4" t="n"/>
      <c r="V71" s="19" t="n"/>
      <c r="W71" s="4" t="n"/>
      <c r="X71" s="19" t="n"/>
      <c r="Y71" s="4" t="n"/>
      <c r="Z71" s="19" t="n"/>
      <c r="AA71" s="4" t="n"/>
      <c r="AB71" s="19" t="n"/>
      <c r="AC71" s="5">
        <f>_xlfn.TEXTJOIN(CHAR(10),TRUE,IF(Q71="","","• "&amp;Q71&amp;IF(R71="Yes","  [IPL]","")),IF(S71="","","• "&amp;S71&amp;IF(T71="Yes","  [IPL]","")),IF(U71="","","• "&amp;U71&amp;IF(V71="Yes","  [IPL]","")),IF(W71="","","• "&amp;W71&amp;IF(X71="Yes","  [IPL]","")),IF(Y71="","","• "&amp;Y71&amp;IF(Z71="Yes","  [IPL]","")),IF(AA71="","","• "&amp;AA71&amp;IF(AB71="Yes","  [IPL]","")))</f>
        <v/>
      </c>
      <c r="AD71" s="30">
        <f>IF(AC71="","",COUNTIF(Q71:AB71,"Yes"))</f>
        <v/>
      </c>
      <c r="AE71" s="19" t="n"/>
      <c r="AF71" s="19" t="n"/>
      <c r="AG71" s="30">
        <f>IF(OR(AE71="",AF71=""),"",INDEX(RiskGrid,6-VALUE(LEFT(AE71,1)),VALUE(LEFT(AF71,1))))</f>
        <v/>
      </c>
      <c r="AH71" s="30">
        <f>IF(AG71="","",IF(AG71&gt;=BandVH,"Very High",IF(AG71&gt;=BandHigh,"High",IF(AG71&gt;=BandMed,"Medium","Low"))))</f>
        <v/>
      </c>
      <c r="AI71" s="4" t="n"/>
      <c r="AJ71" s="4" t="n"/>
    </row>
    <row r="72">
      <c r="A72" s="30">
        <f>IF(B72="","",COUNTIF(B$14:B72,"?*"))</f>
        <v/>
      </c>
      <c r="B72" s="4" t="n"/>
      <c r="C72" s="19" t="n"/>
      <c r="D72" s="5">
        <f>IF(OR(B72="",C72=""),"",UPPER(LEFT(C72,1))&amp;LOWER(MID(C72,2,30))&amp;" "&amp;LOWER(LEFT(B72,1))&amp;MID(B72,2,200))</f>
        <v/>
      </c>
      <c r="E72" s="4" t="n"/>
      <c r="F72" s="4" t="n"/>
      <c r="G72" s="4" t="n"/>
      <c r="H72" s="4" t="n"/>
      <c r="I72" s="4" t="n"/>
      <c r="J72" s="4" t="n"/>
      <c r="K72" s="5">
        <f>_xlfn.TEXTJOIN(CHAR(10),TRUE,IF(E72="","","• "&amp;E72),IF(F72="","","• "&amp;F72),IF(G72="","","• "&amp;G72),IF(H72="","","• "&amp;H72),IF(I72="","","• "&amp;I72),IF(J72="","","• "&amp;J72))</f>
        <v/>
      </c>
      <c r="L72" s="4" t="n"/>
      <c r="M72" s="19" t="n"/>
      <c r="N72" s="19" t="n"/>
      <c r="O72" s="30">
        <f>IF(OR(M72="",N72=""),"",INDEX(RiskGrid,6-VALUE(LEFT(M72,1)),VALUE(LEFT(N72,1))))</f>
        <v/>
      </c>
      <c r="P72" s="30">
        <f>IF(O72="","",IF(O72&gt;=BandVH,"Very High",IF(O72&gt;=BandHigh,"High",IF(O72&gt;=BandMed,"Medium","Low"))))</f>
        <v/>
      </c>
      <c r="Q72" s="4" t="n"/>
      <c r="R72" s="19" t="n"/>
      <c r="S72" s="4" t="n"/>
      <c r="T72" s="19" t="n"/>
      <c r="U72" s="4" t="n"/>
      <c r="V72" s="19" t="n"/>
      <c r="W72" s="4" t="n"/>
      <c r="X72" s="19" t="n"/>
      <c r="Y72" s="4" t="n"/>
      <c r="Z72" s="19" t="n"/>
      <c r="AA72" s="4" t="n"/>
      <c r="AB72" s="19" t="n"/>
      <c r="AC72" s="5">
        <f>_xlfn.TEXTJOIN(CHAR(10),TRUE,IF(Q72="","","• "&amp;Q72&amp;IF(R72="Yes","  [IPL]","")),IF(S72="","","• "&amp;S72&amp;IF(T72="Yes","  [IPL]","")),IF(U72="","","• "&amp;U72&amp;IF(V72="Yes","  [IPL]","")),IF(W72="","","• "&amp;W72&amp;IF(X72="Yes","  [IPL]","")),IF(Y72="","","• "&amp;Y72&amp;IF(Z72="Yes","  [IPL]","")),IF(AA72="","","• "&amp;AA72&amp;IF(AB72="Yes","  [IPL]","")))</f>
        <v/>
      </c>
      <c r="AD72" s="30">
        <f>IF(AC72="","",COUNTIF(Q72:AB72,"Yes"))</f>
        <v/>
      </c>
      <c r="AE72" s="19" t="n"/>
      <c r="AF72" s="19" t="n"/>
      <c r="AG72" s="30">
        <f>IF(OR(AE72="",AF72=""),"",INDEX(RiskGrid,6-VALUE(LEFT(AE72,1)),VALUE(LEFT(AF72,1))))</f>
        <v/>
      </c>
      <c r="AH72" s="30">
        <f>IF(AG72="","",IF(AG72&gt;=BandVH,"Very High",IF(AG72&gt;=BandHigh,"High",IF(AG72&gt;=BandMed,"Medium","Low"))))</f>
        <v/>
      </c>
      <c r="AI72" s="4" t="n"/>
      <c r="AJ72" s="4" t="n"/>
    </row>
    <row r="73">
      <c r="A73" s="30">
        <f>IF(B73="","",COUNTIF(B$14:B73,"?*"))</f>
        <v/>
      </c>
      <c r="B73" s="4" t="n"/>
      <c r="C73" s="19" t="n"/>
      <c r="D73" s="5">
        <f>IF(OR(B73="",C73=""),"",UPPER(LEFT(C73,1))&amp;LOWER(MID(C73,2,30))&amp;" "&amp;LOWER(LEFT(B73,1))&amp;MID(B73,2,200))</f>
        <v/>
      </c>
      <c r="E73" s="4" t="n"/>
      <c r="F73" s="4" t="n"/>
      <c r="G73" s="4" t="n"/>
      <c r="H73" s="4" t="n"/>
      <c r="I73" s="4" t="n"/>
      <c r="J73" s="4" t="n"/>
      <c r="K73" s="5">
        <f>_xlfn.TEXTJOIN(CHAR(10),TRUE,IF(E73="","","• "&amp;E73),IF(F73="","","• "&amp;F73),IF(G73="","","• "&amp;G73),IF(H73="","","• "&amp;H73),IF(I73="","","• "&amp;I73),IF(J73="","","• "&amp;J73))</f>
        <v/>
      </c>
      <c r="L73" s="4" t="n"/>
      <c r="M73" s="19" t="n"/>
      <c r="N73" s="19" t="n"/>
      <c r="O73" s="30">
        <f>IF(OR(M73="",N73=""),"",INDEX(RiskGrid,6-VALUE(LEFT(M73,1)),VALUE(LEFT(N73,1))))</f>
        <v/>
      </c>
      <c r="P73" s="30">
        <f>IF(O73="","",IF(O73&gt;=BandVH,"Very High",IF(O73&gt;=BandHigh,"High",IF(O73&gt;=BandMed,"Medium","Low"))))</f>
        <v/>
      </c>
      <c r="Q73" s="4" t="n"/>
      <c r="R73" s="19" t="n"/>
      <c r="S73" s="4" t="n"/>
      <c r="T73" s="19" t="n"/>
      <c r="U73" s="4" t="n"/>
      <c r="V73" s="19" t="n"/>
      <c r="W73" s="4" t="n"/>
      <c r="X73" s="19" t="n"/>
      <c r="Y73" s="4" t="n"/>
      <c r="Z73" s="19" t="n"/>
      <c r="AA73" s="4" t="n"/>
      <c r="AB73" s="19" t="n"/>
      <c r="AC73" s="5">
        <f>_xlfn.TEXTJOIN(CHAR(10),TRUE,IF(Q73="","","• "&amp;Q73&amp;IF(R73="Yes","  [IPL]","")),IF(S73="","","• "&amp;S73&amp;IF(T73="Yes","  [IPL]","")),IF(U73="","","• "&amp;U73&amp;IF(V73="Yes","  [IPL]","")),IF(W73="","","• "&amp;W73&amp;IF(X73="Yes","  [IPL]","")),IF(Y73="","","• "&amp;Y73&amp;IF(Z73="Yes","  [IPL]","")),IF(AA73="","","• "&amp;AA73&amp;IF(AB73="Yes","  [IPL]","")))</f>
        <v/>
      </c>
      <c r="AD73" s="30">
        <f>IF(AC73="","",COUNTIF(Q73:AB73,"Yes"))</f>
        <v/>
      </c>
      <c r="AE73" s="19" t="n"/>
      <c r="AF73" s="19" t="n"/>
      <c r="AG73" s="30">
        <f>IF(OR(AE73="",AF73=""),"",INDEX(RiskGrid,6-VALUE(LEFT(AE73,1)),VALUE(LEFT(AF73,1))))</f>
        <v/>
      </c>
      <c r="AH73" s="30">
        <f>IF(AG73="","",IF(AG73&gt;=BandVH,"Very High",IF(AG73&gt;=BandHigh,"High",IF(AG73&gt;=BandMed,"Medium","Low"))))</f>
        <v/>
      </c>
      <c r="AI73" s="4" t="n"/>
      <c r="AJ73" s="4" t="n"/>
    </row>
    <row r="74">
      <c r="A74" s="30">
        <f>IF(B74="","",COUNTIF(B$14:B74,"?*"))</f>
        <v/>
      </c>
      <c r="B74" s="4" t="n"/>
      <c r="C74" s="19" t="n"/>
      <c r="D74" s="5">
        <f>IF(OR(B74="",C74=""),"",UPPER(LEFT(C74,1))&amp;LOWER(MID(C74,2,30))&amp;" "&amp;LOWER(LEFT(B74,1))&amp;MID(B74,2,200))</f>
        <v/>
      </c>
      <c r="E74" s="4" t="n"/>
      <c r="F74" s="4" t="n"/>
      <c r="G74" s="4" t="n"/>
      <c r="H74" s="4" t="n"/>
      <c r="I74" s="4" t="n"/>
      <c r="J74" s="4" t="n"/>
      <c r="K74" s="5">
        <f>_xlfn.TEXTJOIN(CHAR(10),TRUE,IF(E74="","","• "&amp;E74),IF(F74="","","• "&amp;F74),IF(G74="","","• "&amp;G74),IF(H74="","","• "&amp;H74),IF(I74="","","• "&amp;I74),IF(J74="","","• "&amp;J74))</f>
        <v/>
      </c>
      <c r="L74" s="4" t="n"/>
      <c r="M74" s="19" t="n"/>
      <c r="N74" s="19" t="n"/>
      <c r="O74" s="30">
        <f>IF(OR(M74="",N74=""),"",INDEX(RiskGrid,6-VALUE(LEFT(M74,1)),VALUE(LEFT(N74,1))))</f>
        <v/>
      </c>
      <c r="P74" s="30">
        <f>IF(O74="","",IF(O74&gt;=BandVH,"Very High",IF(O74&gt;=BandHigh,"High",IF(O74&gt;=BandMed,"Medium","Low"))))</f>
        <v/>
      </c>
      <c r="Q74" s="4" t="n"/>
      <c r="R74" s="19" t="n"/>
      <c r="S74" s="4" t="n"/>
      <c r="T74" s="19" t="n"/>
      <c r="U74" s="4" t="n"/>
      <c r="V74" s="19" t="n"/>
      <c r="W74" s="4" t="n"/>
      <c r="X74" s="19" t="n"/>
      <c r="Y74" s="4" t="n"/>
      <c r="Z74" s="19" t="n"/>
      <c r="AA74" s="4" t="n"/>
      <c r="AB74" s="19" t="n"/>
      <c r="AC74" s="5">
        <f>_xlfn.TEXTJOIN(CHAR(10),TRUE,IF(Q74="","","• "&amp;Q74&amp;IF(R74="Yes","  [IPL]","")),IF(S74="","","• "&amp;S74&amp;IF(T74="Yes","  [IPL]","")),IF(U74="","","• "&amp;U74&amp;IF(V74="Yes","  [IPL]","")),IF(W74="","","• "&amp;W74&amp;IF(X74="Yes","  [IPL]","")),IF(Y74="","","• "&amp;Y74&amp;IF(Z74="Yes","  [IPL]","")),IF(AA74="","","• "&amp;AA74&amp;IF(AB74="Yes","  [IPL]","")))</f>
        <v/>
      </c>
      <c r="AD74" s="30">
        <f>IF(AC74="","",COUNTIF(Q74:AB74,"Yes"))</f>
        <v/>
      </c>
      <c r="AE74" s="19" t="n"/>
      <c r="AF74" s="19" t="n"/>
      <c r="AG74" s="30">
        <f>IF(OR(AE74="",AF74=""),"",INDEX(RiskGrid,6-VALUE(LEFT(AE74,1)),VALUE(LEFT(AF74,1))))</f>
        <v/>
      </c>
      <c r="AH74" s="30">
        <f>IF(AG74="","",IF(AG74&gt;=BandVH,"Very High",IF(AG74&gt;=BandHigh,"High",IF(AG74&gt;=BandMed,"Medium","Low"))))</f>
        <v/>
      </c>
      <c r="AI74" s="4" t="n"/>
      <c r="AJ74" s="4" t="n"/>
    </row>
    <row r="75">
      <c r="A75" s="30">
        <f>IF(B75="","",COUNTIF(B$14:B75,"?*"))</f>
        <v/>
      </c>
      <c r="B75" s="4" t="n"/>
      <c r="C75" s="19" t="n"/>
      <c r="D75" s="5">
        <f>IF(OR(B75="",C75=""),"",UPPER(LEFT(C75,1))&amp;LOWER(MID(C75,2,30))&amp;" "&amp;LOWER(LEFT(B75,1))&amp;MID(B75,2,200))</f>
        <v/>
      </c>
      <c r="E75" s="4" t="n"/>
      <c r="F75" s="4" t="n"/>
      <c r="G75" s="4" t="n"/>
      <c r="H75" s="4" t="n"/>
      <c r="I75" s="4" t="n"/>
      <c r="J75" s="4" t="n"/>
      <c r="K75" s="5">
        <f>_xlfn.TEXTJOIN(CHAR(10),TRUE,IF(E75="","","• "&amp;E75),IF(F75="","","• "&amp;F75),IF(G75="","","• "&amp;G75),IF(H75="","","• "&amp;H75),IF(I75="","","• "&amp;I75),IF(J75="","","• "&amp;J75))</f>
        <v/>
      </c>
      <c r="L75" s="4" t="n"/>
      <c r="M75" s="19" t="n"/>
      <c r="N75" s="19" t="n"/>
      <c r="O75" s="30">
        <f>IF(OR(M75="",N75=""),"",INDEX(RiskGrid,6-VALUE(LEFT(M75,1)),VALUE(LEFT(N75,1))))</f>
        <v/>
      </c>
      <c r="P75" s="30">
        <f>IF(O75="","",IF(O75&gt;=BandVH,"Very High",IF(O75&gt;=BandHigh,"High",IF(O75&gt;=BandMed,"Medium","Low"))))</f>
        <v/>
      </c>
      <c r="Q75" s="4" t="n"/>
      <c r="R75" s="19" t="n"/>
      <c r="S75" s="4" t="n"/>
      <c r="T75" s="19" t="n"/>
      <c r="U75" s="4" t="n"/>
      <c r="V75" s="19" t="n"/>
      <c r="W75" s="4" t="n"/>
      <c r="X75" s="19" t="n"/>
      <c r="Y75" s="4" t="n"/>
      <c r="Z75" s="19" t="n"/>
      <c r="AA75" s="4" t="n"/>
      <c r="AB75" s="19" t="n"/>
      <c r="AC75" s="5">
        <f>_xlfn.TEXTJOIN(CHAR(10),TRUE,IF(Q75="","","• "&amp;Q75&amp;IF(R75="Yes","  [IPL]","")),IF(S75="","","• "&amp;S75&amp;IF(T75="Yes","  [IPL]","")),IF(U75="","","• "&amp;U75&amp;IF(V75="Yes","  [IPL]","")),IF(W75="","","• "&amp;W75&amp;IF(X75="Yes","  [IPL]","")),IF(Y75="","","• "&amp;Y75&amp;IF(Z75="Yes","  [IPL]","")),IF(AA75="","","• "&amp;AA75&amp;IF(AB75="Yes","  [IPL]","")))</f>
        <v/>
      </c>
      <c r="AD75" s="30">
        <f>IF(AC75="","",COUNTIF(Q75:AB75,"Yes"))</f>
        <v/>
      </c>
      <c r="AE75" s="19" t="n"/>
      <c r="AF75" s="19" t="n"/>
      <c r="AG75" s="30">
        <f>IF(OR(AE75="",AF75=""),"",INDEX(RiskGrid,6-VALUE(LEFT(AE75,1)),VALUE(LEFT(AF75,1))))</f>
        <v/>
      </c>
      <c r="AH75" s="30">
        <f>IF(AG75="","",IF(AG75&gt;=BandVH,"Very High",IF(AG75&gt;=BandHigh,"High",IF(AG75&gt;=BandMed,"Medium","Low"))))</f>
        <v/>
      </c>
      <c r="AI75" s="4" t="n"/>
      <c r="AJ75" s="4" t="n"/>
    </row>
    <row r="76">
      <c r="A76" s="30">
        <f>IF(B76="","",COUNTIF(B$14:B76,"?*"))</f>
        <v/>
      </c>
      <c r="B76" s="4" t="n"/>
      <c r="C76" s="19" t="n"/>
      <c r="D76" s="5">
        <f>IF(OR(B76="",C76=""),"",UPPER(LEFT(C76,1))&amp;LOWER(MID(C76,2,30))&amp;" "&amp;LOWER(LEFT(B76,1))&amp;MID(B76,2,200))</f>
        <v/>
      </c>
      <c r="E76" s="4" t="n"/>
      <c r="F76" s="4" t="n"/>
      <c r="G76" s="4" t="n"/>
      <c r="H76" s="4" t="n"/>
      <c r="I76" s="4" t="n"/>
      <c r="J76" s="4" t="n"/>
      <c r="K76" s="5">
        <f>_xlfn.TEXTJOIN(CHAR(10),TRUE,IF(E76="","","• "&amp;E76),IF(F76="","","• "&amp;F76),IF(G76="","","• "&amp;G76),IF(H76="","","• "&amp;H76),IF(I76="","","• "&amp;I76),IF(J76="","","• "&amp;J76))</f>
        <v/>
      </c>
      <c r="L76" s="4" t="n"/>
      <c r="M76" s="19" t="n"/>
      <c r="N76" s="19" t="n"/>
      <c r="O76" s="30">
        <f>IF(OR(M76="",N76=""),"",INDEX(RiskGrid,6-VALUE(LEFT(M76,1)),VALUE(LEFT(N76,1))))</f>
        <v/>
      </c>
      <c r="P76" s="30">
        <f>IF(O76="","",IF(O76&gt;=BandVH,"Very High",IF(O76&gt;=BandHigh,"High",IF(O76&gt;=BandMed,"Medium","Low"))))</f>
        <v/>
      </c>
      <c r="Q76" s="4" t="n"/>
      <c r="R76" s="19" t="n"/>
      <c r="S76" s="4" t="n"/>
      <c r="T76" s="19" t="n"/>
      <c r="U76" s="4" t="n"/>
      <c r="V76" s="19" t="n"/>
      <c r="W76" s="4" t="n"/>
      <c r="X76" s="19" t="n"/>
      <c r="Y76" s="4" t="n"/>
      <c r="Z76" s="19" t="n"/>
      <c r="AA76" s="4" t="n"/>
      <c r="AB76" s="19" t="n"/>
      <c r="AC76" s="5">
        <f>_xlfn.TEXTJOIN(CHAR(10),TRUE,IF(Q76="","","• "&amp;Q76&amp;IF(R76="Yes","  [IPL]","")),IF(S76="","","• "&amp;S76&amp;IF(T76="Yes","  [IPL]","")),IF(U76="","","• "&amp;U76&amp;IF(V76="Yes","  [IPL]","")),IF(W76="","","• "&amp;W76&amp;IF(X76="Yes","  [IPL]","")),IF(Y76="","","• "&amp;Y76&amp;IF(Z76="Yes","  [IPL]","")),IF(AA76="","","• "&amp;AA76&amp;IF(AB76="Yes","  [IPL]","")))</f>
        <v/>
      </c>
      <c r="AD76" s="30">
        <f>IF(AC76="","",COUNTIF(Q76:AB76,"Yes"))</f>
        <v/>
      </c>
      <c r="AE76" s="19" t="n"/>
      <c r="AF76" s="19" t="n"/>
      <c r="AG76" s="30">
        <f>IF(OR(AE76="",AF76=""),"",INDEX(RiskGrid,6-VALUE(LEFT(AE76,1)),VALUE(LEFT(AF76,1))))</f>
        <v/>
      </c>
      <c r="AH76" s="30">
        <f>IF(AG76="","",IF(AG76&gt;=BandVH,"Very High",IF(AG76&gt;=BandHigh,"High",IF(AG76&gt;=BandMed,"Medium","Low"))))</f>
        <v/>
      </c>
      <c r="AI76" s="4" t="n"/>
      <c r="AJ76" s="4" t="n"/>
    </row>
    <row r="77">
      <c r="A77" s="30">
        <f>IF(B77="","",COUNTIF(B$14:B77,"?*"))</f>
        <v/>
      </c>
      <c r="B77" s="4" t="n"/>
      <c r="C77" s="19" t="n"/>
      <c r="D77" s="5">
        <f>IF(OR(B77="",C77=""),"",UPPER(LEFT(C77,1))&amp;LOWER(MID(C77,2,30))&amp;" "&amp;LOWER(LEFT(B77,1))&amp;MID(B77,2,200))</f>
        <v/>
      </c>
      <c r="E77" s="4" t="n"/>
      <c r="F77" s="4" t="n"/>
      <c r="G77" s="4" t="n"/>
      <c r="H77" s="4" t="n"/>
      <c r="I77" s="4" t="n"/>
      <c r="J77" s="4" t="n"/>
      <c r="K77" s="5">
        <f>_xlfn.TEXTJOIN(CHAR(10),TRUE,IF(E77="","","• "&amp;E77),IF(F77="","","• "&amp;F77),IF(G77="","","• "&amp;G77),IF(H77="","","• "&amp;H77),IF(I77="","","• "&amp;I77),IF(J77="","","• "&amp;J77))</f>
        <v/>
      </c>
      <c r="L77" s="4" t="n"/>
      <c r="M77" s="19" t="n"/>
      <c r="N77" s="19" t="n"/>
      <c r="O77" s="30">
        <f>IF(OR(M77="",N77=""),"",INDEX(RiskGrid,6-VALUE(LEFT(M77,1)),VALUE(LEFT(N77,1))))</f>
        <v/>
      </c>
      <c r="P77" s="30">
        <f>IF(O77="","",IF(O77&gt;=BandVH,"Very High",IF(O77&gt;=BandHigh,"High",IF(O77&gt;=BandMed,"Medium","Low"))))</f>
        <v/>
      </c>
      <c r="Q77" s="4" t="n"/>
      <c r="R77" s="19" t="n"/>
      <c r="S77" s="4" t="n"/>
      <c r="T77" s="19" t="n"/>
      <c r="U77" s="4" t="n"/>
      <c r="V77" s="19" t="n"/>
      <c r="W77" s="4" t="n"/>
      <c r="X77" s="19" t="n"/>
      <c r="Y77" s="4" t="n"/>
      <c r="Z77" s="19" t="n"/>
      <c r="AA77" s="4" t="n"/>
      <c r="AB77" s="19" t="n"/>
      <c r="AC77" s="5">
        <f>_xlfn.TEXTJOIN(CHAR(10),TRUE,IF(Q77="","","• "&amp;Q77&amp;IF(R77="Yes","  [IPL]","")),IF(S77="","","• "&amp;S77&amp;IF(T77="Yes","  [IPL]","")),IF(U77="","","• "&amp;U77&amp;IF(V77="Yes","  [IPL]","")),IF(W77="","","• "&amp;W77&amp;IF(X77="Yes","  [IPL]","")),IF(Y77="","","• "&amp;Y77&amp;IF(Z77="Yes","  [IPL]","")),IF(AA77="","","• "&amp;AA77&amp;IF(AB77="Yes","  [IPL]","")))</f>
        <v/>
      </c>
      <c r="AD77" s="30">
        <f>IF(AC77="","",COUNTIF(Q77:AB77,"Yes"))</f>
        <v/>
      </c>
      <c r="AE77" s="19" t="n"/>
      <c r="AF77" s="19" t="n"/>
      <c r="AG77" s="30">
        <f>IF(OR(AE77="",AF77=""),"",INDEX(RiskGrid,6-VALUE(LEFT(AE77,1)),VALUE(LEFT(AF77,1))))</f>
        <v/>
      </c>
      <c r="AH77" s="30">
        <f>IF(AG77="","",IF(AG77&gt;=BandVH,"Very High",IF(AG77&gt;=BandHigh,"High",IF(AG77&gt;=BandMed,"Medium","Low"))))</f>
        <v/>
      </c>
      <c r="AI77" s="4" t="n"/>
      <c r="AJ77" s="4" t="n"/>
    </row>
    <row r="78">
      <c r="A78" s="30">
        <f>IF(B78="","",COUNTIF(B$14:B78,"?*"))</f>
        <v/>
      </c>
      <c r="B78" s="4" t="n"/>
      <c r="C78" s="19" t="n"/>
      <c r="D78" s="5">
        <f>IF(OR(B78="",C78=""),"",UPPER(LEFT(C78,1))&amp;LOWER(MID(C78,2,30))&amp;" "&amp;LOWER(LEFT(B78,1))&amp;MID(B78,2,200))</f>
        <v/>
      </c>
      <c r="E78" s="4" t="n"/>
      <c r="F78" s="4" t="n"/>
      <c r="G78" s="4" t="n"/>
      <c r="H78" s="4" t="n"/>
      <c r="I78" s="4" t="n"/>
      <c r="J78" s="4" t="n"/>
      <c r="K78" s="5">
        <f>_xlfn.TEXTJOIN(CHAR(10),TRUE,IF(E78="","","• "&amp;E78),IF(F78="","","• "&amp;F78),IF(G78="","","• "&amp;G78),IF(H78="","","• "&amp;H78),IF(I78="","","• "&amp;I78),IF(J78="","","• "&amp;J78))</f>
        <v/>
      </c>
      <c r="L78" s="4" t="n"/>
      <c r="M78" s="19" t="n"/>
      <c r="N78" s="19" t="n"/>
      <c r="O78" s="30">
        <f>IF(OR(M78="",N78=""),"",INDEX(RiskGrid,6-VALUE(LEFT(M78,1)),VALUE(LEFT(N78,1))))</f>
        <v/>
      </c>
      <c r="P78" s="30">
        <f>IF(O78="","",IF(O78&gt;=BandVH,"Very High",IF(O78&gt;=BandHigh,"High",IF(O78&gt;=BandMed,"Medium","Low"))))</f>
        <v/>
      </c>
      <c r="Q78" s="4" t="n"/>
      <c r="R78" s="19" t="n"/>
      <c r="S78" s="4" t="n"/>
      <c r="T78" s="19" t="n"/>
      <c r="U78" s="4" t="n"/>
      <c r="V78" s="19" t="n"/>
      <c r="W78" s="4" t="n"/>
      <c r="X78" s="19" t="n"/>
      <c r="Y78" s="4" t="n"/>
      <c r="Z78" s="19" t="n"/>
      <c r="AA78" s="4" t="n"/>
      <c r="AB78" s="19" t="n"/>
      <c r="AC78" s="5">
        <f>_xlfn.TEXTJOIN(CHAR(10),TRUE,IF(Q78="","","• "&amp;Q78&amp;IF(R78="Yes","  [IPL]","")),IF(S78="","","• "&amp;S78&amp;IF(T78="Yes","  [IPL]","")),IF(U78="","","• "&amp;U78&amp;IF(V78="Yes","  [IPL]","")),IF(W78="","","• "&amp;W78&amp;IF(X78="Yes","  [IPL]","")),IF(Y78="","","• "&amp;Y78&amp;IF(Z78="Yes","  [IPL]","")),IF(AA78="","","• "&amp;AA78&amp;IF(AB78="Yes","  [IPL]","")))</f>
        <v/>
      </c>
      <c r="AD78" s="30">
        <f>IF(AC78="","",COUNTIF(Q78:AB78,"Yes"))</f>
        <v/>
      </c>
      <c r="AE78" s="19" t="n"/>
      <c r="AF78" s="19" t="n"/>
      <c r="AG78" s="30">
        <f>IF(OR(AE78="",AF78=""),"",INDEX(RiskGrid,6-VALUE(LEFT(AE78,1)),VALUE(LEFT(AF78,1))))</f>
        <v/>
      </c>
      <c r="AH78" s="30">
        <f>IF(AG78="","",IF(AG78&gt;=BandVH,"Very High",IF(AG78&gt;=BandHigh,"High",IF(AG78&gt;=BandMed,"Medium","Low"))))</f>
        <v/>
      </c>
      <c r="AI78" s="4" t="n"/>
      <c r="AJ78" s="4" t="n"/>
    </row>
    <row r="79">
      <c r="A79" s="30">
        <f>IF(B79="","",COUNTIF(B$14:B79,"?*"))</f>
        <v/>
      </c>
      <c r="B79" s="4" t="n"/>
      <c r="C79" s="19" t="n"/>
      <c r="D79" s="5">
        <f>IF(OR(B79="",C79=""),"",UPPER(LEFT(C79,1))&amp;LOWER(MID(C79,2,30))&amp;" "&amp;LOWER(LEFT(B79,1))&amp;MID(B79,2,200))</f>
        <v/>
      </c>
      <c r="E79" s="4" t="n"/>
      <c r="F79" s="4" t="n"/>
      <c r="G79" s="4" t="n"/>
      <c r="H79" s="4" t="n"/>
      <c r="I79" s="4" t="n"/>
      <c r="J79" s="4" t="n"/>
      <c r="K79" s="5">
        <f>_xlfn.TEXTJOIN(CHAR(10),TRUE,IF(E79="","","• "&amp;E79),IF(F79="","","• "&amp;F79),IF(G79="","","• "&amp;G79),IF(H79="","","• "&amp;H79),IF(I79="","","• "&amp;I79),IF(J79="","","• "&amp;J79))</f>
        <v/>
      </c>
      <c r="L79" s="4" t="n"/>
      <c r="M79" s="19" t="n"/>
      <c r="N79" s="19" t="n"/>
      <c r="O79" s="30">
        <f>IF(OR(M79="",N79=""),"",INDEX(RiskGrid,6-VALUE(LEFT(M79,1)),VALUE(LEFT(N79,1))))</f>
        <v/>
      </c>
      <c r="P79" s="30">
        <f>IF(O79="","",IF(O79&gt;=BandVH,"Very High",IF(O79&gt;=BandHigh,"High",IF(O79&gt;=BandMed,"Medium","Low"))))</f>
        <v/>
      </c>
      <c r="Q79" s="4" t="n"/>
      <c r="R79" s="19" t="n"/>
      <c r="S79" s="4" t="n"/>
      <c r="T79" s="19" t="n"/>
      <c r="U79" s="4" t="n"/>
      <c r="V79" s="19" t="n"/>
      <c r="W79" s="4" t="n"/>
      <c r="X79" s="19" t="n"/>
      <c r="Y79" s="4" t="n"/>
      <c r="Z79" s="19" t="n"/>
      <c r="AA79" s="4" t="n"/>
      <c r="AB79" s="19" t="n"/>
      <c r="AC79" s="5">
        <f>_xlfn.TEXTJOIN(CHAR(10),TRUE,IF(Q79="","","• "&amp;Q79&amp;IF(R79="Yes","  [IPL]","")),IF(S79="","","• "&amp;S79&amp;IF(T79="Yes","  [IPL]","")),IF(U79="","","• "&amp;U79&amp;IF(V79="Yes","  [IPL]","")),IF(W79="","","• "&amp;W79&amp;IF(X79="Yes","  [IPL]","")),IF(Y79="","","• "&amp;Y79&amp;IF(Z79="Yes","  [IPL]","")),IF(AA79="","","• "&amp;AA79&amp;IF(AB79="Yes","  [IPL]","")))</f>
        <v/>
      </c>
      <c r="AD79" s="30">
        <f>IF(AC79="","",COUNTIF(Q79:AB79,"Yes"))</f>
        <v/>
      </c>
      <c r="AE79" s="19" t="n"/>
      <c r="AF79" s="19" t="n"/>
      <c r="AG79" s="30">
        <f>IF(OR(AE79="",AF79=""),"",INDEX(RiskGrid,6-VALUE(LEFT(AE79,1)),VALUE(LEFT(AF79,1))))</f>
        <v/>
      </c>
      <c r="AH79" s="30">
        <f>IF(AG79="","",IF(AG79&gt;=BandVH,"Very High",IF(AG79&gt;=BandHigh,"High",IF(AG79&gt;=BandMed,"Medium","Low"))))</f>
        <v/>
      </c>
      <c r="AI79" s="4" t="n"/>
      <c r="AJ79" s="4" t="n"/>
    </row>
    <row r="80">
      <c r="A80" s="30">
        <f>IF(B80="","",COUNTIF(B$14:B80,"?*"))</f>
        <v/>
      </c>
      <c r="B80" s="4" t="n"/>
      <c r="C80" s="19" t="n"/>
      <c r="D80" s="5">
        <f>IF(OR(B80="",C80=""),"",UPPER(LEFT(C80,1))&amp;LOWER(MID(C80,2,30))&amp;" "&amp;LOWER(LEFT(B80,1))&amp;MID(B80,2,200))</f>
        <v/>
      </c>
      <c r="E80" s="4" t="n"/>
      <c r="F80" s="4" t="n"/>
      <c r="G80" s="4" t="n"/>
      <c r="H80" s="4" t="n"/>
      <c r="I80" s="4" t="n"/>
      <c r="J80" s="4" t="n"/>
      <c r="K80" s="5">
        <f>_xlfn.TEXTJOIN(CHAR(10),TRUE,IF(E80="","","• "&amp;E80),IF(F80="","","• "&amp;F80),IF(G80="","","• "&amp;G80),IF(H80="","","• "&amp;H80),IF(I80="","","• "&amp;I80),IF(J80="","","• "&amp;J80))</f>
        <v/>
      </c>
      <c r="L80" s="4" t="n"/>
      <c r="M80" s="19" t="n"/>
      <c r="N80" s="19" t="n"/>
      <c r="O80" s="30">
        <f>IF(OR(M80="",N80=""),"",INDEX(RiskGrid,6-VALUE(LEFT(M80,1)),VALUE(LEFT(N80,1))))</f>
        <v/>
      </c>
      <c r="P80" s="30">
        <f>IF(O80="","",IF(O80&gt;=BandVH,"Very High",IF(O80&gt;=BandHigh,"High",IF(O80&gt;=BandMed,"Medium","Low"))))</f>
        <v/>
      </c>
      <c r="Q80" s="4" t="n"/>
      <c r="R80" s="19" t="n"/>
      <c r="S80" s="4" t="n"/>
      <c r="T80" s="19" t="n"/>
      <c r="U80" s="4" t="n"/>
      <c r="V80" s="19" t="n"/>
      <c r="W80" s="4" t="n"/>
      <c r="X80" s="19" t="n"/>
      <c r="Y80" s="4" t="n"/>
      <c r="Z80" s="19" t="n"/>
      <c r="AA80" s="4" t="n"/>
      <c r="AB80" s="19" t="n"/>
      <c r="AC80" s="5">
        <f>_xlfn.TEXTJOIN(CHAR(10),TRUE,IF(Q80="","","• "&amp;Q80&amp;IF(R80="Yes","  [IPL]","")),IF(S80="","","• "&amp;S80&amp;IF(T80="Yes","  [IPL]","")),IF(U80="","","• "&amp;U80&amp;IF(V80="Yes","  [IPL]","")),IF(W80="","","• "&amp;W80&amp;IF(X80="Yes","  [IPL]","")),IF(Y80="","","• "&amp;Y80&amp;IF(Z80="Yes","  [IPL]","")),IF(AA80="","","• "&amp;AA80&amp;IF(AB80="Yes","  [IPL]","")))</f>
        <v/>
      </c>
      <c r="AD80" s="30">
        <f>IF(AC80="","",COUNTIF(Q80:AB80,"Yes"))</f>
        <v/>
      </c>
      <c r="AE80" s="19" t="n"/>
      <c r="AF80" s="19" t="n"/>
      <c r="AG80" s="30">
        <f>IF(OR(AE80="",AF80=""),"",INDEX(RiskGrid,6-VALUE(LEFT(AE80,1)),VALUE(LEFT(AF80,1))))</f>
        <v/>
      </c>
      <c r="AH80" s="30">
        <f>IF(AG80="","",IF(AG80&gt;=BandVH,"Very High",IF(AG80&gt;=BandHigh,"High",IF(AG80&gt;=BandMed,"Medium","Low"))))</f>
        <v/>
      </c>
      <c r="AI80" s="4" t="n"/>
      <c r="AJ80" s="4" t="n"/>
    </row>
    <row r="81">
      <c r="A81" s="30">
        <f>IF(B81="","",COUNTIF(B$14:B81,"?*"))</f>
        <v/>
      </c>
      <c r="B81" s="4" t="n"/>
      <c r="C81" s="19" t="n"/>
      <c r="D81" s="5">
        <f>IF(OR(B81="",C81=""),"",UPPER(LEFT(C81,1))&amp;LOWER(MID(C81,2,30))&amp;" "&amp;LOWER(LEFT(B81,1))&amp;MID(B81,2,200))</f>
        <v/>
      </c>
      <c r="E81" s="4" t="n"/>
      <c r="F81" s="4" t="n"/>
      <c r="G81" s="4" t="n"/>
      <c r="H81" s="4" t="n"/>
      <c r="I81" s="4" t="n"/>
      <c r="J81" s="4" t="n"/>
      <c r="K81" s="5">
        <f>_xlfn.TEXTJOIN(CHAR(10),TRUE,IF(E81="","","• "&amp;E81),IF(F81="","","• "&amp;F81),IF(G81="","","• "&amp;G81),IF(H81="","","• "&amp;H81),IF(I81="","","• "&amp;I81),IF(J81="","","• "&amp;J81))</f>
        <v/>
      </c>
      <c r="L81" s="4" t="n"/>
      <c r="M81" s="19" t="n"/>
      <c r="N81" s="19" t="n"/>
      <c r="O81" s="30">
        <f>IF(OR(M81="",N81=""),"",INDEX(RiskGrid,6-VALUE(LEFT(M81,1)),VALUE(LEFT(N81,1))))</f>
        <v/>
      </c>
      <c r="P81" s="30">
        <f>IF(O81="","",IF(O81&gt;=BandVH,"Very High",IF(O81&gt;=BandHigh,"High",IF(O81&gt;=BandMed,"Medium","Low"))))</f>
        <v/>
      </c>
      <c r="Q81" s="4" t="n"/>
      <c r="R81" s="19" t="n"/>
      <c r="S81" s="4" t="n"/>
      <c r="T81" s="19" t="n"/>
      <c r="U81" s="4" t="n"/>
      <c r="V81" s="19" t="n"/>
      <c r="W81" s="4" t="n"/>
      <c r="X81" s="19" t="n"/>
      <c r="Y81" s="4" t="n"/>
      <c r="Z81" s="19" t="n"/>
      <c r="AA81" s="4" t="n"/>
      <c r="AB81" s="19" t="n"/>
      <c r="AC81" s="5">
        <f>_xlfn.TEXTJOIN(CHAR(10),TRUE,IF(Q81="","","• "&amp;Q81&amp;IF(R81="Yes","  [IPL]","")),IF(S81="","","• "&amp;S81&amp;IF(T81="Yes","  [IPL]","")),IF(U81="","","• "&amp;U81&amp;IF(V81="Yes","  [IPL]","")),IF(W81="","","• "&amp;W81&amp;IF(X81="Yes","  [IPL]","")),IF(Y81="","","• "&amp;Y81&amp;IF(Z81="Yes","  [IPL]","")),IF(AA81="","","• "&amp;AA81&amp;IF(AB81="Yes","  [IPL]","")))</f>
        <v/>
      </c>
      <c r="AD81" s="30">
        <f>IF(AC81="","",COUNTIF(Q81:AB81,"Yes"))</f>
        <v/>
      </c>
      <c r="AE81" s="19" t="n"/>
      <c r="AF81" s="19" t="n"/>
      <c r="AG81" s="30">
        <f>IF(OR(AE81="",AF81=""),"",INDEX(RiskGrid,6-VALUE(LEFT(AE81,1)),VALUE(LEFT(AF81,1))))</f>
        <v/>
      </c>
      <c r="AH81" s="30">
        <f>IF(AG81="","",IF(AG81&gt;=BandVH,"Very High",IF(AG81&gt;=BandHigh,"High",IF(AG81&gt;=BandMed,"Medium","Low"))))</f>
        <v/>
      </c>
      <c r="AI81" s="4" t="n"/>
      <c r="AJ81" s="4" t="n"/>
    </row>
    <row r="82">
      <c r="A82" s="30">
        <f>IF(B82="","",COUNTIF(B$14:B82,"?*"))</f>
        <v/>
      </c>
      <c r="B82" s="4" t="n"/>
      <c r="C82" s="19" t="n"/>
      <c r="D82" s="5">
        <f>IF(OR(B82="",C82=""),"",UPPER(LEFT(C82,1))&amp;LOWER(MID(C82,2,30))&amp;" "&amp;LOWER(LEFT(B82,1))&amp;MID(B82,2,200))</f>
        <v/>
      </c>
      <c r="E82" s="4" t="n"/>
      <c r="F82" s="4" t="n"/>
      <c r="G82" s="4" t="n"/>
      <c r="H82" s="4" t="n"/>
      <c r="I82" s="4" t="n"/>
      <c r="J82" s="4" t="n"/>
      <c r="K82" s="5">
        <f>_xlfn.TEXTJOIN(CHAR(10),TRUE,IF(E82="","","• "&amp;E82),IF(F82="","","• "&amp;F82),IF(G82="","","• "&amp;G82),IF(H82="","","• "&amp;H82),IF(I82="","","• "&amp;I82),IF(J82="","","• "&amp;J82))</f>
        <v/>
      </c>
      <c r="L82" s="4" t="n"/>
      <c r="M82" s="19" t="n"/>
      <c r="N82" s="19" t="n"/>
      <c r="O82" s="30">
        <f>IF(OR(M82="",N82=""),"",INDEX(RiskGrid,6-VALUE(LEFT(M82,1)),VALUE(LEFT(N82,1))))</f>
        <v/>
      </c>
      <c r="P82" s="30">
        <f>IF(O82="","",IF(O82&gt;=BandVH,"Very High",IF(O82&gt;=BandHigh,"High",IF(O82&gt;=BandMed,"Medium","Low"))))</f>
        <v/>
      </c>
      <c r="Q82" s="4" t="n"/>
      <c r="R82" s="19" t="n"/>
      <c r="S82" s="4" t="n"/>
      <c r="T82" s="19" t="n"/>
      <c r="U82" s="4" t="n"/>
      <c r="V82" s="19" t="n"/>
      <c r="W82" s="4" t="n"/>
      <c r="X82" s="19" t="n"/>
      <c r="Y82" s="4" t="n"/>
      <c r="Z82" s="19" t="n"/>
      <c r="AA82" s="4" t="n"/>
      <c r="AB82" s="19" t="n"/>
      <c r="AC82" s="5">
        <f>_xlfn.TEXTJOIN(CHAR(10),TRUE,IF(Q82="","","• "&amp;Q82&amp;IF(R82="Yes","  [IPL]","")),IF(S82="","","• "&amp;S82&amp;IF(T82="Yes","  [IPL]","")),IF(U82="","","• "&amp;U82&amp;IF(V82="Yes","  [IPL]","")),IF(W82="","","• "&amp;W82&amp;IF(X82="Yes","  [IPL]","")),IF(Y82="","","• "&amp;Y82&amp;IF(Z82="Yes","  [IPL]","")),IF(AA82="","","• "&amp;AA82&amp;IF(AB82="Yes","  [IPL]","")))</f>
        <v/>
      </c>
      <c r="AD82" s="30">
        <f>IF(AC82="","",COUNTIF(Q82:AB82,"Yes"))</f>
        <v/>
      </c>
      <c r="AE82" s="19" t="n"/>
      <c r="AF82" s="19" t="n"/>
      <c r="AG82" s="30">
        <f>IF(OR(AE82="",AF82=""),"",INDEX(RiskGrid,6-VALUE(LEFT(AE82,1)),VALUE(LEFT(AF82,1))))</f>
        <v/>
      </c>
      <c r="AH82" s="30">
        <f>IF(AG82="","",IF(AG82&gt;=BandVH,"Very High",IF(AG82&gt;=BandHigh,"High",IF(AG82&gt;=BandMed,"Medium","Low"))))</f>
        <v/>
      </c>
      <c r="AI82" s="4" t="n"/>
      <c r="AJ82" s="4" t="n"/>
    </row>
    <row r="83">
      <c r="A83" s="30">
        <f>IF(B83="","",COUNTIF(B$14:B83,"?*"))</f>
        <v/>
      </c>
      <c r="B83" s="4" t="n"/>
      <c r="C83" s="19" t="n"/>
      <c r="D83" s="5">
        <f>IF(OR(B83="",C83=""),"",UPPER(LEFT(C83,1))&amp;LOWER(MID(C83,2,30))&amp;" "&amp;LOWER(LEFT(B83,1))&amp;MID(B83,2,200))</f>
        <v/>
      </c>
      <c r="E83" s="4" t="n"/>
      <c r="F83" s="4" t="n"/>
      <c r="G83" s="4" t="n"/>
      <c r="H83" s="4" t="n"/>
      <c r="I83" s="4" t="n"/>
      <c r="J83" s="4" t="n"/>
      <c r="K83" s="5">
        <f>_xlfn.TEXTJOIN(CHAR(10),TRUE,IF(E83="","","• "&amp;E83),IF(F83="","","• "&amp;F83),IF(G83="","","• "&amp;G83),IF(H83="","","• "&amp;H83),IF(I83="","","• "&amp;I83),IF(J83="","","• "&amp;J83))</f>
        <v/>
      </c>
      <c r="L83" s="4" t="n"/>
      <c r="M83" s="19" t="n"/>
      <c r="N83" s="19" t="n"/>
      <c r="O83" s="30">
        <f>IF(OR(M83="",N83=""),"",INDEX(RiskGrid,6-VALUE(LEFT(M83,1)),VALUE(LEFT(N83,1))))</f>
        <v/>
      </c>
      <c r="P83" s="30">
        <f>IF(O83="","",IF(O83&gt;=BandVH,"Very High",IF(O83&gt;=BandHigh,"High",IF(O83&gt;=BandMed,"Medium","Low"))))</f>
        <v/>
      </c>
      <c r="Q83" s="4" t="n"/>
      <c r="R83" s="19" t="n"/>
      <c r="S83" s="4" t="n"/>
      <c r="T83" s="19" t="n"/>
      <c r="U83" s="4" t="n"/>
      <c r="V83" s="19" t="n"/>
      <c r="W83" s="4" t="n"/>
      <c r="X83" s="19" t="n"/>
      <c r="Y83" s="4" t="n"/>
      <c r="Z83" s="19" t="n"/>
      <c r="AA83" s="4" t="n"/>
      <c r="AB83" s="19" t="n"/>
      <c r="AC83" s="5">
        <f>_xlfn.TEXTJOIN(CHAR(10),TRUE,IF(Q83="","","• "&amp;Q83&amp;IF(R83="Yes","  [IPL]","")),IF(S83="","","• "&amp;S83&amp;IF(T83="Yes","  [IPL]","")),IF(U83="","","• "&amp;U83&amp;IF(V83="Yes","  [IPL]","")),IF(W83="","","• "&amp;W83&amp;IF(X83="Yes","  [IPL]","")),IF(Y83="","","• "&amp;Y83&amp;IF(Z83="Yes","  [IPL]","")),IF(AA83="","","• "&amp;AA83&amp;IF(AB83="Yes","  [IPL]","")))</f>
        <v/>
      </c>
      <c r="AD83" s="30">
        <f>IF(AC83="","",COUNTIF(Q83:AB83,"Yes"))</f>
        <v/>
      </c>
      <c r="AE83" s="19" t="n"/>
      <c r="AF83" s="19" t="n"/>
      <c r="AG83" s="30">
        <f>IF(OR(AE83="",AF83=""),"",INDEX(RiskGrid,6-VALUE(LEFT(AE83,1)),VALUE(LEFT(AF83,1))))</f>
        <v/>
      </c>
      <c r="AH83" s="30">
        <f>IF(AG83="","",IF(AG83&gt;=BandVH,"Very High",IF(AG83&gt;=BandHigh,"High",IF(AG83&gt;=BandMed,"Medium","Low"))))</f>
        <v/>
      </c>
      <c r="AI83" s="4" t="n"/>
      <c r="AJ83" s="4" t="n"/>
    </row>
    <row r="84">
      <c r="A84" s="30">
        <f>IF(B84="","",COUNTIF(B$14:B84,"?*"))</f>
        <v/>
      </c>
      <c r="B84" s="4" t="n"/>
      <c r="C84" s="19" t="n"/>
      <c r="D84" s="5">
        <f>IF(OR(B84="",C84=""),"",UPPER(LEFT(C84,1))&amp;LOWER(MID(C84,2,30))&amp;" "&amp;LOWER(LEFT(B84,1))&amp;MID(B84,2,200))</f>
        <v/>
      </c>
      <c r="E84" s="4" t="n"/>
      <c r="F84" s="4" t="n"/>
      <c r="G84" s="4" t="n"/>
      <c r="H84" s="4" t="n"/>
      <c r="I84" s="4" t="n"/>
      <c r="J84" s="4" t="n"/>
      <c r="K84" s="5">
        <f>_xlfn.TEXTJOIN(CHAR(10),TRUE,IF(E84="","","• "&amp;E84),IF(F84="","","• "&amp;F84),IF(G84="","","• "&amp;G84),IF(H84="","","• "&amp;H84),IF(I84="","","• "&amp;I84),IF(J84="","","• "&amp;J84))</f>
        <v/>
      </c>
      <c r="L84" s="4" t="n"/>
      <c r="M84" s="19" t="n"/>
      <c r="N84" s="19" t="n"/>
      <c r="O84" s="30">
        <f>IF(OR(M84="",N84=""),"",INDEX(RiskGrid,6-VALUE(LEFT(M84,1)),VALUE(LEFT(N84,1))))</f>
        <v/>
      </c>
      <c r="P84" s="30">
        <f>IF(O84="","",IF(O84&gt;=BandVH,"Very High",IF(O84&gt;=BandHigh,"High",IF(O84&gt;=BandMed,"Medium","Low"))))</f>
        <v/>
      </c>
      <c r="Q84" s="4" t="n"/>
      <c r="R84" s="19" t="n"/>
      <c r="S84" s="4" t="n"/>
      <c r="T84" s="19" t="n"/>
      <c r="U84" s="4" t="n"/>
      <c r="V84" s="19" t="n"/>
      <c r="W84" s="4" t="n"/>
      <c r="X84" s="19" t="n"/>
      <c r="Y84" s="4" t="n"/>
      <c r="Z84" s="19" t="n"/>
      <c r="AA84" s="4" t="n"/>
      <c r="AB84" s="19" t="n"/>
      <c r="AC84" s="5">
        <f>_xlfn.TEXTJOIN(CHAR(10),TRUE,IF(Q84="","","• "&amp;Q84&amp;IF(R84="Yes","  [IPL]","")),IF(S84="","","• "&amp;S84&amp;IF(T84="Yes","  [IPL]","")),IF(U84="","","• "&amp;U84&amp;IF(V84="Yes","  [IPL]","")),IF(W84="","","• "&amp;W84&amp;IF(X84="Yes","  [IPL]","")),IF(Y84="","","• "&amp;Y84&amp;IF(Z84="Yes","  [IPL]","")),IF(AA84="","","• "&amp;AA84&amp;IF(AB84="Yes","  [IPL]","")))</f>
        <v/>
      </c>
      <c r="AD84" s="30">
        <f>IF(AC84="","",COUNTIF(Q84:AB84,"Yes"))</f>
        <v/>
      </c>
      <c r="AE84" s="19" t="n"/>
      <c r="AF84" s="19" t="n"/>
      <c r="AG84" s="30">
        <f>IF(OR(AE84="",AF84=""),"",INDEX(RiskGrid,6-VALUE(LEFT(AE84,1)),VALUE(LEFT(AF84,1))))</f>
        <v/>
      </c>
      <c r="AH84" s="30">
        <f>IF(AG84="","",IF(AG84&gt;=BandVH,"Very High",IF(AG84&gt;=BandHigh,"High",IF(AG84&gt;=BandMed,"Medium","Low"))))</f>
        <v/>
      </c>
      <c r="AI84" s="4" t="n"/>
      <c r="AJ84" s="4" t="n"/>
    </row>
    <row r="85">
      <c r="A85" s="30">
        <f>IF(B85="","",COUNTIF(B$14:B85,"?*"))</f>
        <v/>
      </c>
      <c r="B85" s="4" t="n"/>
      <c r="C85" s="19" t="n"/>
      <c r="D85" s="5">
        <f>IF(OR(B85="",C85=""),"",UPPER(LEFT(C85,1))&amp;LOWER(MID(C85,2,30))&amp;" "&amp;LOWER(LEFT(B85,1))&amp;MID(B85,2,200))</f>
        <v/>
      </c>
      <c r="E85" s="4" t="n"/>
      <c r="F85" s="4" t="n"/>
      <c r="G85" s="4" t="n"/>
      <c r="H85" s="4" t="n"/>
      <c r="I85" s="4" t="n"/>
      <c r="J85" s="4" t="n"/>
      <c r="K85" s="5">
        <f>_xlfn.TEXTJOIN(CHAR(10),TRUE,IF(E85="","","• "&amp;E85),IF(F85="","","• "&amp;F85),IF(G85="","","• "&amp;G85),IF(H85="","","• "&amp;H85),IF(I85="","","• "&amp;I85),IF(J85="","","• "&amp;J85))</f>
        <v/>
      </c>
      <c r="L85" s="4" t="n"/>
      <c r="M85" s="19" t="n"/>
      <c r="N85" s="19" t="n"/>
      <c r="O85" s="30">
        <f>IF(OR(M85="",N85=""),"",INDEX(RiskGrid,6-VALUE(LEFT(M85,1)),VALUE(LEFT(N85,1))))</f>
        <v/>
      </c>
      <c r="P85" s="30">
        <f>IF(O85="","",IF(O85&gt;=BandVH,"Very High",IF(O85&gt;=BandHigh,"High",IF(O85&gt;=BandMed,"Medium","Low"))))</f>
        <v/>
      </c>
      <c r="Q85" s="4" t="n"/>
      <c r="R85" s="19" t="n"/>
      <c r="S85" s="4" t="n"/>
      <c r="T85" s="19" t="n"/>
      <c r="U85" s="4" t="n"/>
      <c r="V85" s="19" t="n"/>
      <c r="W85" s="4" t="n"/>
      <c r="X85" s="19" t="n"/>
      <c r="Y85" s="4" t="n"/>
      <c r="Z85" s="19" t="n"/>
      <c r="AA85" s="4" t="n"/>
      <c r="AB85" s="19" t="n"/>
      <c r="AC85" s="5">
        <f>_xlfn.TEXTJOIN(CHAR(10),TRUE,IF(Q85="","","• "&amp;Q85&amp;IF(R85="Yes","  [IPL]","")),IF(S85="","","• "&amp;S85&amp;IF(T85="Yes","  [IPL]","")),IF(U85="","","• "&amp;U85&amp;IF(V85="Yes","  [IPL]","")),IF(W85="","","• "&amp;W85&amp;IF(X85="Yes","  [IPL]","")),IF(Y85="","","• "&amp;Y85&amp;IF(Z85="Yes","  [IPL]","")),IF(AA85="","","• "&amp;AA85&amp;IF(AB85="Yes","  [IPL]","")))</f>
        <v/>
      </c>
      <c r="AD85" s="30">
        <f>IF(AC85="","",COUNTIF(Q85:AB85,"Yes"))</f>
        <v/>
      </c>
      <c r="AE85" s="19" t="n"/>
      <c r="AF85" s="19" t="n"/>
      <c r="AG85" s="30">
        <f>IF(OR(AE85="",AF85=""),"",INDEX(RiskGrid,6-VALUE(LEFT(AE85,1)),VALUE(LEFT(AF85,1))))</f>
        <v/>
      </c>
      <c r="AH85" s="30">
        <f>IF(AG85="","",IF(AG85&gt;=BandVH,"Very High",IF(AG85&gt;=BandHigh,"High",IF(AG85&gt;=BandMed,"Medium","Low"))))</f>
        <v/>
      </c>
      <c r="AI85" s="4" t="n"/>
      <c r="AJ85" s="4" t="n"/>
    </row>
    <row r="86">
      <c r="A86" s="30">
        <f>IF(B86="","",COUNTIF(B$14:B86,"?*"))</f>
        <v/>
      </c>
      <c r="B86" s="4" t="n"/>
      <c r="C86" s="19" t="n"/>
      <c r="D86" s="5">
        <f>IF(OR(B86="",C86=""),"",UPPER(LEFT(C86,1))&amp;LOWER(MID(C86,2,30))&amp;" "&amp;LOWER(LEFT(B86,1))&amp;MID(B86,2,200))</f>
        <v/>
      </c>
      <c r="E86" s="4" t="n"/>
      <c r="F86" s="4" t="n"/>
      <c r="G86" s="4" t="n"/>
      <c r="H86" s="4" t="n"/>
      <c r="I86" s="4" t="n"/>
      <c r="J86" s="4" t="n"/>
      <c r="K86" s="5">
        <f>_xlfn.TEXTJOIN(CHAR(10),TRUE,IF(E86="","","• "&amp;E86),IF(F86="","","• "&amp;F86),IF(G86="","","• "&amp;G86),IF(H86="","","• "&amp;H86),IF(I86="","","• "&amp;I86),IF(J86="","","• "&amp;J86))</f>
        <v/>
      </c>
      <c r="L86" s="4" t="n"/>
      <c r="M86" s="19" t="n"/>
      <c r="N86" s="19" t="n"/>
      <c r="O86" s="30">
        <f>IF(OR(M86="",N86=""),"",INDEX(RiskGrid,6-VALUE(LEFT(M86,1)),VALUE(LEFT(N86,1))))</f>
        <v/>
      </c>
      <c r="P86" s="30">
        <f>IF(O86="","",IF(O86&gt;=BandVH,"Very High",IF(O86&gt;=BandHigh,"High",IF(O86&gt;=BandMed,"Medium","Low"))))</f>
        <v/>
      </c>
      <c r="Q86" s="4" t="n"/>
      <c r="R86" s="19" t="n"/>
      <c r="S86" s="4" t="n"/>
      <c r="T86" s="19" t="n"/>
      <c r="U86" s="4" t="n"/>
      <c r="V86" s="19" t="n"/>
      <c r="W86" s="4" t="n"/>
      <c r="X86" s="19" t="n"/>
      <c r="Y86" s="4" t="n"/>
      <c r="Z86" s="19" t="n"/>
      <c r="AA86" s="4" t="n"/>
      <c r="AB86" s="19" t="n"/>
      <c r="AC86" s="5">
        <f>_xlfn.TEXTJOIN(CHAR(10),TRUE,IF(Q86="","","• "&amp;Q86&amp;IF(R86="Yes","  [IPL]","")),IF(S86="","","• "&amp;S86&amp;IF(T86="Yes","  [IPL]","")),IF(U86="","","• "&amp;U86&amp;IF(V86="Yes","  [IPL]","")),IF(W86="","","• "&amp;W86&amp;IF(X86="Yes","  [IPL]","")),IF(Y86="","","• "&amp;Y86&amp;IF(Z86="Yes","  [IPL]","")),IF(AA86="","","• "&amp;AA86&amp;IF(AB86="Yes","  [IPL]","")))</f>
        <v/>
      </c>
      <c r="AD86" s="30">
        <f>IF(AC86="","",COUNTIF(Q86:AB86,"Yes"))</f>
        <v/>
      </c>
      <c r="AE86" s="19" t="n"/>
      <c r="AF86" s="19" t="n"/>
      <c r="AG86" s="30">
        <f>IF(OR(AE86="",AF86=""),"",INDEX(RiskGrid,6-VALUE(LEFT(AE86,1)),VALUE(LEFT(AF86,1))))</f>
        <v/>
      </c>
      <c r="AH86" s="30">
        <f>IF(AG86="","",IF(AG86&gt;=BandVH,"Very High",IF(AG86&gt;=BandHigh,"High",IF(AG86&gt;=BandMed,"Medium","Low"))))</f>
        <v/>
      </c>
      <c r="AI86" s="4" t="n"/>
      <c r="AJ86" s="4" t="n"/>
    </row>
    <row r="87">
      <c r="A87" s="30">
        <f>IF(B87="","",COUNTIF(B$14:B87,"?*"))</f>
        <v/>
      </c>
      <c r="B87" s="4" t="n"/>
      <c r="C87" s="19" t="n"/>
      <c r="D87" s="5">
        <f>IF(OR(B87="",C87=""),"",UPPER(LEFT(C87,1))&amp;LOWER(MID(C87,2,30))&amp;" "&amp;LOWER(LEFT(B87,1))&amp;MID(B87,2,200))</f>
        <v/>
      </c>
      <c r="E87" s="4" t="n"/>
      <c r="F87" s="4" t="n"/>
      <c r="G87" s="4" t="n"/>
      <c r="H87" s="4" t="n"/>
      <c r="I87" s="4" t="n"/>
      <c r="J87" s="4" t="n"/>
      <c r="K87" s="5">
        <f>_xlfn.TEXTJOIN(CHAR(10),TRUE,IF(E87="","","• "&amp;E87),IF(F87="","","• "&amp;F87),IF(G87="","","• "&amp;G87),IF(H87="","","• "&amp;H87),IF(I87="","","• "&amp;I87),IF(J87="","","• "&amp;J87))</f>
        <v/>
      </c>
      <c r="L87" s="4" t="n"/>
      <c r="M87" s="19" t="n"/>
      <c r="N87" s="19" t="n"/>
      <c r="O87" s="30">
        <f>IF(OR(M87="",N87=""),"",INDEX(RiskGrid,6-VALUE(LEFT(M87,1)),VALUE(LEFT(N87,1))))</f>
        <v/>
      </c>
      <c r="P87" s="30">
        <f>IF(O87="","",IF(O87&gt;=BandVH,"Very High",IF(O87&gt;=BandHigh,"High",IF(O87&gt;=BandMed,"Medium","Low"))))</f>
        <v/>
      </c>
      <c r="Q87" s="4" t="n"/>
      <c r="R87" s="19" t="n"/>
      <c r="S87" s="4" t="n"/>
      <c r="T87" s="19" t="n"/>
      <c r="U87" s="4" t="n"/>
      <c r="V87" s="19" t="n"/>
      <c r="W87" s="4" t="n"/>
      <c r="X87" s="19" t="n"/>
      <c r="Y87" s="4" t="n"/>
      <c r="Z87" s="19" t="n"/>
      <c r="AA87" s="4" t="n"/>
      <c r="AB87" s="19" t="n"/>
      <c r="AC87" s="5">
        <f>_xlfn.TEXTJOIN(CHAR(10),TRUE,IF(Q87="","","• "&amp;Q87&amp;IF(R87="Yes","  [IPL]","")),IF(S87="","","• "&amp;S87&amp;IF(T87="Yes","  [IPL]","")),IF(U87="","","• "&amp;U87&amp;IF(V87="Yes","  [IPL]","")),IF(W87="","","• "&amp;W87&amp;IF(X87="Yes","  [IPL]","")),IF(Y87="","","• "&amp;Y87&amp;IF(Z87="Yes","  [IPL]","")),IF(AA87="","","• "&amp;AA87&amp;IF(AB87="Yes","  [IPL]","")))</f>
        <v/>
      </c>
      <c r="AD87" s="30">
        <f>IF(AC87="","",COUNTIF(Q87:AB87,"Yes"))</f>
        <v/>
      </c>
      <c r="AE87" s="19" t="n"/>
      <c r="AF87" s="19" t="n"/>
      <c r="AG87" s="30">
        <f>IF(OR(AE87="",AF87=""),"",INDEX(RiskGrid,6-VALUE(LEFT(AE87,1)),VALUE(LEFT(AF87,1))))</f>
        <v/>
      </c>
      <c r="AH87" s="30">
        <f>IF(AG87="","",IF(AG87&gt;=BandVH,"Very High",IF(AG87&gt;=BandHigh,"High",IF(AG87&gt;=BandMed,"Medium","Low"))))</f>
        <v/>
      </c>
      <c r="AI87" s="4" t="n"/>
      <c r="AJ87" s="4" t="n"/>
    </row>
    <row r="88">
      <c r="A88" s="30">
        <f>IF(B88="","",COUNTIF(B$14:B88,"?*"))</f>
        <v/>
      </c>
      <c r="B88" s="4" t="n"/>
      <c r="C88" s="19" t="n"/>
      <c r="D88" s="5">
        <f>IF(OR(B88="",C88=""),"",UPPER(LEFT(C88,1))&amp;LOWER(MID(C88,2,30))&amp;" "&amp;LOWER(LEFT(B88,1))&amp;MID(B88,2,200))</f>
        <v/>
      </c>
      <c r="E88" s="4" t="n"/>
      <c r="F88" s="4" t="n"/>
      <c r="G88" s="4" t="n"/>
      <c r="H88" s="4" t="n"/>
      <c r="I88" s="4" t="n"/>
      <c r="J88" s="4" t="n"/>
      <c r="K88" s="5">
        <f>_xlfn.TEXTJOIN(CHAR(10),TRUE,IF(E88="","","• "&amp;E88),IF(F88="","","• "&amp;F88),IF(G88="","","• "&amp;G88),IF(H88="","","• "&amp;H88),IF(I88="","","• "&amp;I88),IF(J88="","","• "&amp;J88))</f>
        <v/>
      </c>
      <c r="L88" s="4" t="n"/>
      <c r="M88" s="19" t="n"/>
      <c r="N88" s="19" t="n"/>
      <c r="O88" s="30">
        <f>IF(OR(M88="",N88=""),"",INDEX(RiskGrid,6-VALUE(LEFT(M88,1)),VALUE(LEFT(N88,1))))</f>
        <v/>
      </c>
      <c r="P88" s="30">
        <f>IF(O88="","",IF(O88&gt;=BandVH,"Very High",IF(O88&gt;=BandHigh,"High",IF(O88&gt;=BandMed,"Medium","Low"))))</f>
        <v/>
      </c>
      <c r="Q88" s="4" t="n"/>
      <c r="R88" s="19" t="n"/>
      <c r="S88" s="4" t="n"/>
      <c r="T88" s="19" t="n"/>
      <c r="U88" s="4" t="n"/>
      <c r="V88" s="19" t="n"/>
      <c r="W88" s="4" t="n"/>
      <c r="X88" s="19" t="n"/>
      <c r="Y88" s="4" t="n"/>
      <c r="Z88" s="19" t="n"/>
      <c r="AA88" s="4" t="n"/>
      <c r="AB88" s="19" t="n"/>
      <c r="AC88" s="5">
        <f>_xlfn.TEXTJOIN(CHAR(10),TRUE,IF(Q88="","","• "&amp;Q88&amp;IF(R88="Yes","  [IPL]","")),IF(S88="","","• "&amp;S88&amp;IF(T88="Yes","  [IPL]","")),IF(U88="","","• "&amp;U88&amp;IF(V88="Yes","  [IPL]","")),IF(W88="","","• "&amp;W88&amp;IF(X88="Yes","  [IPL]","")),IF(Y88="","","• "&amp;Y88&amp;IF(Z88="Yes","  [IPL]","")),IF(AA88="","","• "&amp;AA88&amp;IF(AB88="Yes","  [IPL]","")))</f>
        <v/>
      </c>
      <c r="AD88" s="30">
        <f>IF(AC88="","",COUNTIF(Q88:AB88,"Yes"))</f>
        <v/>
      </c>
      <c r="AE88" s="19" t="n"/>
      <c r="AF88" s="19" t="n"/>
      <c r="AG88" s="30">
        <f>IF(OR(AE88="",AF88=""),"",INDEX(RiskGrid,6-VALUE(LEFT(AE88,1)),VALUE(LEFT(AF88,1))))</f>
        <v/>
      </c>
      <c r="AH88" s="30">
        <f>IF(AG88="","",IF(AG88&gt;=BandVH,"Very High",IF(AG88&gt;=BandHigh,"High",IF(AG88&gt;=BandMed,"Medium","Low"))))</f>
        <v/>
      </c>
      <c r="AI88" s="4" t="n"/>
      <c r="AJ88" s="4" t="n"/>
    </row>
    <row r="89">
      <c r="A89" s="30">
        <f>IF(B89="","",COUNTIF(B$14:B89,"?*"))</f>
        <v/>
      </c>
      <c r="B89" s="4" t="n"/>
      <c r="C89" s="19" t="n"/>
      <c r="D89" s="5">
        <f>IF(OR(B89="",C89=""),"",UPPER(LEFT(C89,1))&amp;LOWER(MID(C89,2,30))&amp;" "&amp;LOWER(LEFT(B89,1))&amp;MID(B89,2,200))</f>
        <v/>
      </c>
      <c r="E89" s="4" t="n"/>
      <c r="F89" s="4" t="n"/>
      <c r="G89" s="4" t="n"/>
      <c r="H89" s="4" t="n"/>
      <c r="I89" s="4" t="n"/>
      <c r="J89" s="4" t="n"/>
      <c r="K89" s="5">
        <f>_xlfn.TEXTJOIN(CHAR(10),TRUE,IF(E89="","","• "&amp;E89),IF(F89="","","• "&amp;F89),IF(G89="","","• "&amp;G89),IF(H89="","","• "&amp;H89),IF(I89="","","• "&amp;I89),IF(J89="","","• "&amp;J89))</f>
        <v/>
      </c>
      <c r="L89" s="4" t="n"/>
      <c r="M89" s="19" t="n"/>
      <c r="N89" s="19" t="n"/>
      <c r="O89" s="30">
        <f>IF(OR(M89="",N89=""),"",INDEX(RiskGrid,6-VALUE(LEFT(M89,1)),VALUE(LEFT(N89,1))))</f>
        <v/>
      </c>
      <c r="P89" s="30">
        <f>IF(O89="","",IF(O89&gt;=BandVH,"Very High",IF(O89&gt;=BandHigh,"High",IF(O89&gt;=BandMed,"Medium","Low"))))</f>
        <v/>
      </c>
      <c r="Q89" s="4" t="n"/>
      <c r="R89" s="19" t="n"/>
      <c r="S89" s="4" t="n"/>
      <c r="T89" s="19" t="n"/>
      <c r="U89" s="4" t="n"/>
      <c r="V89" s="19" t="n"/>
      <c r="W89" s="4" t="n"/>
      <c r="X89" s="19" t="n"/>
      <c r="Y89" s="4" t="n"/>
      <c r="Z89" s="19" t="n"/>
      <c r="AA89" s="4" t="n"/>
      <c r="AB89" s="19" t="n"/>
      <c r="AC89" s="5">
        <f>_xlfn.TEXTJOIN(CHAR(10),TRUE,IF(Q89="","","• "&amp;Q89&amp;IF(R89="Yes","  [IPL]","")),IF(S89="","","• "&amp;S89&amp;IF(T89="Yes","  [IPL]","")),IF(U89="","","• "&amp;U89&amp;IF(V89="Yes","  [IPL]","")),IF(W89="","","• "&amp;W89&amp;IF(X89="Yes","  [IPL]","")),IF(Y89="","","• "&amp;Y89&amp;IF(Z89="Yes","  [IPL]","")),IF(AA89="","","• "&amp;AA89&amp;IF(AB89="Yes","  [IPL]","")))</f>
        <v/>
      </c>
      <c r="AD89" s="30">
        <f>IF(AC89="","",COUNTIF(Q89:AB89,"Yes"))</f>
        <v/>
      </c>
      <c r="AE89" s="19" t="n"/>
      <c r="AF89" s="19" t="n"/>
      <c r="AG89" s="30">
        <f>IF(OR(AE89="",AF89=""),"",INDEX(RiskGrid,6-VALUE(LEFT(AE89,1)),VALUE(LEFT(AF89,1))))</f>
        <v/>
      </c>
      <c r="AH89" s="30">
        <f>IF(AG89="","",IF(AG89&gt;=BandVH,"Very High",IF(AG89&gt;=BandHigh,"High",IF(AG89&gt;=BandMed,"Medium","Low"))))</f>
        <v/>
      </c>
      <c r="AI89" s="4" t="n"/>
      <c r="AJ89" s="4" t="n"/>
    </row>
    <row r="90">
      <c r="A90" s="30">
        <f>IF(B90="","",COUNTIF(B$14:B90,"?*"))</f>
        <v/>
      </c>
      <c r="B90" s="4" t="n"/>
      <c r="C90" s="19" t="n"/>
      <c r="D90" s="5">
        <f>IF(OR(B90="",C90=""),"",UPPER(LEFT(C90,1))&amp;LOWER(MID(C90,2,30))&amp;" "&amp;LOWER(LEFT(B90,1))&amp;MID(B90,2,200))</f>
        <v/>
      </c>
      <c r="E90" s="4" t="n"/>
      <c r="F90" s="4" t="n"/>
      <c r="G90" s="4" t="n"/>
      <c r="H90" s="4" t="n"/>
      <c r="I90" s="4" t="n"/>
      <c r="J90" s="4" t="n"/>
      <c r="K90" s="5">
        <f>_xlfn.TEXTJOIN(CHAR(10),TRUE,IF(E90="","","• "&amp;E90),IF(F90="","","• "&amp;F90),IF(G90="","","• "&amp;G90),IF(H90="","","• "&amp;H90),IF(I90="","","• "&amp;I90),IF(J90="","","• "&amp;J90))</f>
        <v/>
      </c>
      <c r="L90" s="4" t="n"/>
      <c r="M90" s="19" t="n"/>
      <c r="N90" s="19" t="n"/>
      <c r="O90" s="30">
        <f>IF(OR(M90="",N90=""),"",INDEX(RiskGrid,6-VALUE(LEFT(M90,1)),VALUE(LEFT(N90,1))))</f>
        <v/>
      </c>
      <c r="P90" s="30">
        <f>IF(O90="","",IF(O90&gt;=BandVH,"Very High",IF(O90&gt;=BandHigh,"High",IF(O90&gt;=BandMed,"Medium","Low"))))</f>
        <v/>
      </c>
      <c r="Q90" s="4" t="n"/>
      <c r="R90" s="19" t="n"/>
      <c r="S90" s="4" t="n"/>
      <c r="T90" s="19" t="n"/>
      <c r="U90" s="4" t="n"/>
      <c r="V90" s="19" t="n"/>
      <c r="W90" s="4" t="n"/>
      <c r="X90" s="19" t="n"/>
      <c r="Y90" s="4" t="n"/>
      <c r="Z90" s="19" t="n"/>
      <c r="AA90" s="4" t="n"/>
      <c r="AB90" s="19" t="n"/>
      <c r="AC90" s="5">
        <f>_xlfn.TEXTJOIN(CHAR(10),TRUE,IF(Q90="","","• "&amp;Q90&amp;IF(R90="Yes","  [IPL]","")),IF(S90="","","• "&amp;S90&amp;IF(T90="Yes","  [IPL]","")),IF(U90="","","• "&amp;U90&amp;IF(V90="Yes","  [IPL]","")),IF(W90="","","• "&amp;W90&amp;IF(X90="Yes","  [IPL]","")),IF(Y90="","","• "&amp;Y90&amp;IF(Z90="Yes","  [IPL]","")),IF(AA90="","","• "&amp;AA90&amp;IF(AB90="Yes","  [IPL]","")))</f>
        <v/>
      </c>
      <c r="AD90" s="30">
        <f>IF(AC90="","",COUNTIF(Q90:AB90,"Yes"))</f>
        <v/>
      </c>
      <c r="AE90" s="19" t="n"/>
      <c r="AF90" s="19" t="n"/>
      <c r="AG90" s="30">
        <f>IF(OR(AE90="",AF90=""),"",INDEX(RiskGrid,6-VALUE(LEFT(AE90,1)),VALUE(LEFT(AF90,1))))</f>
        <v/>
      </c>
      <c r="AH90" s="30">
        <f>IF(AG90="","",IF(AG90&gt;=BandVH,"Very High",IF(AG90&gt;=BandHigh,"High",IF(AG90&gt;=BandMed,"Medium","Low"))))</f>
        <v/>
      </c>
      <c r="AI90" s="4" t="n"/>
      <c r="AJ90" s="4" t="n"/>
    </row>
    <row r="91">
      <c r="A91" s="30">
        <f>IF(B91="","",COUNTIF(B$14:B91,"?*"))</f>
        <v/>
      </c>
      <c r="B91" s="4" t="n"/>
      <c r="C91" s="19" t="n"/>
      <c r="D91" s="5">
        <f>IF(OR(B91="",C91=""),"",UPPER(LEFT(C91,1))&amp;LOWER(MID(C91,2,30))&amp;" "&amp;LOWER(LEFT(B91,1))&amp;MID(B91,2,200))</f>
        <v/>
      </c>
      <c r="E91" s="4" t="n"/>
      <c r="F91" s="4" t="n"/>
      <c r="G91" s="4" t="n"/>
      <c r="H91" s="4" t="n"/>
      <c r="I91" s="4" t="n"/>
      <c r="J91" s="4" t="n"/>
      <c r="K91" s="5">
        <f>_xlfn.TEXTJOIN(CHAR(10),TRUE,IF(E91="","","• "&amp;E91),IF(F91="","","• "&amp;F91),IF(G91="","","• "&amp;G91),IF(H91="","","• "&amp;H91),IF(I91="","","• "&amp;I91),IF(J91="","","• "&amp;J91))</f>
        <v/>
      </c>
      <c r="L91" s="4" t="n"/>
      <c r="M91" s="19" t="n"/>
      <c r="N91" s="19" t="n"/>
      <c r="O91" s="30">
        <f>IF(OR(M91="",N91=""),"",INDEX(RiskGrid,6-VALUE(LEFT(M91,1)),VALUE(LEFT(N91,1))))</f>
        <v/>
      </c>
      <c r="P91" s="30">
        <f>IF(O91="","",IF(O91&gt;=BandVH,"Very High",IF(O91&gt;=BandHigh,"High",IF(O91&gt;=BandMed,"Medium","Low"))))</f>
        <v/>
      </c>
      <c r="Q91" s="4" t="n"/>
      <c r="R91" s="19" t="n"/>
      <c r="S91" s="4" t="n"/>
      <c r="T91" s="19" t="n"/>
      <c r="U91" s="4" t="n"/>
      <c r="V91" s="19" t="n"/>
      <c r="W91" s="4" t="n"/>
      <c r="X91" s="19" t="n"/>
      <c r="Y91" s="4" t="n"/>
      <c r="Z91" s="19" t="n"/>
      <c r="AA91" s="4" t="n"/>
      <c r="AB91" s="19" t="n"/>
      <c r="AC91" s="5">
        <f>_xlfn.TEXTJOIN(CHAR(10),TRUE,IF(Q91="","","• "&amp;Q91&amp;IF(R91="Yes","  [IPL]","")),IF(S91="","","• "&amp;S91&amp;IF(T91="Yes","  [IPL]","")),IF(U91="","","• "&amp;U91&amp;IF(V91="Yes","  [IPL]","")),IF(W91="","","• "&amp;W91&amp;IF(X91="Yes","  [IPL]","")),IF(Y91="","","• "&amp;Y91&amp;IF(Z91="Yes","  [IPL]","")),IF(AA91="","","• "&amp;AA91&amp;IF(AB91="Yes","  [IPL]","")))</f>
        <v/>
      </c>
      <c r="AD91" s="30">
        <f>IF(AC91="","",COUNTIF(Q91:AB91,"Yes"))</f>
        <v/>
      </c>
      <c r="AE91" s="19" t="n"/>
      <c r="AF91" s="19" t="n"/>
      <c r="AG91" s="30">
        <f>IF(OR(AE91="",AF91=""),"",INDEX(RiskGrid,6-VALUE(LEFT(AE91,1)),VALUE(LEFT(AF91,1))))</f>
        <v/>
      </c>
      <c r="AH91" s="30">
        <f>IF(AG91="","",IF(AG91&gt;=BandVH,"Very High",IF(AG91&gt;=BandHigh,"High",IF(AG91&gt;=BandMed,"Medium","Low"))))</f>
        <v/>
      </c>
      <c r="AI91" s="4" t="n"/>
      <c r="AJ91" s="4" t="n"/>
    </row>
    <row r="92">
      <c r="A92" s="30">
        <f>IF(B92="","",COUNTIF(B$14:B92,"?*"))</f>
        <v/>
      </c>
      <c r="B92" s="4" t="n"/>
      <c r="C92" s="19" t="n"/>
      <c r="D92" s="5">
        <f>IF(OR(B92="",C92=""),"",UPPER(LEFT(C92,1))&amp;LOWER(MID(C92,2,30))&amp;" "&amp;LOWER(LEFT(B92,1))&amp;MID(B92,2,200))</f>
        <v/>
      </c>
      <c r="E92" s="4" t="n"/>
      <c r="F92" s="4" t="n"/>
      <c r="G92" s="4" t="n"/>
      <c r="H92" s="4" t="n"/>
      <c r="I92" s="4" t="n"/>
      <c r="J92" s="4" t="n"/>
      <c r="K92" s="5">
        <f>_xlfn.TEXTJOIN(CHAR(10),TRUE,IF(E92="","","• "&amp;E92),IF(F92="","","• "&amp;F92),IF(G92="","","• "&amp;G92),IF(H92="","","• "&amp;H92),IF(I92="","","• "&amp;I92),IF(J92="","","• "&amp;J92))</f>
        <v/>
      </c>
      <c r="L92" s="4" t="n"/>
      <c r="M92" s="19" t="n"/>
      <c r="N92" s="19" t="n"/>
      <c r="O92" s="30">
        <f>IF(OR(M92="",N92=""),"",INDEX(RiskGrid,6-VALUE(LEFT(M92,1)),VALUE(LEFT(N92,1))))</f>
        <v/>
      </c>
      <c r="P92" s="30">
        <f>IF(O92="","",IF(O92&gt;=BandVH,"Very High",IF(O92&gt;=BandHigh,"High",IF(O92&gt;=BandMed,"Medium","Low"))))</f>
        <v/>
      </c>
      <c r="Q92" s="4" t="n"/>
      <c r="R92" s="19" t="n"/>
      <c r="S92" s="4" t="n"/>
      <c r="T92" s="19" t="n"/>
      <c r="U92" s="4" t="n"/>
      <c r="V92" s="19" t="n"/>
      <c r="W92" s="4" t="n"/>
      <c r="X92" s="19" t="n"/>
      <c r="Y92" s="4" t="n"/>
      <c r="Z92" s="19" t="n"/>
      <c r="AA92" s="4" t="n"/>
      <c r="AB92" s="19" t="n"/>
      <c r="AC92" s="5">
        <f>_xlfn.TEXTJOIN(CHAR(10),TRUE,IF(Q92="","","• "&amp;Q92&amp;IF(R92="Yes","  [IPL]","")),IF(S92="","","• "&amp;S92&amp;IF(T92="Yes","  [IPL]","")),IF(U92="","","• "&amp;U92&amp;IF(V92="Yes","  [IPL]","")),IF(W92="","","• "&amp;W92&amp;IF(X92="Yes","  [IPL]","")),IF(Y92="","","• "&amp;Y92&amp;IF(Z92="Yes","  [IPL]","")),IF(AA92="","","• "&amp;AA92&amp;IF(AB92="Yes","  [IPL]","")))</f>
        <v/>
      </c>
      <c r="AD92" s="30">
        <f>IF(AC92="","",COUNTIF(Q92:AB92,"Yes"))</f>
        <v/>
      </c>
      <c r="AE92" s="19" t="n"/>
      <c r="AF92" s="19" t="n"/>
      <c r="AG92" s="30">
        <f>IF(OR(AE92="",AF92=""),"",INDEX(RiskGrid,6-VALUE(LEFT(AE92,1)),VALUE(LEFT(AF92,1))))</f>
        <v/>
      </c>
      <c r="AH92" s="30">
        <f>IF(AG92="","",IF(AG92&gt;=BandVH,"Very High",IF(AG92&gt;=BandHigh,"High",IF(AG92&gt;=BandMed,"Medium","Low"))))</f>
        <v/>
      </c>
      <c r="AI92" s="4" t="n"/>
      <c r="AJ92" s="4" t="n"/>
    </row>
    <row r="93">
      <c r="A93" s="30">
        <f>IF(B93="","",COUNTIF(B$14:B93,"?*"))</f>
        <v/>
      </c>
      <c r="B93" s="4" t="n"/>
      <c r="C93" s="19" t="n"/>
      <c r="D93" s="5">
        <f>IF(OR(B93="",C93=""),"",UPPER(LEFT(C93,1))&amp;LOWER(MID(C93,2,30))&amp;" "&amp;LOWER(LEFT(B93,1))&amp;MID(B93,2,200))</f>
        <v/>
      </c>
      <c r="E93" s="4" t="n"/>
      <c r="F93" s="4" t="n"/>
      <c r="G93" s="4" t="n"/>
      <c r="H93" s="4" t="n"/>
      <c r="I93" s="4" t="n"/>
      <c r="J93" s="4" t="n"/>
      <c r="K93" s="5">
        <f>_xlfn.TEXTJOIN(CHAR(10),TRUE,IF(E93="","","• "&amp;E93),IF(F93="","","• "&amp;F93),IF(G93="","","• "&amp;G93),IF(H93="","","• "&amp;H93),IF(I93="","","• "&amp;I93),IF(J93="","","• "&amp;J93))</f>
        <v/>
      </c>
      <c r="L93" s="4" t="n"/>
      <c r="M93" s="19" t="n"/>
      <c r="N93" s="19" t="n"/>
      <c r="O93" s="30">
        <f>IF(OR(M93="",N93=""),"",INDEX(RiskGrid,6-VALUE(LEFT(M93,1)),VALUE(LEFT(N93,1))))</f>
        <v/>
      </c>
      <c r="P93" s="30">
        <f>IF(O93="","",IF(O93&gt;=BandVH,"Very High",IF(O93&gt;=BandHigh,"High",IF(O93&gt;=BandMed,"Medium","Low"))))</f>
        <v/>
      </c>
      <c r="Q93" s="4" t="n"/>
      <c r="R93" s="19" t="n"/>
      <c r="S93" s="4" t="n"/>
      <c r="T93" s="19" t="n"/>
      <c r="U93" s="4" t="n"/>
      <c r="V93" s="19" t="n"/>
      <c r="W93" s="4" t="n"/>
      <c r="X93" s="19" t="n"/>
      <c r="Y93" s="4" t="n"/>
      <c r="Z93" s="19" t="n"/>
      <c r="AA93" s="4" t="n"/>
      <c r="AB93" s="19" t="n"/>
      <c r="AC93" s="5">
        <f>_xlfn.TEXTJOIN(CHAR(10),TRUE,IF(Q93="","","• "&amp;Q93&amp;IF(R93="Yes","  [IPL]","")),IF(S93="","","• "&amp;S93&amp;IF(T93="Yes","  [IPL]","")),IF(U93="","","• "&amp;U93&amp;IF(V93="Yes","  [IPL]","")),IF(W93="","","• "&amp;W93&amp;IF(X93="Yes","  [IPL]","")),IF(Y93="","","• "&amp;Y93&amp;IF(Z93="Yes","  [IPL]","")),IF(AA93="","","• "&amp;AA93&amp;IF(AB93="Yes","  [IPL]","")))</f>
        <v/>
      </c>
      <c r="AD93" s="30">
        <f>IF(AC93="","",COUNTIF(Q93:AB93,"Yes"))</f>
        <v/>
      </c>
      <c r="AE93" s="19" t="n"/>
      <c r="AF93" s="19" t="n"/>
      <c r="AG93" s="30">
        <f>IF(OR(AE93="",AF93=""),"",INDEX(RiskGrid,6-VALUE(LEFT(AE93,1)),VALUE(LEFT(AF93,1))))</f>
        <v/>
      </c>
      <c r="AH93" s="30">
        <f>IF(AG93="","",IF(AG93&gt;=BandVH,"Very High",IF(AG93&gt;=BandHigh,"High",IF(AG93&gt;=BandMed,"Medium","Low"))))</f>
        <v/>
      </c>
      <c r="AI93" s="4" t="n"/>
      <c r="AJ93" s="4" t="n"/>
    </row>
    <row r="94">
      <c r="A94" s="30">
        <f>IF(B94="","",COUNTIF(B$14:B94,"?*"))</f>
        <v/>
      </c>
      <c r="B94" s="4" t="n"/>
      <c r="C94" s="19" t="n"/>
      <c r="D94" s="5">
        <f>IF(OR(B94="",C94=""),"",UPPER(LEFT(C94,1))&amp;LOWER(MID(C94,2,30))&amp;" "&amp;LOWER(LEFT(B94,1))&amp;MID(B94,2,200))</f>
        <v/>
      </c>
      <c r="E94" s="4" t="n"/>
      <c r="F94" s="4" t="n"/>
      <c r="G94" s="4" t="n"/>
      <c r="H94" s="4" t="n"/>
      <c r="I94" s="4" t="n"/>
      <c r="J94" s="4" t="n"/>
      <c r="K94" s="5">
        <f>_xlfn.TEXTJOIN(CHAR(10),TRUE,IF(E94="","","• "&amp;E94),IF(F94="","","• "&amp;F94),IF(G94="","","• "&amp;G94),IF(H94="","","• "&amp;H94),IF(I94="","","• "&amp;I94),IF(J94="","","• "&amp;J94))</f>
        <v/>
      </c>
      <c r="L94" s="4" t="n"/>
      <c r="M94" s="19" t="n"/>
      <c r="N94" s="19" t="n"/>
      <c r="O94" s="30">
        <f>IF(OR(M94="",N94=""),"",INDEX(RiskGrid,6-VALUE(LEFT(M94,1)),VALUE(LEFT(N94,1))))</f>
        <v/>
      </c>
      <c r="P94" s="30">
        <f>IF(O94="","",IF(O94&gt;=BandVH,"Very High",IF(O94&gt;=BandHigh,"High",IF(O94&gt;=BandMed,"Medium","Low"))))</f>
        <v/>
      </c>
      <c r="Q94" s="4" t="n"/>
      <c r="R94" s="19" t="n"/>
      <c r="S94" s="4" t="n"/>
      <c r="T94" s="19" t="n"/>
      <c r="U94" s="4" t="n"/>
      <c r="V94" s="19" t="n"/>
      <c r="W94" s="4" t="n"/>
      <c r="X94" s="19" t="n"/>
      <c r="Y94" s="4" t="n"/>
      <c r="Z94" s="19" t="n"/>
      <c r="AA94" s="4" t="n"/>
      <c r="AB94" s="19" t="n"/>
      <c r="AC94" s="5">
        <f>_xlfn.TEXTJOIN(CHAR(10),TRUE,IF(Q94="","","• "&amp;Q94&amp;IF(R94="Yes","  [IPL]","")),IF(S94="","","• "&amp;S94&amp;IF(T94="Yes","  [IPL]","")),IF(U94="","","• "&amp;U94&amp;IF(V94="Yes","  [IPL]","")),IF(W94="","","• "&amp;W94&amp;IF(X94="Yes","  [IPL]","")),IF(Y94="","","• "&amp;Y94&amp;IF(Z94="Yes","  [IPL]","")),IF(AA94="","","• "&amp;AA94&amp;IF(AB94="Yes","  [IPL]","")))</f>
        <v/>
      </c>
      <c r="AD94" s="30">
        <f>IF(AC94="","",COUNTIF(Q94:AB94,"Yes"))</f>
        <v/>
      </c>
      <c r="AE94" s="19" t="n"/>
      <c r="AF94" s="19" t="n"/>
      <c r="AG94" s="30">
        <f>IF(OR(AE94="",AF94=""),"",INDEX(RiskGrid,6-VALUE(LEFT(AE94,1)),VALUE(LEFT(AF94,1))))</f>
        <v/>
      </c>
      <c r="AH94" s="30">
        <f>IF(AG94="","",IF(AG94&gt;=BandVH,"Very High",IF(AG94&gt;=BandHigh,"High",IF(AG94&gt;=BandMed,"Medium","Low"))))</f>
        <v/>
      </c>
      <c r="AI94" s="4" t="n"/>
      <c r="AJ94" s="4" t="n"/>
    </row>
    <row r="95">
      <c r="A95" s="30">
        <f>IF(B95="","",COUNTIF(B$14:B95,"?*"))</f>
        <v/>
      </c>
      <c r="B95" s="4" t="n"/>
      <c r="C95" s="19" t="n"/>
      <c r="D95" s="5">
        <f>IF(OR(B95="",C95=""),"",UPPER(LEFT(C95,1))&amp;LOWER(MID(C95,2,30))&amp;" "&amp;LOWER(LEFT(B95,1))&amp;MID(B95,2,200))</f>
        <v/>
      </c>
      <c r="E95" s="4" t="n"/>
      <c r="F95" s="4" t="n"/>
      <c r="G95" s="4" t="n"/>
      <c r="H95" s="4" t="n"/>
      <c r="I95" s="4" t="n"/>
      <c r="J95" s="4" t="n"/>
      <c r="K95" s="5">
        <f>_xlfn.TEXTJOIN(CHAR(10),TRUE,IF(E95="","","• "&amp;E95),IF(F95="","","• "&amp;F95),IF(G95="","","• "&amp;G95),IF(H95="","","• "&amp;H95),IF(I95="","","• "&amp;I95),IF(J95="","","• "&amp;J95))</f>
        <v/>
      </c>
      <c r="L95" s="4" t="n"/>
      <c r="M95" s="19" t="n"/>
      <c r="N95" s="19" t="n"/>
      <c r="O95" s="30">
        <f>IF(OR(M95="",N95=""),"",INDEX(RiskGrid,6-VALUE(LEFT(M95,1)),VALUE(LEFT(N95,1))))</f>
        <v/>
      </c>
      <c r="P95" s="30">
        <f>IF(O95="","",IF(O95&gt;=BandVH,"Very High",IF(O95&gt;=BandHigh,"High",IF(O95&gt;=BandMed,"Medium","Low"))))</f>
        <v/>
      </c>
      <c r="Q95" s="4" t="n"/>
      <c r="R95" s="19" t="n"/>
      <c r="S95" s="4" t="n"/>
      <c r="T95" s="19" t="n"/>
      <c r="U95" s="4" t="n"/>
      <c r="V95" s="19" t="n"/>
      <c r="W95" s="4" t="n"/>
      <c r="X95" s="19" t="n"/>
      <c r="Y95" s="4" t="n"/>
      <c r="Z95" s="19" t="n"/>
      <c r="AA95" s="4" t="n"/>
      <c r="AB95" s="19" t="n"/>
      <c r="AC95" s="5">
        <f>_xlfn.TEXTJOIN(CHAR(10),TRUE,IF(Q95="","","• "&amp;Q95&amp;IF(R95="Yes","  [IPL]","")),IF(S95="","","• "&amp;S95&amp;IF(T95="Yes","  [IPL]","")),IF(U95="","","• "&amp;U95&amp;IF(V95="Yes","  [IPL]","")),IF(W95="","","• "&amp;W95&amp;IF(X95="Yes","  [IPL]","")),IF(Y95="","","• "&amp;Y95&amp;IF(Z95="Yes","  [IPL]","")),IF(AA95="","","• "&amp;AA95&amp;IF(AB95="Yes","  [IPL]","")))</f>
        <v/>
      </c>
      <c r="AD95" s="30">
        <f>IF(AC95="","",COUNTIF(Q95:AB95,"Yes"))</f>
        <v/>
      </c>
      <c r="AE95" s="19" t="n"/>
      <c r="AF95" s="19" t="n"/>
      <c r="AG95" s="30">
        <f>IF(OR(AE95="",AF95=""),"",INDEX(RiskGrid,6-VALUE(LEFT(AE95,1)),VALUE(LEFT(AF95,1))))</f>
        <v/>
      </c>
      <c r="AH95" s="30">
        <f>IF(AG95="","",IF(AG95&gt;=BandVH,"Very High",IF(AG95&gt;=BandHigh,"High",IF(AG95&gt;=BandMed,"Medium","Low"))))</f>
        <v/>
      </c>
      <c r="AI95" s="4" t="n"/>
      <c r="AJ95" s="4" t="n"/>
    </row>
    <row r="96">
      <c r="A96" s="30">
        <f>IF(B96="","",COUNTIF(B$14:B96,"?*"))</f>
        <v/>
      </c>
      <c r="B96" s="4" t="n"/>
      <c r="C96" s="19" t="n"/>
      <c r="D96" s="5">
        <f>IF(OR(B96="",C96=""),"",UPPER(LEFT(C96,1))&amp;LOWER(MID(C96,2,30))&amp;" "&amp;LOWER(LEFT(B96,1))&amp;MID(B96,2,200))</f>
        <v/>
      </c>
      <c r="E96" s="4" t="n"/>
      <c r="F96" s="4" t="n"/>
      <c r="G96" s="4" t="n"/>
      <c r="H96" s="4" t="n"/>
      <c r="I96" s="4" t="n"/>
      <c r="J96" s="4" t="n"/>
      <c r="K96" s="5">
        <f>_xlfn.TEXTJOIN(CHAR(10),TRUE,IF(E96="","","• "&amp;E96),IF(F96="","","• "&amp;F96),IF(G96="","","• "&amp;G96),IF(H96="","","• "&amp;H96),IF(I96="","","• "&amp;I96),IF(J96="","","• "&amp;J96))</f>
        <v/>
      </c>
      <c r="L96" s="4" t="n"/>
      <c r="M96" s="19" t="n"/>
      <c r="N96" s="19" t="n"/>
      <c r="O96" s="30">
        <f>IF(OR(M96="",N96=""),"",INDEX(RiskGrid,6-VALUE(LEFT(M96,1)),VALUE(LEFT(N96,1))))</f>
        <v/>
      </c>
      <c r="P96" s="30">
        <f>IF(O96="","",IF(O96&gt;=BandVH,"Very High",IF(O96&gt;=BandHigh,"High",IF(O96&gt;=BandMed,"Medium","Low"))))</f>
        <v/>
      </c>
      <c r="Q96" s="4" t="n"/>
      <c r="R96" s="19" t="n"/>
      <c r="S96" s="4" t="n"/>
      <c r="T96" s="19" t="n"/>
      <c r="U96" s="4" t="n"/>
      <c r="V96" s="19" t="n"/>
      <c r="W96" s="4" t="n"/>
      <c r="X96" s="19" t="n"/>
      <c r="Y96" s="4" t="n"/>
      <c r="Z96" s="19" t="n"/>
      <c r="AA96" s="4" t="n"/>
      <c r="AB96" s="19" t="n"/>
      <c r="AC96" s="5">
        <f>_xlfn.TEXTJOIN(CHAR(10),TRUE,IF(Q96="","","• "&amp;Q96&amp;IF(R96="Yes","  [IPL]","")),IF(S96="","","• "&amp;S96&amp;IF(T96="Yes","  [IPL]","")),IF(U96="","","• "&amp;U96&amp;IF(V96="Yes","  [IPL]","")),IF(W96="","","• "&amp;W96&amp;IF(X96="Yes","  [IPL]","")),IF(Y96="","","• "&amp;Y96&amp;IF(Z96="Yes","  [IPL]","")),IF(AA96="","","• "&amp;AA96&amp;IF(AB96="Yes","  [IPL]","")))</f>
        <v/>
      </c>
      <c r="AD96" s="30">
        <f>IF(AC96="","",COUNTIF(Q96:AB96,"Yes"))</f>
        <v/>
      </c>
      <c r="AE96" s="19" t="n"/>
      <c r="AF96" s="19" t="n"/>
      <c r="AG96" s="30">
        <f>IF(OR(AE96="",AF96=""),"",INDEX(RiskGrid,6-VALUE(LEFT(AE96,1)),VALUE(LEFT(AF96,1))))</f>
        <v/>
      </c>
      <c r="AH96" s="30">
        <f>IF(AG96="","",IF(AG96&gt;=BandVH,"Very High",IF(AG96&gt;=BandHigh,"High",IF(AG96&gt;=BandMed,"Medium","Low"))))</f>
        <v/>
      </c>
      <c r="AI96" s="4" t="n"/>
      <c r="AJ96" s="4" t="n"/>
    </row>
    <row r="97">
      <c r="A97" s="30">
        <f>IF(B97="","",COUNTIF(B$14:B97,"?*"))</f>
        <v/>
      </c>
      <c r="B97" s="4" t="n"/>
      <c r="C97" s="19" t="n"/>
      <c r="D97" s="5">
        <f>IF(OR(B97="",C97=""),"",UPPER(LEFT(C97,1))&amp;LOWER(MID(C97,2,30))&amp;" "&amp;LOWER(LEFT(B97,1))&amp;MID(B97,2,200))</f>
        <v/>
      </c>
      <c r="E97" s="4" t="n"/>
      <c r="F97" s="4" t="n"/>
      <c r="G97" s="4" t="n"/>
      <c r="H97" s="4" t="n"/>
      <c r="I97" s="4" t="n"/>
      <c r="J97" s="4" t="n"/>
      <c r="K97" s="5">
        <f>_xlfn.TEXTJOIN(CHAR(10),TRUE,IF(E97="","","• "&amp;E97),IF(F97="","","• "&amp;F97),IF(G97="","","• "&amp;G97),IF(H97="","","• "&amp;H97),IF(I97="","","• "&amp;I97),IF(J97="","","• "&amp;J97))</f>
        <v/>
      </c>
      <c r="L97" s="4" t="n"/>
      <c r="M97" s="19" t="n"/>
      <c r="N97" s="19" t="n"/>
      <c r="O97" s="30">
        <f>IF(OR(M97="",N97=""),"",INDEX(RiskGrid,6-VALUE(LEFT(M97,1)),VALUE(LEFT(N97,1))))</f>
        <v/>
      </c>
      <c r="P97" s="30">
        <f>IF(O97="","",IF(O97&gt;=BandVH,"Very High",IF(O97&gt;=BandHigh,"High",IF(O97&gt;=BandMed,"Medium","Low"))))</f>
        <v/>
      </c>
      <c r="Q97" s="4" t="n"/>
      <c r="R97" s="19" t="n"/>
      <c r="S97" s="4" t="n"/>
      <c r="T97" s="19" t="n"/>
      <c r="U97" s="4" t="n"/>
      <c r="V97" s="19" t="n"/>
      <c r="W97" s="4" t="n"/>
      <c r="X97" s="19" t="n"/>
      <c r="Y97" s="4" t="n"/>
      <c r="Z97" s="19" t="n"/>
      <c r="AA97" s="4" t="n"/>
      <c r="AB97" s="19" t="n"/>
      <c r="AC97" s="5">
        <f>_xlfn.TEXTJOIN(CHAR(10),TRUE,IF(Q97="","","• "&amp;Q97&amp;IF(R97="Yes","  [IPL]","")),IF(S97="","","• "&amp;S97&amp;IF(T97="Yes","  [IPL]","")),IF(U97="","","• "&amp;U97&amp;IF(V97="Yes","  [IPL]","")),IF(W97="","","• "&amp;W97&amp;IF(X97="Yes","  [IPL]","")),IF(Y97="","","• "&amp;Y97&amp;IF(Z97="Yes","  [IPL]","")),IF(AA97="","","• "&amp;AA97&amp;IF(AB97="Yes","  [IPL]","")))</f>
        <v/>
      </c>
      <c r="AD97" s="30">
        <f>IF(AC97="","",COUNTIF(Q97:AB97,"Yes"))</f>
        <v/>
      </c>
      <c r="AE97" s="19" t="n"/>
      <c r="AF97" s="19" t="n"/>
      <c r="AG97" s="30">
        <f>IF(OR(AE97="",AF97=""),"",INDEX(RiskGrid,6-VALUE(LEFT(AE97,1)),VALUE(LEFT(AF97,1))))</f>
        <v/>
      </c>
      <c r="AH97" s="30">
        <f>IF(AG97="","",IF(AG97&gt;=BandVH,"Very High",IF(AG97&gt;=BandHigh,"High",IF(AG97&gt;=BandMed,"Medium","Low"))))</f>
        <v/>
      </c>
      <c r="AI97" s="4" t="n"/>
      <c r="AJ97" s="4" t="n"/>
    </row>
    <row r="98">
      <c r="A98" s="30">
        <f>IF(B98="","",COUNTIF(B$14:B98,"?*"))</f>
        <v/>
      </c>
      <c r="B98" s="4" t="n"/>
      <c r="C98" s="19" t="n"/>
      <c r="D98" s="5">
        <f>IF(OR(B98="",C98=""),"",UPPER(LEFT(C98,1))&amp;LOWER(MID(C98,2,30))&amp;" "&amp;LOWER(LEFT(B98,1))&amp;MID(B98,2,200))</f>
        <v/>
      </c>
      <c r="E98" s="4" t="n"/>
      <c r="F98" s="4" t="n"/>
      <c r="G98" s="4" t="n"/>
      <c r="H98" s="4" t="n"/>
      <c r="I98" s="4" t="n"/>
      <c r="J98" s="4" t="n"/>
      <c r="K98" s="5">
        <f>_xlfn.TEXTJOIN(CHAR(10),TRUE,IF(E98="","","• "&amp;E98),IF(F98="","","• "&amp;F98),IF(G98="","","• "&amp;G98),IF(H98="","","• "&amp;H98),IF(I98="","","• "&amp;I98),IF(J98="","","• "&amp;J98))</f>
        <v/>
      </c>
      <c r="L98" s="4" t="n"/>
      <c r="M98" s="19" t="n"/>
      <c r="N98" s="19" t="n"/>
      <c r="O98" s="30">
        <f>IF(OR(M98="",N98=""),"",INDEX(RiskGrid,6-VALUE(LEFT(M98,1)),VALUE(LEFT(N98,1))))</f>
        <v/>
      </c>
      <c r="P98" s="30">
        <f>IF(O98="","",IF(O98&gt;=BandVH,"Very High",IF(O98&gt;=BandHigh,"High",IF(O98&gt;=BandMed,"Medium","Low"))))</f>
        <v/>
      </c>
      <c r="Q98" s="4" t="n"/>
      <c r="R98" s="19" t="n"/>
      <c r="S98" s="4" t="n"/>
      <c r="T98" s="19" t="n"/>
      <c r="U98" s="4" t="n"/>
      <c r="V98" s="19" t="n"/>
      <c r="W98" s="4" t="n"/>
      <c r="X98" s="19" t="n"/>
      <c r="Y98" s="4" t="n"/>
      <c r="Z98" s="19" t="n"/>
      <c r="AA98" s="4" t="n"/>
      <c r="AB98" s="19" t="n"/>
      <c r="AC98" s="5">
        <f>_xlfn.TEXTJOIN(CHAR(10),TRUE,IF(Q98="","","• "&amp;Q98&amp;IF(R98="Yes","  [IPL]","")),IF(S98="","","• "&amp;S98&amp;IF(T98="Yes","  [IPL]","")),IF(U98="","","• "&amp;U98&amp;IF(V98="Yes","  [IPL]","")),IF(W98="","","• "&amp;W98&amp;IF(X98="Yes","  [IPL]","")),IF(Y98="","","• "&amp;Y98&amp;IF(Z98="Yes","  [IPL]","")),IF(AA98="","","• "&amp;AA98&amp;IF(AB98="Yes","  [IPL]","")))</f>
        <v/>
      </c>
      <c r="AD98" s="30">
        <f>IF(AC98="","",COUNTIF(Q98:AB98,"Yes"))</f>
        <v/>
      </c>
      <c r="AE98" s="19" t="n"/>
      <c r="AF98" s="19" t="n"/>
      <c r="AG98" s="30">
        <f>IF(OR(AE98="",AF98=""),"",INDEX(RiskGrid,6-VALUE(LEFT(AE98,1)),VALUE(LEFT(AF98,1))))</f>
        <v/>
      </c>
      <c r="AH98" s="30">
        <f>IF(AG98="","",IF(AG98&gt;=BandVH,"Very High",IF(AG98&gt;=BandHigh,"High",IF(AG98&gt;=BandMed,"Medium","Low"))))</f>
        <v/>
      </c>
      <c r="AI98" s="4" t="n"/>
      <c r="AJ98" s="4" t="n"/>
    </row>
    <row r="99">
      <c r="A99" s="30">
        <f>IF(B99="","",COUNTIF(B$14:B99,"?*"))</f>
        <v/>
      </c>
      <c r="B99" s="4" t="n"/>
      <c r="C99" s="19" t="n"/>
      <c r="D99" s="5">
        <f>IF(OR(B99="",C99=""),"",UPPER(LEFT(C99,1))&amp;LOWER(MID(C99,2,30))&amp;" "&amp;LOWER(LEFT(B99,1))&amp;MID(B99,2,200))</f>
        <v/>
      </c>
      <c r="E99" s="4" t="n"/>
      <c r="F99" s="4" t="n"/>
      <c r="G99" s="4" t="n"/>
      <c r="H99" s="4" t="n"/>
      <c r="I99" s="4" t="n"/>
      <c r="J99" s="4" t="n"/>
      <c r="K99" s="5">
        <f>_xlfn.TEXTJOIN(CHAR(10),TRUE,IF(E99="","","• "&amp;E99),IF(F99="","","• "&amp;F99),IF(G99="","","• "&amp;G99),IF(H99="","","• "&amp;H99),IF(I99="","","• "&amp;I99),IF(J99="","","• "&amp;J99))</f>
        <v/>
      </c>
      <c r="L99" s="4" t="n"/>
      <c r="M99" s="19" t="n"/>
      <c r="N99" s="19" t="n"/>
      <c r="O99" s="30">
        <f>IF(OR(M99="",N99=""),"",INDEX(RiskGrid,6-VALUE(LEFT(M99,1)),VALUE(LEFT(N99,1))))</f>
        <v/>
      </c>
      <c r="P99" s="30">
        <f>IF(O99="","",IF(O99&gt;=BandVH,"Very High",IF(O99&gt;=BandHigh,"High",IF(O99&gt;=BandMed,"Medium","Low"))))</f>
        <v/>
      </c>
      <c r="Q99" s="4" t="n"/>
      <c r="R99" s="19" t="n"/>
      <c r="S99" s="4" t="n"/>
      <c r="T99" s="19" t="n"/>
      <c r="U99" s="4" t="n"/>
      <c r="V99" s="19" t="n"/>
      <c r="W99" s="4" t="n"/>
      <c r="X99" s="19" t="n"/>
      <c r="Y99" s="4" t="n"/>
      <c r="Z99" s="19" t="n"/>
      <c r="AA99" s="4" t="n"/>
      <c r="AB99" s="19" t="n"/>
      <c r="AC99" s="5">
        <f>_xlfn.TEXTJOIN(CHAR(10),TRUE,IF(Q99="","","• "&amp;Q99&amp;IF(R99="Yes","  [IPL]","")),IF(S99="","","• "&amp;S99&amp;IF(T99="Yes","  [IPL]","")),IF(U99="","","• "&amp;U99&amp;IF(V99="Yes","  [IPL]","")),IF(W99="","","• "&amp;W99&amp;IF(X99="Yes","  [IPL]","")),IF(Y99="","","• "&amp;Y99&amp;IF(Z99="Yes","  [IPL]","")),IF(AA99="","","• "&amp;AA99&amp;IF(AB99="Yes","  [IPL]","")))</f>
        <v/>
      </c>
      <c r="AD99" s="30">
        <f>IF(AC99="","",COUNTIF(Q99:AB99,"Yes"))</f>
        <v/>
      </c>
      <c r="AE99" s="19" t="n"/>
      <c r="AF99" s="19" t="n"/>
      <c r="AG99" s="30">
        <f>IF(OR(AE99="",AF99=""),"",INDEX(RiskGrid,6-VALUE(LEFT(AE99,1)),VALUE(LEFT(AF99,1))))</f>
        <v/>
      </c>
      <c r="AH99" s="30">
        <f>IF(AG99="","",IF(AG99&gt;=BandVH,"Very High",IF(AG99&gt;=BandHigh,"High",IF(AG99&gt;=BandMed,"Medium","Low"))))</f>
        <v/>
      </c>
      <c r="AI99" s="4" t="n"/>
      <c r="AJ99" s="4" t="n"/>
    </row>
    <row r="100">
      <c r="A100" s="30">
        <f>IF(B100="","",COUNTIF(B$14:B100,"?*"))</f>
        <v/>
      </c>
      <c r="B100" s="4" t="n"/>
      <c r="C100" s="19" t="n"/>
      <c r="D100" s="5">
        <f>IF(OR(B100="",C100=""),"",UPPER(LEFT(C100,1))&amp;LOWER(MID(C100,2,30))&amp;" "&amp;LOWER(LEFT(B100,1))&amp;MID(B100,2,200))</f>
        <v/>
      </c>
      <c r="E100" s="4" t="n"/>
      <c r="F100" s="4" t="n"/>
      <c r="G100" s="4" t="n"/>
      <c r="H100" s="4" t="n"/>
      <c r="I100" s="4" t="n"/>
      <c r="J100" s="4" t="n"/>
      <c r="K100" s="5">
        <f>_xlfn.TEXTJOIN(CHAR(10),TRUE,IF(E100="","","• "&amp;E100),IF(F100="","","• "&amp;F100),IF(G100="","","• "&amp;G100),IF(H100="","","• "&amp;H100),IF(I100="","","• "&amp;I100),IF(J100="","","• "&amp;J100))</f>
        <v/>
      </c>
      <c r="L100" s="4" t="n"/>
      <c r="M100" s="19" t="n"/>
      <c r="N100" s="19" t="n"/>
      <c r="O100" s="30">
        <f>IF(OR(M100="",N100=""),"",INDEX(RiskGrid,6-VALUE(LEFT(M100,1)),VALUE(LEFT(N100,1))))</f>
        <v/>
      </c>
      <c r="P100" s="30">
        <f>IF(O100="","",IF(O100&gt;=BandVH,"Very High",IF(O100&gt;=BandHigh,"High",IF(O100&gt;=BandMed,"Medium","Low"))))</f>
        <v/>
      </c>
      <c r="Q100" s="4" t="n"/>
      <c r="R100" s="19" t="n"/>
      <c r="S100" s="4" t="n"/>
      <c r="T100" s="19" t="n"/>
      <c r="U100" s="4" t="n"/>
      <c r="V100" s="19" t="n"/>
      <c r="W100" s="4" t="n"/>
      <c r="X100" s="19" t="n"/>
      <c r="Y100" s="4" t="n"/>
      <c r="Z100" s="19" t="n"/>
      <c r="AA100" s="4" t="n"/>
      <c r="AB100" s="19" t="n"/>
      <c r="AC100" s="5">
        <f>_xlfn.TEXTJOIN(CHAR(10),TRUE,IF(Q100="","","• "&amp;Q100&amp;IF(R100="Yes","  [IPL]","")),IF(S100="","","• "&amp;S100&amp;IF(T100="Yes","  [IPL]","")),IF(U100="","","• "&amp;U100&amp;IF(V100="Yes","  [IPL]","")),IF(W100="","","• "&amp;W100&amp;IF(X100="Yes","  [IPL]","")),IF(Y100="","","• "&amp;Y100&amp;IF(Z100="Yes","  [IPL]","")),IF(AA100="","","• "&amp;AA100&amp;IF(AB100="Yes","  [IPL]","")))</f>
        <v/>
      </c>
      <c r="AD100" s="30">
        <f>IF(AC100="","",COUNTIF(Q100:AB100,"Yes"))</f>
        <v/>
      </c>
      <c r="AE100" s="19" t="n"/>
      <c r="AF100" s="19" t="n"/>
      <c r="AG100" s="30">
        <f>IF(OR(AE100="",AF100=""),"",INDEX(RiskGrid,6-VALUE(LEFT(AE100,1)),VALUE(LEFT(AF100,1))))</f>
        <v/>
      </c>
      <c r="AH100" s="30">
        <f>IF(AG100="","",IF(AG100&gt;=BandVH,"Very High",IF(AG100&gt;=BandHigh,"High",IF(AG100&gt;=BandMed,"Medium","Low"))))</f>
        <v/>
      </c>
      <c r="AI100" s="4" t="n"/>
      <c r="AJ100" s="4" t="n"/>
    </row>
    <row r="101">
      <c r="A101" s="30">
        <f>IF(B101="","",COUNTIF(B$14:B101,"?*"))</f>
        <v/>
      </c>
      <c r="B101" s="4" t="n"/>
      <c r="C101" s="19" t="n"/>
      <c r="D101" s="5">
        <f>IF(OR(B101="",C101=""),"",UPPER(LEFT(C101,1))&amp;LOWER(MID(C101,2,30))&amp;" "&amp;LOWER(LEFT(B101,1))&amp;MID(B101,2,200))</f>
        <v/>
      </c>
      <c r="E101" s="4" t="n"/>
      <c r="F101" s="4" t="n"/>
      <c r="G101" s="4" t="n"/>
      <c r="H101" s="4" t="n"/>
      <c r="I101" s="4" t="n"/>
      <c r="J101" s="4" t="n"/>
      <c r="K101" s="5">
        <f>_xlfn.TEXTJOIN(CHAR(10),TRUE,IF(E101="","","• "&amp;E101),IF(F101="","","• "&amp;F101),IF(G101="","","• "&amp;G101),IF(H101="","","• "&amp;H101),IF(I101="","","• "&amp;I101),IF(J101="","","• "&amp;J101))</f>
        <v/>
      </c>
      <c r="L101" s="4" t="n"/>
      <c r="M101" s="19" t="n"/>
      <c r="N101" s="19" t="n"/>
      <c r="O101" s="30">
        <f>IF(OR(M101="",N101=""),"",INDEX(RiskGrid,6-VALUE(LEFT(M101,1)),VALUE(LEFT(N101,1))))</f>
        <v/>
      </c>
      <c r="P101" s="30">
        <f>IF(O101="","",IF(O101&gt;=BandVH,"Very High",IF(O101&gt;=BandHigh,"High",IF(O101&gt;=BandMed,"Medium","Low"))))</f>
        <v/>
      </c>
      <c r="Q101" s="4" t="n"/>
      <c r="R101" s="19" t="n"/>
      <c r="S101" s="4" t="n"/>
      <c r="T101" s="19" t="n"/>
      <c r="U101" s="4" t="n"/>
      <c r="V101" s="19" t="n"/>
      <c r="W101" s="4" t="n"/>
      <c r="X101" s="19" t="n"/>
      <c r="Y101" s="4" t="n"/>
      <c r="Z101" s="19" t="n"/>
      <c r="AA101" s="4" t="n"/>
      <c r="AB101" s="19" t="n"/>
      <c r="AC101" s="5">
        <f>_xlfn.TEXTJOIN(CHAR(10),TRUE,IF(Q101="","","• "&amp;Q101&amp;IF(R101="Yes","  [IPL]","")),IF(S101="","","• "&amp;S101&amp;IF(T101="Yes","  [IPL]","")),IF(U101="","","• "&amp;U101&amp;IF(V101="Yes","  [IPL]","")),IF(W101="","","• "&amp;W101&amp;IF(X101="Yes","  [IPL]","")),IF(Y101="","","• "&amp;Y101&amp;IF(Z101="Yes","  [IPL]","")),IF(AA101="","","• "&amp;AA101&amp;IF(AB101="Yes","  [IPL]","")))</f>
        <v/>
      </c>
      <c r="AD101" s="30">
        <f>IF(AC101="","",COUNTIF(Q101:AB101,"Yes"))</f>
        <v/>
      </c>
      <c r="AE101" s="19" t="n"/>
      <c r="AF101" s="19" t="n"/>
      <c r="AG101" s="30">
        <f>IF(OR(AE101="",AF101=""),"",INDEX(RiskGrid,6-VALUE(LEFT(AE101,1)),VALUE(LEFT(AF101,1))))</f>
        <v/>
      </c>
      <c r="AH101" s="30">
        <f>IF(AG101="","",IF(AG101&gt;=BandVH,"Very High",IF(AG101&gt;=BandHigh,"High",IF(AG101&gt;=BandMed,"Medium","Low"))))</f>
        <v/>
      </c>
      <c r="AI101" s="4" t="n"/>
      <c r="AJ101" s="4" t="n"/>
    </row>
    <row r="102">
      <c r="A102" s="30">
        <f>IF(B102="","",COUNTIF(B$14:B102,"?*"))</f>
        <v/>
      </c>
      <c r="B102" s="4" t="n"/>
      <c r="C102" s="19" t="n"/>
      <c r="D102" s="5">
        <f>IF(OR(B102="",C102=""),"",UPPER(LEFT(C102,1))&amp;LOWER(MID(C102,2,30))&amp;" "&amp;LOWER(LEFT(B102,1))&amp;MID(B102,2,200))</f>
        <v/>
      </c>
      <c r="E102" s="4" t="n"/>
      <c r="F102" s="4" t="n"/>
      <c r="G102" s="4" t="n"/>
      <c r="H102" s="4" t="n"/>
      <c r="I102" s="4" t="n"/>
      <c r="J102" s="4" t="n"/>
      <c r="K102" s="5">
        <f>_xlfn.TEXTJOIN(CHAR(10),TRUE,IF(E102="","","• "&amp;E102),IF(F102="","","• "&amp;F102),IF(G102="","","• "&amp;G102),IF(H102="","","• "&amp;H102),IF(I102="","","• "&amp;I102),IF(J102="","","• "&amp;J102))</f>
        <v/>
      </c>
      <c r="L102" s="4" t="n"/>
      <c r="M102" s="19" t="n"/>
      <c r="N102" s="19" t="n"/>
      <c r="O102" s="30">
        <f>IF(OR(M102="",N102=""),"",INDEX(RiskGrid,6-VALUE(LEFT(M102,1)),VALUE(LEFT(N102,1))))</f>
        <v/>
      </c>
      <c r="P102" s="30">
        <f>IF(O102="","",IF(O102&gt;=BandVH,"Very High",IF(O102&gt;=BandHigh,"High",IF(O102&gt;=BandMed,"Medium","Low"))))</f>
        <v/>
      </c>
      <c r="Q102" s="4" t="n"/>
      <c r="R102" s="19" t="n"/>
      <c r="S102" s="4" t="n"/>
      <c r="T102" s="19" t="n"/>
      <c r="U102" s="4" t="n"/>
      <c r="V102" s="19" t="n"/>
      <c r="W102" s="4" t="n"/>
      <c r="X102" s="19" t="n"/>
      <c r="Y102" s="4" t="n"/>
      <c r="Z102" s="19" t="n"/>
      <c r="AA102" s="4" t="n"/>
      <c r="AB102" s="19" t="n"/>
      <c r="AC102" s="5">
        <f>_xlfn.TEXTJOIN(CHAR(10),TRUE,IF(Q102="","","• "&amp;Q102&amp;IF(R102="Yes","  [IPL]","")),IF(S102="","","• "&amp;S102&amp;IF(T102="Yes","  [IPL]","")),IF(U102="","","• "&amp;U102&amp;IF(V102="Yes","  [IPL]","")),IF(W102="","","• "&amp;W102&amp;IF(X102="Yes","  [IPL]","")),IF(Y102="","","• "&amp;Y102&amp;IF(Z102="Yes","  [IPL]","")),IF(AA102="","","• "&amp;AA102&amp;IF(AB102="Yes","  [IPL]","")))</f>
        <v/>
      </c>
      <c r="AD102" s="30">
        <f>IF(AC102="","",COUNTIF(Q102:AB102,"Yes"))</f>
        <v/>
      </c>
      <c r="AE102" s="19" t="n"/>
      <c r="AF102" s="19" t="n"/>
      <c r="AG102" s="30">
        <f>IF(OR(AE102="",AF102=""),"",INDEX(RiskGrid,6-VALUE(LEFT(AE102,1)),VALUE(LEFT(AF102,1))))</f>
        <v/>
      </c>
      <c r="AH102" s="30">
        <f>IF(AG102="","",IF(AG102&gt;=BandVH,"Very High",IF(AG102&gt;=BandHigh,"High",IF(AG102&gt;=BandMed,"Medium","Low"))))</f>
        <v/>
      </c>
      <c r="AI102" s="4" t="n"/>
      <c r="AJ102" s="4" t="n"/>
    </row>
    <row r="103">
      <c r="A103" s="30">
        <f>IF(B103="","",COUNTIF(B$14:B103,"?*"))</f>
        <v/>
      </c>
      <c r="B103" s="4" t="n"/>
      <c r="C103" s="19" t="n"/>
      <c r="D103" s="5">
        <f>IF(OR(B103="",C103=""),"",UPPER(LEFT(C103,1))&amp;LOWER(MID(C103,2,30))&amp;" "&amp;LOWER(LEFT(B103,1))&amp;MID(B103,2,200))</f>
        <v/>
      </c>
      <c r="E103" s="4" t="n"/>
      <c r="F103" s="4" t="n"/>
      <c r="G103" s="4" t="n"/>
      <c r="H103" s="4" t="n"/>
      <c r="I103" s="4" t="n"/>
      <c r="J103" s="4" t="n"/>
      <c r="K103" s="5">
        <f>_xlfn.TEXTJOIN(CHAR(10),TRUE,IF(E103="","","• "&amp;E103),IF(F103="","","• "&amp;F103),IF(G103="","","• "&amp;G103),IF(H103="","","• "&amp;H103),IF(I103="","","• "&amp;I103),IF(J103="","","• "&amp;J103))</f>
        <v/>
      </c>
      <c r="L103" s="4" t="n"/>
      <c r="M103" s="19" t="n"/>
      <c r="N103" s="19" t="n"/>
      <c r="O103" s="30">
        <f>IF(OR(M103="",N103=""),"",INDEX(RiskGrid,6-VALUE(LEFT(M103,1)),VALUE(LEFT(N103,1))))</f>
        <v/>
      </c>
      <c r="P103" s="30">
        <f>IF(O103="","",IF(O103&gt;=BandVH,"Very High",IF(O103&gt;=BandHigh,"High",IF(O103&gt;=BandMed,"Medium","Low"))))</f>
        <v/>
      </c>
      <c r="Q103" s="4" t="n"/>
      <c r="R103" s="19" t="n"/>
      <c r="S103" s="4" t="n"/>
      <c r="T103" s="19" t="n"/>
      <c r="U103" s="4" t="n"/>
      <c r="V103" s="19" t="n"/>
      <c r="W103" s="4" t="n"/>
      <c r="X103" s="19" t="n"/>
      <c r="Y103" s="4" t="n"/>
      <c r="Z103" s="19" t="n"/>
      <c r="AA103" s="4" t="n"/>
      <c r="AB103" s="19" t="n"/>
      <c r="AC103" s="5">
        <f>_xlfn.TEXTJOIN(CHAR(10),TRUE,IF(Q103="","","• "&amp;Q103&amp;IF(R103="Yes","  [IPL]","")),IF(S103="","","• "&amp;S103&amp;IF(T103="Yes","  [IPL]","")),IF(U103="","","• "&amp;U103&amp;IF(V103="Yes","  [IPL]","")),IF(W103="","","• "&amp;W103&amp;IF(X103="Yes","  [IPL]","")),IF(Y103="","","• "&amp;Y103&amp;IF(Z103="Yes","  [IPL]","")),IF(AA103="","","• "&amp;AA103&amp;IF(AB103="Yes","  [IPL]","")))</f>
        <v/>
      </c>
      <c r="AD103" s="30">
        <f>IF(AC103="","",COUNTIF(Q103:AB103,"Yes"))</f>
        <v/>
      </c>
      <c r="AE103" s="19" t="n"/>
      <c r="AF103" s="19" t="n"/>
      <c r="AG103" s="30">
        <f>IF(OR(AE103="",AF103=""),"",INDEX(RiskGrid,6-VALUE(LEFT(AE103,1)),VALUE(LEFT(AF103,1))))</f>
        <v/>
      </c>
      <c r="AH103" s="30">
        <f>IF(AG103="","",IF(AG103&gt;=BandVH,"Very High",IF(AG103&gt;=BandHigh,"High",IF(AG103&gt;=BandMed,"Medium","Low"))))</f>
        <v/>
      </c>
      <c r="AI103" s="4" t="n"/>
      <c r="AJ103" s="4" t="n"/>
    </row>
    <row r="104">
      <c r="A104" s="30">
        <f>IF(B104="","",COUNTIF(B$14:B104,"?*"))</f>
        <v/>
      </c>
      <c r="B104" s="4" t="n"/>
      <c r="C104" s="19" t="n"/>
      <c r="D104" s="5">
        <f>IF(OR(B104="",C104=""),"",UPPER(LEFT(C104,1))&amp;LOWER(MID(C104,2,30))&amp;" "&amp;LOWER(LEFT(B104,1))&amp;MID(B104,2,200))</f>
        <v/>
      </c>
      <c r="E104" s="4" t="n"/>
      <c r="F104" s="4" t="n"/>
      <c r="G104" s="4" t="n"/>
      <c r="H104" s="4" t="n"/>
      <c r="I104" s="4" t="n"/>
      <c r="J104" s="4" t="n"/>
      <c r="K104" s="5">
        <f>_xlfn.TEXTJOIN(CHAR(10),TRUE,IF(E104="","","• "&amp;E104),IF(F104="","","• "&amp;F104),IF(G104="","","• "&amp;G104),IF(H104="","","• "&amp;H104),IF(I104="","","• "&amp;I104),IF(J104="","","• "&amp;J104))</f>
        <v/>
      </c>
      <c r="L104" s="4" t="n"/>
      <c r="M104" s="19" t="n"/>
      <c r="N104" s="19" t="n"/>
      <c r="O104" s="30">
        <f>IF(OR(M104="",N104=""),"",INDEX(RiskGrid,6-VALUE(LEFT(M104,1)),VALUE(LEFT(N104,1))))</f>
        <v/>
      </c>
      <c r="P104" s="30">
        <f>IF(O104="","",IF(O104&gt;=BandVH,"Very High",IF(O104&gt;=BandHigh,"High",IF(O104&gt;=BandMed,"Medium","Low"))))</f>
        <v/>
      </c>
      <c r="Q104" s="4" t="n"/>
      <c r="R104" s="19" t="n"/>
      <c r="S104" s="4" t="n"/>
      <c r="T104" s="19" t="n"/>
      <c r="U104" s="4" t="n"/>
      <c r="V104" s="19" t="n"/>
      <c r="W104" s="4" t="n"/>
      <c r="X104" s="19" t="n"/>
      <c r="Y104" s="4" t="n"/>
      <c r="Z104" s="19" t="n"/>
      <c r="AA104" s="4" t="n"/>
      <c r="AB104" s="19" t="n"/>
      <c r="AC104" s="5">
        <f>_xlfn.TEXTJOIN(CHAR(10),TRUE,IF(Q104="","","• "&amp;Q104&amp;IF(R104="Yes","  [IPL]","")),IF(S104="","","• "&amp;S104&amp;IF(T104="Yes","  [IPL]","")),IF(U104="","","• "&amp;U104&amp;IF(V104="Yes","  [IPL]","")),IF(W104="","","• "&amp;W104&amp;IF(X104="Yes","  [IPL]","")),IF(Y104="","","• "&amp;Y104&amp;IF(Z104="Yes","  [IPL]","")),IF(AA104="","","• "&amp;AA104&amp;IF(AB104="Yes","  [IPL]","")))</f>
        <v/>
      </c>
      <c r="AD104" s="30">
        <f>IF(AC104="","",COUNTIF(Q104:AB104,"Yes"))</f>
        <v/>
      </c>
      <c r="AE104" s="19" t="n"/>
      <c r="AF104" s="19" t="n"/>
      <c r="AG104" s="30">
        <f>IF(OR(AE104="",AF104=""),"",INDEX(RiskGrid,6-VALUE(LEFT(AE104,1)),VALUE(LEFT(AF104,1))))</f>
        <v/>
      </c>
      <c r="AH104" s="30">
        <f>IF(AG104="","",IF(AG104&gt;=BandVH,"Very High",IF(AG104&gt;=BandHigh,"High",IF(AG104&gt;=BandMed,"Medium","Low"))))</f>
        <v/>
      </c>
      <c r="AI104" s="4" t="n"/>
      <c r="AJ104" s="4" t="n"/>
    </row>
    <row r="105">
      <c r="A105" s="30">
        <f>IF(B105="","",COUNTIF(B$14:B105,"?*"))</f>
        <v/>
      </c>
      <c r="B105" s="4" t="n"/>
      <c r="C105" s="19" t="n"/>
      <c r="D105" s="5">
        <f>IF(OR(B105="",C105=""),"",UPPER(LEFT(C105,1))&amp;LOWER(MID(C105,2,30))&amp;" "&amp;LOWER(LEFT(B105,1))&amp;MID(B105,2,200))</f>
        <v/>
      </c>
      <c r="E105" s="4" t="n"/>
      <c r="F105" s="4" t="n"/>
      <c r="G105" s="4" t="n"/>
      <c r="H105" s="4" t="n"/>
      <c r="I105" s="4" t="n"/>
      <c r="J105" s="4" t="n"/>
      <c r="K105" s="5">
        <f>_xlfn.TEXTJOIN(CHAR(10),TRUE,IF(E105="","","• "&amp;E105),IF(F105="","","• "&amp;F105),IF(G105="","","• "&amp;G105),IF(H105="","","• "&amp;H105),IF(I105="","","• "&amp;I105),IF(J105="","","• "&amp;J105))</f>
        <v/>
      </c>
      <c r="L105" s="4" t="n"/>
      <c r="M105" s="19" t="n"/>
      <c r="N105" s="19" t="n"/>
      <c r="O105" s="30">
        <f>IF(OR(M105="",N105=""),"",INDEX(RiskGrid,6-VALUE(LEFT(M105,1)),VALUE(LEFT(N105,1))))</f>
        <v/>
      </c>
      <c r="P105" s="30">
        <f>IF(O105="","",IF(O105&gt;=BandVH,"Very High",IF(O105&gt;=BandHigh,"High",IF(O105&gt;=BandMed,"Medium","Low"))))</f>
        <v/>
      </c>
      <c r="Q105" s="4" t="n"/>
      <c r="R105" s="19" t="n"/>
      <c r="S105" s="4" t="n"/>
      <c r="T105" s="19" t="n"/>
      <c r="U105" s="4" t="n"/>
      <c r="V105" s="19" t="n"/>
      <c r="W105" s="4" t="n"/>
      <c r="X105" s="19" t="n"/>
      <c r="Y105" s="4" t="n"/>
      <c r="Z105" s="19" t="n"/>
      <c r="AA105" s="4" t="n"/>
      <c r="AB105" s="19" t="n"/>
      <c r="AC105" s="5">
        <f>_xlfn.TEXTJOIN(CHAR(10),TRUE,IF(Q105="","","• "&amp;Q105&amp;IF(R105="Yes","  [IPL]","")),IF(S105="","","• "&amp;S105&amp;IF(T105="Yes","  [IPL]","")),IF(U105="","","• "&amp;U105&amp;IF(V105="Yes","  [IPL]","")),IF(W105="","","• "&amp;W105&amp;IF(X105="Yes","  [IPL]","")),IF(Y105="","","• "&amp;Y105&amp;IF(Z105="Yes","  [IPL]","")),IF(AA105="","","• "&amp;AA105&amp;IF(AB105="Yes","  [IPL]","")))</f>
        <v/>
      </c>
      <c r="AD105" s="30">
        <f>IF(AC105="","",COUNTIF(Q105:AB105,"Yes"))</f>
        <v/>
      </c>
      <c r="AE105" s="19" t="n"/>
      <c r="AF105" s="19" t="n"/>
      <c r="AG105" s="30">
        <f>IF(OR(AE105="",AF105=""),"",INDEX(RiskGrid,6-VALUE(LEFT(AE105,1)),VALUE(LEFT(AF105,1))))</f>
        <v/>
      </c>
      <c r="AH105" s="30">
        <f>IF(AG105="","",IF(AG105&gt;=BandVH,"Very High",IF(AG105&gt;=BandHigh,"High",IF(AG105&gt;=BandMed,"Medium","Low"))))</f>
        <v/>
      </c>
      <c r="AI105" s="4" t="n"/>
      <c r="AJ105" s="4" t="n"/>
    </row>
    <row r="106">
      <c r="A106" s="30">
        <f>IF(B106="","",COUNTIF(B$14:B106,"?*"))</f>
        <v/>
      </c>
      <c r="B106" s="4" t="n"/>
      <c r="C106" s="19" t="n"/>
      <c r="D106" s="5">
        <f>IF(OR(B106="",C106=""),"",UPPER(LEFT(C106,1))&amp;LOWER(MID(C106,2,30))&amp;" "&amp;LOWER(LEFT(B106,1))&amp;MID(B106,2,200))</f>
        <v/>
      </c>
      <c r="E106" s="4" t="n"/>
      <c r="F106" s="4" t="n"/>
      <c r="G106" s="4" t="n"/>
      <c r="H106" s="4" t="n"/>
      <c r="I106" s="4" t="n"/>
      <c r="J106" s="4" t="n"/>
      <c r="K106" s="5">
        <f>_xlfn.TEXTJOIN(CHAR(10),TRUE,IF(E106="","","• "&amp;E106),IF(F106="","","• "&amp;F106),IF(G106="","","• "&amp;G106),IF(H106="","","• "&amp;H106),IF(I106="","","• "&amp;I106),IF(J106="","","• "&amp;J106))</f>
        <v/>
      </c>
      <c r="L106" s="4" t="n"/>
      <c r="M106" s="19" t="n"/>
      <c r="N106" s="19" t="n"/>
      <c r="O106" s="30">
        <f>IF(OR(M106="",N106=""),"",INDEX(RiskGrid,6-VALUE(LEFT(M106,1)),VALUE(LEFT(N106,1))))</f>
        <v/>
      </c>
      <c r="P106" s="30">
        <f>IF(O106="","",IF(O106&gt;=BandVH,"Very High",IF(O106&gt;=BandHigh,"High",IF(O106&gt;=BandMed,"Medium","Low"))))</f>
        <v/>
      </c>
      <c r="Q106" s="4" t="n"/>
      <c r="R106" s="19" t="n"/>
      <c r="S106" s="4" t="n"/>
      <c r="T106" s="19" t="n"/>
      <c r="U106" s="4" t="n"/>
      <c r="V106" s="19" t="n"/>
      <c r="W106" s="4" t="n"/>
      <c r="X106" s="19" t="n"/>
      <c r="Y106" s="4" t="n"/>
      <c r="Z106" s="19" t="n"/>
      <c r="AA106" s="4" t="n"/>
      <c r="AB106" s="19" t="n"/>
      <c r="AC106" s="5">
        <f>_xlfn.TEXTJOIN(CHAR(10),TRUE,IF(Q106="","","• "&amp;Q106&amp;IF(R106="Yes","  [IPL]","")),IF(S106="","","• "&amp;S106&amp;IF(T106="Yes","  [IPL]","")),IF(U106="","","• "&amp;U106&amp;IF(V106="Yes","  [IPL]","")),IF(W106="","","• "&amp;W106&amp;IF(X106="Yes","  [IPL]","")),IF(Y106="","","• "&amp;Y106&amp;IF(Z106="Yes","  [IPL]","")),IF(AA106="","","• "&amp;AA106&amp;IF(AB106="Yes","  [IPL]","")))</f>
        <v/>
      </c>
      <c r="AD106" s="30">
        <f>IF(AC106="","",COUNTIF(Q106:AB106,"Yes"))</f>
        <v/>
      </c>
      <c r="AE106" s="19" t="n"/>
      <c r="AF106" s="19" t="n"/>
      <c r="AG106" s="30">
        <f>IF(OR(AE106="",AF106=""),"",INDEX(RiskGrid,6-VALUE(LEFT(AE106,1)),VALUE(LEFT(AF106,1))))</f>
        <v/>
      </c>
      <c r="AH106" s="30">
        <f>IF(AG106="","",IF(AG106&gt;=BandVH,"Very High",IF(AG106&gt;=BandHigh,"High",IF(AG106&gt;=BandMed,"Medium","Low"))))</f>
        <v/>
      </c>
      <c r="AI106" s="4" t="n"/>
      <c r="AJ106" s="4" t="n"/>
    </row>
    <row r="107">
      <c r="A107" s="30">
        <f>IF(B107="","",COUNTIF(B$14:B107,"?*"))</f>
        <v/>
      </c>
      <c r="B107" s="4" t="n"/>
      <c r="C107" s="19" t="n"/>
      <c r="D107" s="5">
        <f>IF(OR(B107="",C107=""),"",UPPER(LEFT(C107,1))&amp;LOWER(MID(C107,2,30))&amp;" "&amp;LOWER(LEFT(B107,1))&amp;MID(B107,2,200))</f>
        <v/>
      </c>
      <c r="E107" s="4" t="n"/>
      <c r="F107" s="4" t="n"/>
      <c r="G107" s="4" t="n"/>
      <c r="H107" s="4" t="n"/>
      <c r="I107" s="4" t="n"/>
      <c r="J107" s="4" t="n"/>
      <c r="K107" s="5">
        <f>_xlfn.TEXTJOIN(CHAR(10),TRUE,IF(E107="","","• "&amp;E107),IF(F107="","","• "&amp;F107),IF(G107="","","• "&amp;G107),IF(H107="","","• "&amp;H107),IF(I107="","","• "&amp;I107),IF(J107="","","• "&amp;J107))</f>
        <v/>
      </c>
      <c r="L107" s="4" t="n"/>
      <c r="M107" s="19" t="n"/>
      <c r="N107" s="19" t="n"/>
      <c r="O107" s="30">
        <f>IF(OR(M107="",N107=""),"",INDEX(RiskGrid,6-VALUE(LEFT(M107,1)),VALUE(LEFT(N107,1))))</f>
        <v/>
      </c>
      <c r="P107" s="30">
        <f>IF(O107="","",IF(O107&gt;=BandVH,"Very High",IF(O107&gt;=BandHigh,"High",IF(O107&gt;=BandMed,"Medium","Low"))))</f>
        <v/>
      </c>
      <c r="Q107" s="4" t="n"/>
      <c r="R107" s="19" t="n"/>
      <c r="S107" s="4" t="n"/>
      <c r="T107" s="19" t="n"/>
      <c r="U107" s="4" t="n"/>
      <c r="V107" s="19" t="n"/>
      <c r="W107" s="4" t="n"/>
      <c r="X107" s="19" t="n"/>
      <c r="Y107" s="4" t="n"/>
      <c r="Z107" s="19" t="n"/>
      <c r="AA107" s="4" t="n"/>
      <c r="AB107" s="19" t="n"/>
      <c r="AC107" s="5">
        <f>_xlfn.TEXTJOIN(CHAR(10),TRUE,IF(Q107="","","• "&amp;Q107&amp;IF(R107="Yes","  [IPL]","")),IF(S107="","","• "&amp;S107&amp;IF(T107="Yes","  [IPL]","")),IF(U107="","","• "&amp;U107&amp;IF(V107="Yes","  [IPL]","")),IF(W107="","","• "&amp;W107&amp;IF(X107="Yes","  [IPL]","")),IF(Y107="","","• "&amp;Y107&amp;IF(Z107="Yes","  [IPL]","")),IF(AA107="","","• "&amp;AA107&amp;IF(AB107="Yes","  [IPL]","")))</f>
        <v/>
      </c>
      <c r="AD107" s="30">
        <f>IF(AC107="","",COUNTIF(Q107:AB107,"Yes"))</f>
        <v/>
      </c>
      <c r="AE107" s="19" t="n"/>
      <c r="AF107" s="19" t="n"/>
      <c r="AG107" s="30">
        <f>IF(OR(AE107="",AF107=""),"",INDEX(RiskGrid,6-VALUE(LEFT(AE107,1)),VALUE(LEFT(AF107,1))))</f>
        <v/>
      </c>
      <c r="AH107" s="30">
        <f>IF(AG107="","",IF(AG107&gt;=BandVH,"Very High",IF(AG107&gt;=BandHigh,"High",IF(AG107&gt;=BandMed,"Medium","Low"))))</f>
        <v/>
      </c>
      <c r="AI107" s="4" t="n"/>
      <c r="AJ107" s="4" t="n"/>
    </row>
    <row r="108">
      <c r="A108" s="30">
        <f>IF(B108="","",COUNTIF(B$14:B108,"?*"))</f>
        <v/>
      </c>
      <c r="B108" s="4" t="n"/>
      <c r="C108" s="19" t="n"/>
      <c r="D108" s="5">
        <f>IF(OR(B108="",C108=""),"",UPPER(LEFT(C108,1))&amp;LOWER(MID(C108,2,30))&amp;" "&amp;LOWER(LEFT(B108,1))&amp;MID(B108,2,200))</f>
        <v/>
      </c>
      <c r="E108" s="4" t="n"/>
      <c r="F108" s="4" t="n"/>
      <c r="G108" s="4" t="n"/>
      <c r="H108" s="4" t="n"/>
      <c r="I108" s="4" t="n"/>
      <c r="J108" s="4" t="n"/>
      <c r="K108" s="5">
        <f>_xlfn.TEXTJOIN(CHAR(10),TRUE,IF(E108="","","• "&amp;E108),IF(F108="","","• "&amp;F108),IF(G108="","","• "&amp;G108),IF(H108="","","• "&amp;H108),IF(I108="","","• "&amp;I108),IF(J108="","","• "&amp;J108))</f>
        <v/>
      </c>
      <c r="L108" s="4" t="n"/>
      <c r="M108" s="19" t="n"/>
      <c r="N108" s="19" t="n"/>
      <c r="O108" s="30">
        <f>IF(OR(M108="",N108=""),"",INDEX(RiskGrid,6-VALUE(LEFT(M108,1)),VALUE(LEFT(N108,1))))</f>
        <v/>
      </c>
      <c r="P108" s="30">
        <f>IF(O108="","",IF(O108&gt;=BandVH,"Very High",IF(O108&gt;=BandHigh,"High",IF(O108&gt;=BandMed,"Medium","Low"))))</f>
        <v/>
      </c>
      <c r="Q108" s="4" t="n"/>
      <c r="R108" s="19" t="n"/>
      <c r="S108" s="4" t="n"/>
      <c r="T108" s="19" t="n"/>
      <c r="U108" s="4" t="n"/>
      <c r="V108" s="19" t="n"/>
      <c r="W108" s="4" t="n"/>
      <c r="X108" s="19" t="n"/>
      <c r="Y108" s="4" t="n"/>
      <c r="Z108" s="19" t="n"/>
      <c r="AA108" s="4" t="n"/>
      <c r="AB108" s="19" t="n"/>
      <c r="AC108" s="5">
        <f>_xlfn.TEXTJOIN(CHAR(10),TRUE,IF(Q108="","","• "&amp;Q108&amp;IF(R108="Yes","  [IPL]","")),IF(S108="","","• "&amp;S108&amp;IF(T108="Yes","  [IPL]","")),IF(U108="","","• "&amp;U108&amp;IF(V108="Yes","  [IPL]","")),IF(W108="","","• "&amp;W108&amp;IF(X108="Yes","  [IPL]","")),IF(Y108="","","• "&amp;Y108&amp;IF(Z108="Yes","  [IPL]","")),IF(AA108="","","• "&amp;AA108&amp;IF(AB108="Yes","  [IPL]","")))</f>
        <v/>
      </c>
      <c r="AD108" s="30">
        <f>IF(AC108="","",COUNTIF(Q108:AB108,"Yes"))</f>
        <v/>
      </c>
      <c r="AE108" s="19" t="n"/>
      <c r="AF108" s="19" t="n"/>
      <c r="AG108" s="30">
        <f>IF(OR(AE108="",AF108=""),"",INDEX(RiskGrid,6-VALUE(LEFT(AE108,1)),VALUE(LEFT(AF108,1))))</f>
        <v/>
      </c>
      <c r="AH108" s="30">
        <f>IF(AG108="","",IF(AG108&gt;=BandVH,"Very High",IF(AG108&gt;=BandHigh,"High",IF(AG108&gt;=BandMed,"Medium","Low"))))</f>
        <v/>
      </c>
      <c r="AI108" s="4" t="n"/>
      <c r="AJ108" s="4" t="n"/>
    </row>
    <row r="109">
      <c r="A109" s="30">
        <f>IF(B109="","",COUNTIF(B$14:B109,"?*"))</f>
        <v/>
      </c>
      <c r="B109" s="4" t="n"/>
      <c r="C109" s="19" t="n"/>
      <c r="D109" s="5">
        <f>IF(OR(B109="",C109=""),"",UPPER(LEFT(C109,1))&amp;LOWER(MID(C109,2,30))&amp;" "&amp;LOWER(LEFT(B109,1))&amp;MID(B109,2,200))</f>
        <v/>
      </c>
      <c r="E109" s="4" t="n"/>
      <c r="F109" s="4" t="n"/>
      <c r="G109" s="4" t="n"/>
      <c r="H109" s="4" t="n"/>
      <c r="I109" s="4" t="n"/>
      <c r="J109" s="4" t="n"/>
      <c r="K109" s="5">
        <f>_xlfn.TEXTJOIN(CHAR(10),TRUE,IF(E109="","","• "&amp;E109),IF(F109="","","• "&amp;F109),IF(G109="","","• "&amp;G109),IF(H109="","","• "&amp;H109),IF(I109="","","• "&amp;I109),IF(J109="","","• "&amp;J109))</f>
        <v/>
      </c>
      <c r="L109" s="4" t="n"/>
      <c r="M109" s="19" t="n"/>
      <c r="N109" s="19" t="n"/>
      <c r="O109" s="30">
        <f>IF(OR(M109="",N109=""),"",INDEX(RiskGrid,6-VALUE(LEFT(M109,1)),VALUE(LEFT(N109,1))))</f>
        <v/>
      </c>
      <c r="P109" s="30">
        <f>IF(O109="","",IF(O109&gt;=BandVH,"Very High",IF(O109&gt;=BandHigh,"High",IF(O109&gt;=BandMed,"Medium","Low"))))</f>
        <v/>
      </c>
      <c r="Q109" s="4" t="n"/>
      <c r="R109" s="19" t="n"/>
      <c r="S109" s="4" t="n"/>
      <c r="T109" s="19" t="n"/>
      <c r="U109" s="4" t="n"/>
      <c r="V109" s="19" t="n"/>
      <c r="W109" s="4" t="n"/>
      <c r="X109" s="19" t="n"/>
      <c r="Y109" s="4" t="n"/>
      <c r="Z109" s="19" t="n"/>
      <c r="AA109" s="4" t="n"/>
      <c r="AB109" s="19" t="n"/>
      <c r="AC109" s="5">
        <f>_xlfn.TEXTJOIN(CHAR(10),TRUE,IF(Q109="","","• "&amp;Q109&amp;IF(R109="Yes","  [IPL]","")),IF(S109="","","• "&amp;S109&amp;IF(T109="Yes","  [IPL]","")),IF(U109="","","• "&amp;U109&amp;IF(V109="Yes","  [IPL]","")),IF(W109="","","• "&amp;W109&amp;IF(X109="Yes","  [IPL]","")),IF(Y109="","","• "&amp;Y109&amp;IF(Z109="Yes","  [IPL]","")),IF(AA109="","","• "&amp;AA109&amp;IF(AB109="Yes","  [IPL]","")))</f>
        <v/>
      </c>
      <c r="AD109" s="30">
        <f>IF(AC109="","",COUNTIF(Q109:AB109,"Yes"))</f>
        <v/>
      </c>
      <c r="AE109" s="19" t="n"/>
      <c r="AF109" s="19" t="n"/>
      <c r="AG109" s="30">
        <f>IF(OR(AE109="",AF109=""),"",INDEX(RiskGrid,6-VALUE(LEFT(AE109,1)),VALUE(LEFT(AF109,1))))</f>
        <v/>
      </c>
      <c r="AH109" s="30">
        <f>IF(AG109="","",IF(AG109&gt;=BandVH,"Very High",IF(AG109&gt;=BandHigh,"High",IF(AG109&gt;=BandMed,"Medium","Low"))))</f>
        <v/>
      </c>
      <c r="AI109" s="4" t="n"/>
      <c r="AJ109" s="4" t="n"/>
    </row>
    <row r="110">
      <c r="A110" s="30">
        <f>IF(B110="","",COUNTIF(B$14:B110,"?*"))</f>
        <v/>
      </c>
      <c r="B110" s="4" t="n"/>
      <c r="C110" s="19" t="n"/>
      <c r="D110" s="5">
        <f>IF(OR(B110="",C110=""),"",UPPER(LEFT(C110,1))&amp;LOWER(MID(C110,2,30))&amp;" "&amp;LOWER(LEFT(B110,1))&amp;MID(B110,2,200))</f>
        <v/>
      </c>
      <c r="E110" s="4" t="n"/>
      <c r="F110" s="4" t="n"/>
      <c r="G110" s="4" t="n"/>
      <c r="H110" s="4" t="n"/>
      <c r="I110" s="4" t="n"/>
      <c r="J110" s="4" t="n"/>
      <c r="K110" s="5">
        <f>_xlfn.TEXTJOIN(CHAR(10),TRUE,IF(E110="","","• "&amp;E110),IF(F110="","","• "&amp;F110),IF(G110="","","• "&amp;G110),IF(H110="","","• "&amp;H110),IF(I110="","","• "&amp;I110),IF(J110="","","• "&amp;J110))</f>
        <v/>
      </c>
      <c r="L110" s="4" t="n"/>
      <c r="M110" s="19" t="n"/>
      <c r="N110" s="19" t="n"/>
      <c r="O110" s="30">
        <f>IF(OR(M110="",N110=""),"",INDEX(RiskGrid,6-VALUE(LEFT(M110,1)),VALUE(LEFT(N110,1))))</f>
        <v/>
      </c>
      <c r="P110" s="30">
        <f>IF(O110="","",IF(O110&gt;=BandVH,"Very High",IF(O110&gt;=BandHigh,"High",IF(O110&gt;=BandMed,"Medium","Low"))))</f>
        <v/>
      </c>
      <c r="Q110" s="4" t="n"/>
      <c r="R110" s="19" t="n"/>
      <c r="S110" s="4" t="n"/>
      <c r="T110" s="19" t="n"/>
      <c r="U110" s="4" t="n"/>
      <c r="V110" s="19" t="n"/>
      <c r="W110" s="4" t="n"/>
      <c r="X110" s="19" t="n"/>
      <c r="Y110" s="4" t="n"/>
      <c r="Z110" s="19" t="n"/>
      <c r="AA110" s="4" t="n"/>
      <c r="AB110" s="19" t="n"/>
      <c r="AC110" s="5">
        <f>_xlfn.TEXTJOIN(CHAR(10),TRUE,IF(Q110="","","• "&amp;Q110&amp;IF(R110="Yes","  [IPL]","")),IF(S110="","","• "&amp;S110&amp;IF(T110="Yes","  [IPL]","")),IF(U110="","","• "&amp;U110&amp;IF(V110="Yes","  [IPL]","")),IF(W110="","","• "&amp;W110&amp;IF(X110="Yes","  [IPL]","")),IF(Y110="","","• "&amp;Y110&amp;IF(Z110="Yes","  [IPL]","")),IF(AA110="","","• "&amp;AA110&amp;IF(AB110="Yes","  [IPL]","")))</f>
        <v/>
      </c>
      <c r="AD110" s="30">
        <f>IF(AC110="","",COUNTIF(Q110:AB110,"Yes"))</f>
        <v/>
      </c>
      <c r="AE110" s="19" t="n"/>
      <c r="AF110" s="19" t="n"/>
      <c r="AG110" s="30">
        <f>IF(OR(AE110="",AF110=""),"",INDEX(RiskGrid,6-VALUE(LEFT(AE110,1)),VALUE(LEFT(AF110,1))))</f>
        <v/>
      </c>
      <c r="AH110" s="30">
        <f>IF(AG110="","",IF(AG110&gt;=BandVH,"Very High",IF(AG110&gt;=BandHigh,"High",IF(AG110&gt;=BandMed,"Medium","Low"))))</f>
        <v/>
      </c>
      <c r="AI110" s="4" t="n"/>
      <c r="AJ110" s="4" t="n"/>
    </row>
    <row r="111">
      <c r="A111" s="30">
        <f>IF(B111="","",COUNTIF(B$14:B111,"?*"))</f>
        <v/>
      </c>
      <c r="B111" s="4" t="n"/>
      <c r="C111" s="19" t="n"/>
      <c r="D111" s="5">
        <f>IF(OR(B111="",C111=""),"",UPPER(LEFT(C111,1))&amp;LOWER(MID(C111,2,30))&amp;" "&amp;LOWER(LEFT(B111,1))&amp;MID(B111,2,200))</f>
        <v/>
      </c>
      <c r="E111" s="4" t="n"/>
      <c r="F111" s="4" t="n"/>
      <c r="G111" s="4" t="n"/>
      <c r="H111" s="4" t="n"/>
      <c r="I111" s="4" t="n"/>
      <c r="J111" s="4" t="n"/>
      <c r="K111" s="5">
        <f>_xlfn.TEXTJOIN(CHAR(10),TRUE,IF(E111="","","• "&amp;E111),IF(F111="","","• "&amp;F111),IF(G111="","","• "&amp;G111),IF(H111="","","• "&amp;H111),IF(I111="","","• "&amp;I111),IF(J111="","","• "&amp;J111))</f>
        <v/>
      </c>
      <c r="L111" s="4" t="n"/>
      <c r="M111" s="19" t="n"/>
      <c r="N111" s="19" t="n"/>
      <c r="O111" s="30">
        <f>IF(OR(M111="",N111=""),"",INDEX(RiskGrid,6-VALUE(LEFT(M111,1)),VALUE(LEFT(N111,1))))</f>
        <v/>
      </c>
      <c r="P111" s="30">
        <f>IF(O111="","",IF(O111&gt;=BandVH,"Very High",IF(O111&gt;=BandHigh,"High",IF(O111&gt;=BandMed,"Medium","Low"))))</f>
        <v/>
      </c>
      <c r="Q111" s="4" t="n"/>
      <c r="R111" s="19" t="n"/>
      <c r="S111" s="4" t="n"/>
      <c r="T111" s="19" t="n"/>
      <c r="U111" s="4" t="n"/>
      <c r="V111" s="19" t="n"/>
      <c r="W111" s="4" t="n"/>
      <c r="X111" s="19" t="n"/>
      <c r="Y111" s="4" t="n"/>
      <c r="Z111" s="19" t="n"/>
      <c r="AA111" s="4" t="n"/>
      <c r="AB111" s="19" t="n"/>
      <c r="AC111" s="5">
        <f>_xlfn.TEXTJOIN(CHAR(10),TRUE,IF(Q111="","","• "&amp;Q111&amp;IF(R111="Yes","  [IPL]","")),IF(S111="","","• "&amp;S111&amp;IF(T111="Yes","  [IPL]","")),IF(U111="","","• "&amp;U111&amp;IF(V111="Yes","  [IPL]","")),IF(W111="","","• "&amp;W111&amp;IF(X111="Yes","  [IPL]","")),IF(Y111="","","• "&amp;Y111&amp;IF(Z111="Yes","  [IPL]","")),IF(AA111="","","• "&amp;AA111&amp;IF(AB111="Yes","  [IPL]","")))</f>
        <v/>
      </c>
      <c r="AD111" s="30">
        <f>IF(AC111="","",COUNTIF(Q111:AB111,"Yes"))</f>
        <v/>
      </c>
      <c r="AE111" s="19" t="n"/>
      <c r="AF111" s="19" t="n"/>
      <c r="AG111" s="30">
        <f>IF(OR(AE111="",AF111=""),"",INDEX(RiskGrid,6-VALUE(LEFT(AE111,1)),VALUE(LEFT(AF111,1))))</f>
        <v/>
      </c>
      <c r="AH111" s="30">
        <f>IF(AG111="","",IF(AG111&gt;=BandVH,"Very High",IF(AG111&gt;=BandHigh,"High",IF(AG111&gt;=BandMed,"Medium","Low"))))</f>
        <v/>
      </c>
      <c r="AI111" s="4" t="n"/>
      <c r="AJ111" s="4" t="n"/>
    </row>
    <row r="112">
      <c r="A112" s="30">
        <f>IF(B112="","",COUNTIF(B$14:B112,"?*"))</f>
        <v/>
      </c>
      <c r="B112" s="4" t="n"/>
      <c r="C112" s="19" t="n"/>
      <c r="D112" s="5">
        <f>IF(OR(B112="",C112=""),"",UPPER(LEFT(C112,1))&amp;LOWER(MID(C112,2,30))&amp;" "&amp;LOWER(LEFT(B112,1))&amp;MID(B112,2,200))</f>
        <v/>
      </c>
      <c r="E112" s="4" t="n"/>
      <c r="F112" s="4" t="n"/>
      <c r="G112" s="4" t="n"/>
      <c r="H112" s="4" t="n"/>
      <c r="I112" s="4" t="n"/>
      <c r="J112" s="4" t="n"/>
      <c r="K112" s="5">
        <f>_xlfn.TEXTJOIN(CHAR(10),TRUE,IF(E112="","","• "&amp;E112),IF(F112="","","• "&amp;F112),IF(G112="","","• "&amp;G112),IF(H112="","","• "&amp;H112),IF(I112="","","• "&amp;I112),IF(J112="","","• "&amp;J112))</f>
        <v/>
      </c>
      <c r="L112" s="4" t="n"/>
      <c r="M112" s="19" t="n"/>
      <c r="N112" s="19" t="n"/>
      <c r="O112" s="30">
        <f>IF(OR(M112="",N112=""),"",INDEX(RiskGrid,6-VALUE(LEFT(M112,1)),VALUE(LEFT(N112,1))))</f>
        <v/>
      </c>
      <c r="P112" s="30">
        <f>IF(O112="","",IF(O112&gt;=BandVH,"Very High",IF(O112&gt;=BandHigh,"High",IF(O112&gt;=BandMed,"Medium","Low"))))</f>
        <v/>
      </c>
      <c r="Q112" s="4" t="n"/>
      <c r="R112" s="19" t="n"/>
      <c r="S112" s="4" t="n"/>
      <c r="T112" s="19" t="n"/>
      <c r="U112" s="4" t="n"/>
      <c r="V112" s="19" t="n"/>
      <c r="W112" s="4" t="n"/>
      <c r="X112" s="19" t="n"/>
      <c r="Y112" s="4" t="n"/>
      <c r="Z112" s="19" t="n"/>
      <c r="AA112" s="4" t="n"/>
      <c r="AB112" s="19" t="n"/>
      <c r="AC112" s="5">
        <f>_xlfn.TEXTJOIN(CHAR(10),TRUE,IF(Q112="","","• "&amp;Q112&amp;IF(R112="Yes","  [IPL]","")),IF(S112="","","• "&amp;S112&amp;IF(T112="Yes","  [IPL]","")),IF(U112="","","• "&amp;U112&amp;IF(V112="Yes","  [IPL]","")),IF(W112="","","• "&amp;W112&amp;IF(X112="Yes","  [IPL]","")),IF(Y112="","","• "&amp;Y112&amp;IF(Z112="Yes","  [IPL]","")),IF(AA112="","","• "&amp;AA112&amp;IF(AB112="Yes","  [IPL]","")))</f>
        <v/>
      </c>
      <c r="AD112" s="30">
        <f>IF(AC112="","",COUNTIF(Q112:AB112,"Yes"))</f>
        <v/>
      </c>
      <c r="AE112" s="19" t="n"/>
      <c r="AF112" s="19" t="n"/>
      <c r="AG112" s="30">
        <f>IF(OR(AE112="",AF112=""),"",INDEX(RiskGrid,6-VALUE(LEFT(AE112,1)),VALUE(LEFT(AF112,1))))</f>
        <v/>
      </c>
      <c r="AH112" s="30">
        <f>IF(AG112="","",IF(AG112&gt;=BandVH,"Very High",IF(AG112&gt;=BandHigh,"High",IF(AG112&gt;=BandMed,"Medium","Low"))))</f>
        <v/>
      </c>
      <c r="AI112" s="4" t="n"/>
      <c r="AJ112" s="4" t="n"/>
    </row>
    <row r="113">
      <c r="A113" s="30">
        <f>IF(B113="","",COUNTIF(B$14:B113,"?*"))</f>
        <v/>
      </c>
      <c r="B113" s="4" t="n"/>
      <c r="C113" s="19" t="n"/>
      <c r="D113" s="5">
        <f>IF(OR(B113="",C113=""),"",UPPER(LEFT(C113,1))&amp;LOWER(MID(C113,2,30))&amp;" "&amp;LOWER(LEFT(B113,1))&amp;MID(B113,2,200))</f>
        <v/>
      </c>
      <c r="E113" s="4" t="n"/>
      <c r="F113" s="4" t="n"/>
      <c r="G113" s="4" t="n"/>
      <c r="H113" s="4" t="n"/>
      <c r="I113" s="4" t="n"/>
      <c r="J113" s="4" t="n"/>
      <c r="K113" s="5">
        <f>_xlfn.TEXTJOIN(CHAR(10),TRUE,IF(E113="","","• "&amp;E113),IF(F113="","","• "&amp;F113),IF(G113="","","• "&amp;G113),IF(H113="","","• "&amp;H113),IF(I113="","","• "&amp;I113),IF(J113="","","• "&amp;J113))</f>
        <v/>
      </c>
      <c r="L113" s="4" t="n"/>
      <c r="M113" s="19" t="n"/>
      <c r="N113" s="19" t="n"/>
      <c r="O113" s="30">
        <f>IF(OR(M113="",N113=""),"",INDEX(RiskGrid,6-VALUE(LEFT(M113,1)),VALUE(LEFT(N113,1))))</f>
        <v/>
      </c>
      <c r="P113" s="30">
        <f>IF(O113="","",IF(O113&gt;=BandVH,"Very High",IF(O113&gt;=BandHigh,"High",IF(O113&gt;=BandMed,"Medium","Low"))))</f>
        <v/>
      </c>
      <c r="Q113" s="4" t="n"/>
      <c r="R113" s="19" t="n"/>
      <c r="S113" s="4" t="n"/>
      <c r="T113" s="19" t="n"/>
      <c r="U113" s="4" t="n"/>
      <c r="V113" s="19" t="n"/>
      <c r="W113" s="4" t="n"/>
      <c r="X113" s="19" t="n"/>
      <c r="Y113" s="4" t="n"/>
      <c r="Z113" s="19" t="n"/>
      <c r="AA113" s="4" t="n"/>
      <c r="AB113" s="19" t="n"/>
      <c r="AC113" s="5">
        <f>_xlfn.TEXTJOIN(CHAR(10),TRUE,IF(Q113="","","• "&amp;Q113&amp;IF(R113="Yes","  [IPL]","")),IF(S113="","","• "&amp;S113&amp;IF(T113="Yes","  [IPL]","")),IF(U113="","","• "&amp;U113&amp;IF(V113="Yes","  [IPL]","")),IF(W113="","","• "&amp;W113&amp;IF(X113="Yes","  [IPL]","")),IF(Y113="","","• "&amp;Y113&amp;IF(Z113="Yes","  [IPL]","")),IF(AA113="","","• "&amp;AA113&amp;IF(AB113="Yes","  [IPL]","")))</f>
        <v/>
      </c>
      <c r="AD113" s="30">
        <f>IF(AC113="","",COUNTIF(Q113:AB113,"Yes"))</f>
        <v/>
      </c>
      <c r="AE113" s="19" t="n"/>
      <c r="AF113" s="19" t="n"/>
      <c r="AG113" s="30">
        <f>IF(OR(AE113="",AF113=""),"",INDEX(RiskGrid,6-VALUE(LEFT(AE113,1)),VALUE(LEFT(AF113,1))))</f>
        <v/>
      </c>
      <c r="AH113" s="30">
        <f>IF(AG113="","",IF(AG113&gt;=BandVH,"Very High",IF(AG113&gt;=BandHigh,"High",IF(AG113&gt;=BandMed,"Medium","Low"))))</f>
        <v/>
      </c>
      <c r="AI113" s="4" t="n"/>
      <c r="AJ113" s="4" t="n"/>
    </row>
  </sheetData>
  <mergeCells count="24">
    <mergeCell ref="A3:C3"/>
    <mergeCell ref="AC12:AD12"/>
    <mergeCell ref="D7:L7"/>
    <mergeCell ref="N3:O3"/>
    <mergeCell ref="A5:C5"/>
    <mergeCell ref="A8:C8"/>
    <mergeCell ref="D4:L4"/>
    <mergeCell ref="D3:L3"/>
    <mergeCell ref="D9:L9"/>
    <mergeCell ref="A4:C4"/>
    <mergeCell ref="D8:L8"/>
    <mergeCell ref="K12:L12"/>
    <mergeCell ref="D5:L5"/>
    <mergeCell ref="A9:C9"/>
    <mergeCell ref="AE12:AH12"/>
    <mergeCell ref="E12:J12"/>
    <mergeCell ref="Q12:AB12"/>
    <mergeCell ref="AI12:AJ12"/>
    <mergeCell ref="A11:L11"/>
    <mergeCell ref="A12:D12"/>
    <mergeCell ref="A6:C6"/>
    <mergeCell ref="M12:P12"/>
    <mergeCell ref="A7:C7"/>
    <mergeCell ref="D6:L6"/>
  </mergeCells>
  <conditionalFormatting sqref="O14:P113">
    <cfRule type="expression" priority="1" dxfId="0">
      <formula>$P14="Very High"</formula>
    </cfRule>
    <cfRule type="expression" priority="3" dxfId="1">
      <formula>$P14="High"</formula>
    </cfRule>
    <cfRule type="expression" priority="5" dxfId="2">
      <formula>$P14="Medium"</formula>
    </cfRule>
    <cfRule type="expression" priority="7" dxfId="3">
      <formula>$P14="Low"</formula>
    </cfRule>
  </conditionalFormatting>
  <conditionalFormatting sqref="AG14:AH113">
    <cfRule type="expression" priority="2" dxfId="0">
      <formula>$AH14="Very High"</formula>
    </cfRule>
    <cfRule type="expression" priority="4" dxfId="1">
      <formula>$AH14="High"</formula>
    </cfRule>
    <cfRule type="expression" priority="6" dxfId="2">
      <formula>$AH14="Medium"</formula>
    </cfRule>
    <cfRule type="expression" priority="8" dxfId="3">
      <formula>$AH14="Low"</formula>
    </cfRule>
  </conditionalFormatting>
  <dataValidations count="9">
    <dataValidation sqref="D3" showDropDown="0" showInputMessage="1" showErrorMessage="1" allowBlank="1" promptTitle="Select" prompt="Choose the node studied on this sheet" type="list">
      <formula1>=NodeList</formula1>
    </dataValidation>
    <dataValidation sqref="B14:B113" showDropDown="0" showInputMessage="1" showErrorMessage="1" allowBlank="1" promptTitle="Select" prompt="Parameter (from Lists)" type="list">
      <formula1>=ParamList</formula1>
    </dataValidation>
    <dataValidation sqref="C14:C113" showDropDown="0" showInputMessage="1" showErrorMessage="1" allowBlank="1" promptTitle="Select" prompt="Guidewords valid for this parameter" type="list">
      <formula1>=OFFSET(GWStart,MATCH($B14,GWParam,0)-1,0,COUNTIF(GWParam,$B14),1)</formula1>
    </dataValidation>
    <dataValidation sqref="E14:J113" showDropDown="0" showInputMessage="1" showErrorMessage="1" allowBlank="1" errorTitle="Not in list" error="Entry is not in the list – it will be accepted as free text." promptTitle="Select" prompt="Pick a cause for this deviation, or type your own." type="list" errorStyle="information">
      <formula1>=OFFSET(CauseStart,MATCH($B14&amp;"|"&amp;$C14,CauseKey,0)-1,0,MAX(1,COUNTIF(CauseKey,$B14&amp;"|"&amp;$C14)),1)</formula1>
    </dataValidation>
    <dataValidation sqref="M14:M113" showDropDown="0" showInputMessage="0" showErrorMessage="1" allowBlank="1" type="list">
      <formula1>=SevList</formula1>
    </dataValidation>
    <dataValidation sqref="N14:N113" showDropDown="0" showInputMessage="0" showErrorMessage="1" allowBlank="1" type="list">
      <formula1>=LikList</formula1>
    </dataValidation>
    <dataValidation sqref="AE14:AE113" showDropDown="0" showInputMessage="0" showErrorMessage="1" allowBlank="1" type="list">
      <formula1>=SevList</formula1>
    </dataValidation>
    <dataValidation sqref="AF14:AF113" showDropDown="0" showInputMessage="0" showErrorMessage="1" allowBlank="1" type="list">
      <formula1>=LikList</formula1>
    </dataValidation>
    <dataValidation sqref="R14:R113 T14:T113 V14:V113 X14:X113 Z14:Z113 AB14:AB113" showDropDown="0" showInputMessage="1" showErrorMessage="0" allowBlank="1" promptTitle="IPL?" prompt="Is this safeguard an Independent Protection Layer?" type="list">
      <formula1>=IPLList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M113"/>
  <sheetViews>
    <sheetView workbookViewId="0">
      <pane xSplit="4" ySplit="13" topLeftCell="E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4" customWidth="1" min="4" max="4"/>
    <col outlineLevel="1" width="26" customWidth="1" min="5" max="10"/>
    <col width="48" customWidth="1" min="11" max="11"/>
    <col width="42" customWidth="1" min="12" max="12"/>
    <col width="13" customWidth="1" min="13" max="13"/>
    <col width="13" customWidth="1" min="14" max="14"/>
    <col width="7" customWidth="1" min="15" max="15"/>
    <col width="10" customWidth="1" min="16" max="16"/>
    <col outlineLevel="1" width="28" customWidth="1" min="17" max="28"/>
    <col width="48" customWidth="1" min="29" max="29"/>
    <col width="7" customWidth="1" min="30" max="30"/>
    <col width="13" customWidth="1" min="31" max="31"/>
    <col width="13" customWidth="1" min="32" max="32"/>
    <col width="7" customWidth="1" min="33" max="33"/>
    <col width="10" customWidth="1" min="34" max="34"/>
    <col width="36" customWidth="1" min="35" max="35"/>
    <col width="14" customWidth="1" min="36" max="36"/>
  </cols>
  <sheetData>
    <row r="1">
      <c r="A1" s="24" t="inlineStr">
        <is>
          <t>HAZOP WORKSHEET</t>
        </is>
      </c>
      <c r="E1" s="25">
        <f>Cover!B7</f>
        <v/>
      </c>
    </row>
    <row r="3">
      <c r="A3" s="26" t="inlineStr">
        <is>
          <t>Select node ▸</t>
        </is>
      </c>
      <c r="B3" s="8" t="n"/>
      <c r="C3" s="9" t="n"/>
      <c r="D3" s="27" t="inlineStr">
        <is>
          <t>N05 – Melt shop gas supply – DS-3, EAF oxy-fuel burners and ladle preheaters</t>
        </is>
      </c>
      <c r="E3" s="8" t="n"/>
      <c r="F3" s="8" t="n"/>
      <c r="G3" s="8" t="n"/>
      <c r="H3" s="8" t="n"/>
      <c r="I3" s="8" t="n"/>
      <c r="J3" s="8" t="n"/>
      <c r="K3" s="8" t="n"/>
      <c r="L3" s="9" t="n"/>
      <c r="M3" s="26" t="inlineStr">
        <is>
          <t>Session date</t>
        </is>
      </c>
      <c r="N3" s="13" t="n">
        <v>46308</v>
      </c>
      <c r="O3" s="9" t="n"/>
      <c r="P3" s="26" t="inlineStr">
        <is>
          <t>Revision</t>
        </is>
      </c>
      <c r="Q3" s="4" t="inlineStr">
        <is>
          <t>A</t>
        </is>
      </c>
    </row>
    <row r="4" ht="16" customHeight="1">
      <c r="A4" s="10" t="inlineStr">
        <is>
          <t>Node title</t>
        </is>
      </c>
      <c r="B4" s="8" t="n"/>
      <c r="C4" s="9" t="n"/>
      <c r="D4" s="6">
        <f>IF($D$3="","",IFERROR(INDEX(Nodes!$B$5:$B$34,MATCH($D$3,Nodes!$C$5:$C$34,0))&amp;"",""))</f>
        <v/>
      </c>
      <c r="E4" s="8" t="n"/>
      <c r="F4" s="8" t="n"/>
      <c r="G4" s="8" t="n"/>
      <c r="H4" s="8" t="n"/>
      <c r="I4" s="8" t="n"/>
      <c r="J4" s="8" t="n"/>
      <c r="K4" s="8" t="n"/>
      <c r="L4" s="9" t="n"/>
    </row>
    <row r="5" ht="16" customHeight="1">
      <c r="A5" s="10" t="inlineStr">
        <is>
          <t>P&amp;IDs / drawings</t>
        </is>
      </c>
      <c r="B5" s="8" t="n"/>
      <c r="C5" s="9" t="n"/>
      <c r="D5" s="6">
        <f>IF($D$3="","",IFERROR(INDEX(Nodes!$D$5:$D$34,MATCH($D$3,Nodes!$C$5:$C$34,0))&amp;"",""))</f>
        <v/>
      </c>
      <c r="E5" s="8" t="n"/>
      <c r="F5" s="8" t="n"/>
      <c r="G5" s="8" t="n"/>
      <c r="H5" s="8" t="n"/>
      <c r="I5" s="8" t="n"/>
      <c r="J5" s="8" t="n"/>
      <c r="K5" s="8" t="n"/>
      <c r="L5" s="9" t="n"/>
    </row>
    <row r="6" ht="30" customHeight="1">
      <c r="A6" s="10" t="inlineStr">
        <is>
          <t>Battery limits</t>
        </is>
      </c>
      <c r="B6" s="8" t="n"/>
      <c r="C6" s="9" t="n"/>
      <c r="D6" s="6">
        <f>IF($D$3="","",IFERROR(INDEX(Nodes!$E$5:$E$34,MATCH($D$3,Nodes!$C$5:$C$34,0))&amp;"",""))</f>
        <v/>
      </c>
      <c r="E6" s="8" t="n"/>
      <c r="F6" s="8" t="n"/>
      <c r="G6" s="8" t="n"/>
      <c r="H6" s="8" t="n"/>
      <c r="I6" s="8" t="n"/>
      <c r="J6" s="8" t="n"/>
      <c r="K6" s="8" t="n"/>
      <c r="L6" s="9" t="n"/>
    </row>
    <row r="7" ht="30" customHeight="1">
      <c r="A7" s="10" t="inlineStr">
        <is>
          <t>Functional description / design intent</t>
        </is>
      </c>
      <c r="B7" s="8" t="n"/>
      <c r="C7" s="9" t="n"/>
      <c r="D7" s="6">
        <f>IF($D$3="","",IFERROR(INDEX(Nodes!$F$5:$F$34,MATCH($D$3,Nodes!$C$5:$C$34,0))&amp;"",""))</f>
        <v/>
      </c>
      <c r="E7" s="8" t="n"/>
      <c r="F7" s="8" t="n"/>
      <c r="G7" s="8" t="n"/>
      <c r="H7" s="8" t="n"/>
      <c r="I7" s="8" t="n"/>
      <c r="J7" s="8" t="n"/>
      <c r="K7" s="8" t="n"/>
      <c r="L7" s="9" t="n"/>
    </row>
    <row r="8" ht="16" customHeight="1">
      <c r="A8" s="10" t="inlineStr">
        <is>
          <t>Design parameters</t>
        </is>
      </c>
      <c r="B8" s="8" t="n"/>
      <c r="C8" s="9" t="n"/>
      <c r="D8" s="6">
        <f>IF($D$3="","",IFERROR(INDEX(Nodes!$G$5:$G$34,MATCH($D$3,Nodes!$C$5:$C$34,0))&amp;"",""))</f>
        <v/>
      </c>
      <c r="E8" s="8" t="n"/>
      <c r="F8" s="8" t="n"/>
      <c r="G8" s="8" t="n"/>
      <c r="H8" s="8" t="n"/>
      <c r="I8" s="8" t="n"/>
      <c r="J8" s="8" t="n"/>
      <c r="K8" s="8" t="n"/>
      <c r="L8" s="9" t="n"/>
    </row>
    <row r="9" ht="16" customHeight="1">
      <c r="A9" s="10" t="inlineStr">
        <is>
          <t>Operating parameters</t>
        </is>
      </c>
      <c r="B9" s="8" t="n"/>
      <c r="C9" s="9" t="n"/>
      <c r="D9" s="6">
        <f>IF($D$3="","",IFERROR(INDEX(Nodes!$H$5:$H$34,MATCH($D$3,Nodes!$C$5:$C$34,0))&amp;"",""))</f>
        <v/>
      </c>
      <c r="E9" s="8" t="n"/>
      <c r="F9" s="8" t="n"/>
      <c r="G9" s="8" t="n"/>
      <c r="H9" s="8" t="n"/>
      <c r="I9" s="8" t="n"/>
      <c r="J9" s="8" t="n"/>
      <c r="K9" s="8" t="n"/>
      <c r="L9" s="9" t="n"/>
    </row>
    <row r="11">
      <c r="A11" s="2" t="inlineStr">
        <is>
          <t>ONE ROW PER DEVIATION. Choose Parameter + Guideword, then pick up to 6 causes in Cause 1–6 (or type your own) – they are listed line by line in 'Potential causes'. Enter up to 6 safeguards, each marked IPL Yes/No – listed in 'Safeguards'. Use the [–] buttons above the columns to collapse the pick columns.</t>
        </is>
      </c>
    </row>
    <row r="12">
      <c r="A12" s="7" t="inlineStr">
        <is>
          <t>DEVIATION</t>
        </is>
      </c>
      <c r="B12" s="8" t="n"/>
      <c r="C12" s="8" t="n"/>
      <c r="D12" s="9" t="n"/>
      <c r="E12" s="7" t="inlineStr">
        <is>
          <t>CAUSE PICK-LIST</t>
        </is>
      </c>
      <c r="F12" s="8" t="n"/>
      <c r="G12" s="8" t="n"/>
      <c r="H12" s="8" t="n"/>
      <c r="I12" s="8" t="n"/>
      <c r="J12" s="9" t="n"/>
      <c r="K12" s="7" t="inlineStr">
        <is>
          <t>CAUSES &amp; CONSEQUENCES</t>
        </is>
      </c>
      <c r="L12" s="9" t="n"/>
      <c r="M12" s="7" t="inlineStr">
        <is>
          <t>RISK BEFORE SAFEGUARDS</t>
        </is>
      </c>
      <c r="N12" s="8" t="n"/>
      <c r="O12" s="8" t="n"/>
      <c r="P12" s="9" t="n"/>
      <c r="Q12" s="7" t="inlineStr">
        <is>
          <t>SAFEGUARD ENTRY (mark each IPL Yes / No)</t>
        </is>
      </c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9" t="n"/>
      <c r="AC12" s="7" t="inlineStr">
        <is>
          <t>SAFEGUARDS</t>
        </is>
      </c>
      <c r="AD12" s="9" t="n"/>
      <c r="AE12" s="7" t="inlineStr">
        <is>
          <t>RISK AFTER SAFEGUARDS</t>
        </is>
      </c>
      <c r="AF12" s="8" t="n"/>
      <c r="AG12" s="8" t="n"/>
      <c r="AH12" s="9" t="n"/>
      <c r="AI12" s="7" t="inlineStr">
        <is>
          <t>RECOMMENDATIONS</t>
        </is>
      </c>
      <c r="AJ12" s="9" t="n"/>
    </row>
    <row r="13" ht="30" customHeight="1">
      <c r="A13" s="7" t="inlineStr">
        <is>
          <t>Dev. No.</t>
        </is>
      </c>
      <c r="B13" s="7" t="inlineStr">
        <is>
          <t>Parameter</t>
        </is>
      </c>
      <c r="C13" s="7" t="inlineStr">
        <is>
          <t>Guideword</t>
        </is>
      </c>
      <c r="D13" s="7" t="inlineStr">
        <is>
          <t>Deviation</t>
        </is>
      </c>
      <c r="E13" s="29" t="inlineStr">
        <is>
          <t>Cause 1</t>
        </is>
      </c>
      <c r="F13" s="29" t="inlineStr">
        <is>
          <t>Cause 2</t>
        </is>
      </c>
      <c r="G13" s="29" t="inlineStr">
        <is>
          <t>Cause 3</t>
        </is>
      </c>
      <c r="H13" s="29" t="inlineStr">
        <is>
          <t>Cause 4</t>
        </is>
      </c>
      <c r="I13" s="29" t="inlineStr">
        <is>
          <t>Cause 5</t>
        </is>
      </c>
      <c r="J13" s="29" t="inlineStr">
        <is>
          <t>Cause 6</t>
        </is>
      </c>
      <c r="K13" s="7" t="inlineStr">
        <is>
          <t>Potential causes</t>
        </is>
      </c>
      <c r="L13" s="7" t="inlineStr">
        <is>
          <t>Consequences</t>
        </is>
      </c>
      <c r="M13" s="7" t="inlineStr">
        <is>
          <t>Severity (S)</t>
        </is>
      </c>
      <c r="N13" s="7" t="inlineStr">
        <is>
          <t>Likelihood (L)</t>
        </is>
      </c>
      <c r="O13" s="7" t="inlineStr">
        <is>
          <t>Risk score</t>
        </is>
      </c>
      <c r="P13" s="7" t="inlineStr">
        <is>
          <t>Risk rank</t>
        </is>
      </c>
      <c r="Q13" s="29" t="inlineStr">
        <is>
          <t>Safeguard 1</t>
        </is>
      </c>
      <c r="R13" s="29" t="inlineStr">
        <is>
          <t>IPL? 1</t>
        </is>
      </c>
      <c r="S13" s="29" t="inlineStr">
        <is>
          <t>Safeguard 2</t>
        </is>
      </c>
      <c r="T13" s="29" t="inlineStr">
        <is>
          <t>IPL? 2</t>
        </is>
      </c>
      <c r="U13" s="29" t="inlineStr">
        <is>
          <t>Safeguard 3</t>
        </is>
      </c>
      <c r="V13" s="29" t="inlineStr">
        <is>
          <t>IPL? 3</t>
        </is>
      </c>
      <c r="W13" s="29" t="inlineStr">
        <is>
          <t>Safeguard 4</t>
        </is>
      </c>
      <c r="X13" s="29" t="inlineStr">
        <is>
          <t>IPL? 4</t>
        </is>
      </c>
      <c r="Y13" s="29" t="inlineStr">
        <is>
          <t>Safeguard 5</t>
        </is>
      </c>
      <c r="Z13" s="29" t="inlineStr">
        <is>
          <t>IPL? 5</t>
        </is>
      </c>
      <c r="AA13" s="29" t="inlineStr">
        <is>
          <t>Safeguard 6</t>
        </is>
      </c>
      <c r="AB13" s="29" t="inlineStr">
        <is>
          <t>IPL? 6</t>
        </is>
      </c>
      <c r="AC13" s="7" t="inlineStr">
        <is>
          <t>Safeguards</t>
        </is>
      </c>
      <c r="AD13" s="7" t="inlineStr">
        <is>
          <t>No. of IPLs</t>
        </is>
      </c>
      <c r="AE13" s="7" t="inlineStr">
        <is>
          <t>Severity (S)</t>
        </is>
      </c>
      <c r="AF13" s="7" t="inlineStr">
        <is>
          <t>Likelihood (L)</t>
        </is>
      </c>
      <c r="AG13" s="7" t="inlineStr">
        <is>
          <t>Risk score</t>
        </is>
      </c>
      <c r="AH13" s="7" t="inlineStr">
        <is>
          <t>Risk rank</t>
        </is>
      </c>
      <c r="AI13" s="7" t="inlineStr">
        <is>
          <t>Recommendations / actions</t>
        </is>
      </c>
      <c r="AJ13" s="7" t="inlineStr">
        <is>
          <t>Action by</t>
        </is>
      </c>
    </row>
    <row r="14" ht="90" customHeight="1">
      <c r="A14" s="30">
        <f>IF(B14="","",COUNTIF(B$14:B14,"?*"))</f>
        <v/>
      </c>
      <c r="B14" s="4" t="inlineStr">
        <is>
          <t>Oxygen (lances, burners, pipelines)</t>
        </is>
      </c>
      <c r="C14" s="19" t="inlineStr">
        <is>
          <t>AS WELL AS</t>
        </is>
      </c>
      <c r="D14" s="5">
        <f>IF(OR(B14="",C14=""),"",UPPER(LEFT(C14,1))&amp;LOWER(MID(C14,2,30))&amp;" "&amp;LOWER(LEFT(B14,1))&amp;MID(B14,2,200))</f>
        <v/>
      </c>
      <c r="E14" s="4" t="inlineStr">
        <is>
          <t>Burner flame-out with continued fuel supply</t>
        </is>
      </c>
      <c r="F14" s="4" t="inlineStr">
        <is>
          <t>O2 back-flow through the burner when NG pressure is lost</t>
        </is>
      </c>
      <c r="G14" s="4" t="inlineStr">
        <is>
          <t>Defective or passing non-return valve</t>
        </is>
      </c>
      <c r="H14" s="4" t="n"/>
      <c r="I14" s="4" t="n"/>
      <c r="J14" s="4" t="n"/>
      <c r="K14" s="5">
        <f>_xlfn.TEXTJOIN(CHAR(10),TRUE,IF(E14="","","• "&amp;E14),IF(F14="","","• "&amp;F14),IF(G14="","","• "&amp;G14),IF(H14="","","• "&amp;H14),IF(I14="","","• "&amp;I14),IF(J14="","","• "&amp;J14))</f>
        <v/>
      </c>
      <c r="L14" s="4" t="inlineStr">
        <is>
          <t>Explosive NG / O2 mixture inside the NG line – flashback, detonation in the burner line, fire in the melt shop next to the EAF
[N05-01] FMECA S05 NRV-3010 (hidden failure).</t>
        </is>
      </c>
      <c r="M14" s="19" t="inlineStr">
        <is>
          <t>5 – Catastrophic</t>
        </is>
      </c>
      <c r="N14" s="19" t="inlineStr">
        <is>
          <t>3 – Possible</t>
        </is>
      </c>
      <c r="O14" s="30">
        <f>IF(OR(M14="",N14=""),"",INDEX(RiskGrid,6-VALUE(LEFT(M14,1)),VALUE(LEFT(N14,1))))</f>
        <v/>
      </c>
      <c r="P14" s="30">
        <f>IF(O14="","",IF(O14&gt;=BandVH,"Very High",IF(O14&gt;=BandHigh,"High",IF(O14&gt;=BandMed,"Medium","Low"))))</f>
        <v/>
      </c>
      <c r="Q14" s="4" t="inlineStr">
        <is>
          <t>NRV-3010 – Non-return valves and flashback arrestors on the NG and O2 lines at each oxy-fuel burner and preheater</t>
        </is>
      </c>
      <c r="R14" s="19" t="inlineStr">
        <is>
          <t>Yes</t>
        </is>
      </c>
      <c r="S14" s="4" t="inlineStr">
        <is>
          <t>XV-3011 – Burner management: O2 and NG shut off on low NG pressure PSLL-3012; N2 purge of burner after shutdown</t>
        </is>
      </c>
      <c r="T14" s="19" t="inlineStr">
        <is>
          <t>Yes</t>
        </is>
      </c>
      <c r="U14" s="4" t="n"/>
      <c r="V14" s="19" t="n"/>
      <c r="W14" s="4" t="n"/>
      <c r="X14" s="19" t="n"/>
      <c r="Y14" s="4" t="n"/>
      <c r="Z14" s="19" t="n"/>
      <c r="AA14" s="4" t="n"/>
      <c r="AB14" s="19" t="n"/>
      <c r="AC14" s="5">
        <f>_xlfn.TEXTJOIN(CHAR(10),TRUE,IF(Q14="","","• "&amp;Q14&amp;IF(R14="Yes","  [IPL]","")),IF(S14="","","• "&amp;S14&amp;IF(T14="Yes","  [IPL]","")),IF(U14="","","• "&amp;U14&amp;IF(V14="Yes","  [IPL]","")),IF(W14="","","• "&amp;W14&amp;IF(X14="Yes","  [IPL]","")),IF(Y14="","","• "&amp;Y14&amp;IF(Z14="Yes","  [IPL]","")),IF(AA14="","","• "&amp;AA14&amp;IF(AB14="Yes","  [IPL]","")))</f>
        <v/>
      </c>
      <c r="AD14" s="30">
        <f>IF(AC14="","",COUNTIF(Q14:AB14,"Yes"))</f>
        <v/>
      </c>
      <c r="AE14" s="19" t="inlineStr">
        <is>
          <t>5 – Catastrophic</t>
        </is>
      </c>
      <c r="AF14" s="19" t="inlineStr">
        <is>
          <t>1 – Rare</t>
        </is>
      </c>
      <c r="AG14" s="30">
        <f>IF(OR(AE14="",AF14=""),"",INDEX(RiskGrid,6-VALUE(LEFT(AE14,1)),VALUE(LEFT(AF14,1))))</f>
        <v/>
      </c>
      <c r="AH14" s="30">
        <f>IF(AG14="","",IF(AG14&gt;=BandVH,"Very High",IF(AG14&gt;=BandHigh,"High",IF(AG14&gt;=BandMed,"Medium","Low"))))</f>
        <v/>
      </c>
      <c r="AI14" s="4" t="inlineStr">
        <is>
          <t>R-013 Fit / verify non-return valves and flashback arrestors on the NG and O2 lines at every EAF oxy-fuel burner and ladle preheater; prove the 'low NG pressure closes O2' interlock annually.</t>
        </is>
      </c>
      <c r="AJ14" s="4" t="inlineStr">
        <is>
          <t>Melt shop maintenance</t>
        </is>
      </c>
    </row>
    <row r="15" ht="90" customHeight="1">
      <c r="A15" s="30">
        <f>IF(B15="","",COUNTIF(B$14:B15,"?*"))</f>
        <v/>
      </c>
      <c r="B15" s="4" t="inlineStr">
        <is>
          <t>Process gas (CO, H2 – BFG, COG, LD gas, reducing gas)</t>
        </is>
      </c>
      <c r="C15" s="19" t="inlineStr">
        <is>
          <t>LEAK OF</t>
        </is>
      </c>
      <c r="D15" s="5">
        <f>IF(OR(B15="",C15=""),"",UPPER(LEFT(C15,1))&amp;LOWER(MID(C15,2,30))&amp;" "&amp;LOWER(LEFT(B15,1))&amp;MID(B15,2,200))</f>
        <v/>
      </c>
      <c r="E15" s="4" t="inlineStr">
        <is>
          <t>Flange, valve or seal leak; water-seal blown</t>
        </is>
      </c>
      <c r="F15" s="4" t="inlineStr">
        <is>
          <t>Molten-metal splash / radiant heat damaging NG hoses near the EAF</t>
        </is>
      </c>
      <c r="G15" s="4" t="inlineStr">
        <is>
          <t>Confined spaces near gas mains</t>
        </is>
      </c>
      <c r="H15" s="4" t="n"/>
      <c r="I15" s="4" t="n"/>
      <c r="J15" s="4" t="n"/>
      <c r="K15" s="5">
        <f>_xlfn.TEXTJOIN(CHAR(10),TRUE,IF(E15="","","• "&amp;E15),IF(F15="","","• "&amp;F15),IF(G15="","","• "&amp;G15),IF(H15="","","• "&amp;H15),IF(I15="","","• "&amp;I15),IF(J15="","","• "&amp;J15))</f>
        <v/>
      </c>
      <c r="L15" s="4" t="inlineStr">
        <is>
          <t>Immediate ignition near molten metal – fire on the burner skid; gas in basements / cable tunnels – explosion
[N05-02]</t>
        </is>
      </c>
      <c r="M15" s="19" t="inlineStr">
        <is>
          <t>4 – Major</t>
        </is>
      </c>
      <c r="N15" s="19" t="inlineStr">
        <is>
          <t>3 – Possible</t>
        </is>
      </c>
      <c r="O15" s="30">
        <f>IF(OR(M15="",N15=""),"",INDEX(RiskGrid,6-VALUE(LEFT(M15,1)),VALUE(LEFT(N15,1))))</f>
        <v/>
      </c>
      <c r="P15" s="30">
        <f>IF(O15="","",IF(O15&gt;=BandVH,"Very High",IF(O15&gt;=BandHigh,"High",IF(O15&gt;=BandMed,"Medium","Low"))))</f>
        <v/>
      </c>
      <c r="Q15" s="4" t="inlineStr">
        <is>
          <t>Heat shields and routing of NG lines away from molten-metal splash zones; hose inspection</t>
        </is>
      </c>
      <c r="R15" s="19" t="inlineStr">
        <is>
          <t>No</t>
        </is>
      </c>
      <c r="S15" s="4" t="inlineStr">
        <is>
          <t>XV-3011 – Burner management: O2 and NG shut off on low NG pressure PSLL-3012; N2 purge of burner after shutdown</t>
        </is>
      </c>
      <c r="T15" s="19" t="inlineStr">
        <is>
          <t>Yes</t>
        </is>
      </c>
      <c r="U15" s="4" t="inlineStr">
        <is>
          <t>Operator rounds with portable gas detector; annual acoustic leak survey</t>
        </is>
      </c>
      <c r="V15" s="19" t="inlineStr">
        <is>
          <t>No</t>
        </is>
      </c>
      <c r="W15" s="4" t="n"/>
      <c r="X15" s="19" t="n"/>
      <c r="Y15" s="4" t="n"/>
      <c r="Z15" s="19" t="n"/>
      <c r="AA15" s="4" t="n"/>
      <c r="AB15" s="19" t="n"/>
      <c r="AC15" s="5">
        <f>_xlfn.TEXTJOIN(CHAR(10),TRUE,IF(Q15="","","• "&amp;Q15&amp;IF(R15="Yes","  [IPL]","")),IF(S15="","","• "&amp;S15&amp;IF(T15="Yes","  [IPL]","")),IF(U15="","","• "&amp;U15&amp;IF(V15="Yes","  [IPL]","")),IF(W15="","","• "&amp;W15&amp;IF(X15="Yes","  [IPL]","")),IF(Y15="","","• "&amp;Y15&amp;IF(Z15="Yes","  [IPL]","")),IF(AA15="","","• "&amp;AA15&amp;IF(AB15="Yes","  [IPL]","")))</f>
        <v/>
      </c>
      <c r="AD15" s="30">
        <f>IF(AC15="","",COUNTIF(Q15:AB15,"Yes"))</f>
        <v/>
      </c>
      <c r="AE15" s="19" t="inlineStr">
        <is>
          <t>4 – Major</t>
        </is>
      </c>
      <c r="AF15" s="19" t="inlineStr">
        <is>
          <t>2 – Unlikely</t>
        </is>
      </c>
      <c r="AG15" s="30">
        <f>IF(OR(AE15="",AF15=""),"",INDEX(RiskGrid,6-VALUE(LEFT(AE15,1)),VALUE(LEFT(AF15,1))))</f>
        <v/>
      </c>
      <c r="AH15" s="30">
        <f>IF(AG15="","",IF(AG15&gt;=BandVH,"Very High",IF(AG15&gt;=BandHigh,"High",IF(AG15&gt;=BandMed,"Medium","Low"))))</f>
        <v/>
      </c>
      <c r="AI15" s="4" t="inlineStr">
        <is>
          <t>R-007 Install gas detection at the HVAC intakes and cable-trench entries of buildings near the MP header (substations, control rooms) with HVAC trip.
R-019 Heat-shield and re-route NG lines and hoses near the EAF and ladle area; six-monthly hose inspection and replacement on condition.</t>
        </is>
      </c>
      <c r="AJ15" s="4" t="inlineStr">
        <is>
          <t>HSE / process safety / Melt shop maintenance</t>
        </is>
      </c>
    </row>
    <row r="16" ht="90" customHeight="1">
      <c r="A16" s="30">
        <f>IF(B16="","",COUNTIF(B$14:B16,"?*"))</f>
        <v/>
      </c>
      <c r="B16" s="4" t="inlineStr">
        <is>
          <t>Pressure</t>
        </is>
      </c>
      <c r="C16" s="19" t="inlineStr">
        <is>
          <t>LESS</t>
        </is>
      </c>
      <c r="D16" s="5">
        <f>IF(OR(B16="",C16=""),"",UPPER(LEFT(C16,1))&amp;LOWER(MID(C16,2,30))&amp;" "&amp;LOWER(LEFT(B16,1))&amp;MID(B16,2,200))</f>
        <v/>
      </c>
      <c r="E16" s="4" t="inlineStr">
        <is>
          <t>[S] Low fuel-gas pressure at burners (flame-out followed by re-ignition of accumulated gas)</t>
        </is>
      </c>
      <c r="F16" s="4" t="inlineStr">
        <is>
          <t>DS-3 regulator / SSV-3003 trip</t>
        </is>
      </c>
      <c r="G16" s="4" t="n"/>
      <c r="H16" s="4" t="n"/>
      <c r="I16" s="4" t="n"/>
      <c r="J16" s="4" t="n"/>
      <c r="K16" s="5">
        <f>_xlfn.TEXTJOIN(CHAR(10),TRUE,IF(E16="","","• "&amp;E16),IF(F16="","","• "&amp;F16),IF(G16="","","• "&amp;G16),IF(H16="","","• "&amp;H16),IF(I16="","","• "&amp;I16),IF(J16="","","• "&amp;J16))</f>
        <v/>
      </c>
      <c r="L16" s="4" t="inlineStr">
        <is>
          <t>Flame-out at the preheater; gas accumulates in the ladle / tundish – explosion on relight
[N05-03] Same mechanism as N06-01 (smaller inventory).</t>
        </is>
      </c>
      <c r="M16" s="19" t="inlineStr">
        <is>
          <t>4 – Major</t>
        </is>
      </c>
      <c r="N16" s="19" t="inlineStr">
        <is>
          <t>3 – Possible</t>
        </is>
      </c>
      <c r="O16" s="30">
        <f>IF(OR(M16="",N16=""),"",INDEX(RiskGrid,6-VALUE(LEFT(M16,1)),VALUE(LEFT(N16,1))))</f>
        <v/>
      </c>
      <c r="P16" s="30">
        <f>IF(O16="","",IF(O16&gt;=BandVH,"Very High",IF(O16&gt;=BandHigh,"High",IF(O16&gt;=BandMed,"Medium","Low"))))</f>
        <v/>
      </c>
      <c r="Q16" s="4" t="inlineStr">
        <is>
          <t>LPH-3020 – Ladle preheater burner management – UV flame scanner, flame-failure shut-off, pre-purge timer</t>
        </is>
      </c>
      <c r="R16" s="19" t="inlineStr">
        <is>
          <t>Yes</t>
        </is>
      </c>
      <c r="S16" s="4" t="n"/>
      <c r="T16" s="19" t="n"/>
      <c r="U16" s="4" t="n"/>
      <c r="V16" s="19" t="n"/>
      <c r="W16" s="4" t="n"/>
      <c r="X16" s="19" t="n"/>
      <c r="Y16" s="4" t="n"/>
      <c r="Z16" s="19" t="n"/>
      <c r="AA16" s="4" t="n"/>
      <c r="AB16" s="19" t="n"/>
      <c r="AC16" s="5">
        <f>_xlfn.TEXTJOIN(CHAR(10),TRUE,IF(Q16="","","• "&amp;Q16&amp;IF(R16="Yes","  [IPL]","")),IF(S16="","","• "&amp;S16&amp;IF(T16="Yes","  [IPL]","")),IF(U16="","","• "&amp;U16&amp;IF(V16="Yes","  [IPL]","")),IF(W16="","","• "&amp;W16&amp;IF(X16="Yes","  [IPL]","")),IF(Y16="","","• "&amp;Y16&amp;IF(Z16="Yes","  [IPL]","")),IF(AA16="","","• "&amp;AA16&amp;IF(AB16="Yes","  [IPL]","")))</f>
        <v/>
      </c>
      <c r="AD16" s="30">
        <f>IF(AC16="","",COUNTIF(Q16:AB16,"Yes"))</f>
        <v/>
      </c>
      <c r="AE16" s="19" t="inlineStr">
        <is>
          <t>4 – Major</t>
        </is>
      </c>
      <c r="AF16" s="19" t="inlineStr">
        <is>
          <t>2 – Unlikely</t>
        </is>
      </c>
      <c r="AG16" s="30">
        <f>IF(OR(AE16="",AF16=""),"",INDEX(RiskGrid,6-VALUE(LEFT(AE16,1)),VALUE(LEFT(AF16,1))))</f>
        <v/>
      </c>
      <c r="AH16" s="30">
        <f>IF(AG16="","",IF(AG16&gt;=BandVH,"Very High",IF(AG16&gt;=BandHigh,"High",IF(AG16&gt;=BandMed,"Medium","Low"))))</f>
        <v/>
      </c>
      <c r="AI16" s="4" t="inlineStr">
        <is>
          <t>R-012 Bypass / override management for BMS, SIS and gas detectors: authorisation, time limit, logging and monthly audit; BMS logic changes only under MOC.</t>
        </is>
      </c>
      <c r="AJ16" s="4" t="inlineStr">
        <is>
          <t>HSE / process safety</t>
        </is>
      </c>
    </row>
    <row r="17" ht="90" customHeight="1">
      <c r="A17" s="30">
        <f>IF(B17="","",COUNTIF(B$14:B17,"?*"))</f>
        <v/>
      </c>
      <c r="B17" s="4" t="inlineStr">
        <is>
          <t>Operator action</t>
        </is>
      </c>
      <c r="C17" s="19" t="inlineStr">
        <is>
          <t>OTHER THAN</t>
        </is>
      </c>
      <c r="D17" s="5">
        <f>IF(OR(B17="",C17=""),"",UPPER(LEFT(C17,1))&amp;LOWER(MID(C17,2,30))&amp;" "&amp;LOWER(LEFT(B17,1))&amp;MID(B17,2,200))</f>
        <v/>
      </c>
      <c r="E17" s="4" t="inlineStr">
        <is>
          <t>Auto / manual facility and human error</t>
        </is>
      </c>
      <c r="F17" s="4" t="inlineStr">
        <is>
          <t>Alarm flooding; bypassed trips</t>
        </is>
      </c>
      <c r="G17" s="4" t="n"/>
      <c r="H17" s="4" t="n"/>
      <c r="I17" s="4" t="n"/>
      <c r="J17" s="4" t="n"/>
      <c r="K17" s="5">
        <f>_xlfn.TEXTJOIN(CHAR(10),TRUE,IF(E17="","","• "&amp;E17),IF(F17="","","• "&amp;F17),IF(G17="","","• "&amp;G17),IF(H17="","","• "&amp;H17),IF(I17="","","• "&amp;I17),IF(J17="","","• "&amp;J17))</f>
        <v/>
      </c>
      <c r="L17" s="4" t="inlineStr">
        <is>
          <t>Gas accumulation and explosion in the ladle; burns to the operator
[N05-04] PHBMS not credited as an IPL here because the cause is its bypass.</t>
        </is>
      </c>
      <c r="M17" s="19" t="inlineStr">
        <is>
          <t>4 – Major</t>
        </is>
      </c>
      <c r="N17" s="19" t="inlineStr">
        <is>
          <t>3 – Possible</t>
        </is>
      </c>
      <c r="O17" s="30">
        <f>IF(OR(M17="",N17=""),"",INDEX(RiskGrid,6-VALUE(LEFT(M17,1)),VALUE(LEFT(N17,1))))</f>
        <v/>
      </c>
      <c r="P17" s="30">
        <f>IF(O17="","",IF(O17&gt;=BandVH,"Very High",IF(O17&gt;=BandHigh,"High",IF(O17&gt;=BandMed,"Medium","Low"))))</f>
        <v/>
      </c>
      <c r="Q17" s="4" t="inlineStr">
        <is>
          <t>LPH-3020 – Ladle preheater burner management – UV flame scanner, flame-failure shut-off, pre-purge timer</t>
        </is>
      </c>
      <c r="R17" s="19" t="inlineStr">
        <is>
          <t>No</t>
        </is>
      </c>
      <c r="S17" s="4" t="inlineStr">
        <is>
          <t>Bypass / override management – authorised, time-limited, logged; monthly audit</t>
        </is>
      </c>
      <c r="T17" s="19" t="inlineStr">
        <is>
          <t>No</t>
        </is>
      </c>
      <c r="U17" s="4" t="n"/>
      <c r="V17" s="19" t="n"/>
      <c r="W17" s="4" t="n"/>
      <c r="X17" s="19" t="n"/>
      <c r="Y17" s="4" t="n"/>
      <c r="Z17" s="19" t="n"/>
      <c r="AA17" s="4" t="n"/>
      <c r="AB17" s="19" t="n"/>
      <c r="AC17" s="5">
        <f>_xlfn.TEXTJOIN(CHAR(10),TRUE,IF(Q17="","","• "&amp;Q17&amp;IF(R17="Yes","  [IPL]","")),IF(S17="","","• "&amp;S17&amp;IF(T17="Yes","  [IPL]","")),IF(U17="","","• "&amp;U17&amp;IF(V17="Yes","  [IPL]","")),IF(W17="","","• "&amp;W17&amp;IF(X17="Yes","  [IPL]","")),IF(Y17="","","• "&amp;Y17&amp;IF(Z17="Yes","  [IPL]","")),IF(AA17="","","• "&amp;AA17&amp;IF(AB17="Yes","  [IPL]","")))</f>
        <v/>
      </c>
      <c r="AD17" s="30">
        <f>IF(AC17="","",COUNTIF(Q17:AB17,"Yes"))</f>
        <v/>
      </c>
      <c r="AE17" s="19" t="inlineStr">
        <is>
          <t>4 – Major</t>
        </is>
      </c>
      <c r="AF17" s="19" t="inlineStr">
        <is>
          <t>2 – Unlikely</t>
        </is>
      </c>
      <c r="AG17" s="30">
        <f>IF(OR(AE17="",AF17=""),"",INDEX(RiskGrid,6-VALUE(LEFT(AE17,1)),VALUE(LEFT(AF17,1))))</f>
        <v/>
      </c>
      <c r="AH17" s="30">
        <f>IF(AG17="","",IF(AG17&gt;=BandVH,"Very High",IF(AG17&gt;=BandHigh,"High",IF(AG17&gt;=BandMed,"Medium","Low"))))</f>
        <v/>
      </c>
      <c r="AI17" s="4" t="inlineStr">
        <is>
          <t>R-012 Bypass / override management for BMS, SIS and gas detectors: authorisation, time limit, logging and monthly audit; BMS logic changes only under MOC.</t>
        </is>
      </c>
      <c r="AJ17" s="4" t="inlineStr">
        <is>
          <t>HSE / process safety</t>
        </is>
      </c>
    </row>
    <row r="18">
      <c r="A18" s="30">
        <f>IF(B18="","",COUNTIF(B$14:B18,"?*"))</f>
        <v/>
      </c>
      <c r="B18" s="4" t="n"/>
      <c r="C18" s="19" t="n"/>
      <c r="D18" s="5">
        <f>IF(OR(B18="",C18=""),"",UPPER(LEFT(C18,1))&amp;LOWER(MID(C18,2,30))&amp;" "&amp;LOWER(LEFT(B18,1))&amp;MID(B18,2,200))</f>
        <v/>
      </c>
      <c r="E18" s="4" t="n"/>
      <c r="F18" s="4" t="n"/>
      <c r="G18" s="4" t="n"/>
      <c r="H18" s="4" t="n"/>
      <c r="I18" s="4" t="n"/>
      <c r="J18" s="4" t="n"/>
      <c r="K18" s="5">
        <f>_xlfn.TEXTJOIN(CHAR(10),TRUE,IF(E18="","","• "&amp;E18),IF(F18="","","• "&amp;F18),IF(G18="","","• "&amp;G18),IF(H18="","","• "&amp;H18),IF(I18="","","• "&amp;I18),IF(J18="","","• "&amp;J18))</f>
        <v/>
      </c>
      <c r="L18" s="4" t="n"/>
      <c r="M18" s="19" t="n"/>
      <c r="N18" s="19" t="n"/>
      <c r="O18" s="30">
        <f>IF(OR(M18="",N18=""),"",INDEX(RiskGrid,6-VALUE(LEFT(M18,1)),VALUE(LEFT(N18,1))))</f>
        <v/>
      </c>
      <c r="P18" s="30">
        <f>IF(O18="","",IF(O18&gt;=BandVH,"Very High",IF(O18&gt;=BandHigh,"High",IF(O18&gt;=BandMed,"Medium","Low"))))</f>
        <v/>
      </c>
      <c r="Q18" s="4" t="n"/>
      <c r="R18" s="19" t="n"/>
      <c r="S18" s="4" t="n"/>
      <c r="T18" s="19" t="n"/>
      <c r="U18" s="4" t="n"/>
      <c r="V18" s="19" t="n"/>
      <c r="W18" s="4" t="n"/>
      <c r="X18" s="19" t="n"/>
      <c r="Y18" s="4" t="n"/>
      <c r="Z18" s="19" t="n"/>
      <c r="AA18" s="4" t="n"/>
      <c r="AB18" s="19" t="n"/>
      <c r="AC18" s="5">
        <f>_xlfn.TEXTJOIN(CHAR(10),TRUE,IF(Q18="","","• "&amp;Q18&amp;IF(R18="Yes","  [IPL]","")),IF(S18="","","• "&amp;S18&amp;IF(T18="Yes","  [IPL]","")),IF(U18="","","• "&amp;U18&amp;IF(V18="Yes","  [IPL]","")),IF(W18="","","• "&amp;W18&amp;IF(X18="Yes","  [IPL]","")),IF(Y18="","","• "&amp;Y18&amp;IF(Z18="Yes","  [IPL]","")),IF(AA18="","","• "&amp;AA18&amp;IF(AB18="Yes","  [IPL]","")))</f>
        <v/>
      </c>
      <c r="AD18" s="30">
        <f>IF(AC18="","",COUNTIF(Q18:AB18,"Yes"))</f>
        <v/>
      </c>
      <c r="AE18" s="19" t="n"/>
      <c r="AF18" s="19" t="n"/>
      <c r="AG18" s="30">
        <f>IF(OR(AE18="",AF18=""),"",INDEX(RiskGrid,6-VALUE(LEFT(AE18,1)),VALUE(LEFT(AF18,1))))</f>
        <v/>
      </c>
      <c r="AH18" s="30">
        <f>IF(AG18="","",IF(AG18&gt;=BandVH,"Very High",IF(AG18&gt;=BandHigh,"High",IF(AG18&gt;=BandMed,"Medium","Low"))))</f>
        <v/>
      </c>
      <c r="AI18" s="4" t="n"/>
      <c r="AJ18" s="4" t="n"/>
    </row>
    <row r="19">
      <c r="A19" s="30">
        <f>IF(B19="","",COUNTIF(B$14:B19,"?*"))</f>
        <v/>
      </c>
      <c r="B19" s="4" t="n"/>
      <c r="C19" s="19" t="n"/>
      <c r="D19" s="5">
        <f>IF(OR(B19="",C19=""),"",UPPER(LEFT(C19,1))&amp;LOWER(MID(C19,2,30))&amp;" "&amp;LOWER(LEFT(B19,1))&amp;MID(B19,2,200))</f>
        <v/>
      </c>
      <c r="E19" s="4" t="n"/>
      <c r="F19" s="4" t="n"/>
      <c r="G19" s="4" t="n"/>
      <c r="H19" s="4" t="n"/>
      <c r="I19" s="4" t="n"/>
      <c r="J19" s="4" t="n"/>
      <c r="K19" s="5">
        <f>_xlfn.TEXTJOIN(CHAR(10),TRUE,IF(E19="","","• "&amp;E19),IF(F19="","","• "&amp;F19),IF(G19="","","• "&amp;G19),IF(H19="","","• "&amp;H19),IF(I19="","","• "&amp;I19),IF(J19="","","• "&amp;J19))</f>
        <v/>
      </c>
      <c r="L19" s="4" t="n"/>
      <c r="M19" s="19" t="n"/>
      <c r="N19" s="19" t="n"/>
      <c r="O19" s="30">
        <f>IF(OR(M19="",N19=""),"",INDEX(RiskGrid,6-VALUE(LEFT(M19,1)),VALUE(LEFT(N19,1))))</f>
        <v/>
      </c>
      <c r="P19" s="30">
        <f>IF(O19="","",IF(O19&gt;=BandVH,"Very High",IF(O19&gt;=BandHigh,"High",IF(O19&gt;=BandMed,"Medium","Low"))))</f>
        <v/>
      </c>
      <c r="Q19" s="4" t="n"/>
      <c r="R19" s="19" t="n"/>
      <c r="S19" s="4" t="n"/>
      <c r="T19" s="19" t="n"/>
      <c r="U19" s="4" t="n"/>
      <c r="V19" s="19" t="n"/>
      <c r="W19" s="4" t="n"/>
      <c r="X19" s="19" t="n"/>
      <c r="Y19" s="4" t="n"/>
      <c r="Z19" s="19" t="n"/>
      <c r="AA19" s="4" t="n"/>
      <c r="AB19" s="19" t="n"/>
      <c r="AC19" s="5">
        <f>_xlfn.TEXTJOIN(CHAR(10),TRUE,IF(Q19="","","• "&amp;Q19&amp;IF(R19="Yes","  [IPL]","")),IF(S19="","","• "&amp;S19&amp;IF(T19="Yes","  [IPL]","")),IF(U19="","","• "&amp;U19&amp;IF(V19="Yes","  [IPL]","")),IF(W19="","","• "&amp;W19&amp;IF(X19="Yes","  [IPL]","")),IF(Y19="","","• "&amp;Y19&amp;IF(Z19="Yes","  [IPL]","")),IF(AA19="","","• "&amp;AA19&amp;IF(AB19="Yes","  [IPL]","")))</f>
        <v/>
      </c>
      <c r="AD19" s="30">
        <f>IF(AC19="","",COUNTIF(Q19:AB19,"Yes"))</f>
        <v/>
      </c>
      <c r="AE19" s="19" t="n"/>
      <c r="AF19" s="19" t="n"/>
      <c r="AG19" s="30">
        <f>IF(OR(AE19="",AF19=""),"",INDEX(RiskGrid,6-VALUE(LEFT(AE19,1)),VALUE(LEFT(AF19,1))))</f>
        <v/>
      </c>
      <c r="AH19" s="30">
        <f>IF(AG19="","",IF(AG19&gt;=BandVH,"Very High",IF(AG19&gt;=BandHigh,"High",IF(AG19&gt;=BandMed,"Medium","Low"))))</f>
        <v/>
      </c>
      <c r="AI19" s="4" t="n"/>
      <c r="AJ19" s="4" t="n"/>
    </row>
    <row r="20">
      <c r="A20" s="30">
        <f>IF(B20="","",COUNTIF(B$14:B20,"?*"))</f>
        <v/>
      </c>
      <c r="B20" s="4" t="n"/>
      <c r="C20" s="19" t="n"/>
      <c r="D20" s="5">
        <f>IF(OR(B20="",C20=""),"",UPPER(LEFT(C20,1))&amp;LOWER(MID(C20,2,30))&amp;" "&amp;LOWER(LEFT(B20,1))&amp;MID(B20,2,200))</f>
        <v/>
      </c>
      <c r="E20" s="4" t="n"/>
      <c r="F20" s="4" t="n"/>
      <c r="G20" s="4" t="n"/>
      <c r="H20" s="4" t="n"/>
      <c r="I20" s="4" t="n"/>
      <c r="J20" s="4" t="n"/>
      <c r="K20" s="5">
        <f>_xlfn.TEXTJOIN(CHAR(10),TRUE,IF(E20="","","• "&amp;E20),IF(F20="","","• "&amp;F20),IF(G20="","","• "&amp;G20),IF(H20="","","• "&amp;H20),IF(I20="","","• "&amp;I20),IF(J20="","","• "&amp;J20))</f>
        <v/>
      </c>
      <c r="L20" s="4" t="n"/>
      <c r="M20" s="19" t="n"/>
      <c r="N20" s="19" t="n"/>
      <c r="O20" s="30">
        <f>IF(OR(M20="",N20=""),"",INDEX(RiskGrid,6-VALUE(LEFT(M20,1)),VALUE(LEFT(N20,1))))</f>
        <v/>
      </c>
      <c r="P20" s="30">
        <f>IF(O20="","",IF(O20&gt;=BandVH,"Very High",IF(O20&gt;=BandHigh,"High",IF(O20&gt;=BandMed,"Medium","Low"))))</f>
        <v/>
      </c>
      <c r="Q20" s="4" t="n"/>
      <c r="R20" s="19" t="n"/>
      <c r="S20" s="4" t="n"/>
      <c r="T20" s="19" t="n"/>
      <c r="U20" s="4" t="n"/>
      <c r="V20" s="19" t="n"/>
      <c r="W20" s="4" t="n"/>
      <c r="X20" s="19" t="n"/>
      <c r="Y20" s="4" t="n"/>
      <c r="Z20" s="19" t="n"/>
      <c r="AA20" s="4" t="n"/>
      <c r="AB20" s="19" t="n"/>
      <c r="AC20" s="5">
        <f>_xlfn.TEXTJOIN(CHAR(10),TRUE,IF(Q20="","","• "&amp;Q20&amp;IF(R20="Yes","  [IPL]","")),IF(S20="","","• "&amp;S20&amp;IF(T20="Yes","  [IPL]","")),IF(U20="","","• "&amp;U20&amp;IF(V20="Yes","  [IPL]","")),IF(W20="","","• "&amp;W20&amp;IF(X20="Yes","  [IPL]","")),IF(Y20="","","• "&amp;Y20&amp;IF(Z20="Yes","  [IPL]","")),IF(AA20="","","• "&amp;AA20&amp;IF(AB20="Yes","  [IPL]","")))</f>
        <v/>
      </c>
      <c r="AD20" s="30">
        <f>IF(AC20="","",COUNTIF(Q20:AB20,"Yes"))</f>
        <v/>
      </c>
      <c r="AE20" s="19" t="n"/>
      <c r="AF20" s="19" t="n"/>
      <c r="AG20" s="30">
        <f>IF(OR(AE20="",AF20=""),"",INDEX(RiskGrid,6-VALUE(LEFT(AE20,1)),VALUE(LEFT(AF20,1))))</f>
        <v/>
      </c>
      <c r="AH20" s="30">
        <f>IF(AG20="","",IF(AG20&gt;=BandVH,"Very High",IF(AG20&gt;=BandHigh,"High",IF(AG20&gt;=BandMed,"Medium","Low"))))</f>
        <v/>
      </c>
      <c r="AI20" s="4" t="n"/>
      <c r="AJ20" s="4" t="n"/>
    </row>
    <row r="21">
      <c r="A21" s="30">
        <f>IF(B21="","",COUNTIF(B$14:B21,"?*"))</f>
        <v/>
      </c>
      <c r="B21" s="4" t="n"/>
      <c r="C21" s="19" t="n"/>
      <c r="D21" s="5">
        <f>IF(OR(B21="",C21=""),"",UPPER(LEFT(C21,1))&amp;LOWER(MID(C21,2,30))&amp;" "&amp;LOWER(LEFT(B21,1))&amp;MID(B21,2,200))</f>
        <v/>
      </c>
      <c r="E21" s="4" t="n"/>
      <c r="F21" s="4" t="n"/>
      <c r="G21" s="4" t="n"/>
      <c r="H21" s="4" t="n"/>
      <c r="I21" s="4" t="n"/>
      <c r="J21" s="4" t="n"/>
      <c r="K21" s="5">
        <f>_xlfn.TEXTJOIN(CHAR(10),TRUE,IF(E21="","","• "&amp;E21),IF(F21="","","• "&amp;F21),IF(G21="","","• "&amp;G21),IF(H21="","","• "&amp;H21),IF(I21="","","• "&amp;I21),IF(J21="","","• "&amp;J21))</f>
        <v/>
      </c>
      <c r="L21" s="4" t="n"/>
      <c r="M21" s="19" t="n"/>
      <c r="N21" s="19" t="n"/>
      <c r="O21" s="30">
        <f>IF(OR(M21="",N21=""),"",INDEX(RiskGrid,6-VALUE(LEFT(M21,1)),VALUE(LEFT(N21,1))))</f>
        <v/>
      </c>
      <c r="P21" s="30">
        <f>IF(O21="","",IF(O21&gt;=BandVH,"Very High",IF(O21&gt;=BandHigh,"High",IF(O21&gt;=BandMed,"Medium","Low"))))</f>
        <v/>
      </c>
      <c r="Q21" s="4" t="n"/>
      <c r="R21" s="19" t="n"/>
      <c r="S21" s="4" t="n"/>
      <c r="T21" s="19" t="n"/>
      <c r="U21" s="4" t="n"/>
      <c r="V21" s="19" t="n"/>
      <c r="W21" s="4" t="n"/>
      <c r="X21" s="19" t="n"/>
      <c r="Y21" s="4" t="n"/>
      <c r="Z21" s="19" t="n"/>
      <c r="AA21" s="4" t="n"/>
      <c r="AB21" s="19" t="n"/>
      <c r="AC21" s="5">
        <f>_xlfn.TEXTJOIN(CHAR(10),TRUE,IF(Q21="","","• "&amp;Q21&amp;IF(R21="Yes","  [IPL]","")),IF(S21="","","• "&amp;S21&amp;IF(T21="Yes","  [IPL]","")),IF(U21="","","• "&amp;U21&amp;IF(V21="Yes","  [IPL]","")),IF(W21="","","• "&amp;W21&amp;IF(X21="Yes","  [IPL]","")),IF(Y21="","","• "&amp;Y21&amp;IF(Z21="Yes","  [IPL]","")),IF(AA21="","","• "&amp;AA21&amp;IF(AB21="Yes","  [IPL]","")))</f>
        <v/>
      </c>
      <c r="AD21" s="30">
        <f>IF(AC21="","",COUNTIF(Q21:AB21,"Yes"))</f>
        <v/>
      </c>
      <c r="AE21" s="19" t="n"/>
      <c r="AF21" s="19" t="n"/>
      <c r="AG21" s="30">
        <f>IF(OR(AE21="",AF21=""),"",INDEX(RiskGrid,6-VALUE(LEFT(AE21,1)),VALUE(LEFT(AF21,1))))</f>
        <v/>
      </c>
      <c r="AH21" s="30">
        <f>IF(AG21="","",IF(AG21&gt;=BandVH,"Very High",IF(AG21&gt;=BandHigh,"High",IF(AG21&gt;=BandMed,"Medium","Low"))))</f>
        <v/>
      </c>
      <c r="AI21" s="4" t="n"/>
      <c r="AJ21" s="4" t="n"/>
    </row>
    <row r="22">
      <c r="A22" s="30">
        <f>IF(B22="","",COUNTIF(B$14:B22,"?*"))</f>
        <v/>
      </c>
      <c r="B22" s="4" t="n"/>
      <c r="C22" s="19" t="n"/>
      <c r="D22" s="5">
        <f>IF(OR(B22="",C22=""),"",UPPER(LEFT(C22,1))&amp;LOWER(MID(C22,2,30))&amp;" "&amp;LOWER(LEFT(B22,1))&amp;MID(B22,2,200))</f>
        <v/>
      </c>
      <c r="E22" s="4" t="n"/>
      <c r="F22" s="4" t="n"/>
      <c r="G22" s="4" t="n"/>
      <c r="H22" s="4" t="n"/>
      <c r="I22" s="4" t="n"/>
      <c r="J22" s="4" t="n"/>
      <c r="K22" s="5">
        <f>_xlfn.TEXTJOIN(CHAR(10),TRUE,IF(E22="","","• "&amp;E22),IF(F22="","","• "&amp;F22),IF(G22="","","• "&amp;G22),IF(H22="","","• "&amp;H22),IF(I22="","","• "&amp;I22),IF(J22="","","• "&amp;J22))</f>
        <v/>
      </c>
      <c r="L22" s="4" t="n"/>
      <c r="M22" s="19" t="n"/>
      <c r="N22" s="19" t="n"/>
      <c r="O22" s="30">
        <f>IF(OR(M22="",N22=""),"",INDEX(RiskGrid,6-VALUE(LEFT(M22,1)),VALUE(LEFT(N22,1))))</f>
        <v/>
      </c>
      <c r="P22" s="30">
        <f>IF(O22="","",IF(O22&gt;=BandVH,"Very High",IF(O22&gt;=BandHigh,"High",IF(O22&gt;=BandMed,"Medium","Low"))))</f>
        <v/>
      </c>
      <c r="Q22" s="4" t="n"/>
      <c r="R22" s="19" t="n"/>
      <c r="S22" s="4" t="n"/>
      <c r="T22" s="19" t="n"/>
      <c r="U22" s="4" t="n"/>
      <c r="V22" s="19" t="n"/>
      <c r="W22" s="4" t="n"/>
      <c r="X22" s="19" t="n"/>
      <c r="Y22" s="4" t="n"/>
      <c r="Z22" s="19" t="n"/>
      <c r="AA22" s="4" t="n"/>
      <c r="AB22" s="19" t="n"/>
      <c r="AC22" s="5">
        <f>_xlfn.TEXTJOIN(CHAR(10),TRUE,IF(Q22="","","• "&amp;Q22&amp;IF(R22="Yes","  [IPL]","")),IF(S22="","","• "&amp;S22&amp;IF(T22="Yes","  [IPL]","")),IF(U22="","","• "&amp;U22&amp;IF(V22="Yes","  [IPL]","")),IF(W22="","","• "&amp;W22&amp;IF(X22="Yes","  [IPL]","")),IF(Y22="","","• "&amp;Y22&amp;IF(Z22="Yes","  [IPL]","")),IF(AA22="","","• "&amp;AA22&amp;IF(AB22="Yes","  [IPL]","")))</f>
        <v/>
      </c>
      <c r="AD22" s="30">
        <f>IF(AC22="","",COUNTIF(Q22:AB22,"Yes"))</f>
        <v/>
      </c>
      <c r="AE22" s="19" t="n"/>
      <c r="AF22" s="19" t="n"/>
      <c r="AG22" s="30">
        <f>IF(OR(AE22="",AF22=""),"",INDEX(RiskGrid,6-VALUE(LEFT(AE22,1)),VALUE(LEFT(AF22,1))))</f>
        <v/>
      </c>
      <c r="AH22" s="30">
        <f>IF(AG22="","",IF(AG22&gt;=BandVH,"Very High",IF(AG22&gt;=BandHigh,"High",IF(AG22&gt;=BandMed,"Medium","Low"))))</f>
        <v/>
      </c>
      <c r="AI22" s="4" t="n"/>
      <c r="AJ22" s="4" t="n"/>
    </row>
    <row r="23">
      <c r="A23" s="30">
        <f>IF(B23="","",COUNTIF(B$14:B23,"?*"))</f>
        <v/>
      </c>
      <c r="B23" s="4" t="n"/>
      <c r="C23" s="19" t="n"/>
      <c r="D23" s="5">
        <f>IF(OR(B23="",C23=""),"",UPPER(LEFT(C23,1))&amp;LOWER(MID(C23,2,30))&amp;" "&amp;LOWER(LEFT(B23,1))&amp;MID(B23,2,200))</f>
        <v/>
      </c>
      <c r="E23" s="4" t="n"/>
      <c r="F23" s="4" t="n"/>
      <c r="G23" s="4" t="n"/>
      <c r="H23" s="4" t="n"/>
      <c r="I23" s="4" t="n"/>
      <c r="J23" s="4" t="n"/>
      <c r="K23" s="5">
        <f>_xlfn.TEXTJOIN(CHAR(10),TRUE,IF(E23="","","• "&amp;E23),IF(F23="","","• "&amp;F23),IF(G23="","","• "&amp;G23),IF(H23="","","• "&amp;H23),IF(I23="","","• "&amp;I23),IF(J23="","","• "&amp;J23))</f>
        <v/>
      </c>
      <c r="L23" s="4" t="n"/>
      <c r="M23" s="19" t="n"/>
      <c r="N23" s="19" t="n"/>
      <c r="O23" s="30">
        <f>IF(OR(M23="",N23=""),"",INDEX(RiskGrid,6-VALUE(LEFT(M23,1)),VALUE(LEFT(N23,1))))</f>
        <v/>
      </c>
      <c r="P23" s="30">
        <f>IF(O23="","",IF(O23&gt;=BandVH,"Very High",IF(O23&gt;=BandHigh,"High",IF(O23&gt;=BandMed,"Medium","Low"))))</f>
        <v/>
      </c>
      <c r="Q23" s="4" t="n"/>
      <c r="R23" s="19" t="n"/>
      <c r="S23" s="4" t="n"/>
      <c r="T23" s="19" t="n"/>
      <c r="U23" s="4" t="n"/>
      <c r="V23" s="19" t="n"/>
      <c r="W23" s="4" t="n"/>
      <c r="X23" s="19" t="n"/>
      <c r="Y23" s="4" t="n"/>
      <c r="Z23" s="19" t="n"/>
      <c r="AA23" s="4" t="n"/>
      <c r="AB23" s="19" t="n"/>
      <c r="AC23" s="5">
        <f>_xlfn.TEXTJOIN(CHAR(10),TRUE,IF(Q23="","","• "&amp;Q23&amp;IF(R23="Yes","  [IPL]","")),IF(S23="","","• "&amp;S23&amp;IF(T23="Yes","  [IPL]","")),IF(U23="","","• "&amp;U23&amp;IF(V23="Yes","  [IPL]","")),IF(W23="","","• "&amp;W23&amp;IF(X23="Yes","  [IPL]","")),IF(Y23="","","• "&amp;Y23&amp;IF(Z23="Yes","  [IPL]","")),IF(AA23="","","• "&amp;AA23&amp;IF(AB23="Yes","  [IPL]","")))</f>
        <v/>
      </c>
      <c r="AD23" s="30">
        <f>IF(AC23="","",COUNTIF(Q23:AB23,"Yes"))</f>
        <v/>
      </c>
      <c r="AE23" s="19" t="n"/>
      <c r="AF23" s="19" t="n"/>
      <c r="AG23" s="30">
        <f>IF(OR(AE23="",AF23=""),"",INDEX(RiskGrid,6-VALUE(LEFT(AE23,1)),VALUE(LEFT(AF23,1))))</f>
        <v/>
      </c>
      <c r="AH23" s="30">
        <f>IF(AG23="","",IF(AG23&gt;=BandVH,"Very High",IF(AG23&gt;=BandHigh,"High",IF(AG23&gt;=BandMed,"Medium","Low"))))</f>
        <v/>
      </c>
      <c r="AI23" s="4" t="n"/>
      <c r="AJ23" s="4" t="n"/>
    </row>
    <row r="24">
      <c r="A24" s="30">
        <f>IF(B24="","",COUNTIF(B$14:B24,"?*"))</f>
        <v/>
      </c>
      <c r="B24" s="4" t="n"/>
      <c r="C24" s="19" t="n"/>
      <c r="D24" s="5">
        <f>IF(OR(B24="",C24=""),"",UPPER(LEFT(C24,1))&amp;LOWER(MID(C24,2,30))&amp;" "&amp;LOWER(LEFT(B24,1))&amp;MID(B24,2,200))</f>
        <v/>
      </c>
      <c r="E24" s="4" t="n"/>
      <c r="F24" s="4" t="n"/>
      <c r="G24" s="4" t="n"/>
      <c r="H24" s="4" t="n"/>
      <c r="I24" s="4" t="n"/>
      <c r="J24" s="4" t="n"/>
      <c r="K24" s="5">
        <f>_xlfn.TEXTJOIN(CHAR(10),TRUE,IF(E24="","","• "&amp;E24),IF(F24="","","• "&amp;F24),IF(G24="","","• "&amp;G24),IF(H24="","","• "&amp;H24),IF(I24="","","• "&amp;I24),IF(J24="","","• "&amp;J24))</f>
        <v/>
      </c>
      <c r="L24" s="4" t="n"/>
      <c r="M24" s="19" t="n"/>
      <c r="N24" s="19" t="n"/>
      <c r="O24" s="30">
        <f>IF(OR(M24="",N24=""),"",INDEX(RiskGrid,6-VALUE(LEFT(M24,1)),VALUE(LEFT(N24,1))))</f>
        <v/>
      </c>
      <c r="P24" s="30">
        <f>IF(O24="","",IF(O24&gt;=BandVH,"Very High",IF(O24&gt;=BandHigh,"High",IF(O24&gt;=BandMed,"Medium","Low"))))</f>
        <v/>
      </c>
      <c r="Q24" s="4" t="n"/>
      <c r="R24" s="19" t="n"/>
      <c r="S24" s="4" t="n"/>
      <c r="T24" s="19" t="n"/>
      <c r="U24" s="4" t="n"/>
      <c r="V24" s="19" t="n"/>
      <c r="W24" s="4" t="n"/>
      <c r="X24" s="19" t="n"/>
      <c r="Y24" s="4" t="n"/>
      <c r="Z24" s="19" t="n"/>
      <c r="AA24" s="4" t="n"/>
      <c r="AB24" s="19" t="n"/>
      <c r="AC24" s="5">
        <f>_xlfn.TEXTJOIN(CHAR(10),TRUE,IF(Q24="","","• "&amp;Q24&amp;IF(R24="Yes","  [IPL]","")),IF(S24="","","• "&amp;S24&amp;IF(T24="Yes","  [IPL]","")),IF(U24="","","• "&amp;U24&amp;IF(V24="Yes","  [IPL]","")),IF(W24="","","• "&amp;W24&amp;IF(X24="Yes","  [IPL]","")),IF(Y24="","","• "&amp;Y24&amp;IF(Z24="Yes","  [IPL]","")),IF(AA24="","","• "&amp;AA24&amp;IF(AB24="Yes","  [IPL]","")))</f>
        <v/>
      </c>
      <c r="AD24" s="30">
        <f>IF(AC24="","",COUNTIF(Q24:AB24,"Yes"))</f>
        <v/>
      </c>
      <c r="AE24" s="19" t="n"/>
      <c r="AF24" s="19" t="n"/>
      <c r="AG24" s="30">
        <f>IF(OR(AE24="",AF24=""),"",INDEX(RiskGrid,6-VALUE(LEFT(AE24,1)),VALUE(LEFT(AF24,1))))</f>
        <v/>
      </c>
      <c r="AH24" s="30">
        <f>IF(AG24="","",IF(AG24&gt;=BandVH,"Very High",IF(AG24&gt;=BandHigh,"High",IF(AG24&gt;=BandMed,"Medium","Low"))))</f>
        <v/>
      </c>
      <c r="AI24" s="4" t="n"/>
      <c r="AJ24" s="4" t="n"/>
    </row>
    <row r="25">
      <c r="A25" s="30">
        <f>IF(B25="","",COUNTIF(B$14:B25,"?*"))</f>
        <v/>
      </c>
      <c r="B25" s="4" t="n"/>
      <c r="C25" s="19" t="n"/>
      <c r="D25" s="5">
        <f>IF(OR(B25="",C25=""),"",UPPER(LEFT(C25,1))&amp;LOWER(MID(C25,2,30))&amp;" "&amp;LOWER(LEFT(B25,1))&amp;MID(B25,2,200))</f>
        <v/>
      </c>
      <c r="E25" s="4" t="n"/>
      <c r="F25" s="4" t="n"/>
      <c r="G25" s="4" t="n"/>
      <c r="H25" s="4" t="n"/>
      <c r="I25" s="4" t="n"/>
      <c r="J25" s="4" t="n"/>
      <c r="K25" s="5">
        <f>_xlfn.TEXTJOIN(CHAR(10),TRUE,IF(E25="","","• "&amp;E25),IF(F25="","","• "&amp;F25),IF(G25="","","• "&amp;G25),IF(H25="","","• "&amp;H25),IF(I25="","","• "&amp;I25),IF(J25="","","• "&amp;J25))</f>
        <v/>
      </c>
      <c r="L25" s="4" t="n"/>
      <c r="M25" s="19" t="n"/>
      <c r="N25" s="19" t="n"/>
      <c r="O25" s="30">
        <f>IF(OR(M25="",N25=""),"",INDEX(RiskGrid,6-VALUE(LEFT(M25,1)),VALUE(LEFT(N25,1))))</f>
        <v/>
      </c>
      <c r="P25" s="30">
        <f>IF(O25="","",IF(O25&gt;=BandVH,"Very High",IF(O25&gt;=BandHigh,"High",IF(O25&gt;=BandMed,"Medium","Low"))))</f>
        <v/>
      </c>
      <c r="Q25" s="4" t="n"/>
      <c r="R25" s="19" t="n"/>
      <c r="S25" s="4" t="n"/>
      <c r="T25" s="19" t="n"/>
      <c r="U25" s="4" t="n"/>
      <c r="V25" s="19" t="n"/>
      <c r="W25" s="4" t="n"/>
      <c r="X25" s="19" t="n"/>
      <c r="Y25" s="4" t="n"/>
      <c r="Z25" s="19" t="n"/>
      <c r="AA25" s="4" t="n"/>
      <c r="AB25" s="19" t="n"/>
      <c r="AC25" s="5">
        <f>_xlfn.TEXTJOIN(CHAR(10),TRUE,IF(Q25="","","• "&amp;Q25&amp;IF(R25="Yes","  [IPL]","")),IF(S25="","","• "&amp;S25&amp;IF(T25="Yes","  [IPL]","")),IF(U25="","","• "&amp;U25&amp;IF(V25="Yes","  [IPL]","")),IF(W25="","","• "&amp;W25&amp;IF(X25="Yes","  [IPL]","")),IF(Y25="","","• "&amp;Y25&amp;IF(Z25="Yes","  [IPL]","")),IF(AA25="","","• "&amp;AA25&amp;IF(AB25="Yes","  [IPL]","")))</f>
        <v/>
      </c>
      <c r="AD25" s="30">
        <f>IF(AC25="","",COUNTIF(Q25:AB25,"Yes"))</f>
        <v/>
      </c>
      <c r="AE25" s="19" t="n"/>
      <c r="AF25" s="19" t="n"/>
      <c r="AG25" s="30">
        <f>IF(OR(AE25="",AF25=""),"",INDEX(RiskGrid,6-VALUE(LEFT(AE25,1)),VALUE(LEFT(AF25,1))))</f>
        <v/>
      </c>
      <c r="AH25" s="30">
        <f>IF(AG25="","",IF(AG25&gt;=BandVH,"Very High",IF(AG25&gt;=BandHigh,"High",IF(AG25&gt;=BandMed,"Medium","Low"))))</f>
        <v/>
      </c>
      <c r="AI25" s="4" t="n"/>
      <c r="AJ25" s="4" t="n"/>
    </row>
    <row r="26">
      <c r="A26" s="30">
        <f>IF(B26="","",COUNTIF(B$14:B26,"?*"))</f>
        <v/>
      </c>
      <c r="B26" s="4" t="n"/>
      <c r="C26" s="19" t="n"/>
      <c r="D26" s="5">
        <f>IF(OR(B26="",C26=""),"",UPPER(LEFT(C26,1))&amp;LOWER(MID(C26,2,30))&amp;" "&amp;LOWER(LEFT(B26,1))&amp;MID(B26,2,200))</f>
        <v/>
      </c>
      <c r="E26" s="4" t="n"/>
      <c r="F26" s="4" t="n"/>
      <c r="G26" s="4" t="n"/>
      <c r="H26" s="4" t="n"/>
      <c r="I26" s="4" t="n"/>
      <c r="J26" s="4" t="n"/>
      <c r="K26" s="5">
        <f>_xlfn.TEXTJOIN(CHAR(10),TRUE,IF(E26="","","• "&amp;E26),IF(F26="","","• "&amp;F26),IF(G26="","","• "&amp;G26),IF(H26="","","• "&amp;H26),IF(I26="","","• "&amp;I26),IF(J26="","","• "&amp;J26))</f>
        <v/>
      </c>
      <c r="L26" s="4" t="n"/>
      <c r="M26" s="19" t="n"/>
      <c r="N26" s="19" t="n"/>
      <c r="O26" s="30">
        <f>IF(OR(M26="",N26=""),"",INDEX(RiskGrid,6-VALUE(LEFT(M26,1)),VALUE(LEFT(N26,1))))</f>
        <v/>
      </c>
      <c r="P26" s="30">
        <f>IF(O26="","",IF(O26&gt;=BandVH,"Very High",IF(O26&gt;=BandHigh,"High",IF(O26&gt;=BandMed,"Medium","Low"))))</f>
        <v/>
      </c>
      <c r="Q26" s="4" t="n"/>
      <c r="R26" s="19" t="n"/>
      <c r="S26" s="4" t="n"/>
      <c r="T26" s="19" t="n"/>
      <c r="U26" s="4" t="n"/>
      <c r="V26" s="19" t="n"/>
      <c r="W26" s="4" t="n"/>
      <c r="X26" s="19" t="n"/>
      <c r="Y26" s="4" t="n"/>
      <c r="Z26" s="19" t="n"/>
      <c r="AA26" s="4" t="n"/>
      <c r="AB26" s="19" t="n"/>
      <c r="AC26" s="5">
        <f>_xlfn.TEXTJOIN(CHAR(10),TRUE,IF(Q26="","","• "&amp;Q26&amp;IF(R26="Yes","  [IPL]","")),IF(S26="","","• "&amp;S26&amp;IF(T26="Yes","  [IPL]","")),IF(U26="","","• "&amp;U26&amp;IF(V26="Yes","  [IPL]","")),IF(W26="","","• "&amp;W26&amp;IF(X26="Yes","  [IPL]","")),IF(Y26="","","• "&amp;Y26&amp;IF(Z26="Yes","  [IPL]","")),IF(AA26="","","• "&amp;AA26&amp;IF(AB26="Yes","  [IPL]","")))</f>
        <v/>
      </c>
      <c r="AD26" s="30">
        <f>IF(AC26="","",COUNTIF(Q26:AB26,"Yes"))</f>
        <v/>
      </c>
      <c r="AE26" s="19" t="n"/>
      <c r="AF26" s="19" t="n"/>
      <c r="AG26" s="30">
        <f>IF(OR(AE26="",AF26=""),"",INDEX(RiskGrid,6-VALUE(LEFT(AE26,1)),VALUE(LEFT(AF26,1))))</f>
        <v/>
      </c>
      <c r="AH26" s="30">
        <f>IF(AG26="","",IF(AG26&gt;=BandVH,"Very High",IF(AG26&gt;=BandHigh,"High",IF(AG26&gt;=BandMed,"Medium","Low"))))</f>
        <v/>
      </c>
      <c r="AI26" s="4" t="n"/>
      <c r="AJ26" s="4" t="n"/>
    </row>
    <row r="27">
      <c r="A27" s="30">
        <f>IF(B27="","",COUNTIF(B$14:B27,"?*"))</f>
        <v/>
      </c>
      <c r="B27" s="4" t="n"/>
      <c r="C27" s="19" t="n"/>
      <c r="D27" s="5">
        <f>IF(OR(B27="",C27=""),"",UPPER(LEFT(C27,1))&amp;LOWER(MID(C27,2,30))&amp;" "&amp;LOWER(LEFT(B27,1))&amp;MID(B27,2,200))</f>
        <v/>
      </c>
      <c r="E27" s="4" t="n"/>
      <c r="F27" s="4" t="n"/>
      <c r="G27" s="4" t="n"/>
      <c r="H27" s="4" t="n"/>
      <c r="I27" s="4" t="n"/>
      <c r="J27" s="4" t="n"/>
      <c r="K27" s="5">
        <f>_xlfn.TEXTJOIN(CHAR(10),TRUE,IF(E27="","","• "&amp;E27),IF(F27="","","• "&amp;F27),IF(G27="","","• "&amp;G27),IF(H27="","","• "&amp;H27),IF(I27="","","• "&amp;I27),IF(J27="","","• "&amp;J27))</f>
        <v/>
      </c>
      <c r="L27" s="4" t="n"/>
      <c r="M27" s="19" t="n"/>
      <c r="N27" s="19" t="n"/>
      <c r="O27" s="30">
        <f>IF(OR(M27="",N27=""),"",INDEX(RiskGrid,6-VALUE(LEFT(M27,1)),VALUE(LEFT(N27,1))))</f>
        <v/>
      </c>
      <c r="P27" s="30">
        <f>IF(O27="","",IF(O27&gt;=BandVH,"Very High",IF(O27&gt;=BandHigh,"High",IF(O27&gt;=BandMed,"Medium","Low"))))</f>
        <v/>
      </c>
      <c r="Q27" s="4" t="n"/>
      <c r="R27" s="19" t="n"/>
      <c r="S27" s="4" t="n"/>
      <c r="T27" s="19" t="n"/>
      <c r="U27" s="4" t="n"/>
      <c r="V27" s="19" t="n"/>
      <c r="W27" s="4" t="n"/>
      <c r="X27" s="19" t="n"/>
      <c r="Y27" s="4" t="n"/>
      <c r="Z27" s="19" t="n"/>
      <c r="AA27" s="4" t="n"/>
      <c r="AB27" s="19" t="n"/>
      <c r="AC27" s="5">
        <f>_xlfn.TEXTJOIN(CHAR(10),TRUE,IF(Q27="","","• "&amp;Q27&amp;IF(R27="Yes","  [IPL]","")),IF(S27="","","• "&amp;S27&amp;IF(T27="Yes","  [IPL]","")),IF(U27="","","• "&amp;U27&amp;IF(V27="Yes","  [IPL]","")),IF(W27="","","• "&amp;W27&amp;IF(X27="Yes","  [IPL]","")),IF(Y27="","","• "&amp;Y27&amp;IF(Z27="Yes","  [IPL]","")),IF(AA27="","","• "&amp;AA27&amp;IF(AB27="Yes","  [IPL]","")))</f>
        <v/>
      </c>
      <c r="AD27" s="30">
        <f>IF(AC27="","",COUNTIF(Q27:AB27,"Yes"))</f>
        <v/>
      </c>
      <c r="AE27" s="19" t="n"/>
      <c r="AF27" s="19" t="n"/>
      <c r="AG27" s="30">
        <f>IF(OR(AE27="",AF27=""),"",INDEX(RiskGrid,6-VALUE(LEFT(AE27,1)),VALUE(LEFT(AF27,1))))</f>
        <v/>
      </c>
      <c r="AH27" s="30">
        <f>IF(AG27="","",IF(AG27&gt;=BandVH,"Very High",IF(AG27&gt;=BandHigh,"High",IF(AG27&gt;=BandMed,"Medium","Low"))))</f>
        <v/>
      </c>
      <c r="AI27" s="4" t="n"/>
      <c r="AJ27" s="4" t="n"/>
    </row>
    <row r="28">
      <c r="A28" s="30">
        <f>IF(B28="","",COUNTIF(B$14:B28,"?*"))</f>
        <v/>
      </c>
      <c r="B28" s="4" t="n"/>
      <c r="C28" s="19" t="n"/>
      <c r="D28" s="5">
        <f>IF(OR(B28="",C28=""),"",UPPER(LEFT(C28,1))&amp;LOWER(MID(C28,2,30))&amp;" "&amp;LOWER(LEFT(B28,1))&amp;MID(B28,2,200))</f>
        <v/>
      </c>
      <c r="E28" s="4" t="n"/>
      <c r="F28" s="4" t="n"/>
      <c r="G28" s="4" t="n"/>
      <c r="H28" s="4" t="n"/>
      <c r="I28" s="4" t="n"/>
      <c r="J28" s="4" t="n"/>
      <c r="K28" s="5">
        <f>_xlfn.TEXTJOIN(CHAR(10),TRUE,IF(E28="","","• "&amp;E28),IF(F28="","","• "&amp;F28),IF(G28="","","• "&amp;G28),IF(H28="","","• "&amp;H28),IF(I28="","","• "&amp;I28),IF(J28="","","• "&amp;J28))</f>
        <v/>
      </c>
      <c r="L28" s="4" t="n"/>
      <c r="M28" s="19" t="n"/>
      <c r="N28" s="19" t="n"/>
      <c r="O28" s="30">
        <f>IF(OR(M28="",N28=""),"",INDEX(RiskGrid,6-VALUE(LEFT(M28,1)),VALUE(LEFT(N28,1))))</f>
        <v/>
      </c>
      <c r="P28" s="30">
        <f>IF(O28="","",IF(O28&gt;=BandVH,"Very High",IF(O28&gt;=BandHigh,"High",IF(O28&gt;=BandMed,"Medium","Low"))))</f>
        <v/>
      </c>
      <c r="Q28" s="4" t="n"/>
      <c r="R28" s="19" t="n"/>
      <c r="S28" s="4" t="n"/>
      <c r="T28" s="19" t="n"/>
      <c r="U28" s="4" t="n"/>
      <c r="V28" s="19" t="n"/>
      <c r="W28" s="4" t="n"/>
      <c r="X28" s="19" t="n"/>
      <c r="Y28" s="4" t="n"/>
      <c r="Z28" s="19" t="n"/>
      <c r="AA28" s="4" t="n"/>
      <c r="AB28" s="19" t="n"/>
      <c r="AC28" s="5">
        <f>_xlfn.TEXTJOIN(CHAR(10),TRUE,IF(Q28="","","• "&amp;Q28&amp;IF(R28="Yes","  [IPL]","")),IF(S28="","","• "&amp;S28&amp;IF(T28="Yes","  [IPL]","")),IF(U28="","","• "&amp;U28&amp;IF(V28="Yes","  [IPL]","")),IF(W28="","","• "&amp;W28&amp;IF(X28="Yes","  [IPL]","")),IF(Y28="","","• "&amp;Y28&amp;IF(Z28="Yes","  [IPL]","")),IF(AA28="","","• "&amp;AA28&amp;IF(AB28="Yes","  [IPL]","")))</f>
        <v/>
      </c>
      <c r="AD28" s="30">
        <f>IF(AC28="","",COUNTIF(Q28:AB28,"Yes"))</f>
        <v/>
      </c>
      <c r="AE28" s="19" t="n"/>
      <c r="AF28" s="19" t="n"/>
      <c r="AG28" s="30">
        <f>IF(OR(AE28="",AF28=""),"",INDEX(RiskGrid,6-VALUE(LEFT(AE28,1)),VALUE(LEFT(AF28,1))))</f>
        <v/>
      </c>
      <c r="AH28" s="30">
        <f>IF(AG28="","",IF(AG28&gt;=BandVH,"Very High",IF(AG28&gt;=BandHigh,"High",IF(AG28&gt;=BandMed,"Medium","Low"))))</f>
        <v/>
      </c>
      <c r="AI28" s="4" t="n"/>
      <c r="AJ28" s="4" t="n"/>
    </row>
    <row r="29">
      <c r="A29" s="30">
        <f>IF(B29="","",COUNTIF(B$14:B29,"?*"))</f>
        <v/>
      </c>
      <c r="B29" s="4" t="n"/>
      <c r="C29" s="19" t="n"/>
      <c r="D29" s="5">
        <f>IF(OR(B29="",C29=""),"",UPPER(LEFT(C29,1))&amp;LOWER(MID(C29,2,30))&amp;" "&amp;LOWER(LEFT(B29,1))&amp;MID(B29,2,200))</f>
        <v/>
      </c>
      <c r="E29" s="4" t="n"/>
      <c r="F29" s="4" t="n"/>
      <c r="G29" s="4" t="n"/>
      <c r="H29" s="4" t="n"/>
      <c r="I29" s="4" t="n"/>
      <c r="J29" s="4" t="n"/>
      <c r="K29" s="5">
        <f>_xlfn.TEXTJOIN(CHAR(10),TRUE,IF(E29="","","• "&amp;E29),IF(F29="","","• "&amp;F29),IF(G29="","","• "&amp;G29),IF(H29="","","• "&amp;H29),IF(I29="","","• "&amp;I29),IF(J29="","","• "&amp;J29))</f>
        <v/>
      </c>
      <c r="L29" s="4" t="n"/>
      <c r="M29" s="19" t="n"/>
      <c r="N29" s="19" t="n"/>
      <c r="O29" s="30">
        <f>IF(OR(M29="",N29=""),"",INDEX(RiskGrid,6-VALUE(LEFT(M29,1)),VALUE(LEFT(N29,1))))</f>
        <v/>
      </c>
      <c r="P29" s="30">
        <f>IF(O29="","",IF(O29&gt;=BandVH,"Very High",IF(O29&gt;=BandHigh,"High",IF(O29&gt;=BandMed,"Medium","Low"))))</f>
        <v/>
      </c>
      <c r="Q29" s="4" t="n"/>
      <c r="R29" s="19" t="n"/>
      <c r="S29" s="4" t="n"/>
      <c r="T29" s="19" t="n"/>
      <c r="U29" s="4" t="n"/>
      <c r="V29" s="19" t="n"/>
      <c r="W29" s="4" t="n"/>
      <c r="X29" s="19" t="n"/>
      <c r="Y29" s="4" t="n"/>
      <c r="Z29" s="19" t="n"/>
      <c r="AA29" s="4" t="n"/>
      <c r="AB29" s="19" t="n"/>
      <c r="AC29" s="5">
        <f>_xlfn.TEXTJOIN(CHAR(10),TRUE,IF(Q29="","","• "&amp;Q29&amp;IF(R29="Yes","  [IPL]","")),IF(S29="","","• "&amp;S29&amp;IF(T29="Yes","  [IPL]","")),IF(U29="","","• "&amp;U29&amp;IF(V29="Yes","  [IPL]","")),IF(W29="","","• "&amp;W29&amp;IF(X29="Yes","  [IPL]","")),IF(Y29="","","• "&amp;Y29&amp;IF(Z29="Yes","  [IPL]","")),IF(AA29="","","• "&amp;AA29&amp;IF(AB29="Yes","  [IPL]","")))</f>
        <v/>
      </c>
      <c r="AD29" s="30">
        <f>IF(AC29="","",COUNTIF(Q29:AB29,"Yes"))</f>
        <v/>
      </c>
      <c r="AE29" s="19" t="n"/>
      <c r="AF29" s="19" t="n"/>
      <c r="AG29" s="30">
        <f>IF(OR(AE29="",AF29=""),"",INDEX(RiskGrid,6-VALUE(LEFT(AE29,1)),VALUE(LEFT(AF29,1))))</f>
        <v/>
      </c>
      <c r="AH29" s="30">
        <f>IF(AG29="","",IF(AG29&gt;=BandVH,"Very High",IF(AG29&gt;=BandHigh,"High",IF(AG29&gt;=BandMed,"Medium","Low"))))</f>
        <v/>
      </c>
      <c r="AI29" s="4" t="n"/>
      <c r="AJ29" s="4" t="n"/>
    </row>
    <row r="30">
      <c r="A30" s="30">
        <f>IF(B30="","",COUNTIF(B$14:B30,"?*"))</f>
        <v/>
      </c>
      <c r="B30" s="4" t="n"/>
      <c r="C30" s="19" t="n"/>
      <c r="D30" s="5">
        <f>IF(OR(B30="",C30=""),"",UPPER(LEFT(C30,1))&amp;LOWER(MID(C30,2,30))&amp;" "&amp;LOWER(LEFT(B30,1))&amp;MID(B30,2,200))</f>
        <v/>
      </c>
      <c r="E30" s="4" t="n"/>
      <c r="F30" s="4" t="n"/>
      <c r="G30" s="4" t="n"/>
      <c r="H30" s="4" t="n"/>
      <c r="I30" s="4" t="n"/>
      <c r="J30" s="4" t="n"/>
      <c r="K30" s="5">
        <f>_xlfn.TEXTJOIN(CHAR(10),TRUE,IF(E30="","","• "&amp;E30),IF(F30="","","• "&amp;F30),IF(G30="","","• "&amp;G30),IF(H30="","","• "&amp;H30),IF(I30="","","• "&amp;I30),IF(J30="","","• "&amp;J30))</f>
        <v/>
      </c>
      <c r="L30" s="4" t="n"/>
      <c r="M30" s="19" t="n"/>
      <c r="N30" s="19" t="n"/>
      <c r="O30" s="30">
        <f>IF(OR(M30="",N30=""),"",INDEX(RiskGrid,6-VALUE(LEFT(M30,1)),VALUE(LEFT(N30,1))))</f>
        <v/>
      </c>
      <c r="P30" s="30">
        <f>IF(O30="","",IF(O30&gt;=BandVH,"Very High",IF(O30&gt;=BandHigh,"High",IF(O30&gt;=BandMed,"Medium","Low"))))</f>
        <v/>
      </c>
      <c r="Q30" s="4" t="n"/>
      <c r="R30" s="19" t="n"/>
      <c r="S30" s="4" t="n"/>
      <c r="T30" s="19" t="n"/>
      <c r="U30" s="4" t="n"/>
      <c r="V30" s="19" t="n"/>
      <c r="W30" s="4" t="n"/>
      <c r="X30" s="19" t="n"/>
      <c r="Y30" s="4" t="n"/>
      <c r="Z30" s="19" t="n"/>
      <c r="AA30" s="4" t="n"/>
      <c r="AB30" s="19" t="n"/>
      <c r="AC30" s="5">
        <f>_xlfn.TEXTJOIN(CHAR(10),TRUE,IF(Q30="","","• "&amp;Q30&amp;IF(R30="Yes","  [IPL]","")),IF(S30="","","• "&amp;S30&amp;IF(T30="Yes","  [IPL]","")),IF(U30="","","• "&amp;U30&amp;IF(V30="Yes","  [IPL]","")),IF(W30="","","• "&amp;W30&amp;IF(X30="Yes","  [IPL]","")),IF(Y30="","","• "&amp;Y30&amp;IF(Z30="Yes","  [IPL]","")),IF(AA30="","","• "&amp;AA30&amp;IF(AB30="Yes","  [IPL]","")))</f>
        <v/>
      </c>
      <c r="AD30" s="30">
        <f>IF(AC30="","",COUNTIF(Q30:AB30,"Yes"))</f>
        <v/>
      </c>
      <c r="AE30" s="19" t="n"/>
      <c r="AF30" s="19" t="n"/>
      <c r="AG30" s="30">
        <f>IF(OR(AE30="",AF30=""),"",INDEX(RiskGrid,6-VALUE(LEFT(AE30,1)),VALUE(LEFT(AF30,1))))</f>
        <v/>
      </c>
      <c r="AH30" s="30">
        <f>IF(AG30="","",IF(AG30&gt;=BandVH,"Very High",IF(AG30&gt;=BandHigh,"High",IF(AG30&gt;=BandMed,"Medium","Low"))))</f>
        <v/>
      </c>
      <c r="AI30" s="4" t="n"/>
      <c r="AJ30" s="4" t="n"/>
    </row>
    <row r="31">
      <c r="A31" s="30">
        <f>IF(B31="","",COUNTIF(B$14:B31,"?*"))</f>
        <v/>
      </c>
      <c r="B31" s="4" t="n"/>
      <c r="C31" s="19" t="n"/>
      <c r="D31" s="5">
        <f>IF(OR(B31="",C31=""),"",UPPER(LEFT(C31,1))&amp;LOWER(MID(C31,2,30))&amp;" "&amp;LOWER(LEFT(B31,1))&amp;MID(B31,2,200))</f>
        <v/>
      </c>
      <c r="E31" s="4" t="n"/>
      <c r="F31" s="4" t="n"/>
      <c r="G31" s="4" t="n"/>
      <c r="H31" s="4" t="n"/>
      <c r="I31" s="4" t="n"/>
      <c r="J31" s="4" t="n"/>
      <c r="K31" s="5">
        <f>_xlfn.TEXTJOIN(CHAR(10),TRUE,IF(E31="","","• "&amp;E31),IF(F31="","","• "&amp;F31),IF(G31="","","• "&amp;G31),IF(H31="","","• "&amp;H31),IF(I31="","","• "&amp;I31),IF(J31="","","• "&amp;J31))</f>
        <v/>
      </c>
      <c r="L31" s="4" t="n"/>
      <c r="M31" s="19" t="n"/>
      <c r="N31" s="19" t="n"/>
      <c r="O31" s="30">
        <f>IF(OR(M31="",N31=""),"",INDEX(RiskGrid,6-VALUE(LEFT(M31,1)),VALUE(LEFT(N31,1))))</f>
        <v/>
      </c>
      <c r="P31" s="30">
        <f>IF(O31="","",IF(O31&gt;=BandVH,"Very High",IF(O31&gt;=BandHigh,"High",IF(O31&gt;=BandMed,"Medium","Low"))))</f>
        <v/>
      </c>
      <c r="Q31" s="4" t="n"/>
      <c r="R31" s="19" t="n"/>
      <c r="S31" s="4" t="n"/>
      <c r="T31" s="19" t="n"/>
      <c r="U31" s="4" t="n"/>
      <c r="V31" s="19" t="n"/>
      <c r="W31" s="4" t="n"/>
      <c r="X31" s="19" t="n"/>
      <c r="Y31" s="4" t="n"/>
      <c r="Z31" s="19" t="n"/>
      <c r="AA31" s="4" t="n"/>
      <c r="AB31" s="19" t="n"/>
      <c r="AC31" s="5">
        <f>_xlfn.TEXTJOIN(CHAR(10),TRUE,IF(Q31="","","• "&amp;Q31&amp;IF(R31="Yes","  [IPL]","")),IF(S31="","","• "&amp;S31&amp;IF(T31="Yes","  [IPL]","")),IF(U31="","","• "&amp;U31&amp;IF(V31="Yes","  [IPL]","")),IF(W31="","","• "&amp;W31&amp;IF(X31="Yes","  [IPL]","")),IF(Y31="","","• "&amp;Y31&amp;IF(Z31="Yes","  [IPL]","")),IF(AA31="","","• "&amp;AA31&amp;IF(AB31="Yes","  [IPL]","")))</f>
        <v/>
      </c>
      <c r="AD31" s="30">
        <f>IF(AC31="","",COUNTIF(Q31:AB31,"Yes"))</f>
        <v/>
      </c>
      <c r="AE31" s="19" t="n"/>
      <c r="AF31" s="19" t="n"/>
      <c r="AG31" s="30">
        <f>IF(OR(AE31="",AF31=""),"",INDEX(RiskGrid,6-VALUE(LEFT(AE31,1)),VALUE(LEFT(AF31,1))))</f>
        <v/>
      </c>
      <c r="AH31" s="30">
        <f>IF(AG31="","",IF(AG31&gt;=BandVH,"Very High",IF(AG31&gt;=BandHigh,"High",IF(AG31&gt;=BandMed,"Medium","Low"))))</f>
        <v/>
      </c>
      <c r="AI31" s="4" t="n"/>
      <c r="AJ31" s="4" t="n"/>
    </row>
    <row r="32">
      <c r="A32" s="30">
        <f>IF(B32="","",COUNTIF(B$14:B32,"?*"))</f>
        <v/>
      </c>
      <c r="B32" s="4" t="n"/>
      <c r="C32" s="19" t="n"/>
      <c r="D32" s="5">
        <f>IF(OR(B32="",C32=""),"",UPPER(LEFT(C32,1))&amp;LOWER(MID(C32,2,30))&amp;" "&amp;LOWER(LEFT(B32,1))&amp;MID(B32,2,200))</f>
        <v/>
      </c>
      <c r="E32" s="4" t="n"/>
      <c r="F32" s="4" t="n"/>
      <c r="G32" s="4" t="n"/>
      <c r="H32" s="4" t="n"/>
      <c r="I32" s="4" t="n"/>
      <c r="J32" s="4" t="n"/>
      <c r="K32" s="5">
        <f>_xlfn.TEXTJOIN(CHAR(10),TRUE,IF(E32="","","• "&amp;E32),IF(F32="","","• "&amp;F32),IF(G32="","","• "&amp;G32),IF(H32="","","• "&amp;H32),IF(I32="","","• "&amp;I32),IF(J32="","","• "&amp;J32))</f>
        <v/>
      </c>
      <c r="L32" s="4" t="n"/>
      <c r="M32" s="19" t="n"/>
      <c r="N32" s="19" t="n"/>
      <c r="O32" s="30">
        <f>IF(OR(M32="",N32=""),"",INDEX(RiskGrid,6-VALUE(LEFT(M32,1)),VALUE(LEFT(N32,1))))</f>
        <v/>
      </c>
      <c r="P32" s="30">
        <f>IF(O32="","",IF(O32&gt;=BandVH,"Very High",IF(O32&gt;=BandHigh,"High",IF(O32&gt;=BandMed,"Medium","Low"))))</f>
        <v/>
      </c>
      <c r="Q32" s="4" t="n"/>
      <c r="R32" s="19" t="n"/>
      <c r="S32" s="4" t="n"/>
      <c r="T32" s="19" t="n"/>
      <c r="U32" s="4" t="n"/>
      <c r="V32" s="19" t="n"/>
      <c r="W32" s="4" t="n"/>
      <c r="X32" s="19" t="n"/>
      <c r="Y32" s="4" t="n"/>
      <c r="Z32" s="19" t="n"/>
      <c r="AA32" s="4" t="n"/>
      <c r="AB32" s="19" t="n"/>
      <c r="AC32" s="5">
        <f>_xlfn.TEXTJOIN(CHAR(10),TRUE,IF(Q32="","","• "&amp;Q32&amp;IF(R32="Yes","  [IPL]","")),IF(S32="","","• "&amp;S32&amp;IF(T32="Yes","  [IPL]","")),IF(U32="","","• "&amp;U32&amp;IF(V32="Yes","  [IPL]","")),IF(W32="","","• "&amp;W32&amp;IF(X32="Yes","  [IPL]","")),IF(Y32="","","• "&amp;Y32&amp;IF(Z32="Yes","  [IPL]","")),IF(AA32="","","• "&amp;AA32&amp;IF(AB32="Yes","  [IPL]","")))</f>
        <v/>
      </c>
      <c r="AD32" s="30">
        <f>IF(AC32="","",COUNTIF(Q32:AB32,"Yes"))</f>
        <v/>
      </c>
      <c r="AE32" s="19" t="n"/>
      <c r="AF32" s="19" t="n"/>
      <c r="AG32" s="30">
        <f>IF(OR(AE32="",AF32=""),"",INDEX(RiskGrid,6-VALUE(LEFT(AE32,1)),VALUE(LEFT(AF32,1))))</f>
        <v/>
      </c>
      <c r="AH32" s="30">
        <f>IF(AG32="","",IF(AG32&gt;=BandVH,"Very High",IF(AG32&gt;=BandHigh,"High",IF(AG32&gt;=BandMed,"Medium","Low"))))</f>
        <v/>
      </c>
      <c r="AI32" s="4" t="n"/>
      <c r="AJ32" s="4" t="n"/>
    </row>
    <row r="33">
      <c r="A33" s="30">
        <f>IF(B33="","",COUNTIF(B$14:B33,"?*"))</f>
        <v/>
      </c>
      <c r="B33" s="4" t="n"/>
      <c r="C33" s="19" t="n"/>
      <c r="D33" s="5">
        <f>IF(OR(B33="",C33=""),"",UPPER(LEFT(C33,1))&amp;LOWER(MID(C33,2,30))&amp;" "&amp;LOWER(LEFT(B33,1))&amp;MID(B33,2,200))</f>
        <v/>
      </c>
      <c r="E33" s="4" t="n"/>
      <c r="F33" s="4" t="n"/>
      <c r="G33" s="4" t="n"/>
      <c r="H33" s="4" t="n"/>
      <c r="I33" s="4" t="n"/>
      <c r="J33" s="4" t="n"/>
      <c r="K33" s="5">
        <f>_xlfn.TEXTJOIN(CHAR(10),TRUE,IF(E33="","","• "&amp;E33),IF(F33="","","• "&amp;F33),IF(G33="","","• "&amp;G33),IF(H33="","","• "&amp;H33),IF(I33="","","• "&amp;I33),IF(J33="","","• "&amp;J33))</f>
        <v/>
      </c>
      <c r="L33" s="4" t="n"/>
      <c r="M33" s="19" t="n"/>
      <c r="N33" s="19" t="n"/>
      <c r="O33" s="30">
        <f>IF(OR(M33="",N33=""),"",INDEX(RiskGrid,6-VALUE(LEFT(M33,1)),VALUE(LEFT(N33,1))))</f>
        <v/>
      </c>
      <c r="P33" s="30">
        <f>IF(O33="","",IF(O33&gt;=BandVH,"Very High",IF(O33&gt;=BandHigh,"High",IF(O33&gt;=BandMed,"Medium","Low"))))</f>
        <v/>
      </c>
      <c r="Q33" s="4" t="n"/>
      <c r="R33" s="19" t="n"/>
      <c r="S33" s="4" t="n"/>
      <c r="T33" s="19" t="n"/>
      <c r="U33" s="4" t="n"/>
      <c r="V33" s="19" t="n"/>
      <c r="W33" s="4" t="n"/>
      <c r="X33" s="19" t="n"/>
      <c r="Y33" s="4" t="n"/>
      <c r="Z33" s="19" t="n"/>
      <c r="AA33" s="4" t="n"/>
      <c r="AB33" s="19" t="n"/>
      <c r="AC33" s="5">
        <f>_xlfn.TEXTJOIN(CHAR(10),TRUE,IF(Q33="","","• "&amp;Q33&amp;IF(R33="Yes","  [IPL]","")),IF(S33="","","• "&amp;S33&amp;IF(T33="Yes","  [IPL]","")),IF(U33="","","• "&amp;U33&amp;IF(V33="Yes","  [IPL]","")),IF(W33="","","• "&amp;W33&amp;IF(X33="Yes","  [IPL]","")),IF(Y33="","","• "&amp;Y33&amp;IF(Z33="Yes","  [IPL]","")),IF(AA33="","","• "&amp;AA33&amp;IF(AB33="Yes","  [IPL]","")))</f>
        <v/>
      </c>
      <c r="AD33" s="30">
        <f>IF(AC33="","",COUNTIF(Q33:AB33,"Yes"))</f>
        <v/>
      </c>
      <c r="AE33" s="19" t="n"/>
      <c r="AF33" s="19" t="n"/>
      <c r="AG33" s="30">
        <f>IF(OR(AE33="",AF33=""),"",INDEX(RiskGrid,6-VALUE(LEFT(AE33,1)),VALUE(LEFT(AF33,1))))</f>
        <v/>
      </c>
      <c r="AH33" s="30">
        <f>IF(AG33="","",IF(AG33&gt;=BandVH,"Very High",IF(AG33&gt;=BandHigh,"High",IF(AG33&gt;=BandMed,"Medium","Low"))))</f>
        <v/>
      </c>
      <c r="AI33" s="4" t="n"/>
      <c r="AJ33" s="4" t="n"/>
    </row>
    <row r="34">
      <c r="A34" s="30">
        <f>IF(B34="","",COUNTIF(B$14:B34,"?*"))</f>
        <v/>
      </c>
      <c r="B34" s="4" t="n"/>
      <c r="C34" s="19" t="n"/>
      <c r="D34" s="5">
        <f>IF(OR(B34="",C34=""),"",UPPER(LEFT(C34,1))&amp;LOWER(MID(C34,2,30))&amp;" "&amp;LOWER(LEFT(B34,1))&amp;MID(B34,2,200))</f>
        <v/>
      </c>
      <c r="E34" s="4" t="n"/>
      <c r="F34" s="4" t="n"/>
      <c r="G34" s="4" t="n"/>
      <c r="H34" s="4" t="n"/>
      <c r="I34" s="4" t="n"/>
      <c r="J34" s="4" t="n"/>
      <c r="K34" s="5">
        <f>_xlfn.TEXTJOIN(CHAR(10),TRUE,IF(E34="","","• "&amp;E34),IF(F34="","","• "&amp;F34),IF(G34="","","• "&amp;G34),IF(H34="","","• "&amp;H34),IF(I34="","","• "&amp;I34),IF(J34="","","• "&amp;J34))</f>
        <v/>
      </c>
      <c r="L34" s="4" t="n"/>
      <c r="M34" s="19" t="n"/>
      <c r="N34" s="19" t="n"/>
      <c r="O34" s="30">
        <f>IF(OR(M34="",N34=""),"",INDEX(RiskGrid,6-VALUE(LEFT(M34,1)),VALUE(LEFT(N34,1))))</f>
        <v/>
      </c>
      <c r="P34" s="30">
        <f>IF(O34="","",IF(O34&gt;=BandVH,"Very High",IF(O34&gt;=BandHigh,"High",IF(O34&gt;=BandMed,"Medium","Low"))))</f>
        <v/>
      </c>
      <c r="Q34" s="4" t="n"/>
      <c r="R34" s="19" t="n"/>
      <c r="S34" s="4" t="n"/>
      <c r="T34" s="19" t="n"/>
      <c r="U34" s="4" t="n"/>
      <c r="V34" s="19" t="n"/>
      <c r="W34" s="4" t="n"/>
      <c r="X34" s="19" t="n"/>
      <c r="Y34" s="4" t="n"/>
      <c r="Z34" s="19" t="n"/>
      <c r="AA34" s="4" t="n"/>
      <c r="AB34" s="19" t="n"/>
      <c r="AC34" s="5">
        <f>_xlfn.TEXTJOIN(CHAR(10),TRUE,IF(Q34="","","• "&amp;Q34&amp;IF(R34="Yes","  [IPL]","")),IF(S34="","","• "&amp;S34&amp;IF(T34="Yes","  [IPL]","")),IF(U34="","","• "&amp;U34&amp;IF(V34="Yes","  [IPL]","")),IF(W34="","","• "&amp;W34&amp;IF(X34="Yes","  [IPL]","")),IF(Y34="","","• "&amp;Y34&amp;IF(Z34="Yes","  [IPL]","")),IF(AA34="","","• "&amp;AA34&amp;IF(AB34="Yes","  [IPL]","")))</f>
        <v/>
      </c>
      <c r="AD34" s="30">
        <f>IF(AC34="","",COUNTIF(Q34:AB34,"Yes"))</f>
        <v/>
      </c>
      <c r="AE34" s="19" t="n"/>
      <c r="AF34" s="19" t="n"/>
      <c r="AG34" s="30">
        <f>IF(OR(AE34="",AF34=""),"",INDEX(RiskGrid,6-VALUE(LEFT(AE34,1)),VALUE(LEFT(AF34,1))))</f>
        <v/>
      </c>
      <c r="AH34" s="30">
        <f>IF(AG34="","",IF(AG34&gt;=BandVH,"Very High",IF(AG34&gt;=BandHigh,"High",IF(AG34&gt;=BandMed,"Medium","Low"))))</f>
        <v/>
      </c>
      <c r="AI34" s="4" t="n"/>
      <c r="AJ34" s="4" t="n"/>
    </row>
    <row r="35">
      <c r="A35" s="30">
        <f>IF(B35="","",COUNTIF(B$14:B35,"?*"))</f>
        <v/>
      </c>
      <c r="B35" s="4" t="n"/>
      <c r="C35" s="19" t="n"/>
      <c r="D35" s="5">
        <f>IF(OR(B35="",C35=""),"",UPPER(LEFT(C35,1))&amp;LOWER(MID(C35,2,30))&amp;" "&amp;LOWER(LEFT(B35,1))&amp;MID(B35,2,200))</f>
        <v/>
      </c>
      <c r="E35" s="4" t="n"/>
      <c r="F35" s="4" t="n"/>
      <c r="G35" s="4" t="n"/>
      <c r="H35" s="4" t="n"/>
      <c r="I35" s="4" t="n"/>
      <c r="J35" s="4" t="n"/>
      <c r="K35" s="5">
        <f>_xlfn.TEXTJOIN(CHAR(10),TRUE,IF(E35="","","• "&amp;E35),IF(F35="","","• "&amp;F35),IF(G35="","","• "&amp;G35),IF(H35="","","• "&amp;H35),IF(I35="","","• "&amp;I35),IF(J35="","","• "&amp;J35))</f>
        <v/>
      </c>
      <c r="L35" s="4" t="n"/>
      <c r="M35" s="19" t="n"/>
      <c r="N35" s="19" t="n"/>
      <c r="O35" s="30">
        <f>IF(OR(M35="",N35=""),"",INDEX(RiskGrid,6-VALUE(LEFT(M35,1)),VALUE(LEFT(N35,1))))</f>
        <v/>
      </c>
      <c r="P35" s="30">
        <f>IF(O35="","",IF(O35&gt;=BandVH,"Very High",IF(O35&gt;=BandHigh,"High",IF(O35&gt;=BandMed,"Medium","Low"))))</f>
        <v/>
      </c>
      <c r="Q35" s="4" t="n"/>
      <c r="R35" s="19" t="n"/>
      <c r="S35" s="4" t="n"/>
      <c r="T35" s="19" t="n"/>
      <c r="U35" s="4" t="n"/>
      <c r="V35" s="19" t="n"/>
      <c r="W35" s="4" t="n"/>
      <c r="X35" s="19" t="n"/>
      <c r="Y35" s="4" t="n"/>
      <c r="Z35" s="19" t="n"/>
      <c r="AA35" s="4" t="n"/>
      <c r="AB35" s="19" t="n"/>
      <c r="AC35" s="5">
        <f>_xlfn.TEXTJOIN(CHAR(10),TRUE,IF(Q35="","","• "&amp;Q35&amp;IF(R35="Yes","  [IPL]","")),IF(S35="","","• "&amp;S35&amp;IF(T35="Yes","  [IPL]","")),IF(U35="","","• "&amp;U35&amp;IF(V35="Yes","  [IPL]","")),IF(W35="","","• "&amp;W35&amp;IF(X35="Yes","  [IPL]","")),IF(Y35="","","• "&amp;Y35&amp;IF(Z35="Yes","  [IPL]","")),IF(AA35="","","• "&amp;AA35&amp;IF(AB35="Yes","  [IPL]","")))</f>
        <v/>
      </c>
      <c r="AD35" s="30">
        <f>IF(AC35="","",COUNTIF(Q35:AB35,"Yes"))</f>
        <v/>
      </c>
      <c r="AE35" s="19" t="n"/>
      <c r="AF35" s="19" t="n"/>
      <c r="AG35" s="30">
        <f>IF(OR(AE35="",AF35=""),"",INDEX(RiskGrid,6-VALUE(LEFT(AE35,1)),VALUE(LEFT(AF35,1))))</f>
        <v/>
      </c>
      <c r="AH35" s="30">
        <f>IF(AG35="","",IF(AG35&gt;=BandVH,"Very High",IF(AG35&gt;=BandHigh,"High",IF(AG35&gt;=BandMed,"Medium","Low"))))</f>
        <v/>
      </c>
      <c r="AI35" s="4" t="n"/>
      <c r="AJ35" s="4" t="n"/>
    </row>
    <row r="36">
      <c r="A36" s="30">
        <f>IF(B36="","",COUNTIF(B$14:B36,"?*"))</f>
        <v/>
      </c>
      <c r="B36" s="4" t="n"/>
      <c r="C36" s="19" t="n"/>
      <c r="D36" s="5">
        <f>IF(OR(B36="",C36=""),"",UPPER(LEFT(C36,1))&amp;LOWER(MID(C36,2,30))&amp;" "&amp;LOWER(LEFT(B36,1))&amp;MID(B36,2,200))</f>
        <v/>
      </c>
      <c r="E36" s="4" t="n"/>
      <c r="F36" s="4" t="n"/>
      <c r="G36" s="4" t="n"/>
      <c r="H36" s="4" t="n"/>
      <c r="I36" s="4" t="n"/>
      <c r="J36" s="4" t="n"/>
      <c r="K36" s="5">
        <f>_xlfn.TEXTJOIN(CHAR(10),TRUE,IF(E36="","","• "&amp;E36),IF(F36="","","• "&amp;F36),IF(G36="","","• "&amp;G36),IF(H36="","","• "&amp;H36),IF(I36="","","• "&amp;I36),IF(J36="","","• "&amp;J36))</f>
        <v/>
      </c>
      <c r="L36" s="4" t="n"/>
      <c r="M36" s="19" t="n"/>
      <c r="N36" s="19" t="n"/>
      <c r="O36" s="30">
        <f>IF(OR(M36="",N36=""),"",INDEX(RiskGrid,6-VALUE(LEFT(M36,1)),VALUE(LEFT(N36,1))))</f>
        <v/>
      </c>
      <c r="P36" s="30">
        <f>IF(O36="","",IF(O36&gt;=BandVH,"Very High",IF(O36&gt;=BandHigh,"High",IF(O36&gt;=BandMed,"Medium","Low"))))</f>
        <v/>
      </c>
      <c r="Q36" s="4" t="n"/>
      <c r="R36" s="19" t="n"/>
      <c r="S36" s="4" t="n"/>
      <c r="T36" s="19" t="n"/>
      <c r="U36" s="4" t="n"/>
      <c r="V36" s="19" t="n"/>
      <c r="W36" s="4" t="n"/>
      <c r="X36" s="19" t="n"/>
      <c r="Y36" s="4" t="n"/>
      <c r="Z36" s="19" t="n"/>
      <c r="AA36" s="4" t="n"/>
      <c r="AB36" s="19" t="n"/>
      <c r="AC36" s="5">
        <f>_xlfn.TEXTJOIN(CHAR(10),TRUE,IF(Q36="","","• "&amp;Q36&amp;IF(R36="Yes","  [IPL]","")),IF(S36="","","• "&amp;S36&amp;IF(T36="Yes","  [IPL]","")),IF(U36="","","• "&amp;U36&amp;IF(V36="Yes","  [IPL]","")),IF(W36="","","• "&amp;W36&amp;IF(X36="Yes","  [IPL]","")),IF(Y36="","","• "&amp;Y36&amp;IF(Z36="Yes","  [IPL]","")),IF(AA36="","","• "&amp;AA36&amp;IF(AB36="Yes","  [IPL]","")))</f>
        <v/>
      </c>
      <c r="AD36" s="30">
        <f>IF(AC36="","",COUNTIF(Q36:AB36,"Yes"))</f>
        <v/>
      </c>
      <c r="AE36" s="19" t="n"/>
      <c r="AF36" s="19" t="n"/>
      <c r="AG36" s="30">
        <f>IF(OR(AE36="",AF36=""),"",INDEX(RiskGrid,6-VALUE(LEFT(AE36,1)),VALUE(LEFT(AF36,1))))</f>
        <v/>
      </c>
      <c r="AH36" s="30">
        <f>IF(AG36="","",IF(AG36&gt;=BandVH,"Very High",IF(AG36&gt;=BandHigh,"High",IF(AG36&gt;=BandMed,"Medium","Low"))))</f>
        <v/>
      </c>
      <c r="AI36" s="4" t="n"/>
      <c r="AJ36" s="4" t="n"/>
    </row>
    <row r="37">
      <c r="A37" s="30">
        <f>IF(B37="","",COUNTIF(B$14:B37,"?*"))</f>
        <v/>
      </c>
      <c r="B37" s="4" t="n"/>
      <c r="C37" s="19" t="n"/>
      <c r="D37" s="5">
        <f>IF(OR(B37="",C37=""),"",UPPER(LEFT(C37,1))&amp;LOWER(MID(C37,2,30))&amp;" "&amp;LOWER(LEFT(B37,1))&amp;MID(B37,2,200))</f>
        <v/>
      </c>
      <c r="E37" s="4" t="n"/>
      <c r="F37" s="4" t="n"/>
      <c r="G37" s="4" t="n"/>
      <c r="H37" s="4" t="n"/>
      <c r="I37" s="4" t="n"/>
      <c r="J37" s="4" t="n"/>
      <c r="K37" s="5">
        <f>_xlfn.TEXTJOIN(CHAR(10),TRUE,IF(E37="","","• "&amp;E37),IF(F37="","","• "&amp;F37),IF(G37="","","• "&amp;G37),IF(H37="","","• "&amp;H37),IF(I37="","","• "&amp;I37),IF(J37="","","• "&amp;J37))</f>
        <v/>
      </c>
      <c r="L37" s="4" t="n"/>
      <c r="M37" s="19" t="n"/>
      <c r="N37" s="19" t="n"/>
      <c r="O37" s="30">
        <f>IF(OR(M37="",N37=""),"",INDEX(RiskGrid,6-VALUE(LEFT(M37,1)),VALUE(LEFT(N37,1))))</f>
        <v/>
      </c>
      <c r="P37" s="30">
        <f>IF(O37="","",IF(O37&gt;=BandVH,"Very High",IF(O37&gt;=BandHigh,"High",IF(O37&gt;=BandMed,"Medium","Low"))))</f>
        <v/>
      </c>
      <c r="Q37" s="4" t="n"/>
      <c r="R37" s="19" t="n"/>
      <c r="S37" s="4" t="n"/>
      <c r="T37" s="19" t="n"/>
      <c r="U37" s="4" t="n"/>
      <c r="V37" s="19" t="n"/>
      <c r="W37" s="4" t="n"/>
      <c r="X37" s="19" t="n"/>
      <c r="Y37" s="4" t="n"/>
      <c r="Z37" s="19" t="n"/>
      <c r="AA37" s="4" t="n"/>
      <c r="AB37" s="19" t="n"/>
      <c r="AC37" s="5">
        <f>_xlfn.TEXTJOIN(CHAR(10),TRUE,IF(Q37="","","• "&amp;Q37&amp;IF(R37="Yes","  [IPL]","")),IF(S37="","","• "&amp;S37&amp;IF(T37="Yes","  [IPL]","")),IF(U37="","","• "&amp;U37&amp;IF(V37="Yes","  [IPL]","")),IF(W37="","","• "&amp;W37&amp;IF(X37="Yes","  [IPL]","")),IF(Y37="","","• "&amp;Y37&amp;IF(Z37="Yes","  [IPL]","")),IF(AA37="","","• "&amp;AA37&amp;IF(AB37="Yes","  [IPL]","")))</f>
        <v/>
      </c>
      <c r="AD37" s="30">
        <f>IF(AC37="","",COUNTIF(Q37:AB37,"Yes"))</f>
        <v/>
      </c>
      <c r="AE37" s="19" t="n"/>
      <c r="AF37" s="19" t="n"/>
      <c r="AG37" s="30">
        <f>IF(OR(AE37="",AF37=""),"",INDEX(RiskGrid,6-VALUE(LEFT(AE37,1)),VALUE(LEFT(AF37,1))))</f>
        <v/>
      </c>
      <c r="AH37" s="30">
        <f>IF(AG37="","",IF(AG37&gt;=BandVH,"Very High",IF(AG37&gt;=BandHigh,"High",IF(AG37&gt;=BandMed,"Medium","Low"))))</f>
        <v/>
      </c>
      <c r="AI37" s="4" t="n"/>
      <c r="AJ37" s="4" t="n"/>
    </row>
    <row r="38">
      <c r="A38" s="30">
        <f>IF(B38="","",COUNTIF(B$14:B38,"?*"))</f>
        <v/>
      </c>
      <c r="B38" s="4" t="n"/>
      <c r="C38" s="19" t="n"/>
      <c r="D38" s="5">
        <f>IF(OR(B38="",C38=""),"",UPPER(LEFT(C38,1))&amp;LOWER(MID(C38,2,30))&amp;" "&amp;LOWER(LEFT(B38,1))&amp;MID(B38,2,200))</f>
        <v/>
      </c>
      <c r="E38" s="4" t="n"/>
      <c r="F38" s="4" t="n"/>
      <c r="G38" s="4" t="n"/>
      <c r="H38" s="4" t="n"/>
      <c r="I38" s="4" t="n"/>
      <c r="J38" s="4" t="n"/>
      <c r="K38" s="5">
        <f>_xlfn.TEXTJOIN(CHAR(10),TRUE,IF(E38="","","• "&amp;E38),IF(F38="","","• "&amp;F38),IF(G38="","","• "&amp;G38),IF(H38="","","• "&amp;H38),IF(I38="","","• "&amp;I38),IF(J38="","","• "&amp;J38))</f>
        <v/>
      </c>
      <c r="L38" s="4" t="n"/>
      <c r="M38" s="19" t="n"/>
      <c r="N38" s="19" t="n"/>
      <c r="O38" s="30">
        <f>IF(OR(M38="",N38=""),"",INDEX(RiskGrid,6-VALUE(LEFT(M38,1)),VALUE(LEFT(N38,1))))</f>
        <v/>
      </c>
      <c r="P38" s="30">
        <f>IF(O38="","",IF(O38&gt;=BandVH,"Very High",IF(O38&gt;=BandHigh,"High",IF(O38&gt;=BandMed,"Medium","Low"))))</f>
        <v/>
      </c>
      <c r="Q38" s="4" t="n"/>
      <c r="R38" s="19" t="n"/>
      <c r="S38" s="4" t="n"/>
      <c r="T38" s="19" t="n"/>
      <c r="U38" s="4" t="n"/>
      <c r="V38" s="19" t="n"/>
      <c r="W38" s="4" t="n"/>
      <c r="X38" s="19" t="n"/>
      <c r="Y38" s="4" t="n"/>
      <c r="Z38" s="19" t="n"/>
      <c r="AA38" s="4" t="n"/>
      <c r="AB38" s="19" t="n"/>
      <c r="AC38" s="5">
        <f>_xlfn.TEXTJOIN(CHAR(10),TRUE,IF(Q38="","","• "&amp;Q38&amp;IF(R38="Yes","  [IPL]","")),IF(S38="","","• "&amp;S38&amp;IF(T38="Yes","  [IPL]","")),IF(U38="","","• "&amp;U38&amp;IF(V38="Yes","  [IPL]","")),IF(W38="","","• "&amp;W38&amp;IF(X38="Yes","  [IPL]","")),IF(Y38="","","• "&amp;Y38&amp;IF(Z38="Yes","  [IPL]","")),IF(AA38="","","• "&amp;AA38&amp;IF(AB38="Yes","  [IPL]","")))</f>
        <v/>
      </c>
      <c r="AD38" s="30">
        <f>IF(AC38="","",COUNTIF(Q38:AB38,"Yes"))</f>
        <v/>
      </c>
      <c r="AE38" s="19" t="n"/>
      <c r="AF38" s="19" t="n"/>
      <c r="AG38" s="30">
        <f>IF(OR(AE38="",AF38=""),"",INDEX(RiskGrid,6-VALUE(LEFT(AE38,1)),VALUE(LEFT(AF38,1))))</f>
        <v/>
      </c>
      <c r="AH38" s="30">
        <f>IF(AG38="","",IF(AG38&gt;=BandVH,"Very High",IF(AG38&gt;=BandHigh,"High",IF(AG38&gt;=BandMed,"Medium","Low"))))</f>
        <v/>
      </c>
      <c r="AI38" s="4" t="n"/>
      <c r="AJ38" s="4" t="n"/>
    </row>
    <row r="39">
      <c r="A39" s="30">
        <f>IF(B39="","",COUNTIF(B$14:B39,"?*"))</f>
        <v/>
      </c>
      <c r="B39" s="4" t="n"/>
      <c r="C39" s="19" t="n"/>
      <c r="D39" s="5">
        <f>IF(OR(B39="",C39=""),"",UPPER(LEFT(C39,1))&amp;LOWER(MID(C39,2,30))&amp;" "&amp;LOWER(LEFT(B39,1))&amp;MID(B39,2,200))</f>
        <v/>
      </c>
      <c r="E39" s="4" t="n"/>
      <c r="F39" s="4" t="n"/>
      <c r="G39" s="4" t="n"/>
      <c r="H39" s="4" t="n"/>
      <c r="I39" s="4" t="n"/>
      <c r="J39" s="4" t="n"/>
      <c r="K39" s="5">
        <f>_xlfn.TEXTJOIN(CHAR(10),TRUE,IF(E39="","","• "&amp;E39),IF(F39="","","• "&amp;F39),IF(G39="","","• "&amp;G39),IF(H39="","","• "&amp;H39),IF(I39="","","• "&amp;I39),IF(J39="","","• "&amp;J39))</f>
        <v/>
      </c>
      <c r="L39" s="4" t="n"/>
      <c r="M39" s="19" t="n"/>
      <c r="N39" s="19" t="n"/>
      <c r="O39" s="30">
        <f>IF(OR(M39="",N39=""),"",INDEX(RiskGrid,6-VALUE(LEFT(M39,1)),VALUE(LEFT(N39,1))))</f>
        <v/>
      </c>
      <c r="P39" s="30">
        <f>IF(O39="","",IF(O39&gt;=BandVH,"Very High",IF(O39&gt;=BandHigh,"High",IF(O39&gt;=BandMed,"Medium","Low"))))</f>
        <v/>
      </c>
      <c r="Q39" s="4" t="n"/>
      <c r="R39" s="19" t="n"/>
      <c r="S39" s="4" t="n"/>
      <c r="T39" s="19" t="n"/>
      <c r="U39" s="4" t="n"/>
      <c r="V39" s="19" t="n"/>
      <c r="W39" s="4" t="n"/>
      <c r="X39" s="19" t="n"/>
      <c r="Y39" s="4" t="n"/>
      <c r="Z39" s="19" t="n"/>
      <c r="AA39" s="4" t="n"/>
      <c r="AB39" s="19" t="n"/>
      <c r="AC39" s="5">
        <f>_xlfn.TEXTJOIN(CHAR(10),TRUE,IF(Q39="","","• "&amp;Q39&amp;IF(R39="Yes","  [IPL]","")),IF(S39="","","• "&amp;S39&amp;IF(T39="Yes","  [IPL]","")),IF(U39="","","• "&amp;U39&amp;IF(V39="Yes","  [IPL]","")),IF(W39="","","• "&amp;W39&amp;IF(X39="Yes","  [IPL]","")),IF(Y39="","","• "&amp;Y39&amp;IF(Z39="Yes","  [IPL]","")),IF(AA39="","","• "&amp;AA39&amp;IF(AB39="Yes","  [IPL]","")))</f>
        <v/>
      </c>
      <c r="AD39" s="30">
        <f>IF(AC39="","",COUNTIF(Q39:AB39,"Yes"))</f>
        <v/>
      </c>
      <c r="AE39" s="19" t="n"/>
      <c r="AF39" s="19" t="n"/>
      <c r="AG39" s="30">
        <f>IF(OR(AE39="",AF39=""),"",INDEX(RiskGrid,6-VALUE(LEFT(AE39,1)),VALUE(LEFT(AF39,1))))</f>
        <v/>
      </c>
      <c r="AH39" s="30">
        <f>IF(AG39="","",IF(AG39&gt;=BandVH,"Very High",IF(AG39&gt;=BandHigh,"High",IF(AG39&gt;=BandMed,"Medium","Low"))))</f>
        <v/>
      </c>
      <c r="AI39" s="4" t="n"/>
      <c r="AJ39" s="4" t="n"/>
    </row>
    <row r="40">
      <c r="A40" s="30">
        <f>IF(B40="","",COUNTIF(B$14:B40,"?*"))</f>
        <v/>
      </c>
      <c r="B40" s="4" t="n"/>
      <c r="C40" s="19" t="n"/>
      <c r="D40" s="5">
        <f>IF(OR(B40="",C40=""),"",UPPER(LEFT(C40,1))&amp;LOWER(MID(C40,2,30))&amp;" "&amp;LOWER(LEFT(B40,1))&amp;MID(B40,2,200))</f>
        <v/>
      </c>
      <c r="E40" s="4" t="n"/>
      <c r="F40" s="4" t="n"/>
      <c r="G40" s="4" t="n"/>
      <c r="H40" s="4" t="n"/>
      <c r="I40" s="4" t="n"/>
      <c r="J40" s="4" t="n"/>
      <c r="K40" s="5">
        <f>_xlfn.TEXTJOIN(CHAR(10),TRUE,IF(E40="","","• "&amp;E40),IF(F40="","","• "&amp;F40),IF(G40="","","• "&amp;G40),IF(H40="","","• "&amp;H40),IF(I40="","","• "&amp;I40),IF(J40="","","• "&amp;J40))</f>
        <v/>
      </c>
      <c r="L40" s="4" t="n"/>
      <c r="M40" s="19" t="n"/>
      <c r="N40" s="19" t="n"/>
      <c r="O40" s="30">
        <f>IF(OR(M40="",N40=""),"",INDEX(RiskGrid,6-VALUE(LEFT(M40,1)),VALUE(LEFT(N40,1))))</f>
        <v/>
      </c>
      <c r="P40" s="30">
        <f>IF(O40="","",IF(O40&gt;=BandVH,"Very High",IF(O40&gt;=BandHigh,"High",IF(O40&gt;=BandMed,"Medium","Low"))))</f>
        <v/>
      </c>
      <c r="Q40" s="4" t="n"/>
      <c r="R40" s="19" t="n"/>
      <c r="S40" s="4" t="n"/>
      <c r="T40" s="19" t="n"/>
      <c r="U40" s="4" t="n"/>
      <c r="V40" s="19" t="n"/>
      <c r="W40" s="4" t="n"/>
      <c r="X40" s="19" t="n"/>
      <c r="Y40" s="4" t="n"/>
      <c r="Z40" s="19" t="n"/>
      <c r="AA40" s="4" t="n"/>
      <c r="AB40" s="19" t="n"/>
      <c r="AC40" s="5">
        <f>_xlfn.TEXTJOIN(CHAR(10),TRUE,IF(Q40="","","• "&amp;Q40&amp;IF(R40="Yes","  [IPL]","")),IF(S40="","","• "&amp;S40&amp;IF(T40="Yes","  [IPL]","")),IF(U40="","","• "&amp;U40&amp;IF(V40="Yes","  [IPL]","")),IF(W40="","","• "&amp;W40&amp;IF(X40="Yes","  [IPL]","")),IF(Y40="","","• "&amp;Y40&amp;IF(Z40="Yes","  [IPL]","")),IF(AA40="","","• "&amp;AA40&amp;IF(AB40="Yes","  [IPL]","")))</f>
        <v/>
      </c>
      <c r="AD40" s="30">
        <f>IF(AC40="","",COUNTIF(Q40:AB40,"Yes"))</f>
        <v/>
      </c>
      <c r="AE40" s="19" t="n"/>
      <c r="AF40" s="19" t="n"/>
      <c r="AG40" s="30">
        <f>IF(OR(AE40="",AF40=""),"",INDEX(RiskGrid,6-VALUE(LEFT(AE40,1)),VALUE(LEFT(AF40,1))))</f>
        <v/>
      </c>
      <c r="AH40" s="30">
        <f>IF(AG40="","",IF(AG40&gt;=BandVH,"Very High",IF(AG40&gt;=BandHigh,"High",IF(AG40&gt;=BandMed,"Medium","Low"))))</f>
        <v/>
      </c>
      <c r="AI40" s="4" t="n"/>
      <c r="AJ40" s="4" t="n"/>
    </row>
    <row r="41">
      <c r="A41" s="30">
        <f>IF(B41="","",COUNTIF(B$14:B41,"?*"))</f>
        <v/>
      </c>
      <c r="B41" s="4" t="n"/>
      <c r="C41" s="19" t="n"/>
      <c r="D41" s="5">
        <f>IF(OR(B41="",C41=""),"",UPPER(LEFT(C41,1))&amp;LOWER(MID(C41,2,30))&amp;" "&amp;LOWER(LEFT(B41,1))&amp;MID(B41,2,200))</f>
        <v/>
      </c>
      <c r="E41" s="4" t="n"/>
      <c r="F41" s="4" t="n"/>
      <c r="G41" s="4" t="n"/>
      <c r="H41" s="4" t="n"/>
      <c r="I41" s="4" t="n"/>
      <c r="J41" s="4" t="n"/>
      <c r="K41" s="5">
        <f>_xlfn.TEXTJOIN(CHAR(10),TRUE,IF(E41="","","• "&amp;E41),IF(F41="","","• "&amp;F41),IF(G41="","","• "&amp;G41),IF(H41="","","• "&amp;H41),IF(I41="","","• "&amp;I41),IF(J41="","","• "&amp;J41))</f>
        <v/>
      </c>
      <c r="L41" s="4" t="n"/>
      <c r="M41" s="19" t="n"/>
      <c r="N41" s="19" t="n"/>
      <c r="O41" s="30">
        <f>IF(OR(M41="",N41=""),"",INDEX(RiskGrid,6-VALUE(LEFT(M41,1)),VALUE(LEFT(N41,1))))</f>
        <v/>
      </c>
      <c r="P41" s="30">
        <f>IF(O41="","",IF(O41&gt;=BandVH,"Very High",IF(O41&gt;=BandHigh,"High",IF(O41&gt;=BandMed,"Medium","Low"))))</f>
        <v/>
      </c>
      <c r="Q41" s="4" t="n"/>
      <c r="R41" s="19" t="n"/>
      <c r="S41" s="4" t="n"/>
      <c r="T41" s="19" t="n"/>
      <c r="U41" s="4" t="n"/>
      <c r="V41" s="19" t="n"/>
      <c r="W41" s="4" t="n"/>
      <c r="X41" s="19" t="n"/>
      <c r="Y41" s="4" t="n"/>
      <c r="Z41" s="19" t="n"/>
      <c r="AA41" s="4" t="n"/>
      <c r="AB41" s="19" t="n"/>
      <c r="AC41" s="5">
        <f>_xlfn.TEXTJOIN(CHAR(10),TRUE,IF(Q41="","","• "&amp;Q41&amp;IF(R41="Yes","  [IPL]","")),IF(S41="","","• "&amp;S41&amp;IF(T41="Yes","  [IPL]","")),IF(U41="","","• "&amp;U41&amp;IF(V41="Yes","  [IPL]","")),IF(W41="","","• "&amp;W41&amp;IF(X41="Yes","  [IPL]","")),IF(Y41="","","• "&amp;Y41&amp;IF(Z41="Yes","  [IPL]","")),IF(AA41="","","• "&amp;AA41&amp;IF(AB41="Yes","  [IPL]","")))</f>
        <v/>
      </c>
      <c r="AD41" s="30">
        <f>IF(AC41="","",COUNTIF(Q41:AB41,"Yes"))</f>
        <v/>
      </c>
      <c r="AE41" s="19" t="n"/>
      <c r="AF41" s="19" t="n"/>
      <c r="AG41" s="30">
        <f>IF(OR(AE41="",AF41=""),"",INDEX(RiskGrid,6-VALUE(LEFT(AE41,1)),VALUE(LEFT(AF41,1))))</f>
        <v/>
      </c>
      <c r="AH41" s="30">
        <f>IF(AG41="","",IF(AG41&gt;=BandVH,"Very High",IF(AG41&gt;=BandHigh,"High",IF(AG41&gt;=BandMed,"Medium","Low"))))</f>
        <v/>
      </c>
      <c r="AI41" s="4" t="n"/>
      <c r="AJ41" s="4" t="n"/>
    </row>
    <row r="42">
      <c r="A42" s="30">
        <f>IF(B42="","",COUNTIF(B$14:B42,"?*"))</f>
        <v/>
      </c>
      <c r="B42" s="4" t="n"/>
      <c r="C42" s="19" t="n"/>
      <c r="D42" s="5">
        <f>IF(OR(B42="",C42=""),"",UPPER(LEFT(C42,1))&amp;LOWER(MID(C42,2,30))&amp;" "&amp;LOWER(LEFT(B42,1))&amp;MID(B42,2,200))</f>
        <v/>
      </c>
      <c r="E42" s="4" t="n"/>
      <c r="F42" s="4" t="n"/>
      <c r="G42" s="4" t="n"/>
      <c r="H42" s="4" t="n"/>
      <c r="I42" s="4" t="n"/>
      <c r="J42" s="4" t="n"/>
      <c r="K42" s="5">
        <f>_xlfn.TEXTJOIN(CHAR(10),TRUE,IF(E42="","","• "&amp;E42),IF(F42="","","• "&amp;F42),IF(G42="","","• "&amp;G42),IF(H42="","","• "&amp;H42),IF(I42="","","• "&amp;I42),IF(J42="","","• "&amp;J42))</f>
        <v/>
      </c>
      <c r="L42" s="4" t="n"/>
      <c r="M42" s="19" t="n"/>
      <c r="N42" s="19" t="n"/>
      <c r="O42" s="30">
        <f>IF(OR(M42="",N42=""),"",INDEX(RiskGrid,6-VALUE(LEFT(M42,1)),VALUE(LEFT(N42,1))))</f>
        <v/>
      </c>
      <c r="P42" s="30">
        <f>IF(O42="","",IF(O42&gt;=BandVH,"Very High",IF(O42&gt;=BandHigh,"High",IF(O42&gt;=BandMed,"Medium","Low"))))</f>
        <v/>
      </c>
      <c r="Q42" s="4" t="n"/>
      <c r="R42" s="19" t="n"/>
      <c r="S42" s="4" t="n"/>
      <c r="T42" s="19" t="n"/>
      <c r="U42" s="4" t="n"/>
      <c r="V42" s="19" t="n"/>
      <c r="W42" s="4" t="n"/>
      <c r="X42" s="19" t="n"/>
      <c r="Y42" s="4" t="n"/>
      <c r="Z42" s="19" t="n"/>
      <c r="AA42" s="4" t="n"/>
      <c r="AB42" s="19" t="n"/>
      <c r="AC42" s="5">
        <f>_xlfn.TEXTJOIN(CHAR(10),TRUE,IF(Q42="","","• "&amp;Q42&amp;IF(R42="Yes","  [IPL]","")),IF(S42="","","• "&amp;S42&amp;IF(T42="Yes","  [IPL]","")),IF(U42="","","• "&amp;U42&amp;IF(V42="Yes","  [IPL]","")),IF(W42="","","• "&amp;W42&amp;IF(X42="Yes","  [IPL]","")),IF(Y42="","","• "&amp;Y42&amp;IF(Z42="Yes","  [IPL]","")),IF(AA42="","","• "&amp;AA42&amp;IF(AB42="Yes","  [IPL]","")))</f>
        <v/>
      </c>
      <c r="AD42" s="30">
        <f>IF(AC42="","",COUNTIF(Q42:AB42,"Yes"))</f>
        <v/>
      </c>
      <c r="AE42" s="19" t="n"/>
      <c r="AF42" s="19" t="n"/>
      <c r="AG42" s="30">
        <f>IF(OR(AE42="",AF42=""),"",INDEX(RiskGrid,6-VALUE(LEFT(AE42,1)),VALUE(LEFT(AF42,1))))</f>
        <v/>
      </c>
      <c r="AH42" s="30">
        <f>IF(AG42="","",IF(AG42&gt;=BandVH,"Very High",IF(AG42&gt;=BandHigh,"High",IF(AG42&gt;=BandMed,"Medium","Low"))))</f>
        <v/>
      </c>
      <c r="AI42" s="4" t="n"/>
      <c r="AJ42" s="4" t="n"/>
    </row>
    <row r="43">
      <c r="A43" s="30">
        <f>IF(B43="","",COUNTIF(B$14:B43,"?*"))</f>
        <v/>
      </c>
      <c r="B43" s="4" t="n"/>
      <c r="C43" s="19" t="n"/>
      <c r="D43" s="5">
        <f>IF(OR(B43="",C43=""),"",UPPER(LEFT(C43,1))&amp;LOWER(MID(C43,2,30))&amp;" "&amp;LOWER(LEFT(B43,1))&amp;MID(B43,2,200))</f>
        <v/>
      </c>
      <c r="E43" s="4" t="n"/>
      <c r="F43" s="4" t="n"/>
      <c r="G43" s="4" t="n"/>
      <c r="H43" s="4" t="n"/>
      <c r="I43" s="4" t="n"/>
      <c r="J43" s="4" t="n"/>
      <c r="K43" s="5">
        <f>_xlfn.TEXTJOIN(CHAR(10),TRUE,IF(E43="","","• "&amp;E43),IF(F43="","","• "&amp;F43),IF(G43="","","• "&amp;G43),IF(H43="","","• "&amp;H43),IF(I43="","","• "&amp;I43),IF(J43="","","• "&amp;J43))</f>
        <v/>
      </c>
      <c r="L43" s="4" t="n"/>
      <c r="M43" s="19" t="n"/>
      <c r="N43" s="19" t="n"/>
      <c r="O43" s="30">
        <f>IF(OR(M43="",N43=""),"",INDEX(RiskGrid,6-VALUE(LEFT(M43,1)),VALUE(LEFT(N43,1))))</f>
        <v/>
      </c>
      <c r="P43" s="30">
        <f>IF(O43="","",IF(O43&gt;=BandVH,"Very High",IF(O43&gt;=BandHigh,"High",IF(O43&gt;=BandMed,"Medium","Low"))))</f>
        <v/>
      </c>
      <c r="Q43" s="4" t="n"/>
      <c r="R43" s="19" t="n"/>
      <c r="S43" s="4" t="n"/>
      <c r="T43" s="19" t="n"/>
      <c r="U43" s="4" t="n"/>
      <c r="V43" s="19" t="n"/>
      <c r="W43" s="4" t="n"/>
      <c r="X43" s="19" t="n"/>
      <c r="Y43" s="4" t="n"/>
      <c r="Z43" s="19" t="n"/>
      <c r="AA43" s="4" t="n"/>
      <c r="AB43" s="19" t="n"/>
      <c r="AC43" s="5">
        <f>_xlfn.TEXTJOIN(CHAR(10),TRUE,IF(Q43="","","• "&amp;Q43&amp;IF(R43="Yes","  [IPL]","")),IF(S43="","","• "&amp;S43&amp;IF(T43="Yes","  [IPL]","")),IF(U43="","","• "&amp;U43&amp;IF(V43="Yes","  [IPL]","")),IF(W43="","","• "&amp;W43&amp;IF(X43="Yes","  [IPL]","")),IF(Y43="","","• "&amp;Y43&amp;IF(Z43="Yes","  [IPL]","")),IF(AA43="","","• "&amp;AA43&amp;IF(AB43="Yes","  [IPL]","")))</f>
        <v/>
      </c>
      <c r="AD43" s="30">
        <f>IF(AC43="","",COUNTIF(Q43:AB43,"Yes"))</f>
        <v/>
      </c>
      <c r="AE43" s="19" t="n"/>
      <c r="AF43" s="19" t="n"/>
      <c r="AG43" s="30">
        <f>IF(OR(AE43="",AF43=""),"",INDEX(RiskGrid,6-VALUE(LEFT(AE43,1)),VALUE(LEFT(AF43,1))))</f>
        <v/>
      </c>
      <c r="AH43" s="30">
        <f>IF(AG43="","",IF(AG43&gt;=BandVH,"Very High",IF(AG43&gt;=BandHigh,"High",IF(AG43&gt;=BandMed,"Medium","Low"))))</f>
        <v/>
      </c>
      <c r="AI43" s="4" t="n"/>
      <c r="AJ43" s="4" t="n"/>
    </row>
    <row r="44">
      <c r="A44" s="30">
        <f>IF(B44="","",COUNTIF(B$14:B44,"?*"))</f>
        <v/>
      </c>
      <c r="B44" s="4" t="n"/>
      <c r="C44" s="19" t="n"/>
      <c r="D44" s="5">
        <f>IF(OR(B44="",C44=""),"",UPPER(LEFT(C44,1))&amp;LOWER(MID(C44,2,30))&amp;" "&amp;LOWER(LEFT(B44,1))&amp;MID(B44,2,200))</f>
        <v/>
      </c>
      <c r="E44" s="4" t="n"/>
      <c r="F44" s="4" t="n"/>
      <c r="G44" s="4" t="n"/>
      <c r="H44" s="4" t="n"/>
      <c r="I44" s="4" t="n"/>
      <c r="J44" s="4" t="n"/>
      <c r="K44" s="5">
        <f>_xlfn.TEXTJOIN(CHAR(10),TRUE,IF(E44="","","• "&amp;E44),IF(F44="","","• "&amp;F44),IF(G44="","","• "&amp;G44),IF(H44="","","• "&amp;H44),IF(I44="","","• "&amp;I44),IF(J44="","","• "&amp;J44))</f>
        <v/>
      </c>
      <c r="L44" s="4" t="n"/>
      <c r="M44" s="19" t="n"/>
      <c r="N44" s="19" t="n"/>
      <c r="O44" s="30">
        <f>IF(OR(M44="",N44=""),"",INDEX(RiskGrid,6-VALUE(LEFT(M44,1)),VALUE(LEFT(N44,1))))</f>
        <v/>
      </c>
      <c r="P44" s="30">
        <f>IF(O44="","",IF(O44&gt;=BandVH,"Very High",IF(O44&gt;=BandHigh,"High",IF(O44&gt;=BandMed,"Medium","Low"))))</f>
        <v/>
      </c>
      <c r="Q44" s="4" t="n"/>
      <c r="R44" s="19" t="n"/>
      <c r="S44" s="4" t="n"/>
      <c r="T44" s="19" t="n"/>
      <c r="U44" s="4" t="n"/>
      <c r="V44" s="19" t="n"/>
      <c r="W44" s="4" t="n"/>
      <c r="X44" s="19" t="n"/>
      <c r="Y44" s="4" t="n"/>
      <c r="Z44" s="19" t="n"/>
      <c r="AA44" s="4" t="n"/>
      <c r="AB44" s="19" t="n"/>
      <c r="AC44" s="5">
        <f>_xlfn.TEXTJOIN(CHAR(10),TRUE,IF(Q44="","","• "&amp;Q44&amp;IF(R44="Yes","  [IPL]","")),IF(S44="","","• "&amp;S44&amp;IF(T44="Yes","  [IPL]","")),IF(U44="","","• "&amp;U44&amp;IF(V44="Yes","  [IPL]","")),IF(W44="","","• "&amp;W44&amp;IF(X44="Yes","  [IPL]","")),IF(Y44="","","• "&amp;Y44&amp;IF(Z44="Yes","  [IPL]","")),IF(AA44="","","• "&amp;AA44&amp;IF(AB44="Yes","  [IPL]","")))</f>
        <v/>
      </c>
      <c r="AD44" s="30">
        <f>IF(AC44="","",COUNTIF(Q44:AB44,"Yes"))</f>
        <v/>
      </c>
      <c r="AE44" s="19" t="n"/>
      <c r="AF44" s="19" t="n"/>
      <c r="AG44" s="30">
        <f>IF(OR(AE44="",AF44=""),"",INDEX(RiskGrid,6-VALUE(LEFT(AE44,1)),VALUE(LEFT(AF44,1))))</f>
        <v/>
      </c>
      <c r="AH44" s="30">
        <f>IF(AG44="","",IF(AG44&gt;=BandVH,"Very High",IF(AG44&gt;=BandHigh,"High",IF(AG44&gt;=BandMed,"Medium","Low"))))</f>
        <v/>
      </c>
      <c r="AI44" s="4" t="n"/>
      <c r="AJ44" s="4" t="n"/>
    </row>
    <row r="45">
      <c r="A45" s="30">
        <f>IF(B45="","",COUNTIF(B$14:B45,"?*"))</f>
        <v/>
      </c>
      <c r="B45" s="4" t="n"/>
      <c r="C45" s="19" t="n"/>
      <c r="D45" s="5">
        <f>IF(OR(B45="",C45=""),"",UPPER(LEFT(C45,1))&amp;LOWER(MID(C45,2,30))&amp;" "&amp;LOWER(LEFT(B45,1))&amp;MID(B45,2,200))</f>
        <v/>
      </c>
      <c r="E45" s="4" t="n"/>
      <c r="F45" s="4" t="n"/>
      <c r="G45" s="4" t="n"/>
      <c r="H45" s="4" t="n"/>
      <c r="I45" s="4" t="n"/>
      <c r="J45" s="4" t="n"/>
      <c r="K45" s="5">
        <f>_xlfn.TEXTJOIN(CHAR(10),TRUE,IF(E45="","","• "&amp;E45),IF(F45="","","• "&amp;F45),IF(G45="","","• "&amp;G45),IF(H45="","","• "&amp;H45),IF(I45="","","• "&amp;I45),IF(J45="","","• "&amp;J45))</f>
        <v/>
      </c>
      <c r="L45" s="4" t="n"/>
      <c r="M45" s="19" t="n"/>
      <c r="N45" s="19" t="n"/>
      <c r="O45" s="30">
        <f>IF(OR(M45="",N45=""),"",INDEX(RiskGrid,6-VALUE(LEFT(M45,1)),VALUE(LEFT(N45,1))))</f>
        <v/>
      </c>
      <c r="P45" s="30">
        <f>IF(O45="","",IF(O45&gt;=BandVH,"Very High",IF(O45&gt;=BandHigh,"High",IF(O45&gt;=BandMed,"Medium","Low"))))</f>
        <v/>
      </c>
      <c r="Q45" s="4" t="n"/>
      <c r="R45" s="19" t="n"/>
      <c r="S45" s="4" t="n"/>
      <c r="T45" s="19" t="n"/>
      <c r="U45" s="4" t="n"/>
      <c r="V45" s="19" t="n"/>
      <c r="W45" s="4" t="n"/>
      <c r="X45" s="19" t="n"/>
      <c r="Y45" s="4" t="n"/>
      <c r="Z45" s="19" t="n"/>
      <c r="AA45" s="4" t="n"/>
      <c r="AB45" s="19" t="n"/>
      <c r="AC45" s="5">
        <f>_xlfn.TEXTJOIN(CHAR(10),TRUE,IF(Q45="","","• "&amp;Q45&amp;IF(R45="Yes","  [IPL]","")),IF(S45="","","• "&amp;S45&amp;IF(T45="Yes","  [IPL]","")),IF(U45="","","• "&amp;U45&amp;IF(V45="Yes","  [IPL]","")),IF(W45="","","• "&amp;W45&amp;IF(X45="Yes","  [IPL]","")),IF(Y45="","","• "&amp;Y45&amp;IF(Z45="Yes","  [IPL]","")),IF(AA45="","","• "&amp;AA45&amp;IF(AB45="Yes","  [IPL]","")))</f>
        <v/>
      </c>
      <c r="AD45" s="30">
        <f>IF(AC45="","",COUNTIF(Q45:AB45,"Yes"))</f>
        <v/>
      </c>
      <c r="AE45" s="19" t="n"/>
      <c r="AF45" s="19" t="n"/>
      <c r="AG45" s="30">
        <f>IF(OR(AE45="",AF45=""),"",INDEX(RiskGrid,6-VALUE(LEFT(AE45,1)),VALUE(LEFT(AF45,1))))</f>
        <v/>
      </c>
      <c r="AH45" s="30">
        <f>IF(AG45="","",IF(AG45&gt;=BandVH,"Very High",IF(AG45&gt;=BandHigh,"High",IF(AG45&gt;=BandMed,"Medium","Low"))))</f>
        <v/>
      </c>
      <c r="AI45" s="4" t="n"/>
      <c r="AJ45" s="4" t="n"/>
    </row>
    <row r="46">
      <c r="A46" s="30">
        <f>IF(B46="","",COUNTIF(B$14:B46,"?*"))</f>
        <v/>
      </c>
      <c r="B46" s="4" t="n"/>
      <c r="C46" s="19" t="n"/>
      <c r="D46" s="5">
        <f>IF(OR(B46="",C46=""),"",UPPER(LEFT(C46,1))&amp;LOWER(MID(C46,2,30))&amp;" "&amp;LOWER(LEFT(B46,1))&amp;MID(B46,2,200))</f>
        <v/>
      </c>
      <c r="E46" s="4" t="n"/>
      <c r="F46" s="4" t="n"/>
      <c r="G46" s="4" t="n"/>
      <c r="H46" s="4" t="n"/>
      <c r="I46" s="4" t="n"/>
      <c r="J46" s="4" t="n"/>
      <c r="K46" s="5">
        <f>_xlfn.TEXTJOIN(CHAR(10),TRUE,IF(E46="","","• "&amp;E46),IF(F46="","","• "&amp;F46),IF(G46="","","• "&amp;G46),IF(H46="","","• "&amp;H46),IF(I46="","","• "&amp;I46),IF(J46="","","• "&amp;J46))</f>
        <v/>
      </c>
      <c r="L46" s="4" t="n"/>
      <c r="M46" s="19" t="n"/>
      <c r="N46" s="19" t="n"/>
      <c r="O46" s="30">
        <f>IF(OR(M46="",N46=""),"",INDEX(RiskGrid,6-VALUE(LEFT(M46,1)),VALUE(LEFT(N46,1))))</f>
        <v/>
      </c>
      <c r="P46" s="30">
        <f>IF(O46="","",IF(O46&gt;=BandVH,"Very High",IF(O46&gt;=BandHigh,"High",IF(O46&gt;=BandMed,"Medium","Low"))))</f>
        <v/>
      </c>
      <c r="Q46" s="4" t="n"/>
      <c r="R46" s="19" t="n"/>
      <c r="S46" s="4" t="n"/>
      <c r="T46" s="19" t="n"/>
      <c r="U46" s="4" t="n"/>
      <c r="V46" s="19" t="n"/>
      <c r="W46" s="4" t="n"/>
      <c r="X46" s="19" t="n"/>
      <c r="Y46" s="4" t="n"/>
      <c r="Z46" s="19" t="n"/>
      <c r="AA46" s="4" t="n"/>
      <c r="AB46" s="19" t="n"/>
      <c r="AC46" s="5">
        <f>_xlfn.TEXTJOIN(CHAR(10),TRUE,IF(Q46="","","• "&amp;Q46&amp;IF(R46="Yes","  [IPL]","")),IF(S46="","","• "&amp;S46&amp;IF(T46="Yes","  [IPL]","")),IF(U46="","","• "&amp;U46&amp;IF(V46="Yes","  [IPL]","")),IF(W46="","","• "&amp;W46&amp;IF(X46="Yes","  [IPL]","")),IF(Y46="","","• "&amp;Y46&amp;IF(Z46="Yes","  [IPL]","")),IF(AA46="","","• "&amp;AA46&amp;IF(AB46="Yes","  [IPL]","")))</f>
        <v/>
      </c>
      <c r="AD46" s="30">
        <f>IF(AC46="","",COUNTIF(Q46:AB46,"Yes"))</f>
        <v/>
      </c>
      <c r="AE46" s="19" t="n"/>
      <c r="AF46" s="19" t="n"/>
      <c r="AG46" s="30">
        <f>IF(OR(AE46="",AF46=""),"",INDEX(RiskGrid,6-VALUE(LEFT(AE46,1)),VALUE(LEFT(AF46,1))))</f>
        <v/>
      </c>
      <c r="AH46" s="30">
        <f>IF(AG46="","",IF(AG46&gt;=BandVH,"Very High",IF(AG46&gt;=BandHigh,"High",IF(AG46&gt;=BandMed,"Medium","Low"))))</f>
        <v/>
      </c>
      <c r="AI46" s="4" t="n"/>
      <c r="AJ46" s="4" t="n"/>
    </row>
    <row r="47">
      <c r="A47" s="30">
        <f>IF(B47="","",COUNTIF(B$14:B47,"?*"))</f>
        <v/>
      </c>
      <c r="B47" s="4" t="n"/>
      <c r="C47" s="19" t="n"/>
      <c r="D47" s="5">
        <f>IF(OR(B47="",C47=""),"",UPPER(LEFT(C47,1))&amp;LOWER(MID(C47,2,30))&amp;" "&amp;LOWER(LEFT(B47,1))&amp;MID(B47,2,200))</f>
        <v/>
      </c>
      <c r="E47" s="4" t="n"/>
      <c r="F47" s="4" t="n"/>
      <c r="G47" s="4" t="n"/>
      <c r="H47" s="4" t="n"/>
      <c r="I47" s="4" t="n"/>
      <c r="J47" s="4" t="n"/>
      <c r="K47" s="5">
        <f>_xlfn.TEXTJOIN(CHAR(10),TRUE,IF(E47="","","• "&amp;E47),IF(F47="","","• "&amp;F47),IF(G47="","","• "&amp;G47),IF(H47="","","• "&amp;H47),IF(I47="","","• "&amp;I47),IF(J47="","","• "&amp;J47))</f>
        <v/>
      </c>
      <c r="L47" s="4" t="n"/>
      <c r="M47" s="19" t="n"/>
      <c r="N47" s="19" t="n"/>
      <c r="O47" s="30">
        <f>IF(OR(M47="",N47=""),"",INDEX(RiskGrid,6-VALUE(LEFT(M47,1)),VALUE(LEFT(N47,1))))</f>
        <v/>
      </c>
      <c r="P47" s="30">
        <f>IF(O47="","",IF(O47&gt;=BandVH,"Very High",IF(O47&gt;=BandHigh,"High",IF(O47&gt;=BandMed,"Medium","Low"))))</f>
        <v/>
      </c>
      <c r="Q47" s="4" t="n"/>
      <c r="R47" s="19" t="n"/>
      <c r="S47" s="4" t="n"/>
      <c r="T47" s="19" t="n"/>
      <c r="U47" s="4" t="n"/>
      <c r="V47" s="19" t="n"/>
      <c r="W47" s="4" t="n"/>
      <c r="X47" s="19" t="n"/>
      <c r="Y47" s="4" t="n"/>
      <c r="Z47" s="19" t="n"/>
      <c r="AA47" s="4" t="n"/>
      <c r="AB47" s="19" t="n"/>
      <c r="AC47" s="5">
        <f>_xlfn.TEXTJOIN(CHAR(10),TRUE,IF(Q47="","","• "&amp;Q47&amp;IF(R47="Yes","  [IPL]","")),IF(S47="","","• "&amp;S47&amp;IF(T47="Yes","  [IPL]","")),IF(U47="","","• "&amp;U47&amp;IF(V47="Yes","  [IPL]","")),IF(W47="","","• "&amp;W47&amp;IF(X47="Yes","  [IPL]","")),IF(Y47="","","• "&amp;Y47&amp;IF(Z47="Yes","  [IPL]","")),IF(AA47="","","• "&amp;AA47&amp;IF(AB47="Yes","  [IPL]","")))</f>
        <v/>
      </c>
      <c r="AD47" s="30">
        <f>IF(AC47="","",COUNTIF(Q47:AB47,"Yes"))</f>
        <v/>
      </c>
      <c r="AE47" s="19" t="n"/>
      <c r="AF47" s="19" t="n"/>
      <c r="AG47" s="30">
        <f>IF(OR(AE47="",AF47=""),"",INDEX(RiskGrid,6-VALUE(LEFT(AE47,1)),VALUE(LEFT(AF47,1))))</f>
        <v/>
      </c>
      <c r="AH47" s="30">
        <f>IF(AG47="","",IF(AG47&gt;=BandVH,"Very High",IF(AG47&gt;=BandHigh,"High",IF(AG47&gt;=BandMed,"Medium","Low"))))</f>
        <v/>
      </c>
      <c r="AI47" s="4" t="n"/>
      <c r="AJ47" s="4" t="n"/>
    </row>
    <row r="48">
      <c r="A48" s="30">
        <f>IF(B48="","",COUNTIF(B$14:B48,"?*"))</f>
        <v/>
      </c>
      <c r="B48" s="4" t="n"/>
      <c r="C48" s="19" t="n"/>
      <c r="D48" s="5">
        <f>IF(OR(B48="",C48=""),"",UPPER(LEFT(C48,1))&amp;LOWER(MID(C48,2,30))&amp;" "&amp;LOWER(LEFT(B48,1))&amp;MID(B48,2,200))</f>
        <v/>
      </c>
      <c r="E48" s="4" t="n"/>
      <c r="F48" s="4" t="n"/>
      <c r="G48" s="4" t="n"/>
      <c r="H48" s="4" t="n"/>
      <c r="I48" s="4" t="n"/>
      <c r="J48" s="4" t="n"/>
      <c r="K48" s="5">
        <f>_xlfn.TEXTJOIN(CHAR(10),TRUE,IF(E48="","","• "&amp;E48),IF(F48="","","• "&amp;F48),IF(G48="","","• "&amp;G48),IF(H48="","","• "&amp;H48),IF(I48="","","• "&amp;I48),IF(J48="","","• "&amp;J48))</f>
        <v/>
      </c>
      <c r="L48" s="4" t="n"/>
      <c r="M48" s="19" t="n"/>
      <c r="N48" s="19" t="n"/>
      <c r="O48" s="30">
        <f>IF(OR(M48="",N48=""),"",INDEX(RiskGrid,6-VALUE(LEFT(M48,1)),VALUE(LEFT(N48,1))))</f>
        <v/>
      </c>
      <c r="P48" s="30">
        <f>IF(O48="","",IF(O48&gt;=BandVH,"Very High",IF(O48&gt;=BandHigh,"High",IF(O48&gt;=BandMed,"Medium","Low"))))</f>
        <v/>
      </c>
      <c r="Q48" s="4" t="n"/>
      <c r="R48" s="19" t="n"/>
      <c r="S48" s="4" t="n"/>
      <c r="T48" s="19" t="n"/>
      <c r="U48" s="4" t="n"/>
      <c r="V48" s="19" t="n"/>
      <c r="W48" s="4" t="n"/>
      <c r="X48" s="19" t="n"/>
      <c r="Y48" s="4" t="n"/>
      <c r="Z48" s="19" t="n"/>
      <c r="AA48" s="4" t="n"/>
      <c r="AB48" s="19" t="n"/>
      <c r="AC48" s="5">
        <f>_xlfn.TEXTJOIN(CHAR(10),TRUE,IF(Q48="","","• "&amp;Q48&amp;IF(R48="Yes","  [IPL]","")),IF(S48="","","• "&amp;S48&amp;IF(T48="Yes","  [IPL]","")),IF(U48="","","• "&amp;U48&amp;IF(V48="Yes","  [IPL]","")),IF(W48="","","• "&amp;W48&amp;IF(X48="Yes","  [IPL]","")),IF(Y48="","","• "&amp;Y48&amp;IF(Z48="Yes","  [IPL]","")),IF(AA48="","","• "&amp;AA48&amp;IF(AB48="Yes","  [IPL]","")))</f>
        <v/>
      </c>
      <c r="AD48" s="30">
        <f>IF(AC48="","",COUNTIF(Q48:AB48,"Yes"))</f>
        <v/>
      </c>
      <c r="AE48" s="19" t="n"/>
      <c r="AF48" s="19" t="n"/>
      <c r="AG48" s="30">
        <f>IF(OR(AE48="",AF48=""),"",INDEX(RiskGrid,6-VALUE(LEFT(AE48,1)),VALUE(LEFT(AF48,1))))</f>
        <v/>
      </c>
      <c r="AH48" s="30">
        <f>IF(AG48="","",IF(AG48&gt;=BandVH,"Very High",IF(AG48&gt;=BandHigh,"High",IF(AG48&gt;=BandMed,"Medium","Low"))))</f>
        <v/>
      </c>
      <c r="AI48" s="4" t="n"/>
      <c r="AJ48" s="4" t="n"/>
    </row>
    <row r="49">
      <c r="A49" s="30">
        <f>IF(B49="","",COUNTIF(B$14:B49,"?*"))</f>
        <v/>
      </c>
      <c r="B49" s="4" t="n"/>
      <c r="C49" s="19" t="n"/>
      <c r="D49" s="5">
        <f>IF(OR(B49="",C49=""),"",UPPER(LEFT(C49,1))&amp;LOWER(MID(C49,2,30))&amp;" "&amp;LOWER(LEFT(B49,1))&amp;MID(B49,2,200))</f>
        <v/>
      </c>
      <c r="E49" s="4" t="n"/>
      <c r="F49" s="4" t="n"/>
      <c r="G49" s="4" t="n"/>
      <c r="H49" s="4" t="n"/>
      <c r="I49" s="4" t="n"/>
      <c r="J49" s="4" t="n"/>
      <c r="K49" s="5">
        <f>_xlfn.TEXTJOIN(CHAR(10),TRUE,IF(E49="","","• "&amp;E49),IF(F49="","","• "&amp;F49),IF(G49="","","• "&amp;G49),IF(H49="","","• "&amp;H49),IF(I49="","","• "&amp;I49),IF(J49="","","• "&amp;J49))</f>
        <v/>
      </c>
      <c r="L49" s="4" t="n"/>
      <c r="M49" s="19" t="n"/>
      <c r="N49" s="19" t="n"/>
      <c r="O49" s="30">
        <f>IF(OR(M49="",N49=""),"",INDEX(RiskGrid,6-VALUE(LEFT(M49,1)),VALUE(LEFT(N49,1))))</f>
        <v/>
      </c>
      <c r="P49" s="30">
        <f>IF(O49="","",IF(O49&gt;=BandVH,"Very High",IF(O49&gt;=BandHigh,"High",IF(O49&gt;=BandMed,"Medium","Low"))))</f>
        <v/>
      </c>
      <c r="Q49" s="4" t="n"/>
      <c r="R49" s="19" t="n"/>
      <c r="S49" s="4" t="n"/>
      <c r="T49" s="19" t="n"/>
      <c r="U49" s="4" t="n"/>
      <c r="V49" s="19" t="n"/>
      <c r="W49" s="4" t="n"/>
      <c r="X49" s="19" t="n"/>
      <c r="Y49" s="4" t="n"/>
      <c r="Z49" s="19" t="n"/>
      <c r="AA49" s="4" t="n"/>
      <c r="AB49" s="19" t="n"/>
      <c r="AC49" s="5">
        <f>_xlfn.TEXTJOIN(CHAR(10),TRUE,IF(Q49="","","• "&amp;Q49&amp;IF(R49="Yes","  [IPL]","")),IF(S49="","","• "&amp;S49&amp;IF(T49="Yes","  [IPL]","")),IF(U49="","","• "&amp;U49&amp;IF(V49="Yes","  [IPL]","")),IF(W49="","","• "&amp;W49&amp;IF(X49="Yes","  [IPL]","")),IF(Y49="","","• "&amp;Y49&amp;IF(Z49="Yes","  [IPL]","")),IF(AA49="","","• "&amp;AA49&amp;IF(AB49="Yes","  [IPL]","")))</f>
        <v/>
      </c>
      <c r="AD49" s="30">
        <f>IF(AC49="","",COUNTIF(Q49:AB49,"Yes"))</f>
        <v/>
      </c>
      <c r="AE49" s="19" t="n"/>
      <c r="AF49" s="19" t="n"/>
      <c r="AG49" s="30">
        <f>IF(OR(AE49="",AF49=""),"",INDEX(RiskGrid,6-VALUE(LEFT(AE49,1)),VALUE(LEFT(AF49,1))))</f>
        <v/>
      </c>
      <c r="AH49" s="30">
        <f>IF(AG49="","",IF(AG49&gt;=BandVH,"Very High",IF(AG49&gt;=BandHigh,"High",IF(AG49&gt;=BandMed,"Medium","Low"))))</f>
        <v/>
      </c>
      <c r="AI49" s="4" t="n"/>
      <c r="AJ49" s="4" t="n"/>
    </row>
    <row r="50">
      <c r="A50" s="30">
        <f>IF(B50="","",COUNTIF(B$14:B50,"?*"))</f>
        <v/>
      </c>
      <c r="B50" s="4" t="n"/>
      <c r="C50" s="19" t="n"/>
      <c r="D50" s="5">
        <f>IF(OR(B50="",C50=""),"",UPPER(LEFT(C50,1))&amp;LOWER(MID(C50,2,30))&amp;" "&amp;LOWER(LEFT(B50,1))&amp;MID(B50,2,200))</f>
        <v/>
      </c>
      <c r="E50" s="4" t="n"/>
      <c r="F50" s="4" t="n"/>
      <c r="G50" s="4" t="n"/>
      <c r="H50" s="4" t="n"/>
      <c r="I50" s="4" t="n"/>
      <c r="J50" s="4" t="n"/>
      <c r="K50" s="5">
        <f>_xlfn.TEXTJOIN(CHAR(10),TRUE,IF(E50="","","• "&amp;E50),IF(F50="","","• "&amp;F50),IF(G50="","","• "&amp;G50),IF(H50="","","• "&amp;H50),IF(I50="","","• "&amp;I50),IF(J50="","","• "&amp;J50))</f>
        <v/>
      </c>
      <c r="L50" s="4" t="n"/>
      <c r="M50" s="19" t="n"/>
      <c r="N50" s="19" t="n"/>
      <c r="O50" s="30">
        <f>IF(OR(M50="",N50=""),"",INDEX(RiskGrid,6-VALUE(LEFT(M50,1)),VALUE(LEFT(N50,1))))</f>
        <v/>
      </c>
      <c r="P50" s="30">
        <f>IF(O50="","",IF(O50&gt;=BandVH,"Very High",IF(O50&gt;=BandHigh,"High",IF(O50&gt;=BandMed,"Medium","Low"))))</f>
        <v/>
      </c>
      <c r="Q50" s="4" t="n"/>
      <c r="R50" s="19" t="n"/>
      <c r="S50" s="4" t="n"/>
      <c r="T50" s="19" t="n"/>
      <c r="U50" s="4" t="n"/>
      <c r="V50" s="19" t="n"/>
      <c r="W50" s="4" t="n"/>
      <c r="X50" s="19" t="n"/>
      <c r="Y50" s="4" t="n"/>
      <c r="Z50" s="19" t="n"/>
      <c r="AA50" s="4" t="n"/>
      <c r="AB50" s="19" t="n"/>
      <c r="AC50" s="5">
        <f>_xlfn.TEXTJOIN(CHAR(10),TRUE,IF(Q50="","","• "&amp;Q50&amp;IF(R50="Yes","  [IPL]","")),IF(S50="","","• "&amp;S50&amp;IF(T50="Yes","  [IPL]","")),IF(U50="","","• "&amp;U50&amp;IF(V50="Yes","  [IPL]","")),IF(W50="","","• "&amp;W50&amp;IF(X50="Yes","  [IPL]","")),IF(Y50="","","• "&amp;Y50&amp;IF(Z50="Yes","  [IPL]","")),IF(AA50="","","• "&amp;AA50&amp;IF(AB50="Yes","  [IPL]","")))</f>
        <v/>
      </c>
      <c r="AD50" s="30">
        <f>IF(AC50="","",COUNTIF(Q50:AB50,"Yes"))</f>
        <v/>
      </c>
      <c r="AE50" s="19" t="n"/>
      <c r="AF50" s="19" t="n"/>
      <c r="AG50" s="30">
        <f>IF(OR(AE50="",AF50=""),"",INDEX(RiskGrid,6-VALUE(LEFT(AE50,1)),VALUE(LEFT(AF50,1))))</f>
        <v/>
      </c>
      <c r="AH50" s="30">
        <f>IF(AG50="","",IF(AG50&gt;=BandVH,"Very High",IF(AG50&gt;=BandHigh,"High",IF(AG50&gt;=BandMed,"Medium","Low"))))</f>
        <v/>
      </c>
      <c r="AI50" s="4" t="n"/>
      <c r="AJ50" s="4" t="n"/>
    </row>
    <row r="51">
      <c r="A51" s="30">
        <f>IF(B51="","",COUNTIF(B$14:B51,"?*"))</f>
        <v/>
      </c>
      <c r="B51" s="4" t="n"/>
      <c r="C51" s="19" t="n"/>
      <c r="D51" s="5">
        <f>IF(OR(B51="",C51=""),"",UPPER(LEFT(C51,1))&amp;LOWER(MID(C51,2,30))&amp;" "&amp;LOWER(LEFT(B51,1))&amp;MID(B51,2,200))</f>
        <v/>
      </c>
      <c r="E51" s="4" t="n"/>
      <c r="F51" s="4" t="n"/>
      <c r="G51" s="4" t="n"/>
      <c r="H51" s="4" t="n"/>
      <c r="I51" s="4" t="n"/>
      <c r="J51" s="4" t="n"/>
      <c r="K51" s="5">
        <f>_xlfn.TEXTJOIN(CHAR(10),TRUE,IF(E51="","","• "&amp;E51),IF(F51="","","• "&amp;F51),IF(G51="","","• "&amp;G51),IF(H51="","","• "&amp;H51),IF(I51="","","• "&amp;I51),IF(J51="","","• "&amp;J51))</f>
        <v/>
      </c>
      <c r="L51" s="4" t="n"/>
      <c r="M51" s="19" t="n"/>
      <c r="N51" s="19" t="n"/>
      <c r="O51" s="30">
        <f>IF(OR(M51="",N51=""),"",INDEX(RiskGrid,6-VALUE(LEFT(M51,1)),VALUE(LEFT(N51,1))))</f>
        <v/>
      </c>
      <c r="P51" s="30">
        <f>IF(O51="","",IF(O51&gt;=BandVH,"Very High",IF(O51&gt;=BandHigh,"High",IF(O51&gt;=BandMed,"Medium","Low"))))</f>
        <v/>
      </c>
      <c r="Q51" s="4" t="n"/>
      <c r="R51" s="19" t="n"/>
      <c r="S51" s="4" t="n"/>
      <c r="T51" s="19" t="n"/>
      <c r="U51" s="4" t="n"/>
      <c r="V51" s="19" t="n"/>
      <c r="W51" s="4" t="n"/>
      <c r="X51" s="19" t="n"/>
      <c r="Y51" s="4" t="n"/>
      <c r="Z51" s="19" t="n"/>
      <c r="AA51" s="4" t="n"/>
      <c r="AB51" s="19" t="n"/>
      <c r="AC51" s="5">
        <f>_xlfn.TEXTJOIN(CHAR(10),TRUE,IF(Q51="","","• "&amp;Q51&amp;IF(R51="Yes","  [IPL]","")),IF(S51="","","• "&amp;S51&amp;IF(T51="Yes","  [IPL]","")),IF(U51="","","• "&amp;U51&amp;IF(V51="Yes","  [IPL]","")),IF(W51="","","• "&amp;W51&amp;IF(X51="Yes","  [IPL]","")),IF(Y51="","","• "&amp;Y51&amp;IF(Z51="Yes","  [IPL]","")),IF(AA51="","","• "&amp;AA51&amp;IF(AB51="Yes","  [IPL]","")))</f>
        <v/>
      </c>
      <c r="AD51" s="30">
        <f>IF(AC51="","",COUNTIF(Q51:AB51,"Yes"))</f>
        <v/>
      </c>
      <c r="AE51" s="19" t="n"/>
      <c r="AF51" s="19" t="n"/>
      <c r="AG51" s="30">
        <f>IF(OR(AE51="",AF51=""),"",INDEX(RiskGrid,6-VALUE(LEFT(AE51,1)),VALUE(LEFT(AF51,1))))</f>
        <v/>
      </c>
      <c r="AH51" s="30">
        <f>IF(AG51="","",IF(AG51&gt;=BandVH,"Very High",IF(AG51&gt;=BandHigh,"High",IF(AG51&gt;=BandMed,"Medium","Low"))))</f>
        <v/>
      </c>
      <c r="AI51" s="4" t="n"/>
      <c r="AJ51" s="4" t="n"/>
    </row>
    <row r="52">
      <c r="A52" s="30">
        <f>IF(B52="","",COUNTIF(B$14:B52,"?*"))</f>
        <v/>
      </c>
      <c r="B52" s="4" t="n"/>
      <c r="C52" s="19" t="n"/>
      <c r="D52" s="5">
        <f>IF(OR(B52="",C52=""),"",UPPER(LEFT(C52,1))&amp;LOWER(MID(C52,2,30))&amp;" "&amp;LOWER(LEFT(B52,1))&amp;MID(B52,2,200))</f>
        <v/>
      </c>
      <c r="E52" s="4" t="n"/>
      <c r="F52" s="4" t="n"/>
      <c r="G52" s="4" t="n"/>
      <c r="H52" s="4" t="n"/>
      <c r="I52" s="4" t="n"/>
      <c r="J52" s="4" t="n"/>
      <c r="K52" s="5">
        <f>_xlfn.TEXTJOIN(CHAR(10),TRUE,IF(E52="","","• "&amp;E52),IF(F52="","","• "&amp;F52),IF(G52="","","• "&amp;G52),IF(H52="","","• "&amp;H52),IF(I52="","","• "&amp;I52),IF(J52="","","• "&amp;J52))</f>
        <v/>
      </c>
      <c r="L52" s="4" t="n"/>
      <c r="M52" s="19" t="n"/>
      <c r="N52" s="19" t="n"/>
      <c r="O52" s="30">
        <f>IF(OR(M52="",N52=""),"",INDEX(RiskGrid,6-VALUE(LEFT(M52,1)),VALUE(LEFT(N52,1))))</f>
        <v/>
      </c>
      <c r="P52" s="30">
        <f>IF(O52="","",IF(O52&gt;=BandVH,"Very High",IF(O52&gt;=BandHigh,"High",IF(O52&gt;=BandMed,"Medium","Low"))))</f>
        <v/>
      </c>
      <c r="Q52" s="4" t="n"/>
      <c r="R52" s="19" t="n"/>
      <c r="S52" s="4" t="n"/>
      <c r="T52" s="19" t="n"/>
      <c r="U52" s="4" t="n"/>
      <c r="V52" s="19" t="n"/>
      <c r="W52" s="4" t="n"/>
      <c r="X52" s="19" t="n"/>
      <c r="Y52" s="4" t="n"/>
      <c r="Z52" s="19" t="n"/>
      <c r="AA52" s="4" t="n"/>
      <c r="AB52" s="19" t="n"/>
      <c r="AC52" s="5">
        <f>_xlfn.TEXTJOIN(CHAR(10),TRUE,IF(Q52="","","• "&amp;Q52&amp;IF(R52="Yes","  [IPL]","")),IF(S52="","","• "&amp;S52&amp;IF(T52="Yes","  [IPL]","")),IF(U52="","","• "&amp;U52&amp;IF(V52="Yes","  [IPL]","")),IF(W52="","","• "&amp;W52&amp;IF(X52="Yes","  [IPL]","")),IF(Y52="","","• "&amp;Y52&amp;IF(Z52="Yes","  [IPL]","")),IF(AA52="","","• "&amp;AA52&amp;IF(AB52="Yes","  [IPL]","")))</f>
        <v/>
      </c>
      <c r="AD52" s="30">
        <f>IF(AC52="","",COUNTIF(Q52:AB52,"Yes"))</f>
        <v/>
      </c>
      <c r="AE52" s="19" t="n"/>
      <c r="AF52" s="19" t="n"/>
      <c r="AG52" s="30">
        <f>IF(OR(AE52="",AF52=""),"",INDEX(RiskGrid,6-VALUE(LEFT(AE52,1)),VALUE(LEFT(AF52,1))))</f>
        <v/>
      </c>
      <c r="AH52" s="30">
        <f>IF(AG52="","",IF(AG52&gt;=BandVH,"Very High",IF(AG52&gt;=BandHigh,"High",IF(AG52&gt;=BandMed,"Medium","Low"))))</f>
        <v/>
      </c>
      <c r="AI52" s="4" t="n"/>
      <c r="AJ52" s="4" t="n"/>
    </row>
    <row r="53">
      <c r="A53" s="30">
        <f>IF(B53="","",COUNTIF(B$14:B53,"?*"))</f>
        <v/>
      </c>
      <c r="B53" s="4" t="n"/>
      <c r="C53" s="19" t="n"/>
      <c r="D53" s="5">
        <f>IF(OR(B53="",C53=""),"",UPPER(LEFT(C53,1))&amp;LOWER(MID(C53,2,30))&amp;" "&amp;LOWER(LEFT(B53,1))&amp;MID(B53,2,200))</f>
        <v/>
      </c>
      <c r="E53" s="4" t="n"/>
      <c r="F53" s="4" t="n"/>
      <c r="G53" s="4" t="n"/>
      <c r="H53" s="4" t="n"/>
      <c r="I53" s="4" t="n"/>
      <c r="J53" s="4" t="n"/>
      <c r="K53" s="5">
        <f>_xlfn.TEXTJOIN(CHAR(10),TRUE,IF(E53="","","• "&amp;E53),IF(F53="","","• "&amp;F53),IF(G53="","","• "&amp;G53),IF(H53="","","• "&amp;H53),IF(I53="","","• "&amp;I53),IF(J53="","","• "&amp;J53))</f>
        <v/>
      </c>
      <c r="L53" s="4" t="n"/>
      <c r="M53" s="19" t="n"/>
      <c r="N53" s="19" t="n"/>
      <c r="O53" s="30">
        <f>IF(OR(M53="",N53=""),"",INDEX(RiskGrid,6-VALUE(LEFT(M53,1)),VALUE(LEFT(N53,1))))</f>
        <v/>
      </c>
      <c r="P53" s="30">
        <f>IF(O53="","",IF(O53&gt;=BandVH,"Very High",IF(O53&gt;=BandHigh,"High",IF(O53&gt;=BandMed,"Medium","Low"))))</f>
        <v/>
      </c>
      <c r="Q53" s="4" t="n"/>
      <c r="R53" s="19" t="n"/>
      <c r="S53" s="4" t="n"/>
      <c r="T53" s="19" t="n"/>
      <c r="U53" s="4" t="n"/>
      <c r="V53" s="19" t="n"/>
      <c r="W53" s="4" t="n"/>
      <c r="X53" s="19" t="n"/>
      <c r="Y53" s="4" t="n"/>
      <c r="Z53" s="19" t="n"/>
      <c r="AA53" s="4" t="n"/>
      <c r="AB53" s="19" t="n"/>
      <c r="AC53" s="5">
        <f>_xlfn.TEXTJOIN(CHAR(10),TRUE,IF(Q53="","","• "&amp;Q53&amp;IF(R53="Yes","  [IPL]","")),IF(S53="","","• "&amp;S53&amp;IF(T53="Yes","  [IPL]","")),IF(U53="","","• "&amp;U53&amp;IF(V53="Yes","  [IPL]","")),IF(W53="","","• "&amp;W53&amp;IF(X53="Yes","  [IPL]","")),IF(Y53="","","• "&amp;Y53&amp;IF(Z53="Yes","  [IPL]","")),IF(AA53="","","• "&amp;AA53&amp;IF(AB53="Yes","  [IPL]","")))</f>
        <v/>
      </c>
      <c r="AD53" s="30">
        <f>IF(AC53="","",COUNTIF(Q53:AB53,"Yes"))</f>
        <v/>
      </c>
      <c r="AE53" s="19" t="n"/>
      <c r="AF53" s="19" t="n"/>
      <c r="AG53" s="30">
        <f>IF(OR(AE53="",AF53=""),"",INDEX(RiskGrid,6-VALUE(LEFT(AE53,1)),VALUE(LEFT(AF53,1))))</f>
        <v/>
      </c>
      <c r="AH53" s="30">
        <f>IF(AG53="","",IF(AG53&gt;=BandVH,"Very High",IF(AG53&gt;=BandHigh,"High",IF(AG53&gt;=BandMed,"Medium","Low"))))</f>
        <v/>
      </c>
      <c r="AI53" s="4" t="n"/>
      <c r="AJ53" s="4" t="n"/>
    </row>
    <row r="54">
      <c r="A54" s="30">
        <f>IF(B54="","",COUNTIF(B$14:B54,"?*"))</f>
        <v/>
      </c>
      <c r="B54" s="4" t="n"/>
      <c r="C54" s="19" t="n"/>
      <c r="D54" s="5">
        <f>IF(OR(B54="",C54=""),"",UPPER(LEFT(C54,1))&amp;LOWER(MID(C54,2,30))&amp;" "&amp;LOWER(LEFT(B54,1))&amp;MID(B54,2,200))</f>
        <v/>
      </c>
      <c r="E54" s="4" t="n"/>
      <c r="F54" s="4" t="n"/>
      <c r="G54" s="4" t="n"/>
      <c r="H54" s="4" t="n"/>
      <c r="I54" s="4" t="n"/>
      <c r="J54" s="4" t="n"/>
      <c r="K54" s="5">
        <f>_xlfn.TEXTJOIN(CHAR(10),TRUE,IF(E54="","","• "&amp;E54),IF(F54="","","• "&amp;F54),IF(G54="","","• "&amp;G54),IF(H54="","","• "&amp;H54),IF(I54="","","• "&amp;I54),IF(J54="","","• "&amp;J54))</f>
        <v/>
      </c>
      <c r="L54" s="4" t="n"/>
      <c r="M54" s="19" t="n"/>
      <c r="N54" s="19" t="n"/>
      <c r="O54" s="30">
        <f>IF(OR(M54="",N54=""),"",INDEX(RiskGrid,6-VALUE(LEFT(M54,1)),VALUE(LEFT(N54,1))))</f>
        <v/>
      </c>
      <c r="P54" s="30">
        <f>IF(O54="","",IF(O54&gt;=BandVH,"Very High",IF(O54&gt;=BandHigh,"High",IF(O54&gt;=BandMed,"Medium","Low"))))</f>
        <v/>
      </c>
      <c r="Q54" s="4" t="n"/>
      <c r="R54" s="19" t="n"/>
      <c r="S54" s="4" t="n"/>
      <c r="T54" s="19" t="n"/>
      <c r="U54" s="4" t="n"/>
      <c r="V54" s="19" t="n"/>
      <c r="W54" s="4" t="n"/>
      <c r="X54" s="19" t="n"/>
      <c r="Y54" s="4" t="n"/>
      <c r="Z54" s="19" t="n"/>
      <c r="AA54" s="4" t="n"/>
      <c r="AB54" s="19" t="n"/>
      <c r="AC54" s="5">
        <f>_xlfn.TEXTJOIN(CHAR(10),TRUE,IF(Q54="","","• "&amp;Q54&amp;IF(R54="Yes","  [IPL]","")),IF(S54="","","• "&amp;S54&amp;IF(T54="Yes","  [IPL]","")),IF(U54="","","• "&amp;U54&amp;IF(V54="Yes","  [IPL]","")),IF(W54="","","• "&amp;W54&amp;IF(X54="Yes","  [IPL]","")),IF(Y54="","","• "&amp;Y54&amp;IF(Z54="Yes","  [IPL]","")),IF(AA54="","","• "&amp;AA54&amp;IF(AB54="Yes","  [IPL]","")))</f>
        <v/>
      </c>
      <c r="AD54" s="30">
        <f>IF(AC54="","",COUNTIF(Q54:AB54,"Yes"))</f>
        <v/>
      </c>
      <c r="AE54" s="19" t="n"/>
      <c r="AF54" s="19" t="n"/>
      <c r="AG54" s="30">
        <f>IF(OR(AE54="",AF54=""),"",INDEX(RiskGrid,6-VALUE(LEFT(AE54,1)),VALUE(LEFT(AF54,1))))</f>
        <v/>
      </c>
      <c r="AH54" s="30">
        <f>IF(AG54="","",IF(AG54&gt;=BandVH,"Very High",IF(AG54&gt;=BandHigh,"High",IF(AG54&gt;=BandMed,"Medium","Low"))))</f>
        <v/>
      </c>
      <c r="AI54" s="4" t="n"/>
      <c r="AJ54" s="4" t="n"/>
    </row>
    <row r="55">
      <c r="A55" s="30">
        <f>IF(B55="","",COUNTIF(B$14:B55,"?*"))</f>
        <v/>
      </c>
      <c r="B55" s="4" t="n"/>
      <c r="C55" s="19" t="n"/>
      <c r="D55" s="5">
        <f>IF(OR(B55="",C55=""),"",UPPER(LEFT(C55,1))&amp;LOWER(MID(C55,2,30))&amp;" "&amp;LOWER(LEFT(B55,1))&amp;MID(B55,2,200))</f>
        <v/>
      </c>
      <c r="E55" s="4" t="n"/>
      <c r="F55" s="4" t="n"/>
      <c r="G55" s="4" t="n"/>
      <c r="H55" s="4" t="n"/>
      <c r="I55" s="4" t="n"/>
      <c r="J55" s="4" t="n"/>
      <c r="K55" s="5">
        <f>_xlfn.TEXTJOIN(CHAR(10),TRUE,IF(E55="","","• "&amp;E55),IF(F55="","","• "&amp;F55),IF(G55="","","• "&amp;G55),IF(H55="","","• "&amp;H55),IF(I55="","","• "&amp;I55),IF(J55="","","• "&amp;J55))</f>
        <v/>
      </c>
      <c r="L55" s="4" t="n"/>
      <c r="M55" s="19" t="n"/>
      <c r="N55" s="19" t="n"/>
      <c r="O55" s="30">
        <f>IF(OR(M55="",N55=""),"",INDEX(RiskGrid,6-VALUE(LEFT(M55,1)),VALUE(LEFT(N55,1))))</f>
        <v/>
      </c>
      <c r="P55" s="30">
        <f>IF(O55="","",IF(O55&gt;=BandVH,"Very High",IF(O55&gt;=BandHigh,"High",IF(O55&gt;=BandMed,"Medium","Low"))))</f>
        <v/>
      </c>
      <c r="Q55" s="4" t="n"/>
      <c r="R55" s="19" t="n"/>
      <c r="S55" s="4" t="n"/>
      <c r="T55" s="19" t="n"/>
      <c r="U55" s="4" t="n"/>
      <c r="V55" s="19" t="n"/>
      <c r="W55" s="4" t="n"/>
      <c r="X55" s="19" t="n"/>
      <c r="Y55" s="4" t="n"/>
      <c r="Z55" s="19" t="n"/>
      <c r="AA55" s="4" t="n"/>
      <c r="AB55" s="19" t="n"/>
      <c r="AC55" s="5">
        <f>_xlfn.TEXTJOIN(CHAR(10),TRUE,IF(Q55="","","• "&amp;Q55&amp;IF(R55="Yes","  [IPL]","")),IF(S55="","","• "&amp;S55&amp;IF(T55="Yes","  [IPL]","")),IF(U55="","","• "&amp;U55&amp;IF(V55="Yes","  [IPL]","")),IF(W55="","","• "&amp;W55&amp;IF(X55="Yes","  [IPL]","")),IF(Y55="","","• "&amp;Y55&amp;IF(Z55="Yes","  [IPL]","")),IF(AA55="","","• "&amp;AA55&amp;IF(AB55="Yes","  [IPL]","")))</f>
        <v/>
      </c>
      <c r="AD55" s="30">
        <f>IF(AC55="","",COUNTIF(Q55:AB55,"Yes"))</f>
        <v/>
      </c>
      <c r="AE55" s="19" t="n"/>
      <c r="AF55" s="19" t="n"/>
      <c r="AG55" s="30">
        <f>IF(OR(AE55="",AF55=""),"",INDEX(RiskGrid,6-VALUE(LEFT(AE55,1)),VALUE(LEFT(AF55,1))))</f>
        <v/>
      </c>
      <c r="AH55" s="30">
        <f>IF(AG55="","",IF(AG55&gt;=BandVH,"Very High",IF(AG55&gt;=BandHigh,"High",IF(AG55&gt;=BandMed,"Medium","Low"))))</f>
        <v/>
      </c>
      <c r="AI55" s="4" t="n"/>
      <c r="AJ55" s="4" t="n"/>
    </row>
    <row r="56">
      <c r="A56" s="30">
        <f>IF(B56="","",COUNTIF(B$14:B56,"?*"))</f>
        <v/>
      </c>
      <c r="B56" s="4" t="n"/>
      <c r="C56" s="19" t="n"/>
      <c r="D56" s="5">
        <f>IF(OR(B56="",C56=""),"",UPPER(LEFT(C56,1))&amp;LOWER(MID(C56,2,30))&amp;" "&amp;LOWER(LEFT(B56,1))&amp;MID(B56,2,200))</f>
        <v/>
      </c>
      <c r="E56" s="4" t="n"/>
      <c r="F56" s="4" t="n"/>
      <c r="G56" s="4" t="n"/>
      <c r="H56" s="4" t="n"/>
      <c r="I56" s="4" t="n"/>
      <c r="J56" s="4" t="n"/>
      <c r="K56" s="5">
        <f>_xlfn.TEXTJOIN(CHAR(10),TRUE,IF(E56="","","• "&amp;E56),IF(F56="","","• "&amp;F56),IF(G56="","","• "&amp;G56),IF(H56="","","• "&amp;H56),IF(I56="","","• "&amp;I56),IF(J56="","","• "&amp;J56))</f>
        <v/>
      </c>
      <c r="L56" s="4" t="n"/>
      <c r="M56" s="19" t="n"/>
      <c r="N56" s="19" t="n"/>
      <c r="O56" s="30">
        <f>IF(OR(M56="",N56=""),"",INDEX(RiskGrid,6-VALUE(LEFT(M56,1)),VALUE(LEFT(N56,1))))</f>
        <v/>
      </c>
      <c r="P56" s="30">
        <f>IF(O56="","",IF(O56&gt;=BandVH,"Very High",IF(O56&gt;=BandHigh,"High",IF(O56&gt;=BandMed,"Medium","Low"))))</f>
        <v/>
      </c>
      <c r="Q56" s="4" t="n"/>
      <c r="R56" s="19" t="n"/>
      <c r="S56" s="4" t="n"/>
      <c r="T56" s="19" t="n"/>
      <c r="U56" s="4" t="n"/>
      <c r="V56" s="19" t="n"/>
      <c r="W56" s="4" t="n"/>
      <c r="X56" s="19" t="n"/>
      <c r="Y56" s="4" t="n"/>
      <c r="Z56" s="19" t="n"/>
      <c r="AA56" s="4" t="n"/>
      <c r="AB56" s="19" t="n"/>
      <c r="AC56" s="5">
        <f>_xlfn.TEXTJOIN(CHAR(10),TRUE,IF(Q56="","","• "&amp;Q56&amp;IF(R56="Yes","  [IPL]","")),IF(S56="","","• "&amp;S56&amp;IF(T56="Yes","  [IPL]","")),IF(U56="","","• "&amp;U56&amp;IF(V56="Yes","  [IPL]","")),IF(W56="","","• "&amp;W56&amp;IF(X56="Yes","  [IPL]","")),IF(Y56="","","• "&amp;Y56&amp;IF(Z56="Yes","  [IPL]","")),IF(AA56="","","• "&amp;AA56&amp;IF(AB56="Yes","  [IPL]","")))</f>
        <v/>
      </c>
      <c r="AD56" s="30">
        <f>IF(AC56="","",COUNTIF(Q56:AB56,"Yes"))</f>
        <v/>
      </c>
      <c r="AE56" s="19" t="n"/>
      <c r="AF56" s="19" t="n"/>
      <c r="AG56" s="30">
        <f>IF(OR(AE56="",AF56=""),"",INDEX(RiskGrid,6-VALUE(LEFT(AE56,1)),VALUE(LEFT(AF56,1))))</f>
        <v/>
      </c>
      <c r="AH56" s="30">
        <f>IF(AG56="","",IF(AG56&gt;=BandVH,"Very High",IF(AG56&gt;=BandHigh,"High",IF(AG56&gt;=BandMed,"Medium","Low"))))</f>
        <v/>
      </c>
      <c r="AI56" s="4" t="n"/>
      <c r="AJ56" s="4" t="n"/>
    </row>
    <row r="57">
      <c r="A57" s="30">
        <f>IF(B57="","",COUNTIF(B$14:B57,"?*"))</f>
        <v/>
      </c>
      <c r="B57" s="4" t="n"/>
      <c r="C57" s="19" t="n"/>
      <c r="D57" s="5">
        <f>IF(OR(B57="",C57=""),"",UPPER(LEFT(C57,1))&amp;LOWER(MID(C57,2,30))&amp;" "&amp;LOWER(LEFT(B57,1))&amp;MID(B57,2,200))</f>
        <v/>
      </c>
      <c r="E57" s="4" t="n"/>
      <c r="F57" s="4" t="n"/>
      <c r="G57" s="4" t="n"/>
      <c r="H57" s="4" t="n"/>
      <c r="I57" s="4" t="n"/>
      <c r="J57" s="4" t="n"/>
      <c r="K57" s="5">
        <f>_xlfn.TEXTJOIN(CHAR(10),TRUE,IF(E57="","","• "&amp;E57),IF(F57="","","• "&amp;F57),IF(G57="","","• "&amp;G57),IF(H57="","","• "&amp;H57),IF(I57="","","• "&amp;I57),IF(J57="","","• "&amp;J57))</f>
        <v/>
      </c>
      <c r="L57" s="4" t="n"/>
      <c r="M57" s="19" t="n"/>
      <c r="N57" s="19" t="n"/>
      <c r="O57" s="30">
        <f>IF(OR(M57="",N57=""),"",INDEX(RiskGrid,6-VALUE(LEFT(M57,1)),VALUE(LEFT(N57,1))))</f>
        <v/>
      </c>
      <c r="P57" s="30">
        <f>IF(O57="","",IF(O57&gt;=BandVH,"Very High",IF(O57&gt;=BandHigh,"High",IF(O57&gt;=BandMed,"Medium","Low"))))</f>
        <v/>
      </c>
      <c r="Q57" s="4" t="n"/>
      <c r="R57" s="19" t="n"/>
      <c r="S57" s="4" t="n"/>
      <c r="T57" s="19" t="n"/>
      <c r="U57" s="4" t="n"/>
      <c r="V57" s="19" t="n"/>
      <c r="W57" s="4" t="n"/>
      <c r="X57" s="19" t="n"/>
      <c r="Y57" s="4" t="n"/>
      <c r="Z57" s="19" t="n"/>
      <c r="AA57" s="4" t="n"/>
      <c r="AB57" s="19" t="n"/>
      <c r="AC57" s="5">
        <f>_xlfn.TEXTJOIN(CHAR(10),TRUE,IF(Q57="","","• "&amp;Q57&amp;IF(R57="Yes","  [IPL]","")),IF(S57="","","• "&amp;S57&amp;IF(T57="Yes","  [IPL]","")),IF(U57="","","• "&amp;U57&amp;IF(V57="Yes","  [IPL]","")),IF(W57="","","• "&amp;W57&amp;IF(X57="Yes","  [IPL]","")),IF(Y57="","","• "&amp;Y57&amp;IF(Z57="Yes","  [IPL]","")),IF(AA57="","","• "&amp;AA57&amp;IF(AB57="Yes","  [IPL]","")))</f>
        <v/>
      </c>
      <c r="AD57" s="30">
        <f>IF(AC57="","",COUNTIF(Q57:AB57,"Yes"))</f>
        <v/>
      </c>
      <c r="AE57" s="19" t="n"/>
      <c r="AF57" s="19" t="n"/>
      <c r="AG57" s="30">
        <f>IF(OR(AE57="",AF57=""),"",INDEX(RiskGrid,6-VALUE(LEFT(AE57,1)),VALUE(LEFT(AF57,1))))</f>
        <v/>
      </c>
      <c r="AH57" s="30">
        <f>IF(AG57="","",IF(AG57&gt;=BandVH,"Very High",IF(AG57&gt;=BandHigh,"High",IF(AG57&gt;=BandMed,"Medium","Low"))))</f>
        <v/>
      </c>
      <c r="AI57" s="4" t="n"/>
      <c r="AJ57" s="4" t="n"/>
    </row>
    <row r="58">
      <c r="A58" s="30">
        <f>IF(B58="","",COUNTIF(B$14:B58,"?*"))</f>
        <v/>
      </c>
      <c r="B58" s="4" t="n"/>
      <c r="C58" s="19" t="n"/>
      <c r="D58" s="5">
        <f>IF(OR(B58="",C58=""),"",UPPER(LEFT(C58,1))&amp;LOWER(MID(C58,2,30))&amp;" "&amp;LOWER(LEFT(B58,1))&amp;MID(B58,2,200))</f>
        <v/>
      </c>
      <c r="E58" s="4" t="n"/>
      <c r="F58" s="4" t="n"/>
      <c r="G58" s="4" t="n"/>
      <c r="H58" s="4" t="n"/>
      <c r="I58" s="4" t="n"/>
      <c r="J58" s="4" t="n"/>
      <c r="K58" s="5">
        <f>_xlfn.TEXTJOIN(CHAR(10),TRUE,IF(E58="","","• "&amp;E58),IF(F58="","","• "&amp;F58),IF(G58="","","• "&amp;G58),IF(H58="","","• "&amp;H58),IF(I58="","","• "&amp;I58),IF(J58="","","• "&amp;J58))</f>
        <v/>
      </c>
      <c r="L58" s="4" t="n"/>
      <c r="M58" s="19" t="n"/>
      <c r="N58" s="19" t="n"/>
      <c r="O58" s="30">
        <f>IF(OR(M58="",N58=""),"",INDEX(RiskGrid,6-VALUE(LEFT(M58,1)),VALUE(LEFT(N58,1))))</f>
        <v/>
      </c>
      <c r="P58" s="30">
        <f>IF(O58="","",IF(O58&gt;=BandVH,"Very High",IF(O58&gt;=BandHigh,"High",IF(O58&gt;=BandMed,"Medium","Low"))))</f>
        <v/>
      </c>
      <c r="Q58" s="4" t="n"/>
      <c r="R58" s="19" t="n"/>
      <c r="S58" s="4" t="n"/>
      <c r="T58" s="19" t="n"/>
      <c r="U58" s="4" t="n"/>
      <c r="V58" s="19" t="n"/>
      <c r="W58" s="4" t="n"/>
      <c r="X58" s="19" t="n"/>
      <c r="Y58" s="4" t="n"/>
      <c r="Z58" s="19" t="n"/>
      <c r="AA58" s="4" t="n"/>
      <c r="AB58" s="19" t="n"/>
      <c r="AC58" s="5">
        <f>_xlfn.TEXTJOIN(CHAR(10),TRUE,IF(Q58="","","• "&amp;Q58&amp;IF(R58="Yes","  [IPL]","")),IF(S58="","","• "&amp;S58&amp;IF(T58="Yes","  [IPL]","")),IF(U58="","","• "&amp;U58&amp;IF(V58="Yes","  [IPL]","")),IF(W58="","","• "&amp;W58&amp;IF(X58="Yes","  [IPL]","")),IF(Y58="","","• "&amp;Y58&amp;IF(Z58="Yes","  [IPL]","")),IF(AA58="","","• "&amp;AA58&amp;IF(AB58="Yes","  [IPL]","")))</f>
        <v/>
      </c>
      <c r="AD58" s="30">
        <f>IF(AC58="","",COUNTIF(Q58:AB58,"Yes"))</f>
        <v/>
      </c>
      <c r="AE58" s="19" t="n"/>
      <c r="AF58" s="19" t="n"/>
      <c r="AG58" s="30">
        <f>IF(OR(AE58="",AF58=""),"",INDEX(RiskGrid,6-VALUE(LEFT(AE58,1)),VALUE(LEFT(AF58,1))))</f>
        <v/>
      </c>
      <c r="AH58" s="30">
        <f>IF(AG58="","",IF(AG58&gt;=BandVH,"Very High",IF(AG58&gt;=BandHigh,"High",IF(AG58&gt;=BandMed,"Medium","Low"))))</f>
        <v/>
      </c>
      <c r="AI58" s="4" t="n"/>
      <c r="AJ58" s="4" t="n"/>
    </row>
    <row r="59">
      <c r="A59" s="30">
        <f>IF(B59="","",COUNTIF(B$14:B59,"?*"))</f>
        <v/>
      </c>
      <c r="B59" s="4" t="n"/>
      <c r="C59" s="19" t="n"/>
      <c r="D59" s="5">
        <f>IF(OR(B59="",C59=""),"",UPPER(LEFT(C59,1))&amp;LOWER(MID(C59,2,30))&amp;" "&amp;LOWER(LEFT(B59,1))&amp;MID(B59,2,200))</f>
        <v/>
      </c>
      <c r="E59" s="4" t="n"/>
      <c r="F59" s="4" t="n"/>
      <c r="G59" s="4" t="n"/>
      <c r="H59" s="4" t="n"/>
      <c r="I59" s="4" t="n"/>
      <c r="J59" s="4" t="n"/>
      <c r="K59" s="5">
        <f>_xlfn.TEXTJOIN(CHAR(10),TRUE,IF(E59="","","• "&amp;E59),IF(F59="","","• "&amp;F59),IF(G59="","","• "&amp;G59),IF(H59="","","• "&amp;H59),IF(I59="","","• "&amp;I59),IF(J59="","","• "&amp;J59))</f>
        <v/>
      </c>
      <c r="L59" s="4" t="n"/>
      <c r="M59" s="19" t="n"/>
      <c r="N59" s="19" t="n"/>
      <c r="O59" s="30">
        <f>IF(OR(M59="",N59=""),"",INDEX(RiskGrid,6-VALUE(LEFT(M59,1)),VALUE(LEFT(N59,1))))</f>
        <v/>
      </c>
      <c r="P59" s="30">
        <f>IF(O59="","",IF(O59&gt;=BandVH,"Very High",IF(O59&gt;=BandHigh,"High",IF(O59&gt;=BandMed,"Medium","Low"))))</f>
        <v/>
      </c>
      <c r="Q59" s="4" t="n"/>
      <c r="R59" s="19" t="n"/>
      <c r="S59" s="4" t="n"/>
      <c r="T59" s="19" t="n"/>
      <c r="U59" s="4" t="n"/>
      <c r="V59" s="19" t="n"/>
      <c r="W59" s="4" t="n"/>
      <c r="X59" s="19" t="n"/>
      <c r="Y59" s="4" t="n"/>
      <c r="Z59" s="19" t="n"/>
      <c r="AA59" s="4" t="n"/>
      <c r="AB59" s="19" t="n"/>
      <c r="AC59" s="5">
        <f>_xlfn.TEXTJOIN(CHAR(10),TRUE,IF(Q59="","","• "&amp;Q59&amp;IF(R59="Yes","  [IPL]","")),IF(S59="","","• "&amp;S59&amp;IF(T59="Yes","  [IPL]","")),IF(U59="","","• "&amp;U59&amp;IF(V59="Yes","  [IPL]","")),IF(W59="","","• "&amp;W59&amp;IF(X59="Yes","  [IPL]","")),IF(Y59="","","• "&amp;Y59&amp;IF(Z59="Yes","  [IPL]","")),IF(AA59="","","• "&amp;AA59&amp;IF(AB59="Yes","  [IPL]","")))</f>
        <v/>
      </c>
      <c r="AD59" s="30">
        <f>IF(AC59="","",COUNTIF(Q59:AB59,"Yes"))</f>
        <v/>
      </c>
      <c r="AE59" s="19" t="n"/>
      <c r="AF59" s="19" t="n"/>
      <c r="AG59" s="30">
        <f>IF(OR(AE59="",AF59=""),"",INDEX(RiskGrid,6-VALUE(LEFT(AE59,1)),VALUE(LEFT(AF59,1))))</f>
        <v/>
      </c>
      <c r="AH59" s="30">
        <f>IF(AG59="","",IF(AG59&gt;=BandVH,"Very High",IF(AG59&gt;=BandHigh,"High",IF(AG59&gt;=BandMed,"Medium","Low"))))</f>
        <v/>
      </c>
      <c r="AI59" s="4" t="n"/>
      <c r="AJ59" s="4" t="n"/>
    </row>
    <row r="60">
      <c r="A60" s="30">
        <f>IF(B60="","",COUNTIF(B$14:B60,"?*"))</f>
        <v/>
      </c>
      <c r="B60" s="4" t="n"/>
      <c r="C60" s="19" t="n"/>
      <c r="D60" s="5">
        <f>IF(OR(B60="",C60=""),"",UPPER(LEFT(C60,1))&amp;LOWER(MID(C60,2,30))&amp;" "&amp;LOWER(LEFT(B60,1))&amp;MID(B60,2,200))</f>
        <v/>
      </c>
      <c r="E60" s="4" t="n"/>
      <c r="F60" s="4" t="n"/>
      <c r="G60" s="4" t="n"/>
      <c r="H60" s="4" t="n"/>
      <c r="I60" s="4" t="n"/>
      <c r="J60" s="4" t="n"/>
      <c r="K60" s="5">
        <f>_xlfn.TEXTJOIN(CHAR(10),TRUE,IF(E60="","","• "&amp;E60),IF(F60="","","• "&amp;F60),IF(G60="","","• "&amp;G60),IF(H60="","","• "&amp;H60),IF(I60="","","• "&amp;I60),IF(J60="","","• "&amp;J60))</f>
        <v/>
      </c>
      <c r="L60" s="4" t="n"/>
      <c r="M60" s="19" t="n"/>
      <c r="N60" s="19" t="n"/>
      <c r="O60" s="30">
        <f>IF(OR(M60="",N60=""),"",INDEX(RiskGrid,6-VALUE(LEFT(M60,1)),VALUE(LEFT(N60,1))))</f>
        <v/>
      </c>
      <c r="P60" s="30">
        <f>IF(O60="","",IF(O60&gt;=BandVH,"Very High",IF(O60&gt;=BandHigh,"High",IF(O60&gt;=BandMed,"Medium","Low"))))</f>
        <v/>
      </c>
      <c r="Q60" s="4" t="n"/>
      <c r="R60" s="19" t="n"/>
      <c r="S60" s="4" t="n"/>
      <c r="T60" s="19" t="n"/>
      <c r="U60" s="4" t="n"/>
      <c r="V60" s="19" t="n"/>
      <c r="W60" s="4" t="n"/>
      <c r="X60" s="19" t="n"/>
      <c r="Y60" s="4" t="n"/>
      <c r="Z60" s="19" t="n"/>
      <c r="AA60" s="4" t="n"/>
      <c r="AB60" s="19" t="n"/>
      <c r="AC60" s="5">
        <f>_xlfn.TEXTJOIN(CHAR(10),TRUE,IF(Q60="","","• "&amp;Q60&amp;IF(R60="Yes","  [IPL]","")),IF(S60="","","• "&amp;S60&amp;IF(T60="Yes","  [IPL]","")),IF(U60="","","• "&amp;U60&amp;IF(V60="Yes","  [IPL]","")),IF(W60="","","• "&amp;W60&amp;IF(X60="Yes","  [IPL]","")),IF(Y60="","","• "&amp;Y60&amp;IF(Z60="Yes","  [IPL]","")),IF(AA60="","","• "&amp;AA60&amp;IF(AB60="Yes","  [IPL]","")))</f>
        <v/>
      </c>
      <c r="AD60" s="30">
        <f>IF(AC60="","",COUNTIF(Q60:AB60,"Yes"))</f>
        <v/>
      </c>
      <c r="AE60" s="19" t="n"/>
      <c r="AF60" s="19" t="n"/>
      <c r="AG60" s="30">
        <f>IF(OR(AE60="",AF60=""),"",INDEX(RiskGrid,6-VALUE(LEFT(AE60,1)),VALUE(LEFT(AF60,1))))</f>
        <v/>
      </c>
      <c r="AH60" s="30">
        <f>IF(AG60="","",IF(AG60&gt;=BandVH,"Very High",IF(AG60&gt;=BandHigh,"High",IF(AG60&gt;=BandMed,"Medium","Low"))))</f>
        <v/>
      </c>
      <c r="AI60" s="4" t="n"/>
      <c r="AJ60" s="4" t="n"/>
    </row>
    <row r="61">
      <c r="A61" s="30">
        <f>IF(B61="","",COUNTIF(B$14:B61,"?*"))</f>
        <v/>
      </c>
      <c r="B61" s="4" t="n"/>
      <c r="C61" s="19" t="n"/>
      <c r="D61" s="5">
        <f>IF(OR(B61="",C61=""),"",UPPER(LEFT(C61,1))&amp;LOWER(MID(C61,2,30))&amp;" "&amp;LOWER(LEFT(B61,1))&amp;MID(B61,2,200))</f>
        <v/>
      </c>
      <c r="E61" s="4" t="n"/>
      <c r="F61" s="4" t="n"/>
      <c r="G61" s="4" t="n"/>
      <c r="H61" s="4" t="n"/>
      <c r="I61" s="4" t="n"/>
      <c r="J61" s="4" t="n"/>
      <c r="K61" s="5">
        <f>_xlfn.TEXTJOIN(CHAR(10),TRUE,IF(E61="","","• "&amp;E61),IF(F61="","","• "&amp;F61),IF(G61="","","• "&amp;G61),IF(H61="","","• "&amp;H61),IF(I61="","","• "&amp;I61),IF(J61="","","• "&amp;J61))</f>
        <v/>
      </c>
      <c r="L61" s="4" t="n"/>
      <c r="M61" s="19" t="n"/>
      <c r="N61" s="19" t="n"/>
      <c r="O61" s="30">
        <f>IF(OR(M61="",N61=""),"",INDEX(RiskGrid,6-VALUE(LEFT(M61,1)),VALUE(LEFT(N61,1))))</f>
        <v/>
      </c>
      <c r="P61" s="30">
        <f>IF(O61="","",IF(O61&gt;=BandVH,"Very High",IF(O61&gt;=BandHigh,"High",IF(O61&gt;=BandMed,"Medium","Low"))))</f>
        <v/>
      </c>
      <c r="Q61" s="4" t="n"/>
      <c r="R61" s="19" t="n"/>
      <c r="S61" s="4" t="n"/>
      <c r="T61" s="19" t="n"/>
      <c r="U61" s="4" t="n"/>
      <c r="V61" s="19" t="n"/>
      <c r="W61" s="4" t="n"/>
      <c r="X61" s="19" t="n"/>
      <c r="Y61" s="4" t="n"/>
      <c r="Z61" s="19" t="n"/>
      <c r="AA61" s="4" t="n"/>
      <c r="AB61" s="19" t="n"/>
      <c r="AC61" s="5">
        <f>_xlfn.TEXTJOIN(CHAR(10),TRUE,IF(Q61="","","• "&amp;Q61&amp;IF(R61="Yes","  [IPL]","")),IF(S61="","","• "&amp;S61&amp;IF(T61="Yes","  [IPL]","")),IF(U61="","","• "&amp;U61&amp;IF(V61="Yes","  [IPL]","")),IF(W61="","","• "&amp;W61&amp;IF(X61="Yes","  [IPL]","")),IF(Y61="","","• "&amp;Y61&amp;IF(Z61="Yes","  [IPL]","")),IF(AA61="","","• "&amp;AA61&amp;IF(AB61="Yes","  [IPL]","")))</f>
        <v/>
      </c>
      <c r="AD61" s="30">
        <f>IF(AC61="","",COUNTIF(Q61:AB61,"Yes"))</f>
        <v/>
      </c>
      <c r="AE61" s="19" t="n"/>
      <c r="AF61" s="19" t="n"/>
      <c r="AG61" s="30">
        <f>IF(OR(AE61="",AF61=""),"",INDEX(RiskGrid,6-VALUE(LEFT(AE61,1)),VALUE(LEFT(AF61,1))))</f>
        <v/>
      </c>
      <c r="AH61" s="30">
        <f>IF(AG61="","",IF(AG61&gt;=BandVH,"Very High",IF(AG61&gt;=BandHigh,"High",IF(AG61&gt;=BandMed,"Medium","Low"))))</f>
        <v/>
      </c>
      <c r="AI61" s="4" t="n"/>
      <c r="AJ61" s="4" t="n"/>
    </row>
    <row r="62">
      <c r="A62" s="30">
        <f>IF(B62="","",COUNTIF(B$14:B62,"?*"))</f>
        <v/>
      </c>
      <c r="B62" s="4" t="n"/>
      <c r="C62" s="19" t="n"/>
      <c r="D62" s="5">
        <f>IF(OR(B62="",C62=""),"",UPPER(LEFT(C62,1))&amp;LOWER(MID(C62,2,30))&amp;" "&amp;LOWER(LEFT(B62,1))&amp;MID(B62,2,200))</f>
        <v/>
      </c>
      <c r="E62" s="4" t="n"/>
      <c r="F62" s="4" t="n"/>
      <c r="G62" s="4" t="n"/>
      <c r="H62" s="4" t="n"/>
      <c r="I62" s="4" t="n"/>
      <c r="J62" s="4" t="n"/>
      <c r="K62" s="5">
        <f>_xlfn.TEXTJOIN(CHAR(10),TRUE,IF(E62="","","• "&amp;E62),IF(F62="","","• "&amp;F62),IF(G62="","","• "&amp;G62),IF(H62="","","• "&amp;H62),IF(I62="","","• "&amp;I62),IF(J62="","","• "&amp;J62))</f>
        <v/>
      </c>
      <c r="L62" s="4" t="n"/>
      <c r="M62" s="19" t="n"/>
      <c r="N62" s="19" t="n"/>
      <c r="O62" s="30">
        <f>IF(OR(M62="",N62=""),"",INDEX(RiskGrid,6-VALUE(LEFT(M62,1)),VALUE(LEFT(N62,1))))</f>
        <v/>
      </c>
      <c r="P62" s="30">
        <f>IF(O62="","",IF(O62&gt;=BandVH,"Very High",IF(O62&gt;=BandHigh,"High",IF(O62&gt;=BandMed,"Medium","Low"))))</f>
        <v/>
      </c>
      <c r="Q62" s="4" t="n"/>
      <c r="R62" s="19" t="n"/>
      <c r="S62" s="4" t="n"/>
      <c r="T62" s="19" t="n"/>
      <c r="U62" s="4" t="n"/>
      <c r="V62" s="19" t="n"/>
      <c r="W62" s="4" t="n"/>
      <c r="X62" s="19" t="n"/>
      <c r="Y62" s="4" t="n"/>
      <c r="Z62" s="19" t="n"/>
      <c r="AA62" s="4" t="n"/>
      <c r="AB62" s="19" t="n"/>
      <c r="AC62" s="5">
        <f>_xlfn.TEXTJOIN(CHAR(10),TRUE,IF(Q62="","","• "&amp;Q62&amp;IF(R62="Yes","  [IPL]","")),IF(S62="","","• "&amp;S62&amp;IF(T62="Yes","  [IPL]","")),IF(U62="","","• "&amp;U62&amp;IF(V62="Yes","  [IPL]","")),IF(W62="","","• "&amp;W62&amp;IF(X62="Yes","  [IPL]","")),IF(Y62="","","• "&amp;Y62&amp;IF(Z62="Yes","  [IPL]","")),IF(AA62="","","• "&amp;AA62&amp;IF(AB62="Yes","  [IPL]","")))</f>
        <v/>
      </c>
      <c r="AD62" s="30">
        <f>IF(AC62="","",COUNTIF(Q62:AB62,"Yes"))</f>
        <v/>
      </c>
      <c r="AE62" s="19" t="n"/>
      <c r="AF62" s="19" t="n"/>
      <c r="AG62" s="30">
        <f>IF(OR(AE62="",AF62=""),"",INDEX(RiskGrid,6-VALUE(LEFT(AE62,1)),VALUE(LEFT(AF62,1))))</f>
        <v/>
      </c>
      <c r="AH62" s="30">
        <f>IF(AG62="","",IF(AG62&gt;=BandVH,"Very High",IF(AG62&gt;=BandHigh,"High",IF(AG62&gt;=BandMed,"Medium","Low"))))</f>
        <v/>
      </c>
      <c r="AI62" s="4" t="n"/>
      <c r="AJ62" s="4" t="n"/>
    </row>
    <row r="63">
      <c r="A63" s="30">
        <f>IF(B63="","",COUNTIF(B$14:B63,"?*"))</f>
        <v/>
      </c>
      <c r="B63" s="4" t="n"/>
      <c r="C63" s="19" t="n"/>
      <c r="D63" s="5">
        <f>IF(OR(B63="",C63=""),"",UPPER(LEFT(C63,1))&amp;LOWER(MID(C63,2,30))&amp;" "&amp;LOWER(LEFT(B63,1))&amp;MID(B63,2,200))</f>
        <v/>
      </c>
      <c r="E63" s="4" t="n"/>
      <c r="F63" s="4" t="n"/>
      <c r="G63" s="4" t="n"/>
      <c r="H63" s="4" t="n"/>
      <c r="I63" s="4" t="n"/>
      <c r="J63" s="4" t="n"/>
      <c r="K63" s="5">
        <f>_xlfn.TEXTJOIN(CHAR(10),TRUE,IF(E63="","","• "&amp;E63),IF(F63="","","• "&amp;F63),IF(G63="","","• "&amp;G63),IF(H63="","","• "&amp;H63),IF(I63="","","• "&amp;I63),IF(J63="","","• "&amp;J63))</f>
        <v/>
      </c>
      <c r="L63" s="4" t="n"/>
      <c r="M63" s="19" t="n"/>
      <c r="N63" s="19" t="n"/>
      <c r="O63" s="30">
        <f>IF(OR(M63="",N63=""),"",INDEX(RiskGrid,6-VALUE(LEFT(M63,1)),VALUE(LEFT(N63,1))))</f>
        <v/>
      </c>
      <c r="P63" s="30">
        <f>IF(O63="","",IF(O63&gt;=BandVH,"Very High",IF(O63&gt;=BandHigh,"High",IF(O63&gt;=BandMed,"Medium","Low"))))</f>
        <v/>
      </c>
      <c r="Q63" s="4" t="n"/>
      <c r="R63" s="19" t="n"/>
      <c r="S63" s="4" t="n"/>
      <c r="T63" s="19" t="n"/>
      <c r="U63" s="4" t="n"/>
      <c r="V63" s="19" t="n"/>
      <c r="W63" s="4" t="n"/>
      <c r="X63" s="19" t="n"/>
      <c r="Y63" s="4" t="n"/>
      <c r="Z63" s="19" t="n"/>
      <c r="AA63" s="4" t="n"/>
      <c r="AB63" s="19" t="n"/>
      <c r="AC63" s="5">
        <f>_xlfn.TEXTJOIN(CHAR(10),TRUE,IF(Q63="","","• "&amp;Q63&amp;IF(R63="Yes","  [IPL]","")),IF(S63="","","• "&amp;S63&amp;IF(T63="Yes","  [IPL]","")),IF(U63="","","• "&amp;U63&amp;IF(V63="Yes","  [IPL]","")),IF(W63="","","• "&amp;W63&amp;IF(X63="Yes","  [IPL]","")),IF(Y63="","","• "&amp;Y63&amp;IF(Z63="Yes","  [IPL]","")),IF(AA63="","","• "&amp;AA63&amp;IF(AB63="Yes","  [IPL]","")))</f>
        <v/>
      </c>
      <c r="AD63" s="30">
        <f>IF(AC63="","",COUNTIF(Q63:AB63,"Yes"))</f>
        <v/>
      </c>
      <c r="AE63" s="19" t="n"/>
      <c r="AF63" s="19" t="n"/>
      <c r="AG63" s="30">
        <f>IF(OR(AE63="",AF63=""),"",INDEX(RiskGrid,6-VALUE(LEFT(AE63,1)),VALUE(LEFT(AF63,1))))</f>
        <v/>
      </c>
      <c r="AH63" s="30">
        <f>IF(AG63="","",IF(AG63&gt;=BandVH,"Very High",IF(AG63&gt;=BandHigh,"High",IF(AG63&gt;=BandMed,"Medium","Low"))))</f>
        <v/>
      </c>
      <c r="AI63" s="4" t="n"/>
      <c r="AJ63" s="4" t="n"/>
    </row>
    <row r="64">
      <c r="A64" s="30">
        <f>IF(B64="","",COUNTIF(B$14:B64,"?*"))</f>
        <v/>
      </c>
      <c r="B64" s="4" t="n"/>
      <c r="C64" s="19" t="n"/>
      <c r="D64" s="5">
        <f>IF(OR(B64="",C64=""),"",UPPER(LEFT(C64,1))&amp;LOWER(MID(C64,2,30))&amp;" "&amp;LOWER(LEFT(B64,1))&amp;MID(B64,2,200))</f>
        <v/>
      </c>
      <c r="E64" s="4" t="n"/>
      <c r="F64" s="4" t="n"/>
      <c r="G64" s="4" t="n"/>
      <c r="H64" s="4" t="n"/>
      <c r="I64" s="4" t="n"/>
      <c r="J64" s="4" t="n"/>
      <c r="K64" s="5">
        <f>_xlfn.TEXTJOIN(CHAR(10),TRUE,IF(E64="","","• "&amp;E64),IF(F64="","","• "&amp;F64),IF(G64="","","• "&amp;G64),IF(H64="","","• "&amp;H64),IF(I64="","","• "&amp;I64),IF(J64="","","• "&amp;J64))</f>
        <v/>
      </c>
      <c r="L64" s="4" t="n"/>
      <c r="M64" s="19" t="n"/>
      <c r="N64" s="19" t="n"/>
      <c r="O64" s="30">
        <f>IF(OR(M64="",N64=""),"",INDEX(RiskGrid,6-VALUE(LEFT(M64,1)),VALUE(LEFT(N64,1))))</f>
        <v/>
      </c>
      <c r="P64" s="30">
        <f>IF(O64="","",IF(O64&gt;=BandVH,"Very High",IF(O64&gt;=BandHigh,"High",IF(O64&gt;=BandMed,"Medium","Low"))))</f>
        <v/>
      </c>
      <c r="Q64" s="4" t="n"/>
      <c r="R64" s="19" t="n"/>
      <c r="S64" s="4" t="n"/>
      <c r="T64" s="19" t="n"/>
      <c r="U64" s="4" t="n"/>
      <c r="V64" s="19" t="n"/>
      <c r="W64" s="4" t="n"/>
      <c r="X64" s="19" t="n"/>
      <c r="Y64" s="4" t="n"/>
      <c r="Z64" s="19" t="n"/>
      <c r="AA64" s="4" t="n"/>
      <c r="AB64" s="19" t="n"/>
      <c r="AC64" s="5">
        <f>_xlfn.TEXTJOIN(CHAR(10),TRUE,IF(Q64="","","• "&amp;Q64&amp;IF(R64="Yes","  [IPL]","")),IF(S64="","","• "&amp;S64&amp;IF(T64="Yes","  [IPL]","")),IF(U64="","","• "&amp;U64&amp;IF(V64="Yes","  [IPL]","")),IF(W64="","","• "&amp;W64&amp;IF(X64="Yes","  [IPL]","")),IF(Y64="","","• "&amp;Y64&amp;IF(Z64="Yes","  [IPL]","")),IF(AA64="","","• "&amp;AA64&amp;IF(AB64="Yes","  [IPL]","")))</f>
        <v/>
      </c>
      <c r="AD64" s="30">
        <f>IF(AC64="","",COUNTIF(Q64:AB64,"Yes"))</f>
        <v/>
      </c>
      <c r="AE64" s="19" t="n"/>
      <c r="AF64" s="19" t="n"/>
      <c r="AG64" s="30">
        <f>IF(OR(AE64="",AF64=""),"",INDEX(RiskGrid,6-VALUE(LEFT(AE64,1)),VALUE(LEFT(AF64,1))))</f>
        <v/>
      </c>
      <c r="AH64" s="30">
        <f>IF(AG64="","",IF(AG64&gt;=BandVH,"Very High",IF(AG64&gt;=BandHigh,"High",IF(AG64&gt;=BandMed,"Medium","Low"))))</f>
        <v/>
      </c>
      <c r="AI64" s="4" t="n"/>
      <c r="AJ64" s="4" t="n"/>
    </row>
    <row r="65">
      <c r="A65" s="30">
        <f>IF(B65="","",COUNTIF(B$14:B65,"?*"))</f>
        <v/>
      </c>
      <c r="B65" s="4" t="n"/>
      <c r="C65" s="19" t="n"/>
      <c r="D65" s="5">
        <f>IF(OR(B65="",C65=""),"",UPPER(LEFT(C65,1))&amp;LOWER(MID(C65,2,30))&amp;" "&amp;LOWER(LEFT(B65,1))&amp;MID(B65,2,200))</f>
        <v/>
      </c>
      <c r="E65" s="4" t="n"/>
      <c r="F65" s="4" t="n"/>
      <c r="G65" s="4" t="n"/>
      <c r="H65" s="4" t="n"/>
      <c r="I65" s="4" t="n"/>
      <c r="J65" s="4" t="n"/>
      <c r="K65" s="5">
        <f>_xlfn.TEXTJOIN(CHAR(10),TRUE,IF(E65="","","• "&amp;E65),IF(F65="","","• "&amp;F65),IF(G65="","","• "&amp;G65),IF(H65="","","• "&amp;H65),IF(I65="","","• "&amp;I65),IF(J65="","","• "&amp;J65))</f>
        <v/>
      </c>
      <c r="L65" s="4" t="n"/>
      <c r="M65" s="19" t="n"/>
      <c r="N65" s="19" t="n"/>
      <c r="O65" s="30">
        <f>IF(OR(M65="",N65=""),"",INDEX(RiskGrid,6-VALUE(LEFT(M65,1)),VALUE(LEFT(N65,1))))</f>
        <v/>
      </c>
      <c r="P65" s="30">
        <f>IF(O65="","",IF(O65&gt;=BandVH,"Very High",IF(O65&gt;=BandHigh,"High",IF(O65&gt;=BandMed,"Medium","Low"))))</f>
        <v/>
      </c>
      <c r="Q65" s="4" t="n"/>
      <c r="R65" s="19" t="n"/>
      <c r="S65" s="4" t="n"/>
      <c r="T65" s="19" t="n"/>
      <c r="U65" s="4" t="n"/>
      <c r="V65" s="19" t="n"/>
      <c r="W65" s="4" t="n"/>
      <c r="X65" s="19" t="n"/>
      <c r="Y65" s="4" t="n"/>
      <c r="Z65" s="19" t="n"/>
      <c r="AA65" s="4" t="n"/>
      <c r="AB65" s="19" t="n"/>
      <c r="AC65" s="5">
        <f>_xlfn.TEXTJOIN(CHAR(10),TRUE,IF(Q65="","","• "&amp;Q65&amp;IF(R65="Yes","  [IPL]","")),IF(S65="","","• "&amp;S65&amp;IF(T65="Yes","  [IPL]","")),IF(U65="","","• "&amp;U65&amp;IF(V65="Yes","  [IPL]","")),IF(W65="","","• "&amp;W65&amp;IF(X65="Yes","  [IPL]","")),IF(Y65="","","• "&amp;Y65&amp;IF(Z65="Yes","  [IPL]","")),IF(AA65="","","• "&amp;AA65&amp;IF(AB65="Yes","  [IPL]","")))</f>
        <v/>
      </c>
      <c r="AD65" s="30">
        <f>IF(AC65="","",COUNTIF(Q65:AB65,"Yes"))</f>
        <v/>
      </c>
      <c r="AE65" s="19" t="n"/>
      <c r="AF65" s="19" t="n"/>
      <c r="AG65" s="30">
        <f>IF(OR(AE65="",AF65=""),"",INDEX(RiskGrid,6-VALUE(LEFT(AE65,1)),VALUE(LEFT(AF65,1))))</f>
        <v/>
      </c>
      <c r="AH65" s="30">
        <f>IF(AG65="","",IF(AG65&gt;=BandVH,"Very High",IF(AG65&gt;=BandHigh,"High",IF(AG65&gt;=BandMed,"Medium","Low"))))</f>
        <v/>
      </c>
      <c r="AI65" s="4" t="n"/>
      <c r="AJ65" s="4" t="n"/>
    </row>
    <row r="66">
      <c r="A66" s="30">
        <f>IF(B66="","",COUNTIF(B$14:B66,"?*"))</f>
        <v/>
      </c>
      <c r="B66" s="4" t="n"/>
      <c r="C66" s="19" t="n"/>
      <c r="D66" s="5">
        <f>IF(OR(B66="",C66=""),"",UPPER(LEFT(C66,1))&amp;LOWER(MID(C66,2,30))&amp;" "&amp;LOWER(LEFT(B66,1))&amp;MID(B66,2,200))</f>
        <v/>
      </c>
      <c r="E66" s="4" t="n"/>
      <c r="F66" s="4" t="n"/>
      <c r="G66" s="4" t="n"/>
      <c r="H66" s="4" t="n"/>
      <c r="I66" s="4" t="n"/>
      <c r="J66" s="4" t="n"/>
      <c r="K66" s="5">
        <f>_xlfn.TEXTJOIN(CHAR(10),TRUE,IF(E66="","","• "&amp;E66),IF(F66="","","• "&amp;F66),IF(G66="","","• "&amp;G66),IF(H66="","","• "&amp;H66),IF(I66="","","• "&amp;I66),IF(J66="","","• "&amp;J66))</f>
        <v/>
      </c>
      <c r="L66" s="4" t="n"/>
      <c r="M66" s="19" t="n"/>
      <c r="N66" s="19" t="n"/>
      <c r="O66" s="30">
        <f>IF(OR(M66="",N66=""),"",INDEX(RiskGrid,6-VALUE(LEFT(M66,1)),VALUE(LEFT(N66,1))))</f>
        <v/>
      </c>
      <c r="P66" s="30">
        <f>IF(O66="","",IF(O66&gt;=BandVH,"Very High",IF(O66&gt;=BandHigh,"High",IF(O66&gt;=BandMed,"Medium","Low"))))</f>
        <v/>
      </c>
      <c r="Q66" s="4" t="n"/>
      <c r="R66" s="19" t="n"/>
      <c r="S66" s="4" t="n"/>
      <c r="T66" s="19" t="n"/>
      <c r="U66" s="4" t="n"/>
      <c r="V66" s="19" t="n"/>
      <c r="W66" s="4" t="n"/>
      <c r="X66" s="19" t="n"/>
      <c r="Y66" s="4" t="n"/>
      <c r="Z66" s="19" t="n"/>
      <c r="AA66" s="4" t="n"/>
      <c r="AB66" s="19" t="n"/>
      <c r="AC66" s="5">
        <f>_xlfn.TEXTJOIN(CHAR(10),TRUE,IF(Q66="","","• "&amp;Q66&amp;IF(R66="Yes","  [IPL]","")),IF(S66="","","• "&amp;S66&amp;IF(T66="Yes","  [IPL]","")),IF(U66="","","• "&amp;U66&amp;IF(V66="Yes","  [IPL]","")),IF(W66="","","• "&amp;W66&amp;IF(X66="Yes","  [IPL]","")),IF(Y66="","","• "&amp;Y66&amp;IF(Z66="Yes","  [IPL]","")),IF(AA66="","","• "&amp;AA66&amp;IF(AB66="Yes","  [IPL]","")))</f>
        <v/>
      </c>
      <c r="AD66" s="30">
        <f>IF(AC66="","",COUNTIF(Q66:AB66,"Yes"))</f>
        <v/>
      </c>
      <c r="AE66" s="19" t="n"/>
      <c r="AF66" s="19" t="n"/>
      <c r="AG66" s="30">
        <f>IF(OR(AE66="",AF66=""),"",INDEX(RiskGrid,6-VALUE(LEFT(AE66,1)),VALUE(LEFT(AF66,1))))</f>
        <v/>
      </c>
      <c r="AH66" s="30">
        <f>IF(AG66="","",IF(AG66&gt;=BandVH,"Very High",IF(AG66&gt;=BandHigh,"High",IF(AG66&gt;=BandMed,"Medium","Low"))))</f>
        <v/>
      </c>
      <c r="AI66" s="4" t="n"/>
      <c r="AJ66" s="4" t="n"/>
    </row>
    <row r="67">
      <c r="A67" s="30">
        <f>IF(B67="","",COUNTIF(B$14:B67,"?*"))</f>
        <v/>
      </c>
      <c r="B67" s="4" t="n"/>
      <c r="C67" s="19" t="n"/>
      <c r="D67" s="5">
        <f>IF(OR(B67="",C67=""),"",UPPER(LEFT(C67,1))&amp;LOWER(MID(C67,2,30))&amp;" "&amp;LOWER(LEFT(B67,1))&amp;MID(B67,2,200))</f>
        <v/>
      </c>
      <c r="E67" s="4" t="n"/>
      <c r="F67" s="4" t="n"/>
      <c r="G67" s="4" t="n"/>
      <c r="H67" s="4" t="n"/>
      <c r="I67" s="4" t="n"/>
      <c r="J67" s="4" t="n"/>
      <c r="K67" s="5">
        <f>_xlfn.TEXTJOIN(CHAR(10),TRUE,IF(E67="","","• "&amp;E67),IF(F67="","","• "&amp;F67),IF(G67="","","• "&amp;G67),IF(H67="","","• "&amp;H67),IF(I67="","","• "&amp;I67),IF(J67="","","• "&amp;J67))</f>
        <v/>
      </c>
      <c r="L67" s="4" t="n"/>
      <c r="M67" s="19" t="n"/>
      <c r="N67" s="19" t="n"/>
      <c r="O67" s="30">
        <f>IF(OR(M67="",N67=""),"",INDEX(RiskGrid,6-VALUE(LEFT(M67,1)),VALUE(LEFT(N67,1))))</f>
        <v/>
      </c>
      <c r="P67" s="30">
        <f>IF(O67="","",IF(O67&gt;=BandVH,"Very High",IF(O67&gt;=BandHigh,"High",IF(O67&gt;=BandMed,"Medium","Low"))))</f>
        <v/>
      </c>
      <c r="Q67" s="4" t="n"/>
      <c r="R67" s="19" t="n"/>
      <c r="S67" s="4" t="n"/>
      <c r="T67" s="19" t="n"/>
      <c r="U67" s="4" t="n"/>
      <c r="V67" s="19" t="n"/>
      <c r="W67" s="4" t="n"/>
      <c r="X67" s="19" t="n"/>
      <c r="Y67" s="4" t="n"/>
      <c r="Z67" s="19" t="n"/>
      <c r="AA67" s="4" t="n"/>
      <c r="AB67" s="19" t="n"/>
      <c r="AC67" s="5">
        <f>_xlfn.TEXTJOIN(CHAR(10),TRUE,IF(Q67="","","• "&amp;Q67&amp;IF(R67="Yes","  [IPL]","")),IF(S67="","","• "&amp;S67&amp;IF(T67="Yes","  [IPL]","")),IF(U67="","","• "&amp;U67&amp;IF(V67="Yes","  [IPL]","")),IF(W67="","","• "&amp;W67&amp;IF(X67="Yes","  [IPL]","")),IF(Y67="","","• "&amp;Y67&amp;IF(Z67="Yes","  [IPL]","")),IF(AA67="","","• "&amp;AA67&amp;IF(AB67="Yes","  [IPL]","")))</f>
        <v/>
      </c>
      <c r="AD67" s="30">
        <f>IF(AC67="","",COUNTIF(Q67:AB67,"Yes"))</f>
        <v/>
      </c>
      <c r="AE67" s="19" t="n"/>
      <c r="AF67" s="19" t="n"/>
      <c r="AG67" s="30">
        <f>IF(OR(AE67="",AF67=""),"",INDEX(RiskGrid,6-VALUE(LEFT(AE67,1)),VALUE(LEFT(AF67,1))))</f>
        <v/>
      </c>
      <c r="AH67" s="30">
        <f>IF(AG67="","",IF(AG67&gt;=BandVH,"Very High",IF(AG67&gt;=BandHigh,"High",IF(AG67&gt;=BandMed,"Medium","Low"))))</f>
        <v/>
      </c>
      <c r="AI67" s="4" t="n"/>
      <c r="AJ67" s="4" t="n"/>
    </row>
    <row r="68">
      <c r="A68" s="30">
        <f>IF(B68="","",COUNTIF(B$14:B68,"?*"))</f>
        <v/>
      </c>
      <c r="B68" s="4" t="n"/>
      <c r="C68" s="19" t="n"/>
      <c r="D68" s="5">
        <f>IF(OR(B68="",C68=""),"",UPPER(LEFT(C68,1))&amp;LOWER(MID(C68,2,30))&amp;" "&amp;LOWER(LEFT(B68,1))&amp;MID(B68,2,200))</f>
        <v/>
      </c>
      <c r="E68" s="4" t="n"/>
      <c r="F68" s="4" t="n"/>
      <c r="G68" s="4" t="n"/>
      <c r="H68" s="4" t="n"/>
      <c r="I68" s="4" t="n"/>
      <c r="J68" s="4" t="n"/>
      <c r="K68" s="5">
        <f>_xlfn.TEXTJOIN(CHAR(10),TRUE,IF(E68="","","• "&amp;E68),IF(F68="","","• "&amp;F68),IF(G68="","","• "&amp;G68),IF(H68="","","• "&amp;H68),IF(I68="","","• "&amp;I68),IF(J68="","","• "&amp;J68))</f>
        <v/>
      </c>
      <c r="L68" s="4" t="n"/>
      <c r="M68" s="19" t="n"/>
      <c r="N68" s="19" t="n"/>
      <c r="O68" s="30">
        <f>IF(OR(M68="",N68=""),"",INDEX(RiskGrid,6-VALUE(LEFT(M68,1)),VALUE(LEFT(N68,1))))</f>
        <v/>
      </c>
      <c r="P68" s="30">
        <f>IF(O68="","",IF(O68&gt;=BandVH,"Very High",IF(O68&gt;=BandHigh,"High",IF(O68&gt;=BandMed,"Medium","Low"))))</f>
        <v/>
      </c>
      <c r="Q68" s="4" t="n"/>
      <c r="R68" s="19" t="n"/>
      <c r="S68" s="4" t="n"/>
      <c r="T68" s="19" t="n"/>
      <c r="U68" s="4" t="n"/>
      <c r="V68" s="19" t="n"/>
      <c r="W68" s="4" t="n"/>
      <c r="X68" s="19" t="n"/>
      <c r="Y68" s="4" t="n"/>
      <c r="Z68" s="19" t="n"/>
      <c r="AA68" s="4" t="n"/>
      <c r="AB68" s="19" t="n"/>
      <c r="AC68" s="5">
        <f>_xlfn.TEXTJOIN(CHAR(10),TRUE,IF(Q68="","","• "&amp;Q68&amp;IF(R68="Yes","  [IPL]","")),IF(S68="","","• "&amp;S68&amp;IF(T68="Yes","  [IPL]","")),IF(U68="","","• "&amp;U68&amp;IF(V68="Yes","  [IPL]","")),IF(W68="","","• "&amp;W68&amp;IF(X68="Yes","  [IPL]","")),IF(Y68="","","• "&amp;Y68&amp;IF(Z68="Yes","  [IPL]","")),IF(AA68="","","• "&amp;AA68&amp;IF(AB68="Yes","  [IPL]","")))</f>
        <v/>
      </c>
      <c r="AD68" s="30">
        <f>IF(AC68="","",COUNTIF(Q68:AB68,"Yes"))</f>
        <v/>
      </c>
      <c r="AE68" s="19" t="n"/>
      <c r="AF68" s="19" t="n"/>
      <c r="AG68" s="30">
        <f>IF(OR(AE68="",AF68=""),"",INDEX(RiskGrid,6-VALUE(LEFT(AE68,1)),VALUE(LEFT(AF68,1))))</f>
        <v/>
      </c>
      <c r="AH68" s="30">
        <f>IF(AG68="","",IF(AG68&gt;=BandVH,"Very High",IF(AG68&gt;=BandHigh,"High",IF(AG68&gt;=BandMed,"Medium","Low"))))</f>
        <v/>
      </c>
      <c r="AI68" s="4" t="n"/>
      <c r="AJ68" s="4" t="n"/>
    </row>
    <row r="69">
      <c r="A69" s="30">
        <f>IF(B69="","",COUNTIF(B$14:B69,"?*"))</f>
        <v/>
      </c>
      <c r="B69" s="4" t="n"/>
      <c r="C69" s="19" t="n"/>
      <c r="D69" s="5">
        <f>IF(OR(B69="",C69=""),"",UPPER(LEFT(C69,1))&amp;LOWER(MID(C69,2,30))&amp;" "&amp;LOWER(LEFT(B69,1))&amp;MID(B69,2,200))</f>
        <v/>
      </c>
      <c r="E69" s="4" t="n"/>
      <c r="F69" s="4" t="n"/>
      <c r="G69" s="4" t="n"/>
      <c r="H69" s="4" t="n"/>
      <c r="I69" s="4" t="n"/>
      <c r="J69" s="4" t="n"/>
      <c r="K69" s="5">
        <f>_xlfn.TEXTJOIN(CHAR(10),TRUE,IF(E69="","","• "&amp;E69),IF(F69="","","• "&amp;F69),IF(G69="","","• "&amp;G69),IF(H69="","","• "&amp;H69),IF(I69="","","• "&amp;I69),IF(J69="","","• "&amp;J69))</f>
        <v/>
      </c>
      <c r="L69" s="4" t="n"/>
      <c r="M69" s="19" t="n"/>
      <c r="N69" s="19" t="n"/>
      <c r="O69" s="30">
        <f>IF(OR(M69="",N69=""),"",INDEX(RiskGrid,6-VALUE(LEFT(M69,1)),VALUE(LEFT(N69,1))))</f>
        <v/>
      </c>
      <c r="P69" s="30">
        <f>IF(O69="","",IF(O69&gt;=BandVH,"Very High",IF(O69&gt;=BandHigh,"High",IF(O69&gt;=BandMed,"Medium","Low"))))</f>
        <v/>
      </c>
      <c r="Q69" s="4" t="n"/>
      <c r="R69" s="19" t="n"/>
      <c r="S69" s="4" t="n"/>
      <c r="T69" s="19" t="n"/>
      <c r="U69" s="4" t="n"/>
      <c r="V69" s="19" t="n"/>
      <c r="W69" s="4" t="n"/>
      <c r="X69" s="19" t="n"/>
      <c r="Y69" s="4" t="n"/>
      <c r="Z69" s="19" t="n"/>
      <c r="AA69" s="4" t="n"/>
      <c r="AB69" s="19" t="n"/>
      <c r="AC69" s="5">
        <f>_xlfn.TEXTJOIN(CHAR(10),TRUE,IF(Q69="","","• "&amp;Q69&amp;IF(R69="Yes","  [IPL]","")),IF(S69="","","• "&amp;S69&amp;IF(T69="Yes","  [IPL]","")),IF(U69="","","• "&amp;U69&amp;IF(V69="Yes","  [IPL]","")),IF(W69="","","• "&amp;W69&amp;IF(X69="Yes","  [IPL]","")),IF(Y69="","","• "&amp;Y69&amp;IF(Z69="Yes","  [IPL]","")),IF(AA69="","","• "&amp;AA69&amp;IF(AB69="Yes","  [IPL]","")))</f>
        <v/>
      </c>
      <c r="AD69" s="30">
        <f>IF(AC69="","",COUNTIF(Q69:AB69,"Yes"))</f>
        <v/>
      </c>
      <c r="AE69" s="19" t="n"/>
      <c r="AF69" s="19" t="n"/>
      <c r="AG69" s="30">
        <f>IF(OR(AE69="",AF69=""),"",INDEX(RiskGrid,6-VALUE(LEFT(AE69,1)),VALUE(LEFT(AF69,1))))</f>
        <v/>
      </c>
      <c r="AH69" s="30">
        <f>IF(AG69="","",IF(AG69&gt;=BandVH,"Very High",IF(AG69&gt;=BandHigh,"High",IF(AG69&gt;=BandMed,"Medium","Low"))))</f>
        <v/>
      </c>
      <c r="AI69" s="4" t="n"/>
      <c r="AJ69" s="4" t="n"/>
    </row>
    <row r="70">
      <c r="A70" s="30">
        <f>IF(B70="","",COUNTIF(B$14:B70,"?*"))</f>
        <v/>
      </c>
      <c r="B70" s="4" t="n"/>
      <c r="C70" s="19" t="n"/>
      <c r="D70" s="5">
        <f>IF(OR(B70="",C70=""),"",UPPER(LEFT(C70,1))&amp;LOWER(MID(C70,2,30))&amp;" "&amp;LOWER(LEFT(B70,1))&amp;MID(B70,2,200))</f>
        <v/>
      </c>
      <c r="E70" s="4" t="n"/>
      <c r="F70" s="4" t="n"/>
      <c r="G70" s="4" t="n"/>
      <c r="H70" s="4" t="n"/>
      <c r="I70" s="4" t="n"/>
      <c r="J70" s="4" t="n"/>
      <c r="K70" s="5">
        <f>_xlfn.TEXTJOIN(CHAR(10),TRUE,IF(E70="","","• "&amp;E70),IF(F70="","","• "&amp;F70),IF(G70="","","• "&amp;G70),IF(H70="","","• "&amp;H70),IF(I70="","","• "&amp;I70),IF(J70="","","• "&amp;J70))</f>
        <v/>
      </c>
      <c r="L70" s="4" t="n"/>
      <c r="M70" s="19" t="n"/>
      <c r="N70" s="19" t="n"/>
      <c r="O70" s="30">
        <f>IF(OR(M70="",N70=""),"",INDEX(RiskGrid,6-VALUE(LEFT(M70,1)),VALUE(LEFT(N70,1))))</f>
        <v/>
      </c>
      <c r="P70" s="30">
        <f>IF(O70="","",IF(O70&gt;=BandVH,"Very High",IF(O70&gt;=BandHigh,"High",IF(O70&gt;=BandMed,"Medium","Low"))))</f>
        <v/>
      </c>
      <c r="Q70" s="4" t="n"/>
      <c r="R70" s="19" t="n"/>
      <c r="S70" s="4" t="n"/>
      <c r="T70" s="19" t="n"/>
      <c r="U70" s="4" t="n"/>
      <c r="V70" s="19" t="n"/>
      <c r="W70" s="4" t="n"/>
      <c r="X70" s="19" t="n"/>
      <c r="Y70" s="4" t="n"/>
      <c r="Z70" s="19" t="n"/>
      <c r="AA70" s="4" t="n"/>
      <c r="AB70" s="19" t="n"/>
      <c r="AC70" s="5">
        <f>_xlfn.TEXTJOIN(CHAR(10),TRUE,IF(Q70="","","• "&amp;Q70&amp;IF(R70="Yes","  [IPL]","")),IF(S70="","","• "&amp;S70&amp;IF(T70="Yes","  [IPL]","")),IF(U70="","","• "&amp;U70&amp;IF(V70="Yes","  [IPL]","")),IF(W70="","","• "&amp;W70&amp;IF(X70="Yes","  [IPL]","")),IF(Y70="","","• "&amp;Y70&amp;IF(Z70="Yes","  [IPL]","")),IF(AA70="","","• "&amp;AA70&amp;IF(AB70="Yes","  [IPL]","")))</f>
        <v/>
      </c>
      <c r="AD70" s="30">
        <f>IF(AC70="","",COUNTIF(Q70:AB70,"Yes"))</f>
        <v/>
      </c>
      <c r="AE70" s="19" t="n"/>
      <c r="AF70" s="19" t="n"/>
      <c r="AG70" s="30">
        <f>IF(OR(AE70="",AF70=""),"",INDEX(RiskGrid,6-VALUE(LEFT(AE70,1)),VALUE(LEFT(AF70,1))))</f>
        <v/>
      </c>
      <c r="AH70" s="30">
        <f>IF(AG70="","",IF(AG70&gt;=BandVH,"Very High",IF(AG70&gt;=BandHigh,"High",IF(AG70&gt;=BandMed,"Medium","Low"))))</f>
        <v/>
      </c>
      <c r="AI70" s="4" t="n"/>
      <c r="AJ70" s="4" t="n"/>
    </row>
    <row r="71">
      <c r="A71" s="30">
        <f>IF(B71="","",COUNTIF(B$14:B71,"?*"))</f>
        <v/>
      </c>
      <c r="B71" s="4" t="n"/>
      <c r="C71" s="19" t="n"/>
      <c r="D71" s="5">
        <f>IF(OR(B71="",C71=""),"",UPPER(LEFT(C71,1))&amp;LOWER(MID(C71,2,30))&amp;" "&amp;LOWER(LEFT(B71,1))&amp;MID(B71,2,200))</f>
        <v/>
      </c>
      <c r="E71" s="4" t="n"/>
      <c r="F71" s="4" t="n"/>
      <c r="G71" s="4" t="n"/>
      <c r="H71" s="4" t="n"/>
      <c r="I71" s="4" t="n"/>
      <c r="J71" s="4" t="n"/>
      <c r="K71" s="5">
        <f>_xlfn.TEXTJOIN(CHAR(10),TRUE,IF(E71="","","• "&amp;E71),IF(F71="","","• "&amp;F71),IF(G71="","","• "&amp;G71),IF(H71="","","• "&amp;H71),IF(I71="","","• "&amp;I71),IF(J71="","","• "&amp;J71))</f>
        <v/>
      </c>
      <c r="L71" s="4" t="n"/>
      <c r="M71" s="19" t="n"/>
      <c r="N71" s="19" t="n"/>
      <c r="O71" s="30">
        <f>IF(OR(M71="",N71=""),"",INDEX(RiskGrid,6-VALUE(LEFT(M71,1)),VALUE(LEFT(N71,1))))</f>
        <v/>
      </c>
      <c r="P71" s="30">
        <f>IF(O71="","",IF(O71&gt;=BandVH,"Very High",IF(O71&gt;=BandHigh,"High",IF(O71&gt;=BandMed,"Medium","Low"))))</f>
        <v/>
      </c>
      <c r="Q71" s="4" t="n"/>
      <c r="R71" s="19" t="n"/>
      <c r="S71" s="4" t="n"/>
      <c r="T71" s="19" t="n"/>
      <c r="U71" s="4" t="n"/>
      <c r="V71" s="19" t="n"/>
      <c r="W71" s="4" t="n"/>
      <c r="X71" s="19" t="n"/>
      <c r="Y71" s="4" t="n"/>
      <c r="Z71" s="19" t="n"/>
      <c r="AA71" s="4" t="n"/>
      <c r="AB71" s="19" t="n"/>
      <c r="AC71" s="5">
        <f>_xlfn.TEXTJOIN(CHAR(10),TRUE,IF(Q71="","","• "&amp;Q71&amp;IF(R71="Yes","  [IPL]","")),IF(S71="","","• "&amp;S71&amp;IF(T71="Yes","  [IPL]","")),IF(U71="","","• "&amp;U71&amp;IF(V71="Yes","  [IPL]","")),IF(W71="","","• "&amp;W71&amp;IF(X71="Yes","  [IPL]","")),IF(Y71="","","• "&amp;Y71&amp;IF(Z71="Yes","  [IPL]","")),IF(AA71="","","• "&amp;AA71&amp;IF(AB71="Yes","  [IPL]","")))</f>
        <v/>
      </c>
      <c r="AD71" s="30">
        <f>IF(AC71="","",COUNTIF(Q71:AB71,"Yes"))</f>
        <v/>
      </c>
      <c r="AE71" s="19" t="n"/>
      <c r="AF71" s="19" t="n"/>
      <c r="AG71" s="30">
        <f>IF(OR(AE71="",AF71=""),"",INDEX(RiskGrid,6-VALUE(LEFT(AE71,1)),VALUE(LEFT(AF71,1))))</f>
        <v/>
      </c>
      <c r="AH71" s="30">
        <f>IF(AG71="","",IF(AG71&gt;=BandVH,"Very High",IF(AG71&gt;=BandHigh,"High",IF(AG71&gt;=BandMed,"Medium","Low"))))</f>
        <v/>
      </c>
      <c r="AI71" s="4" t="n"/>
      <c r="AJ71" s="4" t="n"/>
    </row>
    <row r="72">
      <c r="A72" s="30">
        <f>IF(B72="","",COUNTIF(B$14:B72,"?*"))</f>
        <v/>
      </c>
      <c r="B72" s="4" t="n"/>
      <c r="C72" s="19" t="n"/>
      <c r="D72" s="5">
        <f>IF(OR(B72="",C72=""),"",UPPER(LEFT(C72,1))&amp;LOWER(MID(C72,2,30))&amp;" "&amp;LOWER(LEFT(B72,1))&amp;MID(B72,2,200))</f>
        <v/>
      </c>
      <c r="E72" s="4" t="n"/>
      <c r="F72" s="4" t="n"/>
      <c r="G72" s="4" t="n"/>
      <c r="H72" s="4" t="n"/>
      <c r="I72" s="4" t="n"/>
      <c r="J72" s="4" t="n"/>
      <c r="K72" s="5">
        <f>_xlfn.TEXTJOIN(CHAR(10),TRUE,IF(E72="","","• "&amp;E72),IF(F72="","","• "&amp;F72),IF(G72="","","• "&amp;G72),IF(H72="","","• "&amp;H72),IF(I72="","","• "&amp;I72),IF(J72="","","• "&amp;J72))</f>
        <v/>
      </c>
      <c r="L72" s="4" t="n"/>
      <c r="M72" s="19" t="n"/>
      <c r="N72" s="19" t="n"/>
      <c r="O72" s="30">
        <f>IF(OR(M72="",N72=""),"",INDEX(RiskGrid,6-VALUE(LEFT(M72,1)),VALUE(LEFT(N72,1))))</f>
        <v/>
      </c>
      <c r="P72" s="30">
        <f>IF(O72="","",IF(O72&gt;=BandVH,"Very High",IF(O72&gt;=BandHigh,"High",IF(O72&gt;=BandMed,"Medium","Low"))))</f>
        <v/>
      </c>
      <c r="Q72" s="4" t="n"/>
      <c r="R72" s="19" t="n"/>
      <c r="S72" s="4" t="n"/>
      <c r="T72" s="19" t="n"/>
      <c r="U72" s="4" t="n"/>
      <c r="V72" s="19" t="n"/>
      <c r="W72" s="4" t="n"/>
      <c r="X72" s="19" t="n"/>
      <c r="Y72" s="4" t="n"/>
      <c r="Z72" s="19" t="n"/>
      <c r="AA72" s="4" t="n"/>
      <c r="AB72" s="19" t="n"/>
      <c r="AC72" s="5">
        <f>_xlfn.TEXTJOIN(CHAR(10),TRUE,IF(Q72="","","• "&amp;Q72&amp;IF(R72="Yes","  [IPL]","")),IF(S72="","","• "&amp;S72&amp;IF(T72="Yes","  [IPL]","")),IF(U72="","","• "&amp;U72&amp;IF(V72="Yes","  [IPL]","")),IF(W72="","","• "&amp;W72&amp;IF(X72="Yes","  [IPL]","")),IF(Y72="","","• "&amp;Y72&amp;IF(Z72="Yes","  [IPL]","")),IF(AA72="","","• "&amp;AA72&amp;IF(AB72="Yes","  [IPL]","")))</f>
        <v/>
      </c>
      <c r="AD72" s="30">
        <f>IF(AC72="","",COUNTIF(Q72:AB72,"Yes"))</f>
        <v/>
      </c>
      <c r="AE72" s="19" t="n"/>
      <c r="AF72" s="19" t="n"/>
      <c r="AG72" s="30">
        <f>IF(OR(AE72="",AF72=""),"",INDEX(RiskGrid,6-VALUE(LEFT(AE72,1)),VALUE(LEFT(AF72,1))))</f>
        <v/>
      </c>
      <c r="AH72" s="30">
        <f>IF(AG72="","",IF(AG72&gt;=BandVH,"Very High",IF(AG72&gt;=BandHigh,"High",IF(AG72&gt;=BandMed,"Medium","Low"))))</f>
        <v/>
      </c>
      <c r="AI72" s="4" t="n"/>
      <c r="AJ72" s="4" t="n"/>
    </row>
    <row r="73">
      <c r="A73" s="30">
        <f>IF(B73="","",COUNTIF(B$14:B73,"?*"))</f>
        <v/>
      </c>
      <c r="B73" s="4" t="n"/>
      <c r="C73" s="19" t="n"/>
      <c r="D73" s="5">
        <f>IF(OR(B73="",C73=""),"",UPPER(LEFT(C73,1))&amp;LOWER(MID(C73,2,30))&amp;" "&amp;LOWER(LEFT(B73,1))&amp;MID(B73,2,200))</f>
        <v/>
      </c>
      <c r="E73" s="4" t="n"/>
      <c r="F73" s="4" t="n"/>
      <c r="G73" s="4" t="n"/>
      <c r="H73" s="4" t="n"/>
      <c r="I73" s="4" t="n"/>
      <c r="J73" s="4" t="n"/>
      <c r="K73" s="5">
        <f>_xlfn.TEXTJOIN(CHAR(10),TRUE,IF(E73="","","• "&amp;E73),IF(F73="","","• "&amp;F73),IF(G73="","","• "&amp;G73),IF(H73="","","• "&amp;H73),IF(I73="","","• "&amp;I73),IF(J73="","","• "&amp;J73))</f>
        <v/>
      </c>
      <c r="L73" s="4" t="n"/>
      <c r="M73" s="19" t="n"/>
      <c r="N73" s="19" t="n"/>
      <c r="O73" s="30">
        <f>IF(OR(M73="",N73=""),"",INDEX(RiskGrid,6-VALUE(LEFT(M73,1)),VALUE(LEFT(N73,1))))</f>
        <v/>
      </c>
      <c r="P73" s="30">
        <f>IF(O73="","",IF(O73&gt;=BandVH,"Very High",IF(O73&gt;=BandHigh,"High",IF(O73&gt;=BandMed,"Medium","Low"))))</f>
        <v/>
      </c>
      <c r="Q73" s="4" t="n"/>
      <c r="R73" s="19" t="n"/>
      <c r="S73" s="4" t="n"/>
      <c r="T73" s="19" t="n"/>
      <c r="U73" s="4" t="n"/>
      <c r="V73" s="19" t="n"/>
      <c r="W73" s="4" t="n"/>
      <c r="X73" s="19" t="n"/>
      <c r="Y73" s="4" t="n"/>
      <c r="Z73" s="19" t="n"/>
      <c r="AA73" s="4" t="n"/>
      <c r="AB73" s="19" t="n"/>
      <c r="AC73" s="5">
        <f>_xlfn.TEXTJOIN(CHAR(10),TRUE,IF(Q73="","","• "&amp;Q73&amp;IF(R73="Yes","  [IPL]","")),IF(S73="","","• "&amp;S73&amp;IF(T73="Yes","  [IPL]","")),IF(U73="","","• "&amp;U73&amp;IF(V73="Yes","  [IPL]","")),IF(W73="","","• "&amp;W73&amp;IF(X73="Yes","  [IPL]","")),IF(Y73="","","• "&amp;Y73&amp;IF(Z73="Yes","  [IPL]","")),IF(AA73="","","• "&amp;AA73&amp;IF(AB73="Yes","  [IPL]","")))</f>
        <v/>
      </c>
      <c r="AD73" s="30">
        <f>IF(AC73="","",COUNTIF(Q73:AB73,"Yes"))</f>
        <v/>
      </c>
      <c r="AE73" s="19" t="n"/>
      <c r="AF73" s="19" t="n"/>
      <c r="AG73" s="30">
        <f>IF(OR(AE73="",AF73=""),"",INDEX(RiskGrid,6-VALUE(LEFT(AE73,1)),VALUE(LEFT(AF73,1))))</f>
        <v/>
      </c>
      <c r="AH73" s="30">
        <f>IF(AG73="","",IF(AG73&gt;=BandVH,"Very High",IF(AG73&gt;=BandHigh,"High",IF(AG73&gt;=BandMed,"Medium","Low"))))</f>
        <v/>
      </c>
      <c r="AI73" s="4" t="n"/>
      <c r="AJ73" s="4" t="n"/>
    </row>
    <row r="74">
      <c r="A74" s="30">
        <f>IF(B74="","",COUNTIF(B$14:B74,"?*"))</f>
        <v/>
      </c>
      <c r="B74" s="4" t="n"/>
      <c r="C74" s="19" t="n"/>
      <c r="D74" s="5">
        <f>IF(OR(B74="",C74=""),"",UPPER(LEFT(C74,1))&amp;LOWER(MID(C74,2,30))&amp;" "&amp;LOWER(LEFT(B74,1))&amp;MID(B74,2,200))</f>
        <v/>
      </c>
      <c r="E74" s="4" t="n"/>
      <c r="F74" s="4" t="n"/>
      <c r="G74" s="4" t="n"/>
      <c r="H74" s="4" t="n"/>
      <c r="I74" s="4" t="n"/>
      <c r="J74" s="4" t="n"/>
      <c r="K74" s="5">
        <f>_xlfn.TEXTJOIN(CHAR(10),TRUE,IF(E74="","","• "&amp;E74),IF(F74="","","• "&amp;F74),IF(G74="","","• "&amp;G74),IF(H74="","","• "&amp;H74),IF(I74="","","• "&amp;I74),IF(J74="","","• "&amp;J74))</f>
        <v/>
      </c>
      <c r="L74" s="4" t="n"/>
      <c r="M74" s="19" t="n"/>
      <c r="N74" s="19" t="n"/>
      <c r="O74" s="30">
        <f>IF(OR(M74="",N74=""),"",INDEX(RiskGrid,6-VALUE(LEFT(M74,1)),VALUE(LEFT(N74,1))))</f>
        <v/>
      </c>
      <c r="P74" s="30">
        <f>IF(O74="","",IF(O74&gt;=BandVH,"Very High",IF(O74&gt;=BandHigh,"High",IF(O74&gt;=BandMed,"Medium","Low"))))</f>
        <v/>
      </c>
      <c r="Q74" s="4" t="n"/>
      <c r="R74" s="19" t="n"/>
      <c r="S74" s="4" t="n"/>
      <c r="T74" s="19" t="n"/>
      <c r="U74" s="4" t="n"/>
      <c r="V74" s="19" t="n"/>
      <c r="W74" s="4" t="n"/>
      <c r="X74" s="19" t="n"/>
      <c r="Y74" s="4" t="n"/>
      <c r="Z74" s="19" t="n"/>
      <c r="AA74" s="4" t="n"/>
      <c r="AB74" s="19" t="n"/>
      <c r="AC74" s="5">
        <f>_xlfn.TEXTJOIN(CHAR(10),TRUE,IF(Q74="","","• "&amp;Q74&amp;IF(R74="Yes","  [IPL]","")),IF(S74="","","• "&amp;S74&amp;IF(T74="Yes","  [IPL]","")),IF(U74="","","• "&amp;U74&amp;IF(V74="Yes","  [IPL]","")),IF(W74="","","• "&amp;W74&amp;IF(X74="Yes","  [IPL]","")),IF(Y74="","","• "&amp;Y74&amp;IF(Z74="Yes","  [IPL]","")),IF(AA74="","","• "&amp;AA74&amp;IF(AB74="Yes","  [IPL]","")))</f>
        <v/>
      </c>
      <c r="AD74" s="30">
        <f>IF(AC74="","",COUNTIF(Q74:AB74,"Yes"))</f>
        <v/>
      </c>
      <c r="AE74" s="19" t="n"/>
      <c r="AF74" s="19" t="n"/>
      <c r="AG74" s="30">
        <f>IF(OR(AE74="",AF74=""),"",INDEX(RiskGrid,6-VALUE(LEFT(AE74,1)),VALUE(LEFT(AF74,1))))</f>
        <v/>
      </c>
      <c r="AH74" s="30">
        <f>IF(AG74="","",IF(AG74&gt;=BandVH,"Very High",IF(AG74&gt;=BandHigh,"High",IF(AG74&gt;=BandMed,"Medium","Low"))))</f>
        <v/>
      </c>
      <c r="AI74" s="4" t="n"/>
      <c r="AJ74" s="4" t="n"/>
    </row>
    <row r="75">
      <c r="A75" s="30">
        <f>IF(B75="","",COUNTIF(B$14:B75,"?*"))</f>
        <v/>
      </c>
      <c r="B75" s="4" t="n"/>
      <c r="C75" s="19" t="n"/>
      <c r="D75" s="5">
        <f>IF(OR(B75="",C75=""),"",UPPER(LEFT(C75,1))&amp;LOWER(MID(C75,2,30))&amp;" "&amp;LOWER(LEFT(B75,1))&amp;MID(B75,2,200))</f>
        <v/>
      </c>
      <c r="E75" s="4" t="n"/>
      <c r="F75" s="4" t="n"/>
      <c r="G75" s="4" t="n"/>
      <c r="H75" s="4" t="n"/>
      <c r="I75" s="4" t="n"/>
      <c r="J75" s="4" t="n"/>
      <c r="K75" s="5">
        <f>_xlfn.TEXTJOIN(CHAR(10),TRUE,IF(E75="","","• "&amp;E75),IF(F75="","","• "&amp;F75),IF(G75="","","• "&amp;G75),IF(H75="","","• "&amp;H75),IF(I75="","","• "&amp;I75),IF(J75="","","• "&amp;J75))</f>
        <v/>
      </c>
      <c r="L75" s="4" t="n"/>
      <c r="M75" s="19" t="n"/>
      <c r="N75" s="19" t="n"/>
      <c r="O75" s="30">
        <f>IF(OR(M75="",N75=""),"",INDEX(RiskGrid,6-VALUE(LEFT(M75,1)),VALUE(LEFT(N75,1))))</f>
        <v/>
      </c>
      <c r="P75" s="30">
        <f>IF(O75="","",IF(O75&gt;=BandVH,"Very High",IF(O75&gt;=BandHigh,"High",IF(O75&gt;=BandMed,"Medium","Low"))))</f>
        <v/>
      </c>
      <c r="Q75" s="4" t="n"/>
      <c r="R75" s="19" t="n"/>
      <c r="S75" s="4" t="n"/>
      <c r="T75" s="19" t="n"/>
      <c r="U75" s="4" t="n"/>
      <c r="V75" s="19" t="n"/>
      <c r="W75" s="4" t="n"/>
      <c r="X75" s="19" t="n"/>
      <c r="Y75" s="4" t="n"/>
      <c r="Z75" s="19" t="n"/>
      <c r="AA75" s="4" t="n"/>
      <c r="AB75" s="19" t="n"/>
      <c r="AC75" s="5">
        <f>_xlfn.TEXTJOIN(CHAR(10),TRUE,IF(Q75="","","• "&amp;Q75&amp;IF(R75="Yes","  [IPL]","")),IF(S75="","","• "&amp;S75&amp;IF(T75="Yes","  [IPL]","")),IF(U75="","","• "&amp;U75&amp;IF(V75="Yes","  [IPL]","")),IF(W75="","","• "&amp;W75&amp;IF(X75="Yes","  [IPL]","")),IF(Y75="","","• "&amp;Y75&amp;IF(Z75="Yes","  [IPL]","")),IF(AA75="","","• "&amp;AA75&amp;IF(AB75="Yes","  [IPL]","")))</f>
        <v/>
      </c>
      <c r="AD75" s="30">
        <f>IF(AC75="","",COUNTIF(Q75:AB75,"Yes"))</f>
        <v/>
      </c>
      <c r="AE75" s="19" t="n"/>
      <c r="AF75" s="19" t="n"/>
      <c r="AG75" s="30">
        <f>IF(OR(AE75="",AF75=""),"",INDEX(RiskGrid,6-VALUE(LEFT(AE75,1)),VALUE(LEFT(AF75,1))))</f>
        <v/>
      </c>
      <c r="AH75" s="30">
        <f>IF(AG75="","",IF(AG75&gt;=BandVH,"Very High",IF(AG75&gt;=BandHigh,"High",IF(AG75&gt;=BandMed,"Medium","Low"))))</f>
        <v/>
      </c>
      <c r="AI75" s="4" t="n"/>
      <c r="AJ75" s="4" t="n"/>
    </row>
    <row r="76">
      <c r="A76" s="30">
        <f>IF(B76="","",COUNTIF(B$14:B76,"?*"))</f>
        <v/>
      </c>
      <c r="B76" s="4" t="n"/>
      <c r="C76" s="19" t="n"/>
      <c r="D76" s="5">
        <f>IF(OR(B76="",C76=""),"",UPPER(LEFT(C76,1))&amp;LOWER(MID(C76,2,30))&amp;" "&amp;LOWER(LEFT(B76,1))&amp;MID(B76,2,200))</f>
        <v/>
      </c>
      <c r="E76" s="4" t="n"/>
      <c r="F76" s="4" t="n"/>
      <c r="G76" s="4" t="n"/>
      <c r="H76" s="4" t="n"/>
      <c r="I76" s="4" t="n"/>
      <c r="J76" s="4" t="n"/>
      <c r="K76" s="5">
        <f>_xlfn.TEXTJOIN(CHAR(10),TRUE,IF(E76="","","• "&amp;E76),IF(F76="","","• "&amp;F76),IF(G76="","","• "&amp;G76),IF(H76="","","• "&amp;H76),IF(I76="","","• "&amp;I76),IF(J76="","","• "&amp;J76))</f>
        <v/>
      </c>
      <c r="L76" s="4" t="n"/>
      <c r="M76" s="19" t="n"/>
      <c r="N76" s="19" t="n"/>
      <c r="O76" s="30">
        <f>IF(OR(M76="",N76=""),"",INDEX(RiskGrid,6-VALUE(LEFT(M76,1)),VALUE(LEFT(N76,1))))</f>
        <v/>
      </c>
      <c r="P76" s="30">
        <f>IF(O76="","",IF(O76&gt;=BandVH,"Very High",IF(O76&gt;=BandHigh,"High",IF(O76&gt;=BandMed,"Medium","Low"))))</f>
        <v/>
      </c>
      <c r="Q76" s="4" t="n"/>
      <c r="R76" s="19" t="n"/>
      <c r="S76" s="4" t="n"/>
      <c r="T76" s="19" t="n"/>
      <c r="U76" s="4" t="n"/>
      <c r="V76" s="19" t="n"/>
      <c r="W76" s="4" t="n"/>
      <c r="X76" s="19" t="n"/>
      <c r="Y76" s="4" t="n"/>
      <c r="Z76" s="19" t="n"/>
      <c r="AA76" s="4" t="n"/>
      <c r="AB76" s="19" t="n"/>
      <c r="AC76" s="5">
        <f>_xlfn.TEXTJOIN(CHAR(10),TRUE,IF(Q76="","","• "&amp;Q76&amp;IF(R76="Yes","  [IPL]","")),IF(S76="","","• "&amp;S76&amp;IF(T76="Yes","  [IPL]","")),IF(U76="","","• "&amp;U76&amp;IF(V76="Yes","  [IPL]","")),IF(W76="","","• "&amp;W76&amp;IF(X76="Yes","  [IPL]","")),IF(Y76="","","• "&amp;Y76&amp;IF(Z76="Yes","  [IPL]","")),IF(AA76="","","• "&amp;AA76&amp;IF(AB76="Yes","  [IPL]","")))</f>
        <v/>
      </c>
      <c r="AD76" s="30">
        <f>IF(AC76="","",COUNTIF(Q76:AB76,"Yes"))</f>
        <v/>
      </c>
      <c r="AE76" s="19" t="n"/>
      <c r="AF76" s="19" t="n"/>
      <c r="AG76" s="30">
        <f>IF(OR(AE76="",AF76=""),"",INDEX(RiskGrid,6-VALUE(LEFT(AE76,1)),VALUE(LEFT(AF76,1))))</f>
        <v/>
      </c>
      <c r="AH76" s="30">
        <f>IF(AG76="","",IF(AG76&gt;=BandVH,"Very High",IF(AG76&gt;=BandHigh,"High",IF(AG76&gt;=BandMed,"Medium","Low"))))</f>
        <v/>
      </c>
      <c r="AI76" s="4" t="n"/>
      <c r="AJ76" s="4" t="n"/>
    </row>
    <row r="77">
      <c r="A77" s="30">
        <f>IF(B77="","",COUNTIF(B$14:B77,"?*"))</f>
        <v/>
      </c>
      <c r="B77" s="4" t="n"/>
      <c r="C77" s="19" t="n"/>
      <c r="D77" s="5">
        <f>IF(OR(B77="",C77=""),"",UPPER(LEFT(C77,1))&amp;LOWER(MID(C77,2,30))&amp;" "&amp;LOWER(LEFT(B77,1))&amp;MID(B77,2,200))</f>
        <v/>
      </c>
      <c r="E77" s="4" t="n"/>
      <c r="F77" s="4" t="n"/>
      <c r="G77" s="4" t="n"/>
      <c r="H77" s="4" t="n"/>
      <c r="I77" s="4" t="n"/>
      <c r="J77" s="4" t="n"/>
      <c r="K77" s="5">
        <f>_xlfn.TEXTJOIN(CHAR(10),TRUE,IF(E77="","","• "&amp;E77),IF(F77="","","• "&amp;F77),IF(G77="","","• "&amp;G77),IF(H77="","","• "&amp;H77),IF(I77="","","• "&amp;I77),IF(J77="","","• "&amp;J77))</f>
        <v/>
      </c>
      <c r="L77" s="4" t="n"/>
      <c r="M77" s="19" t="n"/>
      <c r="N77" s="19" t="n"/>
      <c r="O77" s="30">
        <f>IF(OR(M77="",N77=""),"",INDEX(RiskGrid,6-VALUE(LEFT(M77,1)),VALUE(LEFT(N77,1))))</f>
        <v/>
      </c>
      <c r="P77" s="30">
        <f>IF(O77="","",IF(O77&gt;=BandVH,"Very High",IF(O77&gt;=BandHigh,"High",IF(O77&gt;=BandMed,"Medium","Low"))))</f>
        <v/>
      </c>
      <c r="Q77" s="4" t="n"/>
      <c r="R77" s="19" t="n"/>
      <c r="S77" s="4" t="n"/>
      <c r="T77" s="19" t="n"/>
      <c r="U77" s="4" t="n"/>
      <c r="V77" s="19" t="n"/>
      <c r="W77" s="4" t="n"/>
      <c r="X77" s="19" t="n"/>
      <c r="Y77" s="4" t="n"/>
      <c r="Z77" s="19" t="n"/>
      <c r="AA77" s="4" t="n"/>
      <c r="AB77" s="19" t="n"/>
      <c r="AC77" s="5">
        <f>_xlfn.TEXTJOIN(CHAR(10),TRUE,IF(Q77="","","• "&amp;Q77&amp;IF(R77="Yes","  [IPL]","")),IF(S77="","","• "&amp;S77&amp;IF(T77="Yes","  [IPL]","")),IF(U77="","","• "&amp;U77&amp;IF(V77="Yes","  [IPL]","")),IF(W77="","","• "&amp;W77&amp;IF(X77="Yes","  [IPL]","")),IF(Y77="","","• "&amp;Y77&amp;IF(Z77="Yes","  [IPL]","")),IF(AA77="","","• "&amp;AA77&amp;IF(AB77="Yes","  [IPL]","")))</f>
        <v/>
      </c>
      <c r="AD77" s="30">
        <f>IF(AC77="","",COUNTIF(Q77:AB77,"Yes"))</f>
        <v/>
      </c>
      <c r="AE77" s="19" t="n"/>
      <c r="AF77" s="19" t="n"/>
      <c r="AG77" s="30">
        <f>IF(OR(AE77="",AF77=""),"",INDEX(RiskGrid,6-VALUE(LEFT(AE77,1)),VALUE(LEFT(AF77,1))))</f>
        <v/>
      </c>
      <c r="AH77" s="30">
        <f>IF(AG77="","",IF(AG77&gt;=BandVH,"Very High",IF(AG77&gt;=BandHigh,"High",IF(AG77&gt;=BandMed,"Medium","Low"))))</f>
        <v/>
      </c>
      <c r="AI77" s="4" t="n"/>
      <c r="AJ77" s="4" t="n"/>
    </row>
    <row r="78">
      <c r="A78" s="30">
        <f>IF(B78="","",COUNTIF(B$14:B78,"?*"))</f>
        <v/>
      </c>
      <c r="B78" s="4" t="n"/>
      <c r="C78" s="19" t="n"/>
      <c r="D78" s="5">
        <f>IF(OR(B78="",C78=""),"",UPPER(LEFT(C78,1))&amp;LOWER(MID(C78,2,30))&amp;" "&amp;LOWER(LEFT(B78,1))&amp;MID(B78,2,200))</f>
        <v/>
      </c>
      <c r="E78" s="4" t="n"/>
      <c r="F78" s="4" t="n"/>
      <c r="G78" s="4" t="n"/>
      <c r="H78" s="4" t="n"/>
      <c r="I78" s="4" t="n"/>
      <c r="J78" s="4" t="n"/>
      <c r="K78" s="5">
        <f>_xlfn.TEXTJOIN(CHAR(10),TRUE,IF(E78="","","• "&amp;E78),IF(F78="","","• "&amp;F78),IF(G78="","","• "&amp;G78),IF(H78="","","• "&amp;H78),IF(I78="","","• "&amp;I78),IF(J78="","","• "&amp;J78))</f>
        <v/>
      </c>
      <c r="L78" s="4" t="n"/>
      <c r="M78" s="19" t="n"/>
      <c r="N78" s="19" t="n"/>
      <c r="O78" s="30">
        <f>IF(OR(M78="",N78=""),"",INDEX(RiskGrid,6-VALUE(LEFT(M78,1)),VALUE(LEFT(N78,1))))</f>
        <v/>
      </c>
      <c r="P78" s="30">
        <f>IF(O78="","",IF(O78&gt;=BandVH,"Very High",IF(O78&gt;=BandHigh,"High",IF(O78&gt;=BandMed,"Medium","Low"))))</f>
        <v/>
      </c>
      <c r="Q78" s="4" t="n"/>
      <c r="R78" s="19" t="n"/>
      <c r="S78" s="4" t="n"/>
      <c r="T78" s="19" t="n"/>
      <c r="U78" s="4" t="n"/>
      <c r="V78" s="19" t="n"/>
      <c r="W78" s="4" t="n"/>
      <c r="X78" s="19" t="n"/>
      <c r="Y78" s="4" t="n"/>
      <c r="Z78" s="19" t="n"/>
      <c r="AA78" s="4" t="n"/>
      <c r="AB78" s="19" t="n"/>
      <c r="AC78" s="5">
        <f>_xlfn.TEXTJOIN(CHAR(10),TRUE,IF(Q78="","","• "&amp;Q78&amp;IF(R78="Yes","  [IPL]","")),IF(S78="","","• "&amp;S78&amp;IF(T78="Yes","  [IPL]","")),IF(U78="","","• "&amp;U78&amp;IF(V78="Yes","  [IPL]","")),IF(W78="","","• "&amp;W78&amp;IF(X78="Yes","  [IPL]","")),IF(Y78="","","• "&amp;Y78&amp;IF(Z78="Yes","  [IPL]","")),IF(AA78="","","• "&amp;AA78&amp;IF(AB78="Yes","  [IPL]","")))</f>
        <v/>
      </c>
      <c r="AD78" s="30">
        <f>IF(AC78="","",COUNTIF(Q78:AB78,"Yes"))</f>
        <v/>
      </c>
      <c r="AE78" s="19" t="n"/>
      <c r="AF78" s="19" t="n"/>
      <c r="AG78" s="30">
        <f>IF(OR(AE78="",AF78=""),"",INDEX(RiskGrid,6-VALUE(LEFT(AE78,1)),VALUE(LEFT(AF78,1))))</f>
        <v/>
      </c>
      <c r="AH78" s="30">
        <f>IF(AG78="","",IF(AG78&gt;=BandVH,"Very High",IF(AG78&gt;=BandHigh,"High",IF(AG78&gt;=BandMed,"Medium","Low"))))</f>
        <v/>
      </c>
      <c r="AI78" s="4" t="n"/>
      <c r="AJ78" s="4" t="n"/>
    </row>
    <row r="79">
      <c r="A79" s="30">
        <f>IF(B79="","",COUNTIF(B$14:B79,"?*"))</f>
        <v/>
      </c>
      <c r="B79" s="4" t="n"/>
      <c r="C79" s="19" t="n"/>
      <c r="D79" s="5">
        <f>IF(OR(B79="",C79=""),"",UPPER(LEFT(C79,1))&amp;LOWER(MID(C79,2,30))&amp;" "&amp;LOWER(LEFT(B79,1))&amp;MID(B79,2,200))</f>
        <v/>
      </c>
      <c r="E79" s="4" t="n"/>
      <c r="F79" s="4" t="n"/>
      <c r="G79" s="4" t="n"/>
      <c r="H79" s="4" t="n"/>
      <c r="I79" s="4" t="n"/>
      <c r="J79" s="4" t="n"/>
      <c r="K79" s="5">
        <f>_xlfn.TEXTJOIN(CHAR(10),TRUE,IF(E79="","","• "&amp;E79),IF(F79="","","• "&amp;F79),IF(G79="","","• "&amp;G79),IF(H79="","","• "&amp;H79),IF(I79="","","• "&amp;I79),IF(J79="","","• "&amp;J79))</f>
        <v/>
      </c>
      <c r="L79" s="4" t="n"/>
      <c r="M79" s="19" t="n"/>
      <c r="N79" s="19" t="n"/>
      <c r="O79" s="30">
        <f>IF(OR(M79="",N79=""),"",INDEX(RiskGrid,6-VALUE(LEFT(M79,1)),VALUE(LEFT(N79,1))))</f>
        <v/>
      </c>
      <c r="P79" s="30">
        <f>IF(O79="","",IF(O79&gt;=BandVH,"Very High",IF(O79&gt;=BandHigh,"High",IF(O79&gt;=BandMed,"Medium","Low"))))</f>
        <v/>
      </c>
      <c r="Q79" s="4" t="n"/>
      <c r="R79" s="19" t="n"/>
      <c r="S79" s="4" t="n"/>
      <c r="T79" s="19" t="n"/>
      <c r="U79" s="4" t="n"/>
      <c r="V79" s="19" t="n"/>
      <c r="W79" s="4" t="n"/>
      <c r="X79" s="19" t="n"/>
      <c r="Y79" s="4" t="n"/>
      <c r="Z79" s="19" t="n"/>
      <c r="AA79" s="4" t="n"/>
      <c r="AB79" s="19" t="n"/>
      <c r="AC79" s="5">
        <f>_xlfn.TEXTJOIN(CHAR(10),TRUE,IF(Q79="","","• "&amp;Q79&amp;IF(R79="Yes","  [IPL]","")),IF(S79="","","• "&amp;S79&amp;IF(T79="Yes","  [IPL]","")),IF(U79="","","• "&amp;U79&amp;IF(V79="Yes","  [IPL]","")),IF(W79="","","• "&amp;W79&amp;IF(X79="Yes","  [IPL]","")),IF(Y79="","","• "&amp;Y79&amp;IF(Z79="Yes","  [IPL]","")),IF(AA79="","","• "&amp;AA79&amp;IF(AB79="Yes","  [IPL]","")))</f>
        <v/>
      </c>
      <c r="AD79" s="30">
        <f>IF(AC79="","",COUNTIF(Q79:AB79,"Yes"))</f>
        <v/>
      </c>
      <c r="AE79" s="19" t="n"/>
      <c r="AF79" s="19" t="n"/>
      <c r="AG79" s="30">
        <f>IF(OR(AE79="",AF79=""),"",INDEX(RiskGrid,6-VALUE(LEFT(AE79,1)),VALUE(LEFT(AF79,1))))</f>
        <v/>
      </c>
      <c r="AH79" s="30">
        <f>IF(AG79="","",IF(AG79&gt;=BandVH,"Very High",IF(AG79&gt;=BandHigh,"High",IF(AG79&gt;=BandMed,"Medium","Low"))))</f>
        <v/>
      </c>
      <c r="AI79" s="4" t="n"/>
      <c r="AJ79" s="4" t="n"/>
    </row>
    <row r="80">
      <c r="A80" s="30">
        <f>IF(B80="","",COUNTIF(B$14:B80,"?*"))</f>
        <v/>
      </c>
      <c r="B80" s="4" t="n"/>
      <c r="C80" s="19" t="n"/>
      <c r="D80" s="5">
        <f>IF(OR(B80="",C80=""),"",UPPER(LEFT(C80,1))&amp;LOWER(MID(C80,2,30))&amp;" "&amp;LOWER(LEFT(B80,1))&amp;MID(B80,2,200))</f>
        <v/>
      </c>
      <c r="E80" s="4" t="n"/>
      <c r="F80" s="4" t="n"/>
      <c r="G80" s="4" t="n"/>
      <c r="H80" s="4" t="n"/>
      <c r="I80" s="4" t="n"/>
      <c r="J80" s="4" t="n"/>
      <c r="K80" s="5">
        <f>_xlfn.TEXTJOIN(CHAR(10),TRUE,IF(E80="","","• "&amp;E80),IF(F80="","","• "&amp;F80),IF(G80="","","• "&amp;G80),IF(H80="","","• "&amp;H80),IF(I80="","","• "&amp;I80),IF(J80="","","• "&amp;J80))</f>
        <v/>
      </c>
      <c r="L80" s="4" t="n"/>
      <c r="M80" s="19" t="n"/>
      <c r="N80" s="19" t="n"/>
      <c r="O80" s="30">
        <f>IF(OR(M80="",N80=""),"",INDEX(RiskGrid,6-VALUE(LEFT(M80,1)),VALUE(LEFT(N80,1))))</f>
        <v/>
      </c>
      <c r="P80" s="30">
        <f>IF(O80="","",IF(O80&gt;=BandVH,"Very High",IF(O80&gt;=BandHigh,"High",IF(O80&gt;=BandMed,"Medium","Low"))))</f>
        <v/>
      </c>
      <c r="Q80" s="4" t="n"/>
      <c r="R80" s="19" t="n"/>
      <c r="S80" s="4" t="n"/>
      <c r="T80" s="19" t="n"/>
      <c r="U80" s="4" t="n"/>
      <c r="V80" s="19" t="n"/>
      <c r="W80" s="4" t="n"/>
      <c r="X80" s="19" t="n"/>
      <c r="Y80" s="4" t="n"/>
      <c r="Z80" s="19" t="n"/>
      <c r="AA80" s="4" t="n"/>
      <c r="AB80" s="19" t="n"/>
      <c r="AC80" s="5">
        <f>_xlfn.TEXTJOIN(CHAR(10),TRUE,IF(Q80="","","• "&amp;Q80&amp;IF(R80="Yes","  [IPL]","")),IF(S80="","","• "&amp;S80&amp;IF(T80="Yes","  [IPL]","")),IF(U80="","","• "&amp;U80&amp;IF(V80="Yes","  [IPL]","")),IF(W80="","","• "&amp;W80&amp;IF(X80="Yes","  [IPL]","")),IF(Y80="","","• "&amp;Y80&amp;IF(Z80="Yes","  [IPL]","")),IF(AA80="","","• "&amp;AA80&amp;IF(AB80="Yes","  [IPL]","")))</f>
        <v/>
      </c>
      <c r="AD80" s="30">
        <f>IF(AC80="","",COUNTIF(Q80:AB80,"Yes"))</f>
        <v/>
      </c>
      <c r="AE80" s="19" t="n"/>
      <c r="AF80" s="19" t="n"/>
      <c r="AG80" s="30">
        <f>IF(OR(AE80="",AF80=""),"",INDEX(RiskGrid,6-VALUE(LEFT(AE80,1)),VALUE(LEFT(AF80,1))))</f>
        <v/>
      </c>
      <c r="AH80" s="30">
        <f>IF(AG80="","",IF(AG80&gt;=BandVH,"Very High",IF(AG80&gt;=BandHigh,"High",IF(AG80&gt;=BandMed,"Medium","Low"))))</f>
        <v/>
      </c>
      <c r="AI80" s="4" t="n"/>
      <c r="AJ80" s="4" t="n"/>
    </row>
    <row r="81">
      <c r="A81" s="30">
        <f>IF(B81="","",COUNTIF(B$14:B81,"?*"))</f>
        <v/>
      </c>
      <c r="B81" s="4" t="n"/>
      <c r="C81" s="19" t="n"/>
      <c r="D81" s="5">
        <f>IF(OR(B81="",C81=""),"",UPPER(LEFT(C81,1))&amp;LOWER(MID(C81,2,30))&amp;" "&amp;LOWER(LEFT(B81,1))&amp;MID(B81,2,200))</f>
        <v/>
      </c>
      <c r="E81" s="4" t="n"/>
      <c r="F81" s="4" t="n"/>
      <c r="G81" s="4" t="n"/>
      <c r="H81" s="4" t="n"/>
      <c r="I81" s="4" t="n"/>
      <c r="J81" s="4" t="n"/>
      <c r="K81" s="5">
        <f>_xlfn.TEXTJOIN(CHAR(10),TRUE,IF(E81="","","• "&amp;E81),IF(F81="","","• "&amp;F81),IF(G81="","","• "&amp;G81),IF(H81="","","• "&amp;H81),IF(I81="","","• "&amp;I81),IF(J81="","","• "&amp;J81))</f>
        <v/>
      </c>
      <c r="L81" s="4" t="n"/>
      <c r="M81" s="19" t="n"/>
      <c r="N81" s="19" t="n"/>
      <c r="O81" s="30">
        <f>IF(OR(M81="",N81=""),"",INDEX(RiskGrid,6-VALUE(LEFT(M81,1)),VALUE(LEFT(N81,1))))</f>
        <v/>
      </c>
      <c r="P81" s="30">
        <f>IF(O81="","",IF(O81&gt;=BandVH,"Very High",IF(O81&gt;=BandHigh,"High",IF(O81&gt;=BandMed,"Medium","Low"))))</f>
        <v/>
      </c>
      <c r="Q81" s="4" t="n"/>
      <c r="R81" s="19" t="n"/>
      <c r="S81" s="4" t="n"/>
      <c r="T81" s="19" t="n"/>
      <c r="U81" s="4" t="n"/>
      <c r="V81" s="19" t="n"/>
      <c r="W81" s="4" t="n"/>
      <c r="X81" s="19" t="n"/>
      <c r="Y81" s="4" t="n"/>
      <c r="Z81" s="19" t="n"/>
      <c r="AA81" s="4" t="n"/>
      <c r="AB81" s="19" t="n"/>
      <c r="AC81" s="5">
        <f>_xlfn.TEXTJOIN(CHAR(10),TRUE,IF(Q81="","","• "&amp;Q81&amp;IF(R81="Yes","  [IPL]","")),IF(S81="","","• "&amp;S81&amp;IF(T81="Yes","  [IPL]","")),IF(U81="","","• "&amp;U81&amp;IF(V81="Yes","  [IPL]","")),IF(W81="","","• "&amp;W81&amp;IF(X81="Yes","  [IPL]","")),IF(Y81="","","• "&amp;Y81&amp;IF(Z81="Yes","  [IPL]","")),IF(AA81="","","• "&amp;AA81&amp;IF(AB81="Yes","  [IPL]","")))</f>
        <v/>
      </c>
      <c r="AD81" s="30">
        <f>IF(AC81="","",COUNTIF(Q81:AB81,"Yes"))</f>
        <v/>
      </c>
      <c r="AE81" s="19" t="n"/>
      <c r="AF81" s="19" t="n"/>
      <c r="AG81" s="30">
        <f>IF(OR(AE81="",AF81=""),"",INDEX(RiskGrid,6-VALUE(LEFT(AE81,1)),VALUE(LEFT(AF81,1))))</f>
        <v/>
      </c>
      <c r="AH81" s="30">
        <f>IF(AG81="","",IF(AG81&gt;=BandVH,"Very High",IF(AG81&gt;=BandHigh,"High",IF(AG81&gt;=BandMed,"Medium","Low"))))</f>
        <v/>
      </c>
      <c r="AI81" s="4" t="n"/>
      <c r="AJ81" s="4" t="n"/>
    </row>
    <row r="82">
      <c r="A82" s="30">
        <f>IF(B82="","",COUNTIF(B$14:B82,"?*"))</f>
        <v/>
      </c>
      <c r="B82" s="4" t="n"/>
      <c r="C82" s="19" t="n"/>
      <c r="D82" s="5">
        <f>IF(OR(B82="",C82=""),"",UPPER(LEFT(C82,1))&amp;LOWER(MID(C82,2,30))&amp;" "&amp;LOWER(LEFT(B82,1))&amp;MID(B82,2,200))</f>
        <v/>
      </c>
      <c r="E82" s="4" t="n"/>
      <c r="F82" s="4" t="n"/>
      <c r="G82" s="4" t="n"/>
      <c r="H82" s="4" t="n"/>
      <c r="I82" s="4" t="n"/>
      <c r="J82" s="4" t="n"/>
      <c r="K82" s="5">
        <f>_xlfn.TEXTJOIN(CHAR(10),TRUE,IF(E82="","","• "&amp;E82),IF(F82="","","• "&amp;F82),IF(G82="","","• "&amp;G82),IF(H82="","","• "&amp;H82),IF(I82="","","• "&amp;I82),IF(J82="","","• "&amp;J82))</f>
        <v/>
      </c>
      <c r="L82" s="4" t="n"/>
      <c r="M82" s="19" t="n"/>
      <c r="N82" s="19" t="n"/>
      <c r="O82" s="30">
        <f>IF(OR(M82="",N82=""),"",INDEX(RiskGrid,6-VALUE(LEFT(M82,1)),VALUE(LEFT(N82,1))))</f>
        <v/>
      </c>
      <c r="P82" s="30">
        <f>IF(O82="","",IF(O82&gt;=BandVH,"Very High",IF(O82&gt;=BandHigh,"High",IF(O82&gt;=BandMed,"Medium","Low"))))</f>
        <v/>
      </c>
      <c r="Q82" s="4" t="n"/>
      <c r="R82" s="19" t="n"/>
      <c r="S82" s="4" t="n"/>
      <c r="T82" s="19" t="n"/>
      <c r="U82" s="4" t="n"/>
      <c r="V82" s="19" t="n"/>
      <c r="W82" s="4" t="n"/>
      <c r="X82" s="19" t="n"/>
      <c r="Y82" s="4" t="n"/>
      <c r="Z82" s="19" t="n"/>
      <c r="AA82" s="4" t="n"/>
      <c r="AB82" s="19" t="n"/>
      <c r="AC82" s="5">
        <f>_xlfn.TEXTJOIN(CHAR(10),TRUE,IF(Q82="","","• "&amp;Q82&amp;IF(R82="Yes","  [IPL]","")),IF(S82="","","• "&amp;S82&amp;IF(T82="Yes","  [IPL]","")),IF(U82="","","• "&amp;U82&amp;IF(V82="Yes","  [IPL]","")),IF(W82="","","• "&amp;W82&amp;IF(X82="Yes","  [IPL]","")),IF(Y82="","","• "&amp;Y82&amp;IF(Z82="Yes","  [IPL]","")),IF(AA82="","","• "&amp;AA82&amp;IF(AB82="Yes","  [IPL]","")))</f>
        <v/>
      </c>
      <c r="AD82" s="30">
        <f>IF(AC82="","",COUNTIF(Q82:AB82,"Yes"))</f>
        <v/>
      </c>
      <c r="AE82" s="19" t="n"/>
      <c r="AF82" s="19" t="n"/>
      <c r="AG82" s="30">
        <f>IF(OR(AE82="",AF82=""),"",INDEX(RiskGrid,6-VALUE(LEFT(AE82,1)),VALUE(LEFT(AF82,1))))</f>
        <v/>
      </c>
      <c r="AH82" s="30">
        <f>IF(AG82="","",IF(AG82&gt;=BandVH,"Very High",IF(AG82&gt;=BandHigh,"High",IF(AG82&gt;=BandMed,"Medium","Low"))))</f>
        <v/>
      </c>
      <c r="AI82" s="4" t="n"/>
      <c r="AJ82" s="4" t="n"/>
    </row>
    <row r="83">
      <c r="A83" s="30">
        <f>IF(B83="","",COUNTIF(B$14:B83,"?*"))</f>
        <v/>
      </c>
      <c r="B83" s="4" t="n"/>
      <c r="C83" s="19" t="n"/>
      <c r="D83" s="5">
        <f>IF(OR(B83="",C83=""),"",UPPER(LEFT(C83,1))&amp;LOWER(MID(C83,2,30))&amp;" "&amp;LOWER(LEFT(B83,1))&amp;MID(B83,2,200))</f>
        <v/>
      </c>
      <c r="E83" s="4" t="n"/>
      <c r="F83" s="4" t="n"/>
      <c r="G83" s="4" t="n"/>
      <c r="H83" s="4" t="n"/>
      <c r="I83" s="4" t="n"/>
      <c r="J83" s="4" t="n"/>
      <c r="K83" s="5">
        <f>_xlfn.TEXTJOIN(CHAR(10),TRUE,IF(E83="","","• "&amp;E83),IF(F83="","","• "&amp;F83),IF(G83="","","• "&amp;G83),IF(H83="","","• "&amp;H83),IF(I83="","","• "&amp;I83),IF(J83="","","• "&amp;J83))</f>
        <v/>
      </c>
      <c r="L83" s="4" t="n"/>
      <c r="M83" s="19" t="n"/>
      <c r="N83" s="19" t="n"/>
      <c r="O83" s="30">
        <f>IF(OR(M83="",N83=""),"",INDEX(RiskGrid,6-VALUE(LEFT(M83,1)),VALUE(LEFT(N83,1))))</f>
        <v/>
      </c>
      <c r="P83" s="30">
        <f>IF(O83="","",IF(O83&gt;=BandVH,"Very High",IF(O83&gt;=BandHigh,"High",IF(O83&gt;=BandMed,"Medium","Low"))))</f>
        <v/>
      </c>
      <c r="Q83" s="4" t="n"/>
      <c r="R83" s="19" t="n"/>
      <c r="S83" s="4" t="n"/>
      <c r="T83" s="19" t="n"/>
      <c r="U83" s="4" t="n"/>
      <c r="V83" s="19" t="n"/>
      <c r="W83" s="4" t="n"/>
      <c r="X83" s="19" t="n"/>
      <c r="Y83" s="4" t="n"/>
      <c r="Z83" s="19" t="n"/>
      <c r="AA83" s="4" t="n"/>
      <c r="AB83" s="19" t="n"/>
      <c r="AC83" s="5">
        <f>_xlfn.TEXTJOIN(CHAR(10),TRUE,IF(Q83="","","• "&amp;Q83&amp;IF(R83="Yes","  [IPL]","")),IF(S83="","","• "&amp;S83&amp;IF(T83="Yes","  [IPL]","")),IF(U83="","","• "&amp;U83&amp;IF(V83="Yes","  [IPL]","")),IF(W83="","","• "&amp;W83&amp;IF(X83="Yes","  [IPL]","")),IF(Y83="","","• "&amp;Y83&amp;IF(Z83="Yes","  [IPL]","")),IF(AA83="","","• "&amp;AA83&amp;IF(AB83="Yes","  [IPL]","")))</f>
        <v/>
      </c>
      <c r="AD83" s="30">
        <f>IF(AC83="","",COUNTIF(Q83:AB83,"Yes"))</f>
        <v/>
      </c>
      <c r="AE83" s="19" t="n"/>
      <c r="AF83" s="19" t="n"/>
      <c r="AG83" s="30">
        <f>IF(OR(AE83="",AF83=""),"",INDEX(RiskGrid,6-VALUE(LEFT(AE83,1)),VALUE(LEFT(AF83,1))))</f>
        <v/>
      </c>
      <c r="AH83" s="30">
        <f>IF(AG83="","",IF(AG83&gt;=BandVH,"Very High",IF(AG83&gt;=BandHigh,"High",IF(AG83&gt;=BandMed,"Medium","Low"))))</f>
        <v/>
      </c>
      <c r="AI83" s="4" t="n"/>
      <c r="AJ83" s="4" t="n"/>
    </row>
    <row r="84">
      <c r="A84" s="30">
        <f>IF(B84="","",COUNTIF(B$14:B84,"?*"))</f>
        <v/>
      </c>
      <c r="B84" s="4" t="n"/>
      <c r="C84" s="19" t="n"/>
      <c r="D84" s="5">
        <f>IF(OR(B84="",C84=""),"",UPPER(LEFT(C84,1))&amp;LOWER(MID(C84,2,30))&amp;" "&amp;LOWER(LEFT(B84,1))&amp;MID(B84,2,200))</f>
        <v/>
      </c>
      <c r="E84" s="4" t="n"/>
      <c r="F84" s="4" t="n"/>
      <c r="G84" s="4" t="n"/>
      <c r="H84" s="4" t="n"/>
      <c r="I84" s="4" t="n"/>
      <c r="J84" s="4" t="n"/>
      <c r="K84" s="5">
        <f>_xlfn.TEXTJOIN(CHAR(10),TRUE,IF(E84="","","• "&amp;E84),IF(F84="","","• "&amp;F84),IF(G84="","","• "&amp;G84),IF(H84="","","• "&amp;H84),IF(I84="","","• "&amp;I84),IF(J84="","","• "&amp;J84))</f>
        <v/>
      </c>
      <c r="L84" s="4" t="n"/>
      <c r="M84" s="19" t="n"/>
      <c r="N84" s="19" t="n"/>
      <c r="O84" s="30">
        <f>IF(OR(M84="",N84=""),"",INDEX(RiskGrid,6-VALUE(LEFT(M84,1)),VALUE(LEFT(N84,1))))</f>
        <v/>
      </c>
      <c r="P84" s="30">
        <f>IF(O84="","",IF(O84&gt;=BandVH,"Very High",IF(O84&gt;=BandHigh,"High",IF(O84&gt;=BandMed,"Medium","Low"))))</f>
        <v/>
      </c>
      <c r="Q84" s="4" t="n"/>
      <c r="R84" s="19" t="n"/>
      <c r="S84" s="4" t="n"/>
      <c r="T84" s="19" t="n"/>
      <c r="U84" s="4" t="n"/>
      <c r="V84" s="19" t="n"/>
      <c r="W84" s="4" t="n"/>
      <c r="X84" s="19" t="n"/>
      <c r="Y84" s="4" t="n"/>
      <c r="Z84" s="19" t="n"/>
      <c r="AA84" s="4" t="n"/>
      <c r="AB84" s="19" t="n"/>
      <c r="AC84" s="5">
        <f>_xlfn.TEXTJOIN(CHAR(10),TRUE,IF(Q84="","","• "&amp;Q84&amp;IF(R84="Yes","  [IPL]","")),IF(S84="","","• "&amp;S84&amp;IF(T84="Yes","  [IPL]","")),IF(U84="","","• "&amp;U84&amp;IF(V84="Yes","  [IPL]","")),IF(W84="","","• "&amp;W84&amp;IF(X84="Yes","  [IPL]","")),IF(Y84="","","• "&amp;Y84&amp;IF(Z84="Yes","  [IPL]","")),IF(AA84="","","• "&amp;AA84&amp;IF(AB84="Yes","  [IPL]","")))</f>
        <v/>
      </c>
      <c r="AD84" s="30">
        <f>IF(AC84="","",COUNTIF(Q84:AB84,"Yes"))</f>
        <v/>
      </c>
      <c r="AE84" s="19" t="n"/>
      <c r="AF84" s="19" t="n"/>
      <c r="AG84" s="30">
        <f>IF(OR(AE84="",AF84=""),"",INDEX(RiskGrid,6-VALUE(LEFT(AE84,1)),VALUE(LEFT(AF84,1))))</f>
        <v/>
      </c>
      <c r="AH84" s="30">
        <f>IF(AG84="","",IF(AG84&gt;=BandVH,"Very High",IF(AG84&gt;=BandHigh,"High",IF(AG84&gt;=BandMed,"Medium","Low"))))</f>
        <v/>
      </c>
      <c r="AI84" s="4" t="n"/>
      <c r="AJ84" s="4" t="n"/>
    </row>
    <row r="85">
      <c r="A85" s="30">
        <f>IF(B85="","",COUNTIF(B$14:B85,"?*"))</f>
        <v/>
      </c>
      <c r="B85" s="4" t="n"/>
      <c r="C85" s="19" t="n"/>
      <c r="D85" s="5">
        <f>IF(OR(B85="",C85=""),"",UPPER(LEFT(C85,1))&amp;LOWER(MID(C85,2,30))&amp;" "&amp;LOWER(LEFT(B85,1))&amp;MID(B85,2,200))</f>
        <v/>
      </c>
      <c r="E85" s="4" t="n"/>
      <c r="F85" s="4" t="n"/>
      <c r="G85" s="4" t="n"/>
      <c r="H85" s="4" t="n"/>
      <c r="I85" s="4" t="n"/>
      <c r="J85" s="4" t="n"/>
      <c r="K85" s="5">
        <f>_xlfn.TEXTJOIN(CHAR(10),TRUE,IF(E85="","","• "&amp;E85),IF(F85="","","• "&amp;F85),IF(G85="","","• "&amp;G85),IF(H85="","","• "&amp;H85),IF(I85="","","• "&amp;I85),IF(J85="","","• "&amp;J85))</f>
        <v/>
      </c>
      <c r="L85" s="4" t="n"/>
      <c r="M85" s="19" t="n"/>
      <c r="N85" s="19" t="n"/>
      <c r="O85" s="30">
        <f>IF(OR(M85="",N85=""),"",INDEX(RiskGrid,6-VALUE(LEFT(M85,1)),VALUE(LEFT(N85,1))))</f>
        <v/>
      </c>
      <c r="P85" s="30">
        <f>IF(O85="","",IF(O85&gt;=BandVH,"Very High",IF(O85&gt;=BandHigh,"High",IF(O85&gt;=BandMed,"Medium","Low"))))</f>
        <v/>
      </c>
      <c r="Q85" s="4" t="n"/>
      <c r="R85" s="19" t="n"/>
      <c r="S85" s="4" t="n"/>
      <c r="T85" s="19" t="n"/>
      <c r="U85" s="4" t="n"/>
      <c r="V85" s="19" t="n"/>
      <c r="W85" s="4" t="n"/>
      <c r="X85" s="19" t="n"/>
      <c r="Y85" s="4" t="n"/>
      <c r="Z85" s="19" t="n"/>
      <c r="AA85" s="4" t="n"/>
      <c r="AB85" s="19" t="n"/>
      <c r="AC85" s="5">
        <f>_xlfn.TEXTJOIN(CHAR(10),TRUE,IF(Q85="","","• "&amp;Q85&amp;IF(R85="Yes","  [IPL]","")),IF(S85="","","• "&amp;S85&amp;IF(T85="Yes","  [IPL]","")),IF(U85="","","• "&amp;U85&amp;IF(V85="Yes","  [IPL]","")),IF(W85="","","• "&amp;W85&amp;IF(X85="Yes","  [IPL]","")),IF(Y85="","","• "&amp;Y85&amp;IF(Z85="Yes","  [IPL]","")),IF(AA85="","","• "&amp;AA85&amp;IF(AB85="Yes","  [IPL]","")))</f>
        <v/>
      </c>
      <c r="AD85" s="30">
        <f>IF(AC85="","",COUNTIF(Q85:AB85,"Yes"))</f>
        <v/>
      </c>
      <c r="AE85" s="19" t="n"/>
      <c r="AF85" s="19" t="n"/>
      <c r="AG85" s="30">
        <f>IF(OR(AE85="",AF85=""),"",INDEX(RiskGrid,6-VALUE(LEFT(AE85,1)),VALUE(LEFT(AF85,1))))</f>
        <v/>
      </c>
      <c r="AH85" s="30">
        <f>IF(AG85="","",IF(AG85&gt;=BandVH,"Very High",IF(AG85&gt;=BandHigh,"High",IF(AG85&gt;=BandMed,"Medium","Low"))))</f>
        <v/>
      </c>
      <c r="AI85" s="4" t="n"/>
      <c r="AJ85" s="4" t="n"/>
    </row>
    <row r="86">
      <c r="A86" s="30">
        <f>IF(B86="","",COUNTIF(B$14:B86,"?*"))</f>
        <v/>
      </c>
      <c r="B86" s="4" t="n"/>
      <c r="C86" s="19" t="n"/>
      <c r="D86" s="5">
        <f>IF(OR(B86="",C86=""),"",UPPER(LEFT(C86,1))&amp;LOWER(MID(C86,2,30))&amp;" "&amp;LOWER(LEFT(B86,1))&amp;MID(B86,2,200))</f>
        <v/>
      </c>
      <c r="E86" s="4" t="n"/>
      <c r="F86" s="4" t="n"/>
      <c r="G86" s="4" t="n"/>
      <c r="H86" s="4" t="n"/>
      <c r="I86" s="4" t="n"/>
      <c r="J86" s="4" t="n"/>
      <c r="K86" s="5">
        <f>_xlfn.TEXTJOIN(CHAR(10),TRUE,IF(E86="","","• "&amp;E86),IF(F86="","","• "&amp;F86),IF(G86="","","• "&amp;G86),IF(H86="","","• "&amp;H86),IF(I86="","","• "&amp;I86),IF(J86="","","• "&amp;J86))</f>
        <v/>
      </c>
      <c r="L86" s="4" t="n"/>
      <c r="M86" s="19" t="n"/>
      <c r="N86" s="19" t="n"/>
      <c r="O86" s="30">
        <f>IF(OR(M86="",N86=""),"",INDEX(RiskGrid,6-VALUE(LEFT(M86,1)),VALUE(LEFT(N86,1))))</f>
        <v/>
      </c>
      <c r="P86" s="30">
        <f>IF(O86="","",IF(O86&gt;=BandVH,"Very High",IF(O86&gt;=BandHigh,"High",IF(O86&gt;=BandMed,"Medium","Low"))))</f>
        <v/>
      </c>
      <c r="Q86" s="4" t="n"/>
      <c r="R86" s="19" t="n"/>
      <c r="S86" s="4" t="n"/>
      <c r="T86" s="19" t="n"/>
      <c r="U86" s="4" t="n"/>
      <c r="V86" s="19" t="n"/>
      <c r="W86" s="4" t="n"/>
      <c r="X86" s="19" t="n"/>
      <c r="Y86" s="4" t="n"/>
      <c r="Z86" s="19" t="n"/>
      <c r="AA86" s="4" t="n"/>
      <c r="AB86" s="19" t="n"/>
      <c r="AC86" s="5">
        <f>_xlfn.TEXTJOIN(CHAR(10),TRUE,IF(Q86="","","• "&amp;Q86&amp;IF(R86="Yes","  [IPL]","")),IF(S86="","","• "&amp;S86&amp;IF(T86="Yes","  [IPL]","")),IF(U86="","","• "&amp;U86&amp;IF(V86="Yes","  [IPL]","")),IF(W86="","","• "&amp;W86&amp;IF(X86="Yes","  [IPL]","")),IF(Y86="","","• "&amp;Y86&amp;IF(Z86="Yes","  [IPL]","")),IF(AA86="","","• "&amp;AA86&amp;IF(AB86="Yes","  [IPL]","")))</f>
        <v/>
      </c>
      <c r="AD86" s="30">
        <f>IF(AC86="","",COUNTIF(Q86:AB86,"Yes"))</f>
        <v/>
      </c>
      <c r="AE86" s="19" t="n"/>
      <c r="AF86" s="19" t="n"/>
      <c r="AG86" s="30">
        <f>IF(OR(AE86="",AF86=""),"",INDEX(RiskGrid,6-VALUE(LEFT(AE86,1)),VALUE(LEFT(AF86,1))))</f>
        <v/>
      </c>
      <c r="AH86" s="30">
        <f>IF(AG86="","",IF(AG86&gt;=BandVH,"Very High",IF(AG86&gt;=BandHigh,"High",IF(AG86&gt;=BandMed,"Medium","Low"))))</f>
        <v/>
      </c>
      <c r="AI86" s="4" t="n"/>
      <c r="AJ86" s="4" t="n"/>
    </row>
    <row r="87">
      <c r="A87" s="30">
        <f>IF(B87="","",COUNTIF(B$14:B87,"?*"))</f>
        <v/>
      </c>
      <c r="B87" s="4" t="n"/>
      <c r="C87" s="19" t="n"/>
      <c r="D87" s="5">
        <f>IF(OR(B87="",C87=""),"",UPPER(LEFT(C87,1))&amp;LOWER(MID(C87,2,30))&amp;" "&amp;LOWER(LEFT(B87,1))&amp;MID(B87,2,200))</f>
        <v/>
      </c>
      <c r="E87" s="4" t="n"/>
      <c r="F87" s="4" t="n"/>
      <c r="G87" s="4" t="n"/>
      <c r="H87" s="4" t="n"/>
      <c r="I87" s="4" t="n"/>
      <c r="J87" s="4" t="n"/>
      <c r="K87" s="5">
        <f>_xlfn.TEXTJOIN(CHAR(10),TRUE,IF(E87="","","• "&amp;E87),IF(F87="","","• "&amp;F87),IF(G87="","","• "&amp;G87),IF(H87="","","• "&amp;H87),IF(I87="","","• "&amp;I87),IF(J87="","","• "&amp;J87))</f>
        <v/>
      </c>
      <c r="L87" s="4" t="n"/>
      <c r="M87" s="19" t="n"/>
      <c r="N87" s="19" t="n"/>
      <c r="O87" s="30">
        <f>IF(OR(M87="",N87=""),"",INDEX(RiskGrid,6-VALUE(LEFT(M87,1)),VALUE(LEFT(N87,1))))</f>
        <v/>
      </c>
      <c r="P87" s="30">
        <f>IF(O87="","",IF(O87&gt;=BandVH,"Very High",IF(O87&gt;=BandHigh,"High",IF(O87&gt;=BandMed,"Medium","Low"))))</f>
        <v/>
      </c>
      <c r="Q87" s="4" t="n"/>
      <c r="R87" s="19" t="n"/>
      <c r="S87" s="4" t="n"/>
      <c r="T87" s="19" t="n"/>
      <c r="U87" s="4" t="n"/>
      <c r="V87" s="19" t="n"/>
      <c r="W87" s="4" t="n"/>
      <c r="X87" s="19" t="n"/>
      <c r="Y87" s="4" t="n"/>
      <c r="Z87" s="19" t="n"/>
      <c r="AA87" s="4" t="n"/>
      <c r="AB87" s="19" t="n"/>
      <c r="AC87" s="5">
        <f>_xlfn.TEXTJOIN(CHAR(10),TRUE,IF(Q87="","","• "&amp;Q87&amp;IF(R87="Yes","  [IPL]","")),IF(S87="","","• "&amp;S87&amp;IF(T87="Yes","  [IPL]","")),IF(U87="","","• "&amp;U87&amp;IF(V87="Yes","  [IPL]","")),IF(W87="","","• "&amp;W87&amp;IF(X87="Yes","  [IPL]","")),IF(Y87="","","• "&amp;Y87&amp;IF(Z87="Yes","  [IPL]","")),IF(AA87="","","• "&amp;AA87&amp;IF(AB87="Yes","  [IPL]","")))</f>
        <v/>
      </c>
      <c r="AD87" s="30">
        <f>IF(AC87="","",COUNTIF(Q87:AB87,"Yes"))</f>
        <v/>
      </c>
      <c r="AE87" s="19" t="n"/>
      <c r="AF87" s="19" t="n"/>
      <c r="AG87" s="30">
        <f>IF(OR(AE87="",AF87=""),"",INDEX(RiskGrid,6-VALUE(LEFT(AE87,1)),VALUE(LEFT(AF87,1))))</f>
        <v/>
      </c>
      <c r="AH87" s="30">
        <f>IF(AG87="","",IF(AG87&gt;=BandVH,"Very High",IF(AG87&gt;=BandHigh,"High",IF(AG87&gt;=BandMed,"Medium","Low"))))</f>
        <v/>
      </c>
      <c r="AI87" s="4" t="n"/>
      <c r="AJ87" s="4" t="n"/>
    </row>
    <row r="88">
      <c r="A88" s="30">
        <f>IF(B88="","",COUNTIF(B$14:B88,"?*"))</f>
        <v/>
      </c>
      <c r="B88" s="4" t="n"/>
      <c r="C88" s="19" t="n"/>
      <c r="D88" s="5">
        <f>IF(OR(B88="",C88=""),"",UPPER(LEFT(C88,1))&amp;LOWER(MID(C88,2,30))&amp;" "&amp;LOWER(LEFT(B88,1))&amp;MID(B88,2,200))</f>
        <v/>
      </c>
      <c r="E88" s="4" t="n"/>
      <c r="F88" s="4" t="n"/>
      <c r="G88" s="4" t="n"/>
      <c r="H88" s="4" t="n"/>
      <c r="I88" s="4" t="n"/>
      <c r="J88" s="4" t="n"/>
      <c r="K88" s="5">
        <f>_xlfn.TEXTJOIN(CHAR(10),TRUE,IF(E88="","","• "&amp;E88),IF(F88="","","• "&amp;F88),IF(G88="","","• "&amp;G88),IF(H88="","","• "&amp;H88),IF(I88="","","• "&amp;I88),IF(J88="","","• "&amp;J88))</f>
        <v/>
      </c>
      <c r="L88" s="4" t="n"/>
      <c r="M88" s="19" t="n"/>
      <c r="N88" s="19" t="n"/>
      <c r="O88" s="30">
        <f>IF(OR(M88="",N88=""),"",INDEX(RiskGrid,6-VALUE(LEFT(M88,1)),VALUE(LEFT(N88,1))))</f>
        <v/>
      </c>
      <c r="P88" s="30">
        <f>IF(O88="","",IF(O88&gt;=BandVH,"Very High",IF(O88&gt;=BandHigh,"High",IF(O88&gt;=BandMed,"Medium","Low"))))</f>
        <v/>
      </c>
      <c r="Q88" s="4" t="n"/>
      <c r="R88" s="19" t="n"/>
      <c r="S88" s="4" t="n"/>
      <c r="T88" s="19" t="n"/>
      <c r="U88" s="4" t="n"/>
      <c r="V88" s="19" t="n"/>
      <c r="W88" s="4" t="n"/>
      <c r="X88" s="19" t="n"/>
      <c r="Y88" s="4" t="n"/>
      <c r="Z88" s="19" t="n"/>
      <c r="AA88" s="4" t="n"/>
      <c r="AB88" s="19" t="n"/>
      <c r="AC88" s="5">
        <f>_xlfn.TEXTJOIN(CHAR(10),TRUE,IF(Q88="","","• "&amp;Q88&amp;IF(R88="Yes","  [IPL]","")),IF(S88="","","• "&amp;S88&amp;IF(T88="Yes","  [IPL]","")),IF(U88="","","• "&amp;U88&amp;IF(V88="Yes","  [IPL]","")),IF(W88="","","• "&amp;W88&amp;IF(X88="Yes","  [IPL]","")),IF(Y88="","","• "&amp;Y88&amp;IF(Z88="Yes","  [IPL]","")),IF(AA88="","","• "&amp;AA88&amp;IF(AB88="Yes","  [IPL]","")))</f>
        <v/>
      </c>
      <c r="AD88" s="30">
        <f>IF(AC88="","",COUNTIF(Q88:AB88,"Yes"))</f>
        <v/>
      </c>
      <c r="AE88" s="19" t="n"/>
      <c r="AF88" s="19" t="n"/>
      <c r="AG88" s="30">
        <f>IF(OR(AE88="",AF88=""),"",INDEX(RiskGrid,6-VALUE(LEFT(AE88,1)),VALUE(LEFT(AF88,1))))</f>
        <v/>
      </c>
      <c r="AH88" s="30">
        <f>IF(AG88="","",IF(AG88&gt;=BandVH,"Very High",IF(AG88&gt;=BandHigh,"High",IF(AG88&gt;=BandMed,"Medium","Low"))))</f>
        <v/>
      </c>
      <c r="AI88" s="4" t="n"/>
      <c r="AJ88" s="4" t="n"/>
    </row>
    <row r="89">
      <c r="A89" s="30">
        <f>IF(B89="","",COUNTIF(B$14:B89,"?*"))</f>
        <v/>
      </c>
      <c r="B89" s="4" t="n"/>
      <c r="C89" s="19" t="n"/>
      <c r="D89" s="5">
        <f>IF(OR(B89="",C89=""),"",UPPER(LEFT(C89,1))&amp;LOWER(MID(C89,2,30))&amp;" "&amp;LOWER(LEFT(B89,1))&amp;MID(B89,2,200))</f>
        <v/>
      </c>
      <c r="E89" s="4" t="n"/>
      <c r="F89" s="4" t="n"/>
      <c r="G89" s="4" t="n"/>
      <c r="H89" s="4" t="n"/>
      <c r="I89" s="4" t="n"/>
      <c r="J89" s="4" t="n"/>
      <c r="K89" s="5">
        <f>_xlfn.TEXTJOIN(CHAR(10),TRUE,IF(E89="","","• "&amp;E89),IF(F89="","","• "&amp;F89),IF(G89="","","• "&amp;G89),IF(H89="","","• "&amp;H89),IF(I89="","","• "&amp;I89),IF(J89="","","• "&amp;J89))</f>
        <v/>
      </c>
      <c r="L89" s="4" t="n"/>
      <c r="M89" s="19" t="n"/>
      <c r="N89" s="19" t="n"/>
      <c r="O89" s="30">
        <f>IF(OR(M89="",N89=""),"",INDEX(RiskGrid,6-VALUE(LEFT(M89,1)),VALUE(LEFT(N89,1))))</f>
        <v/>
      </c>
      <c r="P89" s="30">
        <f>IF(O89="","",IF(O89&gt;=BandVH,"Very High",IF(O89&gt;=BandHigh,"High",IF(O89&gt;=BandMed,"Medium","Low"))))</f>
        <v/>
      </c>
      <c r="Q89" s="4" t="n"/>
      <c r="R89" s="19" t="n"/>
      <c r="S89" s="4" t="n"/>
      <c r="T89" s="19" t="n"/>
      <c r="U89" s="4" t="n"/>
      <c r="V89" s="19" t="n"/>
      <c r="W89" s="4" t="n"/>
      <c r="X89" s="19" t="n"/>
      <c r="Y89" s="4" t="n"/>
      <c r="Z89" s="19" t="n"/>
      <c r="AA89" s="4" t="n"/>
      <c r="AB89" s="19" t="n"/>
      <c r="AC89" s="5">
        <f>_xlfn.TEXTJOIN(CHAR(10),TRUE,IF(Q89="","","• "&amp;Q89&amp;IF(R89="Yes","  [IPL]","")),IF(S89="","","• "&amp;S89&amp;IF(T89="Yes","  [IPL]","")),IF(U89="","","• "&amp;U89&amp;IF(V89="Yes","  [IPL]","")),IF(W89="","","• "&amp;W89&amp;IF(X89="Yes","  [IPL]","")),IF(Y89="","","• "&amp;Y89&amp;IF(Z89="Yes","  [IPL]","")),IF(AA89="","","• "&amp;AA89&amp;IF(AB89="Yes","  [IPL]","")))</f>
        <v/>
      </c>
      <c r="AD89" s="30">
        <f>IF(AC89="","",COUNTIF(Q89:AB89,"Yes"))</f>
        <v/>
      </c>
      <c r="AE89" s="19" t="n"/>
      <c r="AF89" s="19" t="n"/>
      <c r="AG89" s="30">
        <f>IF(OR(AE89="",AF89=""),"",INDEX(RiskGrid,6-VALUE(LEFT(AE89,1)),VALUE(LEFT(AF89,1))))</f>
        <v/>
      </c>
      <c r="AH89" s="30">
        <f>IF(AG89="","",IF(AG89&gt;=BandVH,"Very High",IF(AG89&gt;=BandHigh,"High",IF(AG89&gt;=BandMed,"Medium","Low"))))</f>
        <v/>
      </c>
      <c r="AI89" s="4" t="n"/>
      <c r="AJ89" s="4" t="n"/>
    </row>
    <row r="90">
      <c r="A90" s="30">
        <f>IF(B90="","",COUNTIF(B$14:B90,"?*"))</f>
        <v/>
      </c>
      <c r="B90" s="4" t="n"/>
      <c r="C90" s="19" t="n"/>
      <c r="D90" s="5">
        <f>IF(OR(B90="",C90=""),"",UPPER(LEFT(C90,1))&amp;LOWER(MID(C90,2,30))&amp;" "&amp;LOWER(LEFT(B90,1))&amp;MID(B90,2,200))</f>
        <v/>
      </c>
      <c r="E90" s="4" t="n"/>
      <c r="F90" s="4" t="n"/>
      <c r="G90" s="4" t="n"/>
      <c r="H90" s="4" t="n"/>
      <c r="I90" s="4" t="n"/>
      <c r="J90" s="4" t="n"/>
      <c r="K90" s="5">
        <f>_xlfn.TEXTJOIN(CHAR(10),TRUE,IF(E90="","","• "&amp;E90),IF(F90="","","• "&amp;F90),IF(G90="","","• "&amp;G90),IF(H90="","","• "&amp;H90),IF(I90="","","• "&amp;I90),IF(J90="","","• "&amp;J90))</f>
        <v/>
      </c>
      <c r="L90" s="4" t="n"/>
      <c r="M90" s="19" t="n"/>
      <c r="N90" s="19" t="n"/>
      <c r="O90" s="30">
        <f>IF(OR(M90="",N90=""),"",INDEX(RiskGrid,6-VALUE(LEFT(M90,1)),VALUE(LEFT(N90,1))))</f>
        <v/>
      </c>
      <c r="P90" s="30">
        <f>IF(O90="","",IF(O90&gt;=BandVH,"Very High",IF(O90&gt;=BandHigh,"High",IF(O90&gt;=BandMed,"Medium","Low"))))</f>
        <v/>
      </c>
      <c r="Q90" s="4" t="n"/>
      <c r="R90" s="19" t="n"/>
      <c r="S90" s="4" t="n"/>
      <c r="T90" s="19" t="n"/>
      <c r="U90" s="4" t="n"/>
      <c r="V90" s="19" t="n"/>
      <c r="W90" s="4" t="n"/>
      <c r="X90" s="19" t="n"/>
      <c r="Y90" s="4" t="n"/>
      <c r="Z90" s="19" t="n"/>
      <c r="AA90" s="4" t="n"/>
      <c r="AB90" s="19" t="n"/>
      <c r="AC90" s="5">
        <f>_xlfn.TEXTJOIN(CHAR(10),TRUE,IF(Q90="","","• "&amp;Q90&amp;IF(R90="Yes","  [IPL]","")),IF(S90="","","• "&amp;S90&amp;IF(T90="Yes","  [IPL]","")),IF(U90="","","• "&amp;U90&amp;IF(V90="Yes","  [IPL]","")),IF(W90="","","• "&amp;W90&amp;IF(X90="Yes","  [IPL]","")),IF(Y90="","","• "&amp;Y90&amp;IF(Z90="Yes","  [IPL]","")),IF(AA90="","","• "&amp;AA90&amp;IF(AB90="Yes","  [IPL]","")))</f>
        <v/>
      </c>
      <c r="AD90" s="30">
        <f>IF(AC90="","",COUNTIF(Q90:AB90,"Yes"))</f>
        <v/>
      </c>
      <c r="AE90" s="19" t="n"/>
      <c r="AF90" s="19" t="n"/>
      <c r="AG90" s="30">
        <f>IF(OR(AE90="",AF90=""),"",INDEX(RiskGrid,6-VALUE(LEFT(AE90,1)),VALUE(LEFT(AF90,1))))</f>
        <v/>
      </c>
      <c r="AH90" s="30">
        <f>IF(AG90="","",IF(AG90&gt;=BandVH,"Very High",IF(AG90&gt;=BandHigh,"High",IF(AG90&gt;=BandMed,"Medium","Low"))))</f>
        <v/>
      </c>
      <c r="AI90" s="4" t="n"/>
      <c r="AJ90" s="4" t="n"/>
    </row>
    <row r="91">
      <c r="A91" s="30">
        <f>IF(B91="","",COUNTIF(B$14:B91,"?*"))</f>
        <v/>
      </c>
      <c r="B91" s="4" t="n"/>
      <c r="C91" s="19" t="n"/>
      <c r="D91" s="5">
        <f>IF(OR(B91="",C91=""),"",UPPER(LEFT(C91,1))&amp;LOWER(MID(C91,2,30))&amp;" "&amp;LOWER(LEFT(B91,1))&amp;MID(B91,2,200))</f>
        <v/>
      </c>
      <c r="E91" s="4" t="n"/>
      <c r="F91" s="4" t="n"/>
      <c r="G91" s="4" t="n"/>
      <c r="H91" s="4" t="n"/>
      <c r="I91" s="4" t="n"/>
      <c r="J91" s="4" t="n"/>
      <c r="K91" s="5">
        <f>_xlfn.TEXTJOIN(CHAR(10),TRUE,IF(E91="","","• "&amp;E91),IF(F91="","","• "&amp;F91),IF(G91="","","• "&amp;G91),IF(H91="","","• "&amp;H91),IF(I91="","","• "&amp;I91),IF(J91="","","• "&amp;J91))</f>
        <v/>
      </c>
      <c r="L91" s="4" t="n"/>
      <c r="M91" s="19" t="n"/>
      <c r="N91" s="19" t="n"/>
      <c r="O91" s="30">
        <f>IF(OR(M91="",N91=""),"",INDEX(RiskGrid,6-VALUE(LEFT(M91,1)),VALUE(LEFT(N91,1))))</f>
        <v/>
      </c>
      <c r="P91" s="30">
        <f>IF(O91="","",IF(O91&gt;=BandVH,"Very High",IF(O91&gt;=BandHigh,"High",IF(O91&gt;=BandMed,"Medium","Low"))))</f>
        <v/>
      </c>
      <c r="Q91" s="4" t="n"/>
      <c r="R91" s="19" t="n"/>
      <c r="S91" s="4" t="n"/>
      <c r="T91" s="19" t="n"/>
      <c r="U91" s="4" t="n"/>
      <c r="V91" s="19" t="n"/>
      <c r="W91" s="4" t="n"/>
      <c r="X91" s="19" t="n"/>
      <c r="Y91" s="4" t="n"/>
      <c r="Z91" s="19" t="n"/>
      <c r="AA91" s="4" t="n"/>
      <c r="AB91" s="19" t="n"/>
      <c r="AC91" s="5">
        <f>_xlfn.TEXTJOIN(CHAR(10),TRUE,IF(Q91="","","• "&amp;Q91&amp;IF(R91="Yes","  [IPL]","")),IF(S91="","","• "&amp;S91&amp;IF(T91="Yes","  [IPL]","")),IF(U91="","","• "&amp;U91&amp;IF(V91="Yes","  [IPL]","")),IF(W91="","","• "&amp;W91&amp;IF(X91="Yes","  [IPL]","")),IF(Y91="","","• "&amp;Y91&amp;IF(Z91="Yes","  [IPL]","")),IF(AA91="","","• "&amp;AA91&amp;IF(AB91="Yes","  [IPL]","")))</f>
        <v/>
      </c>
      <c r="AD91" s="30">
        <f>IF(AC91="","",COUNTIF(Q91:AB91,"Yes"))</f>
        <v/>
      </c>
      <c r="AE91" s="19" t="n"/>
      <c r="AF91" s="19" t="n"/>
      <c r="AG91" s="30">
        <f>IF(OR(AE91="",AF91=""),"",INDEX(RiskGrid,6-VALUE(LEFT(AE91,1)),VALUE(LEFT(AF91,1))))</f>
        <v/>
      </c>
      <c r="AH91" s="30">
        <f>IF(AG91="","",IF(AG91&gt;=BandVH,"Very High",IF(AG91&gt;=BandHigh,"High",IF(AG91&gt;=BandMed,"Medium","Low"))))</f>
        <v/>
      </c>
      <c r="AI91" s="4" t="n"/>
      <c r="AJ91" s="4" t="n"/>
    </row>
    <row r="92">
      <c r="A92" s="30">
        <f>IF(B92="","",COUNTIF(B$14:B92,"?*"))</f>
        <v/>
      </c>
      <c r="B92" s="4" t="n"/>
      <c r="C92" s="19" t="n"/>
      <c r="D92" s="5">
        <f>IF(OR(B92="",C92=""),"",UPPER(LEFT(C92,1))&amp;LOWER(MID(C92,2,30))&amp;" "&amp;LOWER(LEFT(B92,1))&amp;MID(B92,2,200))</f>
        <v/>
      </c>
      <c r="E92" s="4" t="n"/>
      <c r="F92" s="4" t="n"/>
      <c r="G92" s="4" t="n"/>
      <c r="H92" s="4" t="n"/>
      <c r="I92" s="4" t="n"/>
      <c r="J92" s="4" t="n"/>
      <c r="K92" s="5">
        <f>_xlfn.TEXTJOIN(CHAR(10),TRUE,IF(E92="","","• "&amp;E92),IF(F92="","","• "&amp;F92),IF(G92="","","• "&amp;G92),IF(H92="","","• "&amp;H92),IF(I92="","","• "&amp;I92),IF(J92="","","• "&amp;J92))</f>
        <v/>
      </c>
      <c r="L92" s="4" t="n"/>
      <c r="M92" s="19" t="n"/>
      <c r="N92" s="19" t="n"/>
      <c r="O92" s="30">
        <f>IF(OR(M92="",N92=""),"",INDEX(RiskGrid,6-VALUE(LEFT(M92,1)),VALUE(LEFT(N92,1))))</f>
        <v/>
      </c>
      <c r="P92" s="30">
        <f>IF(O92="","",IF(O92&gt;=BandVH,"Very High",IF(O92&gt;=BandHigh,"High",IF(O92&gt;=BandMed,"Medium","Low"))))</f>
        <v/>
      </c>
      <c r="Q92" s="4" t="n"/>
      <c r="R92" s="19" t="n"/>
      <c r="S92" s="4" t="n"/>
      <c r="T92" s="19" t="n"/>
      <c r="U92" s="4" t="n"/>
      <c r="V92" s="19" t="n"/>
      <c r="W92" s="4" t="n"/>
      <c r="X92" s="19" t="n"/>
      <c r="Y92" s="4" t="n"/>
      <c r="Z92" s="19" t="n"/>
      <c r="AA92" s="4" t="n"/>
      <c r="AB92" s="19" t="n"/>
      <c r="AC92" s="5">
        <f>_xlfn.TEXTJOIN(CHAR(10),TRUE,IF(Q92="","","• "&amp;Q92&amp;IF(R92="Yes","  [IPL]","")),IF(S92="","","• "&amp;S92&amp;IF(T92="Yes","  [IPL]","")),IF(U92="","","• "&amp;U92&amp;IF(V92="Yes","  [IPL]","")),IF(W92="","","• "&amp;W92&amp;IF(X92="Yes","  [IPL]","")),IF(Y92="","","• "&amp;Y92&amp;IF(Z92="Yes","  [IPL]","")),IF(AA92="","","• "&amp;AA92&amp;IF(AB92="Yes","  [IPL]","")))</f>
        <v/>
      </c>
      <c r="AD92" s="30">
        <f>IF(AC92="","",COUNTIF(Q92:AB92,"Yes"))</f>
        <v/>
      </c>
      <c r="AE92" s="19" t="n"/>
      <c r="AF92" s="19" t="n"/>
      <c r="AG92" s="30">
        <f>IF(OR(AE92="",AF92=""),"",INDEX(RiskGrid,6-VALUE(LEFT(AE92,1)),VALUE(LEFT(AF92,1))))</f>
        <v/>
      </c>
      <c r="AH92" s="30">
        <f>IF(AG92="","",IF(AG92&gt;=BandVH,"Very High",IF(AG92&gt;=BandHigh,"High",IF(AG92&gt;=BandMed,"Medium","Low"))))</f>
        <v/>
      </c>
      <c r="AI92" s="4" t="n"/>
      <c r="AJ92" s="4" t="n"/>
    </row>
    <row r="93">
      <c r="A93" s="30">
        <f>IF(B93="","",COUNTIF(B$14:B93,"?*"))</f>
        <v/>
      </c>
      <c r="B93" s="4" t="n"/>
      <c r="C93" s="19" t="n"/>
      <c r="D93" s="5">
        <f>IF(OR(B93="",C93=""),"",UPPER(LEFT(C93,1))&amp;LOWER(MID(C93,2,30))&amp;" "&amp;LOWER(LEFT(B93,1))&amp;MID(B93,2,200))</f>
        <v/>
      </c>
      <c r="E93" s="4" t="n"/>
      <c r="F93" s="4" t="n"/>
      <c r="G93" s="4" t="n"/>
      <c r="H93" s="4" t="n"/>
      <c r="I93" s="4" t="n"/>
      <c r="J93" s="4" t="n"/>
      <c r="K93" s="5">
        <f>_xlfn.TEXTJOIN(CHAR(10),TRUE,IF(E93="","","• "&amp;E93),IF(F93="","","• "&amp;F93),IF(G93="","","• "&amp;G93),IF(H93="","","• "&amp;H93),IF(I93="","","• "&amp;I93),IF(J93="","","• "&amp;J93))</f>
        <v/>
      </c>
      <c r="L93" s="4" t="n"/>
      <c r="M93" s="19" t="n"/>
      <c r="N93" s="19" t="n"/>
      <c r="O93" s="30">
        <f>IF(OR(M93="",N93=""),"",INDEX(RiskGrid,6-VALUE(LEFT(M93,1)),VALUE(LEFT(N93,1))))</f>
        <v/>
      </c>
      <c r="P93" s="30">
        <f>IF(O93="","",IF(O93&gt;=BandVH,"Very High",IF(O93&gt;=BandHigh,"High",IF(O93&gt;=BandMed,"Medium","Low"))))</f>
        <v/>
      </c>
      <c r="Q93" s="4" t="n"/>
      <c r="R93" s="19" t="n"/>
      <c r="S93" s="4" t="n"/>
      <c r="T93" s="19" t="n"/>
      <c r="U93" s="4" t="n"/>
      <c r="V93" s="19" t="n"/>
      <c r="W93" s="4" t="n"/>
      <c r="X93" s="19" t="n"/>
      <c r="Y93" s="4" t="n"/>
      <c r="Z93" s="19" t="n"/>
      <c r="AA93" s="4" t="n"/>
      <c r="AB93" s="19" t="n"/>
      <c r="AC93" s="5">
        <f>_xlfn.TEXTJOIN(CHAR(10),TRUE,IF(Q93="","","• "&amp;Q93&amp;IF(R93="Yes","  [IPL]","")),IF(S93="","","• "&amp;S93&amp;IF(T93="Yes","  [IPL]","")),IF(U93="","","• "&amp;U93&amp;IF(V93="Yes","  [IPL]","")),IF(W93="","","• "&amp;W93&amp;IF(X93="Yes","  [IPL]","")),IF(Y93="","","• "&amp;Y93&amp;IF(Z93="Yes","  [IPL]","")),IF(AA93="","","• "&amp;AA93&amp;IF(AB93="Yes","  [IPL]","")))</f>
        <v/>
      </c>
      <c r="AD93" s="30">
        <f>IF(AC93="","",COUNTIF(Q93:AB93,"Yes"))</f>
        <v/>
      </c>
      <c r="AE93" s="19" t="n"/>
      <c r="AF93" s="19" t="n"/>
      <c r="AG93" s="30">
        <f>IF(OR(AE93="",AF93=""),"",INDEX(RiskGrid,6-VALUE(LEFT(AE93,1)),VALUE(LEFT(AF93,1))))</f>
        <v/>
      </c>
      <c r="AH93" s="30">
        <f>IF(AG93="","",IF(AG93&gt;=BandVH,"Very High",IF(AG93&gt;=BandHigh,"High",IF(AG93&gt;=BandMed,"Medium","Low"))))</f>
        <v/>
      </c>
      <c r="AI93" s="4" t="n"/>
      <c r="AJ93" s="4" t="n"/>
    </row>
    <row r="94">
      <c r="A94" s="30">
        <f>IF(B94="","",COUNTIF(B$14:B94,"?*"))</f>
        <v/>
      </c>
      <c r="B94" s="4" t="n"/>
      <c r="C94" s="19" t="n"/>
      <c r="D94" s="5">
        <f>IF(OR(B94="",C94=""),"",UPPER(LEFT(C94,1))&amp;LOWER(MID(C94,2,30))&amp;" "&amp;LOWER(LEFT(B94,1))&amp;MID(B94,2,200))</f>
        <v/>
      </c>
      <c r="E94" s="4" t="n"/>
      <c r="F94" s="4" t="n"/>
      <c r="G94" s="4" t="n"/>
      <c r="H94" s="4" t="n"/>
      <c r="I94" s="4" t="n"/>
      <c r="J94" s="4" t="n"/>
      <c r="K94" s="5">
        <f>_xlfn.TEXTJOIN(CHAR(10),TRUE,IF(E94="","","• "&amp;E94),IF(F94="","","• "&amp;F94),IF(G94="","","• "&amp;G94),IF(H94="","","• "&amp;H94),IF(I94="","","• "&amp;I94),IF(J94="","","• "&amp;J94))</f>
        <v/>
      </c>
      <c r="L94" s="4" t="n"/>
      <c r="M94" s="19" t="n"/>
      <c r="N94" s="19" t="n"/>
      <c r="O94" s="30">
        <f>IF(OR(M94="",N94=""),"",INDEX(RiskGrid,6-VALUE(LEFT(M94,1)),VALUE(LEFT(N94,1))))</f>
        <v/>
      </c>
      <c r="P94" s="30">
        <f>IF(O94="","",IF(O94&gt;=BandVH,"Very High",IF(O94&gt;=BandHigh,"High",IF(O94&gt;=BandMed,"Medium","Low"))))</f>
        <v/>
      </c>
      <c r="Q94" s="4" t="n"/>
      <c r="R94" s="19" t="n"/>
      <c r="S94" s="4" t="n"/>
      <c r="T94" s="19" t="n"/>
      <c r="U94" s="4" t="n"/>
      <c r="V94" s="19" t="n"/>
      <c r="W94" s="4" t="n"/>
      <c r="X94" s="19" t="n"/>
      <c r="Y94" s="4" t="n"/>
      <c r="Z94" s="19" t="n"/>
      <c r="AA94" s="4" t="n"/>
      <c r="AB94" s="19" t="n"/>
      <c r="AC94" s="5">
        <f>_xlfn.TEXTJOIN(CHAR(10),TRUE,IF(Q94="","","• "&amp;Q94&amp;IF(R94="Yes","  [IPL]","")),IF(S94="","","• "&amp;S94&amp;IF(T94="Yes","  [IPL]","")),IF(U94="","","• "&amp;U94&amp;IF(V94="Yes","  [IPL]","")),IF(W94="","","• "&amp;W94&amp;IF(X94="Yes","  [IPL]","")),IF(Y94="","","• "&amp;Y94&amp;IF(Z94="Yes","  [IPL]","")),IF(AA94="","","• "&amp;AA94&amp;IF(AB94="Yes","  [IPL]","")))</f>
        <v/>
      </c>
      <c r="AD94" s="30">
        <f>IF(AC94="","",COUNTIF(Q94:AB94,"Yes"))</f>
        <v/>
      </c>
      <c r="AE94" s="19" t="n"/>
      <c r="AF94" s="19" t="n"/>
      <c r="AG94" s="30">
        <f>IF(OR(AE94="",AF94=""),"",INDEX(RiskGrid,6-VALUE(LEFT(AE94,1)),VALUE(LEFT(AF94,1))))</f>
        <v/>
      </c>
      <c r="AH94" s="30">
        <f>IF(AG94="","",IF(AG94&gt;=BandVH,"Very High",IF(AG94&gt;=BandHigh,"High",IF(AG94&gt;=BandMed,"Medium","Low"))))</f>
        <v/>
      </c>
      <c r="AI94" s="4" t="n"/>
      <c r="AJ94" s="4" t="n"/>
    </row>
    <row r="95">
      <c r="A95" s="30">
        <f>IF(B95="","",COUNTIF(B$14:B95,"?*"))</f>
        <v/>
      </c>
      <c r="B95" s="4" t="n"/>
      <c r="C95" s="19" t="n"/>
      <c r="D95" s="5">
        <f>IF(OR(B95="",C95=""),"",UPPER(LEFT(C95,1))&amp;LOWER(MID(C95,2,30))&amp;" "&amp;LOWER(LEFT(B95,1))&amp;MID(B95,2,200))</f>
        <v/>
      </c>
      <c r="E95" s="4" t="n"/>
      <c r="F95" s="4" t="n"/>
      <c r="G95" s="4" t="n"/>
      <c r="H95" s="4" t="n"/>
      <c r="I95" s="4" t="n"/>
      <c r="J95" s="4" t="n"/>
      <c r="K95" s="5">
        <f>_xlfn.TEXTJOIN(CHAR(10),TRUE,IF(E95="","","• "&amp;E95),IF(F95="","","• "&amp;F95),IF(G95="","","• "&amp;G95),IF(H95="","","• "&amp;H95),IF(I95="","","• "&amp;I95),IF(J95="","","• "&amp;J95))</f>
        <v/>
      </c>
      <c r="L95" s="4" t="n"/>
      <c r="M95" s="19" t="n"/>
      <c r="N95" s="19" t="n"/>
      <c r="O95" s="30">
        <f>IF(OR(M95="",N95=""),"",INDEX(RiskGrid,6-VALUE(LEFT(M95,1)),VALUE(LEFT(N95,1))))</f>
        <v/>
      </c>
      <c r="P95" s="30">
        <f>IF(O95="","",IF(O95&gt;=BandVH,"Very High",IF(O95&gt;=BandHigh,"High",IF(O95&gt;=BandMed,"Medium","Low"))))</f>
        <v/>
      </c>
      <c r="Q95" s="4" t="n"/>
      <c r="R95" s="19" t="n"/>
      <c r="S95" s="4" t="n"/>
      <c r="T95" s="19" t="n"/>
      <c r="U95" s="4" t="n"/>
      <c r="V95" s="19" t="n"/>
      <c r="W95" s="4" t="n"/>
      <c r="X95" s="19" t="n"/>
      <c r="Y95" s="4" t="n"/>
      <c r="Z95" s="19" t="n"/>
      <c r="AA95" s="4" t="n"/>
      <c r="AB95" s="19" t="n"/>
      <c r="AC95" s="5">
        <f>_xlfn.TEXTJOIN(CHAR(10),TRUE,IF(Q95="","","• "&amp;Q95&amp;IF(R95="Yes","  [IPL]","")),IF(S95="","","• "&amp;S95&amp;IF(T95="Yes","  [IPL]","")),IF(U95="","","• "&amp;U95&amp;IF(V95="Yes","  [IPL]","")),IF(W95="","","• "&amp;W95&amp;IF(X95="Yes","  [IPL]","")),IF(Y95="","","• "&amp;Y95&amp;IF(Z95="Yes","  [IPL]","")),IF(AA95="","","• "&amp;AA95&amp;IF(AB95="Yes","  [IPL]","")))</f>
        <v/>
      </c>
      <c r="AD95" s="30">
        <f>IF(AC95="","",COUNTIF(Q95:AB95,"Yes"))</f>
        <v/>
      </c>
      <c r="AE95" s="19" t="n"/>
      <c r="AF95" s="19" t="n"/>
      <c r="AG95" s="30">
        <f>IF(OR(AE95="",AF95=""),"",INDEX(RiskGrid,6-VALUE(LEFT(AE95,1)),VALUE(LEFT(AF95,1))))</f>
        <v/>
      </c>
      <c r="AH95" s="30">
        <f>IF(AG95="","",IF(AG95&gt;=BandVH,"Very High",IF(AG95&gt;=BandHigh,"High",IF(AG95&gt;=BandMed,"Medium","Low"))))</f>
        <v/>
      </c>
      <c r="AI95" s="4" t="n"/>
      <c r="AJ95" s="4" t="n"/>
    </row>
    <row r="96">
      <c r="A96" s="30">
        <f>IF(B96="","",COUNTIF(B$14:B96,"?*"))</f>
        <v/>
      </c>
      <c r="B96" s="4" t="n"/>
      <c r="C96" s="19" t="n"/>
      <c r="D96" s="5">
        <f>IF(OR(B96="",C96=""),"",UPPER(LEFT(C96,1))&amp;LOWER(MID(C96,2,30))&amp;" "&amp;LOWER(LEFT(B96,1))&amp;MID(B96,2,200))</f>
        <v/>
      </c>
      <c r="E96" s="4" t="n"/>
      <c r="F96" s="4" t="n"/>
      <c r="G96" s="4" t="n"/>
      <c r="H96" s="4" t="n"/>
      <c r="I96" s="4" t="n"/>
      <c r="J96" s="4" t="n"/>
      <c r="K96" s="5">
        <f>_xlfn.TEXTJOIN(CHAR(10),TRUE,IF(E96="","","• "&amp;E96),IF(F96="","","• "&amp;F96),IF(G96="","","• "&amp;G96),IF(H96="","","• "&amp;H96),IF(I96="","","• "&amp;I96),IF(J96="","","• "&amp;J96))</f>
        <v/>
      </c>
      <c r="L96" s="4" t="n"/>
      <c r="M96" s="19" t="n"/>
      <c r="N96" s="19" t="n"/>
      <c r="O96" s="30">
        <f>IF(OR(M96="",N96=""),"",INDEX(RiskGrid,6-VALUE(LEFT(M96,1)),VALUE(LEFT(N96,1))))</f>
        <v/>
      </c>
      <c r="P96" s="30">
        <f>IF(O96="","",IF(O96&gt;=BandVH,"Very High",IF(O96&gt;=BandHigh,"High",IF(O96&gt;=BandMed,"Medium","Low"))))</f>
        <v/>
      </c>
      <c r="Q96" s="4" t="n"/>
      <c r="R96" s="19" t="n"/>
      <c r="S96" s="4" t="n"/>
      <c r="T96" s="19" t="n"/>
      <c r="U96" s="4" t="n"/>
      <c r="V96" s="19" t="n"/>
      <c r="W96" s="4" t="n"/>
      <c r="X96" s="19" t="n"/>
      <c r="Y96" s="4" t="n"/>
      <c r="Z96" s="19" t="n"/>
      <c r="AA96" s="4" t="n"/>
      <c r="AB96" s="19" t="n"/>
      <c r="AC96" s="5">
        <f>_xlfn.TEXTJOIN(CHAR(10),TRUE,IF(Q96="","","• "&amp;Q96&amp;IF(R96="Yes","  [IPL]","")),IF(S96="","","• "&amp;S96&amp;IF(T96="Yes","  [IPL]","")),IF(U96="","","• "&amp;U96&amp;IF(V96="Yes","  [IPL]","")),IF(W96="","","• "&amp;W96&amp;IF(X96="Yes","  [IPL]","")),IF(Y96="","","• "&amp;Y96&amp;IF(Z96="Yes","  [IPL]","")),IF(AA96="","","• "&amp;AA96&amp;IF(AB96="Yes","  [IPL]","")))</f>
        <v/>
      </c>
      <c r="AD96" s="30">
        <f>IF(AC96="","",COUNTIF(Q96:AB96,"Yes"))</f>
        <v/>
      </c>
      <c r="AE96" s="19" t="n"/>
      <c r="AF96" s="19" t="n"/>
      <c r="AG96" s="30">
        <f>IF(OR(AE96="",AF96=""),"",INDEX(RiskGrid,6-VALUE(LEFT(AE96,1)),VALUE(LEFT(AF96,1))))</f>
        <v/>
      </c>
      <c r="AH96" s="30">
        <f>IF(AG96="","",IF(AG96&gt;=BandVH,"Very High",IF(AG96&gt;=BandHigh,"High",IF(AG96&gt;=BandMed,"Medium","Low"))))</f>
        <v/>
      </c>
      <c r="AI96" s="4" t="n"/>
      <c r="AJ96" s="4" t="n"/>
    </row>
    <row r="97">
      <c r="A97" s="30">
        <f>IF(B97="","",COUNTIF(B$14:B97,"?*"))</f>
        <v/>
      </c>
      <c r="B97" s="4" t="n"/>
      <c r="C97" s="19" t="n"/>
      <c r="D97" s="5">
        <f>IF(OR(B97="",C97=""),"",UPPER(LEFT(C97,1))&amp;LOWER(MID(C97,2,30))&amp;" "&amp;LOWER(LEFT(B97,1))&amp;MID(B97,2,200))</f>
        <v/>
      </c>
      <c r="E97" s="4" t="n"/>
      <c r="F97" s="4" t="n"/>
      <c r="G97" s="4" t="n"/>
      <c r="H97" s="4" t="n"/>
      <c r="I97" s="4" t="n"/>
      <c r="J97" s="4" t="n"/>
      <c r="K97" s="5">
        <f>_xlfn.TEXTJOIN(CHAR(10),TRUE,IF(E97="","","• "&amp;E97),IF(F97="","","• "&amp;F97),IF(G97="","","• "&amp;G97),IF(H97="","","• "&amp;H97),IF(I97="","","• "&amp;I97),IF(J97="","","• "&amp;J97))</f>
        <v/>
      </c>
      <c r="L97" s="4" t="n"/>
      <c r="M97" s="19" t="n"/>
      <c r="N97" s="19" t="n"/>
      <c r="O97" s="30">
        <f>IF(OR(M97="",N97=""),"",INDEX(RiskGrid,6-VALUE(LEFT(M97,1)),VALUE(LEFT(N97,1))))</f>
        <v/>
      </c>
      <c r="P97" s="30">
        <f>IF(O97="","",IF(O97&gt;=BandVH,"Very High",IF(O97&gt;=BandHigh,"High",IF(O97&gt;=BandMed,"Medium","Low"))))</f>
        <v/>
      </c>
      <c r="Q97" s="4" t="n"/>
      <c r="R97" s="19" t="n"/>
      <c r="S97" s="4" t="n"/>
      <c r="T97" s="19" t="n"/>
      <c r="U97" s="4" t="n"/>
      <c r="V97" s="19" t="n"/>
      <c r="W97" s="4" t="n"/>
      <c r="X97" s="19" t="n"/>
      <c r="Y97" s="4" t="n"/>
      <c r="Z97" s="19" t="n"/>
      <c r="AA97" s="4" t="n"/>
      <c r="AB97" s="19" t="n"/>
      <c r="AC97" s="5">
        <f>_xlfn.TEXTJOIN(CHAR(10),TRUE,IF(Q97="","","• "&amp;Q97&amp;IF(R97="Yes","  [IPL]","")),IF(S97="","","• "&amp;S97&amp;IF(T97="Yes","  [IPL]","")),IF(U97="","","• "&amp;U97&amp;IF(V97="Yes","  [IPL]","")),IF(W97="","","• "&amp;W97&amp;IF(X97="Yes","  [IPL]","")),IF(Y97="","","• "&amp;Y97&amp;IF(Z97="Yes","  [IPL]","")),IF(AA97="","","• "&amp;AA97&amp;IF(AB97="Yes","  [IPL]","")))</f>
        <v/>
      </c>
      <c r="AD97" s="30">
        <f>IF(AC97="","",COUNTIF(Q97:AB97,"Yes"))</f>
        <v/>
      </c>
      <c r="AE97" s="19" t="n"/>
      <c r="AF97" s="19" t="n"/>
      <c r="AG97" s="30">
        <f>IF(OR(AE97="",AF97=""),"",INDEX(RiskGrid,6-VALUE(LEFT(AE97,1)),VALUE(LEFT(AF97,1))))</f>
        <v/>
      </c>
      <c r="AH97" s="30">
        <f>IF(AG97="","",IF(AG97&gt;=BandVH,"Very High",IF(AG97&gt;=BandHigh,"High",IF(AG97&gt;=BandMed,"Medium","Low"))))</f>
        <v/>
      </c>
      <c r="AI97" s="4" t="n"/>
      <c r="AJ97" s="4" t="n"/>
    </row>
    <row r="98">
      <c r="A98" s="30">
        <f>IF(B98="","",COUNTIF(B$14:B98,"?*"))</f>
        <v/>
      </c>
      <c r="B98" s="4" t="n"/>
      <c r="C98" s="19" t="n"/>
      <c r="D98" s="5">
        <f>IF(OR(B98="",C98=""),"",UPPER(LEFT(C98,1))&amp;LOWER(MID(C98,2,30))&amp;" "&amp;LOWER(LEFT(B98,1))&amp;MID(B98,2,200))</f>
        <v/>
      </c>
      <c r="E98" s="4" t="n"/>
      <c r="F98" s="4" t="n"/>
      <c r="G98" s="4" t="n"/>
      <c r="H98" s="4" t="n"/>
      <c r="I98" s="4" t="n"/>
      <c r="J98" s="4" t="n"/>
      <c r="K98" s="5">
        <f>_xlfn.TEXTJOIN(CHAR(10),TRUE,IF(E98="","","• "&amp;E98),IF(F98="","","• "&amp;F98),IF(G98="","","• "&amp;G98),IF(H98="","","• "&amp;H98),IF(I98="","","• "&amp;I98),IF(J98="","","• "&amp;J98))</f>
        <v/>
      </c>
      <c r="L98" s="4" t="n"/>
      <c r="M98" s="19" t="n"/>
      <c r="N98" s="19" t="n"/>
      <c r="O98" s="30">
        <f>IF(OR(M98="",N98=""),"",INDEX(RiskGrid,6-VALUE(LEFT(M98,1)),VALUE(LEFT(N98,1))))</f>
        <v/>
      </c>
      <c r="P98" s="30">
        <f>IF(O98="","",IF(O98&gt;=BandVH,"Very High",IF(O98&gt;=BandHigh,"High",IF(O98&gt;=BandMed,"Medium","Low"))))</f>
        <v/>
      </c>
      <c r="Q98" s="4" t="n"/>
      <c r="R98" s="19" t="n"/>
      <c r="S98" s="4" t="n"/>
      <c r="T98" s="19" t="n"/>
      <c r="U98" s="4" t="n"/>
      <c r="V98" s="19" t="n"/>
      <c r="W98" s="4" t="n"/>
      <c r="X98" s="19" t="n"/>
      <c r="Y98" s="4" t="n"/>
      <c r="Z98" s="19" t="n"/>
      <c r="AA98" s="4" t="n"/>
      <c r="AB98" s="19" t="n"/>
      <c r="AC98" s="5">
        <f>_xlfn.TEXTJOIN(CHAR(10),TRUE,IF(Q98="","","• "&amp;Q98&amp;IF(R98="Yes","  [IPL]","")),IF(S98="","","• "&amp;S98&amp;IF(T98="Yes","  [IPL]","")),IF(U98="","","• "&amp;U98&amp;IF(V98="Yes","  [IPL]","")),IF(W98="","","• "&amp;W98&amp;IF(X98="Yes","  [IPL]","")),IF(Y98="","","• "&amp;Y98&amp;IF(Z98="Yes","  [IPL]","")),IF(AA98="","","• "&amp;AA98&amp;IF(AB98="Yes","  [IPL]","")))</f>
        <v/>
      </c>
      <c r="AD98" s="30">
        <f>IF(AC98="","",COUNTIF(Q98:AB98,"Yes"))</f>
        <v/>
      </c>
      <c r="AE98" s="19" t="n"/>
      <c r="AF98" s="19" t="n"/>
      <c r="AG98" s="30">
        <f>IF(OR(AE98="",AF98=""),"",INDEX(RiskGrid,6-VALUE(LEFT(AE98,1)),VALUE(LEFT(AF98,1))))</f>
        <v/>
      </c>
      <c r="AH98" s="30">
        <f>IF(AG98="","",IF(AG98&gt;=BandVH,"Very High",IF(AG98&gt;=BandHigh,"High",IF(AG98&gt;=BandMed,"Medium","Low"))))</f>
        <v/>
      </c>
      <c r="AI98" s="4" t="n"/>
      <c r="AJ98" s="4" t="n"/>
    </row>
    <row r="99">
      <c r="A99" s="30">
        <f>IF(B99="","",COUNTIF(B$14:B99,"?*"))</f>
        <v/>
      </c>
      <c r="B99" s="4" t="n"/>
      <c r="C99" s="19" t="n"/>
      <c r="D99" s="5">
        <f>IF(OR(B99="",C99=""),"",UPPER(LEFT(C99,1))&amp;LOWER(MID(C99,2,30))&amp;" "&amp;LOWER(LEFT(B99,1))&amp;MID(B99,2,200))</f>
        <v/>
      </c>
      <c r="E99" s="4" t="n"/>
      <c r="F99" s="4" t="n"/>
      <c r="G99" s="4" t="n"/>
      <c r="H99" s="4" t="n"/>
      <c r="I99" s="4" t="n"/>
      <c r="J99" s="4" t="n"/>
      <c r="K99" s="5">
        <f>_xlfn.TEXTJOIN(CHAR(10),TRUE,IF(E99="","","• "&amp;E99),IF(F99="","","• "&amp;F99),IF(G99="","","• "&amp;G99),IF(H99="","","• "&amp;H99),IF(I99="","","• "&amp;I99),IF(J99="","","• "&amp;J99))</f>
        <v/>
      </c>
      <c r="L99" s="4" t="n"/>
      <c r="M99" s="19" t="n"/>
      <c r="N99" s="19" t="n"/>
      <c r="O99" s="30">
        <f>IF(OR(M99="",N99=""),"",INDEX(RiskGrid,6-VALUE(LEFT(M99,1)),VALUE(LEFT(N99,1))))</f>
        <v/>
      </c>
      <c r="P99" s="30">
        <f>IF(O99="","",IF(O99&gt;=BandVH,"Very High",IF(O99&gt;=BandHigh,"High",IF(O99&gt;=BandMed,"Medium","Low"))))</f>
        <v/>
      </c>
      <c r="Q99" s="4" t="n"/>
      <c r="R99" s="19" t="n"/>
      <c r="S99" s="4" t="n"/>
      <c r="T99" s="19" t="n"/>
      <c r="U99" s="4" t="n"/>
      <c r="V99" s="19" t="n"/>
      <c r="W99" s="4" t="n"/>
      <c r="X99" s="19" t="n"/>
      <c r="Y99" s="4" t="n"/>
      <c r="Z99" s="19" t="n"/>
      <c r="AA99" s="4" t="n"/>
      <c r="AB99" s="19" t="n"/>
      <c r="AC99" s="5">
        <f>_xlfn.TEXTJOIN(CHAR(10),TRUE,IF(Q99="","","• "&amp;Q99&amp;IF(R99="Yes","  [IPL]","")),IF(S99="","","• "&amp;S99&amp;IF(T99="Yes","  [IPL]","")),IF(U99="","","• "&amp;U99&amp;IF(V99="Yes","  [IPL]","")),IF(W99="","","• "&amp;W99&amp;IF(X99="Yes","  [IPL]","")),IF(Y99="","","• "&amp;Y99&amp;IF(Z99="Yes","  [IPL]","")),IF(AA99="","","• "&amp;AA99&amp;IF(AB99="Yes","  [IPL]","")))</f>
        <v/>
      </c>
      <c r="AD99" s="30">
        <f>IF(AC99="","",COUNTIF(Q99:AB99,"Yes"))</f>
        <v/>
      </c>
      <c r="AE99" s="19" t="n"/>
      <c r="AF99" s="19" t="n"/>
      <c r="AG99" s="30">
        <f>IF(OR(AE99="",AF99=""),"",INDEX(RiskGrid,6-VALUE(LEFT(AE99,1)),VALUE(LEFT(AF99,1))))</f>
        <v/>
      </c>
      <c r="AH99" s="30">
        <f>IF(AG99="","",IF(AG99&gt;=BandVH,"Very High",IF(AG99&gt;=BandHigh,"High",IF(AG99&gt;=BandMed,"Medium","Low"))))</f>
        <v/>
      </c>
      <c r="AI99" s="4" t="n"/>
      <c r="AJ99" s="4" t="n"/>
    </row>
    <row r="100">
      <c r="A100" s="30">
        <f>IF(B100="","",COUNTIF(B$14:B100,"?*"))</f>
        <v/>
      </c>
      <c r="B100" s="4" t="n"/>
      <c r="C100" s="19" t="n"/>
      <c r="D100" s="5">
        <f>IF(OR(B100="",C100=""),"",UPPER(LEFT(C100,1))&amp;LOWER(MID(C100,2,30))&amp;" "&amp;LOWER(LEFT(B100,1))&amp;MID(B100,2,200))</f>
        <v/>
      </c>
      <c r="E100" s="4" t="n"/>
      <c r="F100" s="4" t="n"/>
      <c r="G100" s="4" t="n"/>
      <c r="H100" s="4" t="n"/>
      <c r="I100" s="4" t="n"/>
      <c r="J100" s="4" t="n"/>
      <c r="K100" s="5">
        <f>_xlfn.TEXTJOIN(CHAR(10),TRUE,IF(E100="","","• "&amp;E100),IF(F100="","","• "&amp;F100),IF(G100="","","• "&amp;G100),IF(H100="","","• "&amp;H100),IF(I100="","","• "&amp;I100),IF(J100="","","• "&amp;J100))</f>
        <v/>
      </c>
      <c r="L100" s="4" t="n"/>
      <c r="M100" s="19" t="n"/>
      <c r="N100" s="19" t="n"/>
      <c r="O100" s="30">
        <f>IF(OR(M100="",N100=""),"",INDEX(RiskGrid,6-VALUE(LEFT(M100,1)),VALUE(LEFT(N100,1))))</f>
        <v/>
      </c>
      <c r="P100" s="30">
        <f>IF(O100="","",IF(O100&gt;=BandVH,"Very High",IF(O100&gt;=BandHigh,"High",IF(O100&gt;=BandMed,"Medium","Low"))))</f>
        <v/>
      </c>
      <c r="Q100" s="4" t="n"/>
      <c r="R100" s="19" t="n"/>
      <c r="S100" s="4" t="n"/>
      <c r="T100" s="19" t="n"/>
      <c r="U100" s="4" t="n"/>
      <c r="V100" s="19" t="n"/>
      <c r="W100" s="4" t="n"/>
      <c r="X100" s="19" t="n"/>
      <c r="Y100" s="4" t="n"/>
      <c r="Z100" s="19" t="n"/>
      <c r="AA100" s="4" t="n"/>
      <c r="AB100" s="19" t="n"/>
      <c r="AC100" s="5">
        <f>_xlfn.TEXTJOIN(CHAR(10),TRUE,IF(Q100="","","• "&amp;Q100&amp;IF(R100="Yes","  [IPL]","")),IF(S100="","","• "&amp;S100&amp;IF(T100="Yes","  [IPL]","")),IF(U100="","","• "&amp;U100&amp;IF(V100="Yes","  [IPL]","")),IF(W100="","","• "&amp;W100&amp;IF(X100="Yes","  [IPL]","")),IF(Y100="","","• "&amp;Y100&amp;IF(Z100="Yes","  [IPL]","")),IF(AA100="","","• "&amp;AA100&amp;IF(AB100="Yes","  [IPL]","")))</f>
        <v/>
      </c>
      <c r="AD100" s="30">
        <f>IF(AC100="","",COUNTIF(Q100:AB100,"Yes"))</f>
        <v/>
      </c>
      <c r="AE100" s="19" t="n"/>
      <c r="AF100" s="19" t="n"/>
      <c r="AG100" s="30">
        <f>IF(OR(AE100="",AF100=""),"",INDEX(RiskGrid,6-VALUE(LEFT(AE100,1)),VALUE(LEFT(AF100,1))))</f>
        <v/>
      </c>
      <c r="AH100" s="30">
        <f>IF(AG100="","",IF(AG100&gt;=BandVH,"Very High",IF(AG100&gt;=BandHigh,"High",IF(AG100&gt;=BandMed,"Medium","Low"))))</f>
        <v/>
      </c>
      <c r="AI100" s="4" t="n"/>
      <c r="AJ100" s="4" t="n"/>
    </row>
    <row r="101">
      <c r="A101" s="30">
        <f>IF(B101="","",COUNTIF(B$14:B101,"?*"))</f>
        <v/>
      </c>
      <c r="B101" s="4" t="n"/>
      <c r="C101" s="19" t="n"/>
      <c r="D101" s="5">
        <f>IF(OR(B101="",C101=""),"",UPPER(LEFT(C101,1))&amp;LOWER(MID(C101,2,30))&amp;" "&amp;LOWER(LEFT(B101,1))&amp;MID(B101,2,200))</f>
        <v/>
      </c>
      <c r="E101" s="4" t="n"/>
      <c r="F101" s="4" t="n"/>
      <c r="G101" s="4" t="n"/>
      <c r="H101" s="4" t="n"/>
      <c r="I101" s="4" t="n"/>
      <c r="J101" s="4" t="n"/>
      <c r="K101" s="5">
        <f>_xlfn.TEXTJOIN(CHAR(10),TRUE,IF(E101="","","• "&amp;E101),IF(F101="","","• "&amp;F101),IF(G101="","","• "&amp;G101),IF(H101="","","• "&amp;H101),IF(I101="","","• "&amp;I101),IF(J101="","","• "&amp;J101))</f>
        <v/>
      </c>
      <c r="L101" s="4" t="n"/>
      <c r="M101" s="19" t="n"/>
      <c r="N101" s="19" t="n"/>
      <c r="O101" s="30">
        <f>IF(OR(M101="",N101=""),"",INDEX(RiskGrid,6-VALUE(LEFT(M101,1)),VALUE(LEFT(N101,1))))</f>
        <v/>
      </c>
      <c r="P101" s="30">
        <f>IF(O101="","",IF(O101&gt;=BandVH,"Very High",IF(O101&gt;=BandHigh,"High",IF(O101&gt;=BandMed,"Medium","Low"))))</f>
        <v/>
      </c>
      <c r="Q101" s="4" t="n"/>
      <c r="R101" s="19" t="n"/>
      <c r="S101" s="4" t="n"/>
      <c r="T101" s="19" t="n"/>
      <c r="U101" s="4" t="n"/>
      <c r="V101" s="19" t="n"/>
      <c r="W101" s="4" t="n"/>
      <c r="X101" s="19" t="n"/>
      <c r="Y101" s="4" t="n"/>
      <c r="Z101" s="19" t="n"/>
      <c r="AA101" s="4" t="n"/>
      <c r="AB101" s="19" t="n"/>
      <c r="AC101" s="5">
        <f>_xlfn.TEXTJOIN(CHAR(10),TRUE,IF(Q101="","","• "&amp;Q101&amp;IF(R101="Yes","  [IPL]","")),IF(S101="","","• "&amp;S101&amp;IF(T101="Yes","  [IPL]","")),IF(U101="","","• "&amp;U101&amp;IF(V101="Yes","  [IPL]","")),IF(W101="","","• "&amp;W101&amp;IF(X101="Yes","  [IPL]","")),IF(Y101="","","• "&amp;Y101&amp;IF(Z101="Yes","  [IPL]","")),IF(AA101="","","• "&amp;AA101&amp;IF(AB101="Yes","  [IPL]","")))</f>
        <v/>
      </c>
      <c r="AD101" s="30">
        <f>IF(AC101="","",COUNTIF(Q101:AB101,"Yes"))</f>
        <v/>
      </c>
      <c r="AE101" s="19" t="n"/>
      <c r="AF101" s="19" t="n"/>
      <c r="AG101" s="30">
        <f>IF(OR(AE101="",AF101=""),"",INDEX(RiskGrid,6-VALUE(LEFT(AE101,1)),VALUE(LEFT(AF101,1))))</f>
        <v/>
      </c>
      <c r="AH101" s="30">
        <f>IF(AG101="","",IF(AG101&gt;=BandVH,"Very High",IF(AG101&gt;=BandHigh,"High",IF(AG101&gt;=BandMed,"Medium","Low"))))</f>
        <v/>
      </c>
      <c r="AI101" s="4" t="n"/>
      <c r="AJ101" s="4" t="n"/>
    </row>
    <row r="102">
      <c r="A102" s="30">
        <f>IF(B102="","",COUNTIF(B$14:B102,"?*"))</f>
        <v/>
      </c>
      <c r="B102" s="4" t="n"/>
      <c r="C102" s="19" t="n"/>
      <c r="D102" s="5">
        <f>IF(OR(B102="",C102=""),"",UPPER(LEFT(C102,1))&amp;LOWER(MID(C102,2,30))&amp;" "&amp;LOWER(LEFT(B102,1))&amp;MID(B102,2,200))</f>
        <v/>
      </c>
      <c r="E102" s="4" t="n"/>
      <c r="F102" s="4" t="n"/>
      <c r="G102" s="4" t="n"/>
      <c r="H102" s="4" t="n"/>
      <c r="I102" s="4" t="n"/>
      <c r="J102" s="4" t="n"/>
      <c r="K102" s="5">
        <f>_xlfn.TEXTJOIN(CHAR(10),TRUE,IF(E102="","","• "&amp;E102),IF(F102="","","• "&amp;F102),IF(G102="","","• "&amp;G102),IF(H102="","","• "&amp;H102),IF(I102="","","• "&amp;I102),IF(J102="","","• "&amp;J102))</f>
        <v/>
      </c>
      <c r="L102" s="4" t="n"/>
      <c r="M102" s="19" t="n"/>
      <c r="N102" s="19" t="n"/>
      <c r="O102" s="30">
        <f>IF(OR(M102="",N102=""),"",INDEX(RiskGrid,6-VALUE(LEFT(M102,1)),VALUE(LEFT(N102,1))))</f>
        <v/>
      </c>
      <c r="P102" s="30">
        <f>IF(O102="","",IF(O102&gt;=BandVH,"Very High",IF(O102&gt;=BandHigh,"High",IF(O102&gt;=BandMed,"Medium","Low"))))</f>
        <v/>
      </c>
      <c r="Q102" s="4" t="n"/>
      <c r="R102" s="19" t="n"/>
      <c r="S102" s="4" t="n"/>
      <c r="T102" s="19" t="n"/>
      <c r="U102" s="4" t="n"/>
      <c r="V102" s="19" t="n"/>
      <c r="W102" s="4" t="n"/>
      <c r="X102" s="19" t="n"/>
      <c r="Y102" s="4" t="n"/>
      <c r="Z102" s="19" t="n"/>
      <c r="AA102" s="4" t="n"/>
      <c r="AB102" s="19" t="n"/>
      <c r="AC102" s="5">
        <f>_xlfn.TEXTJOIN(CHAR(10),TRUE,IF(Q102="","","• "&amp;Q102&amp;IF(R102="Yes","  [IPL]","")),IF(S102="","","• "&amp;S102&amp;IF(T102="Yes","  [IPL]","")),IF(U102="","","• "&amp;U102&amp;IF(V102="Yes","  [IPL]","")),IF(W102="","","• "&amp;W102&amp;IF(X102="Yes","  [IPL]","")),IF(Y102="","","• "&amp;Y102&amp;IF(Z102="Yes","  [IPL]","")),IF(AA102="","","• "&amp;AA102&amp;IF(AB102="Yes","  [IPL]","")))</f>
        <v/>
      </c>
      <c r="AD102" s="30">
        <f>IF(AC102="","",COUNTIF(Q102:AB102,"Yes"))</f>
        <v/>
      </c>
      <c r="AE102" s="19" t="n"/>
      <c r="AF102" s="19" t="n"/>
      <c r="AG102" s="30">
        <f>IF(OR(AE102="",AF102=""),"",INDEX(RiskGrid,6-VALUE(LEFT(AE102,1)),VALUE(LEFT(AF102,1))))</f>
        <v/>
      </c>
      <c r="AH102" s="30">
        <f>IF(AG102="","",IF(AG102&gt;=BandVH,"Very High",IF(AG102&gt;=BandHigh,"High",IF(AG102&gt;=BandMed,"Medium","Low"))))</f>
        <v/>
      </c>
      <c r="AI102" s="4" t="n"/>
      <c r="AJ102" s="4" t="n"/>
    </row>
    <row r="103">
      <c r="A103" s="30">
        <f>IF(B103="","",COUNTIF(B$14:B103,"?*"))</f>
        <v/>
      </c>
      <c r="B103" s="4" t="n"/>
      <c r="C103" s="19" t="n"/>
      <c r="D103" s="5">
        <f>IF(OR(B103="",C103=""),"",UPPER(LEFT(C103,1))&amp;LOWER(MID(C103,2,30))&amp;" "&amp;LOWER(LEFT(B103,1))&amp;MID(B103,2,200))</f>
        <v/>
      </c>
      <c r="E103" s="4" t="n"/>
      <c r="F103" s="4" t="n"/>
      <c r="G103" s="4" t="n"/>
      <c r="H103" s="4" t="n"/>
      <c r="I103" s="4" t="n"/>
      <c r="J103" s="4" t="n"/>
      <c r="K103" s="5">
        <f>_xlfn.TEXTJOIN(CHAR(10),TRUE,IF(E103="","","• "&amp;E103),IF(F103="","","• "&amp;F103),IF(G103="","","• "&amp;G103),IF(H103="","","• "&amp;H103),IF(I103="","","• "&amp;I103),IF(J103="","","• "&amp;J103))</f>
        <v/>
      </c>
      <c r="L103" s="4" t="n"/>
      <c r="M103" s="19" t="n"/>
      <c r="N103" s="19" t="n"/>
      <c r="O103" s="30">
        <f>IF(OR(M103="",N103=""),"",INDEX(RiskGrid,6-VALUE(LEFT(M103,1)),VALUE(LEFT(N103,1))))</f>
        <v/>
      </c>
      <c r="P103" s="30">
        <f>IF(O103="","",IF(O103&gt;=BandVH,"Very High",IF(O103&gt;=BandHigh,"High",IF(O103&gt;=BandMed,"Medium","Low"))))</f>
        <v/>
      </c>
      <c r="Q103" s="4" t="n"/>
      <c r="R103" s="19" t="n"/>
      <c r="S103" s="4" t="n"/>
      <c r="T103" s="19" t="n"/>
      <c r="U103" s="4" t="n"/>
      <c r="V103" s="19" t="n"/>
      <c r="W103" s="4" t="n"/>
      <c r="X103" s="19" t="n"/>
      <c r="Y103" s="4" t="n"/>
      <c r="Z103" s="19" t="n"/>
      <c r="AA103" s="4" t="n"/>
      <c r="AB103" s="19" t="n"/>
      <c r="AC103" s="5">
        <f>_xlfn.TEXTJOIN(CHAR(10),TRUE,IF(Q103="","","• "&amp;Q103&amp;IF(R103="Yes","  [IPL]","")),IF(S103="","","• "&amp;S103&amp;IF(T103="Yes","  [IPL]","")),IF(U103="","","• "&amp;U103&amp;IF(V103="Yes","  [IPL]","")),IF(W103="","","• "&amp;W103&amp;IF(X103="Yes","  [IPL]","")),IF(Y103="","","• "&amp;Y103&amp;IF(Z103="Yes","  [IPL]","")),IF(AA103="","","• "&amp;AA103&amp;IF(AB103="Yes","  [IPL]","")))</f>
        <v/>
      </c>
      <c r="AD103" s="30">
        <f>IF(AC103="","",COUNTIF(Q103:AB103,"Yes"))</f>
        <v/>
      </c>
      <c r="AE103" s="19" t="n"/>
      <c r="AF103" s="19" t="n"/>
      <c r="AG103" s="30">
        <f>IF(OR(AE103="",AF103=""),"",INDEX(RiskGrid,6-VALUE(LEFT(AE103,1)),VALUE(LEFT(AF103,1))))</f>
        <v/>
      </c>
      <c r="AH103" s="30">
        <f>IF(AG103="","",IF(AG103&gt;=BandVH,"Very High",IF(AG103&gt;=BandHigh,"High",IF(AG103&gt;=BandMed,"Medium","Low"))))</f>
        <v/>
      </c>
      <c r="AI103" s="4" t="n"/>
      <c r="AJ103" s="4" t="n"/>
    </row>
    <row r="104">
      <c r="A104" s="30">
        <f>IF(B104="","",COUNTIF(B$14:B104,"?*"))</f>
        <v/>
      </c>
      <c r="B104" s="4" t="n"/>
      <c r="C104" s="19" t="n"/>
      <c r="D104" s="5">
        <f>IF(OR(B104="",C104=""),"",UPPER(LEFT(C104,1))&amp;LOWER(MID(C104,2,30))&amp;" "&amp;LOWER(LEFT(B104,1))&amp;MID(B104,2,200))</f>
        <v/>
      </c>
      <c r="E104" s="4" t="n"/>
      <c r="F104" s="4" t="n"/>
      <c r="G104" s="4" t="n"/>
      <c r="H104" s="4" t="n"/>
      <c r="I104" s="4" t="n"/>
      <c r="J104" s="4" t="n"/>
      <c r="K104" s="5">
        <f>_xlfn.TEXTJOIN(CHAR(10),TRUE,IF(E104="","","• "&amp;E104),IF(F104="","","• "&amp;F104),IF(G104="","","• "&amp;G104),IF(H104="","","• "&amp;H104),IF(I104="","","• "&amp;I104),IF(J104="","","• "&amp;J104))</f>
        <v/>
      </c>
      <c r="L104" s="4" t="n"/>
      <c r="M104" s="19" t="n"/>
      <c r="N104" s="19" t="n"/>
      <c r="O104" s="30">
        <f>IF(OR(M104="",N104=""),"",INDEX(RiskGrid,6-VALUE(LEFT(M104,1)),VALUE(LEFT(N104,1))))</f>
        <v/>
      </c>
      <c r="P104" s="30">
        <f>IF(O104="","",IF(O104&gt;=BandVH,"Very High",IF(O104&gt;=BandHigh,"High",IF(O104&gt;=BandMed,"Medium","Low"))))</f>
        <v/>
      </c>
      <c r="Q104" s="4" t="n"/>
      <c r="R104" s="19" t="n"/>
      <c r="S104" s="4" t="n"/>
      <c r="T104" s="19" t="n"/>
      <c r="U104" s="4" t="n"/>
      <c r="V104" s="19" t="n"/>
      <c r="W104" s="4" t="n"/>
      <c r="X104" s="19" t="n"/>
      <c r="Y104" s="4" t="n"/>
      <c r="Z104" s="19" t="n"/>
      <c r="AA104" s="4" t="n"/>
      <c r="AB104" s="19" t="n"/>
      <c r="AC104" s="5">
        <f>_xlfn.TEXTJOIN(CHAR(10),TRUE,IF(Q104="","","• "&amp;Q104&amp;IF(R104="Yes","  [IPL]","")),IF(S104="","","• "&amp;S104&amp;IF(T104="Yes","  [IPL]","")),IF(U104="","","• "&amp;U104&amp;IF(V104="Yes","  [IPL]","")),IF(W104="","","• "&amp;W104&amp;IF(X104="Yes","  [IPL]","")),IF(Y104="","","• "&amp;Y104&amp;IF(Z104="Yes","  [IPL]","")),IF(AA104="","","• "&amp;AA104&amp;IF(AB104="Yes","  [IPL]","")))</f>
        <v/>
      </c>
      <c r="AD104" s="30">
        <f>IF(AC104="","",COUNTIF(Q104:AB104,"Yes"))</f>
        <v/>
      </c>
      <c r="AE104" s="19" t="n"/>
      <c r="AF104" s="19" t="n"/>
      <c r="AG104" s="30">
        <f>IF(OR(AE104="",AF104=""),"",INDEX(RiskGrid,6-VALUE(LEFT(AE104,1)),VALUE(LEFT(AF104,1))))</f>
        <v/>
      </c>
      <c r="AH104" s="30">
        <f>IF(AG104="","",IF(AG104&gt;=BandVH,"Very High",IF(AG104&gt;=BandHigh,"High",IF(AG104&gt;=BandMed,"Medium","Low"))))</f>
        <v/>
      </c>
      <c r="AI104" s="4" t="n"/>
      <c r="AJ104" s="4" t="n"/>
    </row>
    <row r="105">
      <c r="A105" s="30">
        <f>IF(B105="","",COUNTIF(B$14:B105,"?*"))</f>
        <v/>
      </c>
      <c r="B105" s="4" t="n"/>
      <c r="C105" s="19" t="n"/>
      <c r="D105" s="5">
        <f>IF(OR(B105="",C105=""),"",UPPER(LEFT(C105,1))&amp;LOWER(MID(C105,2,30))&amp;" "&amp;LOWER(LEFT(B105,1))&amp;MID(B105,2,200))</f>
        <v/>
      </c>
      <c r="E105" s="4" t="n"/>
      <c r="F105" s="4" t="n"/>
      <c r="G105" s="4" t="n"/>
      <c r="H105" s="4" t="n"/>
      <c r="I105" s="4" t="n"/>
      <c r="J105" s="4" t="n"/>
      <c r="K105" s="5">
        <f>_xlfn.TEXTJOIN(CHAR(10),TRUE,IF(E105="","","• "&amp;E105),IF(F105="","","• "&amp;F105),IF(G105="","","• "&amp;G105),IF(H105="","","• "&amp;H105),IF(I105="","","• "&amp;I105),IF(J105="","","• "&amp;J105))</f>
        <v/>
      </c>
      <c r="L105" s="4" t="n"/>
      <c r="M105" s="19" t="n"/>
      <c r="N105" s="19" t="n"/>
      <c r="O105" s="30">
        <f>IF(OR(M105="",N105=""),"",INDEX(RiskGrid,6-VALUE(LEFT(M105,1)),VALUE(LEFT(N105,1))))</f>
        <v/>
      </c>
      <c r="P105" s="30">
        <f>IF(O105="","",IF(O105&gt;=BandVH,"Very High",IF(O105&gt;=BandHigh,"High",IF(O105&gt;=BandMed,"Medium","Low"))))</f>
        <v/>
      </c>
      <c r="Q105" s="4" t="n"/>
      <c r="R105" s="19" t="n"/>
      <c r="S105" s="4" t="n"/>
      <c r="T105" s="19" t="n"/>
      <c r="U105" s="4" t="n"/>
      <c r="V105" s="19" t="n"/>
      <c r="W105" s="4" t="n"/>
      <c r="X105" s="19" t="n"/>
      <c r="Y105" s="4" t="n"/>
      <c r="Z105" s="19" t="n"/>
      <c r="AA105" s="4" t="n"/>
      <c r="AB105" s="19" t="n"/>
      <c r="AC105" s="5">
        <f>_xlfn.TEXTJOIN(CHAR(10),TRUE,IF(Q105="","","• "&amp;Q105&amp;IF(R105="Yes","  [IPL]","")),IF(S105="","","• "&amp;S105&amp;IF(T105="Yes","  [IPL]","")),IF(U105="","","• "&amp;U105&amp;IF(V105="Yes","  [IPL]","")),IF(W105="","","• "&amp;W105&amp;IF(X105="Yes","  [IPL]","")),IF(Y105="","","• "&amp;Y105&amp;IF(Z105="Yes","  [IPL]","")),IF(AA105="","","• "&amp;AA105&amp;IF(AB105="Yes","  [IPL]","")))</f>
        <v/>
      </c>
      <c r="AD105" s="30">
        <f>IF(AC105="","",COUNTIF(Q105:AB105,"Yes"))</f>
        <v/>
      </c>
      <c r="AE105" s="19" t="n"/>
      <c r="AF105" s="19" t="n"/>
      <c r="AG105" s="30">
        <f>IF(OR(AE105="",AF105=""),"",INDEX(RiskGrid,6-VALUE(LEFT(AE105,1)),VALUE(LEFT(AF105,1))))</f>
        <v/>
      </c>
      <c r="AH105" s="30">
        <f>IF(AG105="","",IF(AG105&gt;=BandVH,"Very High",IF(AG105&gt;=BandHigh,"High",IF(AG105&gt;=BandMed,"Medium","Low"))))</f>
        <v/>
      </c>
      <c r="AI105" s="4" t="n"/>
      <c r="AJ105" s="4" t="n"/>
    </row>
    <row r="106">
      <c r="A106" s="30">
        <f>IF(B106="","",COUNTIF(B$14:B106,"?*"))</f>
        <v/>
      </c>
      <c r="B106" s="4" t="n"/>
      <c r="C106" s="19" t="n"/>
      <c r="D106" s="5">
        <f>IF(OR(B106="",C106=""),"",UPPER(LEFT(C106,1))&amp;LOWER(MID(C106,2,30))&amp;" "&amp;LOWER(LEFT(B106,1))&amp;MID(B106,2,200))</f>
        <v/>
      </c>
      <c r="E106" s="4" t="n"/>
      <c r="F106" s="4" t="n"/>
      <c r="G106" s="4" t="n"/>
      <c r="H106" s="4" t="n"/>
      <c r="I106" s="4" t="n"/>
      <c r="J106" s="4" t="n"/>
      <c r="K106" s="5">
        <f>_xlfn.TEXTJOIN(CHAR(10),TRUE,IF(E106="","","• "&amp;E106),IF(F106="","","• "&amp;F106),IF(G106="","","• "&amp;G106),IF(H106="","","• "&amp;H106),IF(I106="","","• "&amp;I106),IF(J106="","","• "&amp;J106))</f>
        <v/>
      </c>
      <c r="L106" s="4" t="n"/>
      <c r="M106" s="19" t="n"/>
      <c r="N106" s="19" t="n"/>
      <c r="O106" s="30">
        <f>IF(OR(M106="",N106=""),"",INDEX(RiskGrid,6-VALUE(LEFT(M106,1)),VALUE(LEFT(N106,1))))</f>
        <v/>
      </c>
      <c r="P106" s="30">
        <f>IF(O106="","",IF(O106&gt;=BandVH,"Very High",IF(O106&gt;=BandHigh,"High",IF(O106&gt;=BandMed,"Medium","Low"))))</f>
        <v/>
      </c>
      <c r="Q106" s="4" t="n"/>
      <c r="R106" s="19" t="n"/>
      <c r="S106" s="4" t="n"/>
      <c r="T106" s="19" t="n"/>
      <c r="U106" s="4" t="n"/>
      <c r="V106" s="19" t="n"/>
      <c r="W106" s="4" t="n"/>
      <c r="X106" s="19" t="n"/>
      <c r="Y106" s="4" t="n"/>
      <c r="Z106" s="19" t="n"/>
      <c r="AA106" s="4" t="n"/>
      <c r="AB106" s="19" t="n"/>
      <c r="AC106" s="5">
        <f>_xlfn.TEXTJOIN(CHAR(10),TRUE,IF(Q106="","","• "&amp;Q106&amp;IF(R106="Yes","  [IPL]","")),IF(S106="","","• "&amp;S106&amp;IF(T106="Yes","  [IPL]","")),IF(U106="","","• "&amp;U106&amp;IF(V106="Yes","  [IPL]","")),IF(W106="","","• "&amp;W106&amp;IF(X106="Yes","  [IPL]","")),IF(Y106="","","• "&amp;Y106&amp;IF(Z106="Yes","  [IPL]","")),IF(AA106="","","• "&amp;AA106&amp;IF(AB106="Yes","  [IPL]","")))</f>
        <v/>
      </c>
      <c r="AD106" s="30">
        <f>IF(AC106="","",COUNTIF(Q106:AB106,"Yes"))</f>
        <v/>
      </c>
      <c r="AE106" s="19" t="n"/>
      <c r="AF106" s="19" t="n"/>
      <c r="AG106" s="30">
        <f>IF(OR(AE106="",AF106=""),"",INDEX(RiskGrid,6-VALUE(LEFT(AE106,1)),VALUE(LEFT(AF106,1))))</f>
        <v/>
      </c>
      <c r="AH106" s="30">
        <f>IF(AG106="","",IF(AG106&gt;=BandVH,"Very High",IF(AG106&gt;=BandHigh,"High",IF(AG106&gt;=BandMed,"Medium","Low"))))</f>
        <v/>
      </c>
      <c r="AI106" s="4" t="n"/>
      <c r="AJ106" s="4" t="n"/>
    </row>
    <row r="107">
      <c r="A107" s="30">
        <f>IF(B107="","",COUNTIF(B$14:B107,"?*"))</f>
        <v/>
      </c>
      <c r="B107" s="4" t="n"/>
      <c r="C107" s="19" t="n"/>
      <c r="D107" s="5">
        <f>IF(OR(B107="",C107=""),"",UPPER(LEFT(C107,1))&amp;LOWER(MID(C107,2,30))&amp;" "&amp;LOWER(LEFT(B107,1))&amp;MID(B107,2,200))</f>
        <v/>
      </c>
      <c r="E107" s="4" t="n"/>
      <c r="F107" s="4" t="n"/>
      <c r="G107" s="4" t="n"/>
      <c r="H107" s="4" t="n"/>
      <c r="I107" s="4" t="n"/>
      <c r="J107" s="4" t="n"/>
      <c r="K107" s="5">
        <f>_xlfn.TEXTJOIN(CHAR(10),TRUE,IF(E107="","","• "&amp;E107),IF(F107="","","• "&amp;F107),IF(G107="","","• "&amp;G107),IF(H107="","","• "&amp;H107),IF(I107="","","• "&amp;I107),IF(J107="","","• "&amp;J107))</f>
        <v/>
      </c>
      <c r="L107" s="4" t="n"/>
      <c r="M107" s="19" t="n"/>
      <c r="N107" s="19" t="n"/>
      <c r="O107" s="30">
        <f>IF(OR(M107="",N107=""),"",INDEX(RiskGrid,6-VALUE(LEFT(M107,1)),VALUE(LEFT(N107,1))))</f>
        <v/>
      </c>
      <c r="P107" s="30">
        <f>IF(O107="","",IF(O107&gt;=BandVH,"Very High",IF(O107&gt;=BandHigh,"High",IF(O107&gt;=BandMed,"Medium","Low"))))</f>
        <v/>
      </c>
      <c r="Q107" s="4" t="n"/>
      <c r="R107" s="19" t="n"/>
      <c r="S107" s="4" t="n"/>
      <c r="T107" s="19" t="n"/>
      <c r="U107" s="4" t="n"/>
      <c r="V107" s="19" t="n"/>
      <c r="W107" s="4" t="n"/>
      <c r="X107" s="19" t="n"/>
      <c r="Y107" s="4" t="n"/>
      <c r="Z107" s="19" t="n"/>
      <c r="AA107" s="4" t="n"/>
      <c r="AB107" s="19" t="n"/>
      <c r="AC107" s="5">
        <f>_xlfn.TEXTJOIN(CHAR(10),TRUE,IF(Q107="","","• "&amp;Q107&amp;IF(R107="Yes","  [IPL]","")),IF(S107="","","• "&amp;S107&amp;IF(T107="Yes","  [IPL]","")),IF(U107="","","• "&amp;U107&amp;IF(V107="Yes","  [IPL]","")),IF(W107="","","• "&amp;W107&amp;IF(X107="Yes","  [IPL]","")),IF(Y107="","","• "&amp;Y107&amp;IF(Z107="Yes","  [IPL]","")),IF(AA107="","","• "&amp;AA107&amp;IF(AB107="Yes","  [IPL]","")))</f>
        <v/>
      </c>
      <c r="AD107" s="30">
        <f>IF(AC107="","",COUNTIF(Q107:AB107,"Yes"))</f>
        <v/>
      </c>
      <c r="AE107" s="19" t="n"/>
      <c r="AF107" s="19" t="n"/>
      <c r="AG107" s="30">
        <f>IF(OR(AE107="",AF107=""),"",INDEX(RiskGrid,6-VALUE(LEFT(AE107,1)),VALUE(LEFT(AF107,1))))</f>
        <v/>
      </c>
      <c r="AH107" s="30">
        <f>IF(AG107="","",IF(AG107&gt;=BandVH,"Very High",IF(AG107&gt;=BandHigh,"High",IF(AG107&gt;=BandMed,"Medium","Low"))))</f>
        <v/>
      </c>
      <c r="AI107" s="4" t="n"/>
      <c r="AJ107" s="4" t="n"/>
    </row>
    <row r="108">
      <c r="A108" s="30">
        <f>IF(B108="","",COUNTIF(B$14:B108,"?*"))</f>
        <v/>
      </c>
      <c r="B108" s="4" t="n"/>
      <c r="C108" s="19" t="n"/>
      <c r="D108" s="5">
        <f>IF(OR(B108="",C108=""),"",UPPER(LEFT(C108,1))&amp;LOWER(MID(C108,2,30))&amp;" "&amp;LOWER(LEFT(B108,1))&amp;MID(B108,2,200))</f>
        <v/>
      </c>
      <c r="E108" s="4" t="n"/>
      <c r="F108" s="4" t="n"/>
      <c r="G108" s="4" t="n"/>
      <c r="H108" s="4" t="n"/>
      <c r="I108" s="4" t="n"/>
      <c r="J108" s="4" t="n"/>
      <c r="K108" s="5">
        <f>_xlfn.TEXTJOIN(CHAR(10),TRUE,IF(E108="","","• "&amp;E108),IF(F108="","","• "&amp;F108),IF(G108="","","• "&amp;G108),IF(H108="","","• "&amp;H108),IF(I108="","","• "&amp;I108),IF(J108="","","• "&amp;J108))</f>
        <v/>
      </c>
      <c r="L108" s="4" t="n"/>
      <c r="M108" s="19" t="n"/>
      <c r="N108" s="19" t="n"/>
      <c r="O108" s="30">
        <f>IF(OR(M108="",N108=""),"",INDEX(RiskGrid,6-VALUE(LEFT(M108,1)),VALUE(LEFT(N108,1))))</f>
        <v/>
      </c>
      <c r="P108" s="30">
        <f>IF(O108="","",IF(O108&gt;=BandVH,"Very High",IF(O108&gt;=BandHigh,"High",IF(O108&gt;=BandMed,"Medium","Low"))))</f>
        <v/>
      </c>
      <c r="Q108" s="4" t="n"/>
      <c r="R108" s="19" t="n"/>
      <c r="S108" s="4" t="n"/>
      <c r="T108" s="19" t="n"/>
      <c r="U108" s="4" t="n"/>
      <c r="V108" s="19" t="n"/>
      <c r="W108" s="4" t="n"/>
      <c r="X108" s="19" t="n"/>
      <c r="Y108" s="4" t="n"/>
      <c r="Z108" s="19" t="n"/>
      <c r="AA108" s="4" t="n"/>
      <c r="AB108" s="19" t="n"/>
      <c r="AC108" s="5">
        <f>_xlfn.TEXTJOIN(CHAR(10),TRUE,IF(Q108="","","• "&amp;Q108&amp;IF(R108="Yes","  [IPL]","")),IF(S108="","","• "&amp;S108&amp;IF(T108="Yes","  [IPL]","")),IF(U108="","","• "&amp;U108&amp;IF(V108="Yes","  [IPL]","")),IF(W108="","","• "&amp;W108&amp;IF(X108="Yes","  [IPL]","")),IF(Y108="","","• "&amp;Y108&amp;IF(Z108="Yes","  [IPL]","")),IF(AA108="","","• "&amp;AA108&amp;IF(AB108="Yes","  [IPL]","")))</f>
        <v/>
      </c>
      <c r="AD108" s="30">
        <f>IF(AC108="","",COUNTIF(Q108:AB108,"Yes"))</f>
        <v/>
      </c>
      <c r="AE108" s="19" t="n"/>
      <c r="AF108" s="19" t="n"/>
      <c r="AG108" s="30">
        <f>IF(OR(AE108="",AF108=""),"",INDEX(RiskGrid,6-VALUE(LEFT(AE108,1)),VALUE(LEFT(AF108,1))))</f>
        <v/>
      </c>
      <c r="AH108" s="30">
        <f>IF(AG108="","",IF(AG108&gt;=BandVH,"Very High",IF(AG108&gt;=BandHigh,"High",IF(AG108&gt;=BandMed,"Medium","Low"))))</f>
        <v/>
      </c>
      <c r="AI108" s="4" t="n"/>
      <c r="AJ108" s="4" t="n"/>
    </row>
    <row r="109">
      <c r="A109" s="30">
        <f>IF(B109="","",COUNTIF(B$14:B109,"?*"))</f>
        <v/>
      </c>
      <c r="B109" s="4" t="n"/>
      <c r="C109" s="19" t="n"/>
      <c r="D109" s="5">
        <f>IF(OR(B109="",C109=""),"",UPPER(LEFT(C109,1))&amp;LOWER(MID(C109,2,30))&amp;" "&amp;LOWER(LEFT(B109,1))&amp;MID(B109,2,200))</f>
        <v/>
      </c>
      <c r="E109" s="4" t="n"/>
      <c r="F109" s="4" t="n"/>
      <c r="G109" s="4" t="n"/>
      <c r="H109" s="4" t="n"/>
      <c r="I109" s="4" t="n"/>
      <c r="J109" s="4" t="n"/>
      <c r="K109" s="5">
        <f>_xlfn.TEXTJOIN(CHAR(10),TRUE,IF(E109="","","• "&amp;E109),IF(F109="","","• "&amp;F109),IF(G109="","","• "&amp;G109),IF(H109="","","• "&amp;H109),IF(I109="","","• "&amp;I109),IF(J109="","","• "&amp;J109))</f>
        <v/>
      </c>
      <c r="L109" s="4" t="n"/>
      <c r="M109" s="19" t="n"/>
      <c r="N109" s="19" t="n"/>
      <c r="O109" s="30">
        <f>IF(OR(M109="",N109=""),"",INDEX(RiskGrid,6-VALUE(LEFT(M109,1)),VALUE(LEFT(N109,1))))</f>
        <v/>
      </c>
      <c r="P109" s="30">
        <f>IF(O109="","",IF(O109&gt;=BandVH,"Very High",IF(O109&gt;=BandHigh,"High",IF(O109&gt;=BandMed,"Medium","Low"))))</f>
        <v/>
      </c>
      <c r="Q109" s="4" t="n"/>
      <c r="R109" s="19" t="n"/>
      <c r="S109" s="4" t="n"/>
      <c r="T109" s="19" t="n"/>
      <c r="U109" s="4" t="n"/>
      <c r="V109" s="19" t="n"/>
      <c r="W109" s="4" t="n"/>
      <c r="X109" s="19" t="n"/>
      <c r="Y109" s="4" t="n"/>
      <c r="Z109" s="19" t="n"/>
      <c r="AA109" s="4" t="n"/>
      <c r="AB109" s="19" t="n"/>
      <c r="AC109" s="5">
        <f>_xlfn.TEXTJOIN(CHAR(10),TRUE,IF(Q109="","","• "&amp;Q109&amp;IF(R109="Yes","  [IPL]","")),IF(S109="","","• "&amp;S109&amp;IF(T109="Yes","  [IPL]","")),IF(U109="","","• "&amp;U109&amp;IF(V109="Yes","  [IPL]","")),IF(W109="","","• "&amp;W109&amp;IF(X109="Yes","  [IPL]","")),IF(Y109="","","• "&amp;Y109&amp;IF(Z109="Yes","  [IPL]","")),IF(AA109="","","• "&amp;AA109&amp;IF(AB109="Yes","  [IPL]","")))</f>
        <v/>
      </c>
      <c r="AD109" s="30">
        <f>IF(AC109="","",COUNTIF(Q109:AB109,"Yes"))</f>
        <v/>
      </c>
      <c r="AE109" s="19" t="n"/>
      <c r="AF109" s="19" t="n"/>
      <c r="AG109" s="30">
        <f>IF(OR(AE109="",AF109=""),"",INDEX(RiskGrid,6-VALUE(LEFT(AE109,1)),VALUE(LEFT(AF109,1))))</f>
        <v/>
      </c>
      <c r="AH109" s="30">
        <f>IF(AG109="","",IF(AG109&gt;=BandVH,"Very High",IF(AG109&gt;=BandHigh,"High",IF(AG109&gt;=BandMed,"Medium","Low"))))</f>
        <v/>
      </c>
      <c r="AI109" s="4" t="n"/>
      <c r="AJ109" s="4" t="n"/>
    </row>
    <row r="110">
      <c r="A110" s="30">
        <f>IF(B110="","",COUNTIF(B$14:B110,"?*"))</f>
        <v/>
      </c>
      <c r="B110" s="4" t="n"/>
      <c r="C110" s="19" t="n"/>
      <c r="D110" s="5">
        <f>IF(OR(B110="",C110=""),"",UPPER(LEFT(C110,1))&amp;LOWER(MID(C110,2,30))&amp;" "&amp;LOWER(LEFT(B110,1))&amp;MID(B110,2,200))</f>
        <v/>
      </c>
      <c r="E110" s="4" t="n"/>
      <c r="F110" s="4" t="n"/>
      <c r="G110" s="4" t="n"/>
      <c r="H110" s="4" t="n"/>
      <c r="I110" s="4" t="n"/>
      <c r="J110" s="4" t="n"/>
      <c r="K110" s="5">
        <f>_xlfn.TEXTJOIN(CHAR(10),TRUE,IF(E110="","","• "&amp;E110),IF(F110="","","• "&amp;F110),IF(G110="","","• "&amp;G110),IF(H110="","","• "&amp;H110),IF(I110="","","• "&amp;I110),IF(J110="","","• "&amp;J110))</f>
        <v/>
      </c>
      <c r="L110" s="4" t="n"/>
      <c r="M110" s="19" t="n"/>
      <c r="N110" s="19" t="n"/>
      <c r="O110" s="30">
        <f>IF(OR(M110="",N110=""),"",INDEX(RiskGrid,6-VALUE(LEFT(M110,1)),VALUE(LEFT(N110,1))))</f>
        <v/>
      </c>
      <c r="P110" s="30">
        <f>IF(O110="","",IF(O110&gt;=BandVH,"Very High",IF(O110&gt;=BandHigh,"High",IF(O110&gt;=BandMed,"Medium","Low"))))</f>
        <v/>
      </c>
      <c r="Q110" s="4" t="n"/>
      <c r="R110" s="19" t="n"/>
      <c r="S110" s="4" t="n"/>
      <c r="T110" s="19" t="n"/>
      <c r="U110" s="4" t="n"/>
      <c r="V110" s="19" t="n"/>
      <c r="W110" s="4" t="n"/>
      <c r="X110" s="19" t="n"/>
      <c r="Y110" s="4" t="n"/>
      <c r="Z110" s="19" t="n"/>
      <c r="AA110" s="4" t="n"/>
      <c r="AB110" s="19" t="n"/>
      <c r="AC110" s="5">
        <f>_xlfn.TEXTJOIN(CHAR(10),TRUE,IF(Q110="","","• "&amp;Q110&amp;IF(R110="Yes","  [IPL]","")),IF(S110="","","• "&amp;S110&amp;IF(T110="Yes","  [IPL]","")),IF(U110="","","• "&amp;U110&amp;IF(V110="Yes","  [IPL]","")),IF(W110="","","• "&amp;W110&amp;IF(X110="Yes","  [IPL]","")),IF(Y110="","","• "&amp;Y110&amp;IF(Z110="Yes","  [IPL]","")),IF(AA110="","","• "&amp;AA110&amp;IF(AB110="Yes","  [IPL]","")))</f>
        <v/>
      </c>
      <c r="AD110" s="30">
        <f>IF(AC110="","",COUNTIF(Q110:AB110,"Yes"))</f>
        <v/>
      </c>
      <c r="AE110" s="19" t="n"/>
      <c r="AF110" s="19" t="n"/>
      <c r="AG110" s="30">
        <f>IF(OR(AE110="",AF110=""),"",INDEX(RiskGrid,6-VALUE(LEFT(AE110,1)),VALUE(LEFT(AF110,1))))</f>
        <v/>
      </c>
      <c r="AH110" s="30">
        <f>IF(AG110="","",IF(AG110&gt;=BandVH,"Very High",IF(AG110&gt;=BandHigh,"High",IF(AG110&gt;=BandMed,"Medium","Low"))))</f>
        <v/>
      </c>
      <c r="AI110" s="4" t="n"/>
      <c r="AJ110" s="4" t="n"/>
    </row>
    <row r="111">
      <c r="A111" s="30">
        <f>IF(B111="","",COUNTIF(B$14:B111,"?*"))</f>
        <v/>
      </c>
      <c r="B111" s="4" t="n"/>
      <c r="C111" s="19" t="n"/>
      <c r="D111" s="5">
        <f>IF(OR(B111="",C111=""),"",UPPER(LEFT(C111,1))&amp;LOWER(MID(C111,2,30))&amp;" "&amp;LOWER(LEFT(B111,1))&amp;MID(B111,2,200))</f>
        <v/>
      </c>
      <c r="E111" s="4" t="n"/>
      <c r="F111" s="4" t="n"/>
      <c r="G111" s="4" t="n"/>
      <c r="H111" s="4" t="n"/>
      <c r="I111" s="4" t="n"/>
      <c r="J111" s="4" t="n"/>
      <c r="K111" s="5">
        <f>_xlfn.TEXTJOIN(CHAR(10),TRUE,IF(E111="","","• "&amp;E111),IF(F111="","","• "&amp;F111),IF(G111="","","• "&amp;G111),IF(H111="","","• "&amp;H111),IF(I111="","","• "&amp;I111),IF(J111="","","• "&amp;J111))</f>
        <v/>
      </c>
      <c r="L111" s="4" t="n"/>
      <c r="M111" s="19" t="n"/>
      <c r="N111" s="19" t="n"/>
      <c r="O111" s="30">
        <f>IF(OR(M111="",N111=""),"",INDEX(RiskGrid,6-VALUE(LEFT(M111,1)),VALUE(LEFT(N111,1))))</f>
        <v/>
      </c>
      <c r="P111" s="30">
        <f>IF(O111="","",IF(O111&gt;=BandVH,"Very High",IF(O111&gt;=BandHigh,"High",IF(O111&gt;=BandMed,"Medium","Low"))))</f>
        <v/>
      </c>
      <c r="Q111" s="4" t="n"/>
      <c r="R111" s="19" t="n"/>
      <c r="S111" s="4" t="n"/>
      <c r="T111" s="19" t="n"/>
      <c r="U111" s="4" t="n"/>
      <c r="V111" s="19" t="n"/>
      <c r="W111" s="4" t="n"/>
      <c r="X111" s="19" t="n"/>
      <c r="Y111" s="4" t="n"/>
      <c r="Z111" s="19" t="n"/>
      <c r="AA111" s="4" t="n"/>
      <c r="AB111" s="19" t="n"/>
      <c r="AC111" s="5">
        <f>_xlfn.TEXTJOIN(CHAR(10),TRUE,IF(Q111="","","• "&amp;Q111&amp;IF(R111="Yes","  [IPL]","")),IF(S111="","","• "&amp;S111&amp;IF(T111="Yes","  [IPL]","")),IF(U111="","","• "&amp;U111&amp;IF(V111="Yes","  [IPL]","")),IF(W111="","","• "&amp;W111&amp;IF(X111="Yes","  [IPL]","")),IF(Y111="","","• "&amp;Y111&amp;IF(Z111="Yes","  [IPL]","")),IF(AA111="","","• "&amp;AA111&amp;IF(AB111="Yes","  [IPL]","")))</f>
        <v/>
      </c>
      <c r="AD111" s="30">
        <f>IF(AC111="","",COUNTIF(Q111:AB111,"Yes"))</f>
        <v/>
      </c>
      <c r="AE111" s="19" t="n"/>
      <c r="AF111" s="19" t="n"/>
      <c r="AG111" s="30">
        <f>IF(OR(AE111="",AF111=""),"",INDEX(RiskGrid,6-VALUE(LEFT(AE111,1)),VALUE(LEFT(AF111,1))))</f>
        <v/>
      </c>
      <c r="AH111" s="30">
        <f>IF(AG111="","",IF(AG111&gt;=BandVH,"Very High",IF(AG111&gt;=BandHigh,"High",IF(AG111&gt;=BandMed,"Medium","Low"))))</f>
        <v/>
      </c>
      <c r="AI111" s="4" t="n"/>
      <c r="AJ111" s="4" t="n"/>
    </row>
    <row r="112">
      <c r="A112" s="30">
        <f>IF(B112="","",COUNTIF(B$14:B112,"?*"))</f>
        <v/>
      </c>
      <c r="B112" s="4" t="n"/>
      <c r="C112" s="19" t="n"/>
      <c r="D112" s="5">
        <f>IF(OR(B112="",C112=""),"",UPPER(LEFT(C112,1))&amp;LOWER(MID(C112,2,30))&amp;" "&amp;LOWER(LEFT(B112,1))&amp;MID(B112,2,200))</f>
        <v/>
      </c>
      <c r="E112" s="4" t="n"/>
      <c r="F112" s="4" t="n"/>
      <c r="G112" s="4" t="n"/>
      <c r="H112" s="4" t="n"/>
      <c r="I112" s="4" t="n"/>
      <c r="J112" s="4" t="n"/>
      <c r="K112" s="5">
        <f>_xlfn.TEXTJOIN(CHAR(10),TRUE,IF(E112="","","• "&amp;E112),IF(F112="","","• "&amp;F112),IF(G112="","","• "&amp;G112),IF(H112="","","• "&amp;H112),IF(I112="","","• "&amp;I112),IF(J112="","","• "&amp;J112))</f>
        <v/>
      </c>
      <c r="L112" s="4" t="n"/>
      <c r="M112" s="19" t="n"/>
      <c r="N112" s="19" t="n"/>
      <c r="O112" s="30">
        <f>IF(OR(M112="",N112=""),"",INDEX(RiskGrid,6-VALUE(LEFT(M112,1)),VALUE(LEFT(N112,1))))</f>
        <v/>
      </c>
      <c r="P112" s="30">
        <f>IF(O112="","",IF(O112&gt;=BandVH,"Very High",IF(O112&gt;=BandHigh,"High",IF(O112&gt;=BandMed,"Medium","Low"))))</f>
        <v/>
      </c>
      <c r="Q112" s="4" t="n"/>
      <c r="R112" s="19" t="n"/>
      <c r="S112" s="4" t="n"/>
      <c r="T112" s="19" t="n"/>
      <c r="U112" s="4" t="n"/>
      <c r="V112" s="19" t="n"/>
      <c r="W112" s="4" t="n"/>
      <c r="X112" s="19" t="n"/>
      <c r="Y112" s="4" t="n"/>
      <c r="Z112" s="19" t="n"/>
      <c r="AA112" s="4" t="n"/>
      <c r="AB112" s="19" t="n"/>
      <c r="AC112" s="5">
        <f>_xlfn.TEXTJOIN(CHAR(10),TRUE,IF(Q112="","","• "&amp;Q112&amp;IF(R112="Yes","  [IPL]","")),IF(S112="","","• "&amp;S112&amp;IF(T112="Yes","  [IPL]","")),IF(U112="","","• "&amp;U112&amp;IF(V112="Yes","  [IPL]","")),IF(W112="","","• "&amp;W112&amp;IF(X112="Yes","  [IPL]","")),IF(Y112="","","• "&amp;Y112&amp;IF(Z112="Yes","  [IPL]","")),IF(AA112="","","• "&amp;AA112&amp;IF(AB112="Yes","  [IPL]","")))</f>
        <v/>
      </c>
      <c r="AD112" s="30">
        <f>IF(AC112="","",COUNTIF(Q112:AB112,"Yes"))</f>
        <v/>
      </c>
      <c r="AE112" s="19" t="n"/>
      <c r="AF112" s="19" t="n"/>
      <c r="AG112" s="30">
        <f>IF(OR(AE112="",AF112=""),"",INDEX(RiskGrid,6-VALUE(LEFT(AE112,1)),VALUE(LEFT(AF112,1))))</f>
        <v/>
      </c>
      <c r="AH112" s="30">
        <f>IF(AG112="","",IF(AG112&gt;=BandVH,"Very High",IF(AG112&gt;=BandHigh,"High",IF(AG112&gt;=BandMed,"Medium","Low"))))</f>
        <v/>
      </c>
      <c r="AI112" s="4" t="n"/>
      <c r="AJ112" s="4" t="n"/>
    </row>
    <row r="113">
      <c r="A113" s="30">
        <f>IF(B113="","",COUNTIF(B$14:B113,"?*"))</f>
        <v/>
      </c>
      <c r="B113" s="4" t="n"/>
      <c r="C113" s="19" t="n"/>
      <c r="D113" s="5">
        <f>IF(OR(B113="",C113=""),"",UPPER(LEFT(C113,1))&amp;LOWER(MID(C113,2,30))&amp;" "&amp;LOWER(LEFT(B113,1))&amp;MID(B113,2,200))</f>
        <v/>
      </c>
      <c r="E113" s="4" t="n"/>
      <c r="F113" s="4" t="n"/>
      <c r="G113" s="4" t="n"/>
      <c r="H113" s="4" t="n"/>
      <c r="I113" s="4" t="n"/>
      <c r="J113" s="4" t="n"/>
      <c r="K113" s="5">
        <f>_xlfn.TEXTJOIN(CHAR(10),TRUE,IF(E113="","","• "&amp;E113),IF(F113="","","• "&amp;F113),IF(G113="","","• "&amp;G113),IF(H113="","","• "&amp;H113),IF(I113="","","• "&amp;I113),IF(J113="","","• "&amp;J113))</f>
        <v/>
      </c>
      <c r="L113" s="4" t="n"/>
      <c r="M113" s="19" t="n"/>
      <c r="N113" s="19" t="n"/>
      <c r="O113" s="30">
        <f>IF(OR(M113="",N113=""),"",INDEX(RiskGrid,6-VALUE(LEFT(M113,1)),VALUE(LEFT(N113,1))))</f>
        <v/>
      </c>
      <c r="P113" s="30">
        <f>IF(O113="","",IF(O113&gt;=BandVH,"Very High",IF(O113&gt;=BandHigh,"High",IF(O113&gt;=BandMed,"Medium","Low"))))</f>
        <v/>
      </c>
      <c r="Q113" s="4" t="n"/>
      <c r="R113" s="19" t="n"/>
      <c r="S113" s="4" t="n"/>
      <c r="T113" s="19" t="n"/>
      <c r="U113" s="4" t="n"/>
      <c r="V113" s="19" t="n"/>
      <c r="W113" s="4" t="n"/>
      <c r="X113" s="19" t="n"/>
      <c r="Y113" s="4" t="n"/>
      <c r="Z113" s="19" t="n"/>
      <c r="AA113" s="4" t="n"/>
      <c r="AB113" s="19" t="n"/>
      <c r="AC113" s="5">
        <f>_xlfn.TEXTJOIN(CHAR(10),TRUE,IF(Q113="","","• "&amp;Q113&amp;IF(R113="Yes","  [IPL]","")),IF(S113="","","• "&amp;S113&amp;IF(T113="Yes","  [IPL]","")),IF(U113="","","• "&amp;U113&amp;IF(V113="Yes","  [IPL]","")),IF(W113="","","• "&amp;W113&amp;IF(X113="Yes","  [IPL]","")),IF(Y113="","","• "&amp;Y113&amp;IF(Z113="Yes","  [IPL]","")),IF(AA113="","","• "&amp;AA113&amp;IF(AB113="Yes","  [IPL]","")))</f>
        <v/>
      </c>
      <c r="AD113" s="30">
        <f>IF(AC113="","",COUNTIF(Q113:AB113,"Yes"))</f>
        <v/>
      </c>
      <c r="AE113" s="19" t="n"/>
      <c r="AF113" s="19" t="n"/>
      <c r="AG113" s="30">
        <f>IF(OR(AE113="",AF113=""),"",INDEX(RiskGrid,6-VALUE(LEFT(AE113,1)),VALUE(LEFT(AF113,1))))</f>
        <v/>
      </c>
      <c r="AH113" s="30">
        <f>IF(AG113="","",IF(AG113&gt;=BandVH,"Very High",IF(AG113&gt;=BandHigh,"High",IF(AG113&gt;=BandMed,"Medium","Low"))))</f>
        <v/>
      </c>
      <c r="AI113" s="4" t="n"/>
      <c r="AJ113" s="4" t="n"/>
    </row>
  </sheetData>
  <mergeCells count="24">
    <mergeCell ref="A3:C3"/>
    <mergeCell ref="AC12:AD12"/>
    <mergeCell ref="D7:L7"/>
    <mergeCell ref="N3:O3"/>
    <mergeCell ref="A5:C5"/>
    <mergeCell ref="A8:C8"/>
    <mergeCell ref="D4:L4"/>
    <mergeCell ref="D3:L3"/>
    <mergeCell ref="D9:L9"/>
    <mergeCell ref="A4:C4"/>
    <mergeCell ref="D8:L8"/>
    <mergeCell ref="K12:L12"/>
    <mergeCell ref="D5:L5"/>
    <mergeCell ref="A9:C9"/>
    <mergeCell ref="AE12:AH12"/>
    <mergeCell ref="E12:J12"/>
    <mergeCell ref="Q12:AB12"/>
    <mergeCell ref="AI12:AJ12"/>
    <mergeCell ref="A11:L11"/>
    <mergeCell ref="A12:D12"/>
    <mergeCell ref="A6:C6"/>
    <mergeCell ref="M12:P12"/>
    <mergeCell ref="A7:C7"/>
    <mergeCell ref="D6:L6"/>
  </mergeCells>
  <conditionalFormatting sqref="O14:P113">
    <cfRule type="expression" priority="1" dxfId="0">
      <formula>$P14="Very High"</formula>
    </cfRule>
    <cfRule type="expression" priority="3" dxfId="1">
      <formula>$P14="High"</formula>
    </cfRule>
    <cfRule type="expression" priority="5" dxfId="2">
      <formula>$P14="Medium"</formula>
    </cfRule>
    <cfRule type="expression" priority="7" dxfId="3">
      <formula>$P14="Low"</formula>
    </cfRule>
  </conditionalFormatting>
  <conditionalFormatting sqref="AG14:AH113">
    <cfRule type="expression" priority="2" dxfId="0">
      <formula>$AH14="Very High"</formula>
    </cfRule>
    <cfRule type="expression" priority="4" dxfId="1">
      <formula>$AH14="High"</formula>
    </cfRule>
    <cfRule type="expression" priority="6" dxfId="2">
      <formula>$AH14="Medium"</formula>
    </cfRule>
    <cfRule type="expression" priority="8" dxfId="3">
      <formula>$AH14="Low"</formula>
    </cfRule>
  </conditionalFormatting>
  <dataValidations count="9">
    <dataValidation sqref="D3" showDropDown="0" showInputMessage="1" showErrorMessage="1" allowBlank="1" promptTitle="Select" prompt="Choose the node studied on this sheet" type="list">
      <formula1>=NodeList</formula1>
    </dataValidation>
    <dataValidation sqref="B14:B113" showDropDown="0" showInputMessage="1" showErrorMessage="1" allowBlank="1" promptTitle="Select" prompt="Parameter (from Lists)" type="list">
      <formula1>=ParamList</formula1>
    </dataValidation>
    <dataValidation sqref="C14:C113" showDropDown="0" showInputMessage="1" showErrorMessage="1" allowBlank="1" promptTitle="Select" prompt="Guidewords valid for this parameter" type="list">
      <formula1>=OFFSET(GWStart,MATCH($B14,GWParam,0)-1,0,COUNTIF(GWParam,$B14),1)</formula1>
    </dataValidation>
    <dataValidation sqref="E14:J113" showDropDown="0" showInputMessage="1" showErrorMessage="1" allowBlank="1" errorTitle="Not in list" error="Entry is not in the list – it will be accepted as free text." promptTitle="Select" prompt="Pick a cause for this deviation, or type your own." type="list" errorStyle="information">
      <formula1>=OFFSET(CauseStart,MATCH($B14&amp;"|"&amp;$C14,CauseKey,0)-1,0,MAX(1,COUNTIF(CauseKey,$B14&amp;"|"&amp;$C14)),1)</formula1>
    </dataValidation>
    <dataValidation sqref="M14:M113" showDropDown="0" showInputMessage="0" showErrorMessage="1" allowBlank="1" type="list">
      <formula1>=SevList</formula1>
    </dataValidation>
    <dataValidation sqref="N14:N113" showDropDown="0" showInputMessage="0" showErrorMessage="1" allowBlank="1" type="list">
      <formula1>=LikList</formula1>
    </dataValidation>
    <dataValidation sqref="AE14:AE113" showDropDown="0" showInputMessage="0" showErrorMessage="1" allowBlank="1" type="list">
      <formula1>=SevList</formula1>
    </dataValidation>
    <dataValidation sqref="AF14:AF113" showDropDown="0" showInputMessage="0" showErrorMessage="1" allowBlank="1" type="list">
      <formula1>=LikList</formula1>
    </dataValidation>
    <dataValidation sqref="R14:R113 T14:T113 V14:V113 X14:X113 Z14:Z113 AB14:AB113" showDropDown="0" showInputMessage="1" showErrorMessage="0" allowBlank="1" promptTitle="IPL?" prompt="Is this safeguard an Independent Protection Layer?" type="list">
      <formula1>=IPLList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M113"/>
  <sheetViews>
    <sheetView workbookViewId="0">
      <pane xSplit="4" ySplit="13" topLeftCell="E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4" customWidth="1" min="4" max="4"/>
    <col outlineLevel="1" width="26" customWidth="1" min="5" max="10"/>
    <col width="48" customWidth="1" min="11" max="11"/>
    <col width="42" customWidth="1" min="12" max="12"/>
    <col width="13" customWidth="1" min="13" max="13"/>
    <col width="13" customWidth="1" min="14" max="14"/>
    <col width="7" customWidth="1" min="15" max="15"/>
    <col width="10" customWidth="1" min="16" max="16"/>
    <col outlineLevel="1" width="28" customWidth="1" min="17" max="28"/>
    <col width="48" customWidth="1" min="29" max="29"/>
    <col width="7" customWidth="1" min="30" max="30"/>
    <col width="13" customWidth="1" min="31" max="31"/>
    <col width="13" customWidth="1" min="32" max="32"/>
    <col width="7" customWidth="1" min="33" max="33"/>
    <col width="10" customWidth="1" min="34" max="34"/>
    <col width="36" customWidth="1" min="35" max="35"/>
    <col width="14" customWidth="1" min="36" max="36"/>
  </cols>
  <sheetData>
    <row r="1">
      <c r="A1" s="24" t="inlineStr">
        <is>
          <t>HAZOP WORKSHEET</t>
        </is>
      </c>
      <c r="E1" s="25">
        <f>Cover!B7</f>
        <v/>
      </c>
    </row>
    <row r="3">
      <c r="A3" s="26" t="inlineStr">
        <is>
          <t>Select node ▸</t>
        </is>
      </c>
      <c r="B3" s="8" t="n"/>
      <c r="C3" s="9" t="n"/>
      <c r="D3" s="27" t="inlineStr">
        <is>
          <t>N06 – Rolling-mill reheat furnace fuel gas train and burner management</t>
        </is>
      </c>
      <c r="E3" s="8" t="n"/>
      <c r="F3" s="8" t="n"/>
      <c r="G3" s="8" t="n"/>
      <c r="H3" s="8" t="n"/>
      <c r="I3" s="8" t="n"/>
      <c r="J3" s="8" t="n"/>
      <c r="K3" s="8" t="n"/>
      <c r="L3" s="9" t="n"/>
      <c r="M3" s="26" t="inlineStr">
        <is>
          <t>Session date</t>
        </is>
      </c>
      <c r="N3" s="13" t="n">
        <v>46309</v>
      </c>
      <c r="O3" s="9" t="n"/>
      <c r="P3" s="26" t="inlineStr">
        <is>
          <t>Revision</t>
        </is>
      </c>
      <c r="Q3" s="4" t="inlineStr">
        <is>
          <t>A</t>
        </is>
      </c>
    </row>
    <row r="4" ht="16" customHeight="1">
      <c r="A4" s="10" t="inlineStr">
        <is>
          <t>Node title</t>
        </is>
      </c>
      <c r="B4" s="8" t="n"/>
      <c r="C4" s="9" t="n"/>
      <c r="D4" s="6">
        <f>IF($D$3="","",IFERROR(INDEX(Nodes!$B$5:$B$34,MATCH($D$3,Nodes!$C$5:$C$34,0))&amp;"",""))</f>
        <v/>
      </c>
      <c r="E4" s="8" t="n"/>
      <c r="F4" s="8" t="n"/>
      <c r="G4" s="8" t="n"/>
      <c r="H4" s="8" t="n"/>
      <c r="I4" s="8" t="n"/>
      <c r="J4" s="8" t="n"/>
      <c r="K4" s="8" t="n"/>
      <c r="L4" s="9" t="n"/>
    </row>
    <row r="5" ht="16" customHeight="1">
      <c r="A5" s="10" t="inlineStr">
        <is>
          <t>P&amp;IDs / drawings</t>
        </is>
      </c>
      <c r="B5" s="8" t="n"/>
      <c r="C5" s="9" t="n"/>
      <c r="D5" s="6">
        <f>IF($D$3="","",IFERROR(INDEX(Nodes!$D$5:$D$34,MATCH($D$3,Nodes!$C$5:$C$34,0))&amp;"",""))</f>
        <v/>
      </c>
      <c r="E5" s="8" t="n"/>
      <c r="F5" s="8" t="n"/>
      <c r="G5" s="8" t="n"/>
      <c r="H5" s="8" t="n"/>
      <c r="I5" s="8" t="n"/>
      <c r="J5" s="8" t="n"/>
      <c r="K5" s="8" t="n"/>
      <c r="L5" s="9" t="n"/>
    </row>
    <row r="6" ht="30" customHeight="1">
      <c r="A6" s="10" t="inlineStr">
        <is>
          <t>Battery limits</t>
        </is>
      </c>
      <c r="B6" s="8" t="n"/>
      <c r="C6" s="9" t="n"/>
      <c r="D6" s="6">
        <f>IF($D$3="","",IFERROR(INDEX(Nodes!$E$5:$E$34,MATCH($D$3,Nodes!$C$5:$C$34,0))&amp;"",""))</f>
        <v/>
      </c>
      <c r="E6" s="8" t="n"/>
      <c r="F6" s="8" t="n"/>
      <c r="G6" s="8" t="n"/>
      <c r="H6" s="8" t="n"/>
      <c r="I6" s="8" t="n"/>
      <c r="J6" s="8" t="n"/>
      <c r="K6" s="8" t="n"/>
      <c r="L6" s="9" t="n"/>
    </row>
    <row r="7" ht="30" customHeight="1">
      <c r="A7" s="10" t="inlineStr">
        <is>
          <t>Functional description / design intent</t>
        </is>
      </c>
      <c r="B7" s="8" t="n"/>
      <c r="C7" s="9" t="n"/>
      <c r="D7" s="6">
        <f>IF($D$3="","",IFERROR(INDEX(Nodes!$F$5:$F$34,MATCH($D$3,Nodes!$C$5:$C$34,0))&amp;"",""))</f>
        <v/>
      </c>
      <c r="E7" s="8" t="n"/>
      <c r="F7" s="8" t="n"/>
      <c r="G7" s="8" t="n"/>
      <c r="H7" s="8" t="n"/>
      <c r="I7" s="8" t="n"/>
      <c r="J7" s="8" t="n"/>
      <c r="K7" s="8" t="n"/>
      <c r="L7" s="9" t="n"/>
    </row>
    <row r="8" ht="16" customHeight="1">
      <c r="A8" s="10" t="inlineStr">
        <is>
          <t>Design parameters</t>
        </is>
      </c>
      <c r="B8" s="8" t="n"/>
      <c r="C8" s="9" t="n"/>
      <c r="D8" s="6">
        <f>IF($D$3="","",IFERROR(INDEX(Nodes!$G$5:$G$34,MATCH($D$3,Nodes!$C$5:$C$34,0))&amp;"",""))</f>
        <v/>
      </c>
      <c r="E8" s="8" t="n"/>
      <c r="F8" s="8" t="n"/>
      <c r="G8" s="8" t="n"/>
      <c r="H8" s="8" t="n"/>
      <c r="I8" s="8" t="n"/>
      <c r="J8" s="8" t="n"/>
      <c r="K8" s="8" t="n"/>
      <c r="L8" s="9" t="n"/>
    </row>
    <row r="9" ht="16" customHeight="1">
      <c r="A9" s="10" t="inlineStr">
        <is>
          <t>Operating parameters</t>
        </is>
      </c>
      <c r="B9" s="8" t="n"/>
      <c r="C9" s="9" t="n"/>
      <c r="D9" s="6">
        <f>IF($D$3="","",IFERROR(INDEX(Nodes!$H$5:$H$34,MATCH($D$3,Nodes!$C$5:$C$34,0))&amp;"",""))</f>
        <v/>
      </c>
      <c r="E9" s="8" t="n"/>
      <c r="F9" s="8" t="n"/>
      <c r="G9" s="8" t="n"/>
      <c r="H9" s="8" t="n"/>
      <c r="I9" s="8" t="n"/>
      <c r="J9" s="8" t="n"/>
      <c r="K9" s="8" t="n"/>
      <c r="L9" s="9" t="n"/>
    </row>
    <row r="11">
      <c r="A11" s="2" t="inlineStr">
        <is>
          <t>ONE ROW PER DEVIATION. Choose Parameter + Guideword, then pick up to 6 causes in Cause 1–6 (or type your own) – they are listed line by line in 'Potential causes'. Enter up to 6 safeguards, each marked IPL Yes/No – listed in 'Safeguards'. Use the [–] buttons above the columns to collapse the pick columns.</t>
        </is>
      </c>
    </row>
    <row r="12">
      <c r="A12" s="7" t="inlineStr">
        <is>
          <t>DEVIATION</t>
        </is>
      </c>
      <c r="B12" s="8" t="n"/>
      <c r="C12" s="8" t="n"/>
      <c r="D12" s="9" t="n"/>
      <c r="E12" s="7" t="inlineStr">
        <is>
          <t>CAUSE PICK-LIST</t>
        </is>
      </c>
      <c r="F12" s="8" t="n"/>
      <c r="G12" s="8" t="n"/>
      <c r="H12" s="8" t="n"/>
      <c r="I12" s="8" t="n"/>
      <c r="J12" s="9" t="n"/>
      <c r="K12" s="7" t="inlineStr">
        <is>
          <t>CAUSES &amp; CONSEQUENCES</t>
        </is>
      </c>
      <c r="L12" s="9" t="n"/>
      <c r="M12" s="7" t="inlineStr">
        <is>
          <t>RISK BEFORE SAFEGUARDS</t>
        </is>
      </c>
      <c r="N12" s="8" t="n"/>
      <c r="O12" s="8" t="n"/>
      <c r="P12" s="9" t="n"/>
      <c r="Q12" s="7" t="inlineStr">
        <is>
          <t>SAFEGUARD ENTRY (mark each IPL Yes / No)</t>
        </is>
      </c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9" t="n"/>
      <c r="AC12" s="7" t="inlineStr">
        <is>
          <t>SAFEGUARDS</t>
        </is>
      </c>
      <c r="AD12" s="9" t="n"/>
      <c r="AE12" s="7" t="inlineStr">
        <is>
          <t>RISK AFTER SAFEGUARDS</t>
        </is>
      </c>
      <c r="AF12" s="8" t="n"/>
      <c r="AG12" s="8" t="n"/>
      <c r="AH12" s="9" t="n"/>
      <c r="AI12" s="7" t="inlineStr">
        <is>
          <t>RECOMMENDATIONS</t>
        </is>
      </c>
      <c r="AJ12" s="9" t="n"/>
    </row>
    <row r="13" ht="30" customHeight="1">
      <c r="A13" s="7" t="inlineStr">
        <is>
          <t>Dev. No.</t>
        </is>
      </c>
      <c r="B13" s="7" t="inlineStr">
        <is>
          <t>Parameter</t>
        </is>
      </c>
      <c r="C13" s="7" t="inlineStr">
        <is>
          <t>Guideword</t>
        </is>
      </c>
      <c r="D13" s="7" t="inlineStr">
        <is>
          <t>Deviation</t>
        </is>
      </c>
      <c r="E13" s="29" t="inlineStr">
        <is>
          <t>Cause 1</t>
        </is>
      </c>
      <c r="F13" s="29" t="inlineStr">
        <is>
          <t>Cause 2</t>
        </is>
      </c>
      <c r="G13" s="29" t="inlineStr">
        <is>
          <t>Cause 3</t>
        </is>
      </c>
      <c r="H13" s="29" t="inlineStr">
        <is>
          <t>Cause 4</t>
        </is>
      </c>
      <c r="I13" s="29" t="inlineStr">
        <is>
          <t>Cause 5</t>
        </is>
      </c>
      <c r="J13" s="29" t="inlineStr">
        <is>
          <t>Cause 6</t>
        </is>
      </c>
      <c r="K13" s="7" t="inlineStr">
        <is>
          <t>Potential causes</t>
        </is>
      </c>
      <c r="L13" s="7" t="inlineStr">
        <is>
          <t>Consequences</t>
        </is>
      </c>
      <c r="M13" s="7" t="inlineStr">
        <is>
          <t>Severity (S)</t>
        </is>
      </c>
      <c r="N13" s="7" t="inlineStr">
        <is>
          <t>Likelihood (L)</t>
        </is>
      </c>
      <c r="O13" s="7" t="inlineStr">
        <is>
          <t>Risk score</t>
        </is>
      </c>
      <c r="P13" s="7" t="inlineStr">
        <is>
          <t>Risk rank</t>
        </is>
      </c>
      <c r="Q13" s="29" t="inlineStr">
        <is>
          <t>Safeguard 1</t>
        </is>
      </c>
      <c r="R13" s="29" t="inlineStr">
        <is>
          <t>IPL? 1</t>
        </is>
      </c>
      <c r="S13" s="29" t="inlineStr">
        <is>
          <t>Safeguard 2</t>
        </is>
      </c>
      <c r="T13" s="29" t="inlineStr">
        <is>
          <t>IPL? 2</t>
        </is>
      </c>
      <c r="U13" s="29" t="inlineStr">
        <is>
          <t>Safeguard 3</t>
        </is>
      </c>
      <c r="V13" s="29" t="inlineStr">
        <is>
          <t>IPL? 3</t>
        </is>
      </c>
      <c r="W13" s="29" t="inlineStr">
        <is>
          <t>Safeguard 4</t>
        </is>
      </c>
      <c r="X13" s="29" t="inlineStr">
        <is>
          <t>IPL? 4</t>
        </is>
      </c>
      <c r="Y13" s="29" t="inlineStr">
        <is>
          <t>Safeguard 5</t>
        </is>
      </c>
      <c r="Z13" s="29" t="inlineStr">
        <is>
          <t>IPL? 5</t>
        </is>
      </c>
      <c r="AA13" s="29" t="inlineStr">
        <is>
          <t>Safeguard 6</t>
        </is>
      </c>
      <c r="AB13" s="29" t="inlineStr">
        <is>
          <t>IPL? 6</t>
        </is>
      </c>
      <c r="AC13" s="7" t="inlineStr">
        <is>
          <t>Safeguards</t>
        </is>
      </c>
      <c r="AD13" s="7" t="inlineStr">
        <is>
          <t>No. of IPLs</t>
        </is>
      </c>
      <c r="AE13" s="7" t="inlineStr">
        <is>
          <t>Severity (S)</t>
        </is>
      </c>
      <c r="AF13" s="7" t="inlineStr">
        <is>
          <t>Likelihood (L)</t>
        </is>
      </c>
      <c r="AG13" s="7" t="inlineStr">
        <is>
          <t>Risk score</t>
        </is>
      </c>
      <c r="AH13" s="7" t="inlineStr">
        <is>
          <t>Risk rank</t>
        </is>
      </c>
      <c r="AI13" s="7" t="inlineStr">
        <is>
          <t>Recommendations / actions</t>
        </is>
      </c>
      <c r="AJ13" s="7" t="inlineStr">
        <is>
          <t>Action by</t>
        </is>
      </c>
    </row>
    <row r="14" ht="90" customHeight="1">
      <c r="A14" s="30">
        <f>IF(B14="","",COUNTIF(B$14:B14,"?*"))</f>
        <v/>
      </c>
      <c r="B14" s="4" t="inlineStr">
        <is>
          <t>Flow</t>
        </is>
      </c>
      <c r="C14" s="19" t="inlineStr">
        <is>
          <t>NO</t>
        </is>
      </c>
      <c r="D14" s="5">
        <f>IF(OR(B14="",C14=""),"",UPPER(LEFT(C14,1))&amp;LOWER(MID(C14,2,30))&amp;" "&amp;LOWER(LEFT(B14,1))&amp;MID(B14,2,200))</f>
        <v/>
      </c>
      <c r="E14" s="4" t="inlineStr">
        <is>
          <t>Burner flame-out with continued fuel supply</t>
        </is>
      </c>
      <c r="F14" s="4" t="inlineStr">
        <is>
          <t>[S] Low fuel-gas pressure at burners (flame-out followed by re-ignition of accumulated gas)</t>
        </is>
      </c>
      <c r="G14" s="4" t="inlineStr">
        <is>
          <t>Failed light-off of a main burner</t>
        </is>
      </c>
      <c r="H14" s="4" t="n"/>
      <c r="I14" s="4" t="n"/>
      <c r="J14" s="4" t="n"/>
      <c r="K14" s="5">
        <f>_xlfn.TEXTJOIN(CHAR(10),TRUE,IF(E14="","","• "&amp;E14),IF(F14="","","• "&amp;F14),IF(G14="","","• "&amp;G14),IF(H14="","","• "&amp;H14),IF(I14="","","• "&amp;I14),IF(J14="","","• "&amp;J14))</f>
        <v/>
      </c>
      <c r="L14" s="4" t="inlineStr">
        <is>
          <t>Unburnt gas enters a furnace zone below auto-ignition temperature (start-up / low fire) – explosive mixture, furnace explosion: casing / door failure, fatalities on the furnace platforms
[N06-01] Quantified: fault tree FT-GN-03 (BMS flame-failure shut-off PFDavg 1.1E-2; top 9.2E-3 /yr), event tree ETA-GN-02 (explosion 9.2E-4 /yr vs target 1E-4), bow tie BT-GN-02 threat T1. Likelihood after safeguards from the calculated frequency 9.2E-4 /yr.</t>
        </is>
      </c>
      <c r="M14" s="19" t="inlineStr">
        <is>
          <t>5 – Catastrophic</t>
        </is>
      </c>
      <c r="N14" s="19" t="inlineStr">
        <is>
          <t>5 – Almost certain</t>
        </is>
      </c>
      <c r="O14" s="30">
        <f>IF(OR(M14="",N14=""),"",INDEX(RiskGrid,6-VALUE(LEFT(M14,1)),VALUE(LEFT(N14,1))))</f>
        <v/>
      </c>
      <c r="P14" s="30">
        <f>IF(O14="","",IF(O14&gt;=BandVH,"Very High",IF(O14&gt;=BandHigh,"High",IF(O14&gt;=BandMed,"Medium","Low"))))</f>
        <v/>
      </c>
      <c r="Q14" s="4" t="inlineStr">
        <is>
          <t>BMS-4000 – Reheat furnace BMS flame-failure shut-off (scanners BS-4010, logic BMS-4000, SSOVs XV-4002A/B)</t>
        </is>
      </c>
      <c r="R14" s="19" t="inlineStr">
        <is>
          <t>Yes</t>
        </is>
      </c>
      <c r="S14" s="4" t="inlineStr">
        <is>
          <t>Furnace draught / post-purge removes unburnt gas through the stack before it can ignite</t>
        </is>
      </c>
      <c r="T14" s="19" t="inlineStr">
        <is>
          <t>No</t>
        </is>
      </c>
      <c r="U14" s="4" t="inlineStr">
        <is>
          <t>Furnace explosion relief doors; no-go zone around burner platforms during light-off</t>
        </is>
      </c>
      <c r="V14" s="19" t="inlineStr">
        <is>
          <t>Yes</t>
        </is>
      </c>
      <c r="W14" s="4" t="n"/>
      <c r="X14" s="19" t="n"/>
      <c r="Y14" s="4" t="n"/>
      <c r="Z14" s="19" t="n"/>
      <c r="AA14" s="4" t="n"/>
      <c r="AB14" s="19" t="n"/>
      <c r="AC14" s="5">
        <f>_xlfn.TEXTJOIN(CHAR(10),TRUE,IF(Q14="","","• "&amp;Q14&amp;IF(R14="Yes","  [IPL]","")),IF(S14="","","• "&amp;S14&amp;IF(T14="Yes","  [IPL]","")),IF(U14="","","• "&amp;U14&amp;IF(V14="Yes","  [IPL]","")),IF(W14="","","• "&amp;W14&amp;IF(X14="Yes","  [IPL]","")),IF(Y14="","","• "&amp;Y14&amp;IF(Z14="Yes","  [IPL]","")),IF(AA14="","","• "&amp;AA14&amp;IF(AB14="Yes","  [IPL]","")))</f>
        <v/>
      </c>
      <c r="AD14" s="30">
        <f>IF(AC14="","",COUNTIF(Q14:AB14,"Yes"))</f>
        <v/>
      </c>
      <c r="AE14" s="19" t="inlineStr">
        <is>
          <t>5 – Catastrophic</t>
        </is>
      </c>
      <c r="AF14" s="19" t="inlineStr">
        <is>
          <t>2 – Unlikely</t>
        </is>
      </c>
      <c r="AG14" s="30">
        <f>IF(OR(AE14="",AF14=""),"",INDEX(RiskGrid,6-VALUE(LEFT(AE14,1)),VALUE(LEFT(AF14,1))))</f>
        <v/>
      </c>
      <c r="AH14" s="30">
        <f>IF(AG14="","",IF(AG14&gt;=BandVH,"Very High",IF(AG14&gt;=BandHigh,"High",IF(AG14&gt;=BandMed,"Medium","Low"))))</f>
        <v/>
      </c>
      <c r="AI14" s="4" t="inlineStr">
        <is>
          <t>R-010 Upgrade the reheat furnace flame-failure shut-off to meet SIL 2 (fault tree FT-GN-03 PFDavg 1.1E-2 = SIL 1 band; event tree ETA-GN-02 explosion frequency 9.2E-4 /yr vs target 1E-4): self-checking UV scanners 1oo2 per burner, proof-tested SSOVs, BMS logic solver to IEC 61511 / EN 746-2.
R-012 Bypass / override management for BMS, SIS and gas detectors: authorisation, time limit, logging and monthly audit; BMS logic changes only under MOC.</t>
        </is>
      </c>
      <c r="AJ14" s="4" t="inlineStr">
        <is>
          <t>Instrument engineer / HSE / process safety</t>
        </is>
      </c>
    </row>
    <row r="15" ht="90" customHeight="1">
      <c r="A15" s="30">
        <f>IF(B15="","",COUNTIF(B$14:B15,"?*"))</f>
        <v/>
      </c>
      <c r="B15" s="4" t="inlineStr">
        <is>
          <t>Pressure</t>
        </is>
      </c>
      <c r="C15" s="19" t="inlineStr">
        <is>
          <t>MORE</t>
        </is>
      </c>
      <c r="D15" s="5">
        <f>IF(OR(B15="",C15=""),"",UPPER(LEFT(C15,1))&amp;LOWER(MID(C15,2,30))&amp;" "&amp;LOWER(LEFT(B15,1))&amp;MID(B15,2,200))</f>
        <v/>
      </c>
      <c r="E15" s="4" t="inlineStr">
        <is>
          <t>Failed-open pressure control valves (PCVs)</t>
        </is>
      </c>
      <c r="F15" s="4" t="inlineStr">
        <is>
          <t>Incorrect operation</t>
        </is>
      </c>
      <c r="G15" s="4" t="n"/>
      <c r="H15" s="4" t="n"/>
      <c r="I15" s="4" t="n"/>
      <c r="J15" s="4" t="n"/>
      <c r="K15" s="5">
        <f>_xlfn.TEXTJOIN(CHAR(10),TRUE,IF(E15="","","• "&amp;E15),IF(F15="","","• "&amp;F15),IF(G15="","","• "&amp;G15),IF(H15="","","• "&amp;H15),IF(I15="","","• "&amp;I15),IF(J15="","","• "&amp;J15))</f>
        <v/>
      </c>
      <c r="L15" s="4" t="inlineStr">
        <is>
          <t>Flame lift-off and flame-out (then as N06-01); over-firing – skid / refractory damage
[N06-02] BMS not credited separately – the PSHH trip acts through the same logic solver.</t>
        </is>
      </c>
      <c r="M15" s="19" t="inlineStr">
        <is>
          <t>4 – Major</t>
        </is>
      </c>
      <c r="N15" s="19" t="inlineStr">
        <is>
          <t>3 – Possible</t>
        </is>
      </c>
      <c r="O15" s="30">
        <f>IF(OR(M15="",N15=""),"",INDEX(RiskGrid,6-VALUE(LEFT(M15,1)),VALUE(LEFT(N15,1))))</f>
        <v/>
      </c>
      <c r="P15" s="30">
        <f>IF(O15="","",IF(O15&gt;=BandVH,"Very High",IF(O15&gt;=BandHigh,"High",IF(O15&gt;=BandMed,"Medium","Low"))))</f>
        <v/>
      </c>
      <c r="Q15" s="4" t="inlineStr">
        <is>
          <t>PSHH-4006 – High-high fuel gas pressure trip to BMS-4000</t>
        </is>
      </c>
      <c r="R15" s="19" t="inlineStr">
        <is>
          <t>Yes</t>
        </is>
      </c>
      <c r="S15" s="4" t="inlineStr">
        <is>
          <t>BMS-4000 – Reheat furnace BMS flame-failure shut-off (scanners BS-4010, logic BMS-4000, SSOVs XV-4002A/B)</t>
        </is>
      </c>
      <c r="T15" s="19" t="inlineStr">
        <is>
          <t>No</t>
        </is>
      </c>
      <c r="U15" s="4" t="n"/>
      <c r="V15" s="19" t="n"/>
      <c r="W15" s="4" t="n"/>
      <c r="X15" s="19" t="n"/>
      <c r="Y15" s="4" t="n"/>
      <c r="Z15" s="19" t="n"/>
      <c r="AA15" s="4" t="n"/>
      <c r="AB15" s="19" t="n"/>
      <c r="AC15" s="5">
        <f>_xlfn.TEXTJOIN(CHAR(10),TRUE,IF(Q15="","","• "&amp;Q15&amp;IF(R15="Yes","  [IPL]","")),IF(S15="","","• "&amp;S15&amp;IF(T15="Yes","  [IPL]","")),IF(U15="","","• "&amp;U15&amp;IF(V15="Yes","  [IPL]","")),IF(W15="","","• "&amp;W15&amp;IF(X15="Yes","  [IPL]","")),IF(Y15="","","• "&amp;Y15&amp;IF(Z15="Yes","  [IPL]","")),IF(AA15="","","• "&amp;AA15&amp;IF(AB15="Yes","  [IPL]","")))</f>
        <v/>
      </c>
      <c r="AD15" s="30">
        <f>IF(AC15="","",COUNTIF(Q15:AB15,"Yes"))</f>
        <v/>
      </c>
      <c r="AE15" s="19" t="inlineStr">
        <is>
          <t>4 – Major</t>
        </is>
      </c>
      <c r="AF15" s="19" t="inlineStr">
        <is>
          <t>2 – Unlikely</t>
        </is>
      </c>
      <c r="AG15" s="30">
        <f>IF(OR(AE15="",AF15=""),"",INDEX(RiskGrid,6-VALUE(LEFT(AE15,1)),VALUE(LEFT(AF15,1))))</f>
        <v/>
      </c>
      <c r="AH15" s="30">
        <f>IF(AG15="","",IF(AG15&gt;=BandVH,"Very High",IF(AG15&gt;=BandHigh,"High",IF(AG15&gt;=BandMed,"Medium","Low"))))</f>
        <v/>
      </c>
      <c r="AI15" s="4" t="inlineStr"/>
      <c r="AJ15" s="4" t="inlineStr"/>
    </row>
    <row r="16" ht="90" customHeight="1">
      <c r="A16" s="30">
        <f>IF(B16="","",COUNTIF(B$14:B16,"?*"))</f>
        <v/>
      </c>
      <c r="B16" s="4" t="inlineStr">
        <is>
          <t>Flow</t>
        </is>
      </c>
      <c r="C16" s="19" t="inlineStr">
        <is>
          <t>LESS</t>
        </is>
      </c>
      <c r="D16" s="5">
        <f>IF(OR(B16="",C16=""),"",UPPER(LEFT(C16,1))&amp;LOWER(MID(C16,2,30))&amp;" "&amp;LOWER(LEFT(B16,1))&amp;MID(B16,2,200))</f>
        <v/>
      </c>
      <c r="E16" s="4" t="inlineStr">
        <is>
          <t>Line restriction; valve partly closed</t>
        </is>
      </c>
      <c r="F16" s="4" t="inlineStr">
        <is>
          <t>Combustion air fan FN-4007 trip / damper closed</t>
        </is>
      </c>
      <c r="G16" s="4" t="n"/>
      <c r="H16" s="4" t="n"/>
      <c r="I16" s="4" t="n"/>
      <c r="J16" s="4" t="n"/>
      <c r="K16" s="5">
        <f>_xlfn.TEXTJOIN(CHAR(10),TRUE,IF(E16="","","• "&amp;E16),IF(F16="","","• "&amp;F16),IF(G16="","","• "&amp;G16),IF(H16="","","• "&amp;H16),IF(I16="","","• "&amp;I16),IF(J16="","","• "&amp;J16))</f>
        <v/>
      </c>
      <c r="L16" s="4" t="inlineStr">
        <is>
          <t>Fuel-rich combustion – CO, unburnt gas accumulating in the furnace; explosion when air is restored
[N06-03] Bow tie BT-GN-02 threat T4.</t>
        </is>
      </c>
      <c r="M16" s="19" t="inlineStr">
        <is>
          <t>5 – Catastrophic</t>
        </is>
      </c>
      <c r="N16" s="19" t="inlineStr">
        <is>
          <t>3 – Possible</t>
        </is>
      </c>
      <c r="O16" s="30">
        <f>IF(OR(M16="",N16=""),"",INDEX(RiskGrid,6-VALUE(LEFT(M16,1)),VALUE(LEFT(N16,1))))</f>
        <v/>
      </c>
      <c r="P16" s="30">
        <f>IF(O16="","",IF(O16&gt;=BandVH,"Very High",IF(O16&gt;=BandHigh,"High",IF(O16&gt;=BandMed,"Medium","Low"))))</f>
        <v/>
      </c>
      <c r="Q16" s="4" t="inlineStr">
        <is>
          <t>FSLL-4008 – Low-low combustion air flow trip (fan FN-4007) to BMS-4000</t>
        </is>
      </c>
      <c r="R16" s="19" t="inlineStr">
        <is>
          <t>Yes</t>
        </is>
      </c>
      <c r="S16" s="4" t="inlineStr">
        <is>
          <t>Cross-limited air / fuel ratio control</t>
        </is>
      </c>
      <c r="T16" s="19" t="inlineStr">
        <is>
          <t>No</t>
        </is>
      </c>
      <c r="U16" s="4" t="n"/>
      <c r="V16" s="19" t="n"/>
      <c r="W16" s="4" t="n"/>
      <c r="X16" s="19" t="n"/>
      <c r="Y16" s="4" t="n"/>
      <c r="Z16" s="19" t="n"/>
      <c r="AA16" s="4" t="n"/>
      <c r="AB16" s="19" t="n"/>
      <c r="AC16" s="5">
        <f>_xlfn.TEXTJOIN(CHAR(10),TRUE,IF(Q16="","","• "&amp;Q16&amp;IF(R16="Yes","  [IPL]","")),IF(S16="","","• "&amp;S16&amp;IF(T16="Yes","  [IPL]","")),IF(U16="","","• "&amp;U16&amp;IF(V16="Yes","  [IPL]","")),IF(W16="","","• "&amp;W16&amp;IF(X16="Yes","  [IPL]","")),IF(Y16="","","• "&amp;Y16&amp;IF(Z16="Yes","  [IPL]","")),IF(AA16="","","• "&amp;AA16&amp;IF(AB16="Yes","  [IPL]","")))</f>
        <v/>
      </c>
      <c r="AD16" s="30">
        <f>IF(AC16="","",COUNTIF(Q16:AB16,"Yes"))</f>
        <v/>
      </c>
      <c r="AE16" s="19" t="inlineStr">
        <is>
          <t>5 – Catastrophic</t>
        </is>
      </c>
      <c r="AF16" s="19" t="inlineStr">
        <is>
          <t>1 – Rare</t>
        </is>
      </c>
      <c r="AG16" s="30">
        <f>IF(OR(AE16="",AF16=""),"",INDEX(RiskGrid,6-VALUE(LEFT(AE16,1)),VALUE(LEFT(AF16,1))))</f>
        <v/>
      </c>
      <c r="AH16" s="30">
        <f>IF(AG16="","",IF(AG16&gt;=BandVH,"Very High",IF(AG16&gt;=BandHigh,"High",IF(AG16&gt;=BandMed,"Medium","Low"))))</f>
        <v/>
      </c>
      <c r="AI16" s="4" t="inlineStr"/>
      <c r="AJ16" s="4" t="inlineStr"/>
    </row>
    <row r="17" ht="90" customHeight="1">
      <c r="A17" s="30">
        <f>IF(B17="","",COUNTIF(B$14:B17,"?*"))</f>
        <v/>
      </c>
      <c r="B17" s="4" t="inlineStr">
        <is>
          <t>Timing / sequence</t>
        </is>
      </c>
      <c r="C17" s="19" t="inlineStr">
        <is>
          <t>BEFORE</t>
        </is>
      </c>
      <c r="D17" s="5">
        <f>IF(OR(B17="",C17=""),"",UPPER(LEFT(C17,1))&amp;LOWER(MID(C17,2,30))&amp;" "&amp;LOWER(LEFT(B17,1))&amp;MID(B17,2,200))</f>
        <v/>
      </c>
      <c r="E17" s="4" t="inlineStr">
        <is>
          <t>Purge interlock bypassed / forced</t>
        </is>
      </c>
      <c r="F17" s="4" t="inlineStr">
        <is>
          <t>Auto / manual facility and human error</t>
        </is>
      </c>
      <c r="G17" s="4" t="n"/>
      <c r="H17" s="4" t="n"/>
      <c r="I17" s="4" t="n"/>
      <c r="J17" s="4" t="n"/>
      <c r="K17" s="5">
        <f>_xlfn.TEXTJOIN(CHAR(10),TRUE,IF(E17="","","• "&amp;E17),IF(F17="","","• "&amp;F17),IF(G17="","","• "&amp;G17),IF(H17="","","• "&amp;H17),IF(I17="","","• "&amp;I17),IF(J17="","","• "&amp;J17))</f>
        <v/>
      </c>
      <c r="L17" s="4" t="inlineStr">
        <is>
          <t>Light-off into a furnace containing gas from a previous attempt – explosion
[N06-04] Bow tie BT-GN-02 threat T3.</t>
        </is>
      </c>
      <c r="M17" s="19" t="inlineStr">
        <is>
          <t>5 – Catastrophic</t>
        </is>
      </c>
      <c r="N17" s="19" t="inlineStr">
        <is>
          <t>3 – Possible</t>
        </is>
      </c>
      <c r="O17" s="30">
        <f>IF(OR(M17="",N17=""),"",INDEX(RiskGrid,6-VALUE(LEFT(M17,1)),VALUE(LEFT(N17,1))))</f>
        <v/>
      </c>
      <c r="P17" s="30">
        <f>IF(O17="","",IF(O17&gt;=BandVH,"Very High",IF(O17&gt;=BandHigh,"High",IF(O17&gt;=BandMed,"Medium","Low"))))</f>
        <v/>
      </c>
      <c r="Q17" s="4" t="inlineStr">
        <is>
          <t>BMS-4000 purge – BMS pre-purge interlock (≥ 4 volume changes with proven air flow) before light-off</t>
        </is>
      </c>
      <c r="R17" s="19" t="inlineStr">
        <is>
          <t>Yes</t>
        </is>
      </c>
      <c r="S17" s="4" t="inlineStr">
        <is>
          <t>Light-off procedure OP-RM-040 and checklist; no manual torch lighting</t>
        </is>
      </c>
      <c r="T17" s="19" t="inlineStr">
        <is>
          <t>No</t>
        </is>
      </c>
      <c r="U17" s="4" t="n"/>
      <c r="V17" s="19" t="n"/>
      <c r="W17" s="4" t="n"/>
      <c r="X17" s="19" t="n"/>
      <c r="Y17" s="4" t="n"/>
      <c r="Z17" s="19" t="n"/>
      <c r="AA17" s="4" t="n"/>
      <c r="AB17" s="19" t="n"/>
      <c r="AC17" s="5">
        <f>_xlfn.TEXTJOIN(CHAR(10),TRUE,IF(Q17="","","• "&amp;Q17&amp;IF(R17="Yes","  [IPL]","")),IF(S17="","","• "&amp;S17&amp;IF(T17="Yes","  [IPL]","")),IF(U17="","","• "&amp;U17&amp;IF(V17="Yes","  [IPL]","")),IF(W17="","","• "&amp;W17&amp;IF(X17="Yes","  [IPL]","")),IF(Y17="","","• "&amp;Y17&amp;IF(Z17="Yes","  [IPL]","")),IF(AA17="","","• "&amp;AA17&amp;IF(AB17="Yes","  [IPL]","")))</f>
        <v/>
      </c>
      <c r="AD17" s="30">
        <f>IF(AC17="","",COUNTIF(Q17:AB17,"Yes"))</f>
        <v/>
      </c>
      <c r="AE17" s="19" t="inlineStr">
        <is>
          <t>5 – Catastrophic</t>
        </is>
      </c>
      <c r="AF17" s="19" t="inlineStr">
        <is>
          <t>2 – Unlikely</t>
        </is>
      </c>
      <c r="AG17" s="30">
        <f>IF(OR(AE17="",AF17=""),"",INDEX(RiskGrid,6-VALUE(LEFT(AE17,1)),VALUE(LEFT(AF17,1))))</f>
        <v/>
      </c>
      <c r="AH17" s="30">
        <f>IF(AG17="","",IF(AG17&gt;=BandVH,"Very High",IF(AG17&gt;=BandHigh,"High",IF(AG17&gt;=BandMed,"Medium","Low"))))</f>
        <v/>
      </c>
      <c r="AI17" s="4" t="inlineStr">
        <is>
          <t>R-012 Bypass / override management for BMS, SIS and gas detectors: authorisation, time limit, logging and monthly audit; BMS logic changes only under MOC.</t>
        </is>
      </c>
      <c r="AJ17" s="4" t="inlineStr">
        <is>
          <t>HSE / process safety</t>
        </is>
      </c>
    </row>
    <row r="18" ht="90" customHeight="1">
      <c r="A18" s="30">
        <f>IF(B18="","",COUNTIF(B$14:B18,"?*"))</f>
        <v/>
      </c>
      <c r="B18" s="4" t="inlineStr">
        <is>
          <t>Process gas (CO, H2 – BFG, COG, LD gas, reducing gas)</t>
        </is>
      </c>
      <c r="C18" s="19" t="inlineStr">
        <is>
          <t>LEAK OF</t>
        </is>
      </c>
      <c r="D18" s="5">
        <f>IF(OR(B18="",C18=""),"",UPPER(LEFT(C18,1))&amp;LOWER(MID(C18,2,30))&amp;" "&amp;LOWER(LEFT(B18,1))&amp;MID(B18,2,200))</f>
        <v/>
      </c>
      <c r="E18" s="4" t="inlineStr">
        <is>
          <t>Poor isolation / passing valves</t>
        </is>
      </c>
      <c r="F18" s="4" t="inlineStr">
        <is>
          <t>Isolation failure during maintenance (no double block and bleed, no blinding)</t>
        </is>
      </c>
      <c r="G18" s="4" t="n"/>
      <c r="H18" s="4" t="n"/>
      <c r="I18" s="4" t="n"/>
      <c r="J18" s="4" t="n"/>
      <c r="K18" s="5">
        <f>_xlfn.TEXTJOIN(CHAR(10),TRUE,IF(E18="","","• "&amp;E18),IF(F18="","","• "&amp;F18),IF(G18="","","• "&amp;G18),IF(H18="","","• "&amp;H18),IF(I18="","","• "&amp;I18),IF(J18="","","• "&amp;J18))</f>
        <v/>
      </c>
      <c r="L18" s="4" t="inlineStr">
        <is>
          <t>Gas accumulates in a cold, idle furnace – explosion at the next light-off or hot work; asphyxiation / fire during furnace entry
[N06-05] Bow tie BT-GN-02 threat T2; FMECA S06 XV-4002A (leakage in closed position).</t>
        </is>
      </c>
      <c r="M18" s="19" t="inlineStr">
        <is>
          <t>5 – Catastrophic</t>
        </is>
      </c>
      <c r="N18" s="19" t="inlineStr">
        <is>
          <t>3 – Possible</t>
        </is>
      </c>
      <c r="O18" s="30">
        <f>IF(OR(M18="",N18=""),"",INDEX(RiskGrid,6-VALUE(LEFT(M18,1)),VALUE(LEFT(N18,1))))</f>
        <v/>
      </c>
      <c r="P18" s="30">
        <f>IF(O18="","",IF(O18&gt;=BandVH,"Very High",IF(O18&gt;=BandHigh,"High",IF(O18&gt;=BandMed,"Medium","Low"))))</f>
        <v/>
      </c>
      <c r="Q18" s="4" t="inlineStr">
        <is>
          <t>VPS-4004 – Valve proving system – tightness test of XV-4002A/B before light-off; DBB vent XV-4003</t>
        </is>
      </c>
      <c r="R18" s="19" t="inlineStr">
        <is>
          <t>Yes</t>
        </is>
      </c>
      <c r="S18" s="4" t="inlineStr">
        <is>
          <t>Positive isolation (spade / spectacle blind) of fuel gas for furnace entry and extended shutdowns; gas test before entry</t>
        </is>
      </c>
      <c r="T18" s="19" t="inlineStr">
        <is>
          <t>No</t>
        </is>
      </c>
      <c r="U18" s="4" t="n"/>
      <c r="V18" s="19" t="n"/>
      <c r="W18" s="4" t="n"/>
      <c r="X18" s="19" t="n"/>
      <c r="Y18" s="4" t="n"/>
      <c r="Z18" s="19" t="n"/>
      <c r="AA18" s="4" t="n"/>
      <c r="AB18" s="19" t="n"/>
      <c r="AC18" s="5">
        <f>_xlfn.TEXTJOIN(CHAR(10),TRUE,IF(Q18="","","• "&amp;Q18&amp;IF(R18="Yes","  [IPL]","")),IF(S18="","","• "&amp;S18&amp;IF(T18="Yes","  [IPL]","")),IF(U18="","","• "&amp;U18&amp;IF(V18="Yes","  [IPL]","")),IF(W18="","","• "&amp;W18&amp;IF(X18="Yes","  [IPL]","")),IF(Y18="","","• "&amp;Y18&amp;IF(Z18="Yes","  [IPL]","")),IF(AA18="","","• "&amp;AA18&amp;IF(AB18="Yes","  [IPL]","")))</f>
        <v/>
      </c>
      <c r="AD18" s="30">
        <f>IF(AC18="","",COUNTIF(Q18:AB18,"Yes"))</f>
        <v/>
      </c>
      <c r="AE18" s="19" t="inlineStr">
        <is>
          <t>5 – Catastrophic</t>
        </is>
      </c>
      <c r="AF18" s="19" t="inlineStr">
        <is>
          <t>2 – Unlikely</t>
        </is>
      </c>
      <c r="AG18" s="30">
        <f>IF(OR(AE18="",AF18=""),"",INDEX(RiskGrid,6-VALUE(LEFT(AE18,1)),VALUE(LEFT(AF18,1))))</f>
        <v/>
      </c>
      <c r="AH18" s="30">
        <f>IF(AG18="","",IF(AG18&gt;=BandVH,"Very High",IF(AG18&gt;=BandHigh,"High",IF(AG18&gt;=BandMed,"Medium","Low"))))</f>
        <v/>
      </c>
      <c r="AI18" s="4" t="inlineStr">
        <is>
          <t>R-011 Valve proving (VPS-4004) of XV-4002A/B before every light-off; positive isolation (spade) for furnace entry and extended shutdowns (bow tie BT-GN-02 threat 2).</t>
        </is>
      </c>
      <c r="AJ18" s="4" t="inlineStr">
        <is>
          <t>Rolling-mill superintendent</t>
        </is>
      </c>
    </row>
    <row r="19" ht="90" customHeight="1">
      <c r="A19" s="30">
        <f>IF(B19="","",COUNTIF(B$14:B19,"?*"))</f>
        <v/>
      </c>
      <c r="B19" s="4" t="inlineStr">
        <is>
          <t>Process control / instrumentation</t>
        </is>
      </c>
      <c r="C19" s="19" t="inlineStr">
        <is>
          <t>LOSS OF</t>
        </is>
      </c>
      <c r="D19" s="5">
        <f>IF(OR(B19="",C19=""),"",UPPER(LEFT(C19,1))&amp;LOWER(MID(C19,2,30))&amp;" "&amp;LOWER(LEFT(B19,1))&amp;MID(B19,2,200))</f>
        <v/>
      </c>
      <c r="E19" s="4" t="inlineStr">
        <is>
          <t>Alarm flooding; bypassed trips</t>
        </is>
      </c>
      <c r="F19" s="4" t="inlineStr">
        <is>
          <t>Alarm and trip testing not done</t>
        </is>
      </c>
      <c r="G19" s="4" t="inlineStr">
        <is>
          <t>Control philosophy unclear</t>
        </is>
      </c>
      <c r="H19" s="4" t="n"/>
      <c r="I19" s="4" t="n"/>
      <c r="J19" s="4" t="n"/>
      <c r="K19" s="5">
        <f>_xlfn.TEXTJOIN(CHAR(10),TRUE,IF(E19="","","• "&amp;E19),IF(F19="","","• "&amp;F19),IF(G19="","","• "&amp;G19),IF(H19="","","• "&amp;H19),IF(I19="","","• "&amp;I19),IF(J19="","","• "&amp;J19))</f>
        <v/>
      </c>
      <c r="L19" s="4" t="inlineStr">
        <is>
          <t>Flame-failure, purge or pressure trips not available – as N06-01 / N06-04
[N06-06] Bypass of the BMS is event BE-009 in fault tree FT-GN-03.</t>
        </is>
      </c>
      <c r="M19" s="19" t="inlineStr">
        <is>
          <t>5 – Catastrophic</t>
        </is>
      </c>
      <c r="N19" s="19" t="inlineStr">
        <is>
          <t>3 – Possible</t>
        </is>
      </c>
      <c r="O19" s="30">
        <f>IF(OR(M19="",N19=""),"",INDEX(RiskGrid,6-VALUE(LEFT(M19,1)),VALUE(LEFT(N19,1))))</f>
        <v/>
      </c>
      <c r="P19" s="30">
        <f>IF(O19="","",IF(O19&gt;=BandVH,"Very High",IF(O19&gt;=BandHigh,"High",IF(O19&gt;=BandMed,"Medium","Low"))))</f>
        <v/>
      </c>
      <c r="Q19" s="4" t="inlineStr">
        <is>
          <t>Bypass / override management – authorised, time-limited, logged; monthly audit</t>
        </is>
      </c>
      <c r="R19" s="19" t="inlineStr">
        <is>
          <t>No</t>
        </is>
      </c>
      <c r="S19" s="4" t="inlineStr">
        <is>
          <t>Management of change for BMS / SIS logic and set-point changes</t>
        </is>
      </c>
      <c r="T19" s="19" t="inlineStr">
        <is>
          <t>No</t>
        </is>
      </c>
      <c r="U19" s="4" t="n"/>
      <c r="V19" s="19" t="n"/>
      <c r="W19" s="4" t="n"/>
      <c r="X19" s="19" t="n"/>
      <c r="Y19" s="4" t="n"/>
      <c r="Z19" s="19" t="n"/>
      <c r="AA19" s="4" t="n"/>
      <c r="AB19" s="19" t="n"/>
      <c r="AC19" s="5">
        <f>_xlfn.TEXTJOIN(CHAR(10),TRUE,IF(Q19="","","• "&amp;Q19&amp;IF(R19="Yes","  [IPL]","")),IF(S19="","","• "&amp;S19&amp;IF(T19="Yes","  [IPL]","")),IF(U19="","","• "&amp;U19&amp;IF(V19="Yes","  [IPL]","")),IF(W19="","","• "&amp;W19&amp;IF(X19="Yes","  [IPL]","")),IF(Y19="","","• "&amp;Y19&amp;IF(Z19="Yes","  [IPL]","")),IF(AA19="","","• "&amp;AA19&amp;IF(AB19="Yes","  [IPL]","")))</f>
        <v/>
      </c>
      <c r="AD19" s="30">
        <f>IF(AC19="","",COUNTIF(Q19:AB19,"Yes"))</f>
        <v/>
      </c>
      <c r="AE19" s="19" t="inlineStr">
        <is>
          <t>5 – Catastrophic</t>
        </is>
      </c>
      <c r="AF19" s="19" t="inlineStr">
        <is>
          <t>2 – Unlikely</t>
        </is>
      </c>
      <c r="AG19" s="30">
        <f>IF(OR(AE19="",AF19=""),"",INDEX(RiskGrid,6-VALUE(LEFT(AE19,1)),VALUE(LEFT(AF19,1))))</f>
        <v/>
      </c>
      <c r="AH19" s="30">
        <f>IF(AG19="","",IF(AG19&gt;=BandVH,"Very High",IF(AG19&gt;=BandHigh,"High",IF(AG19&gt;=BandMed,"Medium","Low"))))</f>
        <v/>
      </c>
      <c r="AI19" s="4" t="inlineStr">
        <is>
          <t>R-012 Bypass / override management for BMS, SIS and gas detectors: authorisation, time limit, logging and monthly audit; BMS logic changes only under MOC.</t>
        </is>
      </c>
      <c r="AJ19" s="4" t="inlineStr">
        <is>
          <t>HSE / process safety</t>
        </is>
      </c>
    </row>
    <row r="20" ht="90" customHeight="1">
      <c r="A20" s="30">
        <f>IF(B20="","",COUNTIF(B$14:B20,"?*"))</f>
        <v/>
      </c>
      <c r="B20" s="4" t="inlineStr">
        <is>
          <t>Maintenance</t>
        </is>
      </c>
      <c r="C20" s="19" t="inlineStr">
        <is>
          <t>INADEQUATE</t>
        </is>
      </c>
      <c r="D20" s="5">
        <f>IF(OR(B20="",C20=""),"",UPPER(LEFT(C20,1))&amp;LOWER(MID(C20,2,30))&amp;" "&amp;LOWER(LEFT(B20,1))&amp;MID(B20,2,200))</f>
        <v/>
      </c>
      <c r="E20" s="4" t="inlineStr">
        <is>
          <t>Isolation, drainage, purging</t>
        </is>
      </c>
      <c r="F20" s="4" t="inlineStr">
        <is>
          <t>Slip plates</t>
        </is>
      </c>
      <c r="G20" s="4" t="inlineStr">
        <is>
          <t>Rescue plan</t>
        </is>
      </c>
      <c r="H20" s="4" t="n"/>
      <c r="I20" s="4" t="n"/>
      <c r="J20" s="4" t="n"/>
      <c r="K20" s="5">
        <f>_xlfn.TEXTJOIN(CHAR(10),TRUE,IF(E20="","","• "&amp;E20),IF(F20="","","• "&amp;F20),IF(G20="","","• "&amp;G20),IF(H20="","","• "&amp;H20),IF(I20="","","• "&amp;I20),IF(J20="","","• "&amp;J20))</f>
        <v/>
      </c>
      <c r="L20" s="4" t="inlineStr">
        <is>
          <t>Fire / explosion or asphyxiation of people inside the furnace
[N06-07]</t>
        </is>
      </c>
      <c r="M20" s="19" t="inlineStr">
        <is>
          <t>5 – Catastrophic</t>
        </is>
      </c>
      <c r="N20" s="19" t="inlineStr">
        <is>
          <t>2 – Unlikely</t>
        </is>
      </c>
      <c r="O20" s="30">
        <f>IF(OR(M20="",N20=""),"",INDEX(RiskGrid,6-VALUE(LEFT(M20,1)),VALUE(LEFT(N20,1))))</f>
        <v/>
      </c>
      <c r="P20" s="30">
        <f>IF(O20="","",IF(O20&gt;=BandVH,"Very High",IF(O20&gt;=BandHigh,"High",IF(O20&gt;=BandMed,"Medium","Low"))))</f>
        <v/>
      </c>
      <c r="Q20" s="4" t="inlineStr">
        <is>
          <t>Positive isolation (spade / spectacle blind) of fuel gas for furnace entry and extended shutdowns; gas test before entry</t>
        </is>
      </c>
      <c r="R20" s="19" t="inlineStr">
        <is>
          <t>No</t>
        </is>
      </c>
      <c r="S20" s="4" t="inlineStr">
        <is>
          <t>Permit-to-work with isolation verification (DBB / spades), gas-free test and fire watch</t>
        </is>
      </c>
      <c r="T20" s="19" t="inlineStr">
        <is>
          <t>No</t>
        </is>
      </c>
      <c r="U20" s="4" t="inlineStr">
        <is>
          <t>Personal O2 monitors; confined-space entry permit for shelters, pits and furnaces</t>
        </is>
      </c>
      <c r="V20" s="19" t="inlineStr">
        <is>
          <t>No</t>
        </is>
      </c>
      <c r="W20" s="4" t="n"/>
      <c r="X20" s="19" t="n"/>
      <c r="Y20" s="4" t="n"/>
      <c r="Z20" s="19" t="n"/>
      <c r="AA20" s="4" t="n"/>
      <c r="AB20" s="19" t="n"/>
      <c r="AC20" s="5">
        <f>_xlfn.TEXTJOIN(CHAR(10),TRUE,IF(Q20="","","• "&amp;Q20&amp;IF(R20="Yes","  [IPL]","")),IF(S20="","","• "&amp;S20&amp;IF(T20="Yes","  [IPL]","")),IF(U20="","","• "&amp;U20&amp;IF(V20="Yes","  [IPL]","")),IF(W20="","","• "&amp;W20&amp;IF(X20="Yes","  [IPL]","")),IF(Y20="","","• "&amp;Y20&amp;IF(Z20="Yes","  [IPL]","")),IF(AA20="","","• "&amp;AA20&amp;IF(AB20="Yes","  [IPL]","")))</f>
        <v/>
      </c>
      <c r="AD20" s="30">
        <f>IF(AC20="","",COUNTIF(Q20:AB20,"Yes"))</f>
        <v/>
      </c>
      <c r="AE20" s="19" t="inlineStr">
        <is>
          <t>5 – Catastrophic</t>
        </is>
      </c>
      <c r="AF20" s="19" t="inlineStr">
        <is>
          <t>1 – Rare</t>
        </is>
      </c>
      <c r="AG20" s="30">
        <f>IF(OR(AE20="",AF20=""),"",INDEX(RiskGrid,6-VALUE(LEFT(AE20,1)),VALUE(LEFT(AF20,1))))</f>
        <v/>
      </c>
      <c r="AH20" s="30">
        <f>IF(AG20="","",IF(AG20&gt;=BandVH,"Very High",IF(AG20&gt;=BandHigh,"High",IF(AG20&gt;=BandMed,"Medium","Low"))))</f>
        <v/>
      </c>
      <c r="AI20" s="4" t="inlineStr">
        <is>
          <t>R-011 Valve proving (VPS-4004) of XV-4002A/B before every light-off; positive isolation (spade) for furnace entry and extended shutdowns (bow tie BT-GN-02 threat 2).</t>
        </is>
      </c>
      <c r="AJ20" s="4" t="inlineStr">
        <is>
          <t>Rolling-mill superintendent</t>
        </is>
      </c>
    </row>
    <row r="21">
      <c r="A21" s="30">
        <f>IF(B21="","",COUNTIF(B$14:B21,"?*"))</f>
        <v/>
      </c>
      <c r="B21" s="4" t="n"/>
      <c r="C21" s="19" t="n"/>
      <c r="D21" s="5">
        <f>IF(OR(B21="",C21=""),"",UPPER(LEFT(C21,1))&amp;LOWER(MID(C21,2,30))&amp;" "&amp;LOWER(LEFT(B21,1))&amp;MID(B21,2,200))</f>
        <v/>
      </c>
      <c r="E21" s="4" t="n"/>
      <c r="F21" s="4" t="n"/>
      <c r="G21" s="4" t="n"/>
      <c r="H21" s="4" t="n"/>
      <c r="I21" s="4" t="n"/>
      <c r="J21" s="4" t="n"/>
      <c r="K21" s="5">
        <f>_xlfn.TEXTJOIN(CHAR(10),TRUE,IF(E21="","","• "&amp;E21),IF(F21="","","• "&amp;F21),IF(G21="","","• "&amp;G21),IF(H21="","","• "&amp;H21),IF(I21="","","• "&amp;I21),IF(J21="","","• "&amp;J21))</f>
        <v/>
      </c>
      <c r="L21" s="4" t="n"/>
      <c r="M21" s="19" t="n"/>
      <c r="N21" s="19" t="n"/>
      <c r="O21" s="30">
        <f>IF(OR(M21="",N21=""),"",INDEX(RiskGrid,6-VALUE(LEFT(M21,1)),VALUE(LEFT(N21,1))))</f>
        <v/>
      </c>
      <c r="P21" s="30">
        <f>IF(O21="","",IF(O21&gt;=BandVH,"Very High",IF(O21&gt;=BandHigh,"High",IF(O21&gt;=BandMed,"Medium","Low"))))</f>
        <v/>
      </c>
      <c r="Q21" s="4" t="n"/>
      <c r="R21" s="19" t="n"/>
      <c r="S21" s="4" t="n"/>
      <c r="T21" s="19" t="n"/>
      <c r="U21" s="4" t="n"/>
      <c r="V21" s="19" t="n"/>
      <c r="W21" s="4" t="n"/>
      <c r="X21" s="19" t="n"/>
      <c r="Y21" s="4" t="n"/>
      <c r="Z21" s="19" t="n"/>
      <c r="AA21" s="4" t="n"/>
      <c r="AB21" s="19" t="n"/>
      <c r="AC21" s="5">
        <f>_xlfn.TEXTJOIN(CHAR(10),TRUE,IF(Q21="","","• "&amp;Q21&amp;IF(R21="Yes","  [IPL]","")),IF(S21="","","• "&amp;S21&amp;IF(T21="Yes","  [IPL]","")),IF(U21="","","• "&amp;U21&amp;IF(V21="Yes","  [IPL]","")),IF(W21="","","• "&amp;W21&amp;IF(X21="Yes","  [IPL]","")),IF(Y21="","","• "&amp;Y21&amp;IF(Z21="Yes","  [IPL]","")),IF(AA21="","","• "&amp;AA21&amp;IF(AB21="Yes","  [IPL]","")))</f>
        <v/>
      </c>
      <c r="AD21" s="30">
        <f>IF(AC21="","",COUNTIF(Q21:AB21,"Yes"))</f>
        <v/>
      </c>
      <c r="AE21" s="19" t="n"/>
      <c r="AF21" s="19" t="n"/>
      <c r="AG21" s="30">
        <f>IF(OR(AE21="",AF21=""),"",INDEX(RiskGrid,6-VALUE(LEFT(AE21,1)),VALUE(LEFT(AF21,1))))</f>
        <v/>
      </c>
      <c r="AH21" s="30">
        <f>IF(AG21="","",IF(AG21&gt;=BandVH,"Very High",IF(AG21&gt;=BandHigh,"High",IF(AG21&gt;=BandMed,"Medium","Low"))))</f>
        <v/>
      </c>
      <c r="AI21" s="4" t="n"/>
      <c r="AJ21" s="4" t="n"/>
    </row>
    <row r="22">
      <c r="A22" s="30">
        <f>IF(B22="","",COUNTIF(B$14:B22,"?*"))</f>
        <v/>
      </c>
      <c r="B22" s="4" t="n"/>
      <c r="C22" s="19" t="n"/>
      <c r="D22" s="5">
        <f>IF(OR(B22="",C22=""),"",UPPER(LEFT(C22,1))&amp;LOWER(MID(C22,2,30))&amp;" "&amp;LOWER(LEFT(B22,1))&amp;MID(B22,2,200))</f>
        <v/>
      </c>
      <c r="E22" s="4" t="n"/>
      <c r="F22" s="4" t="n"/>
      <c r="G22" s="4" t="n"/>
      <c r="H22" s="4" t="n"/>
      <c r="I22" s="4" t="n"/>
      <c r="J22" s="4" t="n"/>
      <c r="K22" s="5">
        <f>_xlfn.TEXTJOIN(CHAR(10),TRUE,IF(E22="","","• "&amp;E22),IF(F22="","","• "&amp;F22),IF(G22="","","• "&amp;G22),IF(H22="","","• "&amp;H22),IF(I22="","","• "&amp;I22),IF(J22="","","• "&amp;J22))</f>
        <v/>
      </c>
      <c r="L22" s="4" t="n"/>
      <c r="M22" s="19" t="n"/>
      <c r="N22" s="19" t="n"/>
      <c r="O22" s="30">
        <f>IF(OR(M22="",N22=""),"",INDEX(RiskGrid,6-VALUE(LEFT(M22,1)),VALUE(LEFT(N22,1))))</f>
        <v/>
      </c>
      <c r="P22" s="30">
        <f>IF(O22="","",IF(O22&gt;=BandVH,"Very High",IF(O22&gt;=BandHigh,"High",IF(O22&gt;=BandMed,"Medium","Low"))))</f>
        <v/>
      </c>
      <c r="Q22" s="4" t="n"/>
      <c r="R22" s="19" t="n"/>
      <c r="S22" s="4" t="n"/>
      <c r="T22" s="19" t="n"/>
      <c r="U22" s="4" t="n"/>
      <c r="V22" s="19" t="n"/>
      <c r="W22" s="4" t="n"/>
      <c r="X22" s="19" t="n"/>
      <c r="Y22" s="4" t="n"/>
      <c r="Z22" s="19" t="n"/>
      <c r="AA22" s="4" t="n"/>
      <c r="AB22" s="19" t="n"/>
      <c r="AC22" s="5">
        <f>_xlfn.TEXTJOIN(CHAR(10),TRUE,IF(Q22="","","• "&amp;Q22&amp;IF(R22="Yes","  [IPL]","")),IF(S22="","","• "&amp;S22&amp;IF(T22="Yes","  [IPL]","")),IF(U22="","","• "&amp;U22&amp;IF(V22="Yes","  [IPL]","")),IF(W22="","","• "&amp;W22&amp;IF(X22="Yes","  [IPL]","")),IF(Y22="","","• "&amp;Y22&amp;IF(Z22="Yes","  [IPL]","")),IF(AA22="","","• "&amp;AA22&amp;IF(AB22="Yes","  [IPL]","")))</f>
        <v/>
      </c>
      <c r="AD22" s="30">
        <f>IF(AC22="","",COUNTIF(Q22:AB22,"Yes"))</f>
        <v/>
      </c>
      <c r="AE22" s="19" t="n"/>
      <c r="AF22" s="19" t="n"/>
      <c r="AG22" s="30">
        <f>IF(OR(AE22="",AF22=""),"",INDEX(RiskGrid,6-VALUE(LEFT(AE22,1)),VALUE(LEFT(AF22,1))))</f>
        <v/>
      </c>
      <c r="AH22" s="30">
        <f>IF(AG22="","",IF(AG22&gt;=BandVH,"Very High",IF(AG22&gt;=BandHigh,"High",IF(AG22&gt;=BandMed,"Medium","Low"))))</f>
        <v/>
      </c>
      <c r="AI22" s="4" t="n"/>
      <c r="AJ22" s="4" t="n"/>
    </row>
    <row r="23">
      <c r="A23" s="30">
        <f>IF(B23="","",COUNTIF(B$14:B23,"?*"))</f>
        <v/>
      </c>
      <c r="B23" s="4" t="n"/>
      <c r="C23" s="19" t="n"/>
      <c r="D23" s="5">
        <f>IF(OR(B23="",C23=""),"",UPPER(LEFT(C23,1))&amp;LOWER(MID(C23,2,30))&amp;" "&amp;LOWER(LEFT(B23,1))&amp;MID(B23,2,200))</f>
        <v/>
      </c>
      <c r="E23" s="4" t="n"/>
      <c r="F23" s="4" t="n"/>
      <c r="G23" s="4" t="n"/>
      <c r="H23" s="4" t="n"/>
      <c r="I23" s="4" t="n"/>
      <c r="J23" s="4" t="n"/>
      <c r="K23" s="5">
        <f>_xlfn.TEXTJOIN(CHAR(10),TRUE,IF(E23="","","• "&amp;E23),IF(F23="","","• "&amp;F23),IF(G23="","","• "&amp;G23),IF(H23="","","• "&amp;H23),IF(I23="","","• "&amp;I23),IF(J23="","","• "&amp;J23))</f>
        <v/>
      </c>
      <c r="L23" s="4" t="n"/>
      <c r="M23" s="19" t="n"/>
      <c r="N23" s="19" t="n"/>
      <c r="O23" s="30">
        <f>IF(OR(M23="",N23=""),"",INDEX(RiskGrid,6-VALUE(LEFT(M23,1)),VALUE(LEFT(N23,1))))</f>
        <v/>
      </c>
      <c r="P23" s="30">
        <f>IF(O23="","",IF(O23&gt;=BandVH,"Very High",IF(O23&gt;=BandHigh,"High",IF(O23&gt;=BandMed,"Medium","Low"))))</f>
        <v/>
      </c>
      <c r="Q23" s="4" t="n"/>
      <c r="R23" s="19" t="n"/>
      <c r="S23" s="4" t="n"/>
      <c r="T23" s="19" t="n"/>
      <c r="U23" s="4" t="n"/>
      <c r="V23" s="19" t="n"/>
      <c r="W23" s="4" t="n"/>
      <c r="X23" s="19" t="n"/>
      <c r="Y23" s="4" t="n"/>
      <c r="Z23" s="19" t="n"/>
      <c r="AA23" s="4" t="n"/>
      <c r="AB23" s="19" t="n"/>
      <c r="AC23" s="5">
        <f>_xlfn.TEXTJOIN(CHAR(10),TRUE,IF(Q23="","","• "&amp;Q23&amp;IF(R23="Yes","  [IPL]","")),IF(S23="","","• "&amp;S23&amp;IF(T23="Yes","  [IPL]","")),IF(U23="","","• "&amp;U23&amp;IF(V23="Yes","  [IPL]","")),IF(W23="","","• "&amp;W23&amp;IF(X23="Yes","  [IPL]","")),IF(Y23="","","• "&amp;Y23&amp;IF(Z23="Yes","  [IPL]","")),IF(AA23="","","• "&amp;AA23&amp;IF(AB23="Yes","  [IPL]","")))</f>
        <v/>
      </c>
      <c r="AD23" s="30">
        <f>IF(AC23="","",COUNTIF(Q23:AB23,"Yes"))</f>
        <v/>
      </c>
      <c r="AE23" s="19" t="n"/>
      <c r="AF23" s="19" t="n"/>
      <c r="AG23" s="30">
        <f>IF(OR(AE23="",AF23=""),"",INDEX(RiskGrid,6-VALUE(LEFT(AE23,1)),VALUE(LEFT(AF23,1))))</f>
        <v/>
      </c>
      <c r="AH23" s="30">
        <f>IF(AG23="","",IF(AG23&gt;=BandVH,"Very High",IF(AG23&gt;=BandHigh,"High",IF(AG23&gt;=BandMed,"Medium","Low"))))</f>
        <v/>
      </c>
      <c r="AI23" s="4" t="n"/>
      <c r="AJ23" s="4" t="n"/>
    </row>
    <row r="24">
      <c r="A24" s="30">
        <f>IF(B24="","",COUNTIF(B$14:B24,"?*"))</f>
        <v/>
      </c>
      <c r="B24" s="4" t="n"/>
      <c r="C24" s="19" t="n"/>
      <c r="D24" s="5">
        <f>IF(OR(B24="",C24=""),"",UPPER(LEFT(C24,1))&amp;LOWER(MID(C24,2,30))&amp;" "&amp;LOWER(LEFT(B24,1))&amp;MID(B24,2,200))</f>
        <v/>
      </c>
      <c r="E24" s="4" t="n"/>
      <c r="F24" s="4" t="n"/>
      <c r="G24" s="4" t="n"/>
      <c r="H24" s="4" t="n"/>
      <c r="I24" s="4" t="n"/>
      <c r="J24" s="4" t="n"/>
      <c r="K24" s="5">
        <f>_xlfn.TEXTJOIN(CHAR(10),TRUE,IF(E24="","","• "&amp;E24),IF(F24="","","• "&amp;F24),IF(G24="","","• "&amp;G24),IF(H24="","","• "&amp;H24),IF(I24="","","• "&amp;I24),IF(J24="","","• "&amp;J24))</f>
        <v/>
      </c>
      <c r="L24" s="4" t="n"/>
      <c r="M24" s="19" t="n"/>
      <c r="N24" s="19" t="n"/>
      <c r="O24" s="30">
        <f>IF(OR(M24="",N24=""),"",INDEX(RiskGrid,6-VALUE(LEFT(M24,1)),VALUE(LEFT(N24,1))))</f>
        <v/>
      </c>
      <c r="P24" s="30">
        <f>IF(O24="","",IF(O24&gt;=BandVH,"Very High",IF(O24&gt;=BandHigh,"High",IF(O24&gt;=BandMed,"Medium","Low"))))</f>
        <v/>
      </c>
      <c r="Q24" s="4" t="n"/>
      <c r="R24" s="19" t="n"/>
      <c r="S24" s="4" t="n"/>
      <c r="T24" s="19" t="n"/>
      <c r="U24" s="4" t="n"/>
      <c r="V24" s="19" t="n"/>
      <c r="W24" s="4" t="n"/>
      <c r="X24" s="19" t="n"/>
      <c r="Y24" s="4" t="n"/>
      <c r="Z24" s="19" t="n"/>
      <c r="AA24" s="4" t="n"/>
      <c r="AB24" s="19" t="n"/>
      <c r="AC24" s="5">
        <f>_xlfn.TEXTJOIN(CHAR(10),TRUE,IF(Q24="","","• "&amp;Q24&amp;IF(R24="Yes","  [IPL]","")),IF(S24="","","• "&amp;S24&amp;IF(T24="Yes","  [IPL]","")),IF(U24="","","• "&amp;U24&amp;IF(V24="Yes","  [IPL]","")),IF(W24="","","• "&amp;W24&amp;IF(X24="Yes","  [IPL]","")),IF(Y24="","","• "&amp;Y24&amp;IF(Z24="Yes","  [IPL]","")),IF(AA24="","","• "&amp;AA24&amp;IF(AB24="Yes","  [IPL]","")))</f>
        <v/>
      </c>
      <c r="AD24" s="30">
        <f>IF(AC24="","",COUNTIF(Q24:AB24,"Yes"))</f>
        <v/>
      </c>
      <c r="AE24" s="19" t="n"/>
      <c r="AF24" s="19" t="n"/>
      <c r="AG24" s="30">
        <f>IF(OR(AE24="",AF24=""),"",INDEX(RiskGrid,6-VALUE(LEFT(AE24,1)),VALUE(LEFT(AF24,1))))</f>
        <v/>
      </c>
      <c r="AH24" s="30">
        <f>IF(AG24="","",IF(AG24&gt;=BandVH,"Very High",IF(AG24&gt;=BandHigh,"High",IF(AG24&gt;=BandMed,"Medium","Low"))))</f>
        <v/>
      </c>
      <c r="AI24" s="4" t="n"/>
      <c r="AJ24" s="4" t="n"/>
    </row>
    <row r="25">
      <c r="A25" s="30">
        <f>IF(B25="","",COUNTIF(B$14:B25,"?*"))</f>
        <v/>
      </c>
      <c r="B25" s="4" t="n"/>
      <c r="C25" s="19" t="n"/>
      <c r="D25" s="5">
        <f>IF(OR(B25="",C25=""),"",UPPER(LEFT(C25,1))&amp;LOWER(MID(C25,2,30))&amp;" "&amp;LOWER(LEFT(B25,1))&amp;MID(B25,2,200))</f>
        <v/>
      </c>
      <c r="E25" s="4" t="n"/>
      <c r="F25" s="4" t="n"/>
      <c r="G25" s="4" t="n"/>
      <c r="H25" s="4" t="n"/>
      <c r="I25" s="4" t="n"/>
      <c r="J25" s="4" t="n"/>
      <c r="K25" s="5">
        <f>_xlfn.TEXTJOIN(CHAR(10),TRUE,IF(E25="","","• "&amp;E25),IF(F25="","","• "&amp;F25),IF(G25="","","• "&amp;G25),IF(H25="","","• "&amp;H25),IF(I25="","","• "&amp;I25),IF(J25="","","• "&amp;J25))</f>
        <v/>
      </c>
      <c r="L25" s="4" t="n"/>
      <c r="M25" s="19" t="n"/>
      <c r="N25" s="19" t="n"/>
      <c r="O25" s="30">
        <f>IF(OR(M25="",N25=""),"",INDEX(RiskGrid,6-VALUE(LEFT(M25,1)),VALUE(LEFT(N25,1))))</f>
        <v/>
      </c>
      <c r="P25" s="30">
        <f>IF(O25="","",IF(O25&gt;=BandVH,"Very High",IF(O25&gt;=BandHigh,"High",IF(O25&gt;=BandMed,"Medium","Low"))))</f>
        <v/>
      </c>
      <c r="Q25" s="4" t="n"/>
      <c r="R25" s="19" t="n"/>
      <c r="S25" s="4" t="n"/>
      <c r="T25" s="19" t="n"/>
      <c r="U25" s="4" t="n"/>
      <c r="V25" s="19" t="n"/>
      <c r="W25" s="4" t="n"/>
      <c r="X25" s="19" t="n"/>
      <c r="Y25" s="4" t="n"/>
      <c r="Z25" s="19" t="n"/>
      <c r="AA25" s="4" t="n"/>
      <c r="AB25" s="19" t="n"/>
      <c r="AC25" s="5">
        <f>_xlfn.TEXTJOIN(CHAR(10),TRUE,IF(Q25="","","• "&amp;Q25&amp;IF(R25="Yes","  [IPL]","")),IF(S25="","","• "&amp;S25&amp;IF(T25="Yes","  [IPL]","")),IF(U25="","","• "&amp;U25&amp;IF(V25="Yes","  [IPL]","")),IF(W25="","","• "&amp;W25&amp;IF(X25="Yes","  [IPL]","")),IF(Y25="","","• "&amp;Y25&amp;IF(Z25="Yes","  [IPL]","")),IF(AA25="","","• "&amp;AA25&amp;IF(AB25="Yes","  [IPL]","")))</f>
        <v/>
      </c>
      <c r="AD25" s="30">
        <f>IF(AC25="","",COUNTIF(Q25:AB25,"Yes"))</f>
        <v/>
      </c>
      <c r="AE25" s="19" t="n"/>
      <c r="AF25" s="19" t="n"/>
      <c r="AG25" s="30">
        <f>IF(OR(AE25="",AF25=""),"",INDEX(RiskGrid,6-VALUE(LEFT(AE25,1)),VALUE(LEFT(AF25,1))))</f>
        <v/>
      </c>
      <c r="AH25" s="30">
        <f>IF(AG25="","",IF(AG25&gt;=BandVH,"Very High",IF(AG25&gt;=BandHigh,"High",IF(AG25&gt;=BandMed,"Medium","Low"))))</f>
        <v/>
      </c>
      <c r="AI25" s="4" t="n"/>
      <c r="AJ25" s="4" t="n"/>
    </row>
    <row r="26">
      <c r="A26" s="30">
        <f>IF(B26="","",COUNTIF(B$14:B26,"?*"))</f>
        <v/>
      </c>
      <c r="B26" s="4" t="n"/>
      <c r="C26" s="19" t="n"/>
      <c r="D26" s="5">
        <f>IF(OR(B26="",C26=""),"",UPPER(LEFT(C26,1))&amp;LOWER(MID(C26,2,30))&amp;" "&amp;LOWER(LEFT(B26,1))&amp;MID(B26,2,200))</f>
        <v/>
      </c>
      <c r="E26" s="4" t="n"/>
      <c r="F26" s="4" t="n"/>
      <c r="G26" s="4" t="n"/>
      <c r="H26" s="4" t="n"/>
      <c r="I26" s="4" t="n"/>
      <c r="J26" s="4" t="n"/>
      <c r="K26" s="5">
        <f>_xlfn.TEXTJOIN(CHAR(10),TRUE,IF(E26="","","• "&amp;E26),IF(F26="","","• "&amp;F26),IF(G26="","","• "&amp;G26),IF(H26="","","• "&amp;H26),IF(I26="","","• "&amp;I26),IF(J26="","","• "&amp;J26))</f>
        <v/>
      </c>
      <c r="L26" s="4" t="n"/>
      <c r="M26" s="19" t="n"/>
      <c r="N26" s="19" t="n"/>
      <c r="O26" s="30">
        <f>IF(OR(M26="",N26=""),"",INDEX(RiskGrid,6-VALUE(LEFT(M26,1)),VALUE(LEFT(N26,1))))</f>
        <v/>
      </c>
      <c r="P26" s="30">
        <f>IF(O26="","",IF(O26&gt;=BandVH,"Very High",IF(O26&gt;=BandHigh,"High",IF(O26&gt;=BandMed,"Medium","Low"))))</f>
        <v/>
      </c>
      <c r="Q26" s="4" t="n"/>
      <c r="R26" s="19" t="n"/>
      <c r="S26" s="4" t="n"/>
      <c r="T26" s="19" t="n"/>
      <c r="U26" s="4" t="n"/>
      <c r="V26" s="19" t="n"/>
      <c r="W26" s="4" t="n"/>
      <c r="X26" s="19" t="n"/>
      <c r="Y26" s="4" t="n"/>
      <c r="Z26" s="19" t="n"/>
      <c r="AA26" s="4" t="n"/>
      <c r="AB26" s="19" t="n"/>
      <c r="AC26" s="5">
        <f>_xlfn.TEXTJOIN(CHAR(10),TRUE,IF(Q26="","","• "&amp;Q26&amp;IF(R26="Yes","  [IPL]","")),IF(S26="","","• "&amp;S26&amp;IF(T26="Yes","  [IPL]","")),IF(U26="","","• "&amp;U26&amp;IF(V26="Yes","  [IPL]","")),IF(W26="","","• "&amp;W26&amp;IF(X26="Yes","  [IPL]","")),IF(Y26="","","• "&amp;Y26&amp;IF(Z26="Yes","  [IPL]","")),IF(AA26="","","• "&amp;AA26&amp;IF(AB26="Yes","  [IPL]","")))</f>
        <v/>
      </c>
      <c r="AD26" s="30">
        <f>IF(AC26="","",COUNTIF(Q26:AB26,"Yes"))</f>
        <v/>
      </c>
      <c r="AE26" s="19" t="n"/>
      <c r="AF26" s="19" t="n"/>
      <c r="AG26" s="30">
        <f>IF(OR(AE26="",AF26=""),"",INDEX(RiskGrid,6-VALUE(LEFT(AE26,1)),VALUE(LEFT(AF26,1))))</f>
        <v/>
      </c>
      <c r="AH26" s="30">
        <f>IF(AG26="","",IF(AG26&gt;=BandVH,"Very High",IF(AG26&gt;=BandHigh,"High",IF(AG26&gt;=BandMed,"Medium","Low"))))</f>
        <v/>
      </c>
      <c r="AI26" s="4" t="n"/>
      <c r="AJ26" s="4" t="n"/>
    </row>
    <row r="27">
      <c r="A27" s="30">
        <f>IF(B27="","",COUNTIF(B$14:B27,"?*"))</f>
        <v/>
      </c>
      <c r="B27" s="4" t="n"/>
      <c r="C27" s="19" t="n"/>
      <c r="D27" s="5">
        <f>IF(OR(B27="",C27=""),"",UPPER(LEFT(C27,1))&amp;LOWER(MID(C27,2,30))&amp;" "&amp;LOWER(LEFT(B27,1))&amp;MID(B27,2,200))</f>
        <v/>
      </c>
      <c r="E27" s="4" t="n"/>
      <c r="F27" s="4" t="n"/>
      <c r="G27" s="4" t="n"/>
      <c r="H27" s="4" t="n"/>
      <c r="I27" s="4" t="n"/>
      <c r="J27" s="4" t="n"/>
      <c r="K27" s="5">
        <f>_xlfn.TEXTJOIN(CHAR(10),TRUE,IF(E27="","","• "&amp;E27),IF(F27="","","• "&amp;F27),IF(G27="","","• "&amp;G27),IF(H27="","","• "&amp;H27),IF(I27="","","• "&amp;I27),IF(J27="","","• "&amp;J27))</f>
        <v/>
      </c>
      <c r="L27" s="4" t="n"/>
      <c r="M27" s="19" t="n"/>
      <c r="N27" s="19" t="n"/>
      <c r="O27" s="30">
        <f>IF(OR(M27="",N27=""),"",INDEX(RiskGrid,6-VALUE(LEFT(M27,1)),VALUE(LEFT(N27,1))))</f>
        <v/>
      </c>
      <c r="P27" s="30">
        <f>IF(O27="","",IF(O27&gt;=BandVH,"Very High",IF(O27&gt;=BandHigh,"High",IF(O27&gt;=BandMed,"Medium","Low"))))</f>
        <v/>
      </c>
      <c r="Q27" s="4" t="n"/>
      <c r="R27" s="19" t="n"/>
      <c r="S27" s="4" t="n"/>
      <c r="T27" s="19" t="n"/>
      <c r="U27" s="4" t="n"/>
      <c r="V27" s="19" t="n"/>
      <c r="W27" s="4" t="n"/>
      <c r="X27" s="19" t="n"/>
      <c r="Y27" s="4" t="n"/>
      <c r="Z27" s="19" t="n"/>
      <c r="AA27" s="4" t="n"/>
      <c r="AB27" s="19" t="n"/>
      <c r="AC27" s="5">
        <f>_xlfn.TEXTJOIN(CHAR(10),TRUE,IF(Q27="","","• "&amp;Q27&amp;IF(R27="Yes","  [IPL]","")),IF(S27="","","• "&amp;S27&amp;IF(T27="Yes","  [IPL]","")),IF(U27="","","• "&amp;U27&amp;IF(V27="Yes","  [IPL]","")),IF(W27="","","• "&amp;W27&amp;IF(X27="Yes","  [IPL]","")),IF(Y27="","","• "&amp;Y27&amp;IF(Z27="Yes","  [IPL]","")),IF(AA27="","","• "&amp;AA27&amp;IF(AB27="Yes","  [IPL]","")))</f>
        <v/>
      </c>
      <c r="AD27" s="30">
        <f>IF(AC27="","",COUNTIF(Q27:AB27,"Yes"))</f>
        <v/>
      </c>
      <c r="AE27" s="19" t="n"/>
      <c r="AF27" s="19" t="n"/>
      <c r="AG27" s="30">
        <f>IF(OR(AE27="",AF27=""),"",INDEX(RiskGrid,6-VALUE(LEFT(AE27,1)),VALUE(LEFT(AF27,1))))</f>
        <v/>
      </c>
      <c r="AH27" s="30">
        <f>IF(AG27="","",IF(AG27&gt;=BandVH,"Very High",IF(AG27&gt;=BandHigh,"High",IF(AG27&gt;=BandMed,"Medium","Low"))))</f>
        <v/>
      </c>
      <c r="AI27" s="4" t="n"/>
      <c r="AJ27" s="4" t="n"/>
    </row>
    <row r="28">
      <c r="A28" s="30">
        <f>IF(B28="","",COUNTIF(B$14:B28,"?*"))</f>
        <v/>
      </c>
      <c r="B28" s="4" t="n"/>
      <c r="C28" s="19" t="n"/>
      <c r="D28" s="5">
        <f>IF(OR(B28="",C28=""),"",UPPER(LEFT(C28,1))&amp;LOWER(MID(C28,2,30))&amp;" "&amp;LOWER(LEFT(B28,1))&amp;MID(B28,2,200))</f>
        <v/>
      </c>
      <c r="E28" s="4" t="n"/>
      <c r="F28" s="4" t="n"/>
      <c r="G28" s="4" t="n"/>
      <c r="H28" s="4" t="n"/>
      <c r="I28" s="4" t="n"/>
      <c r="J28" s="4" t="n"/>
      <c r="K28" s="5">
        <f>_xlfn.TEXTJOIN(CHAR(10),TRUE,IF(E28="","","• "&amp;E28),IF(F28="","","• "&amp;F28),IF(G28="","","• "&amp;G28),IF(H28="","","• "&amp;H28),IF(I28="","","• "&amp;I28),IF(J28="","","• "&amp;J28))</f>
        <v/>
      </c>
      <c r="L28" s="4" t="n"/>
      <c r="M28" s="19" t="n"/>
      <c r="N28" s="19" t="n"/>
      <c r="O28" s="30">
        <f>IF(OR(M28="",N28=""),"",INDEX(RiskGrid,6-VALUE(LEFT(M28,1)),VALUE(LEFT(N28,1))))</f>
        <v/>
      </c>
      <c r="P28" s="30">
        <f>IF(O28="","",IF(O28&gt;=BandVH,"Very High",IF(O28&gt;=BandHigh,"High",IF(O28&gt;=BandMed,"Medium","Low"))))</f>
        <v/>
      </c>
      <c r="Q28" s="4" t="n"/>
      <c r="R28" s="19" t="n"/>
      <c r="S28" s="4" t="n"/>
      <c r="T28" s="19" t="n"/>
      <c r="U28" s="4" t="n"/>
      <c r="V28" s="19" t="n"/>
      <c r="W28" s="4" t="n"/>
      <c r="X28" s="19" t="n"/>
      <c r="Y28" s="4" t="n"/>
      <c r="Z28" s="19" t="n"/>
      <c r="AA28" s="4" t="n"/>
      <c r="AB28" s="19" t="n"/>
      <c r="AC28" s="5">
        <f>_xlfn.TEXTJOIN(CHAR(10),TRUE,IF(Q28="","","• "&amp;Q28&amp;IF(R28="Yes","  [IPL]","")),IF(S28="","","• "&amp;S28&amp;IF(T28="Yes","  [IPL]","")),IF(U28="","","• "&amp;U28&amp;IF(V28="Yes","  [IPL]","")),IF(W28="","","• "&amp;W28&amp;IF(X28="Yes","  [IPL]","")),IF(Y28="","","• "&amp;Y28&amp;IF(Z28="Yes","  [IPL]","")),IF(AA28="","","• "&amp;AA28&amp;IF(AB28="Yes","  [IPL]","")))</f>
        <v/>
      </c>
      <c r="AD28" s="30">
        <f>IF(AC28="","",COUNTIF(Q28:AB28,"Yes"))</f>
        <v/>
      </c>
      <c r="AE28" s="19" t="n"/>
      <c r="AF28" s="19" t="n"/>
      <c r="AG28" s="30">
        <f>IF(OR(AE28="",AF28=""),"",INDEX(RiskGrid,6-VALUE(LEFT(AE28,1)),VALUE(LEFT(AF28,1))))</f>
        <v/>
      </c>
      <c r="AH28" s="30">
        <f>IF(AG28="","",IF(AG28&gt;=BandVH,"Very High",IF(AG28&gt;=BandHigh,"High",IF(AG28&gt;=BandMed,"Medium","Low"))))</f>
        <v/>
      </c>
      <c r="AI28" s="4" t="n"/>
      <c r="AJ28" s="4" t="n"/>
    </row>
    <row r="29">
      <c r="A29" s="30">
        <f>IF(B29="","",COUNTIF(B$14:B29,"?*"))</f>
        <v/>
      </c>
      <c r="B29" s="4" t="n"/>
      <c r="C29" s="19" t="n"/>
      <c r="D29" s="5">
        <f>IF(OR(B29="",C29=""),"",UPPER(LEFT(C29,1))&amp;LOWER(MID(C29,2,30))&amp;" "&amp;LOWER(LEFT(B29,1))&amp;MID(B29,2,200))</f>
        <v/>
      </c>
      <c r="E29" s="4" t="n"/>
      <c r="F29" s="4" t="n"/>
      <c r="G29" s="4" t="n"/>
      <c r="H29" s="4" t="n"/>
      <c r="I29" s="4" t="n"/>
      <c r="J29" s="4" t="n"/>
      <c r="K29" s="5">
        <f>_xlfn.TEXTJOIN(CHAR(10),TRUE,IF(E29="","","• "&amp;E29),IF(F29="","","• "&amp;F29),IF(G29="","","• "&amp;G29),IF(H29="","","• "&amp;H29),IF(I29="","","• "&amp;I29),IF(J29="","","• "&amp;J29))</f>
        <v/>
      </c>
      <c r="L29" s="4" t="n"/>
      <c r="M29" s="19" t="n"/>
      <c r="N29" s="19" t="n"/>
      <c r="O29" s="30">
        <f>IF(OR(M29="",N29=""),"",INDEX(RiskGrid,6-VALUE(LEFT(M29,1)),VALUE(LEFT(N29,1))))</f>
        <v/>
      </c>
      <c r="P29" s="30">
        <f>IF(O29="","",IF(O29&gt;=BandVH,"Very High",IF(O29&gt;=BandHigh,"High",IF(O29&gt;=BandMed,"Medium","Low"))))</f>
        <v/>
      </c>
      <c r="Q29" s="4" t="n"/>
      <c r="R29" s="19" t="n"/>
      <c r="S29" s="4" t="n"/>
      <c r="T29" s="19" t="n"/>
      <c r="U29" s="4" t="n"/>
      <c r="V29" s="19" t="n"/>
      <c r="W29" s="4" t="n"/>
      <c r="X29" s="19" t="n"/>
      <c r="Y29" s="4" t="n"/>
      <c r="Z29" s="19" t="n"/>
      <c r="AA29" s="4" t="n"/>
      <c r="AB29" s="19" t="n"/>
      <c r="AC29" s="5">
        <f>_xlfn.TEXTJOIN(CHAR(10),TRUE,IF(Q29="","","• "&amp;Q29&amp;IF(R29="Yes","  [IPL]","")),IF(S29="","","• "&amp;S29&amp;IF(T29="Yes","  [IPL]","")),IF(U29="","","• "&amp;U29&amp;IF(V29="Yes","  [IPL]","")),IF(W29="","","• "&amp;W29&amp;IF(X29="Yes","  [IPL]","")),IF(Y29="","","• "&amp;Y29&amp;IF(Z29="Yes","  [IPL]","")),IF(AA29="","","• "&amp;AA29&amp;IF(AB29="Yes","  [IPL]","")))</f>
        <v/>
      </c>
      <c r="AD29" s="30">
        <f>IF(AC29="","",COUNTIF(Q29:AB29,"Yes"))</f>
        <v/>
      </c>
      <c r="AE29" s="19" t="n"/>
      <c r="AF29" s="19" t="n"/>
      <c r="AG29" s="30">
        <f>IF(OR(AE29="",AF29=""),"",INDEX(RiskGrid,6-VALUE(LEFT(AE29,1)),VALUE(LEFT(AF29,1))))</f>
        <v/>
      </c>
      <c r="AH29" s="30">
        <f>IF(AG29="","",IF(AG29&gt;=BandVH,"Very High",IF(AG29&gt;=BandHigh,"High",IF(AG29&gt;=BandMed,"Medium","Low"))))</f>
        <v/>
      </c>
      <c r="AI29" s="4" t="n"/>
      <c r="AJ29" s="4" t="n"/>
    </row>
    <row r="30">
      <c r="A30" s="30">
        <f>IF(B30="","",COUNTIF(B$14:B30,"?*"))</f>
        <v/>
      </c>
      <c r="B30" s="4" t="n"/>
      <c r="C30" s="19" t="n"/>
      <c r="D30" s="5">
        <f>IF(OR(B30="",C30=""),"",UPPER(LEFT(C30,1))&amp;LOWER(MID(C30,2,30))&amp;" "&amp;LOWER(LEFT(B30,1))&amp;MID(B30,2,200))</f>
        <v/>
      </c>
      <c r="E30" s="4" t="n"/>
      <c r="F30" s="4" t="n"/>
      <c r="G30" s="4" t="n"/>
      <c r="H30" s="4" t="n"/>
      <c r="I30" s="4" t="n"/>
      <c r="J30" s="4" t="n"/>
      <c r="K30" s="5">
        <f>_xlfn.TEXTJOIN(CHAR(10),TRUE,IF(E30="","","• "&amp;E30),IF(F30="","","• "&amp;F30),IF(G30="","","• "&amp;G30),IF(H30="","","• "&amp;H30),IF(I30="","","• "&amp;I30),IF(J30="","","• "&amp;J30))</f>
        <v/>
      </c>
      <c r="L30" s="4" t="n"/>
      <c r="M30" s="19" t="n"/>
      <c r="N30" s="19" t="n"/>
      <c r="O30" s="30">
        <f>IF(OR(M30="",N30=""),"",INDEX(RiskGrid,6-VALUE(LEFT(M30,1)),VALUE(LEFT(N30,1))))</f>
        <v/>
      </c>
      <c r="P30" s="30">
        <f>IF(O30="","",IF(O30&gt;=BandVH,"Very High",IF(O30&gt;=BandHigh,"High",IF(O30&gt;=BandMed,"Medium","Low"))))</f>
        <v/>
      </c>
      <c r="Q30" s="4" t="n"/>
      <c r="R30" s="19" t="n"/>
      <c r="S30" s="4" t="n"/>
      <c r="T30" s="19" t="n"/>
      <c r="U30" s="4" t="n"/>
      <c r="V30" s="19" t="n"/>
      <c r="W30" s="4" t="n"/>
      <c r="X30" s="19" t="n"/>
      <c r="Y30" s="4" t="n"/>
      <c r="Z30" s="19" t="n"/>
      <c r="AA30" s="4" t="n"/>
      <c r="AB30" s="19" t="n"/>
      <c r="AC30" s="5">
        <f>_xlfn.TEXTJOIN(CHAR(10),TRUE,IF(Q30="","","• "&amp;Q30&amp;IF(R30="Yes","  [IPL]","")),IF(S30="","","• "&amp;S30&amp;IF(T30="Yes","  [IPL]","")),IF(U30="","","• "&amp;U30&amp;IF(V30="Yes","  [IPL]","")),IF(W30="","","• "&amp;W30&amp;IF(X30="Yes","  [IPL]","")),IF(Y30="","","• "&amp;Y30&amp;IF(Z30="Yes","  [IPL]","")),IF(AA30="","","• "&amp;AA30&amp;IF(AB30="Yes","  [IPL]","")))</f>
        <v/>
      </c>
      <c r="AD30" s="30">
        <f>IF(AC30="","",COUNTIF(Q30:AB30,"Yes"))</f>
        <v/>
      </c>
      <c r="AE30" s="19" t="n"/>
      <c r="AF30" s="19" t="n"/>
      <c r="AG30" s="30">
        <f>IF(OR(AE30="",AF30=""),"",INDEX(RiskGrid,6-VALUE(LEFT(AE30,1)),VALUE(LEFT(AF30,1))))</f>
        <v/>
      </c>
      <c r="AH30" s="30">
        <f>IF(AG30="","",IF(AG30&gt;=BandVH,"Very High",IF(AG30&gt;=BandHigh,"High",IF(AG30&gt;=BandMed,"Medium","Low"))))</f>
        <v/>
      </c>
      <c r="AI30" s="4" t="n"/>
      <c r="AJ30" s="4" t="n"/>
    </row>
    <row r="31">
      <c r="A31" s="30">
        <f>IF(B31="","",COUNTIF(B$14:B31,"?*"))</f>
        <v/>
      </c>
      <c r="B31" s="4" t="n"/>
      <c r="C31" s="19" t="n"/>
      <c r="D31" s="5">
        <f>IF(OR(B31="",C31=""),"",UPPER(LEFT(C31,1))&amp;LOWER(MID(C31,2,30))&amp;" "&amp;LOWER(LEFT(B31,1))&amp;MID(B31,2,200))</f>
        <v/>
      </c>
      <c r="E31" s="4" t="n"/>
      <c r="F31" s="4" t="n"/>
      <c r="G31" s="4" t="n"/>
      <c r="H31" s="4" t="n"/>
      <c r="I31" s="4" t="n"/>
      <c r="J31" s="4" t="n"/>
      <c r="K31" s="5">
        <f>_xlfn.TEXTJOIN(CHAR(10),TRUE,IF(E31="","","• "&amp;E31),IF(F31="","","• "&amp;F31),IF(G31="","","• "&amp;G31),IF(H31="","","• "&amp;H31),IF(I31="","","• "&amp;I31),IF(J31="","","• "&amp;J31))</f>
        <v/>
      </c>
      <c r="L31" s="4" t="n"/>
      <c r="M31" s="19" t="n"/>
      <c r="N31" s="19" t="n"/>
      <c r="O31" s="30">
        <f>IF(OR(M31="",N31=""),"",INDEX(RiskGrid,6-VALUE(LEFT(M31,1)),VALUE(LEFT(N31,1))))</f>
        <v/>
      </c>
      <c r="P31" s="30">
        <f>IF(O31="","",IF(O31&gt;=BandVH,"Very High",IF(O31&gt;=BandHigh,"High",IF(O31&gt;=BandMed,"Medium","Low"))))</f>
        <v/>
      </c>
      <c r="Q31" s="4" t="n"/>
      <c r="R31" s="19" t="n"/>
      <c r="S31" s="4" t="n"/>
      <c r="T31" s="19" t="n"/>
      <c r="U31" s="4" t="n"/>
      <c r="V31" s="19" t="n"/>
      <c r="W31" s="4" t="n"/>
      <c r="X31" s="19" t="n"/>
      <c r="Y31" s="4" t="n"/>
      <c r="Z31" s="19" t="n"/>
      <c r="AA31" s="4" t="n"/>
      <c r="AB31" s="19" t="n"/>
      <c r="AC31" s="5">
        <f>_xlfn.TEXTJOIN(CHAR(10),TRUE,IF(Q31="","","• "&amp;Q31&amp;IF(R31="Yes","  [IPL]","")),IF(S31="","","• "&amp;S31&amp;IF(T31="Yes","  [IPL]","")),IF(U31="","","• "&amp;U31&amp;IF(V31="Yes","  [IPL]","")),IF(W31="","","• "&amp;W31&amp;IF(X31="Yes","  [IPL]","")),IF(Y31="","","• "&amp;Y31&amp;IF(Z31="Yes","  [IPL]","")),IF(AA31="","","• "&amp;AA31&amp;IF(AB31="Yes","  [IPL]","")))</f>
        <v/>
      </c>
      <c r="AD31" s="30">
        <f>IF(AC31="","",COUNTIF(Q31:AB31,"Yes"))</f>
        <v/>
      </c>
      <c r="AE31" s="19" t="n"/>
      <c r="AF31" s="19" t="n"/>
      <c r="AG31" s="30">
        <f>IF(OR(AE31="",AF31=""),"",INDEX(RiskGrid,6-VALUE(LEFT(AE31,1)),VALUE(LEFT(AF31,1))))</f>
        <v/>
      </c>
      <c r="AH31" s="30">
        <f>IF(AG31="","",IF(AG31&gt;=BandVH,"Very High",IF(AG31&gt;=BandHigh,"High",IF(AG31&gt;=BandMed,"Medium","Low"))))</f>
        <v/>
      </c>
      <c r="AI31" s="4" t="n"/>
      <c r="AJ31" s="4" t="n"/>
    </row>
    <row r="32">
      <c r="A32" s="30">
        <f>IF(B32="","",COUNTIF(B$14:B32,"?*"))</f>
        <v/>
      </c>
      <c r="B32" s="4" t="n"/>
      <c r="C32" s="19" t="n"/>
      <c r="D32" s="5">
        <f>IF(OR(B32="",C32=""),"",UPPER(LEFT(C32,1))&amp;LOWER(MID(C32,2,30))&amp;" "&amp;LOWER(LEFT(B32,1))&amp;MID(B32,2,200))</f>
        <v/>
      </c>
      <c r="E32" s="4" t="n"/>
      <c r="F32" s="4" t="n"/>
      <c r="G32" s="4" t="n"/>
      <c r="H32" s="4" t="n"/>
      <c r="I32" s="4" t="n"/>
      <c r="J32" s="4" t="n"/>
      <c r="K32" s="5">
        <f>_xlfn.TEXTJOIN(CHAR(10),TRUE,IF(E32="","","• "&amp;E32),IF(F32="","","• "&amp;F32),IF(G32="","","• "&amp;G32),IF(H32="","","• "&amp;H32),IF(I32="","","• "&amp;I32),IF(J32="","","• "&amp;J32))</f>
        <v/>
      </c>
      <c r="L32" s="4" t="n"/>
      <c r="M32" s="19" t="n"/>
      <c r="N32" s="19" t="n"/>
      <c r="O32" s="30">
        <f>IF(OR(M32="",N32=""),"",INDEX(RiskGrid,6-VALUE(LEFT(M32,1)),VALUE(LEFT(N32,1))))</f>
        <v/>
      </c>
      <c r="P32" s="30">
        <f>IF(O32="","",IF(O32&gt;=BandVH,"Very High",IF(O32&gt;=BandHigh,"High",IF(O32&gt;=BandMed,"Medium","Low"))))</f>
        <v/>
      </c>
      <c r="Q32" s="4" t="n"/>
      <c r="R32" s="19" t="n"/>
      <c r="S32" s="4" t="n"/>
      <c r="T32" s="19" t="n"/>
      <c r="U32" s="4" t="n"/>
      <c r="V32" s="19" t="n"/>
      <c r="W32" s="4" t="n"/>
      <c r="X32" s="19" t="n"/>
      <c r="Y32" s="4" t="n"/>
      <c r="Z32" s="19" t="n"/>
      <c r="AA32" s="4" t="n"/>
      <c r="AB32" s="19" t="n"/>
      <c r="AC32" s="5">
        <f>_xlfn.TEXTJOIN(CHAR(10),TRUE,IF(Q32="","","• "&amp;Q32&amp;IF(R32="Yes","  [IPL]","")),IF(S32="","","• "&amp;S32&amp;IF(T32="Yes","  [IPL]","")),IF(U32="","","• "&amp;U32&amp;IF(V32="Yes","  [IPL]","")),IF(W32="","","• "&amp;W32&amp;IF(X32="Yes","  [IPL]","")),IF(Y32="","","• "&amp;Y32&amp;IF(Z32="Yes","  [IPL]","")),IF(AA32="","","• "&amp;AA32&amp;IF(AB32="Yes","  [IPL]","")))</f>
        <v/>
      </c>
      <c r="AD32" s="30">
        <f>IF(AC32="","",COUNTIF(Q32:AB32,"Yes"))</f>
        <v/>
      </c>
      <c r="AE32" s="19" t="n"/>
      <c r="AF32" s="19" t="n"/>
      <c r="AG32" s="30">
        <f>IF(OR(AE32="",AF32=""),"",INDEX(RiskGrid,6-VALUE(LEFT(AE32,1)),VALUE(LEFT(AF32,1))))</f>
        <v/>
      </c>
      <c r="AH32" s="30">
        <f>IF(AG32="","",IF(AG32&gt;=BandVH,"Very High",IF(AG32&gt;=BandHigh,"High",IF(AG32&gt;=BandMed,"Medium","Low"))))</f>
        <v/>
      </c>
      <c r="AI32" s="4" t="n"/>
      <c r="AJ32" s="4" t="n"/>
    </row>
    <row r="33">
      <c r="A33" s="30">
        <f>IF(B33="","",COUNTIF(B$14:B33,"?*"))</f>
        <v/>
      </c>
      <c r="B33" s="4" t="n"/>
      <c r="C33" s="19" t="n"/>
      <c r="D33" s="5">
        <f>IF(OR(B33="",C33=""),"",UPPER(LEFT(C33,1))&amp;LOWER(MID(C33,2,30))&amp;" "&amp;LOWER(LEFT(B33,1))&amp;MID(B33,2,200))</f>
        <v/>
      </c>
      <c r="E33" s="4" t="n"/>
      <c r="F33" s="4" t="n"/>
      <c r="G33" s="4" t="n"/>
      <c r="H33" s="4" t="n"/>
      <c r="I33" s="4" t="n"/>
      <c r="J33" s="4" t="n"/>
      <c r="K33" s="5">
        <f>_xlfn.TEXTJOIN(CHAR(10),TRUE,IF(E33="","","• "&amp;E33),IF(F33="","","• "&amp;F33),IF(G33="","","• "&amp;G33),IF(H33="","","• "&amp;H33),IF(I33="","","• "&amp;I33),IF(J33="","","• "&amp;J33))</f>
        <v/>
      </c>
      <c r="L33" s="4" t="n"/>
      <c r="M33" s="19" t="n"/>
      <c r="N33" s="19" t="n"/>
      <c r="O33" s="30">
        <f>IF(OR(M33="",N33=""),"",INDEX(RiskGrid,6-VALUE(LEFT(M33,1)),VALUE(LEFT(N33,1))))</f>
        <v/>
      </c>
      <c r="P33" s="30">
        <f>IF(O33="","",IF(O33&gt;=BandVH,"Very High",IF(O33&gt;=BandHigh,"High",IF(O33&gt;=BandMed,"Medium","Low"))))</f>
        <v/>
      </c>
      <c r="Q33" s="4" t="n"/>
      <c r="R33" s="19" t="n"/>
      <c r="S33" s="4" t="n"/>
      <c r="T33" s="19" t="n"/>
      <c r="U33" s="4" t="n"/>
      <c r="V33" s="19" t="n"/>
      <c r="W33" s="4" t="n"/>
      <c r="X33" s="19" t="n"/>
      <c r="Y33" s="4" t="n"/>
      <c r="Z33" s="19" t="n"/>
      <c r="AA33" s="4" t="n"/>
      <c r="AB33" s="19" t="n"/>
      <c r="AC33" s="5">
        <f>_xlfn.TEXTJOIN(CHAR(10),TRUE,IF(Q33="","","• "&amp;Q33&amp;IF(R33="Yes","  [IPL]","")),IF(S33="","","• "&amp;S33&amp;IF(T33="Yes","  [IPL]","")),IF(U33="","","• "&amp;U33&amp;IF(V33="Yes","  [IPL]","")),IF(W33="","","• "&amp;W33&amp;IF(X33="Yes","  [IPL]","")),IF(Y33="","","• "&amp;Y33&amp;IF(Z33="Yes","  [IPL]","")),IF(AA33="","","• "&amp;AA33&amp;IF(AB33="Yes","  [IPL]","")))</f>
        <v/>
      </c>
      <c r="AD33" s="30">
        <f>IF(AC33="","",COUNTIF(Q33:AB33,"Yes"))</f>
        <v/>
      </c>
      <c r="AE33" s="19" t="n"/>
      <c r="AF33" s="19" t="n"/>
      <c r="AG33" s="30">
        <f>IF(OR(AE33="",AF33=""),"",INDEX(RiskGrid,6-VALUE(LEFT(AE33,1)),VALUE(LEFT(AF33,1))))</f>
        <v/>
      </c>
      <c r="AH33" s="30">
        <f>IF(AG33="","",IF(AG33&gt;=BandVH,"Very High",IF(AG33&gt;=BandHigh,"High",IF(AG33&gt;=BandMed,"Medium","Low"))))</f>
        <v/>
      </c>
      <c r="AI33" s="4" t="n"/>
      <c r="AJ33" s="4" t="n"/>
    </row>
    <row r="34">
      <c r="A34" s="30">
        <f>IF(B34="","",COUNTIF(B$14:B34,"?*"))</f>
        <v/>
      </c>
      <c r="B34" s="4" t="n"/>
      <c r="C34" s="19" t="n"/>
      <c r="D34" s="5">
        <f>IF(OR(B34="",C34=""),"",UPPER(LEFT(C34,1))&amp;LOWER(MID(C34,2,30))&amp;" "&amp;LOWER(LEFT(B34,1))&amp;MID(B34,2,200))</f>
        <v/>
      </c>
      <c r="E34" s="4" t="n"/>
      <c r="F34" s="4" t="n"/>
      <c r="G34" s="4" t="n"/>
      <c r="H34" s="4" t="n"/>
      <c r="I34" s="4" t="n"/>
      <c r="J34" s="4" t="n"/>
      <c r="K34" s="5">
        <f>_xlfn.TEXTJOIN(CHAR(10),TRUE,IF(E34="","","• "&amp;E34),IF(F34="","","• "&amp;F34),IF(G34="","","• "&amp;G34),IF(H34="","","• "&amp;H34),IF(I34="","","• "&amp;I34),IF(J34="","","• "&amp;J34))</f>
        <v/>
      </c>
      <c r="L34" s="4" t="n"/>
      <c r="M34" s="19" t="n"/>
      <c r="N34" s="19" t="n"/>
      <c r="O34" s="30">
        <f>IF(OR(M34="",N34=""),"",INDEX(RiskGrid,6-VALUE(LEFT(M34,1)),VALUE(LEFT(N34,1))))</f>
        <v/>
      </c>
      <c r="P34" s="30">
        <f>IF(O34="","",IF(O34&gt;=BandVH,"Very High",IF(O34&gt;=BandHigh,"High",IF(O34&gt;=BandMed,"Medium","Low"))))</f>
        <v/>
      </c>
      <c r="Q34" s="4" t="n"/>
      <c r="R34" s="19" t="n"/>
      <c r="S34" s="4" t="n"/>
      <c r="T34" s="19" t="n"/>
      <c r="U34" s="4" t="n"/>
      <c r="V34" s="19" t="n"/>
      <c r="W34" s="4" t="n"/>
      <c r="X34" s="19" t="n"/>
      <c r="Y34" s="4" t="n"/>
      <c r="Z34" s="19" t="n"/>
      <c r="AA34" s="4" t="n"/>
      <c r="AB34" s="19" t="n"/>
      <c r="AC34" s="5">
        <f>_xlfn.TEXTJOIN(CHAR(10),TRUE,IF(Q34="","","• "&amp;Q34&amp;IF(R34="Yes","  [IPL]","")),IF(S34="","","• "&amp;S34&amp;IF(T34="Yes","  [IPL]","")),IF(U34="","","• "&amp;U34&amp;IF(V34="Yes","  [IPL]","")),IF(W34="","","• "&amp;W34&amp;IF(X34="Yes","  [IPL]","")),IF(Y34="","","• "&amp;Y34&amp;IF(Z34="Yes","  [IPL]","")),IF(AA34="","","• "&amp;AA34&amp;IF(AB34="Yes","  [IPL]","")))</f>
        <v/>
      </c>
      <c r="AD34" s="30">
        <f>IF(AC34="","",COUNTIF(Q34:AB34,"Yes"))</f>
        <v/>
      </c>
      <c r="AE34" s="19" t="n"/>
      <c r="AF34" s="19" t="n"/>
      <c r="AG34" s="30">
        <f>IF(OR(AE34="",AF34=""),"",INDEX(RiskGrid,6-VALUE(LEFT(AE34,1)),VALUE(LEFT(AF34,1))))</f>
        <v/>
      </c>
      <c r="AH34" s="30">
        <f>IF(AG34="","",IF(AG34&gt;=BandVH,"Very High",IF(AG34&gt;=BandHigh,"High",IF(AG34&gt;=BandMed,"Medium","Low"))))</f>
        <v/>
      </c>
      <c r="AI34" s="4" t="n"/>
      <c r="AJ34" s="4" t="n"/>
    </row>
    <row r="35">
      <c r="A35" s="30">
        <f>IF(B35="","",COUNTIF(B$14:B35,"?*"))</f>
        <v/>
      </c>
      <c r="B35" s="4" t="n"/>
      <c r="C35" s="19" t="n"/>
      <c r="D35" s="5">
        <f>IF(OR(B35="",C35=""),"",UPPER(LEFT(C35,1))&amp;LOWER(MID(C35,2,30))&amp;" "&amp;LOWER(LEFT(B35,1))&amp;MID(B35,2,200))</f>
        <v/>
      </c>
      <c r="E35" s="4" t="n"/>
      <c r="F35" s="4" t="n"/>
      <c r="G35" s="4" t="n"/>
      <c r="H35" s="4" t="n"/>
      <c r="I35" s="4" t="n"/>
      <c r="J35" s="4" t="n"/>
      <c r="K35" s="5">
        <f>_xlfn.TEXTJOIN(CHAR(10),TRUE,IF(E35="","","• "&amp;E35),IF(F35="","","• "&amp;F35),IF(G35="","","• "&amp;G35),IF(H35="","","• "&amp;H35),IF(I35="","","• "&amp;I35),IF(J35="","","• "&amp;J35))</f>
        <v/>
      </c>
      <c r="L35" s="4" t="n"/>
      <c r="M35" s="19" t="n"/>
      <c r="N35" s="19" t="n"/>
      <c r="O35" s="30">
        <f>IF(OR(M35="",N35=""),"",INDEX(RiskGrid,6-VALUE(LEFT(M35,1)),VALUE(LEFT(N35,1))))</f>
        <v/>
      </c>
      <c r="P35" s="30">
        <f>IF(O35="","",IF(O35&gt;=BandVH,"Very High",IF(O35&gt;=BandHigh,"High",IF(O35&gt;=BandMed,"Medium","Low"))))</f>
        <v/>
      </c>
      <c r="Q35" s="4" t="n"/>
      <c r="R35" s="19" t="n"/>
      <c r="S35" s="4" t="n"/>
      <c r="T35" s="19" t="n"/>
      <c r="U35" s="4" t="n"/>
      <c r="V35" s="19" t="n"/>
      <c r="W35" s="4" t="n"/>
      <c r="X35" s="19" t="n"/>
      <c r="Y35" s="4" t="n"/>
      <c r="Z35" s="19" t="n"/>
      <c r="AA35" s="4" t="n"/>
      <c r="AB35" s="19" t="n"/>
      <c r="AC35" s="5">
        <f>_xlfn.TEXTJOIN(CHAR(10),TRUE,IF(Q35="","","• "&amp;Q35&amp;IF(R35="Yes","  [IPL]","")),IF(S35="","","• "&amp;S35&amp;IF(T35="Yes","  [IPL]","")),IF(U35="","","• "&amp;U35&amp;IF(V35="Yes","  [IPL]","")),IF(W35="","","• "&amp;W35&amp;IF(X35="Yes","  [IPL]","")),IF(Y35="","","• "&amp;Y35&amp;IF(Z35="Yes","  [IPL]","")),IF(AA35="","","• "&amp;AA35&amp;IF(AB35="Yes","  [IPL]","")))</f>
        <v/>
      </c>
      <c r="AD35" s="30">
        <f>IF(AC35="","",COUNTIF(Q35:AB35,"Yes"))</f>
        <v/>
      </c>
      <c r="AE35" s="19" t="n"/>
      <c r="AF35" s="19" t="n"/>
      <c r="AG35" s="30">
        <f>IF(OR(AE35="",AF35=""),"",INDEX(RiskGrid,6-VALUE(LEFT(AE35,1)),VALUE(LEFT(AF35,1))))</f>
        <v/>
      </c>
      <c r="AH35" s="30">
        <f>IF(AG35="","",IF(AG35&gt;=BandVH,"Very High",IF(AG35&gt;=BandHigh,"High",IF(AG35&gt;=BandMed,"Medium","Low"))))</f>
        <v/>
      </c>
      <c r="AI35" s="4" t="n"/>
      <c r="AJ35" s="4" t="n"/>
    </row>
    <row r="36">
      <c r="A36" s="30">
        <f>IF(B36="","",COUNTIF(B$14:B36,"?*"))</f>
        <v/>
      </c>
      <c r="B36" s="4" t="n"/>
      <c r="C36" s="19" t="n"/>
      <c r="D36" s="5">
        <f>IF(OR(B36="",C36=""),"",UPPER(LEFT(C36,1))&amp;LOWER(MID(C36,2,30))&amp;" "&amp;LOWER(LEFT(B36,1))&amp;MID(B36,2,200))</f>
        <v/>
      </c>
      <c r="E36" s="4" t="n"/>
      <c r="F36" s="4" t="n"/>
      <c r="G36" s="4" t="n"/>
      <c r="H36" s="4" t="n"/>
      <c r="I36" s="4" t="n"/>
      <c r="J36" s="4" t="n"/>
      <c r="K36" s="5">
        <f>_xlfn.TEXTJOIN(CHAR(10),TRUE,IF(E36="","","• "&amp;E36),IF(F36="","","• "&amp;F36),IF(G36="","","• "&amp;G36),IF(H36="","","• "&amp;H36),IF(I36="","","• "&amp;I36),IF(J36="","","• "&amp;J36))</f>
        <v/>
      </c>
      <c r="L36" s="4" t="n"/>
      <c r="M36" s="19" t="n"/>
      <c r="N36" s="19" t="n"/>
      <c r="O36" s="30">
        <f>IF(OR(M36="",N36=""),"",INDEX(RiskGrid,6-VALUE(LEFT(M36,1)),VALUE(LEFT(N36,1))))</f>
        <v/>
      </c>
      <c r="P36" s="30">
        <f>IF(O36="","",IF(O36&gt;=BandVH,"Very High",IF(O36&gt;=BandHigh,"High",IF(O36&gt;=BandMed,"Medium","Low"))))</f>
        <v/>
      </c>
      <c r="Q36" s="4" t="n"/>
      <c r="R36" s="19" t="n"/>
      <c r="S36" s="4" t="n"/>
      <c r="T36" s="19" t="n"/>
      <c r="U36" s="4" t="n"/>
      <c r="V36" s="19" t="n"/>
      <c r="W36" s="4" t="n"/>
      <c r="X36" s="19" t="n"/>
      <c r="Y36" s="4" t="n"/>
      <c r="Z36" s="19" t="n"/>
      <c r="AA36" s="4" t="n"/>
      <c r="AB36" s="19" t="n"/>
      <c r="AC36" s="5">
        <f>_xlfn.TEXTJOIN(CHAR(10),TRUE,IF(Q36="","","• "&amp;Q36&amp;IF(R36="Yes","  [IPL]","")),IF(S36="","","• "&amp;S36&amp;IF(T36="Yes","  [IPL]","")),IF(U36="","","• "&amp;U36&amp;IF(V36="Yes","  [IPL]","")),IF(W36="","","• "&amp;W36&amp;IF(X36="Yes","  [IPL]","")),IF(Y36="","","• "&amp;Y36&amp;IF(Z36="Yes","  [IPL]","")),IF(AA36="","","• "&amp;AA36&amp;IF(AB36="Yes","  [IPL]","")))</f>
        <v/>
      </c>
      <c r="AD36" s="30">
        <f>IF(AC36="","",COUNTIF(Q36:AB36,"Yes"))</f>
        <v/>
      </c>
      <c r="AE36" s="19" t="n"/>
      <c r="AF36" s="19" t="n"/>
      <c r="AG36" s="30">
        <f>IF(OR(AE36="",AF36=""),"",INDEX(RiskGrid,6-VALUE(LEFT(AE36,1)),VALUE(LEFT(AF36,1))))</f>
        <v/>
      </c>
      <c r="AH36" s="30">
        <f>IF(AG36="","",IF(AG36&gt;=BandVH,"Very High",IF(AG36&gt;=BandHigh,"High",IF(AG36&gt;=BandMed,"Medium","Low"))))</f>
        <v/>
      </c>
      <c r="AI36" s="4" t="n"/>
      <c r="AJ36" s="4" t="n"/>
    </row>
    <row r="37">
      <c r="A37" s="30">
        <f>IF(B37="","",COUNTIF(B$14:B37,"?*"))</f>
        <v/>
      </c>
      <c r="B37" s="4" t="n"/>
      <c r="C37" s="19" t="n"/>
      <c r="D37" s="5">
        <f>IF(OR(B37="",C37=""),"",UPPER(LEFT(C37,1))&amp;LOWER(MID(C37,2,30))&amp;" "&amp;LOWER(LEFT(B37,1))&amp;MID(B37,2,200))</f>
        <v/>
      </c>
      <c r="E37" s="4" t="n"/>
      <c r="F37" s="4" t="n"/>
      <c r="G37" s="4" t="n"/>
      <c r="H37" s="4" t="n"/>
      <c r="I37" s="4" t="n"/>
      <c r="J37" s="4" t="n"/>
      <c r="K37" s="5">
        <f>_xlfn.TEXTJOIN(CHAR(10),TRUE,IF(E37="","","• "&amp;E37),IF(F37="","","• "&amp;F37),IF(G37="","","• "&amp;G37),IF(H37="","","• "&amp;H37),IF(I37="","","• "&amp;I37),IF(J37="","","• "&amp;J37))</f>
        <v/>
      </c>
      <c r="L37" s="4" t="n"/>
      <c r="M37" s="19" t="n"/>
      <c r="N37" s="19" t="n"/>
      <c r="O37" s="30">
        <f>IF(OR(M37="",N37=""),"",INDEX(RiskGrid,6-VALUE(LEFT(M37,1)),VALUE(LEFT(N37,1))))</f>
        <v/>
      </c>
      <c r="P37" s="30">
        <f>IF(O37="","",IF(O37&gt;=BandVH,"Very High",IF(O37&gt;=BandHigh,"High",IF(O37&gt;=BandMed,"Medium","Low"))))</f>
        <v/>
      </c>
      <c r="Q37" s="4" t="n"/>
      <c r="R37" s="19" t="n"/>
      <c r="S37" s="4" t="n"/>
      <c r="T37" s="19" t="n"/>
      <c r="U37" s="4" t="n"/>
      <c r="V37" s="19" t="n"/>
      <c r="W37" s="4" t="n"/>
      <c r="X37" s="19" t="n"/>
      <c r="Y37" s="4" t="n"/>
      <c r="Z37" s="19" t="n"/>
      <c r="AA37" s="4" t="n"/>
      <c r="AB37" s="19" t="n"/>
      <c r="AC37" s="5">
        <f>_xlfn.TEXTJOIN(CHAR(10),TRUE,IF(Q37="","","• "&amp;Q37&amp;IF(R37="Yes","  [IPL]","")),IF(S37="","","• "&amp;S37&amp;IF(T37="Yes","  [IPL]","")),IF(U37="","","• "&amp;U37&amp;IF(V37="Yes","  [IPL]","")),IF(W37="","","• "&amp;W37&amp;IF(X37="Yes","  [IPL]","")),IF(Y37="","","• "&amp;Y37&amp;IF(Z37="Yes","  [IPL]","")),IF(AA37="","","• "&amp;AA37&amp;IF(AB37="Yes","  [IPL]","")))</f>
        <v/>
      </c>
      <c r="AD37" s="30">
        <f>IF(AC37="","",COUNTIF(Q37:AB37,"Yes"))</f>
        <v/>
      </c>
      <c r="AE37" s="19" t="n"/>
      <c r="AF37" s="19" t="n"/>
      <c r="AG37" s="30">
        <f>IF(OR(AE37="",AF37=""),"",INDEX(RiskGrid,6-VALUE(LEFT(AE37,1)),VALUE(LEFT(AF37,1))))</f>
        <v/>
      </c>
      <c r="AH37" s="30">
        <f>IF(AG37="","",IF(AG37&gt;=BandVH,"Very High",IF(AG37&gt;=BandHigh,"High",IF(AG37&gt;=BandMed,"Medium","Low"))))</f>
        <v/>
      </c>
      <c r="AI37" s="4" t="n"/>
      <c r="AJ37" s="4" t="n"/>
    </row>
    <row r="38">
      <c r="A38" s="30">
        <f>IF(B38="","",COUNTIF(B$14:B38,"?*"))</f>
        <v/>
      </c>
      <c r="B38" s="4" t="n"/>
      <c r="C38" s="19" t="n"/>
      <c r="D38" s="5">
        <f>IF(OR(B38="",C38=""),"",UPPER(LEFT(C38,1))&amp;LOWER(MID(C38,2,30))&amp;" "&amp;LOWER(LEFT(B38,1))&amp;MID(B38,2,200))</f>
        <v/>
      </c>
      <c r="E38" s="4" t="n"/>
      <c r="F38" s="4" t="n"/>
      <c r="G38" s="4" t="n"/>
      <c r="H38" s="4" t="n"/>
      <c r="I38" s="4" t="n"/>
      <c r="J38" s="4" t="n"/>
      <c r="K38" s="5">
        <f>_xlfn.TEXTJOIN(CHAR(10),TRUE,IF(E38="","","• "&amp;E38),IF(F38="","","• "&amp;F38),IF(G38="","","• "&amp;G38),IF(H38="","","• "&amp;H38),IF(I38="","","• "&amp;I38),IF(J38="","","• "&amp;J38))</f>
        <v/>
      </c>
      <c r="L38" s="4" t="n"/>
      <c r="M38" s="19" t="n"/>
      <c r="N38" s="19" t="n"/>
      <c r="O38" s="30">
        <f>IF(OR(M38="",N38=""),"",INDEX(RiskGrid,6-VALUE(LEFT(M38,1)),VALUE(LEFT(N38,1))))</f>
        <v/>
      </c>
      <c r="P38" s="30">
        <f>IF(O38="","",IF(O38&gt;=BandVH,"Very High",IF(O38&gt;=BandHigh,"High",IF(O38&gt;=BandMed,"Medium","Low"))))</f>
        <v/>
      </c>
      <c r="Q38" s="4" t="n"/>
      <c r="R38" s="19" t="n"/>
      <c r="S38" s="4" t="n"/>
      <c r="T38" s="19" t="n"/>
      <c r="U38" s="4" t="n"/>
      <c r="V38" s="19" t="n"/>
      <c r="W38" s="4" t="n"/>
      <c r="X38" s="19" t="n"/>
      <c r="Y38" s="4" t="n"/>
      <c r="Z38" s="19" t="n"/>
      <c r="AA38" s="4" t="n"/>
      <c r="AB38" s="19" t="n"/>
      <c r="AC38" s="5">
        <f>_xlfn.TEXTJOIN(CHAR(10),TRUE,IF(Q38="","","• "&amp;Q38&amp;IF(R38="Yes","  [IPL]","")),IF(S38="","","• "&amp;S38&amp;IF(T38="Yes","  [IPL]","")),IF(U38="","","• "&amp;U38&amp;IF(V38="Yes","  [IPL]","")),IF(W38="","","• "&amp;W38&amp;IF(X38="Yes","  [IPL]","")),IF(Y38="","","• "&amp;Y38&amp;IF(Z38="Yes","  [IPL]","")),IF(AA38="","","• "&amp;AA38&amp;IF(AB38="Yes","  [IPL]","")))</f>
        <v/>
      </c>
      <c r="AD38" s="30">
        <f>IF(AC38="","",COUNTIF(Q38:AB38,"Yes"))</f>
        <v/>
      </c>
      <c r="AE38" s="19" t="n"/>
      <c r="AF38" s="19" t="n"/>
      <c r="AG38" s="30">
        <f>IF(OR(AE38="",AF38=""),"",INDEX(RiskGrid,6-VALUE(LEFT(AE38,1)),VALUE(LEFT(AF38,1))))</f>
        <v/>
      </c>
      <c r="AH38" s="30">
        <f>IF(AG38="","",IF(AG38&gt;=BandVH,"Very High",IF(AG38&gt;=BandHigh,"High",IF(AG38&gt;=BandMed,"Medium","Low"))))</f>
        <v/>
      </c>
      <c r="AI38" s="4" t="n"/>
      <c r="AJ38" s="4" t="n"/>
    </row>
    <row r="39">
      <c r="A39" s="30">
        <f>IF(B39="","",COUNTIF(B$14:B39,"?*"))</f>
        <v/>
      </c>
      <c r="B39" s="4" t="n"/>
      <c r="C39" s="19" t="n"/>
      <c r="D39" s="5">
        <f>IF(OR(B39="",C39=""),"",UPPER(LEFT(C39,1))&amp;LOWER(MID(C39,2,30))&amp;" "&amp;LOWER(LEFT(B39,1))&amp;MID(B39,2,200))</f>
        <v/>
      </c>
      <c r="E39" s="4" t="n"/>
      <c r="F39" s="4" t="n"/>
      <c r="G39" s="4" t="n"/>
      <c r="H39" s="4" t="n"/>
      <c r="I39" s="4" t="n"/>
      <c r="J39" s="4" t="n"/>
      <c r="K39" s="5">
        <f>_xlfn.TEXTJOIN(CHAR(10),TRUE,IF(E39="","","• "&amp;E39),IF(F39="","","• "&amp;F39),IF(G39="","","• "&amp;G39),IF(H39="","","• "&amp;H39),IF(I39="","","• "&amp;I39),IF(J39="","","• "&amp;J39))</f>
        <v/>
      </c>
      <c r="L39" s="4" t="n"/>
      <c r="M39" s="19" t="n"/>
      <c r="N39" s="19" t="n"/>
      <c r="O39" s="30">
        <f>IF(OR(M39="",N39=""),"",INDEX(RiskGrid,6-VALUE(LEFT(M39,1)),VALUE(LEFT(N39,1))))</f>
        <v/>
      </c>
      <c r="P39" s="30">
        <f>IF(O39="","",IF(O39&gt;=BandVH,"Very High",IF(O39&gt;=BandHigh,"High",IF(O39&gt;=BandMed,"Medium","Low"))))</f>
        <v/>
      </c>
      <c r="Q39" s="4" t="n"/>
      <c r="R39" s="19" t="n"/>
      <c r="S39" s="4" t="n"/>
      <c r="T39" s="19" t="n"/>
      <c r="U39" s="4" t="n"/>
      <c r="V39" s="19" t="n"/>
      <c r="W39" s="4" t="n"/>
      <c r="X39" s="19" t="n"/>
      <c r="Y39" s="4" t="n"/>
      <c r="Z39" s="19" t="n"/>
      <c r="AA39" s="4" t="n"/>
      <c r="AB39" s="19" t="n"/>
      <c r="AC39" s="5">
        <f>_xlfn.TEXTJOIN(CHAR(10),TRUE,IF(Q39="","","• "&amp;Q39&amp;IF(R39="Yes","  [IPL]","")),IF(S39="","","• "&amp;S39&amp;IF(T39="Yes","  [IPL]","")),IF(U39="","","• "&amp;U39&amp;IF(V39="Yes","  [IPL]","")),IF(W39="","","• "&amp;W39&amp;IF(X39="Yes","  [IPL]","")),IF(Y39="","","• "&amp;Y39&amp;IF(Z39="Yes","  [IPL]","")),IF(AA39="","","• "&amp;AA39&amp;IF(AB39="Yes","  [IPL]","")))</f>
        <v/>
      </c>
      <c r="AD39" s="30">
        <f>IF(AC39="","",COUNTIF(Q39:AB39,"Yes"))</f>
        <v/>
      </c>
      <c r="AE39" s="19" t="n"/>
      <c r="AF39" s="19" t="n"/>
      <c r="AG39" s="30">
        <f>IF(OR(AE39="",AF39=""),"",INDEX(RiskGrid,6-VALUE(LEFT(AE39,1)),VALUE(LEFT(AF39,1))))</f>
        <v/>
      </c>
      <c r="AH39" s="30">
        <f>IF(AG39="","",IF(AG39&gt;=BandVH,"Very High",IF(AG39&gt;=BandHigh,"High",IF(AG39&gt;=BandMed,"Medium","Low"))))</f>
        <v/>
      </c>
      <c r="AI39" s="4" t="n"/>
      <c r="AJ39" s="4" t="n"/>
    </row>
    <row r="40">
      <c r="A40" s="30">
        <f>IF(B40="","",COUNTIF(B$14:B40,"?*"))</f>
        <v/>
      </c>
      <c r="B40" s="4" t="n"/>
      <c r="C40" s="19" t="n"/>
      <c r="D40" s="5">
        <f>IF(OR(B40="",C40=""),"",UPPER(LEFT(C40,1))&amp;LOWER(MID(C40,2,30))&amp;" "&amp;LOWER(LEFT(B40,1))&amp;MID(B40,2,200))</f>
        <v/>
      </c>
      <c r="E40" s="4" t="n"/>
      <c r="F40" s="4" t="n"/>
      <c r="G40" s="4" t="n"/>
      <c r="H40" s="4" t="n"/>
      <c r="I40" s="4" t="n"/>
      <c r="J40" s="4" t="n"/>
      <c r="K40" s="5">
        <f>_xlfn.TEXTJOIN(CHAR(10),TRUE,IF(E40="","","• "&amp;E40),IF(F40="","","• "&amp;F40),IF(G40="","","• "&amp;G40),IF(H40="","","• "&amp;H40),IF(I40="","","• "&amp;I40),IF(J40="","","• "&amp;J40))</f>
        <v/>
      </c>
      <c r="L40" s="4" t="n"/>
      <c r="M40" s="19" t="n"/>
      <c r="N40" s="19" t="n"/>
      <c r="O40" s="30">
        <f>IF(OR(M40="",N40=""),"",INDEX(RiskGrid,6-VALUE(LEFT(M40,1)),VALUE(LEFT(N40,1))))</f>
        <v/>
      </c>
      <c r="P40" s="30">
        <f>IF(O40="","",IF(O40&gt;=BandVH,"Very High",IF(O40&gt;=BandHigh,"High",IF(O40&gt;=BandMed,"Medium","Low"))))</f>
        <v/>
      </c>
      <c r="Q40" s="4" t="n"/>
      <c r="R40" s="19" t="n"/>
      <c r="S40" s="4" t="n"/>
      <c r="T40" s="19" t="n"/>
      <c r="U40" s="4" t="n"/>
      <c r="V40" s="19" t="n"/>
      <c r="W40" s="4" t="n"/>
      <c r="X40" s="19" t="n"/>
      <c r="Y40" s="4" t="n"/>
      <c r="Z40" s="19" t="n"/>
      <c r="AA40" s="4" t="n"/>
      <c r="AB40" s="19" t="n"/>
      <c r="AC40" s="5">
        <f>_xlfn.TEXTJOIN(CHAR(10),TRUE,IF(Q40="","","• "&amp;Q40&amp;IF(R40="Yes","  [IPL]","")),IF(S40="","","• "&amp;S40&amp;IF(T40="Yes","  [IPL]","")),IF(U40="","","• "&amp;U40&amp;IF(V40="Yes","  [IPL]","")),IF(W40="","","• "&amp;W40&amp;IF(X40="Yes","  [IPL]","")),IF(Y40="","","• "&amp;Y40&amp;IF(Z40="Yes","  [IPL]","")),IF(AA40="","","• "&amp;AA40&amp;IF(AB40="Yes","  [IPL]","")))</f>
        <v/>
      </c>
      <c r="AD40" s="30">
        <f>IF(AC40="","",COUNTIF(Q40:AB40,"Yes"))</f>
        <v/>
      </c>
      <c r="AE40" s="19" t="n"/>
      <c r="AF40" s="19" t="n"/>
      <c r="AG40" s="30">
        <f>IF(OR(AE40="",AF40=""),"",INDEX(RiskGrid,6-VALUE(LEFT(AE40,1)),VALUE(LEFT(AF40,1))))</f>
        <v/>
      </c>
      <c r="AH40" s="30">
        <f>IF(AG40="","",IF(AG40&gt;=BandVH,"Very High",IF(AG40&gt;=BandHigh,"High",IF(AG40&gt;=BandMed,"Medium","Low"))))</f>
        <v/>
      </c>
      <c r="AI40" s="4" t="n"/>
      <c r="AJ40" s="4" t="n"/>
    </row>
    <row r="41">
      <c r="A41" s="30">
        <f>IF(B41="","",COUNTIF(B$14:B41,"?*"))</f>
        <v/>
      </c>
      <c r="B41" s="4" t="n"/>
      <c r="C41" s="19" t="n"/>
      <c r="D41" s="5">
        <f>IF(OR(B41="",C41=""),"",UPPER(LEFT(C41,1))&amp;LOWER(MID(C41,2,30))&amp;" "&amp;LOWER(LEFT(B41,1))&amp;MID(B41,2,200))</f>
        <v/>
      </c>
      <c r="E41" s="4" t="n"/>
      <c r="F41" s="4" t="n"/>
      <c r="G41" s="4" t="n"/>
      <c r="H41" s="4" t="n"/>
      <c r="I41" s="4" t="n"/>
      <c r="J41" s="4" t="n"/>
      <c r="K41" s="5">
        <f>_xlfn.TEXTJOIN(CHAR(10),TRUE,IF(E41="","","• "&amp;E41),IF(F41="","","• "&amp;F41),IF(G41="","","• "&amp;G41),IF(H41="","","• "&amp;H41),IF(I41="","","• "&amp;I41),IF(J41="","","• "&amp;J41))</f>
        <v/>
      </c>
      <c r="L41" s="4" t="n"/>
      <c r="M41" s="19" t="n"/>
      <c r="N41" s="19" t="n"/>
      <c r="O41" s="30">
        <f>IF(OR(M41="",N41=""),"",INDEX(RiskGrid,6-VALUE(LEFT(M41,1)),VALUE(LEFT(N41,1))))</f>
        <v/>
      </c>
      <c r="P41" s="30">
        <f>IF(O41="","",IF(O41&gt;=BandVH,"Very High",IF(O41&gt;=BandHigh,"High",IF(O41&gt;=BandMed,"Medium","Low"))))</f>
        <v/>
      </c>
      <c r="Q41" s="4" t="n"/>
      <c r="R41" s="19" t="n"/>
      <c r="S41" s="4" t="n"/>
      <c r="T41" s="19" t="n"/>
      <c r="U41" s="4" t="n"/>
      <c r="V41" s="19" t="n"/>
      <c r="W41" s="4" t="n"/>
      <c r="X41" s="19" t="n"/>
      <c r="Y41" s="4" t="n"/>
      <c r="Z41" s="19" t="n"/>
      <c r="AA41" s="4" t="n"/>
      <c r="AB41" s="19" t="n"/>
      <c r="AC41" s="5">
        <f>_xlfn.TEXTJOIN(CHAR(10),TRUE,IF(Q41="","","• "&amp;Q41&amp;IF(R41="Yes","  [IPL]","")),IF(S41="","","• "&amp;S41&amp;IF(T41="Yes","  [IPL]","")),IF(U41="","","• "&amp;U41&amp;IF(V41="Yes","  [IPL]","")),IF(W41="","","• "&amp;W41&amp;IF(X41="Yes","  [IPL]","")),IF(Y41="","","• "&amp;Y41&amp;IF(Z41="Yes","  [IPL]","")),IF(AA41="","","• "&amp;AA41&amp;IF(AB41="Yes","  [IPL]","")))</f>
        <v/>
      </c>
      <c r="AD41" s="30">
        <f>IF(AC41="","",COUNTIF(Q41:AB41,"Yes"))</f>
        <v/>
      </c>
      <c r="AE41" s="19" t="n"/>
      <c r="AF41" s="19" t="n"/>
      <c r="AG41" s="30">
        <f>IF(OR(AE41="",AF41=""),"",INDEX(RiskGrid,6-VALUE(LEFT(AE41,1)),VALUE(LEFT(AF41,1))))</f>
        <v/>
      </c>
      <c r="AH41" s="30">
        <f>IF(AG41="","",IF(AG41&gt;=BandVH,"Very High",IF(AG41&gt;=BandHigh,"High",IF(AG41&gt;=BandMed,"Medium","Low"))))</f>
        <v/>
      </c>
      <c r="AI41" s="4" t="n"/>
      <c r="AJ41" s="4" t="n"/>
    </row>
    <row r="42">
      <c r="A42" s="30">
        <f>IF(B42="","",COUNTIF(B$14:B42,"?*"))</f>
        <v/>
      </c>
      <c r="B42" s="4" t="n"/>
      <c r="C42" s="19" t="n"/>
      <c r="D42" s="5">
        <f>IF(OR(B42="",C42=""),"",UPPER(LEFT(C42,1))&amp;LOWER(MID(C42,2,30))&amp;" "&amp;LOWER(LEFT(B42,1))&amp;MID(B42,2,200))</f>
        <v/>
      </c>
      <c r="E42" s="4" t="n"/>
      <c r="F42" s="4" t="n"/>
      <c r="G42" s="4" t="n"/>
      <c r="H42" s="4" t="n"/>
      <c r="I42" s="4" t="n"/>
      <c r="J42" s="4" t="n"/>
      <c r="K42" s="5">
        <f>_xlfn.TEXTJOIN(CHAR(10),TRUE,IF(E42="","","• "&amp;E42),IF(F42="","","• "&amp;F42),IF(G42="","","• "&amp;G42),IF(H42="","","• "&amp;H42),IF(I42="","","• "&amp;I42),IF(J42="","","• "&amp;J42))</f>
        <v/>
      </c>
      <c r="L42" s="4" t="n"/>
      <c r="M42" s="19" t="n"/>
      <c r="N42" s="19" t="n"/>
      <c r="O42" s="30">
        <f>IF(OR(M42="",N42=""),"",INDEX(RiskGrid,6-VALUE(LEFT(M42,1)),VALUE(LEFT(N42,1))))</f>
        <v/>
      </c>
      <c r="P42" s="30">
        <f>IF(O42="","",IF(O42&gt;=BandVH,"Very High",IF(O42&gt;=BandHigh,"High",IF(O42&gt;=BandMed,"Medium","Low"))))</f>
        <v/>
      </c>
      <c r="Q42" s="4" t="n"/>
      <c r="R42" s="19" t="n"/>
      <c r="S42" s="4" t="n"/>
      <c r="T42" s="19" t="n"/>
      <c r="U42" s="4" t="n"/>
      <c r="V42" s="19" t="n"/>
      <c r="W42" s="4" t="n"/>
      <c r="X42" s="19" t="n"/>
      <c r="Y42" s="4" t="n"/>
      <c r="Z42" s="19" t="n"/>
      <c r="AA42" s="4" t="n"/>
      <c r="AB42" s="19" t="n"/>
      <c r="AC42" s="5">
        <f>_xlfn.TEXTJOIN(CHAR(10),TRUE,IF(Q42="","","• "&amp;Q42&amp;IF(R42="Yes","  [IPL]","")),IF(S42="","","• "&amp;S42&amp;IF(T42="Yes","  [IPL]","")),IF(U42="","","• "&amp;U42&amp;IF(V42="Yes","  [IPL]","")),IF(W42="","","• "&amp;W42&amp;IF(X42="Yes","  [IPL]","")),IF(Y42="","","• "&amp;Y42&amp;IF(Z42="Yes","  [IPL]","")),IF(AA42="","","• "&amp;AA42&amp;IF(AB42="Yes","  [IPL]","")))</f>
        <v/>
      </c>
      <c r="AD42" s="30">
        <f>IF(AC42="","",COUNTIF(Q42:AB42,"Yes"))</f>
        <v/>
      </c>
      <c r="AE42" s="19" t="n"/>
      <c r="AF42" s="19" t="n"/>
      <c r="AG42" s="30">
        <f>IF(OR(AE42="",AF42=""),"",INDEX(RiskGrid,6-VALUE(LEFT(AE42,1)),VALUE(LEFT(AF42,1))))</f>
        <v/>
      </c>
      <c r="AH42" s="30">
        <f>IF(AG42="","",IF(AG42&gt;=BandVH,"Very High",IF(AG42&gt;=BandHigh,"High",IF(AG42&gt;=BandMed,"Medium","Low"))))</f>
        <v/>
      </c>
      <c r="AI42" s="4" t="n"/>
      <c r="AJ42" s="4" t="n"/>
    </row>
    <row r="43">
      <c r="A43" s="30">
        <f>IF(B43="","",COUNTIF(B$14:B43,"?*"))</f>
        <v/>
      </c>
      <c r="B43" s="4" t="n"/>
      <c r="C43" s="19" t="n"/>
      <c r="D43" s="5">
        <f>IF(OR(B43="",C43=""),"",UPPER(LEFT(C43,1))&amp;LOWER(MID(C43,2,30))&amp;" "&amp;LOWER(LEFT(B43,1))&amp;MID(B43,2,200))</f>
        <v/>
      </c>
      <c r="E43" s="4" t="n"/>
      <c r="F43" s="4" t="n"/>
      <c r="G43" s="4" t="n"/>
      <c r="H43" s="4" t="n"/>
      <c r="I43" s="4" t="n"/>
      <c r="J43" s="4" t="n"/>
      <c r="K43" s="5">
        <f>_xlfn.TEXTJOIN(CHAR(10),TRUE,IF(E43="","","• "&amp;E43),IF(F43="","","• "&amp;F43),IF(G43="","","• "&amp;G43),IF(H43="","","• "&amp;H43),IF(I43="","","• "&amp;I43),IF(J43="","","• "&amp;J43))</f>
        <v/>
      </c>
      <c r="L43" s="4" t="n"/>
      <c r="M43" s="19" t="n"/>
      <c r="N43" s="19" t="n"/>
      <c r="O43" s="30">
        <f>IF(OR(M43="",N43=""),"",INDEX(RiskGrid,6-VALUE(LEFT(M43,1)),VALUE(LEFT(N43,1))))</f>
        <v/>
      </c>
      <c r="P43" s="30">
        <f>IF(O43="","",IF(O43&gt;=BandVH,"Very High",IF(O43&gt;=BandHigh,"High",IF(O43&gt;=BandMed,"Medium","Low"))))</f>
        <v/>
      </c>
      <c r="Q43" s="4" t="n"/>
      <c r="R43" s="19" t="n"/>
      <c r="S43" s="4" t="n"/>
      <c r="T43" s="19" t="n"/>
      <c r="U43" s="4" t="n"/>
      <c r="V43" s="19" t="n"/>
      <c r="W43" s="4" t="n"/>
      <c r="X43" s="19" t="n"/>
      <c r="Y43" s="4" t="n"/>
      <c r="Z43" s="19" t="n"/>
      <c r="AA43" s="4" t="n"/>
      <c r="AB43" s="19" t="n"/>
      <c r="AC43" s="5">
        <f>_xlfn.TEXTJOIN(CHAR(10),TRUE,IF(Q43="","","• "&amp;Q43&amp;IF(R43="Yes","  [IPL]","")),IF(S43="","","• "&amp;S43&amp;IF(T43="Yes","  [IPL]","")),IF(U43="","","• "&amp;U43&amp;IF(V43="Yes","  [IPL]","")),IF(W43="","","• "&amp;W43&amp;IF(X43="Yes","  [IPL]","")),IF(Y43="","","• "&amp;Y43&amp;IF(Z43="Yes","  [IPL]","")),IF(AA43="","","• "&amp;AA43&amp;IF(AB43="Yes","  [IPL]","")))</f>
        <v/>
      </c>
      <c r="AD43" s="30">
        <f>IF(AC43="","",COUNTIF(Q43:AB43,"Yes"))</f>
        <v/>
      </c>
      <c r="AE43" s="19" t="n"/>
      <c r="AF43" s="19" t="n"/>
      <c r="AG43" s="30">
        <f>IF(OR(AE43="",AF43=""),"",INDEX(RiskGrid,6-VALUE(LEFT(AE43,1)),VALUE(LEFT(AF43,1))))</f>
        <v/>
      </c>
      <c r="AH43" s="30">
        <f>IF(AG43="","",IF(AG43&gt;=BandVH,"Very High",IF(AG43&gt;=BandHigh,"High",IF(AG43&gt;=BandMed,"Medium","Low"))))</f>
        <v/>
      </c>
      <c r="AI43" s="4" t="n"/>
      <c r="AJ43" s="4" t="n"/>
    </row>
    <row r="44">
      <c r="A44" s="30">
        <f>IF(B44="","",COUNTIF(B$14:B44,"?*"))</f>
        <v/>
      </c>
      <c r="B44" s="4" t="n"/>
      <c r="C44" s="19" t="n"/>
      <c r="D44" s="5">
        <f>IF(OR(B44="",C44=""),"",UPPER(LEFT(C44,1))&amp;LOWER(MID(C44,2,30))&amp;" "&amp;LOWER(LEFT(B44,1))&amp;MID(B44,2,200))</f>
        <v/>
      </c>
      <c r="E44" s="4" t="n"/>
      <c r="F44" s="4" t="n"/>
      <c r="G44" s="4" t="n"/>
      <c r="H44" s="4" t="n"/>
      <c r="I44" s="4" t="n"/>
      <c r="J44" s="4" t="n"/>
      <c r="K44" s="5">
        <f>_xlfn.TEXTJOIN(CHAR(10),TRUE,IF(E44="","","• "&amp;E44),IF(F44="","","• "&amp;F44),IF(G44="","","• "&amp;G44),IF(H44="","","• "&amp;H44),IF(I44="","","• "&amp;I44),IF(J44="","","• "&amp;J44))</f>
        <v/>
      </c>
      <c r="L44" s="4" t="n"/>
      <c r="M44" s="19" t="n"/>
      <c r="N44" s="19" t="n"/>
      <c r="O44" s="30">
        <f>IF(OR(M44="",N44=""),"",INDEX(RiskGrid,6-VALUE(LEFT(M44,1)),VALUE(LEFT(N44,1))))</f>
        <v/>
      </c>
      <c r="P44" s="30">
        <f>IF(O44="","",IF(O44&gt;=BandVH,"Very High",IF(O44&gt;=BandHigh,"High",IF(O44&gt;=BandMed,"Medium","Low"))))</f>
        <v/>
      </c>
      <c r="Q44" s="4" t="n"/>
      <c r="R44" s="19" t="n"/>
      <c r="S44" s="4" t="n"/>
      <c r="T44" s="19" t="n"/>
      <c r="U44" s="4" t="n"/>
      <c r="V44" s="19" t="n"/>
      <c r="W44" s="4" t="n"/>
      <c r="X44" s="19" t="n"/>
      <c r="Y44" s="4" t="n"/>
      <c r="Z44" s="19" t="n"/>
      <c r="AA44" s="4" t="n"/>
      <c r="AB44" s="19" t="n"/>
      <c r="AC44" s="5">
        <f>_xlfn.TEXTJOIN(CHAR(10),TRUE,IF(Q44="","","• "&amp;Q44&amp;IF(R44="Yes","  [IPL]","")),IF(S44="","","• "&amp;S44&amp;IF(T44="Yes","  [IPL]","")),IF(U44="","","• "&amp;U44&amp;IF(V44="Yes","  [IPL]","")),IF(W44="","","• "&amp;W44&amp;IF(X44="Yes","  [IPL]","")),IF(Y44="","","• "&amp;Y44&amp;IF(Z44="Yes","  [IPL]","")),IF(AA44="","","• "&amp;AA44&amp;IF(AB44="Yes","  [IPL]","")))</f>
        <v/>
      </c>
      <c r="AD44" s="30">
        <f>IF(AC44="","",COUNTIF(Q44:AB44,"Yes"))</f>
        <v/>
      </c>
      <c r="AE44" s="19" t="n"/>
      <c r="AF44" s="19" t="n"/>
      <c r="AG44" s="30">
        <f>IF(OR(AE44="",AF44=""),"",INDEX(RiskGrid,6-VALUE(LEFT(AE44,1)),VALUE(LEFT(AF44,1))))</f>
        <v/>
      </c>
      <c r="AH44" s="30">
        <f>IF(AG44="","",IF(AG44&gt;=BandVH,"Very High",IF(AG44&gt;=BandHigh,"High",IF(AG44&gt;=BandMed,"Medium","Low"))))</f>
        <v/>
      </c>
      <c r="AI44" s="4" t="n"/>
      <c r="AJ44" s="4" t="n"/>
    </row>
    <row r="45">
      <c r="A45" s="30">
        <f>IF(B45="","",COUNTIF(B$14:B45,"?*"))</f>
        <v/>
      </c>
      <c r="B45" s="4" t="n"/>
      <c r="C45" s="19" t="n"/>
      <c r="D45" s="5">
        <f>IF(OR(B45="",C45=""),"",UPPER(LEFT(C45,1))&amp;LOWER(MID(C45,2,30))&amp;" "&amp;LOWER(LEFT(B45,1))&amp;MID(B45,2,200))</f>
        <v/>
      </c>
      <c r="E45" s="4" t="n"/>
      <c r="F45" s="4" t="n"/>
      <c r="G45" s="4" t="n"/>
      <c r="H45" s="4" t="n"/>
      <c r="I45" s="4" t="n"/>
      <c r="J45" s="4" t="n"/>
      <c r="K45" s="5">
        <f>_xlfn.TEXTJOIN(CHAR(10),TRUE,IF(E45="","","• "&amp;E45),IF(F45="","","• "&amp;F45),IF(G45="","","• "&amp;G45),IF(H45="","","• "&amp;H45),IF(I45="","","• "&amp;I45),IF(J45="","","• "&amp;J45))</f>
        <v/>
      </c>
      <c r="L45" s="4" t="n"/>
      <c r="M45" s="19" t="n"/>
      <c r="N45" s="19" t="n"/>
      <c r="O45" s="30">
        <f>IF(OR(M45="",N45=""),"",INDEX(RiskGrid,6-VALUE(LEFT(M45,1)),VALUE(LEFT(N45,1))))</f>
        <v/>
      </c>
      <c r="P45" s="30">
        <f>IF(O45="","",IF(O45&gt;=BandVH,"Very High",IF(O45&gt;=BandHigh,"High",IF(O45&gt;=BandMed,"Medium","Low"))))</f>
        <v/>
      </c>
      <c r="Q45" s="4" t="n"/>
      <c r="R45" s="19" t="n"/>
      <c r="S45" s="4" t="n"/>
      <c r="T45" s="19" t="n"/>
      <c r="U45" s="4" t="n"/>
      <c r="V45" s="19" t="n"/>
      <c r="W45" s="4" t="n"/>
      <c r="X45" s="19" t="n"/>
      <c r="Y45" s="4" t="n"/>
      <c r="Z45" s="19" t="n"/>
      <c r="AA45" s="4" t="n"/>
      <c r="AB45" s="19" t="n"/>
      <c r="AC45" s="5">
        <f>_xlfn.TEXTJOIN(CHAR(10),TRUE,IF(Q45="","","• "&amp;Q45&amp;IF(R45="Yes","  [IPL]","")),IF(S45="","","• "&amp;S45&amp;IF(T45="Yes","  [IPL]","")),IF(U45="","","• "&amp;U45&amp;IF(V45="Yes","  [IPL]","")),IF(W45="","","• "&amp;W45&amp;IF(X45="Yes","  [IPL]","")),IF(Y45="","","• "&amp;Y45&amp;IF(Z45="Yes","  [IPL]","")),IF(AA45="","","• "&amp;AA45&amp;IF(AB45="Yes","  [IPL]","")))</f>
        <v/>
      </c>
      <c r="AD45" s="30">
        <f>IF(AC45="","",COUNTIF(Q45:AB45,"Yes"))</f>
        <v/>
      </c>
      <c r="AE45" s="19" t="n"/>
      <c r="AF45" s="19" t="n"/>
      <c r="AG45" s="30">
        <f>IF(OR(AE45="",AF45=""),"",INDEX(RiskGrid,6-VALUE(LEFT(AE45,1)),VALUE(LEFT(AF45,1))))</f>
        <v/>
      </c>
      <c r="AH45" s="30">
        <f>IF(AG45="","",IF(AG45&gt;=BandVH,"Very High",IF(AG45&gt;=BandHigh,"High",IF(AG45&gt;=BandMed,"Medium","Low"))))</f>
        <v/>
      </c>
      <c r="AI45" s="4" t="n"/>
      <c r="AJ45" s="4" t="n"/>
    </row>
    <row r="46">
      <c r="A46" s="30">
        <f>IF(B46="","",COUNTIF(B$14:B46,"?*"))</f>
        <v/>
      </c>
      <c r="B46" s="4" t="n"/>
      <c r="C46" s="19" t="n"/>
      <c r="D46" s="5">
        <f>IF(OR(B46="",C46=""),"",UPPER(LEFT(C46,1))&amp;LOWER(MID(C46,2,30))&amp;" "&amp;LOWER(LEFT(B46,1))&amp;MID(B46,2,200))</f>
        <v/>
      </c>
      <c r="E46" s="4" t="n"/>
      <c r="F46" s="4" t="n"/>
      <c r="G46" s="4" t="n"/>
      <c r="H46" s="4" t="n"/>
      <c r="I46" s="4" t="n"/>
      <c r="J46" s="4" t="n"/>
      <c r="K46" s="5">
        <f>_xlfn.TEXTJOIN(CHAR(10),TRUE,IF(E46="","","• "&amp;E46),IF(F46="","","• "&amp;F46),IF(G46="","","• "&amp;G46),IF(H46="","","• "&amp;H46),IF(I46="","","• "&amp;I46),IF(J46="","","• "&amp;J46))</f>
        <v/>
      </c>
      <c r="L46" s="4" t="n"/>
      <c r="M46" s="19" t="n"/>
      <c r="N46" s="19" t="n"/>
      <c r="O46" s="30">
        <f>IF(OR(M46="",N46=""),"",INDEX(RiskGrid,6-VALUE(LEFT(M46,1)),VALUE(LEFT(N46,1))))</f>
        <v/>
      </c>
      <c r="P46" s="30">
        <f>IF(O46="","",IF(O46&gt;=BandVH,"Very High",IF(O46&gt;=BandHigh,"High",IF(O46&gt;=BandMed,"Medium","Low"))))</f>
        <v/>
      </c>
      <c r="Q46" s="4" t="n"/>
      <c r="R46" s="19" t="n"/>
      <c r="S46" s="4" t="n"/>
      <c r="T46" s="19" t="n"/>
      <c r="U46" s="4" t="n"/>
      <c r="V46" s="19" t="n"/>
      <c r="W46" s="4" t="n"/>
      <c r="X46" s="19" t="n"/>
      <c r="Y46" s="4" t="n"/>
      <c r="Z46" s="19" t="n"/>
      <c r="AA46" s="4" t="n"/>
      <c r="AB46" s="19" t="n"/>
      <c r="AC46" s="5">
        <f>_xlfn.TEXTJOIN(CHAR(10),TRUE,IF(Q46="","","• "&amp;Q46&amp;IF(R46="Yes","  [IPL]","")),IF(S46="","","• "&amp;S46&amp;IF(T46="Yes","  [IPL]","")),IF(U46="","","• "&amp;U46&amp;IF(V46="Yes","  [IPL]","")),IF(W46="","","• "&amp;W46&amp;IF(X46="Yes","  [IPL]","")),IF(Y46="","","• "&amp;Y46&amp;IF(Z46="Yes","  [IPL]","")),IF(AA46="","","• "&amp;AA46&amp;IF(AB46="Yes","  [IPL]","")))</f>
        <v/>
      </c>
      <c r="AD46" s="30">
        <f>IF(AC46="","",COUNTIF(Q46:AB46,"Yes"))</f>
        <v/>
      </c>
      <c r="AE46" s="19" t="n"/>
      <c r="AF46" s="19" t="n"/>
      <c r="AG46" s="30">
        <f>IF(OR(AE46="",AF46=""),"",INDEX(RiskGrid,6-VALUE(LEFT(AE46,1)),VALUE(LEFT(AF46,1))))</f>
        <v/>
      </c>
      <c r="AH46" s="30">
        <f>IF(AG46="","",IF(AG46&gt;=BandVH,"Very High",IF(AG46&gt;=BandHigh,"High",IF(AG46&gt;=BandMed,"Medium","Low"))))</f>
        <v/>
      </c>
      <c r="AI46" s="4" t="n"/>
      <c r="AJ46" s="4" t="n"/>
    </row>
    <row r="47">
      <c r="A47" s="30">
        <f>IF(B47="","",COUNTIF(B$14:B47,"?*"))</f>
        <v/>
      </c>
      <c r="B47" s="4" t="n"/>
      <c r="C47" s="19" t="n"/>
      <c r="D47" s="5">
        <f>IF(OR(B47="",C47=""),"",UPPER(LEFT(C47,1))&amp;LOWER(MID(C47,2,30))&amp;" "&amp;LOWER(LEFT(B47,1))&amp;MID(B47,2,200))</f>
        <v/>
      </c>
      <c r="E47" s="4" t="n"/>
      <c r="F47" s="4" t="n"/>
      <c r="G47" s="4" t="n"/>
      <c r="H47" s="4" t="n"/>
      <c r="I47" s="4" t="n"/>
      <c r="J47" s="4" t="n"/>
      <c r="K47" s="5">
        <f>_xlfn.TEXTJOIN(CHAR(10),TRUE,IF(E47="","","• "&amp;E47),IF(F47="","","• "&amp;F47),IF(G47="","","• "&amp;G47),IF(H47="","","• "&amp;H47),IF(I47="","","• "&amp;I47),IF(J47="","","• "&amp;J47))</f>
        <v/>
      </c>
      <c r="L47" s="4" t="n"/>
      <c r="M47" s="19" t="n"/>
      <c r="N47" s="19" t="n"/>
      <c r="O47" s="30">
        <f>IF(OR(M47="",N47=""),"",INDEX(RiskGrid,6-VALUE(LEFT(M47,1)),VALUE(LEFT(N47,1))))</f>
        <v/>
      </c>
      <c r="P47" s="30">
        <f>IF(O47="","",IF(O47&gt;=BandVH,"Very High",IF(O47&gt;=BandHigh,"High",IF(O47&gt;=BandMed,"Medium","Low"))))</f>
        <v/>
      </c>
      <c r="Q47" s="4" t="n"/>
      <c r="R47" s="19" t="n"/>
      <c r="S47" s="4" t="n"/>
      <c r="T47" s="19" t="n"/>
      <c r="U47" s="4" t="n"/>
      <c r="V47" s="19" t="n"/>
      <c r="W47" s="4" t="n"/>
      <c r="X47" s="19" t="n"/>
      <c r="Y47" s="4" t="n"/>
      <c r="Z47" s="19" t="n"/>
      <c r="AA47" s="4" t="n"/>
      <c r="AB47" s="19" t="n"/>
      <c r="AC47" s="5">
        <f>_xlfn.TEXTJOIN(CHAR(10),TRUE,IF(Q47="","","• "&amp;Q47&amp;IF(R47="Yes","  [IPL]","")),IF(S47="","","• "&amp;S47&amp;IF(T47="Yes","  [IPL]","")),IF(U47="","","• "&amp;U47&amp;IF(V47="Yes","  [IPL]","")),IF(W47="","","• "&amp;W47&amp;IF(X47="Yes","  [IPL]","")),IF(Y47="","","• "&amp;Y47&amp;IF(Z47="Yes","  [IPL]","")),IF(AA47="","","• "&amp;AA47&amp;IF(AB47="Yes","  [IPL]","")))</f>
        <v/>
      </c>
      <c r="AD47" s="30">
        <f>IF(AC47="","",COUNTIF(Q47:AB47,"Yes"))</f>
        <v/>
      </c>
      <c r="AE47" s="19" t="n"/>
      <c r="AF47" s="19" t="n"/>
      <c r="AG47" s="30">
        <f>IF(OR(AE47="",AF47=""),"",INDEX(RiskGrid,6-VALUE(LEFT(AE47,1)),VALUE(LEFT(AF47,1))))</f>
        <v/>
      </c>
      <c r="AH47" s="30">
        <f>IF(AG47="","",IF(AG47&gt;=BandVH,"Very High",IF(AG47&gt;=BandHigh,"High",IF(AG47&gt;=BandMed,"Medium","Low"))))</f>
        <v/>
      </c>
      <c r="AI47" s="4" t="n"/>
      <c r="AJ47" s="4" t="n"/>
    </row>
    <row r="48">
      <c r="A48" s="30">
        <f>IF(B48="","",COUNTIF(B$14:B48,"?*"))</f>
        <v/>
      </c>
      <c r="B48" s="4" t="n"/>
      <c r="C48" s="19" t="n"/>
      <c r="D48" s="5">
        <f>IF(OR(B48="",C48=""),"",UPPER(LEFT(C48,1))&amp;LOWER(MID(C48,2,30))&amp;" "&amp;LOWER(LEFT(B48,1))&amp;MID(B48,2,200))</f>
        <v/>
      </c>
      <c r="E48" s="4" t="n"/>
      <c r="F48" s="4" t="n"/>
      <c r="G48" s="4" t="n"/>
      <c r="H48" s="4" t="n"/>
      <c r="I48" s="4" t="n"/>
      <c r="J48" s="4" t="n"/>
      <c r="K48" s="5">
        <f>_xlfn.TEXTJOIN(CHAR(10),TRUE,IF(E48="","","• "&amp;E48),IF(F48="","","• "&amp;F48),IF(G48="","","• "&amp;G48),IF(H48="","","• "&amp;H48),IF(I48="","","• "&amp;I48),IF(J48="","","• "&amp;J48))</f>
        <v/>
      </c>
      <c r="L48" s="4" t="n"/>
      <c r="M48" s="19" t="n"/>
      <c r="N48" s="19" t="n"/>
      <c r="O48" s="30">
        <f>IF(OR(M48="",N48=""),"",INDEX(RiskGrid,6-VALUE(LEFT(M48,1)),VALUE(LEFT(N48,1))))</f>
        <v/>
      </c>
      <c r="P48" s="30">
        <f>IF(O48="","",IF(O48&gt;=BandVH,"Very High",IF(O48&gt;=BandHigh,"High",IF(O48&gt;=BandMed,"Medium","Low"))))</f>
        <v/>
      </c>
      <c r="Q48" s="4" t="n"/>
      <c r="R48" s="19" t="n"/>
      <c r="S48" s="4" t="n"/>
      <c r="T48" s="19" t="n"/>
      <c r="U48" s="4" t="n"/>
      <c r="V48" s="19" t="n"/>
      <c r="W48" s="4" t="n"/>
      <c r="X48" s="19" t="n"/>
      <c r="Y48" s="4" t="n"/>
      <c r="Z48" s="19" t="n"/>
      <c r="AA48" s="4" t="n"/>
      <c r="AB48" s="19" t="n"/>
      <c r="AC48" s="5">
        <f>_xlfn.TEXTJOIN(CHAR(10),TRUE,IF(Q48="","","• "&amp;Q48&amp;IF(R48="Yes","  [IPL]","")),IF(S48="","","• "&amp;S48&amp;IF(T48="Yes","  [IPL]","")),IF(U48="","","• "&amp;U48&amp;IF(V48="Yes","  [IPL]","")),IF(W48="","","• "&amp;W48&amp;IF(X48="Yes","  [IPL]","")),IF(Y48="","","• "&amp;Y48&amp;IF(Z48="Yes","  [IPL]","")),IF(AA48="","","• "&amp;AA48&amp;IF(AB48="Yes","  [IPL]","")))</f>
        <v/>
      </c>
      <c r="AD48" s="30">
        <f>IF(AC48="","",COUNTIF(Q48:AB48,"Yes"))</f>
        <v/>
      </c>
      <c r="AE48" s="19" t="n"/>
      <c r="AF48" s="19" t="n"/>
      <c r="AG48" s="30">
        <f>IF(OR(AE48="",AF48=""),"",INDEX(RiskGrid,6-VALUE(LEFT(AE48,1)),VALUE(LEFT(AF48,1))))</f>
        <v/>
      </c>
      <c r="AH48" s="30">
        <f>IF(AG48="","",IF(AG48&gt;=BandVH,"Very High",IF(AG48&gt;=BandHigh,"High",IF(AG48&gt;=BandMed,"Medium","Low"))))</f>
        <v/>
      </c>
      <c r="AI48" s="4" t="n"/>
      <c r="AJ48" s="4" t="n"/>
    </row>
    <row r="49">
      <c r="A49" s="30">
        <f>IF(B49="","",COUNTIF(B$14:B49,"?*"))</f>
        <v/>
      </c>
      <c r="B49" s="4" t="n"/>
      <c r="C49" s="19" t="n"/>
      <c r="D49" s="5">
        <f>IF(OR(B49="",C49=""),"",UPPER(LEFT(C49,1))&amp;LOWER(MID(C49,2,30))&amp;" "&amp;LOWER(LEFT(B49,1))&amp;MID(B49,2,200))</f>
        <v/>
      </c>
      <c r="E49" s="4" t="n"/>
      <c r="F49" s="4" t="n"/>
      <c r="G49" s="4" t="n"/>
      <c r="H49" s="4" t="n"/>
      <c r="I49" s="4" t="n"/>
      <c r="J49" s="4" t="n"/>
      <c r="K49" s="5">
        <f>_xlfn.TEXTJOIN(CHAR(10),TRUE,IF(E49="","","• "&amp;E49),IF(F49="","","• "&amp;F49),IF(G49="","","• "&amp;G49),IF(H49="","","• "&amp;H49),IF(I49="","","• "&amp;I49),IF(J49="","","• "&amp;J49))</f>
        <v/>
      </c>
      <c r="L49" s="4" t="n"/>
      <c r="M49" s="19" t="n"/>
      <c r="N49" s="19" t="n"/>
      <c r="O49" s="30">
        <f>IF(OR(M49="",N49=""),"",INDEX(RiskGrid,6-VALUE(LEFT(M49,1)),VALUE(LEFT(N49,1))))</f>
        <v/>
      </c>
      <c r="P49" s="30">
        <f>IF(O49="","",IF(O49&gt;=BandVH,"Very High",IF(O49&gt;=BandHigh,"High",IF(O49&gt;=BandMed,"Medium","Low"))))</f>
        <v/>
      </c>
      <c r="Q49" s="4" t="n"/>
      <c r="R49" s="19" t="n"/>
      <c r="S49" s="4" t="n"/>
      <c r="T49" s="19" t="n"/>
      <c r="U49" s="4" t="n"/>
      <c r="V49" s="19" t="n"/>
      <c r="W49" s="4" t="n"/>
      <c r="X49" s="19" t="n"/>
      <c r="Y49" s="4" t="n"/>
      <c r="Z49" s="19" t="n"/>
      <c r="AA49" s="4" t="n"/>
      <c r="AB49" s="19" t="n"/>
      <c r="AC49" s="5">
        <f>_xlfn.TEXTJOIN(CHAR(10),TRUE,IF(Q49="","","• "&amp;Q49&amp;IF(R49="Yes","  [IPL]","")),IF(S49="","","• "&amp;S49&amp;IF(T49="Yes","  [IPL]","")),IF(U49="","","• "&amp;U49&amp;IF(V49="Yes","  [IPL]","")),IF(W49="","","• "&amp;W49&amp;IF(X49="Yes","  [IPL]","")),IF(Y49="","","• "&amp;Y49&amp;IF(Z49="Yes","  [IPL]","")),IF(AA49="","","• "&amp;AA49&amp;IF(AB49="Yes","  [IPL]","")))</f>
        <v/>
      </c>
      <c r="AD49" s="30">
        <f>IF(AC49="","",COUNTIF(Q49:AB49,"Yes"))</f>
        <v/>
      </c>
      <c r="AE49" s="19" t="n"/>
      <c r="AF49" s="19" t="n"/>
      <c r="AG49" s="30">
        <f>IF(OR(AE49="",AF49=""),"",INDEX(RiskGrid,6-VALUE(LEFT(AE49,1)),VALUE(LEFT(AF49,1))))</f>
        <v/>
      </c>
      <c r="AH49" s="30">
        <f>IF(AG49="","",IF(AG49&gt;=BandVH,"Very High",IF(AG49&gt;=BandHigh,"High",IF(AG49&gt;=BandMed,"Medium","Low"))))</f>
        <v/>
      </c>
      <c r="AI49" s="4" t="n"/>
      <c r="AJ49" s="4" t="n"/>
    </row>
    <row r="50">
      <c r="A50" s="30">
        <f>IF(B50="","",COUNTIF(B$14:B50,"?*"))</f>
        <v/>
      </c>
      <c r="B50" s="4" t="n"/>
      <c r="C50" s="19" t="n"/>
      <c r="D50" s="5">
        <f>IF(OR(B50="",C50=""),"",UPPER(LEFT(C50,1))&amp;LOWER(MID(C50,2,30))&amp;" "&amp;LOWER(LEFT(B50,1))&amp;MID(B50,2,200))</f>
        <v/>
      </c>
      <c r="E50" s="4" t="n"/>
      <c r="F50" s="4" t="n"/>
      <c r="G50" s="4" t="n"/>
      <c r="H50" s="4" t="n"/>
      <c r="I50" s="4" t="n"/>
      <c r="J50" s="4" t="n"/>
      <c r="K50" s="5">
        <f>_xlfn.TEXTJOIN(CHAR(10),TRUE,IF(E50="","","• "&amp;E50),IF(F50="","","• "&amp;F50),IF(G50="","","• "&amp;G50),IF(H50="","","• "&amp;H50),IF(I50="","","• "&amp;I50),IF(J50="","","• "&amp;J50))</f>
        <v/>
      </c>
      <c r="L50" s="4" t="n"/>
      <c r="M50" s="19" t="n"/>
      <c r="N50" s="19" t="n"/>
      <c r="O50" s="30">
        <f>IF(OR(M50="",N50=""),"",INDEX(RiskGrid,6-VALUE(LEFT(M50,1)),VALUE(LEFT(N50,1))))</f>
        <v/>
      </c>
      <c r="P50" s="30">
        <f>IF(O50="","",IF(O50&gt;=BandVH,"Very High",IF(O50&gt;=BandHigh,"High",IF(O50&gt;=BandMed,"Medium","Low"))))</f>
        <v/>
      </c>
      <c r="Q50" s="4" t="n"/>
      <c r="R50" s="19" t="n"/>
      <c r="S50" s="4" t="n"/>
      <c r="T50" s="19" t="n"/>
      <c r="U50" s="4" t="n"/>
      <c r="V50" s="19" t="n"/>
      <c r="W50" s="4" t="n"/>
      <c r="X50" s="19" t="n"/>
      <c r="Y50" s="4" t="n"/>
      <c r="Z50" s="19" t="n"/>
      <c r="AA50" s="4" t="n"/>
      <c r="AB50" s="19" t="n"/>
      <c r="AC50" s="5">
        <f>_xlfn.TEXTJOIN(CHAR(10),TRUE,IF(Q50="","","• "&amp;Q50&amp;IF(R50="Yes","  [IPL]","")),IF(S50="","","• "&amp;S50&amp;IF(T50="Yes","  [IPL]","")),IF(U50="","","• "&amp;U50&amp;IF(V50="Yes","  [IPL]","")),IF(W50="","","• "&amp;W50&amp;IF(X50="Yes","  [IPL]","")),IF(Y50="","","• "&amp;Y50&amp;IF(Z50="Yes","  [IPL]","")),IF(AA50="","","• "&amp;AA50&amp;IF(AB50="Yes","  [IPL]","")))</f>
        <v/>
      </c>
      <c r="AD50" s="30">
        <f>IF(AC50="","",COUNTIF(Q50:AB50,"Yes"))</f>
        <v/>
      </c>
      <c r="AE50" s="19" t="n"/>
      <c r="AF50" s="19" t="n"/>
      <c r="AG50" s="30">
        <f>IF(OR(AE50="",AF50=""),"",INDEX(RiskGrid,6-VALUE(LEFT(AE50,1)),VALUE(LEFT(AF50,1))))</f>
        <v/>
      </c>
      <c r="AH50" s="30">
        <f>IF(AG50="","",IF(AG50&gt;=BandVH,"Very High",IF(AG50&gt;=BandHigh,"High",IF(AG50&gt;=BandMed,"Medium","Low"))))</f>
        <v/>
      </c>
      <c r="AI50" s="4" t="n"/>
      <c r="AJ50" s="4" t="n"/>
    </row>
    <row r="51">
      <c r="A51" s="30">
        <f>IF(B51="","",COUNTIF(B$14:B51,"?*"))</f>
        <v/>
      </c>
      <c r="B51" s="4" t="n"/>
      <c r="C51" s="19" t="n"/>
      <c r="D51" s="5">
        <f>IF(OR(B51="",C51=""),"",UPPER(LEFT(C51,1))&amp;LOWER(MID(C51,2,30))&amp;" "&amp;LOWER(LEFT(B51,1))&amp;MID(B51,2,200))</f>
        <v/>
      </c>
      <c r="E51" s="4" t="n"/>
      <c r="F51" s="4" t="n"/>
      <c r="G51" s="4" t="n"/>
      <c r="H51" s="4" t="n"/>
      <c r="I51" s="4" t="n"/>
      <c r="J51" s="4" t="n"/>
      <c r="K51" s="5">
        <f>_xlfn.TEXTJOIN(CHAR(10),TRUE,IF(E51="","","• "&amp;E51),IF(F51="","","• "&amp;F51),IF(G51="","","• "&amp;G51),IF(H51="","","• "&amp;H51),IF(I51="","","• "&amp;I51),IF(J51="","","• "&amp;J51))</f>
        <v/>
      </c>
      <c r="L51" s="4" t="n"/>
      <c r="M51" s="19" t="n"/>
      <c r="N51" s="19" t="n"/>
      <c r="O51" s="30">
        <f>IF(OR(M51="",N51=""),"",INDEX(RiskGrid,6-VALUE(LEFT(M51,1)),VALUE(LEFT(N51,1))))</f>
        <v/>
      </c>
      <c r="P51" s="30">
        <f>IF(O51="","",IF(O51&gt;=BandVH,"Very High",IF(O51&gt;=BandHigh,"High",IF(O51&gt;=BandMed,"Medium","Low"))))</f>
        <v/>
      </c>
      <c r="Q51" s="4" t="n"/>
      <c r="R51" s="19" t="n"/>
      <c r="S51" s="4" t="n"/>
      <c r="T51" s="19" t="n"/>
      <c r="U51" s="4" t="n"/>
      <c r="V51" s="19" t="n"/>
      <c r="W51" s="4" t="n"/>
      <c r="X51" s="19" t="n"/>
      <c r="Y51" s="4" t="n"/>
      <c r="Z51" s="19" t="n"/>
      <c r="AA51" s="4" t="n"/>
      <c r="AB51" s="19" t="n"/>
      <c r="AC51" s="5">
        <f>_xlfn.TEXTJOIN(CHAR(10),TRUE,IF(Q51="","","• "&amp;Q51&amp;IF(R51="Yes","  [IPL]","")),IF(S51="","","• "&amp;S51&amp;IF(T51="Yes","  [IPL]","")),IF(U51="","","• "&amp;U51&amp;IF(V51="Yes","  [IPL]","")),IF(W51="","","• "&amp;W51&amp;IF(X51="Yes","  [IPL]","")),IF(Y51="","","• "&amp;Y51&amp;IF(Z51="Yes","  [IPL]","")),IF(AA51="","","• "&amp;AA51&amp;IF(AB51="Yes","  [IPL]","")))</f>
        <v/>
      </c>
      <c r="AD51" s="30">
        <f>IF(AC51="","",COUNTIF(Q51:AB51,"Yes"))</f>
        <v/>
      </c>
      <c r="AE51" s="19" t="n"/>
      <c r="AF51" s="19" t="n"/>
      <c r="AG51" s="30">
        <f>IF(OR(AE51="",AF51=""),"",INDEX(RiskGrid,6-VALUE(LEFT(AE51,1)),VALUE(LEFT(AF51,1))))</f>
        <v/>
      </c>
      <c r="AH51" s="30">
        <f>IF(AG51="","",IF(AG51&gt;=BandVH,"Very High",IF(AG51&gt;=BandHigh,"High",IF(AG51&gt;=BandMed,"Medium","Low"))))</f>
        <v/>
      </c>
      <c r="AI51" s="4" t="n"/>
      <c r="AJ51" s="4" t="n"/>
    </row>
    <row r="52">
      <c r="A52" s="30">
        <f>IF(B52="","",COUNTIF(B$14:B52,"?*"))</f>
        <v/>
      </c>
      <c r="B52" s="4" t="n"/>
      <c r="C52" s="19" t="n"/>
      <c r="D52" s="5">
        <f>IF(OR(B52="",C52=""),"",UPPER(LEFT(C52,1))&amp;LOWER(MID(C52,2,30))&amp;" "&amp;LOWER(LEFT(B52,1))&amp;MID(B52,2,200))</f>
        <v/>
      </c>
      <c r="E52" s="4" t="n"/>
      <c r="F52" s="4" t="n"/>
      <c r="G52" s="4" t="n"/>
      <c r="H52" s="4" t="n"/>
      <c r="I52" s="4" t="n"/>
      <c r="J52" s="4" t="n"/>
      <c r="K52" s="5">
        <f>_xlfn.TEXTJOIN(CHAR(10),TRUE,IF(E52="","","• "&amp;E52),IF(F52="","","• "&amp;F52),IF(G52="","","• "&amp;G52),IF(H52="","","• "&amp;H52),IF(I52="","","• "&amp;I52),IF(J52="","","• "&amp;J52))</f>
        <v/>
      </c>
      <c r="L52" s="4" t="n"/>
      <c r="M52" s="19" t="n"/>
      <c r="N52" s="19" t="n"/>
      <c r="O52" s="30">
        <f>IF(OR(M52="",N52=""),"",INDEX(RiskGrid,6-VALUE(LEFT(M52,1)),VALUE(LEFT(N52,1))))</f>
        <v/>
      </c>
      <c r="P52" s="30">
        <f>IF(O52="","",IF(O52&gt;=BandVH,"Very High",IF(O52&gt;=BandHigh,"High",IF(O52&gt;=BandMed,"Medium","Low"))))</f>
        <v/>
      </c>
      <c r="Q52" s="4" t="n"/>
      <c r="R52" s="19" t="n"/>
      <c r="S52" s="4" t="n"/>
      <c r="T52" s="19" t="n"/>
      <c r="U52" s="4" t="n"/>
      <c r="V52" s="19" t="n"/>
      <c r="W52" s="4" t="n"/>
      <c r="X52" s="19" t="n"/>
      <c r="Y52" s="4" t="n"/>
      <c r="Z52" s="19" t="n"/>
      <c r="AA52" s="4" t="n"/>
      <c r="AB52" s="19" t="n"/>
      <c r="AC52" s="5">
        <f>_xlfn.TEXTJOIN(CHAR(10),TRUE,IF(Q52="","","• "&amp;Q52&amp;IF(R52="Yes","  [IPL]","")),IF(S52="","","• "&amp;S52&amp;IF(T52="Yes","  [IPL]","")),IF(U52="","","• "&amp;U52&amp;IF(V52="Yes","  [IPL]","")),IF(W52="","","• "&amp;W52&amp;IF(X52="Yes","  [IPL]","")),IF(Y52="","","• "&amp;Y52&amp;IF(Z52="Yes","  [IPL]","")),IF(AA52="","","• "&amp;AA52&amp;IF(AB52="Yes","  [IPL]","")))</f>
        <v/>
      </c>
      <c r="AD52" s="30">
        <f>IF(AC52="","",COUNTIF(Q52:AB52,"Yes"))</f>
        <v/>
      </c>
      <c r="AE52" s="19" t="n"/>
      <c r="AF52" s="19" t="n"/>
      <c r="AG52" s="30">
        <f>IF(OR(AE52="",AF52=""),"",INDEX(RiskGrid,6-VALUE(LEFT(AE52,1)),VALUE(LEFT(AF52,1))))</f>
        <v/>
      </c>
      <c r="AH52" s="30">
        <f>IF(AG52="","",IF(AG52&gt;=BandVH,"Very High",IF(AG52&gt;=BandHigh,"High",IF(AG52&gt;=BandMed,"Medium","Low"))))</f>
        <v/>
      </c>
      <c r="AI52" s="4" t="n"/>
      <c r="AJ52" s="4" t="n"/>
    </row>
    <row r="53">
      <c r="A53" s="30">
        <f>IF(B53="","",COUNTIF(B$14:B53,"?*"))</f>
        <v/>
      </c>
      <c r="B53" s="4" t="n"/>
      <c r="C53" s="19" t="n"/>
      <c r="D53" s="5">
        <f>IF(OR(B53="",C53=""),"",UPPER(LEFT(C53,1))&amp;LOWER(MID(C53,2,30))&amp;" "&amp;LOWER(LEFT(B53,1))&amp;MID(B53,2,200))</f>
        <v/>
      </c>
      <c r="E53" s="4" t="n"/>
      <c r="F53" s="4" t="n"/>
      <c r="G53" s="4" t="n"/>
      <c r="H53" s="4" t="n"/>
      <c r="I53" s="4" t="n"/>
      <c r="J53" s="4" t="n"/>
      <c r="K53" s="5">
        <f>_xlfn.TEXTJOIN(CHAR(10),TRUE,IF(E53="","","• "&amp;E53),IF(F53="","","• "&amp;F53),IF(G53="","","• "&amp;G53),IF(H53="","","• "&amp;H53),IF(I53="","","• "&amp;I53),IF(J53="","","• "&amp;J53))</f>
        <v/>
      </c>
      <c r="L53" s="4" t="n"/>
      <c r="M53" s="19" t="n"/>
      <c r="N53" s="19" t="n"/>
      <c r="O53" s="30">
        <f>IF(OR(M53="",N53=""),"",INDEX(RiskGrid,6-VALUE(LEFT(M53,1)),VALUE(LEFT(N53,1))))</f>
        <v/>
      </c>
      <c r="P53" s="30">
        <f>IF(O53="","",IF(O53&gt;=BandVH,"Very High",IF(O53&gt;=BandHigh,"High",IF(O53&gt;=BandMed,"Medium","Low"))))</f>
        <v/>
      </c>
      <c r="Q53" s="4" t="n"/>
      <c r="R53" s="19" t="n"/>
      <c r="S53" s="4" t="n"/>
      <c r="T53" s="19" t="n"/>
      <c r="U53" s="4" t="n"/>
      <c r="V53" s="19" t="n"/>
      <c r="W53" s="4" t="n"/>
      <c r="X53" s="19" t="n"/>
      <c r="Y53" s="4" t="n"/>
      <c r="Z53" s="19" t="n"/>
      <c r="AA53" s="4" t="n"/>
      <c r="AB53" s="19" t="n"/>
      <c r="AC53" s="5">
        <f>_xlfn.TEXTJOIN(CHAR(10),TRUE,IF(Q53="","","• "&amp;Q53&amp;IF(R53="Yes","  [IPL]","")),IF(S53="","","• "&amp;S53&amp;IF(T53="Yes","  [IPL]","")),IF(U53="","","• "&amp;U53&amp;IF(V53="Yes","  [IPL]","")),IF(W53="","","• "&amp;W53&amp;IF(X53="Yes","  [IPL]","")),IF(Y53="","","• "&amp;Y53&amp;IF(Z53="Yes","  [IPL]","")),IF(AA53="","","• "&amp;AA53&amp;IF(AB53="Yes","  [IPL]","")))</f>
        <v/>
      </c>
      <c r="AD53" s="30">
        <f>IF(AC53="","",COUNTIF(Q53:AB53,"Yes"))</f>
        <v/>
      </c>
      <c r="AE53" s="19" t="n"/>
      <c r="AF53" s="19" t="n"/>
      <c r="AG53" s="30">
        <f>IF(OR(AE53="",AF53=""),"",INDEX(RiskGrid,6-VALUE(LEFT(AE53,1)),VALUE(LEFT(AF53,1))))</f>
        <v/>
      </c>
      <c r="AH53" s="30">
        <f>IF(AG53="","",IF(AG53&gt;=BandVH,"Very High",IF(AG53&gt;=BandHigh,"High",IF(AG53&gt;=BandMed,"Medium","Low"))))</f>
        <v/>
      </c>
      <c r="AI53" s="4" t="n"/>
      <c r="AJ53" s="4" t="n"/>
    </row>
    <row r="54">
      <c r="A54" s="30">
        <f>IF(B54="","",COUNTIF(B$14:B54,"?*"))</f>
        <v/>
      </c>
      <c r="B54" s="4" t="n"/>
      <c r="C54" s="19" t="n"/>
      <c r="D54" s="5">
        <f>IF(OR(B54="",C54=""),"",UPPER(LEFT(C54,1))&amp;LOWER(MID(C54,2,30))&amp;" "&amp;LOWER(LEFT(B54,1))&amp;MID(B54,2,200))</f>
        <v/>
      </c>
      <c r="E54" s="4" t="n"/>
      <c r="F54" s="4" t="n"/>
      <c r="G54" s="4" t="n"/>
      <c r="H54" s="4" t="n"/>
      <c r="I54" s="4" t="n"/>
      <c r="J54" s="4" t="n"/>
      <c r="K54" s="5">
        <f>_xlfn.TEXTJOIN(CHAR(10),TRUE,IF(E54="","","• "&amp;E54),IF(F54="","","• "&amp;F54),IF(G54="","","• "&amp;G54),IF(H54="","","• "&amp;H54),IF(I54="","","• "&amp;I54),IF(J54="","","• "&amp;J54))</f>
        <v/>
      </c>
      <c r="L54" s="4" t="n"/>
      <c r="M54" s="19" t="n"/>
      <c r="N54" s="19" t="n"/>
      <c r="O54" s="30">
        <f>IF(OR(M54="",N54=""),"",INDEX(RiskGrid,6-VALUE(LEFT(M54,1)),VALUE(LEFT(N54,1))))</f>
        <v/>
      </c>
      <c r="P54" s="30">
        <f>IF(O54="","",IF(O54&gt;=BandVH,"Very High",IF(O54&gt;=BandHigh,"High",IF(O54&gt;=BandMed,"Medium","Low"))))</f>
        <v/>
      </c>
      <c r="Q54" s="4" t="n"/>
      <c r="R54" s="19" t="n"/>
      <c r="S54" s="4" t="n"/>
      <c r="T54" s="19" t="n"/>
      <c r="U54" s="4" t="n"/>
      <c r="V54" s="19" t="n"/>
      <c r="W54" s="4" t="n"/>
      <c r="X54" s="19" t="n"/>
      <c r="Y54" s="4" t="n"/>
      <c r="Z54" s="19" t="n"/>
      <c r="AA54" s="4" t="n"/>
      <c r="AB54" s="19" t="n"/>
      <c r="AC54" s="5">
        <f>_xlfn.TEXTJOIN(CHAR(10),TRUE,IF(Q54="","","• "&amp;Q54&amp;IF(R54="Yes","  [IPL]","")),IF(S54="","","• "&amp;S54&amp;IF(T54="Yes","  [IPL]","")),IF(U54="","","• "&amp;U54&amp;IF(V54="Yes","  [IPL]","")),IF(W54="","","• "&amp;W54&amp;IF(X54="Yes","  [IPL]","")),IF(Y54="","","• "&amp;Y54&amp;IF(Z54="Yes","  [IPL]","")),IF(AA54="","","• "&amp;AA54&amp;IF(AB54="Yes","  [IPL]","")))</f>
        <v/>
      </c>
      <c r="AD54" s="30">
        <f>IF(AC54="","",COUNTIF(Q54:AB54,"Yes"))</f>
        <v/>
      </c>
      <c r="AE54" s="19" t="n"/>
      <c r="AF54" s="19" t="n"/>
      <c r="AG54" s="30">
        <f>IF(OR(AE54="",AF54=""),"",INDEX(RiskGrid,6-VALUE(LEFT(AE54,1)),VALUE(LEFT(AF54,1))))</f>
        <v/>
      </c>
      <c r="AH54" s="30">
        <f>IF(AG54="","",IF(AG54&gt;=BandVH,"Very High",IF(AG54&gt;=BandHigh,"High",IF(AG54&gt;=BandMed,"Medium","Low"))))</f>
        <v/>
      </c>
      <c r="AI54" s="4" t="n"/>
      <c r="AJ54" s="4" t="n"/>
    </row>
    <row r="55">
      <c r="A55" s="30">
        <f>IF(B55="","",COUNTIF(B$14:B55,"?*"))</f>
        <v/>
      </c>
      <c r="B55" s="4" t="n"/>
      <c r="C55" s="19" t="n"/>
      <c r="D55" s="5">
        <f>IF(OR(B55="",C55=""),"",UPPER(LEFT(C55,1))&amp;LOWER(MID(C55,2,30))&amp;" "&amp;LOWER(LEFT(B55,1))&amp;MID(B55,2,200))</f>
        <v/>
      </c>
      <c r="E55" s="4" t="n"/>
      <c r="F55" s="4" t="n"/>
      <c r="G55" s="4" t="n"/>
      <c r="H55" s="4" t="n"/>
      <c r="I55" s="4" t="n"/>
      <c r="J55" s="4" t="n"/>
      <c r="K55" s="5">
        <f>_xlfn.TEXTJOIN(CHAR(10),TRUE,IF(E55="","","• "&amp;E55),IF(F55="","","• "&amp;F55),IF(G55="","","• "&amp;G55),IF(H55="","","• "&amp;H55),IF(I55="","","• "&amp;I55),IF(J55="","","• "&amp;J55))</f>
        <v/>
      </c>
      <c r="L55" s="4" t="n"/>
      <c r="M55" s="19" t="n"/>
      <c r="N55" s="19" t="n"/>
      <c r="O55" s="30">
        <f>IF(OR(M55="",N55=""),"",INDEX(RiskGrid,6-VALUE(LEFT(M55,1)),VALUE(LEFT(N55,1))))</f>
        <v/>
      </c>
      <c r="P55" s="30">
        <f>IF(O55="","",IF(O55&gt;=BandVH,"Very High",IF(O55&gt;=BandHigh,"High",IF(O55&gt;=BandMed,"Medium","Low"))))</f>
        <v/>
      </c>
      <c r="Q55" s="4" t="n"/>
      <c r="R55" s="19" t="n"/>
      <c r="S55" s="4" t="n"/>
      <c r="T55" s="19" t="n"/>
      <c r="U55" s="4" t="n"/>
      <c r="V55" s="19" t="n"/>
      <c r="W55" s="4" t="n"/>
      <c r="X55" s="19" t="n"/>
      <c r="Y55" s="4" t="n"/>
      <c r="Z55" s="19" t="n"/>
      <c r="AA55" s="4" t="n"/>
      <c r="AB55" s="19" t="n"/>
      <c r="AC55" s="5">
        <f>_xlfn.TEXTJOIN(CHAR(10),TRUE,IF(Q55="","","• "&amp;Q55&amp;IF(R55="Yes","  [IPL]","")),IF(S55="","","• "&amp;S55&amp;IF(T55="Yes","  [IPL]","")),IF(U55="","","• "&amp;U55&amp;IF(V55="Yes","  [IPL]","")),IF(W55="","","• "&amp;W55&amp;IF(X55="Yes","  [IPL]","")),IF(Y55="","","• "&amp;Y55&amp;IF(Z55="Yes","  [IPL]","")),IF(AA55="","","• "&amp;AA55&amp;IF(AB55="Yes","  [IPL]","")))</f>
        <v/>
      </c>
      <c r="AD55" s="30">
        <f>IF(AC55="","",COUNTIF(Q55:AB55,"Yes"))</f>
        <v/>
      </c>
      <c r="AE55" s="19" t="n"/>
      <c r="AF55" s="19" t="n"/>
      <c r="AG55" s="30">
        <f>IF(OR(AE55="",AF55=""),"",INDEX(RiskGrid,6-VALUE(LEFT(AE55,1)),VALUE(LEFT(AF55,1))))</f>
        <v/>
      </c>
      <c r="AH55" s="30">
        <f>IF(AG55="","",IF(AG55&gt;=BandVH,"Very High",IF(AG55&gt;=BandHigh,"High",IF(AG55&gt;=BandMed,"Medium","Low"))))</f>
        <v/>
      </c>
      <c r="AI55" s="4" t="n"/>
      <c r="AJ55" s="4" t="n"/>
    </row>
    <row r="56">
      <c r="A56" s="30">
        <f>IF(B56="","",COUNTIF(B$14:B56,"?*"))</f>
        <v/>
      </c>
      <c r="B56" s="4" t="n"/>
      <c r="C56" s="19" t="n"/>
      <c r="D56" s="5">
        <f>IF(OR(B56="",C56=""),"",UPPER(LEFT(C56,1))&amp;LOWER(MID(C56,2,30))&amp;" "&amp;LOWER(LEFT(B56,1))&amp;MID(B56,2,200))</f>
        <v/>
      </c>
      <c r="E56" s="4" t="n"/>
      <c r="F56" s="4" t="n"/>
      <c r="G56" s="4" t="n"/>
      <c r="H56" s="4" t="n"/>
      <c r="I56" s="4" t="n"/>
      <c r="J56" s="4" t="n"/>
      <c r="K56" s="5">
        <f>_xlfn.TEXTJOIN(CHAR(10),TRUE,IF(E56="","","• "&amp;E56),IF(F56="","","• "&amp;F56),IF(G56="","","• "&amp;G56),IF(H56="","","• "&amp;H56),IF(I56="","","• "&amp;I56),IF(J56="","","• "&amp;J56))</f>
        <v/>
      </c>
      <c r="L56" s="4" t="n"/>
      <c r="M56" s="19" t="n"/>
      <c r="N56" s="19" t="n"/>
      <c r="O56" s="30">
        <f>IF(OR(M56="",N56=""),"",INDEX(RiskGrid,6-VALUE(LEFT(M56,1)),VALUE(LEFT(N56,1))))</f>
        <v/>
      </c>
      <c r="P56" s="30">
        <f>IF(O56="","",IF(O56&gt;=BandVH,"Very High",IF(O56&gt;=BandHigh,"High",IF(O56&gt;=BandMed,"Medium","Low"))))</f>
        <v/>
      </c>
      <c r="Q56" s="4" t="n"/>
      <c r="R56" s="19" t="n"/>
      <c r="S56" s="4" t="n"/>
      <c r="T56" s="19" t="n"/>
      <c r="U56" s="4" t="n"/>
      <c r="V56" s="19" t="n"/>
      <c r="W56" s="4" t="n"/>
      <c r="X56" s="19" t="n"/>
      <c r="Y56" s="4" t="n"/>
      <c r="Z56" s="19" t="n"/>
      <c r="AA56" s="4" t="n"/>
      <c r="AB56" s="19" t="n"/>
      <c r="AC56" s="5">
        <f>_xlfn.TEXTJOIN(CHAR(10),TRUE,IF(Q56="","","• "&amp;Q56&amp;IF(R56="Yes","  [IPL]","")),IF(S56="","","• "&amp;S56&amp;IF(T56="Yes","  [IPL]","")),IF(U56="","","• "&amp;U56&amp;IF(V56="Yes","  [IPL]","")),IF(W56="","","• "&amp;W56&amp;IF(X56="Yes","  [IPL]","")),IF(Y56="","","• "&amp;Y56&amp;IF(Z56="Yes","  [IPL]","")),IF(AA56="","","• "&amp;AA56&amp;IF(AB56="Yes","  [IPL]","")))</f>
        <v/>
      </c>
      <c r="AD56" s="30">
        <f>IF(AC56="","",COUNTIF(Q56:AB56,"Yes"))</f>
        <v/>
      </c>
      <c r="AE56" s="19" t="n"/>
      <c r="AF56" s="19" t="n"/>
      <c r="AG56" s="30">
        <f>IF(OR(AE56="",AF56=""),"",INDEX(RiskGrid,6-VALUE(LEFT(AE56,1)),VALUE(LEFT(AF56,1))))</f>
        <v/>
      </c>
      <c r="AH56" s="30">
        <f>IF(AG56="","",IF(AG56&gt;=BandVH,"Very High",IF(AG56&gt;=BandHigh,"High",IF(AG56&gt;=BandMed,"Medium","Low"))))</f>
        <v/>
      </c>
      <c r="AI56" s="4" t="n"/>
      <c r="AJ56" s="4" t="n"/>
    </row>
    <row r="57">
      <c r="A57" s="30">
        <f>IF(B57="","",COUNTIF(B$14:B57,"?*"))</f>
        <v/>
      </c>
      <c r="B57" s="4" t="n"/>
      <c r="C57" s="19" t="n"/>
      <c r="D57" s="5">
        <f>IF(OR(B57="",C57=""),"",UPPER(LEFT(C57,1))&amp;LOWER(MID(C57,2,30))&amp;" "&amp;LOWER(LEFT(B57,1))&amp;MID(B57,2,200))</f>
        <v/>
      </c>
      <c r="E57" s="4" t="n"/>
      <c r="F57" s="4" t="n"/>
      <c r="G57" s="4" t="n"/>
      <c r="H57" s="4" t="n"/>
      <c r="I57" s="4" t="n"/>
      <c r="J57" s="4" t="n"/>
      <c r="K57" s="5">
        <f>_xlfn.TEXTJOIN(CHAR(10),TRUE,IF(E57="","","• "&amp;E57),IF(F57="","","• "&amp;F57),IF(G57="","","• "&amp;G57),IF(H57="","","• "&amp;H57),IF(I57="","","• "&amp;I57),IF(J57="","","• "&amp;J57))</f>
        <v/>
      </c>
      <c r="L57" s="4" t="n"/>
      <c r="M57" s="19" t="n"/>
      <c r="N57" s="19" t="n"/>
      <c r="O57" s="30">
        <f>IF(OR(M57="",N57=""),"",INDEX(RiskGrid,6-VALUE(LEFT(M57,1)),VALUE(LEFT(N57,1))))</f>
        <v/>
      </c>
      <c r="P57" s="30">
        <f>IF(O57="","",IF(O57&gt;=BandVH,"Very High",IF(O57&gt;=BandHigh,"High",IF(O57&gt;=BandMed,"Medium","Low"))))</f>
        <v/>
      </c>
      <c r="Q57" s="4" t="n"/>
      <c r="R57" s="19" t="n"/>
      <c r="S57" s="4" t="n"/>
      <c r="T57" s="19" t="n"/>
      <c r="U57" s="4" t="n"/>
      <c r="V57" s="19" t="n"/>
      <c r="W57" s="4" t="n"/>
      <c r="X57" s="19" t="n"/>
      <c r="Y57" s="4" t="n"/>
      <c r="Z57" s="19" t="n"/>
      <c r="AA57" s="4" t="n"/>
      <c r="AB57" s="19" t="n"/>
      <c r="AC57" s="5">
        <f>_xlfn.TEXTJOIN(CHAR(10),TRUE,IF(Q57="","","• "&amp;Q57&amp;IF(R57="Yes","  [IPL]","")),IF(S57="","","• "&amp;S57&amp;IF(T57="Yes","  [IPL]","")),IF(U57="","","• "&amp;U57&amp;IF(V57="Yes","  [IPL]","")),IF(W57="","","• "&amp;W57&amp;IF(X57="Yes","  [IPL]","")),IF(Y57="","","• "&amp;Y57&amp;IF(Z57="Yes","  [IPL]","")),IF(AA57="","","• "&amp;AA57&amp;IF(AB57="Yes","  [IPL]","")))</f>
        <v/>
      </c>
      <c r="AD57" s="30">
        <f>IF(AC57="","",COUNTIF(Q57:AB57,"Yes"))</f>
        <v/>
      </c>
      <c r="AE57" s="19" t="n"/>
      <c r="AF57" s="19" t="n"/>
      <c r="AG57" s="30">
        <f>IF(OR(AE57="",AF57=""),"",INDEX(RiskGrid,6-VALUE(LEFT(AE57,1)),VALUE(LEFT(AF57,1))))</f>
        <v/>
      </c>
      <c r="AH57" s="30">
        <f>IF(AG57="","",IF(AG57&gt;=BandVH,"Very High",IF(AG57&gt;=BandHigh,"High",IF(AG57&gt;=BandMed,"Medium","Low"))))</f>
        <v/>
      </c>
      <c r="AI57" s="4" t="n"/>
      <c r="AJ57" s="4" t="n"/>
    </row>
    <row r="58">
      <c r="A58" s="30">
        <f>IF(B58="","",COUNTIF(B$14:B58,"?*"))</f>
        <v/>
      </c>
      <c r="B58" s="4" t="n"/>
      <c r="C58" s="19" t="n"/>
      <c r="D58" s="5">
        <f>IF(OR(B58="",C58=""),"",UPPER(LEFT(C58,1))&amp;LOWER(MID(C58,2,30))&amp;" "&amp;LOWER(LEFT(B58,1))&amp;MID(B58,2,200))</f>
        <v/>
      </c>
      <c r="E58" s="4" t="n"/>
      <c r="F58" s="4" t="n"/>
      <c r="G58" s="4" t="n"/>
      <c r="H58" s="4" t="n"/>
      <c r="I58" s="4" t="n"/>
      <c r="J58" s="4" t="n"/>
      <c r="K58" s="5">
        <f>_xlfn.TEXTJOIN(CHAR(10),TRUE,IF(E58="","","• "&amp;E58),IF(F58="","","• "&amp;F58),IF(G58="","","• "&amp;G58),IF(H58="","","• "&amp;H58),IF(I58="","","• "&amp;I58),IF(J58="","","• "&amp;J58))</f>
        <v/>
      </c>
      <c r="L58" s="4" t="n"/>
      <c r="M58" s="19" t="n"/>
      <c r="N58" s="19" t="n"/>
      <c r="O58" s="30">
        <f>IF(OR(M58="",N58=""),"",INDEX(RiskGrid,6-VALUE(LEFT(M58,1)),VALUE(LEFT(N58,1))))</f>
        <v/>
      </c>
      <c r="P58" s="30">
        <f>IF(O58="","",IF(O58&gt;=BandVH,"Very High",IF(O58&gt;=BandHigh,"High",IF(O58&gt;=BandMed,"Medium","Low"))))</f>
        <v/>
      </c>
      <c r="Q58" s="4" t="n"/>
      <c r="R58" s="19" t="n"/>
      <c r="S58" s="4" t="n"/>
      <c r="T58" s="19" t="n"/>
      <c r="U58" s="4" t="n"/>
      <c r="V58" s="19" t="n"/>
      <c r="W58" s="4" t="n"/>
      <c r="X58" s="19" t="n"/>
      <c r="Y58" s="4" t="n"/>
      <c r="Z58" s="19" t="n"/>
      <c r="AA58" s="4" t="n"/>
      <c r="AB58" s="19" t="n"/>
      <c r="AC58" s="5">
        <f>_xlfn.TEXTJOIN(CHAR(10),TRUE,IF(Q58="","","• "&amp;Q58&amp;IF(R58="Yes","  [IPL]","")),IF(S58="","","• "&amp;S58&amp;IF(T58="Yes","  [IPL]","")),IF(U58="","","• "&amp;U58&amp;IF(V58="Yes","  [IPL]","")),IF(W58="","","• "&amp;W58&amp;IF(X58="Yes","  [IPL]","")),IF(Y58="","","• "&amp;Y58&amp;IF(Z58="Yes","  [IPL]","")),IF(AA58="","","• "&amp;AA58&amp;IF(AB58="Yes","  [IPL]","")))</f>
        <v/>
      </c>
      <c r="AD58" s="30">
        <f>IF(AC58="","",COUNTIF(Q58:AB58,"Yes"))</f>
        <v/>
      </c>
      <c r="AE58" s="19" t="n"/>
      <c r="AF58" s="19" t="n"/>
      <c r="AG58" s="30">
        <f>IF(OR(AE58="",AF58=""),"",INDEX(RiskGrid,6-VALUE(LEFT(AE58,1)),VALUE(LEFT(AF58,1))))</f>
        <v/>
      </c>
      <c r="AH58" s="30">
        <f>IF(AG58="","",IF(AG58&gt;=BandVH,"Very High",IF(AG58&gt;=BandHigh,"High",IF(AG58&gt;=BandMed,"Medium","Low"))))</f>
        <v/>
      </c>
      <c r="AI58" s="4" t="n"/>
      <c r="AJ58" s="4" t="n"/>
    </row>
    <row r="59">
      <c r="A59" s="30">
        <f>IF(B59="","",COUNTIF(B$14:B59,"?*"))</f>
        <v/>
      </c>
      <c r="B59" s="4" t="n"/>
      <c r="C59" s="19" t="n"/>
      <c r="D59" s="5">
        <f>IF(OR(B59="",C59=""),"",UPPER(LEFT(C59,1))&amp;LOWER(MID(C59,2,30))&amp;" "&amp;LOWER(LEFT(B59,1))&amp;MID(B59,2,200))</f>
        <v/>
      </c>
      <c r="E59" s="4" t="n"/>
      <c r="F59" s="4" t="n"/>
      <c r="G59" s="4" t="n"/>
      <c r="H59" s="4" t="n"/>
      <c r="I59" s="4" t="n"/>
      <c r="J59" s="4" t="n"/>
      <c r="K59" s="5">
        <f>_xlfn.TEXTJOIN(CHAR(10),TRUE,IF(E59="","","• "&amp;E59),IF(F59="","","• "&amp;F59),IF(G59="","","• "&amp;G59),IF(H59="","","• "&amp;H59),IF(I59="","","• "&amp;I59),IF(J59="","","• "&amp;J59))</f>
        <v/>
      </c>
      <c r="L59" s="4" t="n"/>
      <c r="M59" s="19" t="n"/>
      <c r="N59" s="19" t="n"/>
      <c r="O59" s="30">
        <f>IF(OR(M59="",N59=""),"",INDEX(RiskGrid,6-VALUE(LEFT(M59,1)),VALUE(LEFT(N59,1))))</f>
        <v/>
      </c>
      <c r="P59" s="30">
        <f>IF(O59="","",IF(O59&gt;=BandVH,"Very High",IF(O59&gt;=BandHigh,"High",IF(O59&gt;=BandMed,"Medium","Low"))))</f>
        <v/>
      </c>
      <c r="Q59" s="4" t="n"/>
      <c r="R59" s="19" t="n"/>
      <c r="S59" s="4" t="n"/>
      <c r="T59" s="19" t="n"/>
      <c r="U59" s="4" t="n"/>
      <c r="V59" s="19" t="n"/>
      <c r="W59" s="4" t="n"/>
      <c r="X59" s="19" t="n"/>
      <c r="Y59" s="4" t="n"/>
      <c r="Z59" s="19" t="n"/>
      <c r="AA59" s="4" t="n"/>
      <c r="AB59" s="19" t="n"/>
      <c r="AC59" s="5">
        <f>_xlfn.TEXTJOIN(CHAR(10),TRUE,IF(Q59="","","• "&amp;Q59&amp;IF(R59="Yes","  [IPL]","")),IF(S59="","","• "&amp;S59&amp;IF(T59="Yes","  [IPL]","")),IF(U59="","","• "&amp;U59&amp;IF(V59="Yes","  [IPL]","")),IF(W59="","","• "&amp;W59&amp;IF(X59="Yes","  [IPL]","")),IF(Y59="","","• "&amp;Y59&amp;IF(Z59="Yes","  [IPL]","")),IF(AA59="","","• "&amp;AA59&amp;IF(AB59="Yes","  [IPL]","")))</f>
        <v/>
      </c>
      <c r="AD59" s="30">
        <f>IF(AC59="","",COUNTIF(Q59:AB59,"Yes"))</f>
        <v/>
      </c>
      <c r="AE59" s="19" t="n"/>
      <c r="AF59" s="19" t="n"/>
      <c r="AG59" s="30">
        <f>IF(OR(AE59="",AF59=""),"",INDEX(RiskGrid,6-VALUE(LEFT(AE59,1)),VALUE(LEFT(AF59,1))))</f>
        <v/>
      </c>
      <c r="AH59" s="30">
        <f>IF(AG59="","",IF(AG59&gt;=BandVH,"Very High",IF(AG59&gt;=BandHigh,"High",IF(AG59&gt;=BandMed,"Medium","Low"))))</f>
        <v/>
      </c>
      <c r="AI59" s="4" t="n"/>
      <c r="AJ59" s="4" t="n"/>
    </row>
    <row r="60">
      <c r="A60" s="30">
        <f>IF(B60="","",COUNTIF(B$14:B60,"?*"))</f>
        <v/>
      </c>
      <c r="B60" s="4" t="n"/>
      <c r="C60" s="19" t="n"/>
      <c r="D60" s="5">
        <f>IF(OR(B60="",C60=""),"",UPPER(LEFT(C60,1))&amp;LOWER(MID(C60,2,30))&amp;" "&amp;LOWER(LEFT(B60,1))&amp;MID(B60,2,200))</f>
        <v/>
      </c>
      <c r="E60" s="4" t="n"/>
      <c r="F60" s="4" t="n"/>
      <c r="G60" s="4" t="n"/>
      <c r="H60" s="4" t="n"/>
      <c r="I60" s="4" t="n"/>
      <c r="J60" s="4" t="n"/>
      <c r="K60" s="5">
        <f>_xlfn.TEXTJOIN(CHAR(10),TRUE,IF(E60="","","• "&amp;E60),IF(F60="","","• "&amp;F60),IF(G60="","","• "&amp;G60),IF(H60="","","• "&amp;H60),IF(I60="","","• "&amp;I60),IF(J60="","","• "&amp;J60))</f>
        <v/>
      </c>
      <c r="L60" s="4" t="n"/>
      <c r="M60" s="19" t="n"/>
      <c r="N60" s="19" t="n"/>
      <c r="O60" s="30">
        <f>IF(OR(M60="",N60=""),"",INDEX(RiskGrid,6-VALUE(LEFT(M60,1)),VALUE(LEFT(N60,1))))</f>
        <v/>
      </c>
      <c r="P60" s="30">
        <f>IF(O60="","",IF(O60&gt;=BandVH,"Very High",IF(O60&gt;=BandHigh,"High",IF(O60&gt;=BandMed,"Medium","Low"))))</f>
        <v/>
      </c>
      <c r="Q60" s="4" t="n"/>
      <c r="R60" s="19" t="n"/>
      <c r="S60" s="4" t="n"/>
      <c r="T60" s="19" t="n"/>
      <c r="U60" s="4" t="n"/>
      <c r="V60" s="19" t="n"/>
      <c r="W60" s="4" t="n"/>
      <c r="X60" s="19" t="n"/>
      <c r="Y60" s="4" t="n"/>
      <c r="Z60" s="19" t="n"/>
      <c r="AA60" s="4" t="n"/>
      <c r="AB60" s="19" t="n"/>
      <c r="AC60" s="5">
        <f>_xlfn.TEXTJOIN(CHAR(10),TRUE,IF(Q60="","","• "&amp;Q60&amp;IF(R60="Yes","  [IPL]","")),IF(S60="","","• "&amp;S60&amp;IF(T60="Yes","  [IPL]","")),IF(U60="","","• "&amp;U60&amp;IF(V60="Yes","  [IPL]","")),IF(W60="","","• "&amp;W60&amp;IF(X60="Yes","  [IPL]","")),IF(Y60="","","• "&amp;Y60&amp;IF(Z60="Yes","  [IPL]","")),IF(AA60="","","• "&amp;AA60&amp;IF(AB60="Yes","  [IPL]","")))</f>
        <v/>
      </c>
      <c r="AD60" s="30">
        <f>IF(AC60="","",COUNTIF(Q60:AB60,"Yes"))</f>
        <v/>
      </c>
      <c r="AE60" s="19" t="n"/>
      <c r="AF60" s="19" t="n"/>
      <c r="AG60" s="30">
        <f>IF(OR(AE60="",AF60=""),"",INDEX(RiskGrid,6-VALUE(LEFT(AE60,1)),VALUE(LEFT(AF60,1))))</f>
        <v/>
      </c>
      <c r="AH60" s="30">
        <f>IF(AG60="","",IF(AG60&gt;=BandVH,"Very High",IF(AG60&gt;=BandHigh,"High",IF(AG60&gt;=BandMed,"Medium","Low"))))</f>
        <v/>
      </c>
      <c r="AI60" s="4" t="n"/>
      <c r="AJ60" s="4" t="n"/>
    </row>
    <row r="61">
      <c r="A61" s="30">
        <f>IF(B61="","",COUNTIF(B$14:B61,"?*"))</f>
        <v/>
      </c>
      <c r="B61" s="4" t="n"/>
      <c r="C61" s="19" t="n"/>
      <c r="D61" s="5">
        <f>IF(OR(B61="",C61=""),"",UPPER(LEFT(C61,1))&amp;LOWER(MID(C61,2,30))&amp;" "&amp;LOWER(LEFT(B61,1))&amp;MID(B61,2,200))</f>
        <v/>
      </c>
      <c r="E61" s="4" t="n"/>
      <c r="F61" s="4" t="n"/>
      <c r="G61" s="4" t="n"/>
      <c r="H61" s="4" t="n"/>
      <c r="I61" s="4" t="n"/>
      <c r="J61" s="4" t="n"/>
      <c r="K61" s="5">
        <f>_xlfn.TEXTJOIN(CHAR(10),TRUE,IF(E61="","","• "&amp;E61),IF(F61="","","• "&amp;F61),IF(G61="","","• "&amp;G61),IF(H61="","","• "&amp;H61),IF(I61="","","• "&amp;I61),IF(J61="","","• "&amp;J61))</f>
        <v/>
      </c>
      <c r="L61" s="4" t="n"/>
      <c r="M61" s="19" t="n"/>
      <c r="N61" s="19" t="n"/>
      <c r="O61" s="30">
        <f>IF(OR(M61="",N61=""),"",INDEX(RiskGrid,6-VALUE(LEFT(M61,1)),VALUE(LEFT(N61,1))))</f>
        <v/>
      </c>
      <c r="P61" s="30">
        <f>IF(O61="","",IF(O61&gt;=BandVH,"Very High",IF(O61&gt;=BandHigh,"High",IF(O61&gt;=BandMed,"Medium","Low"))))</f>
        <v/>
      </c>
      <c r="Q61" s="4" t="n"/>
      <c r="R61" s="19" t="n"/>
      <c r="S61" s="4" t="n"/>
      <c r="T61" s="19" t="n"/>
      <c r="U61" s="4" t="n"/>
      <c r="V61" s="19" t="n"/>
      <c r="W61" s="4" t="n"/>
      <c r="X61" s="19" t="n"/>
      <c r="Y61" s="4" t="n"/>
      <c r="Z61" s="19" t="n"/>
      <c r="AA61" s="4" t="n"/>
      <c r="AB61" s="19" t="n"/>
      <c r="AC61" s="5">
        <f>_xlfn.TEXTJOIN(CHAR(10),TRUE,IF(Q61="","","• "&amp;Q61&amp;IF(R61="Yes","  [IPL]","")),IF(S61="","","• "&amp;S61&amp;IF(T61="Yes","  [IPL]","")),IF(U61="","","• "&amp;U61&amp;IF(V61="Yes","  [IPL]","")),IF(W61="","","• "&amp;W61&amp;IF(X61="Yes","  [IPL]","")),IF(Y61="","","• "&amp;Y61&amp;IF(Z61="Yes","  [IPL]","")),IF(AA61="","","• "&amp;AA61&amp;IF(AB61="Yes","  [IPL]","")))</f>
        <v/>
      </c>
      <c r="AD61" s="30">
        <f>IF(AC61="","",COUNTIF(Q61:AB61,"Yes"))</f>
        <v/>
      </c>
      <c r="AE61" s="19" t="n"/>
      <c r="AF61" s="19" t="n"/>
      <c r="AG61" s="30">
        <f>IF(OR(AE61="",AF61=""),"",INDEX(RiskGrid,6-VALUE(LEFT(AE61,1)),VALUE(LEFT(AF61,1))))</f>
        <v/>
      </c>
      <c r="AH61" s="30">
        <f>IF(AG61="","",IF(AG61&gt;=BandVH,"Very High",IF(AG61&gt;=BandHigh,"High",IF(AG61&gt;=BandMed,"Medium","Low"))))</f>
        <v/>
      </c>
      <c r="AI61" s="4" t="n"/>
      <c r="AJ61" s="4" t="n"/>
    </row>
    <row r="62">
      <c r="A62" s="30">
        <f>IF(B62="","",COUNTIF(B$14:B62,"?*"))</f>
        <v/>
      </c>
      <c r="B62" s="4" t="n"/>
      <c r="C62" s="19" t="n"/>
      <c r="D62" s="5">
        <f>IF(OR(B62="",C62=""),"",UPPER(LEFT(C62,1))&amp;LOWER(MID(C62,2,30))&amp;" "&amp;LOWER(LEFT(B62,1))&amp;MID(B62,2,200))</f>
        <v/>
      </c>
      <c r="E62" s="4" t="n"/>
      <c r="F62" s="4" t="n"/>
      <c r="G62" s="4" t="n"/>
      <c r="H62" s="4" t="n"/>
      <c r="I62" s="4" t="n"/>
      <c r="J62" s="4" t="n"/>
      <c r="K62" s="5">
        <f>_xlfn.TEXTJOIN(CHAR(10),TRUE,IF(E62="","","• "&amp;E62),IF(F62="","","• "&amp;F62),IF(G62="","","• "&amp;G62),IF(H62="","","• "&amp;H62),IF(I62="","","• "&amp;I62),IF(J62="","","• "&amp;J62))</f>
        <v/>
      </c>
      <c r="L62" s="4" t="n"/>
      <c r="M62" s="19" t="n"/>
      <c r="N62" s="19" t="n"/>
      <c r="O62" s="30">
        <f>IF(OR(M62="",N62=""),"",INDEX(RiskGrid,6-VALUE(LEFT(M62,1)),VALUE(LEFT(N62,1))))</f>
        <v/>
      </c>
      <c r="P62" s="30">
        <f>IF(O62="","",IF(O62&gt;=BandVH,"Very High",IF(O62&gt;=BandHigh,"High",IF(O62&gt;=BandMed,"Medium","Low"))))</f>
        <v/>
      </c>
      <c r="Q62" s="4" t="n"/>
      <c r="R62" s="19" t="n"/>
      <c r="S62" s="4" t="n"/>
      <c r="T62" s="19" t="n"/>
      <c r="U62" s="4" t="n"/>
      <c r="V62" s="19" t="n"/>
      <c r="W62" s="4" t="n"/>
      <c r="X62" s="19" t="n"/>
      <c r="Y62" s="4" t="n"/>
      <c r="Z62" s="19" t="n"/>
      <c r="AA62" s="4" t="n"/>
      <c r="AB62" s="19" t="n"/>
      <c r="AC62" s="5">
        <f>_xlfn.TEXTJOIN(CHAR(10),TRUE,IF(Q62="","","• "&amp;Q62&amp;IF(R62="Yes","  [IPL]","")),IF(S62="","","• "&amp;S62&amp;IF(T62="Yes","  [IPL]","")),IF(U62="","","• "&amp;U62&amp;IF(V62="Yes","  [IPL]","")),IF(W62="","","• "&amp;W62&amp;IF(X62="Yes","  [IPL]","")),IF(Y62="","","• "&amp;Y62&amp;IF(Z62="Yes","  [IPL]","")),IF(AA62="","","• "&amp;AA62&amp;IF(AB62="Yes","  [IPL]","")))</f>
        <v/>
      </c>
      <c r="AD62" s="30">
        <f>IF(AC62="","",COUNTIF(Q62:AB62,"Yes"))</f>
        <v/>
      </c>
      <c r="AE62" s="19" t="n"/>
      <c r="AF62" s="19" t="n"/>
      <c r="AG62" s="30">
        <f>IF(OR(AE62="",AF62=""),"",INDEX(RiskGrid,6-VALUE(LEFT(AE62,1)),VALUE(LEFT(AF62,1))))</f>
        <v/>
      </c>
      <c r="AH62" s="30">
        <f>IF(AG62="","",IF(AG62&gt;=BandVH,"Very High",IF(AG62&gt;=BandHigh,"High",IF(AG62&gt;=BandMed,"Medium","Low"))))</f>
        <v/>
      </c>
      <c r="AI62" s="4" t="n"/>
      <c r="AJ62" s="4" t="n"/>
    </row>
    <row r="63">
      <c r="A63" s="30">
        <f>IF(B63="","",COUNTIF(B$14:B63,"?*"))</f>
        <v/>
      </c>
      <c r="B63" s="4" t="n"/>
      <c r="C63" s="19" t="n"/>
      <c r="D63" s="5">
        <f>IF(OR(B63="",C63=""),"",UPPER(LEFT(C63,1))&amp;LOWER(MID(C63,2,30))&amp;" "&amp;LOWER(LEFT(B63,1))&amp;MID(B63,2,200))</f>
        <v/>
      </c>
      <c r="E63" s="4" t="n"/>
      <c r="F63" s="4" t="n"/>
      <c r="G63" s="4" t="n"/>
      <c r="H63" s="4" t="n"/>
      <c r="I63" s="4" t="n"/>
      <c r="J63" s="4" t="n"/>
      <c r="K63" s="5">
        <f>_xlfn.TEXTJOIN(CHAR(10),TRUE,IF(E63="","","• "&amp;E63),IF(F63="","","• "&amp;F63),IF(G63="","","• "&amp;G63),IF(H63="","","• "&amp;H63),IF(I63="","","• "&amp;I63),IF(J63="","","• "&amp;J63))</f>
        <v/>
      </c>
      <c r="L63" s="4" t="n"/>
      <c r="M63" s="19" t="n"/>
      <c r="N63" s="19" t="n"/>
      <c r="O63" s="30">
        <f>IF(OR(M63="",N63=""),"",INDEX(RiskGrid,6-VALUE(LEFT(M63,1)),VALUE(LEFT(N63,1))))</f>
        <v/>
      </c>
      <c r="P63" s="30">
        <f>IF(O63="","",IF(O63&gt;=BandVH,"Very High",IF(O63&gt;=BandHigh,"High",IF(O63&gt;=BandMed,"Medium","Low"))))</f>
        <v/>
      </c>
      <c r="Q63" s="4" t="n"/>
      <c r="R63" s="19" t="n"/>
      <c r="S63" s="4" t="n"/>
      <c r="T63" s="19" t="n"/>
      <c r="U63" s="4" t="n"/>
      <c r="V63" s="19" t="n"/>
      <c r="W63" s="4" t="n"/>
      <c r="X63" s="19" t="n"/>
      <c r="Y63" s="4" t="n"/>
      <c r="Z63" s="19" t="n"/>
      <c r="AA63" s="4" t="n"/>
      <c r="AB63" s="19" t="n"/>
      <c r="AC63" s="5">
        <f>_xlfn.TEXTJOIN(CHAR(10),TRUE,IF(Q63="","","• "&amp;Q63&amp;IF(R63="Yes","  [IPL]","")),IF(S63="","","• "&amp;S63&amp;IF(T63="Yes","  [IPL]","")),IF(U63="","","• "&amp;U63&amp;IF(V63="Yes","  [IPL]","")),IF(W63="","","• "&amp;W63&amp;IF(X63="Yes","  [IPL]","")),IF(Y63="","","• "&amp;Y63&amp;IF(Z63="Yes","  [IPL]","")),IF(AA63="","","• "&amp;AA63&amp;IF(AB63="Yes","  [IPL]","")))</f>
        <v/>
      </c>
      <c r="AD63" s="30">
        <f>IF(AC63="","",COUNTIF(Q63:AB63,"Yes"))</f>
        <v/>
      </c>
      <c r="AE63" s="19" t="n"/>
      <c r="AF63" s="19" t="n"/>
      <c r="AG63" s="30">
        <f>IF(OR(AE63="",AF63=""),"",INDEX(RiskGrid,6-VALUE(LEFT(AE63,1)),VALUE(LEFT(AF63,1))))</f>
        <v/>
      </c>
      <c r="AH63" s="30">
        <f>IF(AG63="","",IF(AG63&gt;=BandVH,"Very High",IF(AG63&gt;=BandHigh,"High",IF(AG63&gt;=BandMed,"Medium","Low"))))</f>
        <v/>
      </c>
      <c r="AI63" s="4" t="n"/>
      <c r="AJ63" s="4" t="n"/>
    </row>
    <row r="64">
      <c r="A64" s="30">
        <f>IF(B64="","",COUNTIF(B$14:B64,"?*"))</f>
        <v/>
      </c>
      <c r="B64" s="4" t="n"/>
      <c r="C64" s="19" t="n"/>
      <c r="D64" s="5">
        <f>IF(OR(B64="",C64=""),"",UPPER(LEFT(C64,1))&amp;LOWER(MID(C64,2,30))&amp;" "&amp;LOWER(LEFT(B64,1))&amp;MID(B64,2,200))</f>
        <v/>
      </c>
      <c r="E64" s="4" t="n"/>
      <c r="F64" s="4" t="n"/>
      <c r="G64" s="4" t="n"/>
      <c r="H64" s="4" t="n"/>
      <c r="I64" s="4" t="n"/>
      <c r="J64" s="4" t="n"/>
      <c r="K64" s="5">
        <f>_xlfn.TEXTJOIN(CHAR(10),TRUE,IF(E64="","","• "&amp;E64),IF(F64="","","• "&amp;F64),IF(G64="","","• "&amp;G64),IF(H64="","","• "&amp;H64),IF(I64="","","• "&amp;I64),IF(J64="","","• "&amp;J64))</f>
        <v/>
      </c>
      <c r="L64" s="4" t="n"/>
      <c r="M64" s="19" t="n"/>
      <c r="N64" s="19" t="n"/>
      <c r="O64" s="30">
        <f>IF(OR(M64="",N64=""),"",INDEX(RiskGrid,6-VALUE(LEFT(M64,1)),VALUE(LEFT(N64,1))))</f>
        <v/>
      </c>
      <c r="P64" s="30">
        <f>IF(O64="","",IF(O64&gt;=BandVH,"Very High",IF(O64&gt;=BandHigh,"High",IF(O64&gt;=BandMed,"Medium","Low"))))</f>
        <v/>
      </c>
      <c r="Q64" s="4" t="n"/>
      <c r="R64" s="19" t="n"/>
      <c r="S64" s="4" t="n"/>
      <c r="T64" s="19" t="n"/>
      <c r="U64" s="4" t="n"/>
      <c r="V64" s="19" t="n"/>
      <c r="W64" s="4" t="n"/>
      <c r="X64" s="19" t="n"/>
      <c r="Y64" s="4" t="n"/>
      <c r="Z64" s="19" t="n"/>
      <c r="AA64" s="4" t="n"/>
      <c r="AB64" s="19" t="n"/>
      <c r="AC64" s="5">
        <f>_xlfn.TEXTJOIN(CHAR(10),TRUE,IF(Q64="","","• "&amp;Q64&amp;IF(R64="Yes","  [IPL]","")),IF(S64="","","• "&amp;S64&amp;IF(T64="Yes","  [IPL]","")),IF(U64="","","• "&amp;U64&amp;IF(V64="Yes","  [IPL]","")),IF(W64="","","• "&amp;W64&amp;IF(X64="Yes","  [IPL]","")),IF(Y64="","","• "&amp;Y64&amp;IF(Z64="Yes","  [IPL]","")),IF(AA64="","","• "&amp;AA64&amp;IF(AB64="Yes","  [IPL]","")))</f>
        <v/>
      </c>
      <c r="AD64" s="30">
        <f>IF(AC64="","",COUNTIF(Q64:AB64,"Yes"))</f>
        <v/>
      </c>
      <c r="AE64" s="19" t="n"/>
      <c r="AF64" s="19" t="n"/>
      <c r="AG64" s="30">
        <f>IF(OR(AE64="",AF64=""),"",INDEX(RiskGrid,6-VALUE(LEFT(AE64,1)),VALUE(LEFT(AF64,1))))</f>
        <v/>
      </c>
      <c r="AH64" s="30">
        <f>IF(AG64="","",IF(AG64&gt;=BandVH,"Very High",IF(AG64&gt;=BandHigh,"High",IF(AG64&gt;=BandMed,"Medium","Low"))))</f>
        <v/>
      </c>
      <c r="AI64" s="4" t="n"/>
      <c r="AJ64" s="4" t="n"/>
    </row>
    <row r="65">
      <c r="A65" s="30">
        <f>IF(B65="","",COUNTIF(B$14:B65,"?*"))</f>
        <v/>
      </c>
      <c r="B65" s="4" t="n"/>
      <c r="C65" s="19" t="n"/>
      <c r="D65" s="5">
        <f>IF(OR(B65="",C65=""),"",UPPER(LEFT(C65,1))&amp;LOWER(MID(C65,2,30))&amp;" "&amp;LOWER(LEFT(B65,1))&amp;MID(B65,2,200))</f>
        <v/>
      </c>
      <c r="E65" s="4" t="n"/>
      <c r="F65" s="4" t="n"/>
      <c r="G65" s="4" t="n"/>
      <c r="H65" s="4" t="n"/>
      <c r="I65" s="4" t="n"/>
      <c r="J65" s="4" t="n"/>
      <c r="K65" s="5">
        <f>_xlfn.TEXTJOIN(CHAR(10),TRUE,IF(E65="","","• "&amp;E65),IF(F65="","","• "&amp;F65),IF(G65="","","• "&amp;G65),IF(H65="","","• "&amp;H65),IF(I65="","","• "&amp;I65),IF(J65="","","• "&amp;J65))</f>
        <v/>
      </c>
      <c r="L65" s="4" t="n"/>
      <c r="M65" s="19" t="n"/>
      <c r="N65" s="19" t="n"/>
      <c r="O65" s="30">
        <f>IF(OR(M65="",N65=""),"",INDEX(RiskGrid,6-VALUE(LEFT(M65,1)),VALUE(LEFT(N65,1))))</f>
        <v/>
      </c>
      <c r="P65" s="30">
        <f>IF(O65="","",IF(O65&gt;=BandVH,"Very High",IF(O65&gt;=BandHigh,"High",IF(O65&gt;=BandMed,"Medium","Low"))))</f>
        <v/>
      </c>
      <c r="Q65" s="4" t="n"/>
      <c r="R65" s="19" t="n"/>
      <c r="S65" s="4" t="n"/>
      <c r="T65" s="19" t="n"/>
      <c r="U65" s="4" t="n"/>
      <c r="V65" s="19" t="n"/>
      <c r="W65" s="4" t="n"/>
      <c r="X65" s="19" t="n"/>
      <c r="Y65" s="4" t="n"/>
      <c r="Z65" s="19" t="n"/>
      <c r="AA65" s="4" t="n"/>
      <c r="AB65" s="19" t="n"/>
      <c r="AC65" s="5">
        <f>_xlfn.TEXTJOIN(CHAR(10),TRUE,IF(Q65="","","• "&amp;Q65&amp;IF(R65="Yes","  [IPL]","")),IF(S65="","","• "&amp;S65&amp;IF(T65="Yes","  [IPL]","")),IF(U65="","","• "&amp;U65&amp;IF(V65="Yes","  [IPL]","")),IF(W65="","","• "&amp;W65&amp;IF(X65="Yes","  [IPL]","")),IF(Y65="","","• "&amp;Y65&amp;IF(Z65="Yes","  [IPL]","")),IF(AA65="","","• "&amp;AA65&amp;IF(AB65="Yes","  [IPL]","")))</f>
        <v/>
      </c>
      <c r="AD65" s="30">
        <f>IF(AC65="","",COUNTIF(Q65:AB65,"Yes"))</f>
        <v/>
      </c>
      <c r="AE65" s="19" t="n"/>
      <c r="AF65" s="19" t="n"/>
      <c r="AG65" s="30">
        <f>IF(OR(AE65="",AF65=""),"",INDEX(RiskGrid,6-VALUE(LEFT(AE65,1)),VALUE(LEFT(AF65,1))))</f>
        <v/>
      </c>
      <c r="AH65" s="30">
        <f>IF(AG65="","",IF(AG65&gt;=BandVH,"Very High",IF(AG65&gt;=BandHigh,"High",IF(AG65&gt;=BandMed,"Medium","Low"))))</f>
        <v/>
      </c>
      <c r="AI65" s="4" t="n"/>
      <c r="AJ65" s="4" t="n"/>
    </row>
    <row r="66">
      <c r="A66" s="30">
        <f>IF(B66="","",COUNTIF(B$14:B66,"?*"))</f>
        <v/>
      </c>
      <c r="B66" s="4" t="n"/>
      <c r="C66" s="19" t="n"/>
      <c r="D66" s="5">
        <f>IF(OR(B66="",C66=""),"",UPPER(LEFT(C66,1))&amp;LOWER(MID(C66,2,30))&amp;" "&amp;LOWER(LEFT(B66,1))&amp;MID(B66,2,200))</f>
        <v/>
      </c>
      <c r="E66" s="4" t="n"/>
      <c r="F66" s="4" t="n"/>
      <c r="G66" s="4" t="n"/>
      <c r="H66" s="4" t="n"/>
      <c r="I66" s="4" t="n"/>
      <c r="J66" s="4" t="n"/>
      <c r="K66" s="5">
        <f>_xlfn.TEXTJOIN(CHAR(10),TRUE,IF(E66="","","• "&amp;E66),IF(F66="","","• "&amp;F66),IF(G66="","","• "&amp;G66),IF(H66="","","• "&amp;H66),IF(I66="","","• "&amp;I66),IF(J66="","","• "&amp;J66))</f>
        <v/>
      </c>
      <c r="L66" s="4" t="n"/>
      <c r="M66" s="19" t="n"/>
      <c r="N66" s="19" t="n"/>
      <c r="O66" s="30">
        <f>IF(OR(M66="",N66=""),"",INDEX(RiskGrid,6-VALUE(LEFT(M66,1)),VALUE(LEFT(N66,1))))</f>
        <v/>
      </c>
      <c r="P66" s="30">
        <f>IF(O66="","",IF(O66&gt;=BandVH,"Very High",IF(O66&gt;=BandHigh,"High",IF(O66&gt;=BandMed,"Medium","Low"))))</f>
        <v/>
      </c>
      <c r="Q66" s="4" t="n"/>
      <c r="R66" s="19" t="n"/>
      <c r="S66" s="4" t="n"/>
      <c r="T66" s="19" t="n"/>
      <c r="U66" s="4" t="n"/>
      <c r="V66" s="19" t="n"/>
      <c r="W66" s="4" t="n"/>
      <c r="X66" s="19" t="n"/>
      <c r="Y66" s="4" t="n"/>
      <c r="Z66" s="19" t="n"/>
      <c r="AA66" s="4" t="n"/>
      <c r="AB66" s="19" t="n"/>
      <c r="AC66" s="5">
        <f>_xlfn.TEXTJOIN(CHAR(10),TRUE,IF(Q66="","","• "&amp;Q66&amp;IF(R66="Yes","  [IPL]","")),IF(S66="","","• "&amp;S66&amp;IF(T66="Yes","  [IPL]","")),IF(U66="","","• "&amp;U66&amp;IF(V66="Yes","  [IPL]","")),IF(W66="","","• "&amp;W66&amp;IF(X66="Yes","  [IPL]","")),IF(Y66="","","• "&amp;Y66&amp;IF(Z66="Yes","  [IPL]","")),IF(AA66="","","• "&amp;AA66&amp;IF(AB66="Yes","  [IPL]","")))</f>
        <v/>
      </c>
      <c r="AD66" s="30">
        <f>IF(AC66="","",COUNTIF(Q66:AB66,"Yes"))</f>
        <v/>
      </c>
      <c r="AE66" s="19" t="n"/>
      <c r="AF66" s="19" t="n"/>
      <c r="AG66" s="30">
        <f>IF(OR(AE66="",AF66=""),"",INDEX(RiskGrid,6-VALUE(LEFT(AE66,1)),VALUE(LEFT(AF66,1))))</f>
        <v/>
      </c>
      <c r="AH66" s="30">
        <f>IF(AG66="","",IF(AG66&gt;=BandVH,"Very High",IF(AG66&gt;=BandHigh,"High",IF(AG66&gt;=BandMed,"Medium","Low"))))</f>
        <v/>
      </c>
      <c r="AI66" s="4" t="n"/>
      <c r="AJ66" s="4" t="n"/>
    </row>
    <row r="67">
      <c r="A67" s="30">
        <f>IF(B67="","",COUNTIF(B$14:B67,"?*"))</f>
        <v/>
      </c>
      <c r="B67" s="4" t="n"/>
      <c r="C67" s="19" t="n"/>
      <c r="D67" s="5">
        <f>IF(OR(B67="",C67=""),"",UPPER(LEFT(C67,1))&amp;LOWER(MID(C67,2,30))&amp;" "&amp;LOWER(LEFT(B67,1))&amp;MID(B67,2,200))</f>
        <v/>
      </c>
      <c r="E67" s="4" t="n"/>
      <c r="F67" s="4" t="n"/>
      <c r="G67" s="4" t="n"/>
      <c r="H67" s="4" t="n"/>
      <c r="I67" s="4" t="n"/>
      <c r="J67" s="4" t="n"/>
      <c r="K67" s="5">
        <f>_xlfn.TEXTJOIN(CHAR(10),TRUE,IF(E67="","","• "&amp;E67),IF(F67="","","• "&amp;F67),IF(G67="","","• "&amp;G67),IF(H67="","","• "&amp;H67),IF(I67="","","• "&amp;I67),IF(J67="","","• "&amp;J67))</f>
        <v/>
      </c>
      <c r="L67" s="4" t="n"/>
      <c r="M67" s="19" t="n"/>
      <c r="N67" s="19" t="n"/>
      <c r="O67" s="30">
        <f>IF(OR(M67="",N67=""),"",INDEX(RiskGrid,6-VALUE(LEFT(M67,1)),VALUE(LEFT(N67,1))))</f>
        <v/>
      </c>
      <c r="P67" s="30">
        <f>IF(O67="","",IF(O67&gt;=BandVH,"Very High",IF(O67&gt;=BandHigh,"High",IF(O67&gt;=BandMed,"Medium","Low"))))</f>
        <v/>
      </c>
      <c r="Q67" s="4" t="n"/>
      <c r="R67" s="19" t="n"/>
      <c r="S67" s="4" t="n"/>
      <c r="T67" s="19" t="n"/>
      <c r="U67" s="4" t="n"/>
      <c r="V67" s="19" t="n"/>
      <c r="W67" s="4" t="n"/>
      <c r="X67" s="19" t="n"/>
      <c r="Y67" s="4" t="n"/>
      <c r="Z67" s="19" t="n"/>
      <c r="AA67" s="4" t="n"/>
      <c r="AB67" s="19" t="n"/>
      <c r="AC67" s="5">
        <f>_xlfn.TEXTJOIN(CHAR(10),TRUE,IF(Q67="","","• "&amp;Q67&amp;IF(R67="Yes","  [IPL]","")),IF(S67="","","• "&amp;S67&amp;IF(T67="Yes","  [IPL]","")),IF(U67="","","• "&amp;U67&amp;IF(V67="Yes","  [IPL]","")),IF(W67="","","• "&amp;W67&amp;IF(X67="Yes","  [IPL]","")),IF(Y67="","","• "&amp;Y67&amp;IF(Z67="Yes","  [IPL]","")),IF(AA67="","","• "&amp;AA67&amp;IF(AB67="Yes","  [IPL]","")))</f>
        <v/>
      </c>
      <c r="AD67" s="30">
        <f>IF(AC67="","",COUNTIF(Q67:AB67,"Yes"))</f>
        <v/>
      </c>
      <c r="AE67" s="19" t="n"/>
      <c r="AF67" s="19" t="n"/>
      <c r="AG67" s="30">
        <f>IF(OR(AE67="",AF67=""),"",INDEX(RiskGrid,6-VALUE(LEFT(AE67,1)),VALUE(LEFT(AF67,1))))</f>
        <v/>
      </c>
      <c r="AH67" s="30">
        <f>IF(AG67="","",IF(AG67&gt;=BandVH,"Very High",IF(AG67&gt;=BandHigh,"High",IF(AG67&gt;=BandMed,"Medium","Low"))))</f>
        <v/>
      </c>
      <c r="AI67" s="4" t="n"/>
      <c r="AJ67" s="4" t="n"/>
    </row>
    <row r="68">
      <c r="A68" s="30">
        <f>IF(B68="","",COUNTIF(B$14:B68,"?*"))</f>
        <v/>
      </c>
      <c r="B68" s="4" t="n"/>
      <c r="C68" s="19" t="n"/>
      <c r="D68" s="5">
        <f>IF(OR(B68="",C68=""),"",UPPER(LEFT(C68,1))&amp;LOWER(MID(C68,2,30))&amp;" "&amp;LOWER(LEFT(B68,1))&amp;MID(B68,2,200))</f>
        <v/>
      </c>
      <c r="E68" s="4" t="n"/>
      <c r="F68" s="4" t="n"/>
      <c r="G68" s="4" t="n"/>
      <c r="H68" s="4" t="n"/>
      <c r="I68" s="4" t="n"/>
      <c r="J68" s="4" t="n"/>
      <c r="K68" s="5">
        <f>_xlfn.TEXTJOIN(CHAR(10),TRUE,IF(E68="","","• "&amp;E68),IF(F68="","","• "&amp;F68),IF(G68="","","• "&amp;G68),IF(H68="","","• "&amp;H68),IF(I68="","","• "&amp;I68),IF(J68="","","• "&amp;J68))</f>
        <v/>
      </c>
      <c r="L68" s="4" t="n"/>
      <c r="M68" s="19" t="n"/>
      <c r="N68" s="19" t="n"/>
      <c r="O68" s="30">
        <f>IF(OR(M68="",N68=""),"",INDEX(RiskGrid,6-VALUE(LEFT(M68,1)),VALUE(LEFT(N68,1))))</f>
        <v/>
      </c>
      <c r="P68" s="30">
        <f>IF(O68="","",IF(O68&gt;=BandVH,"Very High",IF(O68&gt;=BandHigh,"High",IF(O68&gt;=BandMed,"Medium","Low"))))</f>
        <v/>
      </c>
      <c r="Q68" s="4" t="n"/>
      <c r="R68" s="19" t="n"/>
      <c r="S68" s="4" t="n"/>
      <c r="T68" s="19" t="n"/>
      <c r="U68" s="4" t="n"/>
      <c r="V68" s="19" t="n"/>
      <c r="W68" s="4" t="n"/>
      <c r="X68" s="19" t="n"/>
      <c r="Y68" s="4" t="n"/>
      <c r="Z68" s="19" t="n"/>
      <c r="AA68" s="4" t="n"/>
      <c r="AB68" s="19" t="n"/>
      <c r="AC68" s="5">
        <f>_xlfn.TEXTJOIN(CHAR(10),TRUE,IF(Q68="","","• "&amp;Q68&amp;IF(R68="Yes","  [IPL]","")),IF(S68="","","• "&amp;S68&amp;IF(T68="Yes","  [IPL]","")),IF(U68="","","• "&amp;U68&amp;IF(V68="Yes","  [IPL]","")),IF(W68="","","• "&amp;W68&amp;IF(X68="Yes","  [IPL]","")),IF(Y68="","","• "&amp;Y68&amp;IF(Z68="Yes","  [IPL]","")),IF(AA68="","","• "&amp;AA68&amp;IF(AB68="Yes","  [IPL]","")))</f>
        <v/>
      </c>
      <c r="AD68" s="30">
        <f>IF(AC68="","",COUNTIF(Q68:AB68,"Yes"))</f>
        <v/>
      </c>
      <c r="AE68" s="19" t="n"/>
      <c r="AF68" s="19" t="n"/>
      <c r="AG68" s="30">
        <f>IF(OR(AE68="",AF68=""),"",INDEX(RiskGrid,6-VALUE(LEFT(AE68,1)),VALUE(LEFT(AF68,1))))</f>
        <v/>
      </c>
      <c r="AH68" s="30">
        <f>IF(AG68="","",IF(AG68&gt;=BandVH,"Very High",IF(AG68&gt;=BandHigh,"High",IF(AG68&gt;=BandMed,"Medium","Low"))))</f>
        <v/>
      </c>
      <c r="AI68" s="4" t="n"/>
      <c r="AJ68" s="4" t="n"/>
    </row>
    <row r="69">
      <c r="A69" s="30">
        <f>IF(B69="","",COUNTIF(B$14:B69,"?*"))</f>
        <v/>
      </c>
      <c r="B69" s="4" t="n"/>
      <c r="C69" s="19" t="n"/>
      <c r="D69" s="5">
        <f>IF(OR(B69="",C69=""),"",UPPER(LEFT(C69,1))&amp;LOWER(MID(C69,2,30))&amp;" "&amp;LOWER(LEFT(B69,1))&amp;MID(B69,2,200))</f>
        <v/>
      </c>
      <c r="E69" s="4" t="n"/>
      <c r="F69" s="4" t="n"/>
      <c r="G69" s="4" t="n"/>
      <c r="H69" s="4" t="n"/>
      <c r="I69" s="4" t="n"/>
      <c r="J69" s="4" t="n"/>
      <c r="K69" s="5">
        <f>_xlfn.TEXTJOIN(CHAR(10),TRUE,IF(E69="","","• "&amp;E69),IF(F69="","","• "&amp;F69),IF(G69="","","• "&amp;G69),IF(H69="","","• "&amp;H69),IF(I69="","","• "&amp;I69),IF(J69="","","• "&amp;J69))</f>
        <v/>
      </c>
      <c r="L69" s="4" t="n"/>
      <c r="M69" s="19" t="n"/>
      <c r="N69" s="19" t="n"/>
      <c r="O69" s="30">
        <f>IF(OR(M69="",N69=""),"",INDEX(RiskGrid,6-VALUE(LEFT(M69,1)),VALUE(LEFT(N69,1))))</f>
        <v/>
      </c>
      <c r="P69" s="30">
        <f>IF(O69="","",IF(O69&gt;=BandVH,"Very High",IF(O69&gt;=BandHigh,"High",IF(O69&gt;=BandMed,"Medium","Low"))))</f>
        <v/>
      </c>
      <c r="Q69" s="4" t="n"/>
      <c r="R69" s="19" t="n"/>
      <c r="S69" s="4" t="n"/>
      <c r="T69" s="19" t="n"/>
      <c r="U69" s="4" t="n"/>
      <c r="V69" s="19" t="n"/>
      <c r="W69" s="4" t="n"/>
      <c r="X69" s="19" t="n"/>
      <c r="Y69" s="4" t="n"/>
      <c r="Z69" s="19" t="n"/>
      <c r="AA69" s="4" t="n"/>
      <c r="AB69" s="19" t="n"/>
      <c r="AC69" s="5">
        <f>_xlfn.TEXTJOIN(CHAR(10),TRUE,IF(Q69="","","• "&amp;Q69&amp;IF(R69="Yes","  [IPL]","")),IF(S69="","","• "&amp;S69&amp;IF(T69="Yes","  [IPL]","")),IF(U69="","","• "&amp;U69&amp;IF(V69="Yes","  [IPL]","")),IF(W69="","","• "&amp;W69&amp;IF(X69="Yes","  [IPL]","")),IF(Y69="","","• "&amp;Y69&amp;IF(Z69="Yes","  [IPL]","")),IF(AA69="","","• "&amp;AA69&amp;IF(AB69="Yes","  [IPL]","")))</f>
        <v/>
      </c>
      <c r="AD69" s="30">
        <f>IF(AC69="","",COUNTIF(Q69:AB69,"Yes"))</f>
        <v/>
      </c>
      <c r="AE69" s="19" t="n"/>
      <c r="AF69" s="19" t="n"/>
      <c r="AG69" s="30">
        <f>IF(OR(AE69="",AF69=""),"",INDEX(RiskGrid,6-VALUE(LEFT(AE69,1)),VALUE(LEFT(AF69,1))))</f>
        <v/>
      </c>
      <c r="AH69" s="30">
        <f>IF(AG69="","",IF(AG69&gt;=BandVH,"Very High",IF(AG69&gt;=BandHigh,"High",IF(AG69&gt;=BandMed,"Medium","Low"))))</f>
        <v/>
      </c>
      <c r="AI69" s="4" t="n"/>
      <c r="AJ69" s="4" t="n"/>
    </row>
    <row r="70">
      <c r="A70" s="30">
        <f>IF(B70="","",COUNTIF(B$14:B70,"?*"))</f>
        <v/>
      </c>
      <c r="B70" s="4" t="n"/>
      <c r="C70" s="19" t="n"/>
      <c r="D70" s="5">
        <f>IF(OR(B70="",C70=""),"",UPPER(LEFT(C70,1))&amp;LOWER(MID(C70,2,30))&amp;" "&amp;LOWER(LEFT(B70,1))&amp;MID(B70,2,200))</f>
        <v/>
      </c>
      <c r="E70" s="4" t="n"/>
      <c r="F70" s="4" t="n"/>
      <c r="G70" s="4" t="n"/>
      <c r="H70" s="4" t="n"/>
      <c r="I70" s="4" t="n"/>
      <c r="J70" s="4" t="n"/>
      <c r="K70" s="5">
        <f>_xlfn.TEXTJOIN(CHAR(10),TRUE,IF(E70="","","• "&amp;E70),IF(F70="","","• "&amp;F70),IF(G70="","","• "&amp;G70),IF(H70="","","• "&amp;H70),IF(I70="","","• "&amp;I70),IF(J70="","","• "&amp;J70))</f>
        <v/>
      </c>
      <c r="L70" s="4" t="n"/>
      <c r="M70" s="19" t="n"/>
      <c r="N70" s="19" t="n"/>
      <c r="O70" s="30">
        <f>IF(OR(M70="",N70=""),"",INDEX(RiskGrid,6-VALUE(LEFT(M70,1)),VALUE(LEFT(N70,1))))</f>
        <v/>
      </c>
      <c r="P70" s="30">
        <f>IF(O70="","",IF(O70&gt;=BandVH,"Very High",IF(O70&gt;=BandHigh,"High",IF(O70&gt;=BandMed,"Medium","Low"))))</f>
        <v/>
      </c>
      <c r="Q70" s="4" t="n"/>
      <c r="R70" s="19" t="n"/>
      <c r="S70" s="4" t="n"/>
      <c r="T70" s="19" t="n"/>
      <c r="U70" s="4" t="n"/>
      <c r="V70" s="19" t="n"/>
      <c r="W70" s="4" t="n"/>
      <c r="X70" s="19" t="n"/>
      <c r="Y70" s="4" t="n"/>
      <c r="Z70" s="19" t="n"/>
      <c r="AA70" s="4" t="n"/>
      <c r="AB70" s="19" t="n"/>
      <c r="AC70" s="5">
        <f>_xlfn.TEXTJOIN(CHAR(10),TRUE,IF(Q70="","","• "&amp;Q70&amp;IF(R70="Yes","  [IPL]","")),IF(S70="","","• "&amp;S70&amp;IF(T70="Yes","  [IPL]","")),IF(U70="","","• "&amp;U70&amp;IF(V70="Yes","  [IPL]","")),IF(W70="","","• "&amp;W70&amp;IF(X70="Yes","  [IPL]","")),IF(Y70="","","• "&amp;Y70&amp;IF(Z70="Yes","  [IPL]","")),IF(AA70="","","• "&amp;AA70&amp;IF(AB70="Yes","  [IPL]","")))</f>
        <v/>
      </c>
      <c r="AD70" s="30">
        <f>IF(AC70="","",COUNTIF(Q70:AB70,"Yes"))</f>
        <v/>
      </c>
      <c r="AE70" s="19" t="n"/>
      <c r="AF70" s="19" t="n"/>
      <c r="AG70" s="30">
        <f>IF(OR(AE70="",AF70=""),"",INDEX(RiskGrid,6-VALUE(LEFT(AE70,1)),VALUE(LEFT(AF70,1))))</f>
        <v/>
      </c>
      <c r="AH70" s="30">
        <f>IF(AG70="","",IF(AG70&gt;=BandVH,"Very High",IF(AG70&gt;=BandHigh,"High",IF(AG70&gt;=BandMed,"Medium","Low"))))</f>
        <v/>
      </c>
      <c r="AI70" s="4" t="n"/>
      <c r="AJ70" s="4" t="n"/>
    </row>
    <row r="71">
      <c r="A71" s="30">
        <f>IF(B71="","",COUNTIF(B$14:B71,"?*"))</f>
        <v/>
      </c>
      <c r="B71" s="4" t="n"/>
      <c r="C71" s="19" t="n"/>
      <c r="D71" s="5">
        <f>IF(OR(B71="",C71=""),"",UPPER(LEFT(C71,1))&amp;LOWER(MID(C71,2,30))&amp;" "&amp;LOWER(LEFT(B71,1))&amp;MID(B71,2,200))</f>
        <v/>
      </c>
      <c r="E71" s="4" t="n"/>
      <c r="F71" s="4" t="n"/>
      <c r="G71" s="4" t="n"/>
      <c r="H71" s="4" t="n"/>
      <c r="I71" s="4" t="n"/>
      <c r="J71" s="4" t="n"/>
      <c r="K71" s="5">
        <f>_xlfn.TEXTJOIN(CHAR(10),TRUE,IF(E71="","","• "&amp;E71),IF(F71="","","• "&amp;F71),IF(G71="","","• "&amp;G71),IF(H71="","","• "&amp;H71),IF(I71="","","• "&amp;I71),IF(J71="","","• "&amp;J71))</f>
        <v/>
      </c>
      <c r="L71" s="4" t="n"/>
      <c r="M71" s="19" t="n"/>
      <c r="N71" s="19" t="n"/>
      <c r="O71" s="30">
        <f>IF(OR(M71="",N71=""),"",INDEX(RiskGrid,6-VALUE(LEFT(M71,1)),VALUE(LEFT(N71,1))))</f>
        <v/>
      </c>
      <c r="P71" s="30">
        <f>IF(O71="","",IF(O71&gt;=BandVH,"Very High",IF(O71&gt;=BandHigh,"High",IF(O71&gt;=BandMed,"Medium","Low"))))</f>
        <v/>
      </c>
      <c r="Q71" s="4" t="n"/>
      <c r="R71" s="19" t="n"/>
      <c r="S71" s="4" t="n"/>
      <c r="T71" s="19" t="n"/>
      <c r="U71" s="4" t="n"/>
      <c r="V71" s="19" t="n"/>
      <c r="W71" s="4" t="n"/>
      <c r="X71" s="19" t="n"/>
      <c r="Y71" s="4" t="n"/>
      <c r="Z71" s="19" t="n"/>
      <c r="AA71" s="4" t="n"/>
      <c r="AB71" s="19" t="n"/>
      <c r="AC71" s="5">
        <f>_xlfn.TEXTJOIN(CHAR(10),TRUE,IF(Q71="","","• "&amp;Q71&amp;IF(R71="Yes","  [IPL]","")),IF(S71="","","• "&amp;S71&amp;IF(T71="Yes","  [IPL]","")),IF(U71="","","• "&amp;U71&amp;IF(V71="Yes","  [IPL]","")),IF(W71="","","• "&amp;W71&amp;IF(X71="Yes","  [IPL]","")),IF(Y71="","","• "&amp;Y71&amp;IF(Z71="Yes","  [IPL]","")),IF(AA71="","","• "&amp;AA71&amp;IF(AB71="Yes","  [IPL]","")))</f>
        <v/>
      </c>
      <c r="AD71" s="30">
        <f>IF(AC71="","",COUNTIF(Q71:AB71,"Yes"))</f>
        <v/>
      </c>
      <c r="AE71" s="19" t="n"/>
      <c r="AF71" s="19" t="n"/>
      <c r="AG71" s="30">
        <f>IF(OR(AE71="",AF71=""),"",INDEX(RiskGrid,6-VALUE(LEFT(AE71,1)),VALUE(LEFT(AF71,1))))</f>
        <v/>
      </c>
      <c r="AH71" s="30">
        <f>IF(AG71="","",IF(AG71&gt;=BandVH,"Very High",IF(AG71&gt;=BandHigh,"High",IF(AG71&gt;=BandMed,"Medium","Low"))))</f>
        <v/>
      </c>
      <c r="AI71" s="4" t="n"/>
      <c r="AJ71" s="4" t="n"/>
    </row>
    <row r="72">
      <c r="A72" s="30">
        <f>IF(B72="","",COUNTIF(B$14:B72,"?*"))</f>
        <v/>
      </c>
      <c r="B72" s="4" t="n"/>
      <c r="C72" s="19" t="n"/>
      <c r="D72" s="5">
        <f>IF(OR(B72="",C72=""),"",UPPER(LEFT(C72,1))&amp;LOWER(MID(C72,2,30))&amp;" "&amp;LOWER(LEFT(B72,1))&amp;MID(B72,2,200))</f>
        <v/>
      </c>
      <c r="E72" s="4" t="n"/>
      <c r="F72" s="4" t="n"/>
      <c r="G72" s="4" t="n"/>
      <c r="H72" s="4" t="n"/>
      <c r="I72" s="4" t="n"/>
      <c r="J72" s="4" t="n"/>
      <c r="K72" s="5">
        <f>_xlfn.TEXTJOIN(CHAR(10),TRUE,IF(E72="","","• "&amp;E72),IF(F72="","","• "&amp;F72),IF(G72="","","• "&amp;G72),IF(H72="","","• "&amp;H72),IF(I72="","","• "&amp;I72),IF(J72="","","• "&amp;J72))</f>
        <v/>
      </c>
      <c r="L72" s="4" t="n"/>
      <c r="M72" s="19" t="n"/>
      <c r="N72" s="19" t="n"/>
      <c r="O72" s="30">
        <f>IF(OR(M72="",N72=""),"",INDEX(RiskGrid,6-VALUE(LEFT(M72,1)),VALUE(LEFT(N72,1))))</f>
        <v/>
      </c>
      <c r="P72" s="30">
        <f>IF(O72="","",IF(O72&gt;=BandVH,"Very High",IF(O72&gt;=BandHigh,"High",IF(O72&gt;=BandMed,"Medium","Low"))))</f>
        <v/>
      </c>
      <c r="Q72" s="4" t="n"/>
      <c r="R72" s="19" t="n"/>
      <c r="S72" s="4" t="n"/>
      <c r="T72" s="19" t="n"/>
      <c r="U72" s="4" t="n"/>
      <c r="V72" s="19" t="n"/>
      <c r="W72" s="4" t="n"/>
      <c r="X72" s="19" t="n"/>
      <c r="Y72" s="4" t="n"/>
      <c r="Z72" s="19" t="n"/>
      <c r="AA72" s="4" t="n"/>
      <c r="AB72" s="19" t="n"/>
      <c r="AC72" s="5">
        <f>_xlfn.TEXTJOIN(CHAR(10),TRUE,IF(Q72="","","• "&amp;Q72&amp;IF(R72="Yes","  [IPL]","")),IF(S72="","","• "&amp;S72&amp;IF(T72="Yes","  [IPL]","")),IF(U72="","","• "&amp;U72&amp;IF(V72="Yes","  [IPL]","")),IF(W72="","","• "&amp;W72&amp;IF(X72="Yes","  [IPL]","")),IF(Y72="","","• "&amp;Y72&amp;IF(Z72="Yes","  [IPL]","")),IF(AA72="","","• "&amp;AA72&amp;IF(AB72="Yes","  [IPL]","")))</f>
        <v/>
      </c>
      <c r="AD72" s="30">
        <f>IF(AC72="","",COUNTIF(Q72:AB72,"Yes"))</f>
        <v/>
      </c>
      <c r="AE72" s="19" t="n"/>
      <c r="AF72" s="19" t="n"/>
      <c r="AG72" s="30">
        <f>IF(OR(AE72="",AF72=""),"",INDEX(RiskGrid,6-VALUE(LEFT(AE72,1)),VALUE(LEFT(AF72,1))))</f>
        <v/>
      </c>
      <c r="AH72" s="30">
        <f>IF(AG72="","",IF(AG72&gt;=BandVH,"Very High",IF(AG72&gt;=BandHigh,"High",IF(AG72&gt;=BandMed,"Medium","Low"))))</f>
        <v/>
      </c>
      <c r="AI72" s="4" t="n"/>
      <c r="AJ72" s="4" t="n"/>
    </row>
    <row r="73">
      <c r="A73" s="30">
        <f>IF(B73="","",COUNTIF(B$14:B73,"?*"))</f>
        <v/>
      </c>
      <c r="B73" s="4" t="n"/>
      <c r="C73" s="19" t="n"/>
      <c r="D73" s="5">
        <f>IF(OR(B73="",C73=""),"",UPPER(LEFT(C73,1))&amp;LOWER(MID(C73,2,30))&amp;" "&amp;LOWER(LEFT(B73,1))&amp;MID(B73,2,200))</f>
        <v/>
      </c>
      <c r="E73" s="4" t="n"/>
      <c r="F73" s="4" t="n"/>
      <c r="G73" s="4" t="n"/>
      <c r="H73" s="4" t="n"/>
      <c r="I73" s="4" t="n"/>
      <c r="J73" s="4" t="n"/>
      <c r="K73" s="5">
        <f>_xlfn.TEXTJOIN(CHAR(10),TRUE,IF(E73="","","• "&amp;E73),IF(F73="","","• "&amp;F73),IF(G73="","","• "&amp;G73),IF(H73="","","• "&amp;H73),IF(I73="","","• "&amp;I73),IF(J73="","","• "&amp;J73))</f>
        <v/>
      </c>
      <c r="L73" s="4" t="n"/>
      <c r="M73" s="19" t="n"/>
      <c r="N73" s="19" t="n"/>
      <c r="O73" s="30">
        <f>IF(OR(M73="",N73=""),"",INDEX(RiskGrid,6-VALUE(LEFT(M73,1)),VALUE(LEFT(N73,1))))</f>
        <v/>
      </c>
      <c r="P73" s="30">
        <f>IF(O73="","",IF(O73&gt;=BandVH,"Very High",IF(O73&gt;=BandHigh,"High",IF(O73&gt;=BandMed,"Medium","Low"))))</f>
        <v/>
      </c>
      <c r="Q73" s="4" t="n"/>
      <c r="R73" s="19" t="n"/>
      <c r="S73" s="4" t="n"/>
      <c r="T73" s="19" t="n"/>
      <c r="U73" s="4" t="n"/>
      <c r="V73" s="19" t="n"/>
      <c r="W73" s="4" t="n"/>
      <c r="X73" s="19" t="n"/>
      <c r="Y73" s="4" t="n"/>
      <c r="Z73" s="19" t="n"/>
      <c r="AA73" s="4" t="n"/>
      <c r="AB73" s="19" t="n"/>
      <c r="AC73" s="5">
        <f>_xlfn.TEXTJOIN(CHAR(10),TRUE,IF(Q73="","","• "&amp;Q73&amp;IF(R73="Yes","  [IPL]","")),IF(S73="","","• "&amp;S73&amp;IF(T73="Yes","  [IPL]","")),IF(U73="","","• "&amp;U73&amp;IF(V73="Yes","  [IPL]","")),IF(W73="","","• "&amp;W73&amp;IF(X73="Yes","  [IPL]","")),IF(Y73="","","• "&amp;Y73&amp;IF(Z73="Yes","  [IPL]","")),IF(AA73="","","• "&amp;AA73&amp;IF(AB73="Yes","  [IPL]","")))</f>
        <v/>
      </c>
      <c r="AD73" s="30">
        <f>IF(AC73="","",COUNTIF(Q73:AB73,"Yes"))</f>
        <v/>
      </c>
      <c r="AE73" s="19" t="n"/>
      <c r="AF73" s="19" t="n"/>
      <c r="AG73" s="30">
        <f>IF(OR(AE73="",AF73=""),"",INDEX(RiskGrid,6-VALUE(LEFT(AE73,1)),VALUE(LEFT(AF73,1))))</f>
        <v/>
      </c>
      <c r="AH73" s="30">
        <f>IF(AG73="","",IF(AG73&gt;=BandVH,"Very High",IF(AG73&gt;=BandHigh,"High",IF(AG73&gt;=BandMed,"Medium","Low"))))</f>
        <v/>
      </c>
      <c r="AI73" s="4" t="n"/>
      <c r="AJ73" s="4" t="n"/>
    </row>
    <row r="74">
      <c r="A74" s="30">
        <f>IF(B74="","",COUNTIF(B$14:B74,"?*"))</f>
        <v/>
      </c>
      <c r="B74" s="4" t="n"/>
      <c r="C74" s="19" t="n"/>
      <c r="D74" s="5">
        <f>IF(OR(B74="",C74=""),"",UPPER(LEFT(C74,1))&amp;LOWER(MID(C74,2,30))&amp;" "&amp;LOWER(LEFT(B74,1))&amp;MID(B74,2,200))</f>
        <v/>
      </c>
      <c r="E74" s="4" t="n"/>
      <c r="F74" s="4" t="n"/>
      <c r="G74" s="4" t="n"/>
      <c r="H74" s="4" t="n"/>
      <c r="I74" s="4" t="n"/>
      <c r="J74" s="4" t="n"/>
      <c r="K74" s="5">
        <f>_xlfn.TEXTJOIN(CHAR(10),TRUE,IF(E74="","","• "&amp;E74),IF(F74="","","• "&amp;F74),IF(G74="","","• "&amp;G74),IF(H74="","","• "&amp;H74),IF(I74="","","• "&amp;I74),IF(J74="","","• "&amp;J74))</f>
        <v/>
      </c>
      <c r="L74" s="4" t="n"/>
      <c r="M74" s="19" t="n"/>
      <c r="N74" s="19" t="n"/>
      <c r="O74" s="30">
        <f>IF(OR(M74="",N74=""),"",INDEX(RiskGrid,6-VALUE(LEFT(M74,1)),VALUE(LEFT(N74,1))))</f>
        <v/>
      </c>
      <c r="P74" s="30">
        <f>IF(O74="","",IF(O74&gt;=BandVH,"Very High",IF(O74&gt;=BandHigh,"High",IF(O74&gt;=BandMed,"Medium","Low"))))</f>
        <v/>
      </c>
      <c r="Q74" s="4" t="n"/>
      <c r="R74" s="19" t="n"/>
      <c r="S74" s="4" t="n"/>
      <c r="T74" s="19" t="n"/>
      <c r="U74" s="4" t="n"/>
      <c r="V74" s="19" t="n"/>
      <c r="W74" s="4" t="n"/>
      <c r="X74" s="19" t="n"/>
      <c r="Y74" s="4" t="n"/>
      <c r="Z74" s="19" t="n"/>
      <c r="AA74" s="4" t="n"/>
      <c r="AB74" s="19" t="n"/>
      <c r="AC74" s="5">
        <f>_xlfn.TEXTJOIN(CHAR(10),TRUE,IF(Q74="","","• "&amp;Q74&amp;IF(R74="Yes","  [IPL]","")),IF(S74="","","• "&amp;S74&amp;IF(T74="Yes","  [IPL]","")),IF(U74="","","• "&amp;U74&amp;IF(V74="Yes","  [IPL]","")),IF(W74="","","• "&amp;W74&amp;IF(X74="Yes","  [IPL]","")),IF(Y74="","","• "&amp;Y74&amp;IF(Z74="Yes","  [IPL]","")),IF(AA74="","","• "&amp;AA74&amp;IF(AB74="Yes","  [IPL]","")))</f>
        <v/>
      </c>
      <c r="AD74" s="30">
        <f>IF(AC74="","",COUNTIF(Q74:AB74,"Yes"))</f>
        <v/>
      </c>
      <c r="AE74" s="19" t="n"/>
      <c r="AF74" s="19" t="n"/>
      <c r="AG74" s="30">
        <f>IF(OR(AE74="",AF74=""),"",INDEX(RiskGrid,6-VALUE(LEFT(AE74,1)),VALUE(LEFT(AF74,1))))</f>
        <v/>
      </c>
      <c r="AH74" s="30">
        <f>IF(AG74="","",IF(AG74&gt;=BandVH,"Very High",IF(AG74&gt;=BandHigh,"High",IF(AG74&gt;=BandMed,"Medium","Low"))))</f>
        <v/>
      </c>
      <c r="AI74" s="4" t="n"/>
      <c r="AJ74" s="4" t="n"/>
    </row>
    <row r="75">
      <c r="A75" s="30">
        <f>IF(B75="","",COUNTIF(B$14:B75,"?*"))</f>
        <v/>
      </c>
      <c r="B75" s="4" t="n"/>
      <c r="C75" s="19" t="n"/>
      <c r="D75" s="5">
        <f>IF(OR(B75="",C75=""),"",UPPER(LEFT(C75,1))&amp;LOWER(MID(C75,2,30))&amp;" "&amp;LOWER(LEFT(B75,1))&amp;MID(B75,2,200))</f>
        <v/>
      </c>
      <c r="E75" s="4" t="n"/>
      <c r="F75" s="4" t="n"/>
      <c r="G75" s="4" t="n"/>
      <c r="H75" s="4" t="n"/>
      <c r="I75" s="4" t="n"/>
      <c r="J75" s="4" t="n"/>
      <c r="K75" s="5">
        <f>_xlfn.TEXTJOIN(CHAR(10),TRUE,IF(E75="","","• "&amp;E75),IF(F75="","","• "&amp;F75),IF(G75="","","• "&amp;G75),IF(H75="","","• "&amp;H75),IF(I75="","","• "&amp;I75),IF(J75="","","• "&amp;J75))</f>
        <v/>
      </c>
      <c r="L75" s="4" t="n"/>
      <c r="M75" s="19" t="n"/>
      <c r="N75" s="19" t="n"/>
      <c r="O75" s="30">
        <f>IF(OR(M75="",N75=""),"",INDEX(RiskGrid,6-VALUE(LEFT(M75,1)),VALUE(LEFT(N75,1))))</f>
        <v/>
      </c>
      <c r="P75" s="30">
        <f>IF(O75="","",IF(O75&gt;=BandVH,"Very High",IF(O75&gt;=BandHigh,"High",IF(O75&gt;=BandMed,"Medium","Low"))))</f>
        <v/>
      </c>
      <c r="Q75" s="4" t="n"/>
      <c r="R75" s="19" t="n"/>
      <c r="S75" s="4" t="n"/>
      <c r="T75" s="19" t="n"/>
      <c r="U75" s="4" t="n"/>
      <c r="V75" s="19" t="n"/>
      <c r="W75" s="4" t="n"/>
      <c r="X75" s="19" t="n"/>
      <c r="Y75" s="4" t="n"/>
      <c r="Z75" s="19" t="n"/>
      <c r="AA75" s="4" t="n"/>
      <c r="AB75" s="19" t="n"/>
      <c r="AC75" s="5">
        <f>_xlfn.TEXTJOIN(CHAR(10),TRUE,IF(Q75="","","• "&amp;Q75&amp;IF(R75="Yes","  [IPL]","")),IF(S75="","","• "&amp;S75&amp;IF(T75="Yes","  [IPL]","")),IF(U75="","","• "&amp;U75&amp;IF(V75="Yes","  [IPL]","")),IF(W75="","","• "&amp;W75&amp;IF(X75="Yes","  [IPL]","")),IF(Y75="","","• "&amp;Y75&amp;IF(Z75="Yes","  [IPL]","")),IF(AA75="","","• "&amp;AA75&amp;IF(AB75="Yes","  [IPL]","")))</f>
        <v/>
      </c>
      <c r="AD75" s="30">
        <f>IF(AC75="","",COUNTIF(Q75:AB75,"Yes"))</f>
        <v/>
      </c>
      <c r="AE75" s="19" t="n"/>
      <c r="AF75" s="19" t="n"/>
      <c r="AG75" s="30">
        <f>IF(OR(AE75="",AF75=""),"",INDEX(RiskGrid,6-VALUE(LEFT(AE75,1)),VALUE(LEFT(AF75,1))))</f>
        <v/>
      </c>
      <c r="AH75" s="30">
        <f>IF(AG75="","",IF(AG75&gt;=BandVH,"Very High",IF(AG75&gt;=BandHigh,"High",IF(AG75&gt;=BandMed,"Medium","Low"))))</f>
        <v/>
      </c>
      <c r="AI75" s="4" t="n"/>
      <c r="AJ75" s="4" t="n"/>
    </row>
    <row r="76">
      <c r="A76" s="30">
        <f>IF(B76="","",COUNTIF(B$14:B76,"?*"))</f>
        <v/>
      </c>
      <c r="B76" s="4" t="n"/>
      <c r="C76" s="19" t="n"/>
      <c r="D76" s="5">
        <f>IF(OR(B76="",C76=""),"",UPPER(LEFT(C76,1))&amp;LOWER(MID(C76,2,30))&amp;" "&amp;LOWER(LEFT(B76,1))&amp;MID(B76,2,200))</f>
        <v/>
      </c>
      <c r="E76" s="4" t="n"/>
      <c r="F76" s="4" t="n"/>
      <c r="G76" s="4" t="n"/>
      <c r="H76" s="4" t="n"/>
      <c r="I76" s="4" t="n"/>
      <c r="J76" s="4" t="n"/>
      <c r="K76" s="5">
        <f>_xlfn.TEXTJOIN(CHAR(10),TRUE,IF(E76="","","• "&amp;E76),IF(F76="","","• "&amp;F76),IF(G76="","","• "&amp;G76),IF(H76="","","• "&amp;H76),IF(I76="","","• "&amp;I76),IF(J76="","","• "&amp;J76))</f>
        <v/>
      </c>
      <c r="L76" s="4" t="n"/>
      <c r="M76" s="19" t="n"/>
      <c r="N76" s="19" t="n"/>
      <c r="O76" s="30">
        <f>IF(OR(M76="",N76=""),"",INDEX(RiskGrid,6-VALUE(LEFT(M76,1)),VALUE(LEFT(N76,1))))</f>
        <v/>
      </c>
      <c r="P76" s="30">
        <f>IF(O76="","",IF(O76&gt;=BandVH,"Very High",IF(O76&gt;=BandHigh,"High",IF(O76&gt;=BandMed,"Medium","Low"))))</f>
        <v/>
      </c>
      <c r="Q76" s="4" t="n"/>
      <c r="R76" s="19" t="n"/>
      <c r="S76" s="4" t="n"/>
      <c r="T76" s="19" t="n"/>
      <c r="U76" s="4" t="n"/>
      <c r="V76" s="19" t="n"/>
      <c r="W76" s="4" t="n"/>
      <c r="X76" s="19" t="n"/>
      <c r="Y76" s="4" t="n"/>
      <c r="Z76" s="19" t="n"/>
      <c r="AA76" s="4" t="n"/>
      <c r="AB76" s="19" t="n"/>
      <c r="AC76" s="5">
        <f>_xlfn.TEXTJOIN(CHAR(10),TRUE,IF(Q76="","","• "&amp;Q76&amp;IF(R76="Yes","  [IPL]","")),IF(S76="","","• "&amp;S76&amp;IF(T76="Yes","  [IPL]","")),IF(U76="","","• "&amp;U76&amp;IF(V76="Yes","  [IPL]","")),IF(W76="","","• "&amp;W76&amp;IF(X76="Yes","  [IPL]","")),IF(Y76="","","• "&amp;Y76&amp;IF(Z76="Yes","  [IPL]","")),IF(AA76="","","• "&amp;AA76&amp;IF(AB76="Yes","  [IPL]","")))</f>
        <v/>
      </c>
      <c r="AD76" s="30">
        <f>IF(AC76="","",COUNTIF(Q76:AB76,"Yes"))</f>
        <v/>
      </c>
      <c r="AE76" s="19" t="n"/>
      <c r="AF76" s="19" t="n"/>
      <c r="AG76" s="30">
        <f>IF(OR(AE76="",AF76=""),"",INDEX(RiskGrid,6-VALUE(LEFT(AE76,1)),VALUE(LEFT(AF76,1))))</f>
        <v/>
      </c>
      <c r="AH76" s="30">
        <f>IF(AG76="","",IF(AG76&gt;=BandVH,"Very High",IF(AG76&gt;=BandHigh,"High",IF(AG76&gt;=BandMed,"Medium","Low"))))</f>
        <v/>
      </c>
      <c r="AI76" s="4" t="n"/>
      <c r="AJ76" s="4" t="n"/>
    </row>
    <row r="77">
      <c r="A77" s="30">
        <f>IF(B77="","",COUNTIF(B$14:B77,"?*"))</f>
        <v/>
      </c>
      <c r="B77" s="4" t="n"/>
      <c r="C77" s="19" t="n"/>
      <c r="D77" s="5">
        <f>IF(OR(B77="",C77=""),"",UPPER(LEFT(C77,1))&amp;LOWER(MID(C77,2,30))&amp;" "&amp;LOWER(LEFT(B77,1))&amp;MID(B77,2,200))</f>
        <v/>
      </c>
      <c r="E77" s="4" t="n"/>
      <c r="F77" s="4" t="n"/>
      <c r="G77" s="4" t="n"/>
      <c r="H77" s="4" t="n"/>
      <c r="I77" s="4" t="n"/>
      <c r="J77" s="4" t="n"/>
      <c r="K77" s="5">
        <f>_xlfn.TEXTJOIN(CHAR(10),TRUE,IF(E77="","","• "&amp;E77),IF(F77="","","• "&amp;F77),IF(G77="","","• "&amp;G77),IF(H77="","","• "&amp;H77),IF(I77="","","• "&amp;I77),IF(J77="","","• "&amp;J77))</f>
        <v/>
      </c>
      <c r="L77" s="4" t="n"/>
      <c r="M77" s="19" t="n"/>
      <c r="N77" s="19" t="n"/>
      <c r="O77" s="30">
        <f>IF(OR(M77="",N77=""),"",INDEX(RiskGrid,6-VALUE(LEFT(M77,1)),VALUE(LEFT(N77,1))))</f>
        <v/>
      </c>
      <c r="P77" s="30">
        <f>IF(O77="","",IF(O77&gt;=BandVH,"Very High",IF(O77&gt;=BandHigh,"High",IF(O77&gt;=BandMed,"Medium","Low"))))</f>
        <v/>
      </c>
      <c r="Q77" s="4" t="n"/>
      <c r="R77" s="19" t="n"/>
      <c r="S77" s="4" t="n"/>
      <c r="T77" s="19" t="n"/>
      <c r="U77" s="4" t="n"/>
      <c r="V77" s="19" t="n"/>
      <c r="W77" s="4" t="n"/>
      <c r="X77" s="19" t="n"/>
      <c r="Y77" s="4" t="n"/>
      <c r="Z77" s="19" t="n"/>
      <c r="AA77" s="4" t="n"/>
      <c r="AB77" s="19" t="n"/>
      <c r="AC77" s="5">
        <f>_xlfn.TEXTJOIN(CHAR(10),TRUE,IF(Q77="","","• "&amp;Q77&amp;IF(R77="Yes","  [IPL]","")),IF(S77="","","• "&amp;S77&amp;IF(T77="Yes","  [IPL]","")),IF(U77="","","• "&amp;U77&amp;IF(V77="Yes","  [IPL]","")),IF(W77="","","• "&amp;W77&amp;IF(X77="Yes","  [IPL]","")),IF(Y77="","","• "&amp;Y77&amp;IF(Z77="Yes","  [IPL]","")),IF(AA77="","","• "&amp;AA77&amp;IF(AB77="Yes","  [IPL]","")))</f>
        <v/>
      </c>
      <c r="AD77" s="30">
        <f>IF(AC77="","",COUNTIF(Q77:AB77,"Yes"))</f>
        <v/>
      </c>
      <c r="AE77" s="19" t="n"/>
      <c r="AF77" s="19" t="n"/>
      <c r="AG77" s="30">
        <f>IF(OR(AE77="",AF77=""),"",INDEX(RiskGrid,6-VALUE(LEFT(AE77,1)),VALUE(LEFT(AF77,1))))</f>
        <v/>
      </c>
      <c r="AH77" s="30">
        <f>IF(AG77="","",IF(AG77&gt;=BandVH,"Very High",IF(AG77&gt;=BandHigh,"High",IF(AG77&gt;=BandMed,"Medium","Low"))))</f>
        <v/>
      </c>
      <c r="AI77" s="4" t="n"/>
      <c r="AJ77" s="4" t="n"/>
    </row>
    <row r="78">
      <c r="A78" s="30">
        <f>IF(B78="","",COUNTIF(B$14:B78,"?*"))</f>
        <v/>
      </c>
      <c r="B78" s="4" t="n"/>
      <c r="C78" s="19" t="n"/>
      <c r="D78" s="5">
        <f>IF(OR(B78="",C78=""),"",UPPER(LEFT(C78,1))&amp;LOWER(MID(C78,2,30))&amp;" "&amp;LOWER(LEFT(B78,1))&amp;MID(B78,2,200))</f>
        <v/>
      </c>
      <c r="E78" s="4" t="n"/>
      <c r="F78" s="4" t="n"/>
      <c r="G78" s="4" t="n"/>
      <c r="H78" s="4" t="n"/>
      <c r="I78" s="4" t="n"/>
      <c r="J78" s="4" t="n"/>
      <c r="K78" s="5">
        <f>_xlfn.TEXTJOIN(CHAR(10),TRUE,IF(E78="","","• "&amp;E78),IF(F78="","","• "&amp;F78),IF(G78="","","• "&amp;G78),IF(H78="","","• "&amp;H78),IF(I78="","","• "&amp;I78),IF(J78="","","• "&amp;J78))</f>
        <v/>
      </c>
      <c r="L78" s="4" t="n"/>
      <c r="M78" s="19" t="n"/>
      <c r="N78" s="19" t="n"/>
      <c r="O78" s="30">
        <f>IF(OR(M78="",N78=""),"",INDEX(RiskGrid,6-VALUE(LEFT(M78,1)),VALUE(LEFT(N78,1))))</f>
        <v/>
      </c>
      <c r="P78" s="30">
        <f>IF(O78="","",IF(O78&gt;=BandVH,"Very High",IF(O78&gt;=BandHigh,"High",IF(O78&gt;=BandMed,"Medium","Low"))))</f>
        <v/>
      </c>
      <c r="Q78" s="4" t="n"/>
      <c r="R78" s="19" t="n"/>
      <c r="S78" s="4" t="n"/>
      <c r="T78" s="19" t="n"/>
      <c r="U78" s="4" t="n"/>
      <c r="V78" s="19" t="n"/>
      <c r="W78" s="4" t="n"/>
      <c r="X78" s="19" t="n"/>
      <c r="Y78" s="4" t="n"/>
      <c r="Z78" s="19" t="n"/>
      <c r="AA78" s="4" t="n"/>
      <c r="AB78" s="19" t="n"/>
      <c r="AC78" s="5">
        <f>_xlfn.TEXTJOIN(CHAR(10),TRUE,IF(Q78="","","• "&amp;Q78&amp;IF(R78="Yes","  [IPL]","")),IF(S78="","","• "&amp;S78&amp;IF(T78="Yes","  [IPL]","")),IF(U78="","","• "&amp;U78&amp;IF(V78="Yes","  [IPL]","")),IF(W78="","","• "&amp;W78&amp;IF(X78="Yes","  [IPL]","")),IF(Y78="","","• "&amp;Y78&amp;IF(Z78="Yes","  [IPL]","")),IF(AA78="","","• "&amp;AA78&amp;IF(AB78="Yes","  [IPL]","")))</f>
        <v/>
      </c>
      <c r="AD78" s="30">
        <f>IF(AC78="","",COUNTIF(Q78:AB78,"Yes"))</f>
        <v/>
      </c>
      <c r="AE78" s="19" t="n"/>
      <c r="AF78" s="19" t="n"/>
      <c r="AG78" s="30">
        <f>IF(OR(AE78="",AF78=""),"",INDEX(RiskGrid,6-VALUE(LEFT(AE78,1)),VALUE(LEFT(AF78,1))))</f>
        <v/>
      </c>
      <c r="AH78" s="30">
        <f>IF(AG78="","",IF(AG78&gt;=BandVH,"Very High",IF(AG78&gt;=BandHigh,"High",IF(AG78&gt;=BandMed,"Medium","Low"))))</f>
        <v/>
      </c>
      <c r="AI78" s="4" t="n"/>
      <c r="AJ78" s="4" t="n"/>
    </row>
    <row r="79">
      <c r="A79" s="30">
        <f>IF(B79="","",COUNTIF(B$14:B79,"?*"))</f>
        <v/>
      </c>
      <c r="B79" s="4" t="n"/>
      <c r="C79" s="19" t="n"/>
      <c r="D79" s="5">
        <f>IF(OR(B79="",C79=""),"",UPPER(LEFT(C79,1))&amp;LOWER(MID(C79,2,30))&amp;" "&amp;LOWER(LEFT(B79,1))&amp;MID(B79,2,200))</f>
        <v/>
      </c>
      <c r="E79" s="4" t="n"/>
      <c r="F79" s="4" t="n"/>
      <c r="G79" s="4" t="n"/>
      <c r="H79" s="4" t="n"/>
      <c r="I79" s="4" t="n"/>
      <c r="J79" s="4" t="n"/>
      <c r="K79" s="5">
        <f>_xlfn.TEXTJOIN(CHAR(10),TRUE,IF(E79="","","• "&amp;E79),IF(F79="","","• "&amp;F79),IF(G79="","","• "&amp;G79),IF(H79="","","• "&amp;H79),IF(I79="","","• "&amp;I79),IF(J79="","","• "&amp;J79))</f>
        <v/>
      </c>
      <c r="L79" s="4" t="n"/>
      <c r="M79" s="19" t="n"/>
      <c r="N79" s="19" t="n"/>
      <c r="O79" s="30">
        <f>IF(OR(M79="",N79=""),"",INDEX(RiskGrid,6-VALUE(LEFT(M79,1)),VALUE(LEFT(N79,1))))</f>
        <v/>
      </c>
      <c r="P79" s="30">
        <f>IF(O79="","",IF(O79&gt;=BandVH,"Very High",IF(O79&gt;=BandHigh,"High",IF(O79&gt;=BandMed,"Medium","Low"))))</f>
        <v/>
      </c>
      <c r="Q79" s="4" t="n"/>
      <c r="R79" s="19" t="n"/>
      <c r="S79" s="4" t="n"/>
      <c r="T79" s="19" t="n"/>
      <c r="U79" s="4" t="n"/>
      <c r="V79" s="19" t="n"/>
      <c r="W79" s="4" t="n"/>
      <c r="X79" s="19" t="n"/>
      <c r="Y79" s="4" t="n"/>
      <c r="Z79" s="19" t="n"/>
      <c r="AA79" s="4" t="n"/>
      <c r="AB79" s="19" t="n"/>
      <c r="AC79" s="5">
        <f>_xlfn.TEXTJOIN(CHAR(10),TRUE,IF(Q79="","","• "&amp;Q79&amp;IF(R79="Yes","  [IPL]","")),IF(S79="","","• "&amp;S79&amp;IF(T79="Yes","  [IPL]","")),IF(U79="","","• "&amp;U79&amp;IF(V79="Yes","  [IPL]","")),IF(W79="","","• "&amp;W79&amp;IF(X79="Yes","  [IPL]","")),IF(Y79="","","• "&amp;Y79&amp;IF(Z79="Yes","  [IPL]","")),IF(AA79="","","• "&amp;AA79&amp;IF(AB79="Yes","  [IPL]","")))</f>
        <v/>
      </c>
      <c r="AD79" s="30">
        <f>IF(AC79="","",COUNTIF(Q79:AB79,"Yes"))</f>
        <v/>
      </c>
      <c r="AE79" s="19" t="n"/>
      <c r="AF79" s="19" t="n"/>
      <c r="AG79" s="30">
        <f>IF(OR(AE79="",AF79=""),"",INDEX(RiskGrid,6-VALUE(LEFT(AE79,1)),VALUE(LEFT(AF79,1))))</f>
        <v/>
      </c>
      <c r="AH79" s="30">
        <f>IF(AG79="","",IF(AG79&gt;=BandVH,"Very High",IF(AG79&gt;=BandHigh,"High",IF(AG79&gt;=BandMed,"Medium","Low"))))</f>
        <v/>
      </c>
      <c r="AI79" s="4" t="n"/>
      <c r="AJ79" s="4" t="n"/>
    </row>
    <row r="80">
      <c r="A80" s="30">
        <f>IF(B80="","",COUNTIF(B$14:B80,"?*"))</f>
        <v/>
      </c>
      <c r="B80" s="4" t="n"/>
      <c r="C80" s="19" t="n"/>
      <c r="D80" s="5">
        <f>IF(OR(B80="",C80=""),"",UPPER(LEFT(C80,1))&amp;LOWER(MID(C80,2,30))&amp;" "&amp;LOWER(LEFT(B80,1))&amp;MID(B80,2,200))</f>
        <v/>
      </c>
      <c r="E80" s="4" t="n"/>
      <c r="F80" s="4" t="n"/>
      <c r="G80" s="4" t="n"/>
      <c r="H80" s="4" t="n"/>
      <c r="I80" s="4" t="n"/>
      <c r="J80" s="4" t="n"/>
      <c r="K80" s="5">
        <f>_xlfn.TEXTJOIN(CHAR(10),TRUE,IF(E80="","","• "&amp;E80),IF(F80="","","• "&amp;F80),IF(G80="","","• "&amp;G80),IF(H80="","","• "&amp;H80),IF(I80="","","• "&amp;I80),IF(J80="","","• "&amp;J80))</f>
        <v/>
      </c>
      <c r="L80" s="4" t="n"/>
      <c r="M80" s="19" t="n"/>
      <c r="N80" s="19" t="n"/>
      <c r="O80" s="30">
        <f>IF(OR(M80="",N80=""),"",INDEX(RiskGrid,6-VALUE(LEFT(M80,1)),VALUE(LEFT(N80,1))))</f>
        <v/>
      </c>
      <c r="P80" s="30">
        <f>IF(O80="","",IF(O80&gt;=BandVH,"Very High",IF(O80&gt;=BandHigh,"High",IF(O80&gt;=BandMed,"Medium","Low"))))</f>
        <v/>
      </c>
      <c r="Q80" s="4" t="n"/>
      <c r="R80" s="19" t="n"/>
      <c r="S80" s="4" t="n"/>
      <c r="T80" s="19" t="n"/>
      <c r="U80" s="4" t="n"/>
      <c r="V80" s="19" t="n"/>
      <c r="W80" s="4" t="n"/>
      <c r="X80" s="19" t="n"/>
      <c r="Y80" s="4" t="n"/>
      <c r="Z80" s="19" t="n"/>
      <c r="AA80" s="4" t="n"/>
      <c r="AB80" s="19" t="n"/>
      <c r="AC80" s="5">
        <f>_xlfn.TEXTJOIN(CHAR(10),TRUE,IF(Q80="","","• "&amp;Q80&amp;IF(R80="Yes","  [IPL]","")),IF(S80="","","• "&amp;S80&amp;IF(T80="Yes","  [IPL]","")),IF(U80="","","• "&amp;U80&amp;IF(V80="Yes","  [IPL]","")),IF(W80="","","• "&amp;W80&amp;IF(X80="Yes","  [IPL]","")),IF(Y80="","","• "&amp;Y80&amp;IF(Z80="Yes","  [IPL]","")),IF(AA80="","","• "&amp;AA80&amp;IF(AB80="Yes","  [IPL]","")))</f>
        <v/>
      </c>
      <c r="AD80" s="30">
        <f>IF(AC80="","",COUNTIF(Q80:AB80,"Yes"))</f>
        <v/>
      </c>
      <c r="AE80" s="19" t="n"/>
      <c r="AF80" s="19" t="n"/>
      <c r="AG80" s="30">
        <f>IF(OR(AE80="",AF80=""),"",INDEX(RiskGrid,6-VALUE(LEFT(AE80,1)),VALUE(LEFT(AF80,1))))</f>
        <v/>
      </c>
      <c r="AH80" s="30">
        <f>IF(AG80="","",IF(AG80&gt;=BandVH,"Very High",IF(AG80&gt;=BandHigh,"High",IF(AG80&gt;=BandMed,"Medium","Low"))))</f>
        <v/>
      </c>
      <c r="AI80" s="4" t="n"/>
      <c r="AJ80" s="4" t="n"/>
    </row>
    <row r="81">
      <c r="A81" s="30">
        <f>IF(B81="","",COUNTIF(B$14:B81,"?*"))</f>
        <v/>
      </c>
      <c r="B81" s="4" t="n"/>
      <c r="C81" s="19" t="n"/>
      <c r="D81" s="5">
        <f>IF(OR(B81="",C81=""),"",UPPER(LEFT(C81,1))&amp;LOWER(MID(C81,2,30))&amp;" "&amp;LOWER(LEFT(B81,1))&amp;MID(B81,2,200))</f>
        <v/>
      </c>
      <c r="E81" s="4" t="n"/>
      <c r="F81" s="4" t="n"/>
      <c r="G81" s="4" t="n"/>
      <c r="H81" s="4" t="n"/>
      <c r="I81" s="4" t="n"/>
      <c r="J81" s="4" t="n"/>
      <c r="K81" s="5">
        <f>_xlfn.TEXTJOIN(CHAR(10),TRUE,IF(E81="","","• "&amp;E81),IF(F81="","","• "&amp;F81),IF(G81="","","• "&amp;G81),IF(H81="","","• "&amp;H81),IF(I81="","","• "&amp;I81),IF(J81="","","• "&amp;J81))</f>
        <v/>
      </c>
      <c r="L81" s="4" t="n"/>
      <c r="M81" s="19" t="n"/>
      <c r="N81" s="19" t="n"/>
      <c r="O81" s="30">
        <f>IF(OR(M81="",N81=""),"",INDEX(RiskGrid,6-VALUE(LEFT(M81,1)),VALUE(LEFT(N81,1))))</f>
        <v/>
      </c>
      <c r="P81" s="30">
        <f>IF(O81="","",IF(O81&gt;=BandVH,"Very High",IF(O81&gt;=BandHigh,"High",IF(O81&gt;=BandMed,"Medium","Low"))))</f>
        <v/>
      </c>
      <c r="Q81" s="4" t="n"/>
      <c r="R81" s="19" t="n"/>
      <c r="S81" s="4" t="n"/>
      <c r="T81" s="19" t="n"/>
      <c r="U81" s="4" t="n"/>
      <c r="V81" s="19" t="n"/>
      <c r="W81" s="4" t="n"/>
      <c r="X81" s="19" t="n"/>
      <c r="Y81" s="4" t="n"/>
      <c r="Z81" s="19" t="n"/>
      <c r="AA81" s="4" t="n"/>
      <c r="AB81" s="19" t="n"/>
      <c r="AC81" s="5">
        <f>_xlfn.TEXTJOIN(CHAR(10),TRUE,IF(Q81="","","• "&amp;Q81&amp;IF(R81="Yes","  [IPL]","")),IF(S81="","","• "&amp;S81&amp;IF(T81="Yes","  [IPL]","")),IF(U81="","","• "&amp;U81&amp;IF(V81="Yes","  [IPL]","")),IF(W81="","","• "&amp;W81&amp;IF(X81="Yes","  [IPL]","")),IF(Y81="","","• "&amp;Y81&amp;IF(Z81="Yes","  [IPL]","")),IF(AA81="","","• "&amp;AA81&amp;IF(AB81="Yes","  [IPL]","")))</f>
        <v/>
      </c>
      <c r="AD81" s="30">
        <f>IF(AC81="","",COUNTIF(Q81:AB81,"Yes"))</f>
        <v/>
      </c>
      <c r="AE81" s="19" t="n"/>
      <c r="AF81" s="19" t="n"/>
      <c r="AG81" s="30">
        <f>IF(OR(AE81="",AF81=""),"",INDEX(RiskGrid,6-VALUE(LEFT(AE81,1)),VALUE(LEFT(AF81,1))))</f>
        <v/>
      </c>
      <c r="AH81" s="30">
        <f>IF(AG81="","",IF(AG81&gt;=BandVH,"Very High",IF(AG81&gt;=BandHigh,"High",IF(AG81&gt;=BandMed,"Medium","Low"))))</f>
        <v/>
      </c>
      <c r="AI81" s="4" t="n"/>
      <c r="AJ81" s="4" t="n"/>
    </row>
    <row r="82">
      <c r="A82" s="30">
        <f>IF(B82="","",COUNTIF(B$14:B82,"?*"))</f>
        <v/>
      </c>
      <c r="B82" s="4" t="n"/>
      <c r="C82" s="19" t="n"/>
      <c r="D82" s="5">
        <f>IF(OR(B82="",C82=""),"",UPPER(LEFT(C82,1))&amp;LOWER(MID(C82,2,30))&amp;" "&amp;LOWER(LEFT(B82,1))&amp;MID(B82,2,200))</f>
        <v/>
      </c>
      <c r="E82" s="4" t="n"/>
      <c r="F82" s="4" t="n"/>
      <c r="G82" s="4" t="n"/>
      <c r="H82" s="4" t="n"/>
      <c r="I82" s="4" t="n"/>
      <c r="J82" s="4" t="n"/>
      <c r="K82" s="5">
        <f>_xlfn.TEXTJOIN(CHAR(10),TRUE,IF(E82="","","• "&amp;E82),IF(F82="","","• "&amp;F82),IF(G82="","","• "&amp;G82),IF(H82="","","• "&amp;H82),IF(I82="","","• "&amp;I82),IF(J82="","","• "&amp;J82))</f>
        <v/>
      </c>
      <c r="L82" s="4" t="n"/>
      <c r="M82" s="19" t="n"/>
      <c r="N82" s="19" t="n"/>
      <c r="O82" s="30">
        <f>IF(OR(M82="",N82=""),"",INDEX(RiskGrid,6-VALUE(LEFT(M82,1)),VALUE(LEFT(N82,1))))</f>
        <v/>
      </c>
      <c r="P82" s="30">
        <f>IF(O82="","",IF(O82&gt;=BandVH,"Very High",IF(O82&gt;=BandHigh,"High",IF(O82&gt;=BandMed,"Medium","Low"))))</f>
        <v/>
      </c>
      <c r="Q82" s="4" t="n"/>
      <c r="R82" s="19" t="n"/>
      <c r="S82" s="4" t="n"/>
      <c r="T82" s="19" t="n"/>
      <c r="U82" s="4" t="n"/>
      <c r="V82" s="19" t="n"/>
      <c r="W82" s="4" t="n"/>
      <c r="X82" s="19" t="n"/>
      <c r="Y82" s="4" t="n"/>
      <c r="Z82" s="19" t="n"/>
      <c r="AA82" s="4" t="n"/>
      <c r="AB82" s="19" t="n"/>
      <c r="AC82" s="5">
        <f>_xlfn.TEXTJOIN(CHAR(10),TRUE,IF(Q82="","","• "&amp;Q82&amp;IF(R82="Yes","  [IPL]","")),IF(S82="","","• "&amp;S82&amp;IF(T82="Yes","  [IPL]","")),IF(U82="","","• "&amp;U82&amp;IF(V82="Yes","  [IPL]","")),IF(W82="","","• "&amp;W82&amp;IF(X82="Yes","  [IPL]","")),IF(Y82="","","• "&amp;Y82&amp;IF(Z82="Yes","  [IPL]","")),IF(AA82="","","• "&amp;AA82&amp;IF(AB82="Yes","  [IPL]","")))</f>
        <v/>
      </c>
      <c r="AD82" s="30">
        <f>IF(AC82="","",COUNTIF(Q82:AB82,"Yes"))</f>
        <v/>
      </c>
      <c r="AE82" s="19" t="n"/>
      <c r="AF82" s="19" t="n"/>
      <c r="AG82" s="30">
        <f>IF(OR(AE82="",AF82=""),"",INDEX(RiskGrid,6-VALUE(LEFT(AE82,1)),VALUE(LEFT(AF82,1))))</f>
        <v/>
      </c>
      <c r="AH82" s="30">
        <f>IF(AG82="","",IF(AG82&gt;=BandVH,"Very High",IF(AG82&gt;=BandHigh,"High",IF(AG82&gt;=BandMed,"Medium","Low"))))</f>
        <v/>
      </c>
      <c r="AI82" s="4" t="n"/>
      <c r="AJ82" s="4" t="n"/>
    </row>
    <row r="83">
      <c r="A83" s="30">
        <f>IF(B83="","",COUNTIF(B$14:B83,"?*"))</f>
        <v/>
      </c>
      <c r="B83" s="4" t="n"/>
      <c r="C83" s="19" t="n"/>
      <c r="D83" s="5">
        <f>IF(OR(B83="",C83=""),"",UPPER(LEFT(C83,1))&amp;LOWER(MID(C83,2,30))&amp;" "&amp;LOWER(LEFT(B83,1))&amp;MID(B83,2,200))</f>
        <v/>
      </c>
      <c r="E83" s="4" t="n"/>
      <c r="F83" s="4" t="n"/>
      <c r="G83" s="4" t="n"/>
      <c r="H83" s="4" t="n"/>
      <c r="I83" s="4" t="n"/>
      <c r="J83" s="4" t="n"/>
      <c r="K83" s="5">
        <f>_xlfn.TEXTJOIN(CHAR(10),TRUE,IF(E83="","","• "&amp;E83),IF(F83="","","• "&amp;F83),IF(G83="","","• "&amp;G83),IF(H83="","","• "&amp;H83),IF(I83="","","• "&amp;I83),IF(J83="","","• "&amp;J83))</f>
        <v/>
      </c>
      <c r="L83" s="4" t="n"/>
      <c r="M83" s="19" t="n"/>
      <c r="N83" s="19" t="n"/>
      <c r="O83" s="30">
        <f>IF(OR(M83="",N83=""),"",INDEX(RiskGrid,6-VALUE(LEFT(M83,1)),VALUE(LEFT(N83,1))))</f>
        <v/>
      </c>
      <c r="P83" s="30">
        <f>IF(O83="","",IF(O83&gt;=BandVH,"Very High",IF(O83&gt;=BandHigh,"High",IF(O83&gt;=BandMed,"Medium","Low"))))</f>
        <v/>
      </c>
      <c r="Q83" s="4" t="n"/>
      <c r="R83" s="19" t="n"/>
      <c r="S83" s="4" t="n"/>
      <c r="T83" s="19" t="n"/>
      <c r="U83" s="4" t="n"/>
      <c r="V83" s="19" t="n"/>
      <c r="W83" s="4" t="n"/>
      <c r="X83" s="19" t="n"/>
      <c r="Y83" s="4" t="n"/>
      <c r="Z83" s="19" t="n"/>
      <c r="AA83" s="4" t="n"/>
      <c r="AB83" s="19" t="n"/>
      <c r="AC83" s="5">
        <f>_xlfn.TEXTJOIN(CHAR(10),TRUE,IF(Q83="","","• "&amp;Q83&amp;IF(R83="Yes","  [IPL]","")),IF(S83="","","• "&amp;S83&amp;IF(T83="Yes","  [IPL]","")),IF(U83="","","• "&amp;U83&amp;IF(V83="Yes","  [IPL]","")),IF(W83="","","• "&amp;W83&amp;IF(X83="Yes","  [IPL]","")),IF(Y83="","","• "&amp;Y83&amp;IF(Z83="Yes","  [IPL]","")),IF(AA83="","","• "&amp;AA83&amp;IF(AB83="Yes","  [IPL]","")))</f>
        <v/>
      </c>
      <c r="AD83" s="30">
        <f>IF(AC83="","",COUNTIF(Q83:AB83,"Yes"))</f>
        <v/>
      </c>
      <c r="AE83" s="19" t="n"/>
      <c r="AF83" s="19" t="n"/>
      <c r="AG83" s="30">
        <f>IF(OR(AE83="",AF83=""),"",INDEX(RiskGrid,6-VALUE(LEFT(AE83,1)),VALUE(LEFT(AF83,1))))</f>
        <v/>
      </c>
      <c r="AH83" s="30">
        <f>IF(AG83="","",IF(AG83&gt;=BandVH,"Very High",IF(AG83&gt;=BandHigh,"High",IF(AG83&gt;=BandMed,"Medium","Low"))))</f>
        <v/>
      </c>
      <c r="AI83" s="4" t="n"/>
      <c r="AJ83" s="4" t="n"/>
    </row>
    <row r="84">
      <c r="A84" s="30">
        <f>IF(B84="","",COUNTIF(B$14:B84,"?*"))</f>
        <v/>
      </c>
      <c r="B84" s="4" t="n"/>
      <c r="C84" s="19" t="n"/>
      <c r="D84" s="5">
        <f>IF(OR(B84="",C84=""),"",UPPER(LEFT(C84,1))&amp;LOWER(MID(C84,2,30))&amp;" "&amp;LOWER(LEFT(B84,1))&amp;MID(B84,2,200))</f>
        <v/>
      </c>
      <c r="E84" s="4" t="n"/>
      <c r="F84" s="4" t="n"/>
      <c r="G84" s="4" t="n"/>
      <c r="H84" s="4" t="n"/>
      <c r="I84" s="4" t="n"/>
      <c r="J84" s="4" t="n"/>
      <c r="K84" s="5">
        <f>_xlfn.TEXTJOIN(CHAR(10),TRUE,IF(E84="","","• "&amp;E84),IF(F84="","","• "&amp;F84),IF(G84="","","• "&amp;G84),IF(H84="","","• "&amp;H84),IF(I84="","","• "&amp;I84),IF(J84="","","• "&amp;J84))</f>
        <v/>
      </c>
      <c r="L84" s="4" t="n"/>
      <c r="M84" s="19" t="n"/>
      <c r="N84" s="19" t="n"/>
      <c r="O84" s="30">
        <f>IF(OR(M84="",N84=""),"",INDEX(RiskGrid,6-VALUE(LEFT(M84,1)),VALUE(LEFT(N84,1))))</f>
        <v/>
      </c>
      <c r="P84" s="30">
        <f>IF(O84="","",IF(O84&gt;=BandVH,"Very High",IF(O84&gt;=BandHigh,"High",IF(O84&gt;=BandMed,"Medium","Low"))))</f>
        <v/>
      </c>
      <c r="Q84" s="4" t="n"/>
      <c r="R84" s="19" t="n"/>
      <c r="S84" s="4" t="n"/>
      <c r="T84" s="19" t="n"/>
      <c r="U84" s="4" t="n"/>
      <c r="V84" s="19" t="n"/>
      <c r="W84" s="4" t="n"/>
      <c r="X84" s="19" t="n"/>
      <c r="Y84" s="4" t="n"/>
      <c r="Z84" s="19" t="n"/>
      <c r="AA84" s="4" t="n"/>
      <c r="AB84" s="19" t="n"/>
      <c r="AC84" s="5">
        <f>_xlfn.TEXTJOIN(CHAR(10),TRUE,IF(Q84="","","• "&amp;Q84&amp;IF(R84="Yes","  [IPL]","")),IF(S84="","","• "&amp;S84&amp;IF(T84="Yes","  [IPL]","")),IF(U84="","","• "&amp;U84&amp;IF(V84="Yes","  [IPL]","")),IF(W84="","","• "&amp;W84&amp;IF(X84="Yes","  [IPL]","")),IF(Y84="","","• "&amp;Y84&amp;IF(Z84="Yes","  [IPL]","")),IF(AA84="","","• "&amp;AA84&amp;IF(AB84="Yes","  [IPL]","")))</f>
        <v/>
      </c>
      <c r="AD84" s="30">
        <f>IF(AC84="","",COUNTIF(Q84:AB84,"Yes"))</f>
        <v/>
      </c>
      <c r="AE84" s="19" t="n"/>
      <c r="AF84" s="19" t="n"/>
      <c r="AG84" s="30">
        <f>IF(OR(AE84="",AF84=""),"",INDEX(RiskGrid,6-VALUE(LEFT(AE84,1)),VALUE(LEFT(AF84,1))))</f>
        <v/>
      </c>
      <c r="AH84" s="30">
        <f>IF(AG84="","",IF(AG84&gt;=BandVH,"Very High",IF(AG84&gt;=BandHigh,"High",IF(AG84&gt;=BandMed,"Medium","Low"))))</f>
        <v/>
      </c>
      <c r="AI84" s="4" t="n"/>
      <c r="AJ84" s="4" t="n"/>
    </row>
    <row r="85">
      <c r="A85" s="30">
        <f>IF(B85="","",COUNTIF(B$14:B85,"?*"))</f>
        <v/>
      </c>
      <c r="B85" s="4" t="n"/>
      <c r="C85" s="19" t="n"/>
      <c r="D85" s="5">
        <f>IF(OR(B85="",C85=""),"",UPPER(LEFT(C85,1))&amp;LOWER(MID(C85,2,30))&amp;" "&amp;LOWER(LEFT(B85,1))&amp;MID(B85,2,200))</f>
        <v/>
      </c>
      <c r="E85" s="4" t="n"/>
      <c r="F85" s="4" t="n"/>
      <c r="G85" s="4" t="n"/>
      <c r="H85" s="4" t="n"/>
      <c r="I85" s="4" t="n"/>
      <c r="J85" s="4" t="n"/>
      <c r="K85" s="5">
        <f>_xlfn.TEXTJOIN(CHAR(10),TRUE,IF(E85="","","• "&amp;E85),IF(F85="","","• "&amp;F85),IF(G85="","","• "&amp;G85),IF(H85="","","• "&amp;H85),IF(I85="","","• "&amp;I85),IF(J85="","","• "&amp;J85))</f>
        <v/>
      </c>
      <c r="L85" s="4" t="n"/>
      <c r="M85" s="19" t="n"/>
      <c r="N85" s="19" t="n"/>
      <c r="O85" s="30">
        <f>IF(OR(M85="",N85=""),"",INDEX(RiskGrid,6-VALUE(LEFT(M85,1)),VALUE(LEFT(N85,1))))</f>
        <v/>
      </c>
      <c r="P85" s="30">
        <f>IF(O85="","",IF(O85&gt;=BandVH,"Very High",IF(O85&gt;=BandHigh,"High",IF(O85&gt;=BandMed,"Medium","Low"))))</f>
        <v/>
      </c>
      <c r="Q85" s="4" t="n"/>
      <c r="R85" s="19" t="n"/>
      <c r="S85" s="4" t="n"/>
      <c r="T85" s="19" t="n"/>
      <c r="U85" s="4" t="n"/>
      <c r="V85" s="19" t="n"/>
      <c r="W85" s="4" t="n"/>
      <c r="X85" s="19" t="n"/>
      <c r="Y85" s="4" t="n"/>
      <c r="Z85" s="19" t="n"/>
      <c r="AA85" s="4" t="n"/>
      <c r="AB85" s="19" t="n"/>
      <c r="AC85" s="5">
        <f>_xlfn.TEXTJOIN(CHAR(10),TRUE,IF(Q85="","","• "&amp;Q85&amp;IF(R85="Yes","  [IPL]","")),IF(S85="","","• "&amp;S85&amp;IF(T85="Yes","  [IPL]","")),IF(U85="","","• "&amp;U85&amp;IF(V85="Yes","  [IPL]","")),IF(W85="","","• "&amp;W85&amp;IF(X85="Yes","  [IPL]","")),IF(Y85="","","• "&amp;Y85&amp;IF(Z85="Yes","  [IPL]","")),IF(AA85="","","• "&amp;AA85&amp;IF(AB85="Yes","  [IPL]","")))</f>
        <v/>
      </c>
      <c r="AD85" s="30">
        <f>IF(AC85="","",COUNTIF(Q85:AB85,"Yes"))</f>
        <v/>
      </c>
      <c r="AE85" s="19" t="n"/>
      <c r="AF85" s="19" t="n"/>
      <c r="AG85" s="30">
        <f>IF(OR(AE85="",AF85=""),"",INDEX(RiskGrid,6-VALUE(LEFT(AE85,1)),VALUE(LEFT(AF85,1))))</f>
        <v/>
      </c>
      <c r="AH85" s="30">
        <f>IF(AG85="","",IF(AG85&gt;=BandVH,"Very High",IF(AG85&gt;=BandHigh,"High",IF(AG85&gt;=BandMed,"Medium","Low"))))</f>
        <v/>
      </c>
      <c r="AI85" s="4" t="n"/>
      <c r="AJ85" s="4" t="n"/>
    </row>
    <row r="86">
      <c r="A86" s="30">
        <f>IF(B86="","",COUNTIF(B$14:B86,"?*"))</f>
        <v/>
      </c>
      <c r="B86" s="4" t="n"/>
      <c r="C86" s="19" t="n"/>
      <c r="D86" s="5">
        <f>IF(OR(B86="",C86=""),"",UPPER(LEFT(C86,1))&amp;LOWER(MID(C86,2,30))&amp;" "&amp;LOWER(LEFT(B86,1))&amp;MID(B86,2,200))</f>
        <v/>
      </c>
      <c r="E86" s="4" t="n"/>
      <c r="F86" s="4" t="n"/>
      <c r="G86" s="4" t="n"/>
      <c r="H86" s="4" t="n"/>
      <c r="I86" s="4" t="n"/>
      <c r="J86" s="4" t="n"/>
      <c r="K86" s="5">
        <f>_xlfn.TEXTJOIN(CHAR(10),TRUE,IF(E86="","","• "&amp;E86),IF(F86="","","• "&amp;F86),IF(G86="","","• "&amp;G86),IF(H86="","","• "&amp;H86),IF(I86="","","• "&amp;I86),IF(J86="","","• "&amp;J86))</f>
        <v/>
      </c>
      <c r="L86" s="4" t="n"/>
      <c r="M86" s="19" t="n"/>
      <c r="N86" s="19" t="n"/>
      <c r="O86" s="30">
        <f>IF(OR(M86="",N86=""),"",INDEX(RiskGrid,6-VALUE(LEFT(M86,1)),VALUE(LEFT(N86,1))))</f>
        <v/>
      </c>
      <c r="P86" s="30">
        <f>IF(O86="","",IF(O86&gt;=BandVH,"Very High",IF(O86&gt;=BandHigh,"High",IF(O86&gt;=BandMed,"Medium","Low"))))</f>
        <v/>
      </c>
      <c r="Q86" s="4" t="n"/>
      <c r="R86" s="19" t="n"/>
      <c r="S86" s="4" t="n"/>
      <c r="T86" s="19" t="n"/>
      <c r="U86" s="4" t="n"/>
      <c r="V86" s="19" t="n"/>
      <c r="W86" s="4" t="n"/>
      <c r="X86" s="19" t="n"/>
      <c r="Y86" s="4" t="n"/>
      <c r="Z86" s="19" t="n"/>
      <c r="AA86" s="4" t="n"/>
      <c r="AB86" s="19" t="n"/>
      <c r="AC86" s="5">
        <f>_xlfn.TEXTJOIN(CHAR(10),TRUE,IF(Q86="","","• "&amp;Q86&amp;IF(R86="Yes","  [IPL]","")),IF(S86="","","• "&amp;S86&amp;IF(T86="Yes","  [IPL]","")),IF(U86="","","• "&amp;U86&amp;IF(V86="Yes","  [IPL]","")),IF(W86="","","• "&amp;W86&amp;IF(X86="Yes","  [IPL]","")),IF(Y86="","","• "&amp;Y86&amp;IF(Z86="Yes","  [IPL]","")),IF(AA86="","","• "&amp;AA86&amp;IF(AB86="Yes","  [IPL]","")))</f>
        <v/>
      </c>
      <c r="AD86" s="30">
        <f>IF(AC86="","",COUNTIF(Q86:AB86,"Yes"))</f>
        <v/>
      </c>
      <c r="AE86" s="19" t="n"/>
      <c r="AF86" s="19" t="n"/>
      <c r="AG86" s="30">
        <f>IF(OR(AE86="",AF86=""),"",INDEX(RiskGrid,6-VALUE(LEFT(AE86,1)),VALUE(LEFT(AF86,1))))</f>
        <v/>
      </c>
      <c r="AH86" s="30">
        <f>IF(AG86="","",IF(AG86&gt;=BandVH,"Very High",IF(AG86&gt;=BandHigh,"High",IF(AG86&gt;=BandMed,"Medium","Low"))))</f>
        <v/>
      </c>
      <c r="AI86" s="4" t="n"/>
      <c r="AJ86" s="4" t="n"/>
    </row>
    <row r="87">
      <c r="A87" s="30">
        <f>IF(B87="","",COUNTIF(B$14:B87,"?*"))</f>
        <v/>
      </c>
      <c r="B87" s="4" t="n"/>
      <c r="C87" s="19" t="n"/>
      <c r="D87" s="5">
        <f>IF(OR(B87="",C87=""),"",UPPER(LEFT(C87,1))&amp;LOWER(MID(C87,2,30))&amp;" "&amp;LOWER(LEFT(B87,1))&amp;MID(B87,2,200))</f>
        <v/>
      </c>
      <c r="E87" s="4" t="n"/>
      <c r="F87" s="4" t="n"/>
      <c r="G87" s="4" t="n"/>
      <c r="H87" s="4" t="n"/>
      <c r="I87" s="4" t="n"/>
      <c r="J87" s="4" t="n"/>
      <c r="K87" s="5">
        <f>_xlfn.TEXTJOIN(CHAR(10),TRUE,IF(E87="","","• "&amp;E87),IF(F87="","","• "&amp;F87),IF(G87="","","• "&amp;G87),IF(H87="","","• "&amp;H87),IF(I87="","","• "&amp;I87),IF(J87="","","• "&amp;J87))</f>
        <v/>
      </c>
      <c r="L87" s="4" t="n"/>
      <c r="M87" s="19" t="n"/>
      <c r="N87" s="19" t="n"/>
      <c r="O87" s="30">
        <f>IF(OR(M87="",N87=""),"",INDEX(RiskGrid,6-VALUE(LEFT(M87,1)),VALUE(LEFT(N87,1))))</f>
        <v/>
      </c>
      <c r="P87" s="30">
        <f>IF(O87="","",IF(O87&gt;=BandVH,"Very High",IF(O87&gt;=BandHigh,"High",IF(O87&gt;=BandMed,"Medium","Low"))))</f>
        <v/>
      </c>
      <c r="Q87" s="4" t="n"/>
      <c r="R87" s="19" t="n"/>
      <c r="S87" s="4" t="n"/>
      <c r="T87" s="19" t="n"/>
      <c r="U87" s="4" t="n"/>
      <c r="V87" s="19" t="n"/>
      <c r="W87" s="4" t="n"/>
      <c r="X87" s="19" t="n"/>
      <c r="Y87" s="4" t="n"/>
      <c r="Z87" s="19" t="n"/>
      <c r="AA87" s="4" t="n"/>
      <c r="AB87" s="19" t="n"/>
      <c r="AC87" s="5">
        <f>_xlfn.TEXTJOIN(CHAR(10),TRUE,IF(Q87="","","• "&amp;Q87&amp;IF(R87="Yes","  [IPL]","")),IF(S87="","","• "&amp;S87&amp;IF(T87="Yes","  [IPL]","")),IF(U87="","","• "&amp;U87&amp;IF(V87="Yes","  [IPL]","")),IF(W87="","","• "&amp;W87&amp;IF(X87="Yes","  [IPL]","")),IF(Y87="","","• "&amp;Y87&amp;IF(Z87="Yes","  [IPL]","")),IF(AA87="","","• "&amp;AA87&amp;IF(AB87="Yes","  [IPL]","")))</f>
        <v/>
      </c>
      <c r="AD87" s="30">
        <f>IF(AC87="","",COUNTIF(Q87:AB87,"Yes"))</f>
        <v/>
      </c>
      <c r="AE87" s="19" t="n"/>
      <c r="AF87" s="19" t="n"/>
      <c r="AG87" s="30">
        <f>IF(OR(AE87="",AF87=""),"",INDEX(RiskGrid,6-VALUE(LEFT(AE87,1)),VALUE(LEFT(AF87,1))))</f>
        <v/>
      </c>
      <c r="AH87" s="30">
        <f>IF(AG87="","",IF(AG87&gt;=BandVH,"Very High",IF(AG87&gt;=BandHigh,"High",IF(AG87&gt;=BandMed,"Medium","Low"))))</f>
        <v/>
      </c>
      <c r="AI87" s="4" t="n"/>
      <c r="AJ87" s="4" t="n"/>
    </row>
    <row r="88">
      <c r="A88" s="30">
        <f>IF(B88="","",COUNTIF(B$14:B88,"?*"))</f>
        <v/>
      </c>
      <c r="B88" s="4" t="n"/>
      <c r="C88" s="19" t="n"/>
      <c r="D88" s="5">
        <f>IF(OR(B88="",C88=""),"",UPPER(LEFT(C88,1))&amp;LOWER(MID(C88,2,30))&amp;" "&amp;LOWER(LEFT(B88,1))&amp;MID(B88,2,200))</f>
        <v/>
      </c>
      <c r="E88" s="4" t="n"/>
      <c r="F88" s="4" t="n"/>
      <c r="G88" s="4" t="n"/>
      <c r="H88" s="4" t="n"/>
      <c r="I88" s="4" t="n"/>
      <c r="J88" s="4" t="n"/>
      <c r="K88" s="5">
        <f>_xlfn.TEXTJOIN(CHAR(10),TRUE,IF(E88="","","• "&amp;E88),IF(F88="","","• "&amp;F88),IF(G88="","","• "&amp;G88),IF(H88="","","• "&amp;H88),IF(I88="","","• "&amp;I88),IF(J88="","","• "&amp;J88))</f>
        <v/>
      </c>
      <c r="L88" s="4" t="n"/>
      <c r="M88" s="19" t="n"/>
      <c r="N88" s="19" t="n"/>
      <c r="O88" s="30">
        <f>IF(OR(M88="",N88=""),"",INDEX(RiskGrid,6-VALUE(LEFT(M88,1)),VALUE(LEFT(N88,1))))</f>
        <v/>
      </c>
      <c r="P88" s="30">
        <f>IF(O88="","",IF(O88&gt;=BandVH,"Very High",IF(O88&gt;=BandHigh,"High",IF(O88&gt;=BandMed,"Medium","Low"))))</f>
        <v/>
      </c>
      <c r="Q88" s="4" t="n"/>
      <c r="R88" s="19" t="n"/>
      <c r="S88" s="4" t="n"/>
      <c r="T88" s="19" t="n"/>
      <c r="U88" s="4" t="n"/>
      <c r="V88" s="19" t="n"/>
      <c r="W88" s="4" t="n"/>
      <c r="X88" s="19" t="n"/>
      <c r="Y88" s="4" t="n"/>
      <c r="Z88" s="19" t="n"/>
      <c r="AA88" s="4" t="n"/>
      <c r="AB88" s="19" t="n"/>
      <c r="AC88" s="5">
        <f>_xlfn.TEXTJOIN(CHAR(10),TRUE,IF(Q88="","","• "&amp;Q88&amp;IF(R88="Yes","  [IPL]","")),IF(S88="","","• "&amp;S88&amp;IF(T88="Yes","  [IPL]","")),IF(U88="","","• "&amp;U88&amp;IF(V88="Yes","  [IPL]","")),IF(W88="","","• "&amp;W88&amp;IF(X88="Yes","  [IPL]","")),IF(Y88="","","• "&amp;Y88&amp;IF(Z88="Yes","  [IPL]","")),IF(AA88="","","• "&amp;AA88&amp;IF(AB88="Yes","  [IPL]","")))</f>
        <v/>
      </c>
      <c r="AD88" s="30">
        <f>IF(AC88="","",COUNTIF(Q88:AB88,"Yes"))</f>
        <v/>
      </c>
      <c r="AE88" s="19" t="n"/>
      <c r="AF88" s="19" t="n"/>
      <c r="AG88" s="30">
        <f>IF(OR(AE88="",AF88=""),"",INDEX(RiskGrid,6-VALUE(LEFT(AE88,1)),VALUE(LEFT(AF88,1))))</f>
        <v/>
      </c>
      <c r="AH88" s="30">
        <f>IF(AG88="","",IF(AG88&gt;=BandVH,"Very High",IF(AG88&gt;=BandHigh,"High",IF(AG88&gt;=BandMed,"Medium","Low"))))</f>
        <v/>
      </c>
      <c r="AI88" s="4" t="n"/>
      <c r="AJ88" s="4" t="n"/>
    </row>
    <row r="89">
      <c r="A89" s="30">
        <f>IF(B89="","",COUNTIF(B$14:B89,"?*"))</f>
        <v/>
      </c>
      <c r="B89" s="4" t="n"/>
      <c r="C89" s="19" t="n"/>
      <c r="D89" s="5">
        <f>IF(OR(B89="",C89=""),"",UPPER(LEFT(C89,1))&amp;LOWER(MID(C89,2,30))&amp;" "&amp;LOWER(LEFT(B89,1))&amp;MID(B89,2,200))</f>
        <v/>
      </c>
      <c r="E89" s="4" t="n"/>
      <c r="F89" s="4" t="n"/>
      <c r="G89" s="4" t="n"/>
      <c r="H89" s="4" t="n"/>
      <c r="I89" s="4" t="n"/>
      <c r="J89" s="4" t="n"/>
      <c r="K89" s="5">
        <f>_xlfn.TEXTJOIN(CHAR(10),TRUE,IF(E89="","","• "&amp;E89),IF(F89="","","• "&amp;F89),IF(G89="","","• "&amp;G89),IF(H89="","","• "&amp;H89),IF(I89="","","• "&amp;I89),IF(J89="","","• "&amp;J89))</f>
        <v/>
      </c>
      <c r="L89" s="4" t="n"/>
      <c r="M89" s="19" t="n"/>
      <c r="N89" s="19" t="n"/>
      <c r="O89" s="30">
        <f>IF(OR(M89="",N89=""),"",INDEX(RiskGrid,6-VALUE(LEFT(M89,1)),VALUE(LEFT(N89,1))))</f>
        <v/>
      </c>
      <c r="P89" s="30">
        <f>IF(O89="","",IF(O89&gt;=BandVH,"Very High",IF(O89&gt;=BandHigh,"High",IF(O89&gt;=BandMed,"Medium","Low"))))</f>
        <v/>
      </c>
      <c r="Q89" s="4" t="n"/>
      <c r="R89" s="19" t="n"/>
      <c r="S89" s="4" t="n"/>
      <c r="T89" s="19" t="n"/>
      <c r="U89" s="4" t="n"/>
      <c r="V89" s="19" t="n"/>
      <c r="W89" s="4" t="n"/>
      <c r="X89" s="19" t="n"/>
      <c r="Y89" s="4" t="n"/>
      <c r="Z89" s="19" t="n"/>
      <c r="AA89" s="4" t="n"/>
      <c r="AB89" s="19" t="n"/>
      <c r="AC89" s="5">
        <f>_xlfn.TEXTJOIN(CHAR(10),TRUE,IF(Q89="","","• "&amp;Q89&amp;IF(R89="Yes","  [IPL]","")),IF(S89="","","• "&amp;S89&amp;IF(T89="Yes","  [IPL]","")),IF(U89="","","• "&amp;U89&amp;IF(V89="Yes","  [IPL]","")),IF(W89="","","• "&amp;W89&amp;IF(X89="Yes","  [IPL]","")),IF(Y89="","","• "&amp;Y89&amp;IF(Z89="Yes","  [IPL]","")),IF(AA89="","","• "&amp;AA89&amp;IF(AB89="Yes","  [IPL]","")))</f>
        <v/>
      </c>
      <c r="AD89" s="30">
        <f>IF(AC89="","",COUNTIF(Q89:AB89,"Yes"))</f>
        <v/>
      </c>
      <c r="AE89" s="19" t="n"/>
      <c r="AF89" s="19" t="n"/>
      <c r="AG89" s="30">
        <f>IF(OR(AE89="",AF89=""),"",INDEX(RiskGrid,6-VALUE(LEFT(AE89,1)),VALUE(LEFT(AF89,1))))</f>
        <v/>
      </c>
      <c r="AH89" s="30">
        <f>IF(AG89="","",IF(AG89&gt;=BandVH,"Very High",IF(AG89&gt;=BandHigh,"High",IF(AG89&gt;=BandMed,"Medium","Low"))))</f>
        <v/>
      </c>
      <c r="AI89" s="4" t="n"/>
      <c r="AJ89" s="4" t="n"/>
    </row>
    <row r="90">
      <c r="A90" s="30">
        <f>IF(B90="","",COUNTIF(B$14:B90,"?*"))</f>
        <v/>
      </c>
      <c r="B90" s="4" t="n"/>
      <c r="C90" s="19" t="n"/>
      <c r="D90" s="5">
        <f>IF(OR(B90="",C90=""),"",UPPER(LEFT(C90,1))&amp;LOWER(MID(C90,2,30))&amp;" "&amp;LOWER(LEFT(B90,1))&amp;MID(B90,2,200))</f>
        <v/>
      </c>
      <c r="E90" s="4" t="n"/>
      <c r="F90" s="4" t="n"/>
      <c r="G90" s="4" t="n"/>
      <c r="H90" s="4" t="n"/>
      <c r="I90" s="4" t="n"/>
      <c r="J90" s="4" t="n"/>
      <c r="K90" s="5">
        <f>_xlfn.TEXTJOIN(CHAR(10),TRUE,IF(E90="","","• "&amp;E90),IF(F90="","","• "&amp;F90),IF(G90="","","• "&amp;G90),IF(H90="","","• "&amp;H90),IF(I90="","","• "&amp;I90),IF(J90="","","• "&amp;J90))</f>
        <v/>
      </c>
      <c r="L90" s="4" t="n"/>
      <c r="M90" s="19" t="n"/>
      <c r="N90" s="19" t="n"/>
      <c r="O90" s="30">
        <f>IF(OR(M90="",N90=""),"",INDEX(RiskGrid,6-VALUE(LEFT(M90,1)),VALUE(LEFT(N90,1))))</f>
        <v/>
      </c>
      <c r="P90" s="30">
        <f>IF(O90="","",IF(O90&gt;=BandVH,"Very High",IF(O90&gt;=BandHigh,"High",IF(O90&gt;=BandMed,"Medium","Low"))))</f>
        <v/>
      </c>
      <c r="Q90" s="4" t="n"/>
      <c r="R90" s="19" t="n"/>
      <c r="S90" s="4" t="n"/>
      <c r="T90" s="19" t="n"/>
      <c r="U90" s="4" t="n"/>
      <c r="V90" s="19" t="n"/>
      <c r="W90" s="4" t="n"/>
      <c r="X90" s="19" t="n"/>
      <c r="Y90" s="4" t="n"/>
      <c r="Z90" s="19" t="n"/>
      <c r="AA90" s="4" t="n"/>
      <c r="AB90" s="19" t="n"/>
      <c r="AC90" s="5">
        <f>_xlfn.TEXTJOIN(CHAR(10),TRUE,IF(Q90="","","• "&amp;Q90&amp;IF(R90="Yes","  [IPL]","")),IF(S90="","","• "&amp;S90&amp;IF(T90="Yes","  [IPL]","")),IF(U90="","","• "&amp;U90&amp;IF(V90="Yes","  [IPL]","")),IF(W90="","","• "&amp;W90&amp;IF(X90="Yes","  [IPL]","")),IF(Y90="","","• "&amp;Y90&amp;IF(Z90="Yes","  [IPL]","")),IF(AA90="","","• "&amp;AA90&amp;IF(AB90="Yes","  [IPL]","")))</f>
        <v/>
      </c>
      <c r="AD90" s="30">
        <f>IF(AC90="","",COUNTIF(Q90:AB90,"Yes"))</f>
        <v/>
      </c>
      <c r="AE90" s="19" t="n"/>
      <c r="AF90" s="19" t="n"/>
      <c r="AG90" s="30">
        <f>IF(OR(AE90="",AF90=""),"",INDEX(RiskGrid,6-VALUE(LEFT(AE90,1)),VALUE(LEFT(AF90,1))))</f>
        <v/>
      </c>
      <c r="AH90" s="30">
        <f>IF(AG90="","",IF(AG90&gt;=BandVH,"Very High",IF(AG90&gt;=BandHigh,"High",IF(AG90&gt;=BandMed,"Medium","Low"))))</f>
        <v/>
      </c>
      <c r="AI90" s="4" t="n"/>
      <c r="AJ90" s="4" t="n"/>
    </row>
    <row r="91">
      <c r="A91" s="30">
        <f>IF(B91="","",COUNTIF(B$14:B91,"?*"))</f>
        <v/>
      </c>
      <c r="B91" s="4" t="n"/>
      <c r="C91" s="19" t="n"/>
      <c r="D91" s="5">
        <f>IF(OR(B91="",C91=""),"",UPPER(LEFT(C91,1))&amp;LOWER(MID(C91,2,30))&amp;" "&amp;LOWER(LEFT(B91,1))&amp;MID(B91,2,200))</f>
        <v/>
      </c>
      <c r="E91" s="4" t="n"/>
      <c r="F91" s="4" t="n"/>
      <c r="G91" s="4" t="n"/>
      <c r="H91" s="4" t="n"/>
      <c r="I91" s="4" t="n"/>
      <c r="J91" s="4" t="n"/>
      <c r="K91" s="5">
        <f>_xlfn.TEXTJOIN(CHAR(10),TRUE,IF(E91="","","• "&amp;E91),IF(F91="","","• "&amp;F91),IF(G91="","","• "&amp;G91),IF(H91="","","• "&amp;H91),IF(I91="","","• "&amp;I91),IF(J91="","","• "&amp;J91))</f>
        <v/>
      </c>
      <c r="L91" s="4" t="n"/>
      <c r="M91" s="19" t="n"/>
      <c r="N91" s="19" t="n"/>
      <c r="O91" s="30">
        <f>IF(OR(M91="",N91=""),"",INDEX(RiskGrid,6-VALUE(LEFT(M91,1)),VALUE(LEFT(N91,1))))</f>
        <v/>
      </c>
      <c r="P91" s="30">
        <f>IF(O91="","",IF(O91&gt;=BandVH,"Very High",IF(O91&gt;=BandHigh,"High",IF(O91&gt;=BandMed,"Medium","Low"))))</f>
        <v/>
      </c>
      <c r="Q91" s="4" t="n"/>
      <c r="R91" s="19" t="n"/>
      <c r="S91" s="4" t="n"/>
      <c r="T91" s="19" t="n"/>
      <c r="U91" s="4" t="n"/>
      <c r="V91" s="19" t="n"/>
      <c r="W91" s="4" t="n"/>
      <c r="X91" s="19" t="n"/>
      <c r="Y91" s="4" t="n"/>
      <c r="Z91" s="19" t="n"/>
      <c r="AA91" s="4" t="n"/>
      <c r="AB91" s="19" t="n"/>
      <c r="AC91" s="5">
        <f>_xlfn.TEXTJOIN(CHAR(10),TRUE,IF(Q91="","","• "&amp;Q91&amp;IF(R91="Yes","  [IPL]","")),IF(S91="","","• "&amp;S91&amp;IF(T91="Yes","  [IPL]","")),IF(U91="","","• "&amp;U91&amp;IF(V91="Yes","  [IPL]","")),IF(W91="","","• "&amp;W91&amp;IF(X91="Yes","  [IPL]","")),IF(Y91="","","• "&amp;Y91&amp;IF(Z91="Yes","  [IPL]","")),IF(AA91="","","• "&amp;AA91&amp;IF(AB91="Yes","  [IPL]","")))</f>
        <v/>
      </c>
      <c r="AD91" s="30">
        <f>IF(AC91="","",COUNTIF(Q91:AB91,"Yes"))</f>
        <v/>
      </c>
      <c r="AE91" s="19" t="n"/>
      <c r="AF91" s="19" t="n"/>
      <c r="AG91" s="30">
        <f>IF(OR(AE91="",AF91=""),"",INDEX(RiskGrid,6-VALUE(LEFT(AE91,1)),VALUE(LEFT(AF91,1))))</f>
        <v/>
      </c>
      <c r="AH91" s="30">
        <f>IF(AG91="","",IF(AG91&gt;=BandVH,"Very High",IF(AG91&gt;=BandHigh,"High",IF(AG91&gt;=BandMed,"Medium","Low"))))</f>
        <v/>
      </c>
      <c r="AI91" s="4" t="n"/>
      <c r="AJ91" s="4" t="n"/>
    </row>
    <row r="92">
      <c r="A92" s="30">
        <f>IF(B92="","",COUNTIF(B$14:B92,"?*"))</f>
        <v/>
      </c>
      <c r="B92" s="4" t="n"/>
      <c r="C92" s="19" t="n"/>
      <c r="D92" s="5">
        <f>IF(OR(B92="",C92=""),"",UPPER(LEFT(C92,1))&amp;LOWER(MID(C92,2,30))&amp;" "&amp;LOWER(LEFT(B92,1))&amp;MID(B92,2,200))</f>
        <v/>
      </c>
      <c r="E92" s="4" t="n"/>
      <c r="F92" s="4" t="n"/>
      <c r="G92" s="4" t="n"/>
      <c r="H92" s="4" t="n"/>
      <c r="I92" s="4" t="n"/>
      <c r="J92" s="4" t="n"/>
      <c r="K92" s="5">
        <f>_xlfn.TEXTJOIN(CHAR(10),TRUE,IF(E92="","","• "&amp;E92),IF(F92="","","• "&amp;F92),IF(G92="","","• "&amp;G92),IF(H92="","","• "&amp;H92),IF(I92="","","• "&amp;I92),IF(J92="","","• "&amp;J92))</f>
        <v/>
      </c>
      <c r="L92" s="4" t="n"/>
      <c r="M92" s="19" t="n"/>
      <c r="N92" s="19" t="n"/>
      <c r="O92" s="30">
        <f>IF(OR(M92="",N92=""),"",INDEX(RiskGrid,6-VALUE(LEFT(M92,1)),VALUE(LEFT(N92,1))))</f>
        <v/>
      </c>
      <c r="P92" s="30">
        <f>IF(O92="","",IF(O92&gt;=BandVH,"Very High",IF(O92&gt;=BandHigh,"High",IF(O92&gt;=BandMed,"Medium","Low"))))</f>
        <v/>
      </c>
      <c r="Q92" s="4" t="n"/>
      <c r="R92" s="19" t="n"/>
      <c r="S92" s="4" t="n"/>
      <c r="T92" s="19" t="n"/>
      <c r="U92" s="4" t="n"/>
      <c r="V92" s="19" t="n"/>
      <c r="W92" s="4" t="n"/>
      <c r="X92" s="19" t="n"/>
      <c r="Y92" s="4" t="n"/>
      <c r="Z92" s="19" t="n"/>
      <c r="AA92" s="4" t="n"/>
      <c r="AB92" s="19" t="n"/>
      <c r="AC92" s="5">
        <f>_xlfn.TEXTJOIN(CHAR(10),TRUE,IF(Q92="","","• "&amp;Q92&amp;IF(R92="Yes","  [IPL]","")),IF(S92="","","• "&amp;S92&amp;IF(T92="Yes","  [IPL]","")),IF(U92="","","• "&amp;U92&amp;IF(V92="Yes","  [IPL]","")),IF(W92="","","• "&amp;W92&amp;IF(X92="Yes","  [IPL]","")),IF(Y92="","","• "&amp;Y92&amp;IF(Z92="Yes","  [IPL]","")),IF(AA92="","","• "&amp;AA92&amp;IF(AB92="Yes","  [IPL]","")))</f>
        <v/>
      </c>
      <c r="AD92" s="30">
        <f>IF(AC92="","",COUNTIF(Q92:AB92,"Yes"))</f>
        <v/>
      </c>
      <c r="AE92" s="19" t="n"/>
      <c r="AF92" s="19" t="n"/>
      <c r="AG92" s="30">
        <f>IF(OR(AE92="",AF92=""),"",INDEX(RiskGrid,6-VALUE(LEFT(AE92,1)),VALUE(LEFT(AF92,1))))</f>
        <v/>
      </c>
      <c r="AH92" s="30">
        <f>IF(AG92="","",IF(AG92&gt;=BandVH,"Very High",IF(AG92&gt;=BandHigh,"High",IF(AG92&gt;=BandMed,"Medium","Low"))))</f>
        <v/>
      </c>
      <c r="AI92" s="4" t="n"/>
      <c r="AJ92" s="4" t="n"/>
    </row>
    <row r="93">
      <c r="A93" s="30">
        <f>IF(B93="","",COUNTIF(B$14:B93,"?*"))</f>
        <v/>
      </c>
      <c r="B93" s="4" t="n"/>
      <c r="C93" s="19" t="n"/>
      <c r="D93" s="5">
        <f>IF(OR(B93="",C93=""),"",UPPER(LEFT(C93,1))&amp;LOWER(MID(C93,2,30))&amp;" "&amp;LOWER(LEFT(B93,1))&amp;MID(B93,2,200))</f>
        <v/>
      </c>
      <c r="E93" s="4" t="n"/>
      <c r="F93" s="4" t="n"/>
      <c r="G93" s="4" t="n"/>
      <c r="H93" s="4" t="n"/>
      <c r="I93" s="4" t="n"/>
      <c r="J93" s="4" t="n"/>
      <c r="K93" s="5">
        <f>_xlfn.TEXTJOIN(CHAR(10),TRUE,IF(E93="","","• "&amp;E93),IF(F93="","","• "&amp;F93),IF(G93="","","• "&amp;G93),IF(H93="","","• "&amp;H93),IF(I93="","","• "&amp;I93),IF(J93="","","• "&amp;J93))</f>
        <v/>
      </c>
      <c r="L93" s="4" t="n"/>
      <c r="M93" s="19" t="n"/>
      <c r="N93" s="19" t="n"/>
      <c r="O93" s="30">
        <f>IF(OR(M93="",N93=""),"",INDEX(RiskGrid,6-VALUE(LEFT(M93,1)),VALUE(LEFT(N93,1))))</f>
        <v/>
      </c>
      <c r="P93" s="30">
        <f>IF(O93="","",IF(O93&gt;=BandVH,"Very High",IF(O93&gt;=BandHigh,"High",IF(O93&gt;=BandMed,"Medium","Low"))))</f>
        <v/>
      </c>
      <c r="Q93" s="4" t="n"/>
      <c r="R93" s="19" t="n"/>
      <c r="S93" s="4" t="n"/>
      <c r="T93" s="19" t="n"/>
      <c r="U93" s="4" t="n"/>
      <c r="V93" s="19" t="n"/>
      <c r="W93" s="4" t="n"/>
      <c r="X93" s="19" t="n"/>
      <c r="Y93" s="4" t="n"/>
      <c r="Z93" s="19" t="n"/>
      <c r="AA93" s="4" t="n"/>
      <c r="AB93" s="19" t="n"/>
      <c r="AC93" s="5">
        <f>_xlfn.TEXTJOIN(CHAR(10),TRUE,IF(Q93="","","• "&amp;Q93&amp;IF(R93="Yes","  [IPL]","")),IF(S93="","","• "&amp;S93&amp;IF(T93="Yes","  [IPL]","")),IF(U93="","","• "&amp;U93&amp;IF(V93="Yes","  [IPL]","")),IF(W93="","","• "&amp;W93&amp;IF(X93="Yes","  [IPL]","")),IF(Y93="","","• "&amp;Y93&amp;IF(Z93="Yes","  [IPL]","")),IF(AA93="","","• "&amp;AA93&amp;IF(AB93="Yes","  [IPL]","")))</f>
        <v/>
      </c>
      <c r="AD93" s="30">
        <f>IF(AC93="","",COUNTIF(Q93:AB93,"Yes"))</f>
        <v/>
      </c>
      <c r="AE93" s="19" t="n"/>
      <c r="AF93" s="19" t="n"/>
      <c r="AG93" s="30">
        <f>IF(OR(AE93="",AF93=""),"",INDEX(RiskGrid,6-VALUE(LEFT(AE93,1)),VALUE(LEFT(AF93,1))))</f>
        <v/>
      </c>
      <c r="AH93" s="30">
        <f>IF(AG93="","",IF(AG93&gt;=BandVH,"Very High",IF(AG93&gt;=BandHigh,"High",IF(AG93&gt;=BandMed,"Medium","Low"))))</f>
        <v/>
      </c>
      <c r="AI93" s="4" t="n"/>
      <c r="AJ93" s="4" t="n"/>
    </row>
    <row r="94">
      <c r="A94" s="30">
        <f>IF(B94="","",COUNTIF(B$14:B94,"?*"))</f>
        <v/>
      </c>
      <c r="B94" s="4" t="n"/>
      <c r="C94" s="19" t="n"/>
      <c r="D94" s="5">
        <f>IF(OR(B94="",C94=""),"",UPPER(LEFT(C94,1))&amp;LOWER(MID(C94,2,30))&amp;" "&amp;LOWER(LEFT(B94,1))&amp;MID(B94,2,200))</f>
        <v/>
      </c>
      <c r="E94" s="4" t="n"/>
      <c r="F94" s="4" t="n"/>
      <c r="G94" s="4" t="n"/>
      <c r="H94" s="4" t="n"/>
      <c r="I94" s="4" t="n"/>
      <c r="J94" s="4" t="n"/>
      <c r="K94" s="5">
        <f>_xlfn.TEXTJOIN(CHAR(10),TRUE,IF(E94="","","• "&amp;E94),IF(F94="","","• "&amp;F94),IF(G94="","","• "&amp;G94),IF(H94="","","• "&amp;H94),IF(I94="","","• "&amp;I94),IF(J94="","","• "&amp;J94))</f>
        <v/>
      </c>
      <c r="L94" s="4" t="n"/>
      <c r="M94" s="19" t="n"/>
      <c r="N94" s="19" t="n"/>
      <c r="O94" s="30">
        <f>IF(OR(M94="",N94=""),"",INDEX(RiskGrid,6-VALUE(LEFT(M94,1)),VALUE(LEFT(N94,1))))</f>
        <v/>
      </c>
      <c r="P94" s="30">
        <f>IF(O94="","",IF(O94&gt;=BandVH,"Very High",IF(O94&gt;=BandHigh,"High",IF(O94&gt;=BandMed,"Medium","Low"))))</f>
        <v/>
      </c>
      <c r="Q94" s="4" t="n"/>
      <c r="R94" s="19" t="n"/>
      <c r="S94" s="4" t="n"/>
      <c r="T94" s="19" t="n"/>
      <c r="U94" s="4" t="n"/>
      <c r="V94" s="19" t="n"/>
      <c r="W94" s="4" t="n"/>
      <c r="X94" s="19" t="n"/>
      <c r="Y94" s="4" t="n"/>
      <c r="Z94" s="19" t="n"/>
      <c r="AA94" s="4" t="n"/>
      <c r="AB94" s="19" t="n"/>
      <c r="AC94" s="5">
        <f>_xlfn.TEXTJOIN(CHAR(10),TRUE,IF(Q94="","","• "&amp;Q94&amp;IF(R94="Yes","  [IPL]","")),IF(S94="","","• "&amp;S94&amp;IF(T94="Yes","  [IPL]","")),IF(U94="","","• "&amp;U94&amp;IF(V94="Yes","  [IPL]","")),IF(W94="","","• "&amp;W94&amp;IF(X94="Yes","  [IPL]","")),IF(Y94="","","• "&amp;Y94&amp;IF(Z94="Yes","  [IPL]","")),IF(AA94="","","• "&amp;AA94&amp;IF(AB94="Yes","  [IPL]","")))</f>
        <v/>
      </c>
      <c r="AD94" s="30">
        <f>IF(AC94="","",COUNTIF(Q94:AB94,"Yes"))</f>
        <v/>
      </c>
      <c r="AE94" s="19" t="n"/>
      <c r="AF94" s="19" t="n"/>
      <c r="AG94" s="30">
        <f>IF(OR(AE94="",AF94=""),"",INDEX(RiskGrid,6-VALUE(LEFT(AE94,1)),VALUE(LEFT(AF94,1))))</f>
        <v/>
      </c>
      <c r="AH94" s="30">
        <f>IF(AG94="","",IF(AG94&gt;=BandVH,"Very High",IF(AG94&gt;=BandHigh,"High",IF(AG94&gt;=BandMed,"Medium","Low"))))</f>
        <v/>
      </c>
      <c r="AI94" s="4" t="n"/>
      <c r="AJ94" s="4" t="n"/>
    </row>
    <row r="95">
      <c r="A95" s="30">
        <f>IF(B95="","",COUNTIF(B$14:B95,"?*"))</f>
        <v/>
      </c>
      <c r="B95" s="4" t="n"/>
      <c r="C95" s="19" t="n"/>
      <c r="D95" s="5">
        <f>IF(OR(B95="",C95=""),"",UPPER(LEFT(C95,1))&amp;LOWER(MID(C95,2,30))&amp;" "&amp;LOWER(LEFT(B95,1))&amp;MID(B95,2,200))</f>
        <v/>
      </c>
      <c r="E95" s="4" t="n"/>
      <c r="F95" s="4" t="n"/>
      <c r="G95" s="4" t="n"/>
      <c r="H95" s="4" t="n"/>
      <c r="I95" s="4" t="n"/>
      <c r="J95" s="4" t="n"/>
      <c r="K95" s="5">
        <f>_xlfn.TEXTJOIN(CHAR(10),TRUE,IF(E95="","","• "&amp;E95),IF(F95="","","• "&amp;F95),IF(G95="","","• "&amp;G95),IF(H95="","","• "&amp;H95),IF(I95="","","• "&amp;I95),IF(J95="","","• "&amp;J95))</f>
        <v/>
      </c>
      <c r="L95" s="4" t="n"/>
      <c r="M95" s="19" t="n"/>
      <c r="N95" s="19" t="n"/>
      <c r="O95" s="30">
        <f>IF(OR(M95="",N95=""),"",INDEX(RiskGrid,6-VALUE(LEFT(M95,1)),VALUE(LEFT(N95,1))))</f>
        <v/>
      </c>
      <c r="P95" s="30">
        <f>IF(O95="","",IF(O95&gt;=BandVH,"Very High",IF(O95&gt;=BandHigh,"High",IF(O95&gt;=BandMed,"Medium","Low"))))</f>
        <v/>
      </c>
      <c r="Q95" s="4" t="n"/>
      <c r="R95" s="19" t="n"/>
      <c r="S95" s="4" t="n"/>
      <c r="T95" s="19" t="n"/>
      <c r="U95" s="4" t="n"/>
      <c r="V95" s="19" t="n"/>
      <c r="W95" s="4" t="n"/>
      <c r="X95" s="19" t="n"/>
      <c r="Y95" s="4" t="n"/>
      <c r="Z95" s="19" t="n"/>
      <c r="AA95" s="4" t="n"/>
      <c r="AB95" s="19" t="n"/>
      <c r="AC95" s="5">
        <f>_xlfn.TEXTJOIN(CHAR(10),TRUE,IF(Q95="","","• "&amp;Q95&amp;IF(R95="Yes","  [IPL]","")),IF(S95="","","• "&amp;S95&amp;IF(T95="Yes","  [IPL]","")),IF(U95="","","• "&amp;U95&amp;IF(V95="Yes","  [IPL]","")),IF(W95="","","• "&amp;W95&amp;IF(X95="Yes","  [IPL]","")),IF(Y95="","","• "&amp;Y95&amp;IF(Z95="Yes","  [IPL]","")),IF(AA95="","","• "&amp;AA95&amp;IF(AB95="Yes","  [IPL]","")))</f>
        <v/>
      </c>
      <c r="AD95" s="30">
        <f>IF(AC95="","",COUNTIF(Q95:AB95,"Yes"))</f>
        <v/>
      </c>
      <c r="AE95" s="19" t="n"/>
      <c r="AF95" s="19" t="n"/>
      <c r="AG95" s="30">
        <f>IF(OR(AE95="",AF95=""),"",INDEX(RiskGrid,6-VALUE(LEFT(AE95,1)),VALUE(LEFT(AF95,1))))</f>
        <v/>
      </c>
      <c r="AH95" s="30">
        <f>IF(AG95="","",IF(AG95&gt;=BandVH,"Very High",IF(AG95&gt;=BandHigh,"High",IF(AG95&gt;=BandMed,"Medium","Low"))))</f>
        <v/>
      </c>
      <c r="AI95" s="4" t="n"/>
      <c r="AJ95" s="4" t="n"/>
    </row>
    <row r="96">
      <c r="A96" s="30">
        <f>IF(B96="","",COUNTIF(B$14:B96,"?*"))</f>
        <v/>
      </c>
      <c r="B96" s="4" t="n"/>
      <c r="C96" s="19" t="n"/>
      <c r="D96" s="5">
        <f>IF(OR(B96="",C96=""),"",UPPER(LEFT(C96,1))&amp;LOWER(MID(C96,2,30))&amp;" "&amp;LOWER(LEFT(B96,1))&amp;MID(B96,2,200))</f>
        <v/>
      </c>
      <c r="E96" s="4" t="n"/>
      <c r="F96" s="4" t="n"/>
      <c r="G96" s="4" t="n"/>
      <c r="H96" s="4" t="n"/>
      <c r="I96" s="4" t="n"/>
      <c r="J96" s="4" t="n"/>
      <c r="K96" s="5">
        <f>_xlfn.TEXTJOIN(CHAR(10),TRUE,IF(E96="","","• "&amp;E96),IF(F96="","","• "&amp;F96),IF(G96="","","• "&amp;G96),IF(H96="","","• "&amp;H96),IF(I96="","","• "&amp;I96),IF(J96="","","• "&amp;J96))</f>
        <v/>
      </c>
      <c r="L96" s="4" t="n"/>
      <c r="M96" s="19" t="n"/>
      <c r="N96" s="19" t="n"/>
      <c r="O96" s="30">
        <f>IF(OR(M96="",N96=""),"",INDEX(RiskGrid,6-VALUE(LEFT(M96,1)),VALUE(LEFT(N96,1))))</f>
        <v/>
      </c>
      <c r="P96" s="30">
        <f>IF(O96="","",IF(O96&gt;=BandVH,"Very High",IF(O96&gt;=BandHigh,"High",IF(O96&gt;=BandMed,"Medium","Low"))))</f>
        <v/>
      </c>
      <c r="Q96" s="4" t="n"/>
      <c r="R96" s="19" t="n"/>
      <c r="S96" s="4" t="n"/>
      <c r="T96" s="19" t="n"/>
      <c r="U96" s="4" t="n"/>
      <c r="V96" s="19" t="n"/>
      <c r="W96" s="4" t="n"/>
      <c r="X96" s="19" t="n"/>
      <c r="Y96" s="4" t="n"/>
      <c r="Z96" s="19" t="n"/>
      <c r="AA96" s="4" t="n"/>
      <c r="AB96" s="19" t="n"/>
      <c r="AC96" s="5">
        <f>_xlfn.TEXTJOIN(CHAR(10),TRUE,IF(Q96="","","• "&amp;Q96&amp;IF(R96="Yes","  [IPL]","")),IF(S96="","","• "&amp;S96&amp;IF(T96="Yes","  [IPL]","")),IF(U96="","","• "&amp;U96&amp;IF(V96="Yes","  [IPL]","")),IF(W96="","","• "&amp;W96&amp;IF(X96="Yes","  [IPL]","")),IF(Y96="","","• "&amp;Y96&amp;IF(Z96="Yes","  [IPL]","")),IF(AA96="","","• "&amp;AA96&amp;IF(AB96="Yes","  [IPL]","")))</f>
        <v/>
      </c>
      <c r="AD96" s="30">
        <f>IF(AC96="","",COUNTIF(Q96:AB96,"Yes"))</f>
        <v/>
      </c>
      <c r="AE96" s="19" t="n"/>
      <c r="AF96" s="19" t="n"/>
      <c r="AG96" s="30">
        <f>IF(OR(AE96="",AF96=""),"",INDEX(RiskGrid,6-VALUE(LEFT(AE96,1)),VALUE(LEFT(AF96,1))))</f>
        <v/>
      </c>
      <c r="AH96" s="30">
        <f>IF(AG96="","",IF(AG96&gt;=BandVH,"Very High",IF(AG96&gt;=BandHigh,"High",IF(AG96&gt;=BandMed,"Medium","Low"))))</f>
        <v/>
      </c>
      <c r="AI96" s="4" t="n"/>
      <c r="AJ96" s="4" t="n"/>
    </row>
    <row r="97">
      <c r="A97" s="30">
        <f>IF(B97="","",COUNTIF(B$14:B97,"?*"))</f>
        <v/>
      </c>
      <c r="B97" s="4" t="n"/>
      <c r="C97" s="19" t="n"/>
      <c r="D97" s="5">
        <f>IF(OR(B97="",C97=""),"",UPPER(LEFT(C97,1))&amp;LOWER(MID(C97,2,30))&amp;" "&amp;LOWER(LEFT(B97,1))&amp;MID(B97,2,200))</f>
        <v/>
      </c>
      <c r="E97" s="4" t="n"/>
      <c r="F97" s="4" t="n"/>
      <c r="G97" s="4" t="n"/>
      <c r="H97" s="4" t="n"/>
      <c r="I97" s="4" t="n"/>
      <c r="J97" s="4" t="n"/>
      <c r="K97" s="5">
        <f>_xlfn.TEXTJOIN(CHAR(10),TRUE,IF(E97="","","• "&amp;E97),IF(F97="","","• "&amp;F97),IF(G97="","","• "&amp;G97),IF(H97="","","• "&amp;H97),IF(I97="","","• "&amp;I97),IF(J97="","","• "&amp;J97))</f>
        <v/>
      </c>
      <c r="L97" s="4" t="n"/>
      <c r="M97" s="19" t="n"/>
      <c r="N97" s="19" t="n"/>
      <c r="O97" s="30">
        <f>IF(OR(M97="",N97=""),"",INDEX(RiskGrid,6-VALUE(LEFT(M97,1)),VALUE(LEFT(N97,1))))</f>
        <v/>
      </c>
      <c r="P97" s="30">
        <f>IF(O97="","",IF(O97&gt;=BandVH,"Very High",IF(O97&gt;=BandHigh,"High",IF(O97&gt;=BandMed,"Medium","Low"))))</f>
        <v/>
      </c>
      <c r="Q97" s="4" t="n"/>
      <c r="R97" s="19" t="n"/>
      <c r="S97" s="4" t="n"/>
      <c r="T97" s="19" t="n"/>
      <c r="U97" s="4" t="n"/>
      <c r="V97" s="19" t="n"/>
      <c r="W97" s="4" t="n"/>
      <c r="X97" s="19" t="n"/>
      <c r="Y97" s="4" t="n"/>
      <c r="Z97" s="19" t="n"/>
      <c r="AA97" s="4" t="n"/>
      <c r="AB97" s="19" t="n"/>
      <c r="AC97" s="5">
        <f>_xlfn.TEXTJOIN(CHAR(10),TRUE,IF(Q97="","","• "&amp;Q97&amp;IF(R97="Yes","  [IPL]","")),IF(S97="","","• "&amp;S97&amp;IF(T97="Yes","  [IPL]","")),IF(U97="","","• "&amp;U97&amp;IF(V97="Yes","  [IPL]","")),IF(W97="","","• "&amp;W97&amp;IF(X97="Yes","  [IPL]","")),IF(Y97="","","• "&amp;Y97&amp;IF(Z97="Yes","  [IPL]","")),IF(AA97="","","• "&amp;AA97&amp;IF(AB97="Yes","  [IPL]","")))</f>
        <v/>
      </c>
      <c r="AD97" s="30">
        <f>IF(AC97="","",COUNTIF(Q97:AB97,"Yes"))</f>
        <v/>
      </c>
      <c r="AE97" s="19" t="n"/>
      <c r="AF97" s="19" t="n"/>
      <c r="AG97" s="30">
        <f>IF(OR(AE97="",AF97=""),"",INDEX(RiskGrid,6-VALUE(LEFT(AE97,1)),VALUE(LEFT(AF97,1))))</f>
        <v/>
      </c>
      <c r="AH97" s="30">
        <f>IF(AG97="","",IF(AG97&gt;=BandVH,"Very High",IF(AG97&gt;=BandHigh,"High",IF(AG97&gt;=BandMed,"Medium","Low"))))</f>
        <v/>
      </c>
      <c r="AI97" s="4" t="n"/>
      <c r="AJ97" s="4" t="n"/>
    </row>
    <row r="98">
      <c r="A98" s="30">
        <f>IF(B98="","",COUNTIF(B$14:B98,"?*"))</f>
        <v/>
      </c>
      <c r="B98" s="4" t="n"/>
      <c r="C98" s="19" t="n"/>
      <c r="D98" s="5">
        <f>IF(OR(B98="",C98=""),"",UPPER(LEFT(C98,1))&amp;LOWER(MID(C98,2,30))&amp;" "&amp;LOWER(LEFT(B98,1))&amp;MID(B98,2,200))</f>
        <v/>
      </c>
      <c r="E98" s="4" t="n"/>
      <c r="F98" s="4" t="n"/>
      <c r="G98" s="4" t="n"/>
      <c r="H98" s="4" t="n"/>
      <c r="I98" s="4" t="n"/>
      <c r="J98" s="4" t="n"/>
      <c r="K98" s="5">
        <f>_xlfn.TEXTJOIN(CHAR(10),TRUE,IF(E98="","","• "&amp;E98),IF(F98="","","• "&amp;F98),IF(G98="","","• "&amp;G98),IF(H98="","","• "&amp;H98),IF(I98="","","• "&amp;I98),IF(J98="","","• "&amp;J98))</f>
        <v/>
      </c>
      <c r="L98" s="4" t="n"/>
      <c r="M98" s="19" t="n"/>
      <c r="N98" s="19" t="n"/>
      <c r="O98" s="30">
        <f>IF(OR(M98="",N98=""),"",INDEX(RiskGrid,6-VALUE(LEFT(M98,1)),VALUE(LEFT(N98,1))))</f>
        <v/>
      </c>
      <c r="P98" s="30">
        <f>IF(O98="","",IF(O98&gt;=BandVH,"Very High",IF(O98&gt;=BandHigh,"High",IF(O98&gt;=BandMed,"Medium","Low"))))</f>
        <v/>
      </c>
      <c r="Q98" s="4" t="n"/>
      <c r="R98" s="19" t="n"/>
      <c r="S98" s="4" t="n"/>
      <c r="T98" s="19" t="n"/>
      <c r="U98" s="4" t="n"/>
      <c r="V98" s="19" t="n"/>
      <c r="W98" s="4" t="n"/>
      <c r="X98" s="19" t="n"/>
      <c r="Y98" s="4" t="n"/>
      <c r="Z98" s="19" t="n"/>
      <c r="AA98" s="4" t="n"/>
      <c r="AB98" s="19" t="n"/>
      <c r="AC98" s="5">
        <f>_xlfn.TEXTJOIN(CHAR(10),TRUE,IF(Q98="","","• "&amp;Q98&amp;IF(R98="Yes","  [IPL]","")),IF(S98="","","• "&amp;S98&amp;IF(T98="Yes","  [IPL]","")),IF(U98="","","• "&amp;U98&amp;IF(V98="Yes","  [IPL]","")),IF(W98="","","• "&amp;W98&amp;IF(X98="Yes","  [IPL]","")),IF(Y98="","","• "&amp;Y98&amp;IF(Z98="Yes","  [IPL]","")),IF(AA98="","","• "&amp;AA98&amp;IF(AB98="Yes","  [IPL]","")))</f>
        <v/>
      </c>
      <c r="AD98" s="30">
        <f>IF(AC98="","",COUNTIF(Q98:AB98,"Yes"))</f>
        <v/>
      </c>
      <c r="AE98" s="19" t="n"/>
      <c r="AF98" s="19" t="n"/>
      <c r="AG98" s="30">
        <f>IF(OR(AE98="",AF98=""),"",INDEX(RiskGrid,6-VALUE(LEFT(AE98,1)),VALUE(LEFT(AF98,1))))</f>
        <v/>
      </c>
      <c r="AH98" s="30">
        <f>IF(AG98="","",IF(AG98&gt;=BandVH,"Very High",IF(AG98&gt;=BandHigh,"High",IF(AG98&gt;=BandMed,"Medium","Low"))))</f>
        <v/>
      </c>
      <c r="AI98" s="4" t="n"/>
      <c r="AJ98" s="4" t="n"/>
    </row>
    <row r="99">
      <c r="A99" s="30">
        <f>IF(B99="","",COUNTIF(B$14:B99,"?*"))</f>
        <v/>
      </c>
      <c r="B99" s="4" t="n"/>
      <c r="C99" s="19" t="n"/>
      <c r="D99" s="5">
        <f>IF(OR(B99="",C99=""),"",UPPER(LEFT(C99,1))&amp;LOWER(MID(C99,2,30))&amp;" "&amp;LOWER(LEFT(B99,1))&amp;MID(B99,2,200))</f>
        <v/>
      </c>
      <c r="E99" s="4" t="n"/>
      <c r="F99" s="4" t="n"/>
      <c r="G99" s="4" t="n"/>
      <c r="H99" s="4" t="n"/>
      <c r="I99" s="4" t="n"/>
      <c r="J99" s="4" t="n"/>
      <c r="K99" s="5">
        <f>_xlfn.TEXTJOIN(CHAR(10),TRUE,IF(E99="","","• "&amp;E99),IF(F99="","","• "&amp;F99),IF(G99="","","• "&amp;G99),IF(H99="","","• "&amp;H99),IF(I99="","","• "&amp;I99),IF(J99="","","• "&amp;J99))</f>
        <v/>
      </c>
      <c r="L99" s="4" t="n"/>
      <c r="M99" s="19" t="n"/>
      <c r="N99" s="19" t="n"/>
      <c r="O99" s="30">
        <f>IF(OR(M99="",N99=""),"",INDEX(RiskGrid,6-VALUE(LEFT(M99,1)),VALUE(LEFT(N99,1))))</f>
        <v/>
      </c>
      <c r="P99" s="30">
        <f>IF(O99="","",IF(O99&gt;=BandVH,"Very High",IF(O99&gt;=BandHigh,"High",IF(O99&gt;=BandMed,"Medium","Low"))))</f>
        <v/>
      </c>
      <c r="Q99" s="4" t="n"/>
      <c r="R99" s="19" t="n"/>
      <c r="S99" s="4" t="n"/>
      <c r="T99" s="19" t="n"/>
      <c r="U99" s="4" t="n"/>
      <c r="V99" s="19" t="n"/>
      <c r="W99" s="4" t="n"/>
      <c r="X99" s="19" t="n"/>
      <c r="Y99" s="4" t="n"/>
      <c r="Z99" s="19" t="n"/>
      <c r="AA99" s="4" t="n"/>
      <c r="AB99" s="19" t="n"/>
      <c r="AC99" s="5">
        <f>_xlfn.TEXTJOIN(CHAR(10),TRUE,IF(Q99="","","• "&amp;Q99&amp;IF(R99="Yes","  [IPL]","")),IF(S99="","","• "&amp;S99&amp;IF(T99="Yes","  [IPL]","")),IF(U99="","","• "&amp;U99&amp;IF(V99="Yes","  [IPL]","")),IF(W99="","","• "&amp;W99&amp;IF(X99="Yes","  [IPL]","")),IF(Y99="","","• "&amp;Y99&amp;IF(Z99="Yes","  [IPL]","")),IF(AA99="","","• "&amp;AA99&amp;IF(AB99="Yes","  [IPL]","")))</f>
        <v/>
      </c>
      <c r="AD99" s="30">
        <f>IF(AC99="","",COUNTIF(Q99:AB99,"Yes"))</f>
        <v/>
      </c>
      <c r="AE99" s="19" t="n"/>
      <c r="AF99" s="19" t="n"/>
      <c r="AG99" s="30">
        <f>IF(OR(AE99="",AF99=""),"",INDEX(RiskGrid,6-VALUE(LEFT(AE99,1)),VALUE(LEFT(AF99,1))))</f>
        <v/>
      </c>
      <c r="AH99" s="30">
        <f>IF(AG99="","",IF(AG99&gt;=BandVH,"Very High",IF(AG99&gt;=BandHigh,"High",IF(AG99&gt;=BandMed,"Medium","Low"))))</f>
        <v/>
      </c>
      <c r="AI99" s="4" t="n"/>
      <c r="AJ99" s="4" t="n"/>
    </row>
    <row r="100">
      <c r="A100" s="30">
        <f>IF(B100="","",COUNTIF(B$14:B100,"?*"))</f>
        <v/>
      </c>
      <c r="B100" s="4" t="n"/>
      <c r="C100" s="19" t="n"/>
      <c r="D100" s="5">
        <f>IF(OR(B100="",C100=""),"",UPPER(LEFT(C100,1))&amp;LOWER(MID(C100,2,30))&amp;" "&amp;LOWER(LEFT(B100,1))&amp;MID(B100,2,200))</f>
        <v/>
      </c>
      <c r="E100" s="4" t="n"/>
      <c r="F100" s="4" t="n"/>
      <c r="G100" s="4" t="n"/>
      <c r="H100" s="4" t="n"/>
      <c r="I100" s="4" t="n"/>
      <c r="J100" s="4" t="n"/>
      <c r="K100" s="5">
        <f>_xlfn.TEXTJOIN(CHAR(10),TRUE,IF(E100="","","• "&amp;E100),IF(F100="","","• "&amp;F100),IF(G100="","","• "&amp;G100),IF(H100="","","• "&amp;H100),IF(I100="","","• "&amp;I100),IF(J100="","","• "&amp;J100))</f>
        <v/>
      </c>
      <c r="L100" s="4" t="n"/>
      <c r="M100" s="19" t="n"/>
      <c r="N100" s="19" t="n"/>
      <c r="O100" s="30">
        <f>IF(OR(M100="",N100=""),"",INDEX(RiskGrid,6-VALUE(LEFT(M100,1)),VALUE(LEFT(N100,1))))</f>
        <v/>
      </c>
      <c r="P100" s="30">
        <f>IF(O100="","",IF(O100&gt;=BandVH,"Very High",IF(O100&gt;=BandHigh,"High",IF(O100&gt;=BandMed,"Medium","Low"))))</f>
        <v/>
      </c>
      <c r="Q100" s="4" t="n"/>
      <c r="R100" s="19" t="n"/>
      <c r="S100" s="4" t="n"/>
      <c r="T100" s="19" t="n"/>
      <c r="U100" s="4" t="n"/>
      <c r="V100" s="19" t="n"/>
      <c r="W100" s="4" t="n"/>
      <c r="X100" s="19" t="n"/>
      <c r="Y100" s="4" t="n"/>
      <c r="Z100" s="19" t="n"/>
      <c r="AA100" s="4" t="n"/>
      <c r="AB100" s="19" t="n"/>
      <c r="AC100" s="5">
        <f>_xlfn.TEXTJOIN(CHAR(10),TRUE,IF(Q100="","","• "&amp;Q100&amp;IF(R100="Yes","  [IPL]","")),IF(S100="","","• "&amp;S100&amp;IF(T100="Yes","  [IPL]","")),IF(U100="","","• "&amp;U100&amp;IF(V100="Yes","  [IPL]","")),IF(W100="","","• "&amp;W100&amp;IF(X100="Yes","  [IPL]","")),IF(Y100="","","• "&amp;Y100&amp;IF(Z100="Yes","  [IPL]","")),IF(AA100="","","• "&amp;AA100&amp;IF(AB100="Yes","  [IPL]","")))</f>
        <v/>
      </c>
      <c r="AD100" s="30">
        <f>IF(AC100="","",COUNTIF(Q100:AB100,"Yes"))</f>
        <v/>
      </c>
      <c r="AE100" s="19" t="n"/>
      <c r="AF100" s="19" t="n"/>
      <c r="AG100" s="30">
        <f>IF(OR(AE100="",AF100=""),"",INDEX(RiskGrid,6-VALUE(LEFT(AE100,1)),VALUE(LEFT(AF100,1))))</f>
        <v/>
      </c>
      <c r="AH100" s="30">
        <f>IF(AG100="","",IF(AG100&gt;=BandVH,"Very High",IF(AG100&gt;=BandHigh,"High",IF(AG100&gt;=BandMed,"Medium","Low"))))</f>
        <v/>
      </c>
      <c r="AI100" s="4" t="n"/>
      <c r="AJ100" s="4" t="n"/>
    </row>
    <row r="101">
      <c r="A101" s="30">
        <f>IF(B101="","",COUNTIF(B$14:B101,"?*"))</f>
        <v/>
      </c>
      <c r="B101" s="4" t="n"/>
      <c r="C101" s="19" t="n"/>
      <c r="D101" s="5">
        <f>IF(OR(B101="",C101=""),"",UPPER(LEFT(C101,1))&amp;LOWER(MID(C101,2,30))&amp;" "&amp;LOWER(LEFT(B101,1))&amp;MID(B101,2,200))</f>
        <v/>
      </c>
      <c r="E101" s="4" t="n"/>
      <c r="F101" s="4" t="n"/>
      <c r="G101" s="4" t="n"/>
      <c r="H101" s="4" t="n"/>
      <c r="I101" s="4" t="n"/>
      <c r="J101" s="4" t="n"/>
      <c r="K101" s="5">
        <f>_xlfn.TEXTJOIN(CHAR(10),TRUE,IF(E101="","","• "&amp;E101),IF(F101="","","• "&amp;F101),IF(G101="","","• "&amp;G101),IF(H101="","","• "&amp;H101),IF(I101="","","• "&amp;I101),IF(J101="","","• "&amp;J101))</f>
        <v/>
      </c>
      <c r="L101" s="4" t="n"/>
      <c r="M101" s="19" t="n"/>
      <c r="N101" s="19" t="n"/>
      <c r="O101" s="30">
        <f>IF(OR(M101="",N101=""),"",INDEX(RiskGrid,6-VALUE(LEFT(M101,1)),VALUE(LEFT(N101,1))))</f>
        <v/>
      </c>
      <c r="P101" s="30">
        <f>IF(O101="","",IF(O101&gt;=BandVH,"Very High",IF(O101&gt;=BandHigh,"High",IF(O101&gt;=BandMed,"Medium","Low"))))</f>
        <v/>
      </c>
      <c r="Q101" s="4" t="n"/>
      <c r="R101" s="19" t="n"/>
      <c r="S101" s="4" t="n"/>
      <c r="T101" s="19" t="n"/>
      <c r="U101" s="4" t="n"/>
      <c r="V101" s="19" t="n"/>
      <c r="W101" s="4" t="n"/>
      <c r="X101" s="19" t="n"/>
      <c r="Y101" s="4" t="n"/>
      <c r="Z101" s="19" t="n"/>
      <c r="AA101" s="4" t="n"/>
      <c r="AB101" s="19" t="n"/>
      <c r="AC101" s="5">
        <f>_xlfn.TEXTJOIN(CHAR(10),TRUE,IF(Q101="","","• "&amp;Q101&amp;IF(R101="Yes","  [IPL]","")),IF(S101="","","• "&amp;S101&amp;IF(T101="Yes","  [IPL]","")),IF(U101="","","• "&amp;U101&amp;IF(V101="Yes","  [IPL]","")),IF(W101="","","• "&amp;W101&amp;IF(X101="Yes","  [IPL]","")),IF(Y101="","","• "&amp;Y101&amp;IF(Z101="Yes","  [IPL]","")),IF(AA101="","","• "&amp;AA101&amp;IF(AB101="Yes","  [IPL]","")))</f>
        <v/>
      </c>
      <c r="AD101" s="30">
        <f>IF(AC101="","",COUNTIF(Q101:AB101,"Yes"))</f>
        <v/>
      </c>
      <c r="AE101" s="19" t="n"/>
      <c r="AF101" s="19" t="n"/>
      <c r="AG101" s="30">
        <f>IF(OR(AE101="",AF101=""),"",INDEX(RiskGrid,6-VALUE(LEFT(AE101,1)),VALUE(LEFT(AF101,1))))</f>
        <v/>
      </c>
      <c r="AH101" s="30">
        <f>IF(AG101="","",IF(AG101&gt;=BandVH,"Very High",IF(AG101&gt;=BandHigh,"High",IF(AG101&gt;=BandMed,"Medium","Low"))))</f>
        <v/>
      </c>
      <c r="AI101" s="4" t="n"/>
      <c r="AJ101" s="4" t="n"/>
    </row>
    <row r="102">
      <c r="A102" s="30">
        <f>IF(B102="","",COUNTIF(B$14:B102,"?*"))</f>
        <v/>
      </c>
      <c r="B102" s="4" t="n"/>
      <c r="C102" s="19" t="n"/>
      <c r="D102" s="5">
        <f>IF(OR(B102="",C102=""),"",UPPER(LEFT(C102,1))&amp;LOWER(MID(C102,2,30))&amp;" "&amp;LOWER(LEFT(B102,1))&amp;MID(B102,2,200))</f>
        <v/>
      </c>
      <c r="E102" s="4" t="n"/>
      <c r="F102" s="4" t="n"/>
      <c r="G102" s="4" t="n"/>
      <c r="H102" s="4" t="n"/>
      <c r="I102" s="4" t="n"/>
      <c r="J102" s="4" t="n"/>
      <c r="K102" s="5">
        <f>_xlfn.TEXTJOIN(CHAR(10),TRUE,IF(E102="","","• "&amp;E102),IF(F102="","","• "&amp;F102),IF(G102="","","• "&amp;G102),IF(H102="","","• "&amp;H102),IF(I102="","","• "&amp;I102),IF(J102="","","• "&amp;J102))</f>
        <v/>
      </c>
      <c r="L102" s="4" t="n"/>
      <c r="M102" s="19" t="n"/>
      <c r="N102" s="19" t="n"/>
      <c r="O102" s="30">
        <f>IF(OR(M102="",N102=""),"",INDEX(RiskGrid,6-VALUE(LEFT(M102,1)),VALUE(LEFT(N102,1))))</f>
        <v/>
      </c>
      <c r="P102" s="30">
        <f>IF(O102="","",IF(O102&gt;=BandVH,"Very High",IF(O102&gt;=BandHigh,"High",IF(O102&gt;=BandMed,"Medium","Low"))))</f>
        <v/>
      </c>
      <c r="Q102" s="4" t="n"/>
      <c r="R102" s="19" t="n"/>
      <c r="S102" s="4" t="n"/>
      <c r="T102" s="19" t="n"/>
      <c r="U102" s="4" t="n"/>
      <c r="V102" s="19" t="n"/>
      <c r="W102" s="4" t="n"/>
      <c r="X102" s="19" t="n"/>
      <c r="Y102" s="4" t="n"/>
      <c r="Z102" s="19" t="n"/>
      <c r="AA102" s="4" t="n"/>
      <c r="AB102" s="19" t="n"/>
      <c r="AC102" s="5">
        <f>_xlfn.TEXTJOIN(CHAR(10),TRUE,IF(Q102="","","• "&amp;Q102&amp;IF(R102="Yes","  [IPL]","")),IF(S102="","","• "&amp;S102&amp;IF(T102="Yes","  [IPL]","")),IF(U102="","","• "&amp;U102&amp;IF(V102="Yes","  [IPL]","")),IF(W102="","","• "&amp;W102&amp;IF(X102="Yes","  [IPL]","")),IF(Y102="","","• "&amp;Y102&amp;IF(Z102="Yes","  [IPL]","")),IF(AA102="","","• "&amp;AA102&amp;IF(AB102="Yes","  [IPL]","")))</f>
        <v/>
      </c>
      <c r="AD102" s="30">
        <f>IF(AC102="","",COUNTIF(Q102:AB102,"Yes"))</f>
        <v/>
      </c>
      <c r="AE102" s="19" t="n"/>
      <c r="AF102" s="19" t="n"/>
      <c r="AG102" s="30">
        <f>IF(OR(AE102="",AF102=""),"",INDEX(RiskGrid,6-VALUE(LEFT(AE102,1)),VALUE(LEFT(AF102,1))))</f>
        <v/>
      </c>
      <c r="AH102" s="30">
        <f>IF(AG102="","",IF(AG102&gt;=BandVH,"Very High",IF(AG102&gt;=BandHigh,"High",IF(AG102&gt;=BandMed,"Medium","Low"))))</f>
        <v/>
      </c>
      <c r="AI102" s="4" t="n"/>
      <c r="AJ102" s="4" t="n"/>
    </row>
    <row r="103">
      <c r="A103" s="30">
        <f>IF(B103="","",COUNTIF(B$14:B103,"?*"))</f>
        <v/>
      </c>
      <c r="B103" s="4" t="n"/>
      <c r="C103" s="19" t="n"/>
      <c r="D103" s="5">
        <f>IF(OR(B103="",C103=""),"",UPPER(LEFT(C103,1))&amp;LOWER(MID(C103,2,30))&amp;" "&amp;LOWER(LEFT(B103,1))&amp;MID(B103,2,200))</f>
        <v/>
      </c>
      <c r="E103" s="4" t="n"/>
      <c r="F103" s="4" t="n"/>
      <c r="G103" s="4" t="n"/>
      <c r="H103" s="4" t="n"/>
      <c r="I103" s="4" t="n"/>
      <c r="J103" s="4" t="n"/>
      <c r="K103" s="5">
        <f>_xlfn.TEXTJOIN(CHAR(10),TRUE,IF(E103="","","• "&amp;E103),IF(F103="","","• "&amp;F103),IF(G103="","","• "&amp;G103),IF(H103="","","• "&amp;H103),IF(I103="","","• "&amp;I103),IF(J103="","","• "&amp;J103))</f>
        <v/>
      </c>
      <c r="L103" s="4" t="n"/>
      <c r="M103" s="19" t="n"/>
      <c r="N103" s="19" t="n"/>
      <c r="O103" s="30">
        <f>IF(OR(M103="",N103=""),"",INDEX(RiskGrid,6-VALUE(LEFT(M103,1)),VALUE(LEFT(N103,1))))</f>
        <v/>
      </c>
      <c r="P103" s="30">
        <f>IF(O103="","",IF(O103&gt;=BandVH,"Very High",IF(O103&gt;=BandHigh,"High",IF(O103&gt;=BandMed,"Medium","Low"))))</f>
        <v/>
      </c>
      <c r="Q103" s="4" t="n"/>
      <c r="R103" s="19" t="n"/>
      <c r="S103" s="4" t="n"/>
      <c r="T103" s="19" t="n"/>
      <c r="U103" s="4" t="n"/>
      <c r="V103" s="19" t="n"/>
      <c r="W103" s="4" t="n"/>
      <c r="X103" s="19" t="n"/>
      <c r="Y103" s="4" t="n"/>
      <c r="Z103" s="19" t="n"/>
      <c r="AA103" s="4" t="n"/>
      <c r="AB103" s="19" t="n"/>
      <c r="AC103" s="5">
        <f>_xlfn.TEXTJOIN(CHAR(10),TRUE,IF(Q103="","","• "&amp;Q103&amp;IF(R103="Yes","  [IPL]","")),IF(S103="","","• "&amp;S103&amp;IF(T103="Yes","  [IPL]","")),IF(U103="","","• "&amp;U103&amp;IF(V103="Yes","  [IPL]","")),IF(W103="","","• "&amp;W103&amp;IF(X103="Yes","  [IPL]","")),IF(Y103="","","• "&amp;Y103&amp;IF(Z103="Yes","  [IPL]","")),IF(AA103="","","• "&amp;AA103&amp;IF(AB103="Yes","  [IPL]","")))</f>
        <v/>
      </c>
      <c r="AD103" s="30">
        <f>IF(AC103="","",COUNTIF(Q103:AB103,"Yes"))</f>
        <v/>
      </c>
      <c r="AE103" s="19" t="n"/>
      <c r="AF103" s="19" t="n"/>
      <c r="AG103" s="30">
        <f>IF(OR(AE103="",AF103=""),"",INDEX(RiskGrid,6-VALUE(LEFT(AE103,1)),VALUE(LEFT(AF103,1))))</f>
        <v/>
      </c>
      <c r="AH103" s="30">
        <f>IF(AG103="","",IF(AG103&gt;=BandVH,"Very High",IF(AG103&gt;=BandHigh,"High",IF(AG103&gt;=BandMed,"Medium","Low"))))</f>
        <v/>
      </c>
      <c r="AI103" s="4" t="n"/>
      <c r="AJ103" s="4" t="n"/>
    </row>
    <row r="104">
      <c r="A104" s="30">
        <f>IF(B104="","",COUNTIF(B$14:B104,"?*"))</f>
        <v/>
      </c>
      <c r="B104" s="4" t="n"/>
      <c r="C104" s="19" t="n"/>
      <c r="D104" s="5">
        <f>IF(OR(B104="",C104=""),"",UPPER(LEFT(C104,1))&amp;LOWER(MID(C104,2,30))&amp;" "&amp;LOWER(LEFT(B104,1))&amp;MID(B104,2,200))</f>
        <v/>
      </c>
      <c r="E104" s="4" t="n"/>
      <c r="F104" s="4" t="n"/>
      <c r="G104" s="4" t="n"/>
      <c r="H104" s="4" t="n"/>
      <c r="I104" s="4" t="n"/>
      <c r="J104" s="4" t="n"/>
      <c r="K104" s="5">
        <f>_xlfn.TEXTJOIN(CHAR(10),TRUE,IF(E104="","","• "&amp;E104),IF(F104="","","• "&amp;F104),IF(G104="","","• "&amp;G104),IF(H104="","","• "&amp;H104),IF(I104="","","• "&amp;I104),IF(J104="","","• "&amp;J104))</f>
        <v/>
      </c>
      <c r="L104" s="4" t="n"/>
      <c r="M104" s="19" t="n"/>
      <c r="N104" s="19" t="n"/>
      <c r="O104" s="30">
        <f>IF(OR(M104="",N104=""),"",INDEX(RiskGrid,6-VALUE(LEFT(M104,1)),VALUE(LEFT(N104,1))))</f>
        <v/>
      </c>
      <c r="P104" s="30">
        <f>IF(O104="","",IF(O104&gt;=BandVH,"Very High",IF(O104&gt;=BandHigh,"High",IF(O104&gt;=BandMed,"Medium","Low"))))</f>
        <v/>
      </c>
      <c r="Q104" s="4" t="n"/>
      <c r="R104" s="19" t="n"/>
      <c r="S104" s="4" t="n"/>
      <c r="T104" s="19" t="n"/>
      <c r="U104" s="4" t="n"/>
      <c r="V104" s="19" t="n"/>
      <c r="W104" s="4" t="n"/>
      <c r="X104" s="19" t="n"/>
      <c r="Y104" s="4" t="n"/>
      <c r="Z104" s="19" t="n"/>
      <c r="AA104" s="4" t="n"/>
      <c r="AB104" s="19" t="n"/>
      <c r="AC104" s="5">
        <f>_xlfn.TEXTJOIN(CHAR(10),TRUE,IF(Q104="","","• "&amp;Q104&amp;IF(R104="Yes","  [IPL]","")),IF(S104="","","• "&amp;S104&amp;IF(T104="Yes","  [IPL]","")),IF(U104="","","• "&amp;U104&amp;IF(V104="Yes","  [IPL]","")),IF(W104="","","• "&amp;W104&amp;IF(X104="Yes","  [IPL]","")),IF(Y104="","","• "&amp;Y104&amp;IF(Z104="Yes","  [IPL]","")),IF(AA104="","","• "&amp;AA104&amp;IF(AB104="Yes","  [IPL]","")))</f>
        <v/>
      </c>
      <c r="AD104" s="30">
        <f>IF(AC104="","",COUNTIF(Q104:AB104,"Yes"))</f>
        <v/>
      </c>
      <c r="AE104" s="19" t="n"/>
      <c r="AF104" s="19" t="n"/>
      <c r="AG104" s="30">
        <f>IF(OR(AE104="",AF104=""),"",INDEX(RiskGrid,6-VALUE(LEFT(AE104,1)),VALUE(LEFT(AF104,1))))</f>
        <v/>
      </c>
      <c r="AH104" s="30">
        <f>IF(AG104="","",IF(AG104&gt;=BandVH,"Very High",IF(AG104&gt;=BandHigh,"High",IF(AG104&gt;=BandMed,"Medium","Low"))))</f>
        <v/>
      </c>
      <c r="AI104" s="4" t="n"/>
      <c r="AJ104" s="4" t="n"/>
    </row>
    <row r="105">
      <c r="A105" s="30">
        <f>IF(B105="","",COUNTIF(B$14:B105,"?*"))</f>
        <v/>
      </c>
      <c r="B105" s="4" t="n"/>
      <c r="C105" s="19" t="n"/>
      <c r="D105" s="5">
        <f>IF(OR(B105="",C105=""),"",UPPER(LEFT(C105,1))&amp;LOWER(MID(C105,2,30))&amp;" "&amp;LOWER(LEFT(B105,1))&amp;MID(B105,2,200))</f>
        <v/>
      </c>
      <c r="E105" s="4" t="n"/>
      <c r="F105" s="4" t="n"/>
      <c r="G105" s="4" t="n"/>
      <c r="H105" s="4" t="n"/>
      <c r="I105" s="4" t="n"/>
      <c r="J105" s="4" t="n"/>
      <c r="K105" s="5">
        <f>_xlfn.TEXTJOIN(CHAR(10),TRUE,IF(E105="","","• "&amp;E105),IF(F105="","","• "&amp;F105),IF(G105="","","• "&amp;G105),IF(H105="","","• "&amp;H105),IF(I105="","","• "&amp;I105),IF(J105="","","• "&amp;J105))</f>
        <v/>
      </c>
      <c r="L105" s="4" t="n"/>
      <c r="M105" s="19" t="n"/>
      <c r="N105" s="19" t="n"/>
      <c r="O105" s="30">
        <f>IF(OR(M105="",N105=""),"",INDEX(RiskGrid,6-VALUE(LEFT(M105,1)),VALUE(LEFT(N105,1))))</f>
        <v/>
      </c>
      <c r="P105" s="30">
        <f>IF(O105="","",IF(O105&gt;=BandVH,"Very High",IF(O105&gt;=BandHigh,"High",IF(O105&gt;=BandMed,"Medium","Low"))))</f>
        <v/>
      </c>
      <c r="Q105" s="4" t="n"/>
      <c r="R105" s="19" t="n"/>
      <c r="S105" s="4" t="n"/>
      <c r="T105" s="19" t="n"/>
      <c r="U105" s="4" t="n"/>
      <c r="V105" s="19" t="n"/>
      <c r="W105" s="4" t="n"/>
      <c r="X105" s="19" t="n"/>
      <c r="Y105" s="4" t="n"/>
      <c r="Z105" s="19" t="n"/>
      <c r="AA105" s="4" t="n"/>
      <c r="AB105" s="19" t="n"/>
      <c r="AC105" s="5">
        <f>_xlfn.TEXTJOIN(CHAR(10),TRUE,IF(Q105="","","• "&amp;Q105&amp;IF(R105="Yes","  [IPL]","")),IF(S105="","","• "&amp;S105&amp;IF(T105="Yes","  [IPL]","")),IF(U105="","","• "&amp;U105&amp;IF(V105="Yes","  [IPL]","")),IF(W105="","","• "&amp;W105&amp;IF(X105="Yes","  [IPL]","")),IF(Y105="","","• "&amp;Y105&amp;IF(Z105="Yes","  [IPL]","")),IF(AA105="","","• "&amp;AA105&amp;IF(AB105="Yes","  [IPL]","")))</f>
        <v/>
      </c>
      <c r="AD105" s="30">
        <f>IF(AC105="","",COUNTIF(Q105:AB105,"Yes"))</f>
        <v/>
      </c>
      <c r="AE105" s="19" t="n"/>
      <c r="AF105" s="19" t="n"/>
      <c r="AG105" s="30">
        <f>IF(OR(AE105="",AF105=""),"",INDEX(RiskGrid,6-VALUE(LEFT(AE105,1)),VALUE(LEFT(AF105,1))))</f>
        <v/>
      </c>
      <c r="AH105" s="30">
        <f>IF(AG105="","",IF(AG105&gt;=BandVH,"Very High",IF(AG105&gt;=BandHigh,"High",IF(AG105&gt;=BandMed,"Medium","Low"))))</f>
        <v/>
      </c>
      <c r="AI105" s="4" t="n"/>
      <c r="AJ105" s="4" t="n"/>
    </row>
    <row r="106">
      <c r="A106" s="30">
        <f>IF(B106="","",COUNTIF(B$14:B106,"?*"))</f>
        <v/>
      </c>
      <c r="B106" s="4" t="n"/>
      <c r="C106" s="19" t="n"/>
      <c r="D106" s="5">
        <f>IF(OR(B106="",C106=""),"",UPPER(LEFT(C106,1))&amp;LOWER(MID(C106,2,30))&amp;" "&amp;LOWER(LEFT(B106,1))&amp;MID(B106,2,200))</f>
        <v/>
      </c>
      <c r="E106" s="4" t="n"/>
      <c r="F106" s="4" t="n"/>
      <c r="G106" s="4" t="n"/>
      <c r="H106" s="4" t="n"/>
      <c r="I106" s="4" t="n"/>
      <c r="J106" s="4" t="n"/>
      <c r="K106" s="5">
        <f>_xlfn.TEXTJOIN(CHAR(10),TRUE,IF(E106="","","• "&amp;E106),IF(F106="","","• "&amp;F106),IF(G106="","","• "&amp;G106),IF(H106="","","• "&amp;H106),IF(I106="","","• "&amp;I106),IF(J106="","","• "&amp;J106))</f>
        <v/>
      </c>
      <c r="L106" s="4" t="n"/>
      <c r="M106" s="19" t="n"/>
      <c r="N106" s="19" t="n"/>
      <c r="O106" s="30">
        <f>IF(OR(M106="",N106=""),"",INDEX(RiskGrid,6-VALUE(LEFT(M106,1)),VALUE(LEFT(N106,1))))</f>
        <v/>
      </c>
      <c r="P106" s="30">
        <f>IF(O106="","",IF(O106&gt;=BandVH,"Very High",IF(O106&gt;=BandHigh,"High",IF(O106&gt;=BandMed,"Medium","Low"))))</f>
        <v/>
      </c>
      <c r="Q106" s="4" t="n"/>
      <c r="R106" s="19" t="n"/>
      <c r="S106" s="4" t="n"/>
      <c r="T106" s="19" t="n"/>
      <c r="U106" s="4" t="n"/>
      <c r="V106" s="19" t="n"/>
      <c r="W106" s="4" t="n"/>
      <c r="X106" s="19" t="n"/>
      <c r="Y106" s="4" t="n"/>
      <c r="Z106" s="19" t="n"/>
      <c r="AA106" s="4" t="n"/>
      <c r="AB106" s="19" t="n"/>
      <c r="AC106" s="5">
        <f>_xlfn.TEXTJOIN(CHAR(10),TRUE,IF(Q106="","","• "&amp;Q106&amp;IF(R106="Yes","  [IPL]","")),IF(S106="","","• "&amp;S106&amp;IF(T106="Yes","  [IPL]","")),IF(U106="","","• "&amp;U106&amp;IF(V106="Yes","  [IPL]","")),IF(W106="","","• "&amp;W106&amp;IF(X106="Yes","  [IPL]","")),IF(Y106="","","• "&amp;Y106&amp;IF(Z106="Yes","  [IPL]","")),IF(AA106="","","• "&amp;AA106&amp;IF(AB106="Yes","  [IPL]","")))</f>
        <v/>
      </c>
      <c r="AD106" s="30">
        <f>IF(AC106="","",COUNTIF(Q106:AB106,"Yes"))</f>
        <v/>
      </c>
      <c r="AE106" s="19" t="n"/>
      <c r="AF106" s="19" t="n"/>
      <c r="AG106" s="30">
        <f>IF(OR(AE106="",AF106=""),"",INDEX(RiskGrid,6-VALUE(LEFT(AE106,1)),VALUE(LEFT(AF106,1))))</f>
        <v/>
      </c>
      <c r="AH106" s="30">
        <f>IF(AG106="","",IF(AG106&gt;=BandVH,"Very High",IF(AG106&gt;=BandHigh,"High",IF(AG106&gt;=BandMed,"Medium","Low"))))</f>
        <v/>
      </c>
      <c r="AI106" s="4" t="n"/>
      <c r="AJ106" s="4" t="n"/>
    </row>
    <row r="107">
      <c r="A107" s="30">
        <f>IF(B107="","",COUNTIF(B$14:B107,"?*"))</f>
        <v/>
      </c>
      <c r="B107" s="4" t="n"/>
      <c r="C107" s="19" t="n"/>
      <c r="D107" s="5">
        <f>IF(OR(B107="",C107=""),"",UPPER(LEFT(C107,1))&amp;LOWER(MID(C107,2,30))&amp;" "&amp;LOWER(LEFT(B107,1))&amp;MID(B107,2,200))</f>
        <v/>
      </c>
      <c r="E107" s="4" t="n"/>
      <c r="F107" s="4" t="n"/>
      <c r="G107" s="4" t="n"/>
      <c r="H107" s="4" t="n"/>
      <c r="I107" s="4" t="n"/>
      <c r="J107" s="4" t="n"/>
      <c r="K107" s="5">
        <f>_xlfn.TEXTJOIN(CHAR(10),TRUE,IF(E107="","","• "&amp;E107),IF(F107="","","• "&amp;F107),IF(G107="","","• "&amp;G107),IF(H107="","","• "&amp;H107),IF(I107="","","• "&amp;I107),IF(J107="","","• "&amp;J107))</f>
        <v/>
      </c>
      <c r="L107" s="4" t="n"/>
      <c r="M107" s="19" t="n"/>
      <c r="N107" s="19" t="n"/>
      <c r="O107" s="30">
        <f>IF(OR(M107="",N107=""),"",INDEX(RiskGrid,6-VALUE(LEFT(M107,1)),VALUE(LEFT(N107,1))))</f>
        <v/>
      </c>
      <c r="P107" s="30">
        <f>IF(O107="","",IF(O107&gt;=BandVH,"Very High",IF(O107&gt;=BandHigh,"High",IF(O107&gt;=BandMed,"Medium","Low"))))</f>
        <v/>
      </c>
      <c r="Q107" s="4" t="n"/>
      <c r="R107" s="19" t="n"/>
      <c r="S107" s="4" t="n"/>
      <c r="T107" s="19" t="n"/>
      <c r="U107" s="4" t="n"/>
      <c r="V107" s="19" t="n"/>
      <c r="W107" s="4" t="n"/>
      <c r="X107" s="19" t="n"/>
      <c r="Y107" s="4" t="n"/>
      <c r="Z107" s="19" t="n"/>
      <c r="AA107" s="4" t="n"/>
      <c r="AB107" s="19" t="n"/>
      <c r="AC107" s="5">
        <f>_xlfn.TEXTJOIN(CHAR(10),TRUE,IF(Q107="","","• "&amp;Q107&amp;IF(R107="Yes","  [IPL]","")),IF(S107="","","• "&amp;S107&amp;IF(T107="Yes","  [IPL]","")),IF(U107="","","• "&amp;U107&amp;IF(V107="Yes","  [IPL]","")),IF(W107="","","• "&amp;W107&amp;IF(X107="Yes","  [IPL]","")),IF(Y107="","","• "&amp;Y107&amp;IF(Z107="Yes","  [IPL]","")),IF(AA107="","","• "&amp;AA107&amp;IF(AB107="Yes","  [IPL]","")))</f>
        <v/>
      </c>
      <c r="AD107" s="30">
        <f>IF(AC107="","",COUNTIF(Q107:AB107,"Yes"))</f>
        <v/>
      </c>
      <c r="AE107" s="19" t="n"/>
      <c r="AF107" s="19" t="n"/>
      <c r="AG107" s="30">
        <f>IF(OR(AE107="",AF107=""),"",INDEX(RiskGrid,6-VALUE(LEFT(AE107,1)),VALUE(LEFT(AF107,1))))</f>
        <v/>
      </c>
      <c r="AH107" s="30">
        <f>IF(AG107="","",IF(AG107&gt;=BandVH,"Very High",IF(AG107&gt;=BandHigh,"High",IF(AG107&gt;=BandMed,"Medium","Low"))))</f>
        <v/>
      </c>
      <c r="AI107" s="4" t="n"/>
      <c r="AJ107" s="4" t="n"/>
    </row>
    <row r="108">
      <c r="A108" s="30">
        <f>IF(B108="","",COUNTIF(B$14:B108,"?*"))</f>
        <v/>
      </c>
      <c r="B108" s="4" t="n"/>
      <c r="C108" s="19" t="n"/>
      <c r="D108" s="5">
        <f>IF(OR(B108="",C108=""),"",UPPER(LEFT(C108,1))&amp;LOWER(MID(C108,2,30))&amp;" "&amp;LOWER(LEFT(B108,1))&amp;MID(B108,2,200))</f>
        <v/>
      </c>
      <c r="E108" s="4" t="n"/>
      <c r="F108" s="4" t="n"/>
      <c r="G108" s="4" t="n"/>
      <c r="H108" s="4" t="n"/>
      <c r="I108" s="4" t="n"/>
      <c r="J108" s="4" t="n"/>
      <c r="K108" s="5">
        <f>_xlfn.TEXTJOIN(CHAR(10),TRUE,IF(E108="","","• "&amp;E108),IF(F108="","","• "&amp;F108),IF(G108="","","• "&amp;G108),IF(H108="","","• "&amp;H108),IF(I108="","","• "&amp;I108),IF(J108="","","• "&amp;J108))</f>
        <v/>
      </c>
      <c r="L108" s="4" t="n"/>
      <c r="M108" s="19" t="n"/>
      <c r="N108" s="19" t="n"/>
      <c r="O108" s="30">
        <f>IF(OR(M108="",N108=""),"",INDEX(RiskGrid,6-VALUE(LEFT(M108,1)),VALUE(LEFT(N108,1))))</f>
        <v/>
      </c>
      <c r="P108" s="30">
        <f>IF(O108="","",IF(O108&gt;=BandVH,"Very High",IF(O108&gt;=BandHigh,"High",IF(O108&gt;=BandMed,"Medium","Low"))))</f>
        <v/>
      </c>
      <c r="Q108" s="4" t="n"/>
      <c r="R108" s="19" t="n"/>
      <c r="S108" s="4" t="n"/>
      <c r="T108" s="19" t="n"/>
      <c r="U108" s="4" t="n"/>
      <c r="V108" s="19" t="n"/>
      <c r="W108" s="4" t="n"/>
      <c r="X108" s="19" t="n"/>
      <c r="Y108" s="4" t="n"/>
      <c r="Z108" s="19" t="n"/>
      <c r="AA108" s="4" t="n"/>
      <c r="AB108" s="19" t="n"/>
      <c r="AC108" s="5">
        <f>_xlfn.TEXTJOIN(CHAR(10),TRUE,IF(Q108="","","• "&amp;Q108&amp;IF(R108="Yes","  [IPL]","")),IF(S108="","","• "&amp;S108&amp;IF(T108="Yes","  [IPL]","")),IF(U108="","","• "&amp;U108&amp;IF(V108="Yes","  [IPL]","")),IF(W108="","","• "&amp;W108&amp;IF(X108="Yes","  [IPL]","")),IF(Y108="","","• "&amp;Y108&amp;IF(Z108="Yes","  [IPL]","")),IF(AA108="","","• "&amp;AA108&amp;IF(AB108="Yes","  [IPL]","")))</f>
        <v/>
      </c>
      <c r="AD108" s="30">
        <f>IF(AC108="","",COUNTIF(Q108:AB108,"Yes"))</f>
        <v/>
      </c>
      <c r="AE108" s="19" t="n"/>
      <c r="AF108" s="19" t="n"/>
      <c r="AG108" s="30">
        <f>IF(OR(AE108="",AF108=""),"",INDEX(RiskGrid,6-VALUE(LEFT(AE108,1)),VALUE(LEFT(AF108,1))))</f>
        <v/>
      </c>
      <c r="AH108" s="30">
        <f>IF(AG108="","",IF(AG108&gt;=BandVH,"Very High",IF(AG108&gt;=BandHigh,"High",IF(AG108&gt;=BandMed,"Medium","Low"))))</f>
        <v/>
      </c>
      <c r="AI108" s="4" t="n"/>
      <c r="AJ108" s="4" t="n"/>
    </row>
    <row r="109">
      <c r="A109" s="30">
        <f>IF(B109="","",COUNTIF(B$14:B109,"?*"))</f>
        <v/>
      </c>
      <c r="B109" s="4" t="n"/>
      <c r="C109" s="19" t="n"/>
      <c r="D109" s="5">
        <f>IF(OR(B109="",C109=""),"",UPPER(LEFT(C109,1))&amp;LOWER(MID(C109,2,30))&amp;" "&amp;LOWER(LEFT(B109,1))&amp;MID(B109,2,200))</f>
        <v/>
      </c>
      <c r="E109" s="4" t="n"/>
      <c r="F109" s="4" t="n"/>
      <c r="G109" s="4" t="n"/>
      <c r="H109" s="4" t="n"/>
      <c r="I109" s="4" t="n"/>
      <c r="J109" s="4" t="n"/>
      <c r="K109" s="5">
        <f>_xlfn.TEXTJOIN(CHAR(10),TRUE,IF(E109="","","• "&amp;E109),IF(F109="","","• "&amp;F109),IF(G109="","","• "&amp;G109),IF(H109="","","• "&amp;H109),IF(I109="","","• "&amp;I109),IF(J109="","","• "&amp;J109))</f>
        <v/>
      </c>
      <c r="L109" s="4" t="n"/>
      <c r="M109" s="19" t="n"/>
      <c r="N109" s="19" t="n"/>
      <c r="O109" s="30">
        <f>IF(OR(M109="",N109=""),"",INDEX(RiskGrid,6-VALUE(LEFT(M109,1)),VALUE(LEFT(N109,1))))</f>
        <v/>
      </c>
      <c r="P109" s="30">
        <f>IF(O109="","",IF(O109&gt;=BandVH,"Very High",IF(O109&gt;=BandHigh,"High",IF(O109&gt;=BandMed,"Medium","Low"))))</f>
        <v/>
      </c>
      <c r="Q109" s="4" t="n"/>
      <c r="R109" s="19" t="n"/>
      <c r="S109" s="4" t="n"/>
      <c r="T109" s="19" t="n"/>
      <c r="U109" s="4" t="n"/>
      <c r="V109" s="19" t="n"/>
      <c r="W109" s="4" t="n"/>
      <c r="X109" s="19" t="n"/>
      <c r="Y109" s="4" t="n"/>
      <c r="Z109" s="19" t="n"/>
      <c r="AA109" s="4" t="n"/>
      <c r="AB109" s="19" t="n"/>
      <c r="AC109" s="5">
        <f>_xlfn.TEXTJOIN(CHAR(10),TRUE,IF(Q109="","","• "&amp;Q109&amp;IF(R109="Yes","  [IPL]","")),IF(S109="","","• "&amp;S109&amp;IF(T109="Yes","  [IPL]","")),IF(U109="","","• "&amp;U109&amp;IF(V109="Yes","  [IPL]","")),IF(W109="","","• "&amp;W109&amp;IF(X109="Yes","  [IPL]","")),IF(Y109="","","• "&amp;Y109&amp;IF(Z109="Yes","  [IPL]","")),IF(AA109="","","• "&amp;AA109&amp;IF(AB109="Yes","  [IPL]","")))</f>
        <v/>
      </c>
      <c r="AD109" s="30">
        <f>IF(AC109="","",COUNTIF(Q109:AB109,"Yes"))</f>
        <v/>
      </c>
      <c r="AE109" s="19" t="n"/>
      <c r="AF109" s="19" t="n"/>
      <c r="AG109" s="30">
        <f>IF(OR(AE109="",AF109=""),"",INDEX(RiskGrid,6-VALUE(LEFT(AE109,1)),VALUE(LEFT(AF109,1))))</f>
        <v/>
      </c>
      <c r="AH109" s="30">
        <f>IF(AG109="","",IF(AG109&gt;=BandVH,"Very High",IF(AG109&gt;=BandHigh,"High",IF(AG109&gt;=BandMed,"Medium","Low"))))</f>
        <v/>
      </c>
      <c r="AI109" s="4" t="n"/>
      <c r="AJ109" s="4" t="n"/>
    </row>
    <row r="110">
      <c r="A110" s="30">
        <f>IF(B110="","",COUNTIF(B$14:B110,"?*"))</f>
        <v/>
      </c>
      <c r="B110" s="4" t="n"/>
      <c r="C110" s="19" t="n"/>
      <c r="D110" s="5">
        <f>IF(OR(B110="",C110=""),"",UPPER(LEFT(C110,1))&amp;LOWER(MID(C110,2,30))&amp;" "&amp;LOWER(LEFT(B110,1))&amp;MID(B110,2,200))</f>
        <v/>
      </c>
      <c r="E110" s="4" t="n"/>
      <c r="F110" s="4" t="n"/>
      <c r="G110" s="4" t="n"/>
      <c r="H110" s="4" t="n"/>
      <c r="I110" s="4" t="n"/>
      <c r="J110" s="4" t="n"/>
      <c r="K110" s="5">
        <f>_xlfn.TEXTJOIN(CHAR(10),TRUE,IF(E110="","","• "&amp;E110),IF(F110="","","• "&amp;F110),IF(G110="","","• "&amp;G110),IF(H110="","","• "&amp;H110),IF(I110="","","• "&amp;I110),IF(J110="","","• "&amp;J110))</f>
        <v/>
      </c>
      <c r="L110" s="4" t="n"/>
      <c r="M110" s="19" t="n"/>
      <c r="N110" s="19" t="n"/>
      <c r="O110" s="30">
        <f>IF(OR(M110="",N110=""),"",INDEX(RiskGrid,6-VALUE(LEFT(M110,1)),VALUE(LEFT(N110,1))))</f>
        <v/>
      </c>
      <c r="P110" s="30">
        <f>IF(O110="","",IF(O110&gt;=BandVH,"Very High",IF(O110&gt;=BandHigh,"High",IF(O110&gt;=BandMed,"Medium","Low"))))</f>
        <v/>
      </c>
      <c r="Q110" s="4" t="n"/>
      <c r="R110" s="19" t="n"/>
      <c r="S110" s="4" t="n"/>
      <c r="T110" s="19" t="n"/>
      <c r="U110" s="4" t="n"/>
      <c r="V110" s="19" t="n"/>
      <c r="W110" s="4" t="n"/>
      <c r="X110" s="19" t="n"/>
      <c r="Y110" s="4" t="n"/>
      <c r="Z110" s="19" t="n"/>
      <c r="AA110" s="4" t="n"/>
      <c r="AB110" s="19" t="n"/>
      <c r="AC110" s="5">
        <f>_xlfn.TEXTJOIN(CHAR(10),TRUE,IF(Q110="","","• "&amp;Q110&amp;IF(R110="Yes","  [IPL]","")),IF(S110="","","• "&amp;S110&amp;IF(T110="Yes","  [IPL]","")),IF(U110="","","• "&amp;U110&amp;IF(V110="Yes","  [IPL]","")),IF(W110="","","• "&amp;W110&amp;IF(X110="Yes","  [IPL]","")),IF(Y110="","","• "&amp;Y110&amp;IF(Z110="Yes","  [IPL]","")),IF(AA110="","","• "&amp;AA110&amp;IF(AB110="Yes","  [IPL]","")))</f>
        <v/>
      </c>
      <c r="AD110" s="30">
        <f>IF(AC110="","",COUNTIF(Q110:AB110,"Yes"))</f>
        <v/>
      </c>
      <c r="AE110" s="19" t="n"/>
      <c r="AF110" s="19" t="n"/>
      <c r="AG110" s="30">
        <f>IF(OR(AE110="",AF110=""),"",INDEX(RiskGrid,6-VALUE(LEFT(AE110,1)),VALUE(LEFT(AF110,1))))</f>
        <v/>
      </c>
      <c r="AH110" s="30">
        <f>IF(AG110="","",IF(AG110&gt;=BandVH,"Very High",IF(AG110&gt;=BandHigh,"High",IF(AG110&gt;=BandMed,"Medium","Low"))))</f>
        <v/>
      </c>
      <c r="AI110" s="4" t="n"/>
      <c r="AJ110" s="4" t="n"/>
    </row>
    <row r="111">
      <c r="A111" s="30">
        <f>IF(B111="","",COUNTIF(B$14:B111,"?*"))</f>
        <v/>
      </c>
      <c r="B111" s="4" t="n"/>
      <c r="C111" s="19" t="n"/>
      <c r="D111" s="5">
        <f>IF(OR(B111="",C111=""),"",UPPER(LEFT(C111,1))&amp;LOWER(MID(C111,2,30))&amp;" "&amp;LOWER(LEFT(B111,1))&amp;MID(B111,2,200))</f>
        <v/>
      </c>
      <c r="E111" s="4" t="n"/>
      <c r="F111" s="4" t="n"/>
      <c r="G111" s="4" t="n"/>
      <c r="H111" s="4" t="n"/>
      <c r="I111" s="4" t="n"/>
      <c r="J111" s="4" t="n"/>
      <c r="K111" s="5">
        <f>_xlfn.TEXTJOIN(CHAR(10),TRUE,IF(E111="","","• "&amp;E111),IF(F111="","","• "&amp;F111),IF(G111="","","• "&amp;G111),IF(H111="","","• "&amp;H111),IF(I111="","","• "&amp;I111),IF(J111="","","• "&amp;J111))</f>
        <v/>
      </c>
      <c r="L111" s="4" t="n"/>
      <c r="M111" s="19" t="n"/>
      <c r="N111" s="19" t="n"/>
      <c r="O111" s="30">
        <f>IF(OR(M111="",N111=""),"",INDEX(RiskGrid,6-VALUE(LEFT(M111,1)),VALUE(LEFT(N111,1))))</f>
        <v/>
      </c>
      <c r="P111" s="30">
        <f>IF(O111="","",IF(O111&gt;=BandVH,"Very High",IF(O111&gt;=BandHigh,"High",IF(O111&gt;=BandMed,"Medium","Low"))))</f>
        <v/>
      </c>
      <c r="Q111" s="4" t="n"/>
      <c r="R111" s="19" t="n"/>
      <c r="S111" s="4" t="n"/>
      <c r="T111" s="19" t="n"/>
      <c r="U111" s="4" t="n"/>
      <c r="V111" s="19" t="n"/>
      <c r="W111" s="4" t="n"/>
      <c r="X111" s="19" t="n"/>
      <c r="Y111" s="4" t="n"/>
      <c r="Z111" s="19" t="n"/>
      <c r="AA111" s="4" t="n"/>
      <c r="AB111" s="19" t="n"/>
      <c r="AC111" s="5">
        <f>_xlfn.TEXTJOIN(CHAR(10),TRUE,IF(Q111="","","• "&amp;Q111&amp;IF(R111="Yes","  [IPL]","")),IF(S111="","","• "&amp;S111&amp;IF(T111="Yes","  [IPL]","")),IF(U111="","","• "&amp;U111&amp;IF(V111="Yes","  [IPL]","")),IF(W111="","","• "&amp;W111&amp;IF(X111="Yes","  [IPL]","")),IF(Y111="","","• "&amp;Y111&amp;IF(Z111="Yes","  [IPL]","")),IF(AA111="","","• "&amp;AA111&amp;IF(AB111="Yes","  [IPL]","")))</f>
        <v/>
      </c>
      <c r="AD111" s="30">
        <f>IF(AC111="","",COUNTIF(Q111:AB111,"Yes"))</f>
        <v/>
      </c>
      <c r="AE111" s="19" t="n"/>
      <c r="AF111" s="19" t="n"/>
      <c r="AG111" s="30">
        <f>IF(OR(AE111="",AF111=""),"",INDEX(RiskGrid,6-VALUE(LEFT(AE111,1)),VALUE(LEFT(AF111,1))))</f>
        <v/>
      </c>
      <c r="AH111" s="30">
        <f>IF(AG111="","",IF(AG111&gt;=BandVH,"Very High",IF(AG111&gt;=BandHigh,"High",IF(AG111&gt;=BandMed,"Medium","Low"))))</f>
        <v/>
      </c>
      <c r="AI111" s="4" t="n"/>
      <c r="AJ111" s="4" t="n"/>
    </row>
    <row r="112">
      <c r="A112" s="30">
        <f>IF(B112="","",COUNTIF(B$14:B112,"?*"))</f>
        <v/>
      </c>
      <c r="B112" s="4" t="n"/>
      <c r="C112" s="19" t="n"/>
      <c r="D112" s="5">
        <f>IF(OR(B112="",C112=""),"",UPPER(LEFT(C112,1))&amp;LOWER(MID(C112,2,30))&amp;" "&amp;LOWER(LEFT(B112,1))&amp;MID(B112,2,200))</f>
        <v/>
      </c>
      <c r="E112" s="4" t="n"/>
      <c r="F112" s="4" t="n"/>
      <c r="G112" s="4" t="n"/>
      <c r="H112" s="4" t="n"/>
      <c r="I112" s="4" t="n"/>
      <c r="J112" s="4" t="n"/>
      <c r="K112" s="5">
        <f>_xlfn.TEXTJOIN(CHAR(10),TRUE,IF(E112="","","• "&amp;E112),IF(F112="","","• "&amp;F112),IF(G112="","","• "&amp;G112),IF(H112="","","• "&amp;H112),IF(I112="","","• "&amp;I112),IF(J112="","","• "&amp;J112))</f>
        <v/>
      </c>
      <c r="L112" s="4" t="n"/>
      <c r="M112" s="19" t="n"/>
      <c r="N112" s="19" t="n"/>
      <c r="O112" s="30">
        <f>IF(OR(M112="",N112=""),"",INDEX(RiskGrid,6-VALUE(LEFT(M112,1)),VALUE(LEFT(N112,1))))</f>
        <v/>
      </c>
      <c r="P112" s="30">
        <f>IF(O112="","",IF(O112&gt;=BandVH,"Very High",IF(O112&gt;=BandHigh,"High",IF(O112&gt;=BandMed,"Medium","Low"))))</f>
        <v/>
      </c>
      <c r="Q112" s="4" t="n"/>
      <c r="R112" s="19" t="n"/>
      <c r="S112" s="4" t="n"/>
      <c r="T112" s="19" t="n"/>
      <c r="U112" s="4" t="n"/>
      <c r="V112" s="19" t="n"/>
      <c r="W112" s="4" t="n"/>
      <c r="X112" s="19" t="n"/>
      <c r="Y112" s="4" t="n"/>
      <c r="Z112" s="19" t="n"/>
      <c r="AA112" s="4" t="n"/>
      <c r="AB112" s="19" t="n"/>
      <c r="AC112" s="5">
        <f>_xlfn.TEXTJOIN(CHAR(10),TRUE,IF(Q112="","","• "&amp;Q112&amp;IF(R112="Yes","  [IPL]","")),IF(S112="","","• "&amp;S112&amp;IF(T112="Yes","  [IPL]","")),IF(U112="","","• "&amp;U112&amp;IF(V112="Yes","  [IPL]","")),IF(W112="","","• "&amp;W112&amp;IF(X112="Yes","  [IPL]","")),IF(Y112="","","• "&amp;Y112&amp;IF(Z112="Yes","  [IPL]","")),IF(AA112="","","• "&amp;AA112&amp;IF(AB112="Yes","  [IPL]","")))</f>
        <v/>
      </c>
      <c r="AD112" s="30">
        <f>IF(AC112="","",COUNTIF(Q112:AB112,"Yes"))</f>
        <v/>
      </c>
      <c r="AE112" s="19" t="n"/>
      <c r="AF112" s="19" t="n"/>
      <c r="AG112" s="30">
        <f>IF(OR(AE112="",AF112=""),"",INDEX(RiskGrid,6-VALUE(LEFT(AE112,1)),VALUE(LEFT(AF112,1))))</f>
        <v/>
      </c>
      <c r="AH112" s="30">
        <f>IF(AG112="","",IF(AG112&gt;=BandVH,"Very High",IF(AG112&gt;=BandHigh,"High",IF(AG112&gt;=BandMed,"Medium","Low"))))</f>
        <v/>
      </c>
      <c r="AI112" s="4" t="n"/>
      <c r="AJ112" s="4" t="n"/>
    </row>
    <row r="113">
      <c r="A113" s="30">
        <f>IF(B113="","",COUNTIF(B$14:B113,"?*"))</f>
        <v/>
      </c>
      <c r="B113" s="4" t="n"/>
      <c r="C113" s="19" t="n"/>
      <c r="D113" s="5">
        <f>IF(OR(B113="",C113=""),"",UPPER(LEFT(C113,1))&amp;LOWER(MID(C113,2,30))&amp;" "&amp;LOWER(LEFT(B113,1))&amp;MID(B113,2,200))</f>
        <v/>
      </c>
      <c r="E113" s="4" t="n"/>
      <c r="F113" s="4" t="n"/>
      <c r="G113" s="4" t="n"/>
      <c r="H113" s="4" t="n"/>
      <c r="I113" s="4" t="n"/>
      <c r="J113" s="4" t="n"/>
      <c r="K113" s="5">
        <f>_xlfn.TEXTJOIN(CHAR(10),TRUE,IF(E113="","","• "&amp;E113),IF(F113="","","• "&amp;F113),IF(G113="","","• "&amp;G113),IF(H113="","","• "&amp;H113),IF(I113="","","• "&amp;I113),IF(J113="","","• "&amp;J113))</f>
        <v/>
      </c>
      <c r="L113" s="4" t="n"/>
      <c r="M113" s="19" t="n"/>
      <c r="N113" s="19" t="n"/>
      <c r="O113" s="30">
        <f>IF(OR(M113="",N113=""),"",INDEX(RiskGrid,6-VALUE(LEFT(M113,1)),VALUE(LEFT(N113,1))))</f>
        <v/>
      </c>
      <c r="P113" s="30">
        <f>IF(O113="","",IF(O113&gt;=BandVH,"Very High",IF(O113&gt;=BandHigh,"High",IF(O113&gt;=BandMed,"Medium","Low"))))</f>
        <v/>
      </c>
      <c r="Q113" s="4" t="n"/>
      <c r="R113" s="19" t="n"/>
      <c r="S113" s="4" t="n"/>
      <c r="T113" s="19" t="n"/>
      <c r="U113" s="4" t="n"/>
      <c r="V113" s="19" t="n"/>
      <c r="W113" s="4" t="n"/>
      <c r="X113" s="19" t="n"/>
      <c r="Y113" s="4" t="n"/>
      <c r="Z113" s="19" t="n"/>
      <c r="AA113" s="4" t="n"/>
      <c r="AB113" s="19" t="n"/>
      <c r="AC113" s="5">
        <f>_xlfn.TEXTJOIN(CHAR(10),TRUE,IF(Q113="","","• "&amp;Q113&amp;IF(R113="Yes","  [IPL]","")),IF(S113="","","• "&amp;S113&amp;IF(T113="Yes","  [IPL]","")),IF(U113="","","• "&amp;U113&amp;IF(V113="Yes","  [IPL]","")),IF(W113="","","• "&amp;W113&amp;IF(X113="Yes","  [IPL]","")),IF(Y113="","","• "&amp;Y113&amp;IF(Z113="Yes","  [IPL]","")),IF(AA113="","","• "&amp;AA113&amp;IF(AB113="Yes","  [IPL]","")))</f>
        <v/>
      </c>
      <c r="AD113" s="30">
        <f>IF(AC113="","",COUNTIF(Q113:AB113,"Yes"))</f>
        <v/>
      </c>
      <c r="AE113" s="19" t="n"/>
      <c r="AF113" s="19" t="n"/>
      <c r="AG113" s="30">
        <f>IF(OR(AE113="",AF113=""),"",INDEX(RiskGrid,6-VALUE(LEFT(AE113,1)),VALUE(LEFT(AF113,1))))</f>
        <v/>
      </c>
      <c r="AH113" s="30">
        <f>IF(AG113="","",IF(AG113&gt;=BandVH,"Very High",IF(AG113&gt;=BandHigh,"High",IF(AG113&gt;=BandMed,"Medium","Low"))))</f>
        <v/>
      </c>
      <c r="AI113" s="4" t="n"/>
      <c r="AJ113" s="4" t="n"/>
    </row>
  </sheetData>
  <mergeCells count="24">
    <mergeCell ref="A3:C3"/>
    <mergeCell ref="AC12:AD12"/>
    <mergeCell ref="D7:L7"/>
    <mergeCell ref="N3:O3"/>
    <mergeCell ref="A5:C5"/>
    <mergeCell ref="A8:C8"/>
    <mergeCell ref="D4:L4"/>
    <mergeCell ref="D3:L3"/>
    <mergeCell ref="D9:L9"/>
    <mergeCell ref="A4:C4"/>
    <mergeCell ref="D8:L8"/>
    <mergeCell ref="K12:L12"/>
    <mergeCell ref="D5:L5"/>
    <mergeCell ref="A9:C9"/>
    <mergeCell ref="AE12:AH12"/>
    <mergeCell ref="E12:J12"/>
    <mergeCell ref="Q12:AB12"/>
    <mergeCell ref="AI12:AJ12"/>
    <mergeCell ref="A11:L11"/>
    <mergeCell ref="A12:D12"/>
    <mergeCell ref="A6:C6"/>
    <mergeCell ref="M12:P12"/>
    <mergeCell ref="A7:C7"/>
    <mergeCell ref="D6:L6"/>
  </mergeCells>
  <conditionalFormatting sqref="O14:P113">
    <cfRule type="expression" priority="1" dxfId="0">
      <formula>$P14="Very High"</formula>
    </cfRule>
    <cfRule type="expression" priority="3" dxfId="1">
      <formula>$P14="High"</formula>
    </cfRule>
    <cfRule type="expression" priority="5" dxfId="2">
      <formula>$P14="Medium"</formula>
    </cfRule>
    <cfRule type="expression" priority="7" dxfId="3">
      <formula>$P14="Low"</formula>
    </cfRule>
  </conditionalFormatting>
  <conditionalFormatting sqref="AG14:AH113">
    <cfRule type="expression" priority="2" dxfId="0">
      <formula>$AH14="Very High"</formula>
    </cfRule>
    <cfRule type="expression" priority="4" dxfId="1">
      <formula>$AH14="High"</formula>
    </cfRule>
    <cfRule type="expression" priority="6" dxfId="2">
      <formula>$AH14="Medium"</formula>
    </cfRule>
    <cfRule type="expression" priority="8" dxfId="3">
      <formula>$AH14="Low"</formula>
    </cfRule>
  </conditionalFormatting>
  <dataValidations count="9">
    <dataValidation sqref="D3" showDropDown="0" showInputMessage="1" showErrorMessage="1" allowBlank="1" promptTitle="Select" prompt="Choose the node studied on this sheet" type="list">
      <formula1>=NodeList</formula1>
    </dataValidation>
    <dataValidation sqref="B14:B113" showDropDown="0" showInputMessage="1" showErrorMessage="1" allowBlank="1" promptTitle="Select" prompt="Parameter (from Lists)" type="list">
      <formula1>=ParamList</formula1>
    </dataValidation>
    <dataValidation sqref="C14:C113" showDropDown="0" showInputMessage="1" showErrorMessage="1" allowBlank="1" promptTitle="Select" prompt="Guidewords valid for this parameter" type="list">
      <formula1>=OFFSET(GWStart,MATCH($B14,GWParam,0)-1,0,COUNTIF(GWParam,$B14),1)</formula1>
    </dataValidation>
    <dataValidation sqref="E14:J113" showDropDown="0" showInputMessage="1" showErrorMessage="1" allowBlank="1" errorTitle="Not in list" error="Entry is not in the list – it will be accepted as free text." promptTitle="Select" prompt="Pick a cause for this deviation, or type your own." type="list" errorStyle="information">
      <formula1>=OFFSET(CauseStart,MATCH($B14&amp;"|"&amp;$C14,CauseKey,0)-1,0,MAX(1,COUNTIF(CauseKey,$B14&amp;"|"&amp;$C14)),1)</formula1>
    </dataValidation>
    <dataValidation sqref="M14:M113" showDropDown="0" showInputMessage="0" showErrorMessage="1" allowBlank="1" type="list">
      <formula1>=SevList</formula1>
    </dataValidation>
    <dataValidation sqref="N14:N113" showDropDown="0" showInputMessage="0" showErrorMessage="1" allowBlank="1" type="list">
      <formula1>=LikList</formula1>
    </dataValidation>
    <dataValidation sqref="AE14:AE113" showDropDown="0" showInputMessage="0" showErrorMessage="1" allowBlank="1" type="list">
      <formula1>=SevList</formula1>
    </dataValidation>
    <dataValidation sqref="AF14:AF113" showDropDown="0" showInputMessage="0" showErrorMessage="1" allowBlank="1" type="list">
      <formula1>=LikList</formula1>
    </dataValidation>
    <dataValidation sqref="R14:R113 T14:T113 V14:V113 X14:X113 Z14:Z113 AB14:AB113" showDropDown="0" showInputMessage="1" showErrorMessage="0" allowBlank="1" promptTitle="IPL?" prompt="Is this safeguard an Independent Protection Layer?" type="list">
      <formula1>=IPLList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M113"/>
  <sheetViews>
    <sheetView workbookViewId="0">
      <pane xSplit="4" ySplit="13" topLeftCell="E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4" customWidth="1" min="4" max="4"/>
    <col outlineLevel="1" width="26" customWidth="1" min="5" max="10"/>
    <col width="48" customWidth="1" min="11" max="11"/>
    <col width="42" customWidth="1" min="12" max="12"/>
    <col width="13" customWidth="1" min="13" max="13"/>
    <col width="13" customWidth="1" min="14" max="14"/>
    <col width="7" customWidth="1" min="15" max="15"/>
    <col width="10" customWidth="1" min="16" max="16"/>
    <col outlineLevel="1" width="28" customWidth="1" min="17" max="28"/>
    <col width="48" customWidth="1" min="29" max="29"/>
    <col width="7" customWidth="1" min="30" max="30"/>
    <col width="13" customWidth="1" min="31" max="31"/>
    <col width="13" customWidth="1" min="32" max="32"/>
    <col width="7" customWidth="1" min="33" max="33"/>
    <col width="10" customWidth="1" min="34" max="34"/>
    <col width="36" customWidth="1" min="35" max="35"/>
    <col width="14" customWidth="1" min="36" max="36"/>
  </cols>
  <sheetData>
    <row r="1">
      <c r="A1" s="24" t="inlineStr">
        <is>
          <t>HAZOP WORKSHEET</t>
        </is>
      </c>
      <c r="E1" s="25">
        <f>Cover!B7</f>
        <v/>
      </c>
    </row>
    <row r="3">
      <c r="A3" s="26" t="inlineStr">
        <is>
          <t>Select node ▸</t>
        </is>
      </c>
      <c r="B3" s="8" t="n"/>
      <c r="C3" s="9" t="n"/>
      <c r="D3" s="27" t="inlineStr">
        <is>
          <t>N07 – Purge, vent, blowdown and maintenance isolation</t>
        </is>
      </c>
      <c r="E3" s="8" t="n"/>
      <c r="F3" s="8" t="n"/>
      <c r="G3" s="8" t="n"/>
      <c r="H3" s="8" t="n"/>
      <c r="I3" s="8" t="n"/>
      <c r="J3" s="8" t="n"/>
      <c r="K3" s="8" t="n"/>
      <c r="L3" s="9" t="n"/>
      <c r="M3" s="26" t="inlineStr">
        <is>
          <t>Session date</t>
        </is>
      </c>
      <c r="N3" s="13" t="n">
        <v>46308</v>
      </c>
      <c r="O3" s="9" t="n"/>
      <c r="P3" s="26" t="inlineStr">
        <is>
          <t>Revision</t>
        </is>
      </c>
      <c r="Q3" s="4" t="inlineStr">
        <is>
          <t>A</t>
        </is>
      </c>
    </row>
    <row r="4" ht="16" customHeight="1">
      <c r="A4" s="10" t="inlineStr">
        <is>
          <t>Node title</t>
        </is>
      </c>
      <c r="B4" s="8" t="n"/>
      <c r="C4" s="9" t="n"/>
      <c r="D4" s="6">
        <f>IF($D$3="","",IFERROR(INDEX(Nodes!$B$5:$B$34,MATCH($D$3,Nodes!$C$5:$C$34,0))&amp;"",""))</f>
        <v/>
      </c>
      <c r="E4" s="8" t="n"/>
      <c r="F4" s="8" t="n"/>
      <c r="G4" s="8" t="n"/>
      <c r="H4" s="8" t="n"/>
      <c r="I4" s="8" t="n"/>
      <c r="J4" s="8" t="n"/>
      <c r="K4" s="8" t="n"/>
      <c r="L4" s="9" t="n"/>
    </row>
    <row r="5" ht="16" customHeight="1">
      <c r="A5" s="10" t="inlineStr">
        <is>
          <t>P&amp;IDs / drawings</t>
        </is>
      </c>
      <c r="B5" s="8" t="n"/>
      <c r="C5" s="9" t="n"/>
      <c r="D5" s="6">
        <f>IF($D$3="","",IFERROR(INDEX(Nodes!$D$5:$D$34,MATCH($D$3,Nodes!$C$5:$C$34,0))&amp;"",""))</f>
        <v/>
      </c>
      <c r="E5" s="8" t="n"/>
      <c r="F5" s="8" t="n"/>
      <c r="G5" s="8" t="n"/>
      <c r="H5" s="8" t="n"/>
      <c r="I5" s="8" t="n"/>
      <c r="J5" s="8" t="n"/>
      <c r="K5" s="8" t="n"/>
      <c r="L5" s="9" t="n"/>
    </row>
    <row r="6" ht="30" customHeight="1">
      <c r="A6" s="10" t="inlineStr">
        <is>
          <t>Battery limits</t>
        </is>
      </c>
      <c r="B6" s="8" t="n"/>
      <c r="C6" s="9" t="n"/>
      <c r="D6" s="6">
        <f>IF($D$3="","",IFERROR(INDEX(Nodes!$E$5:$E$34,MATCH($D$3,Nodes!$C$5:$C$34,0))&amp;"",""))</f>
        <v/>
      </c>
      <c r="E6" s="8" t="n"/>
      <c r="F6" s="8" t="n"/>
      <c r="G6" s="8" t="n"/>
      <c r="H6" s="8" t="n"/>
      <c r="I6" s="8" t="n"/>
      <c r="J6" s="8" t="n"/>
      <c r="K6" s="8" t="n"/>
      <c r="L6" s="9" t="n"/>
    </row>
    <row r="7" ht="30" customHeight="1">
      <c r="A7" s="10" t="inlineStr">
        <is>
          <t>Functional description / design intent</t>
        </is>
      </c>
      <c r="B7" s="8" t="n"/>
      <c r="C7" s="9" t="n"/>
      <c r="D7" s="6">
        <f>IF($D$3="","",IFERROR(INDEX(Nodes!$F$5:$F$34,MATCH($D$3,Nodes!$C$5:$C$34,0))&amp;"",""))</f>
        <v/>
      </c>
      <c r="E7" s="8" t="n"/>
      <c r="F7" s="8" t="n"/>
      <c r="G7" s="8" t="n"/>
      <c r="H7" s="8" t="n"/>
      <c r="I7" s="8" t="n"/>
      <c r="J7" s="8" t="n"/>
      <c r="K7" s="8" t="n"/>
      <c r="L7" s="9" t="n"/>
    </row>
    <row r="8" ht="16" customHeight="1">
      <c r="A8" s="10" t="inlineStr">
        <is>
          <t>Design parameters</t>
        </is>
      </c>
      <c r="B8" s="8" t="n"/>
      <c r="C8" s="9" t="n"/>
      <c r="D8" s="6">
        <f>IF($D$3="","",IFERROR(INDEX(Nodes!$G$5:$G$34,MATCH($D$3,Nodes!$C$5:$C$34,0))&amp;"",""))</f>
        <v/>
      </c>
      <c r="E8" s="8" t="n"/>
      <c r="F8" s="8" t="n"/>
      <c r="G8" s="8" t="n"/>
      <c r="H8" s="8" t="n"/>
      <c r="I8" s="8" t="n"/>
      <c r="J8" s="8" t="n"/>
      <c r="K8" s="8" t="n"/>
      <c r="L8" s="9" t="n"/>
    </row>
    <row r="9" ht="16" customHeight="1">
      <c r="A9" s="10" t="inlineStr">
        <is>
          <t>Operating parameters</t>
        </is>
      </c>
      <c r="B9" s="8" t="n"/>
      <c r="C9" s="9" t="n"/>
      <c r="D9" s="6">
        <f>IF($D$3="","",IFERROR(INDEX(Nodes!$H$5:$H$34,MATCH($D$3,Nodes!$C$5:$C$34,0))&amp;"",""))</f>
        <v/>
      </c>
      <c r="E9" s="8" t="n"/>
      <c r="F9" s="8" t="n"/>
      <c r="G9" s="8" t="n"/>
      <c r="H9" s="8" t="n"/>
      <c r="I9" s="8" t="n"/>
      <c r="J9" s="8" t="n"/>
      <c r="K9" s="8" t="n"/>
      <c r="L9" s="9" t="n"/>
    </row>
    <row r="11">
      <c r="A11" s="2" t="inlineStr">
        <is>
          <t>ONE ROW PER DEVIATION. Choose Parameter + Guideword, then pick up to 6 causes in Cause 1–6 (or type your own) – they are listed line by line in 'Potential causes'. Enter up to 6 safeguards, each marked IPL Yes/No – listed in 'Safeguards'. Use the [–] buttons above the columns to collapse the pick columns.</t>
        </is>
      </c>
    </row>
    <row r="12">
      <c r="A12" s="7" t="inlineStr">
        <is>
          <t>DEVIATION</t>
        </is>
      </c>
      <c r="B12" s="8" t="n"/>
      <c r="C12" s="8" t="n"/>
      <c r="D12" s="9" t="n"/>
      <c r="E12" s="7" t="inlineStr">
        <is>
          <t>CAUSE PICK-LIST</t>
        </is>
      </c>
      <c r="F12" s="8" t="n"/>
      <c r="G12" s="8" t="n"/>
      <c r="H12" s="8" t="n"/>
      <c r="I12" s="8" t="n"/>
      <c r="J12" s="9" t="n"/>
      <c r="K12" s="7" t="inlineStr">
        <is>
          <t>CAUSES &amp; CONSEQUENCES</t>
        </is>
      </c>
      <c r="L12" s="9" t="n"/>
      <c r="M12" s="7" t="inlineStr">
        <is>
          <t>RISK BEFORE SAFEGUARDS</t>
        </is>
      </c>
      <c r="N12" s="8" t="n"/>
      <c r="O12" s="8" t="n"/>
      <c r="P12" s="9" t="n"/>
      <c r="Q12" s="7" t="inlineStr">
        <is>
          <t>SAFEGUARD ENTRY (mark each IPL Yes / No)</t>
        </is>
      </c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9" t="n"/>
      <c r="AC12" s="7" t="inlineStr">
        <is>
          <t>SAFEGUARDS</t>
        </is>
      </c>
      <c r="AD12" s="9" t="n"/>
      <c r="AE12" s="7" t="inlineStr">
        <is>
          <t>RISK AFTER SAFEGUARDS</t>
        </is>
      </c>
      <c r="AF12" s="8" t="n"/>
      <c r="AG12" s="8" t="n"/>
      <c r="AH12" s="9" t="n"/>
      <c r="AI12" s="7" t="inlineStr">
        <is>
          <t>RECOMMENDATIONS</t>
        </is>
      </c>
      <c r="AJ12" s="9" t="n"/>
    </row>
    <row r="13" ht="30" customHeight="1">
      <c r="A13" s="7" t="inlineStr">
        <is>
          <t>Dev. No.</t>
        </is>
      </c>
      <c r="B13" s="7" t="inlineStr">
        <is>
          <t>Parameter</t>
        </is>
      </c>
      <c r="C13" s="7" t="inlineStr">
        <is>
          <t>Guideword</t>
        </is>
      </c>
      <c r="D13" s="7" t="inlineStr">
        <is>
          <t>Deviation</t>
        </is>
      </c>
      <c r="E13" s="29" t="inlineStr">
        <is>
          <t>Cause 1</t>
        </is>
      </c>
      <c r="F13" s="29" t="inlineStr">
        <is>
          <t>Cause 2</t>
        </is>
      </c>
      <c r="G13" s="29" t="inlineStr">
        <is>
          <t>Cause 3</t>
        </is>
      </c>
      <c r="H13" s="29" t="inlineStr">
        <is>
          <t>Cause 4</t>
        </is>
      </c>
      <c r="I13" s="29" t="inlineStr">
        <is>
          <t>Cause 5</t>
        </is>
      </c>
      <c r="J13" s="29" t="inlineStr">
        <is>
          <t>Cause 6</t>
        </is>
      </c>
      <c r="K13" s="7" t="inlineStr">
        <is>
          <t>Potential causes</t>
        </is>
      </c>
      <c r="L13" s="7" t="inlineStr">
        <is>
          <t>Consequences</t>
        </is>
      </c>
      <c r="M13" s="7" t="inlineStr">
        <is>
          <t>Severity (S)</t>
        </is>
      </c>
      <c r="N13" s="7" t="inlineStr">
        <is>
          <t>Likelihood (L)</t>
        </is>
      </c>
      <c r="O13" s="7" t="inlineStr">
        <is>
          <t>Risk score</t>
        </is>
      </c>
      <c r="P13" s="7" t="inlineStr">
        <is>
          <t>Risk rank</t>
        </is>
      </c>
      <c r="Q13" s="29" t="inlineStr">
        <is>
          <t>Safeguard 1</t>
        </is>
      </c>
      <c r="R13" s="29" t="inlineStr">
        <is>
          <t>IPL? 1</t>
        </is>
      </c>
      <c r="S13" s="29" t="inlineStr">
        <is>
          <t>Safeguard 2</t>
        </is>
      </c>
      <c r="T13" s="29" t="inlineStr">
        <is>
          <t>IPL? 2</t>
        </is>
      </c>
      <c r="U13" s="29" t="inlineStr">
        <is>
          <t>Safeguard 3</t>
        </is>
      </c>
      <c r="V13" s="29" t="inlineStr">
        <is>
          <t>IPL? 3</t>
        </is>
      </c>
      <c r="W13" s="29" t="inlineStr">
        <is>
          <t>Safeguard 4</t>
        </is>
      </c>
      <c r="X13" s="29" t="inlineStr">
        <is>
          <t>IPL? 4</t>
        </is>
      </c>
      <c r="Y13" s="29" t="inlineStr">
        <is>
          <t>Safeguard 5</t>
        </is>
      </c>
      <c r="Z13" s="29" t="inlineStr">
        <is>
          <t>IPL? 5</t>
        </is>
      </c>
      <c r="AA13" s="29" t="inlineStr">
        <is>
          <t>Safeguard 6</t>
        </is>
      </c>
      <c r="AB13" s="29" t="inlineStr">
        <is>
          <t>IPL? 6</t>
        </is>
      </c>
      <c r="AC13" s="7" t="inlineStr">
        <is>
          <t>Safeguards</t>
        </is>
      </c>
      <c r="AD13" s="7" t="inlineStr">
        <is>
          <t>No. of IPLs</t>
        </is>
      </c>
      <c r="AE13" s="7" t="inlineStr">
        <is>
          <t>Severity (S)</t>
        </is>
      </c>
      <c r="AF13" s="7" t="inlineStr">
        <is>
          <t>Likelihood (L)</t>
        </is>
      </c>
      <c r="AG13" s="7" t="inlineStr">
        <is>
          <t>Risk score</t>
        </is>
      </c>
      <c r="AH13" s="7" t="inlineStr">
        <is>
          <t>Risk rank</t>
        </is>
      </c>
      <c r="AI13" s="7" t="inlineStr">
        <is>
          <t>Recommendations / actions</t>
        </is>
      </c>
      <c r="AJ13" s="7" t="inlineStr">
        <is>
          <t>Action by</t>
        </is>
      </c>
    </row>
    <row r="14" ht="90" customHeight="1">
      <c r="A14" s="30">
        <f>IF(B14="","",COUNTIF(B$14:B14,"?*"))</f>
        <v/>
      </c>
      <c r="B14" s="4" t="inlineStr">
        <is>
          <t>Air / oxygen in process gas</t>
        </is>
      </c>
      <c r="C14" s="19" t="inlineStr">
        <is>
          <t>AS WELL AS</t>
        </is>
      </c>
      <c r="D14" s="5">
        <f>IF(OR(B14="",C14=""),"",UPPER(LEFT(C14,1))&amp;LOWER(MID(C14,2,30))&amp;" "&amp;LOWER(LEFT(B14,1))&amp;MID(B14,2,200))</f>
        <v/>
      </c>
      <c r="E14" s="4" t="inlineStr">
        <is>
          <t>Inadequate purging at start-up / shutdown</t>
        </is>
      </c>
      <c r="F14" s="4" t="inlineStr">
        <is>
          <t>Dead legs not purged</t>
        </is>
      </c>
      <c r="G14" s="4" t="n"/>
      <c r="H14" s="4" t="n"/>
      <c r="I14" s="4" t="n"/>
      <c r="J14" s="4" t="n"/>
      <c r="K14" s="5">
        <f>_xlfn.TEXTJOIN(CHAR(10),TRUE,IF(E14="","","• "&amp;E14),IF(F14="","","• "&amp;F14),IF(G14="","","• "&amp;G14),IF(H14="","","• "&amp;H14),IF(I14="","","• "&amp;I14),IF(J14="","","• "&amp;J14))</f>
        <v/>
      </c>
      <c r="L14" s="4" t="inlineStr">
        <is>
          <t>Flammable mixture in the line on gas-in – internal deflagration; flashback at the first burner lit
[N07-01] See N03-03.</t>
        </is>
      </c>
      <c r="M14" s="19" t="inlineStr">
        <is>
          <t>5 – Catastrophic</t>
        </is>
      </c>
      <c r="N14" s="19" t="inlineStr">
        <is>
          <t>3 – Possible</t>
        </is>
      </c>
      <c r="O14" s="30">
        <f>IF(OR(M14="",N14=""),"",INDEX(RiskGrid,6-VALUE(LEFT(M14,1)),VALUE(LEFT(N14,1))))</f>
        <v/>
      </c>
      <c r="P14" s="30">
        <f>IF(O14="","",IF(O14&gt;=BandVH,"Very High",IF(O14&gt;=BandHigh,"High",IF(O14&gt;=BandMed,"Medium","Low"))))</f>
        <v/>
      </c>
      <c r="Q14" s="4" t="inlineStr">
        <is>
          <t>Written purge plan OP-GN-020: N2 purge to O2 &lt; 2 % before gas-in and gas &gt; 90 % at the vent before relight (portable analyser)</t>
        </is>
      </c>
      <c r="R14" s="19" t="inlineStr">
        <is>
          <t>No</t>
        </is>
      </c>
      <c r="S14" s="4" t="n"/>
      <c r="T14" s="19" t="n"/>
      <c r="U14" s="4" t="n"/>
      <c r="V14" s="19" t="n"/>
      <c r="W14" s="4" t="n"/>
      <c r="X14" s="19" t="n"/>
      <c r="Y14" s="4" t="n"/>
      <c r="Z14" s="19" t="n"/>
      <c r="AA14" s="4" t="n"/>
      <c r="AB14" s="19" t="n"/>
      <c r="AC14" s="5">
        <f>_xlfn.TEXTJOIN(CHAR(10),TRUE,IF(Q14="","","• "&amp;Q14&amp;IF(R14="Yes","  [IPL]","")),IF(S14="","","• "&amp;S14&amp;IF(T14="Yes","  [IPL]","")),IF(U14="","","• "&amp;U14&amp;IF(V14="Yes","  [IPL]","")),IF(W14="","","• "&amp;W14&amp;IF(X14="Yes","  [IPL]","")),IF(Y14="","","• "&amp;Y14&amp;IF(Z14="Yes","  [IPL]","")),IF(AA14="","","• "&amp;AA14&amp;IF(AB14="Yes","  [IPL]","")))</f>
        <v/>
      </c>
      <c r="AD14" s="30">
        <f>IF(AC14="","",COUNTIF(Q14:AB14,"Yes"))</f>
        <v/>
      </c>
      <c r="AE14" s="19" t="inlineStr">
        <is>
          <t>5 – Catastrophic</t>
        </is>
      </c>
      <c r="AF14" s="19" t="inlineStr">
        <is>
          <t>2 – Unlikely</t>
        </is>
      </c>
      <c r="AG14" s="30">
        <f>IF(OR(AE14="",AF14=""),"",INDEX(RiskGrid,6-VALUE(LEFT(AE14,1)),VALUE(LEFT(AF14,1))))</f>
        <v/>
      </c>
      <c r="AH14" s="30">
        <f>IF(AG14="","",IF(AG14&gt;=BandVH,"Very High",IF(AG14&gt;=BandHigh,"High",IF(AG14&gt;=BandMed,"Medium","Low"))))</f>
        <v/>
      </c>
      <c r="AI14" s="4" t="inlineStr">
        <is>
          <t>R-015 Purge plan for every gas-in / gas-out: N2 purge with O2 &lt; 2 % confirmed before gas-in and gas &gt; 90 % confirmed at the vent before relight; calibrated portable analysers.</t>
        </is>
      </c>
      <c r="AJ14" s="4" t="inlineStr">
        <is>
          <t>Operations superintendent</t>
        </is>
      </c>
    </row>
    <row r="15" ht="90" customHeight="1">
      <c r="A15" s="30">
        <f>IF(B15="","",COUNTIF(B$14:B15,"?*"))</f>
        <v/>
      </c>
      <c r="B15" s="4" t="inlineStr">
        <is>
          <t>Inert gas (N2, Ar)</t>
        </is>
      </c>
      <c r="C15" s="19" t="inlineStr">
        <is>
          <t>LEAK OF</t>
        </is>
      </c>
      <c r="D15" s="5">
        <f>IF(OR(B15="",C15=""),"",UPPER(LEFT(C15,1))&amp;LOWER(MID(C15,2,30))&amp;" "&amp;LOWER(LEFT(B15,1))&amp;MID(B15,2,200))</f>
        <v/>
      </c>
      <c r="E15" s="4" t="inlineStr">
        <is>
          <t>Leak or purge into enclosed or confined area</t>
        </is>
      </c>
      <c r="F15" s="4" t="inlineStr">
        <is>
          <t>Pit, tunnel or bin atmosphere not tested before entry</t>
        </is>
      </c>
      <c r="G15" s="4" t="n"/>
      <c r="H15" s="4" t="n"/>
      <c r="I15" s="4" t="n"/>
      <c r="J15" s="4" t="n"/>
      <c r="K15" s="5">
        <f>_xlfn.TEXTJOIN(CHAR(10),TRUE,IF(E15="","","• "&amp;E15),IF(F15="","","• "&amp;F15),IF(G15="","","• "&amp;G15),IF(H15="","","• "&amp;H15),IF(I15="","","• "&amp;I15),IF(J15="","","• "&amp;J15))</f>
        <v/>
      </c>
      <c r="L15" s="4" t="inlineStr">
        <is>
          <t>Asphyxiation of people in the PRS shelter, valve pits or furnace
[N07-02]</t>
        </is>
      </c>
      <c r="M15" s="19" t="inlineStr">
        <is>
          <t>5 – Catastrophic</t>
        </is>
      </c>
      <c r="N15" s="19" t="inlineStr">
        <is>
          <t>3 – Possible</t>
        </is>
      </c>
      <c r="O15" s="30">
        <f>IF(OR(M15="",N15=""),"",INDEX(RiskGrid,6-VALUE(LEFT(M15,1)),VALUE(LEFT(N15,1))))</f>
        <v/>
      </c>
      <c r="P15" s="30">
        <f>IF(O15="","",IF(O15&gt;=BandVH,"Very High",IF(O15&gt;=BandHigh,"High",IF(O15&gt;=BandMed,"Medium","Low"))))</f>
        <v/>
      </c>
      <c r="Q15" s="4" t="inlineStr">
        <is>
          <t>Personal O2 monitors; confined-space entry permit for shelters, pits and furnaces</t>
        </is>
      </c>
      <c r="R15" s="19" t="inlineStr">
        <is>
          <t>No</t>
        </is>
      </c>
      <c r="S15" s="4" t="inlineStr">
        <is>
          <t>PRS shelter natural ventilation (louvres at high and low level)</t>
        </is>
      </c>
      <c r="T15" s="19" t="inlineStr">
        <is>
          <t>No</t>
        </is>
      </c>
      <c r="U15" s="4" t="n"/>
      <c r="V15" s="19" t="n"/>
      <c r="W15" s="4" t="n"/>
      <c r="X15" s="19" t="n"/>
      <c r="Y15" s="4" t="n"/>
      <c r="Z15" s="19" t="n"/>
      <c r="AA15" s="4" t="n"/>
      <c r="AB15" s="19" t="n"/>
      <c r="AC15" s="5">
        <f>_xlfn.TEXTJOIN(CHAR(10),TRUE,IF(Q15="","","• "&amp;Q15&amp;IF(R15="Yes","  [IPL]","")),IF(S15="","","• "&amp;S15&amp;IF(T15="Yes","  [IPL]","")),IF(U15="","","• "&amp;U15&amp;IF(V15="Yes","  [IPL]","")),IF(W15="","","• "&amp;W15&amp;IF(X15="Yes","  [IPL]","")),IF(Y15="","","• "&amp;Y15&amp;IF(Z15="Yes","  [IPL]","")),IF(AA15="","","• "&amp;AA15&amp;IF(AB15="Yes","  [IPL]","")))</f>
        <v/>
      </c>
      <c r="AD15" s="30">
        <f>IF(AC15="","",COUNTIF(Q15:AB15,"Yes"))</f>
        <v/>
      </c>
      <c r="AE15" s="19" t="inlineStr">
        <is>
          <t>5 – Catastrophic</t>
        </is>
      </c>
      <c r="AF15" s="19" t="inlineStr">
        <is>
          <t>2 – Unlikely</t>
        </is>
      </c>
      <c r="AG15" s="30">
        <f>IF(OR(AE15="",AF15=""),"",INDEX(RiskGrid,6-VALUE(LEFT(AE15,1)),VALUE(LEFT(AF15,1))))</f>
        <v/>
      </c>
      <c r="AH15" s="30">
        <f>IF(AG15="","",IF(AG15&gt;=BandVH,"Very High",IF(AG15&gt;=BandHigh,"High",IF(AG15&gt;=BandMed,"Medium","Low"))))</f>
        <v/>
      </c>
      <c r="AI15" s="4" t="inlineStr"/>
      <c r="AJ15" s="4" t="inlineStr"/>
    </row>
    <row r="16" ht="90" customHeight="1">
      <c r="A16" s="30">
        <f>IF(B16="","",COUNTIF(B$14:B16,"?*"))</f>
        <v/>
      </c>
      <c r="B16" s="4" t="inlineStr">
        <is>
          <t>Flow</t>
        </is>
      </c>
      <c r="C16" s="19" t="inlineStr">
        <is>
          <t>REVERSE</t>
        </is>
      </c>
      <c r="D16" s="5">
        <f>IF(OR(B16="",C16=""),"",UPPER(LEFT(C16,1))&amp;LOWER(MID(C16,2,30))&amp;" "&amp;LOWER(LEFT(B16,1))&amp;MID(B16,2,200))</f>
        <v/>
      </c>
      <c r="E16" s="4" t="inlineStr">
        <is>
          <t>Utility station connected to process (nitrogen hose left connected)</t>
        </is>
      </c>
      <c r="F16" s="4" t="inlineStr">
        <is>
          <t>N2 header pressure below gas pressure (7 barg)</t>
        </is>
      </c>
      <c r="G16" s="4" t="n"/>
      <c r="H16" s="4" t="n"/>
      <c r="I16" s="4" t="n"/>
      <c r="J16" s="4" t="n"/>
      <c r="K16" s="5">
        <f>_xlfn.TEXTJOIN(CHAR(10),TRUE,IF(E16="","","• "&amp;E16),IF(F16="","","• "&amp;F16),IF(G16="","","• "&amp;G16),IF(H16="","","• "&amp;H16),IF(I16="","","• "&amp;I16),IF(J16="","","• "&amp;J16))</f>
        <v/>
      </c>
      <c r="L16" s="4" t="inlineStr">
        <is>
          <t>NG in the plant N2 system: flammable gas delivered wherever N2 is used for inerting – including the hot DRI conveyor N2 fire-protection system XS-210 (see the hot DRI conveyor example)
[N07-03] FMECA S07 N2-1304; interface with the hot DRI conveyor example.</t>
        </is>
      </c>
      <c r="M16" s="19" t="inlineStr">
        <is>
          <t>5 – Catastrophic</t>
        </is>
      </c>
      <c r="N16" s="19" t="inlineStr">
        <is>
          <t>3 – Possible</t>
        </is>
      </c>
      <c r="O16" s="30">
        <f>IF(OR(M16="",N16=""),"",INDEX(RiskGrid,6-VALUE(LEFT(M16,1)),VALUE(LEFT(N16,1))))</f>
        <v/>
      </c>
      <c r="P16" s="30">
        <f>IF(O16="","",IF(O16&gt;=BandVH,"Very High",IF(O16&gt;=BandHigh,"High",IF(O16&gt;=BandMed,"Medium","Low"))))</f>
        <v/>
      </c>
      <c r="Q16" s="4" t="inlineStr">
        <is>
          <t>N2-1304 – N2 purge connections by removable spool / hose with check valve and double block &amp; bleed; disconnected after use</t>
        </is>
      </c>
      <c r="R16" s="19" t="inlineStr">
        <is>
          <t>No</t>
        </is>
      </c>
      <c r="S16" s="4" t="n"/>
      <c r="T16" s="19" t="n"/>
      <c r="U16" s="4" t="n"/>
      <c r="V16" s="19" t="n"/>
      <c r="W16" s="4" t="n"/>
      <c r="X16" s="19" t="n"/>
      <c r="Y16" s="4" t="n"/>
      <c r="Z16" s="19" t="n"/>
      <c r="AA16" s="4" t="n"/>
      <c r="AB16" s="19" t="n"/>
      <c r="AC16" s="5">
        <f>_xlfn.TEXTJOIN(CHAR(10),TRUE,IF(Q16="","","• "&amp;Q16&amp;IF(R16="Yes","  [IPL]","")),IF(S16="","","• "&amp;S16&amp;IF(T16="Yes","  [IPL]","")),IF(U16="","","• "&amp;U16&amp;IF(V16="Yes","  [IPL]","")),IF(W16="","","• "&amp;W16&amp;IF(X16="Yes","  [IPL]","")),IF(Y16="","","• "&amp;Y16&amp;IF(Z16="Yes","  [IPL]","")),IF(AA16="","","• "&amp;AA16&amp;IF(AB16="Yes","  [IPL]","")))</f>
        <v/>
      </c>
      <c r="AD16" s="30">
        <f>IF(AC16="","",COUNTIF(Q16:AB16,"Yes"))</f>
        <v/>
      </c>
      <c r="AE16" s="19" t="inlineStr">
        <is>
          <t>5 – Catastrophic</t>
        </is>
      </c>
      <c r="AF16" s="19" t="inlineStr">
        <is>
          <t>2 – Unlikely</t>
        </is>
      </c>
      <c r="AG16" s="30">
        <f>IF(OR(AE16="",AF16=""),"",INDEX(RiskGrid,6-VALUE(LEFT(AE16,1)),VALUE(LEFT(AF16,1))))</f>
        <v/>
      </c>
      <c r="AH16" s="30">
        <f>IF(AG16="","",IF(AG16&gt;=BandVH,"Very High",IF(AG16&gt;=BandHigh,"High",IF(AG16&gt;=BandMed,"Medium","Low"))))</f>
        <v/>
      </c>
      <c r="AI16" s="4" t="inlineStr">
        <is>
          <t>R-014 N2 purge connections to the gas system by removable spool / hose only, with check valve and double block &amp; bleed; disconnect after use (prevents NG back-flow into the plant N2 header that also feeds the hot DRI conveyor N2 system XS-210).</t>
        </is>
      </c>
      <c r="AJ16" s="4" t="inlineStr">
        <is>
          <t>Utilities manager</t>
        </is>
      </c>
    </row>
    <row r="17" ht="90" customHeight="1">
      <c r="A17" s="30">
        <f>IF(B17="","",COUNTIF(B$14:B17,"?*"))</f>
        <v/>
      </c>
      <c r="B17" s="4" t="inlineStr">
        <is>
          <t>Relief</t>
        </is>
      </c>
      <c r="C17" s="19" t="inlineStr">
        <is>
          <t>INADEQUATE</t>
        </is>
      </c>
      <c r="D17" s="5">
        <f>IF(OR(B17="",C17=""),"",UPPER(LEFT(C17,1))&amp;LOWER(MID(C17,2,30))&amp;" "&amp;LOWER(LEFT(B17,1))&amp;MID(B17,2,200))</f>
        <v/>
      </c>
      <c r="E17" s="4" t="inlineStr">
        <is>
          <t>Relief valve discharge location unsafe (to work areas, ignition sources)</t>
        </is>
      </c>
      <c r="F17" s="4" t="inlineStr">
        <is>
          <t>Pollution implications of discharge</t>
        </is>
      </c>
      <c r="G17" s="4" t="n"/>
      <c r="H17" s="4" t="n"/>
      <c r="I17" s="4" t="n"/>
      <c r="J17" s="4" t="n"/>
      <c r="K17" s="5">
        <f>_xlfn.TEXTJOIN(CHAR(10),TRUE,IF(E17="","","• "&amp;E17),IF(F17="","","• "&amp;F17),IF(G17="","","• "&amp;G17),IF(H17="","","• "&amp;H17),IF(I17="","","• "&amp;I17),IF(J17="","","• "&amp;J17))</f>
        <v/>
      </c>
      <c r="L17" s="4" t="inlineStr">
        <is>
          <t>Cold-vented gas drifts to platforms or the heater flues – flash fire
[N07-04]</t>
        </is>
      </c>
      <c r="M17" s="19" t="inlineStr">
        <is>
          <t>4 – Major</t>
        </is>
      </c>
      <c r="N17" s="19" t="inlineStr">
        <is>
          <t>3 – Possible</t>
        </is>
      </c>
      <c r="O17" s="30">
        <f>IF(OR(M17="",N17=""),"",INDEX(RiskGrid,6-VALUE(LEFT(M17,1)),VALUE(LEFT(N17,1))))</f>
        <v/>
      </c>
      <c r="P17" s="30">
        <f>IF(O17="","",IF(O17&gt;=BandVH,"Very High",IF(O17&gt;=BandHigh,"High",IF(O17&gt;=BandMed,"Medium","Low"))))</f>
        <v/>
      </c>
      <c r="Q17" s="4" t="inlineStr">
        <is>
          <t>VS-1301 – Vent stack VS-1301 3 m above the nearest platform, away from heater flues; N2 snuffing</t>
        </is>
      </c>
      <c r="R17" s="19" t="inlineStr">
        <is>
          <t>No</t>
        </is>
      </c>
      <c r="S17" s="4" t="n"/>
      <c r="T17" s="19" t="n"/>
      <c r="U17" s="4" t="n"/>
      <c r="V17" s="19" t="n"/>
      <c r="W17" s="4" t="n"/>
      <c r="X17" s="19" t="n"/>
      <c r="Y17" s="4" t="n"/>
      <c r="Z17" s="19" t="n"/>
      <c r="AA17" s="4" t="n"/>
      <c r="AB17" s="19" t="n"/>
      <c r="AC17" s="5">
        <f>_xlfn.TEXTJOIN(CHAR(10),TRUE,IF(Q17="","","• "&amp;Q17&amp;IF(R17="Yes","  [IPL]","")),IF(S17="","","• "&amp;S17&amp;IF(T17="Yes","  [IPL]","")),IF(U17="","","• "&amp;U17&amp;IF(V17="Yes","  [IPL]","")),IF(W17="","","• "&amp;W17&amp;IF(X17="Yes","  [IPL]","")),IF(Y17="","","• "&amp;Y17&amp;IF(Z17="Yes","  [IPL]","")),IF(AA17="","","• "&amp;AA17&amp;IF(AB17="Yes","  [IPL]","")))</f>
        <v/>
      </c>
      <c r="AD17" s="30">
        <f>IF(AC17="","",COUNTIF(Q17:AB17,"Yes"))</f>
        <v/>
      </c>
      <c r="AE17" s="19" t="inlineStr">
        <is>
          <t>4 – Major</t>
        </is>
      </c>
      <c r="AF17" s="19" t="inlineStr">
        <is>
          <t>2 – Unlikely</t>
        </is>
      </c>
      <c r="AG17" s="30">
        <f>IF(OR(AE17="",AF17=""),"",INDEX(RiskGrid,6-VALUE(LEFT(AE17,1)),VALUE(LEFT(AF17,1))))</f>
        <v/>
      </c>
      <c r="AH17" s="30">
        <f>IF(AG17="","",IF(AG17&gt;=BandVH,"Very High",IF(AG17&gt;=BandHigh,"High",IF(AG17&gt;=BandMed,"Medium","Low"))))</f>
        <v/>
      </c>
      <c r="AI17" s="4" t="inlineStr">
        <is>
          <t>R-005 Route all regulator pilot / diaphragm vents and the PSV-1105 discharge to vent stack VS-1301 outside the PRS shelter; confirm by dispersion check that the vent is clear of heater flues and platforms.</t>
        </is>
      </c>
      <c r="AJ17" s="4" t="inlineStr">
        <is>
          <t>Process engineer</t>
        </is>
      </c>
    </row>
    <row r="18" ht="90" customHeight="1">
      <c r="A18" s="30">
        <f>IF(B18="","",COUNTIF(B$14:B18,"?*"))</f>
        <v/>
      </c>
      <c r="B18" s="4" t="inlineStr">
        <is>
          <t>Maintenance</t>
        </is>
      </c>
      <c r="C18" s="19" t="inlineStr">
        <is>
          <t>INADEQUATE</t>
        </is>
      </c>
      <c r="D18" s="5">
        <f>IF(OR(B18="",C18=""),"",UPPER(LEFT(C18,1))&amp;LOWER(MID(C18,2,30))&amp;" "&amp;LOWER(LEFT(B18,1))&amp;MID(B18,2,200))</f>
        <v/>
      </c>
      <c r="E18" s="4" t="inlineStr">
        <is>
          <t>Work permit system</t>
        </is>
      </c>
      <c r="F18" s="4" t="inlineStr">
        <is>
          <t>Isolation, drainage, purging</t>
        </is>
      </c>
      <c r="G18" s="4" t="inlineStr">
        <is>
          <t>[S] Hot work near gas mains or dust; work under suspended loads; work inside cooled-down furnaces</t>
        </is>
      </c>
      <c r="H18" s="4" t="n"/>
      <c r="I18" s="4" t="n"/>
      <c r="J18" s="4" t="n"/>
      <c r="K18" s="5">
        <f>_xlfn.TEXTJOIN(CHAR(10),TRUE,IF(E18="","","• "&amp;E18),IF(F18="","","• "&amp;F18),IF(G18="","","• "&amp;G18),IF(H18="","","• "&amp;H18),IF(I18="","","• "&amp;I18),IF(J18="","","• "&amp;J18))</f>
        <v/>
      </c>
      <c r="L18" s="4" t="inlineStr">
        <is>
          <t>Ignition of gas at the work site – fire, burns
[N07-05] Bow tie BT-GN-01 threat T5.</t>
        </is>
      </c>
      <c r="M18" s="19" t="inlineStr">
        <is>
          <t>4 – Major</t>
        </is>
      </c>
      <c r="N18" s="19" t="inlineStr">
        <is>
          <t>3 – Possible</t>
        </is>
      </c>
      <c r="O18" s="30">
        <f>IF(OR(M18="",N18=""),"",INDEX(RiskGrid,6-VALUE(LEFT(M18,1)),VALUE(LEFT(N18,1))))</f>
        <v/>
      </c>
      <c r="P18" s="30">
        <f>IF(O18="","",IF(O18&gt;=BandVH,"Very High",IF(O18&gt;=BandHigh,"High",IF(O18&gt;=BandMed,"Medium","Low"))))</f>
        <v/>
      </c>
      <c r="Q18" s="4" t="inlineStr">
        <is>
          <t>Permit-to-work with isolation verification (DBB / spades), gas-free test and fire watch</t>
        </is>
      </c>
      <c r="R18" s="19" t="inlineStr">
        <is>
          <t>No</t>
        </is>
      </c>
      <c r="S18" s="4" t="inlineStr">
        <is>
          <t>Hot-tapping procedure (minimum flow, wall-thickness check, specialist contractor)</t>
        </is>
      </c>
      <c r="T18" s="19" t="inlineStr">
        <is>
          <t>No</t>
        </is>
      </c>
      <c r="U18" s="4" t="n"/>
      <c r="V18" s="19" t="n"/>
      <c r="W18" s="4" t="n"/>
      <c r="X18" s="19" t="n"/>
      <c r="Y18" s="4" t="n"/>
      <c r="Z18" s="19" t="n"/>
      <c r="AA18" s="4" t="n"/>
      <c r="AB18" s="19" t="n"/>
      <c r="AC18" s="5">
        <f>_xlfn.TEXTJOIN(CHAR(10),TRUE,IF(Q18="","","• "&amp;Q18&amp;IF(R18="Yes","  [IPL]","")),IF(S18="","","• "&amp;S18&amp;IF(T18="Yes","  [IPL]","")),IF(U18="","","• "&amp;U18&amp;IF(V18="Yes","  [IPL]","")),IF(W18="","","• "&amp;W18&amp;IF(X18="Yes","  [IPL]","")),IF(Y18="","","• "&amp;Y18&amp;IF(Z18="Yes","  [IPL]","")),IF(AA18="","","• "&amp;AA18&amp;IF(AB18="Yes","  [IPL]","")))</f>
        <v/>
      </c>
      <c r="AD18" s="30">
        <f>IF(AC18="","",COUNTIF(Q18:AB18,"Yes"))</f>
        <v/>
      </c>
      <c r="AE18" s="19" t="inlineStr">
        <is>
          <t>4 – Major</t>
        </is>
      </c>
      <c r="AF18" s="19" t="inlineStr">
        <is>
          <t>2 – Unlikely</t>
        </is>
      </c>
      <c r="AG18" s="30">
        <f>IF(OR(AE18="",AF18=""),"",INDEX(RiskGrid,6-VALUE(LEFT(AE18,1)),VALUE(LEFT(AF18,1))))</f>
        <v/>
      </c>
      <c r="AH18" s="30">
        <f>IF(AG18="","",IF(AG18&gt;=BandVH,"Very High",IF(AG18&gt;=BandHigh,"High",IF(AG18&gt;=BandMed,"Medium","Low"))))</f>
        <v/>
      </c>
      <c r="AI18" s="4" t="inlineStr"/>
      <c r="AJ18" s="4" t="inlineStr"/>
    </row>
    <row r="19" ht="90" customHeight="1">
      <c r="A19" s="30">
        <f>IF(B19="","",COUNTIF(B$14:B19,"?*"))</f>
        <v/>
      </c>
      <c r="B19" s="4" t="inlineStr">
        <is>
          <t>Operator action</t>
        </is>
      </c>
      <c r="C19" s="19" t="inlineStr">
        <is>
          <t>NO</t>
        </is>
      </c>
      <c r="D19" s="5">
        <f>IF(OR(B19="",C19=""),"",UPPER(LEFT(C19,1))&amp;LOWER(MID(C19,2,30))&amp;" "&amp;LOWER(LEFT(B19,1))&amp;MID(B19,2,200))</f>
        <v/>
      </c>
      <c r="E19" s="4" t="inlineStr">
        <is>
          <t>Drain or vent valves left open</t>
        </is>
      </c>
      <c r="F19" s="4" t="inlineStr">
        <is>
          <t>Valve line-up not checked after maintenance</t>
        </is>
      </c>
      <c r="G19" s="4" t="n"/>
      <c r="H19" s="4" t="n"/>
      <c r="I19" s="4" t="n"/>
      <c r="J19" s="4" t="n"/>
      <c r="K19" s="5">
        <f>_xlfn.TEXTJOIN(CHAR(10),TRUE,IF(E19="","","• "&amp;E19),IF(F19="","","• "&amp;F19),IF(G19="","","• "&amp;G19),IF(H19="","","• "&amp;H19),IF(I19="","","• "&amp;I19),IF(J19="","","• "&amp;J19))</f>
        <v/>
      </c>
      <c r="L19" s="4" t="inlineStr">
        <is>
          <t>Gas released through an open vent or blind flange on gas-in
[N07-06]</t>
        </is>
      </c>
      <c r="M19" s="19" t="inlineStr">
        <is>
          <t>4 – Major</t>
        </is>
      </c>
      <c r="N19" s="19" t="inlineStr">
        <is>
          <t>3 – Possible</t>
        </is>
      </c>
      <c r="O19" s="30">
        <f>IF(OR(M19="",N19=""),"",INDEX(RiskGrid,6-VALUE(LEFT(M19,1)),VALUE(LEFT(N19,1))))</f>
        <v/>
      </c>
      <c r="P19" s="30">
        <f>IF(O19="","",IF(O19&gt;=BandVH,"Very High",IF(O19&gt;=BandHigh,"High",IF(O19&gt;=BandMed,"Medium","Low"))))</f>
        <v/>
      </c>
      <c r="Q19" s="4" t="inlineStr">
        <is>
          <t>Valve line-up checklist and spectacle-blind register</t>
        </is>
      </c>
      <c r="R19" s="19" t="inlineStr">
        <is>
          <t>No</t>
        </is>
      </c>
      <c r="S19" s="4" t="inlineStr">
        <is>
          <t>Operator rounds with portable gas detector; annual acoustic leak survey</t>
        </is>
      </c>
      <c r="T19" s="19" t="inlineStr">
        <is>
          <t>No</t>
        </is>
      </c>
      <c r="U19" s="4" t="n"/>
      <c r="V19" s="19" t="n"/>
      <c r="W19" s="4" t="n"/>
      <c r="X19" s="19" t="n"/>
      <c r="Y19" s="4" t="n"/>
      <c r="Z19" s="19" t="n"/>
      <c r="AA19" s="4" t="n"/>
      <c r="AB19" s="19" t="n"/>
      <c r="AC19" s="5">
        <f>_xlfn.TEXTJOIN(CHAR(10),TRUE,IF(Q19="","","• "&amp;Q19&amp;IF(R19="Yes","  [IPL]","")),IF(S19="","","• "&amp;S19&amp;IF(T19="Yes","  [IPL]","")),IF(U19="","","• "&amp;U19&amp;IF(V19="Yes","  [IPL]","")),IF(W19="","","• "&amp;W19&amp;IF(X19="Yes","  [IPL]","")),IF(Y19="","","• "&amp;Y19&amp;IF(Z19="Yes","  [IPL]","")),IF(AA19="","","• "&amp;AA19&amp;IF(AB19="Yes","  [IPL]","")))</f>
        <v/>
      </c>
      <c r="AD19" s="30">
        <f>IF(AC19="","",COUNTIF(Q19:AB19,"Yes"))</f>
        <v/>
      </c>
      <c r="AE19" s="19" t="inlineStr">
        <is>
          <t>4 – Major</t>
        </is>
      </c>
      <c r="AF19" s="19" t="inlineStr">
        <is>
          <t>2 – Unlikely</t>
        </is>
      </c>
      <c r="AG19" s="30">
        <f>IF(OR(AE19="",AF19=""),"",INDEX(RiskGrid,6-VALUE(LEFT(AE19,1)),VALUE(LEFT(AF19,1))))</f>
        <v/>
      </c>
      <c r="AH19" s="30">
        <f>IF(AG19="","",IF(AG19&gt;=BandVH,"Very High",IF(AG19&gt;=BandHigh,"High",IF(AG19&gt;=BandMed,"Medium","Low"))))</f>
        <v/>
      </c>
      <c r="AI19" s="4" t="inlineStr">
        <is>
          <t>R-015 Purge plan for every gas-in / gas-out: N2 purge with O2 &lt; 2 % confirmed before gas-in and gas &gt; 90 % confirmed at the vent before relight; calibrated portable analysers.</t>
        </is>
      </c>
      <c r="AJ19" s="4" t="inlineStr">
        <is>
          <t>Operations superintendent</t>
        </is>
      </c>
    </row>
    <row r="20">
      <c r="A20" s="30">
        <f>IF(B20="","",COUNTIF(B$14:B20,"?*"))</f>
        <v/>
      </c>
      <c r="B20" s="4" t="n"/>
      <c r="C20" s="19" t="n"/>
      <c r="D20" s="5">
        <f>IF(OR(B20="",C20=""),"",UPPER(LEFT(C20,1))&amp;LOWER(MID(C20,2,30))&amp;" "&amp;LOWER(LEFT(B20,1))&amp;MID(B20,2,200))</f>
        <v/>
      </c>
      <c r="E20" s="4" t="n"/>
      <c r="F20" s="4" t="n"/>
      <c r="G20" s="4" t="n"/>
      <c r="H20" s="4" t="n"/>
      <c r="I20" s="4" t="n"/>
      <c r="J20" s="4" t="n"/>
      <c r="K20" s="5">
        <f>_xlfn.TEXTJOIN(CHAR(10),TRUE,IF(E20="","","• "&amp;E20),IF(F20="","","• "&amp;F20),IF(G20="","","• "&amp;G20),IF(H20="","","• "&amp;H20),IF(I20="","","• "&amp;I20),IF(J20="","","• "&amp;J20))</f>
        <v/>
      </c>
      <c r="L20" s="4" t="n"/>
      <c r="M20" s="19" t="n"/>
      <c r="N20" s="19" t="n"/>
      <c r="O20" s="30">
        <f>IF(OR(M20="",N20=""),"",INDEX(RiskGrid,6-VALUE(LEFT(M20,1)),VALUE(LEFT(N20,1))))</f>
        <v/>
      </c>
      <c r="P20" s="30">
        <f>IF(O20="","",IF(O20&gt;=BandVH,"Very High",IF(O20&gt;=BandHigh,"High",IF(O20&gt;=BandMed,"Medium","Low"))))</f>
        <v/>
      </c>
      <c r="Q20" s="4" t="n"/>
      <c r="R20" s="19" t="n"/>
      <c r="S20" s="4" t="n"/>
      <c r="T20" s="19" t="n"/>
      <c r="U20" s="4" t="n"/>
      <c r="V20" s="19" t="n"/>
      <c r="W20" s="4" t="n"/>
      <c r="X20" s="19" t="n"/>
      <c r="Y20" s="4" t="n"/>
      <c r="Z20" s="19" t="n"/>
      <c r="AA20" s="4" t="n"/>
      <c r="AB20" s="19" t="n"/>
      <c r="AC20" s="5">
        <f>_xlfn.TEXTJOIN(CHAR(10),TRUE,IF(Q20="","","• "&amp;Q20&amp;IF(R20="Yes","  [IPL]","")),IF(S20="","","• "&amp;S20&amp;IF(T20="Yes","  [IPL]","")),IF(U20="","","• "&amp;U20&amp;IF(V20="Yes","  [IPL]","")),IF(W20="","","• "&amp;W20&amp;IF(X20="Yes","  [IPL]","")),IF(Y20="","","• "&amp;Y20&amp;IF(Z20="Yes","  [IPL]","")),IF(AA20="","","• "&amp;AA20&amp;IF(AB20="Yes","  [IPL]","")))</f>
        <v/>
      </c>
      <c r="AD20" s="30">
        <f>IF(AC20="","",COUNTIF(Q20:AB20,"Yes"))</f>
        <v/>
      </c>
      <c r="AE20" s="19" t="n"/>
      <c r="AF20" s="19" t="n"/>
      <c r="AG20" s="30">
        <f>IF(OR(AE20="",AF20=""),"",INDEX(RiskGrid,6-VALUE(LEFT(AE20,1)),VALUE(LEFT(AF20,1))))</f>
        <v/>
      </c>
      <c r="AH20" s="30">
        <f>IF(AG20="","",IF(AG20&gt;=BandVH,"Very High",IF(AG20&gt;=BandHigh,"High",IF(AG20&gt;=BandMed,"Medium","Low"))))</f>
        <v/>
      </c>
      <c r="AI20" s="4" t="n"/>
      <c r="AJ20" s="4" t="n"/>
    </row>
    <row r="21">
      <c r="A21" s="30">
        <f>IF(B21="","",COUNTIF(B$14:B21,"?*"))</f>
        <v/>
      </c>
      <c r="B21" s="4" t="n"/>
      <c r="C21" s="19" t="n"/>
      <c r="D21" s="5">
        <f>IF(OR(B21="",C21=""),"",UPPER(LEFT(C21,1))&amp;LOWER(MID(C21,2,30))&amp;" "&amp;LOWER(LEFT(B21,1))&amp;MID(B21,2,200))</f>
        <v/>
      </c>
      <c r="E21" s="4" t="n"/>
      <c r="F21" s="4" t="n"/>
      <c r="G21" s="4" t="n"/>
      <c r="H21" s="4" t="n"/>
      <c r="I21" s="4" t="n"/>
      <c r="J21" s="4" t="n"/>
      <c r="K21" s="5">
        <f>_xlfn.TEXTJOIN(CHAR(10),TRUE,IF(E21="","","• "&amp;E21),IF(F21="","","• "&amp;F21),IF(G21="","","• "&amp;G21),IF(H21="","","• "&amp;H21),IF(I21="","","• "&amp;I21),IF(J21="","","• "&amp;J21))</f>
        <v/>
      </c>
      <c r="L21" s="4" t="n"/>
      <c r="M21" s="19" t="n"/>
      <c r="N21" s="19" t="n"/>
      <c r="O21" s="30">
        <f>IF(OR(M21="",N21=""),"",INDEX(RiskGrid,6-VALUE(LEFT(M21,1)),VALUE(LEFT(N21,1))))</f>
        <v/>
      </c>
      <c r="P21" s="30">
        <f>IF(O21="","",IF(O21&gt;=BandVH,"Very High",IF(O21&gt;=BandHigh,"High",IF(O21&gt;=BandMed,"Medium","Low"))))</f>
        <v/>
      </c>
      <c r="Q21" s="4" t="n"/>
      <c r="R21" s="19" t="n"/>
      <c r="S21" s="4" t="n"/>
      <c r="T21" s="19" t="n"/>
      <c r="U21" s="4" t="n"/>
      <c r="V21" s="19" t="n"/>
      <c r="W21" s="4" t="n"/>
      <c r="X21" s="19" t="n"/>
      <c r="Y21" s="4" t="n"/>
      <c r="Z21" s="19" t="n"/>
      <c r="AA21" s="4" t="n"/>
      <c r="AB21" s="19" t="n"/>
      <c r="AC21" s="5">
        <f>_xlfn.TEXTJOIN(CHAR(10),TRUE,IF(Q21="","","• "&amp;Q21&amp;IF(R21="Yes","  [IPL]","")),IF(S21="","","• "&amp;S21&amp;IF(T21="Yes","  [IPL]","")),IF(U21="","","• "&amp;U21&amp;IF(V21="Yes","  [IPL]","")),IF(W21="","","• "&amp;W21&amp;IF(X21="Yes","  [IPL]","")),IF(Y21="","","• "&amp;Y21&amp;IF(Z21="Yes","  [IPL]","")),IF(AA21="","","• "&amp;AA21&amp;IF(AB21="Yes","  [IPL]","")))</f>
        <v/>
      </c>
      <c r="AD21" s="30">
        <f>IF(AC21="","",COUNTIF(Q21:AB21,"Yes"))</f>
        <v/>
      </c>
      <c r="AE21" s="19" t="n"/>
      <c r="AF21" s="19" t="n"/>
      <c r="AG21" s="30">
        <f>IF(OR(AE21="",AF21=""),"",INDEX(RiskGrid,6-VALUE(LEFT(AE21,1)),VALUE(LEFT(AF21,1))))</f>
        <v/>
      </c>
      <c r="AH21" s="30">
        <f>IF(AG21="","",IF(AG21&gt;=BandVH,"Very High",IF(AG21&gt;=BandHigh,"High",IF(AG21&gt;=BandMed,"Medium","Low"))))</f>
        <v/>
      </c>
      <c r="AI21" s="4" t="n"/>
      <c r="AJ21" s="4" t="n"/>
    </row>
    <row r="22">
      <c r="A22" s="30">
        <f>IF(B22="","",COUNTIF(B$14:B22,"?*"))</f>
        <v/>
      </c>
      <c r="B22" s="4" t="n"/>
      <c r="C22" s="19" t="n"/>
      <c r="D22" s="5">
        <f>IF(OR(B22="",C22=""),"",UPPER(LEFT(C22,1))&amp;LOWER(MID(C22,2,30))&amp;" "&amp;LOWER(LEFT(B22,1))&amp;MID(B22,2,200))</f>
        <v/>
      </c>
      <c r="E22" s="4" t="n"/>
      <c r="F22" s="4" t="n"/>
      <c r="G22" s="4" t="n"/>
      <c r="H22" s="4" t="n"/>
      <c r="I22" s="4" t="n"/>
      <c r="J22" s="4" t="n"/>
      <c r="K22" s="5">
        <f>_xlfn.TEXTJOIN(CHAR(10),TRUE,IF(E22="","","• "&amp;E22),IF(F22="","","• "&amp;F22),IF(G22="","","• "&amp;G22),IF(H22="","","• "&amp;H22),IF(I22="","","• "&amp;I22),IF(J22="","","• "&amp;J22))</f>
        <v/>
      </c>
      <c r="L22" s="4" t="n"/>
      <c r="M22" s="19" t="n"/>
      <c r="N22" s="19" t="n"/>
      <c r="O22" s="30">
        <f>IF(OR(M22="",N22=""),"",INDEX(RiskGrid,6-VALUE(LEFT(M22,1)),VALUE(LEFT(N22,1))))</f>
        <v/>
      </c>
      <c r="P22" s="30">
        <f>IF(O22="","",IF(O22&gt;=BandVH,"Very High",IF(O22&gt;=BandHigh,"High",IF(O22&gt;=BandMed,"Medium","Low"))))</f>
        <v/>
      </c>
      <c r="Q22" s="4" t="n"/>
      <c r="R22" s="19" t="n"/>
      <c r="S22" s="4" t="n"/>
      <c r="T22" s="19" t="n"/>
      <c r="U22" s="4" t="n"/>
      <c r="V22" s="19" t="n"/>
      <c r="W22" s="4" t="n"/>
      <c r="X22" s="19" t="n"/>
      <c r="Y22" s="4" t="n"/>
      <c r="Z22" s="19" t="n"/>
      <c r="AA22" s="4" t="n"/>
      <c r="AB22" s="19" t="n"/>
      <c r="AC22" s="5">
        <f>_xlfn.TEXTJOIN(CHAR(10),TRUE,IF(Q22="","","• "&amp;Q22&amp;IF(R22="Yes","  [IPL]","")),IF(S22="","","• "&amp;S22&amp;IF(T22="Yes","  [IPL]","")),IF(U22="","","• "&amp;U22&amp;IF(V22="Yes","  [IPL]","")),IF(W22="","","• "&amp;W22&amp;IF(X22="Yes","  [IPL]","")),IF(Y22="","","• "&amp;Y22&amp;IF(Z22="Yes","  [IPL]","")),IF(AA22="","","• "&amp;AA22&amp;IF(AB22="Yes","  [IPL]","")))</f>
        <v/>
      </c>
      <c r="AD22" s="30">
        <f>IF(AC22="","",COUNTIF(Q22:AB22,"Yes"))</f>
        <v/>
      </c>
      <c r="AE22" s="19" t="n"/>
      <c r="AF22" s="19" t="n"/>
      <c r="AG22" s="30">
        <f>IF(OR(AE22="",AF22=""),"",INDEX(RiskGrid,6-VALUE(LEFT(AE22,1)),VALUE(LEFT(AF22,1))))</f>
        <v/>
      </c>
      <c r="AH22" s="30">
        <f>IF(AG22="","",IF(AG22&gt;=BandVH,"Very High",IF(AG22&gt;=BandHigh,"High",IF(AG22&gt;=BandMed,"Medium","Low"))))</f>
        <v/>
      </c>
      <c r="AI22" s="4" t="n"/>
      <c r="AJ22" s="4" t="n"/>
    </row>
    <row r="23">
      <c r="A23" s="30">
        <f>IF(B23="","",COUNTIF(B$14:B23,"?*"))</f>
        <v/>
      </c>
      <c r="B23" s="4" t="n"/>
      <c r="C23" s="19" t="n"/>
      <c r="D23" s="5">
        <f>IF(OR(B23="",C23=""),"",UPPER(LEFT(C23,1))&amp;LOWER(MID(C23,2,30))&amp;" "&amp;LOWER(LEFT(B23,1))&amp;MID(B23,2,200))</f>
        <v/>
      </c>
      <c r="E23" s="4" t="n"/>
      <c r="F23" s="4" t="n"/>
      <c r="G23" s="4" t="n"/>
      <c r="H23" s="4" t="n"/>
      <c r="I23" s="4" t="n"/>
      <c r="J23" s="4" t="n"/>
      <c r="K23" s="5">
        <f>_xlfn.TEXTJOIN(CHAR(10),TRUE,IF(E23="","","• "&amp;E23),IF(F23="","","• "&amp;F23),IF(G23="","","• "&amp;G23),IF(H23="","","• "&amp;H23),IF(I23="","","• "&amp;I23),IF(J23="","","• "&amp;J23))</f>
        <v/>
      </c>
      <c r="L23" s="4" t="n"/>
      <c r="M23" s="19" t="n"/>
      <c r="N23" s="19" t="n"/>
      <c r="O23" s="30">
        <f>IF(OR(M23="",N23=""),"",INDEX(RiskGrid,6-VALUE(LEFT(M23,1)),VALUE(LEFT(N23,1))))</f>
        <v/>
      </c>
      <c r="P23" s="30">
        <f>IF(O23="","",IF(O23&gt;=BandVH,"Very High",IF(O23&gt;=BandHigh,"High",IF(O23&gt;=BandMed,"Medium","Low"))))</f>
        <v/>
      </c>
      <c r="Q23" s="4" t="n"/>
      <c r="R23" s="19" t="n"/>
      <c r="S23" s="4" t="n"/>
      <c r="T23" s="19" t="n"/>
      <c r="U23" s="4" t="n"/>
      <c r="V23" s="19" t="n"/>
      <c r="W23" s="4" t="n"/>
      <c r="X23" s="19" t="n"/>
      <c r="Y23" s="4" t="n"/>
      <c r="Z23" s="19" t="n"/>
      <c r="AA23" s="4" t="n"/>
      <c r="AB23" s="19" t="n"/>
      <c r="AC23" s="5">
        <f>_xlfn.TEXTJOIN(CHAR(10),TRUE,IF(Q23="","","• "&amp;Q23&amp;IF(R23="Yes","  [IPL]","")),IF(S23="","","• "&amp;S23&amp;IF(T23="Yes","  [IPL]","")),IF(U23="","","• "&amp;U23&amp;IF(V23="Yes","  [IPL]","")),IF(W23="","","• "&amp;W23&amp;IF(X23="Yes","  [IPL]","")),IF(Y23="","","• "&amp;Y23&amp;IF(Z23="Yes","  [IPL]","")),IF(AA23="","","• "&amp;AA23&amp;IF(AB23="Yes","  [IPL]","")))</f>
        <v/>
      </c>
      <c r="AD23" s="30">
        <f>IF(AC23="","",COUNTIF(Q23:AB23,"Yes"))</f>
        <v/>
      </c>
      <c r="AE23" s="19" t="n"/>
      <c r="AF23" s="19" t="n"/>
      <c r="AG23" s="30">
        <f>IF(OR(AE23="",AF23=""),"",INDEX(RiskGrid,6-VALUE(LEFT(AE23,1)),VALUE(LEFT(AF23,1))))</f>
        <v/>
      </c>
      <c r="AH23" s="30">
        <f>IF(AG23="","",IF(AG23&gt;=BandVH,"Very High",IF(AG23&gt;=BandHigh,"High",IF(AG23&gt;=BandMed,"Medium","Low"))))</f>
        <v/>
      </c>
      <c r="AI23" s="4" t="n"/>
      <c r="AJ23" s="4" t="n"/>
    </row>
    <row r="24">
      <c r="A24" s="30">
        <f>IF(B24="","",COUNTIF(B$14:B24,"?*"))</f>
        <v/>
      </c>
      <c r="B24" s="4" t="n"/>
      <c r="C24" s="19" t="n"/>
      <c r="D24" s="5">
        <f>IF(OR(B24="",C24=""),"",UPPER(LEFT(C24,1))&amp;LOWER(MID(C24,2,30))&amp;" "&amp;LOWER(LEFT(B24,1))&amp;MID(B24,2,200))</f>
        <v/>
      </c>
      <c r="E24" s="4" t="n"/>
      <c r="F24" s="4" t="n"/>
      <c r="G24" s="4" t="n"/>
      <c r="H24" s="4" t="n"/>
      <c r="I24" s="4" t="n"/>
      <c r="J24" s="4" t="n"/>
      <c r="K24" s="5">
        <f>_xlfn.TEXTJOIN(CHAR(10),TRUE,IF(E24="","","• "&amp;E24),IF(F24="","","• "&amp;F24),IF(G24="","","• "&amp;G24),IF(H24="","","• "&amp;H24),IF(I24="","","• "&amp;I24),IF(J24="","","• "&amp;J24))</f>
        <v/>
      </c>
      <c r="L24" s="4" t="n"/>
      <c r="M24" s="19" t="n"/>
      <c r="N24" s="19" t="n"/>
      <c r="O24" s="30">
        <f>IF(OR(M24="",N24=""),"",INDEX(RiskGrid,6-VALUE(LEFT(M24,1)),VALUE(LEFT(N24,1))))</f>
        <v/>
      </c>
      <c r="P24" s="30">
        <f>IF(O24="","",IF(O24&gt;=BandVH,"Very High",IF(O24&gt;=BandHigh,"High",IF(O24&gt;=BandMed,"Medium","Low"))))</f>
        <v/>
      </c>
      <c r="Q24" s="4" t="n"/>
      <c r="R24" s="19" t="n"/>
      <c r="S24" s="4" t="n"/>
      <c r="T24" s="19" t="n"/>
      <c r="U24" s="4" t="n"/>
      <c r="V24" s="19" t="n"/>
      <c r="W24" s="4" t="n"/>
      <c r="X24" s="19" t="n"/>
      <c r="Y24" s="4" t="n"/>
      <c r="Z24" s="19" t="n"/>
      <c r="AA24" s="4" t="n"/>
      <c r="AB24" s="19" t="n"/>
      <c r="AC24" s="5">
        <f>_xlfn.TEXTJOIN(CHAR(10),TRUE,IF(Q24="","","• "&amp;Q24&amp;IF(R24="Yes","  [IPL]","")),IF(S24="","","• "&amp;S24&amp;IF(T24="Yes","  [IPL]","")),IF(U24="","","• "&amp;U24&amp;IF(V24="Yes","  [IPL]","")),IF(W24="","","• "&amp;W24&amp;IF(X24="Yes","  [IPL]","")),IF(Y24="","","• "&amp;Y24&amp;IF(Z24="Yes","  [IPL]","")),IF(AA24="","","• "&amp;AA24&amp;IF(AB24="Yes","  [IPL]","")))</f>
        <v/>
      </c>
      <c r="AD24" s="30">
        <f>IF(AC24="","",COUNTIF(Q24:AB24,"Yes"))</f>
        <v/>
      </c>
      <c r="AE24" s="19" t="n"/>
      <c r="AF24" s="19" t="n"/>
      <c r="AG24" s="30">
        <f>IF(OR(AE24="",AF24=""),"",INDEX(RiskGrid,6-VALUE(LEFT(AE24,1)),VALUE(LEFT(AF24,1))))</f>
        <v/>
      </c>
      <c r="AH24" s="30">
        <f>IF(AG24="","",IF(AG24&gt;=BandVH,"Very High",IF(AG24&gt;=BandHigh,"High",IF(AG24&gt;=BandMed,"Medium","Low"))))</f>
        <v/>
      </c>
      <c r="AI24" s="4" t="n"/>
      <c r="AJ24" s="4" t="n"/>
    </row>
    <row r="25">
      <c r="A25" s="30">
        <f>IF(B25="","",COUNTIF(B$14:B25,"?*"))</f>
        <v/>
      </c>
      <c r="B25" s="4" t="n"/>
      <c r="C25" s="19" t="n"/>
      <c r="D25" s="5">
        <f>IF(OR(B25="",C25=""),"",UPPER(LEFT(C25,1))&amp;LOWER(MID(C25,2,30))&amp;" "&amp;LOWER(LEFT(B25,1))&amp;MID(B25,2,200))</f>
        <v/>
      </c>
      <c r="E25" s="4" t="n"/>
      <c r="F25" s="4" t="n"/>
      <c r="G25" s="4" t="n"/>
      <c r="H25" s="4" t="n"/>
      <c r="I25" s="4" t="n"/>
      <c r="J25" s="4" t="n"/>
      <c r="K25" s="5">
        <f>_xlfn.TEXTJOIN(CHAR(10),TRUE,IF(E25="","","• "&amp;E25),IF(F25="","","• "&amp;F25),IF(G25="","","• "&amp;G25),IF(H25="","","• "&amp;H25),IF(I25="","","• "&amp;I25),IF(J25="","","• "&amp;J25))</f>
        <v/>
      </c>
      <c r="L25" s="4" t="n"/>
      <c r="M25" s="19" t="n"/>
      <c r="N25" s="19" t="n"/>
      <c r="O25" s="30">
        <f>IF(OR(M25="",N25=""),"",INDEX(RiskGrid,6-VALUE(LEFT(M25,1)),VALUE(LEFT(N25,1))))</f>
        <v/>
      </c>
      <c r="P25" s="30">
        <f>IF(O25="","",IF(O25&gt;=BandVH,"Very High",IF(O25&gt;=BandHigh,"High",IF(O25&gt;=BandMed,"Medium","Low"))))</f>
        <v/>
      </c>
      <c r="Q25" s="4" t="n"/>
      <c r="R25" s="19" t="n"/>
      <c r="S25" s="4" t="n"/>
      <c r="T25" s="19" t="n"/>
      <c r="U25" s="4" t="n"/>
      <c r="V25" s="19" t="n"/>
      <c r="W25" s="4" t="n"/>
      <c r="X25" s="19" t="n"/>
      <c r="Y25" s="4" t="n"/>
      <c r="Z25" s="19" t="n"/>
      <c r="AA25" s="4" t="n"/>
      <c r="AB25" s="19" t="n"/>
      <c r="AC25" s="5">
        <f>_xlfn.TEXTJOIN(CHAR(10),TRUE,IF(Q25="","","• "&amp;Q25&amp;IF(R25="Yes","  [IPL]","")),IF(S25="","","• "&amp;S25&amp;IF(T25="Yes","  [IPL]","")),IF(U25="","","• "&amp;U25&amp;IF(V25="Yes","  [IPL]","")),IF(W25="","","• "&amp;W25&amp;IF(X25="Yes","  [IPL]","")),IF(Y25="","","• "&amp;Y25&amp;IF(Z25="Yes","  [IPL]","")),IF(AA25="","","• "&amp;AA25&amp;IF(AB25="Yes","  [IPL]","")))</f>
        <v/>
      </c>
      <c r="AD25" s="30">
        <f>IF(AC25="","",COUNTIF(Q25:AB25,"Yes"))</f>
        <v/>
      </c>
      <c r="AE25" s="19" t="n"/>
      <c r="AF25" s="19" t="n"/>
      <c r="AG25" s="30">
        <f>IF(OR(AE25="",AF25=""),"",INDEX(RiskGrid,6-VALUE(LEFT(AE25,1)),VALUE(LEFT(AF25,1))))</f>
        <v/>
      </c>
      <c r="AH25" s="30">
        <f>IF(AG25="","",IF(AG25&gt;=BandVH,"Very High",IF(AG25&gt;=BandHigh,"High",IF(AG25&gt;=BandMed,"Medium","Low"))))</f>
        <v/>
      </c>
      <c r="AI25" s="4" t="n"/>
      <c r="AJ25" s="4" t="n"/>
    </row>
    <row r="26">
      <c r="A26" s="30">
        <f>IF(B26="","",COUNTIF(B$14:B26,"?*"))</f>
        <v/>
      </c>
      <c r="B26" s="4" t="n"/>
      <c r="C26" s="19" t="n"/>
      <c r="D26" s="5">
        <f>IF(OR(B26="",C26=""),"",UPPER(LEFT(C26,1))&amp;LOWER(MID(C26,2,30))&amp;" "&amp;LOWER(LEFT(B26,1))&amp;MID(B26,2,200))</f>
        <v/>
      </c>
      <c r="E26" s="4" t="n"/>
      <c r="F26" s="4" t="n"/>
      <c r="G26" s="4" t="n"/>
      <c r="H26" s="4" t="n"/>
      <c r="I26" s="4" t="n"/>
      <c r="J26" s="4" t="n"/>
      <c r="K26" s="5">
        <f>_xlfn.TEXTJOIN(CHAR(10),TRUE,IF(E26="","","• "&amp;E26),IF(F26="","","• "&amp;F26),IF(G26="","","• "&amp;G26),IF(H26="","","• "&amp;H26),IF(I26="","","• "&amp;I26),IF(J26="","","• "&amp;J26))</f>
        <v/>
      </c>
      <c r="L26" s="4" t="n"/>
      <c r="M26" s="19" t="n"/>
      <c r="N26" s="19" t="n"/>
      <c r="O26" s="30">
        <f>IF(OR(M26="",N26=""),"",INDEX(RiskGrid,6-VALUE(LEFT(M26,1)),VALUE(LEFT(N26,1))))</f>
        <v/>
      </c>
      <c r="P26" s="30">
        <f>IF(O26="","",IF(O26&gt;=BandVH,"Very High",IF(O26&gt;=BandHigh,"High",IF(O26&gt;=BandMed,"Medium","Low"))))</f>
        <v/>
      </c>
      <c r="Q26" s="4" t="n"/>
      <c r="R26" s="19" t="n"/>
      <c r="S26" s="4" t="n"/>
      <c r="T26" s="19" t="n"/>
      <c r="U26" s="4" t="n"/>
      <c r="V26" s="19" t="n"/>
      <c r="W26" s="4" t="n"/>
      <c r="X26" s="19" t="n"/>
      <c r="Y26" s="4" t="n"/>
      <c r="Z26" s="19" t="n"/>
      <c r="AA26" s="4" t="n"/>
      <c r="AB26" s="19" t="n"/>
      <c r="AC26" s="5">
        <f>_xlfn.TEXTJOIN(CHAR(10),TRUE,IF(Q26="","","• "&amp;Q26&amp;IF(R26="Yes","  [IPL]","")),IF(S26="","","• "&amp;S26&amp;IF(T26="Yes","  [IPL]","")),IF(U26="","","• "&amp;U26&amp;IF(V26="Yes","  [IPL]","")),IF(W26="","","• "&amp;W26&amp;IF(X26="Yes","  [IPL]","")),IF(Y26="","","• "&amp;Y26&amp;IF(Z26="Yes","  [IPL]","")),IF(AA26="","","• "&amp;AA26&amp;IF(AB26="Yes","  [IPL]","")))</f>
        <v/>
      </c>
      <c r="AD26" s="30">
        <f>IF(AC26="","",COUNTIF(Q26:AB26,"Yes"))</f>
        <v/>
      </c>
      <c r="AE26" s="19" t="n"/>
      <c r="AF26" s="19" t="n"/>
      <c r="AG26" s="30">
        <f>IF(OR(AE26="",AF26=""),"",INDEX(RiskGrid,6-VALUE(LEFT(AE26,1)),VALUE(LEFT(AF26,1))))</f>
        <v/>
      </c>
      <c r="AH26" s="30">
        <f>IF(AG26="","",IF(AG26&gt;=BandVH,"Very High",IF(AG26&gt;=BandHigh,"High",IF(AG26&gt;=BandMed,"Medium","Low"))))</f>
        <v/>
      </c>
      <c r="AI26" s="4" t="n"/>
      <c r="AJ26" s="4" t="n"/>
    </row>
    <row r="27">
      <c r="A27" s="30">
        <f>IF(B27="","",COUNTIF(B$14:B27,"?*"))</f>
        <v/>
      </c>
      <c r="B27" s="4" t="n"/>
      <c r="C27" s="19" t="n"/>
      <c r="D27" s="5">
        <f>IF(OR(B27="",C27=""),"",UPPER(LEFT(C27,1))&amp;LOWER(MID(C27,2,30))&amp;" "&amp;LOWER(LEFT(B27,1))&amp;MID(B27,2,200))</f>
        <v/>
      </c>
      <c r="E27" s="4" t="n"/>
      <c r="F27" s="4" t="n"/>
      <c r="G27" s="4" t="n"/>
      <c r="H27" s="4" t="n"/>
      <c r="I27" s="4" t="n"/>
      <c r="J27" s="4" t="n"/>
      <c r="K27" s="5">
        <f>_xlfn.TEXTJOIN(CHAR(10),TRUE,IF(E27="","","• "&amp;E27),IF(F27="","","• "&amp;F27),IF(G27="","","• "&amp;G27),IF(H27="","","• "&amp;H27),IF(I27="","","• "&amp;I27),IF(J27="","","• "&amp;J27))</f>
        <v/>
      </c>
      <c r="L27" s="4" t="n"/>
      <c r="M27" s="19" t="n"/>
      <c r="N27" s="19" t="n"/>
      <c r="O27" s="30">
        <f>IF(OR(M27="",N27=""),"",INDEX(RiskGrid,6-VALUE(LEFT(M27,1)),VALUE(LEFT(N27,1))))</f>
        <v/>
      </c>
      <c r="P27" s="30">
        <f>IF(O27="","",IF(O27&gt;=BandVH,"Very High",IF(O27&gt;=BandHigh,"High",IF(O27&gt;=BandMed,"Medium","Low"))))</f>
        <v/>
      </c>
      <c r="Q27" s="4" t="n"/>
      <c r="R27" s="19" t="n"/>
      <c r="S27" s="4" t="n"/>
      <c r="T27" s="19" t="n"/>
      <c r="U27" s="4" t="n"/>
      <c r="V27" s="19" t="n"/>
      <c r="W27" s="4" t="n"/>
      <c r="X27" s="19" t="n"/>
      <c r="Y27" s="4" t="n"/>
      <c r="Z27" s="19" t="n"/>
      <c r="AA27" s="4" t="n"/>
      <c r="AB27" s="19" t="n"/>
      <c r="AC27" s="5">
        <f>_xlfn.TEXTJOIN(CHAR(10),TRUE,IF(Q27="","","• "&amp;Q27&amp;IF(R27="Yes","  [IPL]","")),IF(S27="","","• "&amp;S27&amp;IF(T27="Yes","  [IPL]","")),IF(U27="","","• "&amp;U27&amp;IF(V27="Yes","  [IPL]","")),IF(W27="","","• "&amp;W27&amp;IF(X27="Yes","  [IPL]","")),IF(Y27="","","• "&amp;Y27&amp;IF(Z27="Yes","  [IPL]","")),IF(AA27="","","• "&amp;AA27&amp;IF(AB27="Yes","  [IPL]","")))</f>
        <v/>
      </c>
      <c r="AD27" s="30">
        <f>IF(AC27="","",COUNTIF(Q27:AB27,"Yes"))</f>
        <v/>
      </c>
      <c r="AE27" s="19" t="n"/>
      <c r="AF27" s="19" t="n"/>
      <c r="AG27" s="30">
        <f>IF(OR(AE27="",AF27=""),"",INDEX(RiskGrid,6-VALUE(LEFT(AE27,1)),VALUE(LEFT(AF27,1))))</f>
        <v/>
      </c>
      <c r="AH27" s="30">
        <f>IF(AG27="","",IF(AG27&gt;=BandVH,"Very High",IF(AG27&gt;=BandHigh,"High",IF(AG27&gt;=BandMed,"Medium","Low"))))</f>
        <v/>
      </c>
      <c r="AI27" s="4" t="n"/>
      <c r="AJ27" s="4" t="n"/>
    </row>
    <row r="28">
      <c r="A28" s="30">
        <f>IF(B28="","",COUNTIF(B$14:B28,"?*"))</f>
        <v/>
      </c>
      <c r="B28" s="4" t="n"/>
      <c r="C28" s="19" t="n"/>
      <c r="D28" s="5">
        <f>IF(OR(B28="",C28=""),"",UPPER(LEFT(C28,1))&amp;LOWER(MID(C28,2,30))&amp;" "&amp;LOWER(LEFT(B28,1))&amp;MID(B28,2,200))</f>
        <v/>
      </c>
      <c r="E28" s="4" t="n"/>
      <c r="F28" s="4" t="n"/>
      <c r="G28" s="4" t="n"/>
      <c r="H28" s="4" t="n"/>
      <c r="I28" s="4" t="n"/>
      <c r="J28" s="4" t="n"/>
      <c r="K28" s="5">
        <f>_xlfn.TEXTJOIN(CHAR(10),TRUE,IF(E28="","","• "&amp;E28),IF(F28="","","• "&amp;F28),IF(G28="","","• "&amp;G28),IF(H28="","","• "&amp;H28),IF(I28="","","• "&amp;I28),IF(J28="","","• "&amp;J28))</f>
        <v/>
      </c>
      <c r="L28" s="4" t="n"/>
      <c r="M28" s="19" t="n"/>
      <c r="N28" s="19" t="n"/>
      <c r="O28" s="30">
        <f>IF(OR(M28="",N28=""),"",INDEX(RiskGrid,6-VALUE(LEFT(M28,1)),VALUE(LEFT(N28,1))))</f>
        <v/>
      </c>
      <c r="P28" s="30">
        <f>IF(O28="","",IF(O28&gt;=BandVH,"Very High",IF(O28&gt;=BandHigh,"High",IF(O28&gt;=BandMed,"Medium","Low"))))</f>
        <v/>
      </c>
      <c r="Q28" s="4" t="n"/>
      <c r="R28" s="19" t="n"/>
      <c r="S28" s="4" t="n"/>
      <c r="T28" s="19" t="n"/>
      <c r="U28" s="4" t="n"/>
      <c r="V28" s="19" t="n"/>
      <c r="W28" s="4" t="n"/>
      <c r="X28" s="19" t="n"/>
      <c r="Y28" s="4" t="n"/>
      <c r="Z28" s="19" t="n"/>
      <c r="AA28" s="4" t="n"/>
      <c r="AB28" s="19" t="n"/>
      <c r="AC28" s="5">
        <f>_xlfn.TEXTJOIN(CHAR(10),TRUE,IF(Q28="","","• "&amp;Q28&amp;IF(R28="Yes","  [IPL]","")),IF(S28="","","• "&amp;S28&amp;IF(T28="Yes","  [IPL]","")),IF(U28="","","• "&amp;U28&amp;IF(V28="Yes","  [IPL]","")),IF(W28="","","• "&amp;W28&amp;IF(X28="Yes","  [IPL]","")),IF(Y28="","","• "&amp;Y28&amp;IF(Z28="Yes","  [IPL]","")),IF(AA28="","","• "&amp;AA28&amp;IF(AB28="Yes","  [IPL]","")))</f>
        <v/>
      </c>
      <c r="AD28" s="30">
        <f>IF(AC28="","",COUNTIF(Q28:AB28,"Yes"))</f>
        <v/>
      </c>
      <c r="AE28" s="19" t="n"/>
      <c r="AF28" s="19" t="n"/>
      <c r="AG28" s="30">
        <f>IF(OR(AE28="",AF28=""),"",INDEX(RiskGrid,6-VALUE(LEFT(AE28,1)),VALUE(LEFT(AF28,1))))</f>
        <v/>
      </c>
      <c r="AH28" s="30">
        <f>IF(AG28="","",IF(AG28&gt;=BandVH,"Very High",IF(AG28&gt;=BandHigh,"High",IF(AG28&gt;=BandMed,"Medium","Low"))))</f>
        <v/>
      </c>
      <c r="AI28" s="4" t="n"/>
      <c r="AJ28" s="4" t="n"/>
    </row>
    <row r="29">
      <c r="A29" s="30">
        <f>IF(B29="","",COUNTIF(B$14:B29,"?*"))</f>
        <v/>
      </c>
      <c r="B29" s="4" t="n"/>
      <c r="C29" s="19" t="n"/>
      <c r="D29" s="5">
        <f>IF(OR(B29="",C29=""),"",UPPER(LEFT(C29,1))&amp;LOWER(MID(C29,2,30))&amp;" "&amp;LOWER(LEFT(B29,1))&amp;MID(B29,2,200))</f>
        <v/>
      </c>
      <c r="E29" s="4" t="n"/>
      <c r="F29" s="4" t="n"/>
      <c r="G29" s="4" t="n"/>
      <c r="H29" s="4" t="n"/>
      <c r="I29" s="4" t="n"/>
      <c r="J29" s="4" t="n"/>
      <c r="K29" s="5">
        <f>_xlfn.TEXTJOIN(CHAR(10),TRUE,IF(E29="","","• "&amp;E29),IF(F29="","","• "&amp;F29),IF(G29="","","• "&amp;G29),IF(H29="","","• "&amp;H29),IF(I29="","","• "&amp;I29),IF(J29="","","• "&amp;J29))</f>
        <v/>
      </c>
      <c r="L29" s="4" t="n"/>
      <c r="M29" s="19" t="n"/>
      <c r="N29" s="19" t="n"/>
      <c r="O29" s="30">
        <f>IF(OR(M29="",N29=""),"",INDEX(RiskGrid,6-VALUE(LEFT(M29,1)),VALUE(LEFT(N29,1))))</f>
        <v/>
      </c>
      <c r="P29" s="30">
        <f>IF(O29="","",IF(O29&gt;=BandVH,"Very High",IF(O29&gt;=BandHigh,"High",IF(O29&gt;=BandMed,"Medium","Low"))))</f>
        <v/>
      </c>
      <c r="Q29" s="4" t="n"/>
      <c r="R29" s="19" t="n"/>
      <c r="S29" s="4" t="n"/>
      <c r="T29" s="19" t="n"/>
      <c r="U29" s="4" t="n"/>
      <c r="V29" s="19" t="n"/>
      <c r="W29" s="4" t="n"/>
      <c r="X29" s="19" t="n"/>
      <c r="Y29" s="4" t="n"/>
      <c r="Z29" s="19" t="n"/>
      <c r="AA29" s="4" t="n"/>
      <c r="AB29" s="19" t="n"/>
      <c r="AC29" s="5">
        <f>_xlfn.TEXTJOIN(CHAR(10),TRUE,IF(Q29="","","• "&amp;Q29&amp;IF(R29="Yes","  [IPL]","")),IF(S29="","","• "&amp;S29&amp;IF(T29="Yes","  [IPL]","")),IF(U29="","","• "&amp;U29&amp;IF(V29="Yes","  [IPL]","")),IF(W29="","","• "&amp;W29&amp;IF(X29="Yes","  [IPL]","")),IF(Y29="","","• "&amp;Y29&amp;IF(Z29="Yes","  [IPL]","")),IF(AA29="","","• "&amp;AA29&amp;IF(AB29="Yes","  [IPL]","")))</f>
        <v/>
      </c>
      <c r="AD29" s="30">
        <f>IF(AC29="","",COUNTIF(Q29:AB29,"Yes"))</f>
        <v/>
      </c>
      <c r="AE29" s="19" t="n"/>
      <c r="AF29" s="19" t="n"/>
      <c r="AG29" s="30">
        <f>IF(OR(AE29="",AF29=""),"",INDEX(RiskGrid,6-VALUE(LEFT(AE29,1)),VALUE(LEFT(AF29,1))))</f>
        <v/>
      </c>
      <c r="AH29" s="30">
        <f>IF(AG29="","",IF(AG29&gt;=BandVH,"Very High",IF(AG29&gt;=BandHigh,"High",IF(AG29&gt;=BandMed,"Medium","Low"))))</f>
        <v/>
      </c>
      <c r="AI29" s="4" t="n"/>
      <c r="AJ29" s="4" t="n"/>
    </row>
    <row r="30">
      <c r="A30" s="30">
        <f>IF(B30="","",COUNTIF(B$14:B30,"?*"))</f>
        <v/>
      </c>
      <c r="B30" s="4" t="n"/>
      <c r="C30" s="19" t="n"/>
      <c r="D30" s="5">
        <f>IF(OR(B30="",C30=""),"",UPPER(LEFT(C30,1))&amp;LOWER(MID(C30,2,30))&amp;" "&amp;LOWER(LEFT(B30,1))&amp;MID(B30,2,200))</f>
        <v/>
      </c>
      <c r="E30" s="4" t="n"/>
      <c r="F30" s="4" t="n"/>
      <c r="G30" s="4" t="n"/>
      <c r="H30" s="4" t="n"/>
      <c r="I30" s="4" t="n"/>
      <c r="J30" s="4" t="n"/>
      <c r="K30" s="5">
        <f>_xlfn.TEXTJOIN(CHAR(10),TRUE,IF(E30="","","• "&amp;E30),IF(F30="","","• "&amp;F30),IF(G30="","","• "&amp;G30),IF(H30="","","• "&amp;H30),IF(I30="","","• "&amp;I30),IF(J30="","","• "&amp;J30))</f>
        <v/>
      </c>
      <c r="L30" s="4" t="n"/>
      <c r="M30" s="19" t="n"/>
      <c r="N30" s="19" t="n"/>
      <c r="O30" s="30">
        <f>IF(OR(M30="",N30=""),"",INDEX(RiskGrid,6-VALUE(LEFT(M30,1)),VALUE(LEFT(N30,1))))</f>
        <v/>
      </c>
      <c r="P30" s="30">
        <f>IF(O30="","",IF(O30&gt;=BandVH,"Very High",IF(O30&gt;=BandHigh,"High",IF(O30&gt;=BandMed,"Medium","Low"))))</f>
        <v/>
      </c>
      <c r="Q30" s="4" t="n"/>
      <c r="R30" s="19" t="n"/>
      <c r="S30" s="4" t="n"/>
      <c r="T30" s="19" t="n"/>
      <c r="U30" s="4" t="n"/>
      <c r="V30" s="19" t="n"/>
      <c r="W30" s="4" t="n"/>
      <c r="X30" s="19" t="n"/>
      <c r="Y30" s="4" t="n"/>
      <c r="Z30" s="19" t="n"/>
      <c r="AA30" s="4" t="n"/>
      <c r="AB30" s="19" t="n"/>
      <c r="AC30" s="5">
        <f>_xlfn.TEXTJOIN(CHAR(10),TRUE,IF(Q30="","","• "&amp;Q30&amp;IF(R30="Yes","  [IPL]","")),IF(S30="","","• "&amp;S30&amp;IF(T30="Yes","  [IPL]","")),IF(U30="","","• "&amp;U30&amp;IF(V30="Yes","  [IPL]","")),IF(W30="","","• "&amp;W30&amp;IF(X30="Yes","  [IPL]","")),IF(Y30="","","• "&amp;Y30&amp;IF(Z30="Yes","  [IPL]","")),IF(AA30="","","• "&amp;AA30&amp;IF(AB30="Yes","  [IPL]","")))</f>
        <v/>
      </c>
      <c r="AD30" s="30">
        <f>IF(AC30="","",COUNTIF(Q30:AB30,"Yes"))</f>
        <v/>
      </c>
      <c r="AE30" s="19" t="n"/>
      <c r="AF30" s="19" t="n"/>
      <c r="AG30" s="30">
        <f>IF(OR(AE30="",AF30=""),"",INDEX(RiskGrid,6-VALUE(LEFT(AE30,1)),VALUE(LEFT(AF30,1))))</f>
        <v/>
      </c>
      <c r="AH30" s="30">
        <f>IF(AG30="","",IF(AG30&gt;=BandVH,"Very High",IF(AG30&gt;=BandHigh,"High",IF(AG30&gt;=BandMed,"Medium","Low"))))</f>
        <v/>
      </c>
      <c r="AI30" s="4" t="n"/>
      <c r="AJ30" s="4" t="n"/>
    </row>
    <row r="31">
      <c r="A31" s="30">
        <f>IF(B31="","",COUNTIF(B$14:B31,"?*"))</f>
        <v/>
      </c>
      <c r="B31" s="4" t="n"/>
      <c r="C31" s="19" t="n"/>
      <c r="D31" s="5">
        <f>IF(OR(B31="",C31=""),"",UPPER(LEFT(C31,1))&amp;LOWER(MID(C31,2,30))&amp;" "&amp;LOWER(LEFT(B31,1))&amp;MID(B31,2,200))</f>
        <v/>
      </c>
      <c r="E31" s="4" t="n"/>
      <c r="F31" s="4" t="n"/>
      <c r="G31" s="4" t="n"/>
      <c r="H31" s="4" t="n"/>
      <c r="I31" s="4" t="n"/>
      <c r="J31" s="4" t="n"/>
      <c r="K31" s="5">
        <f>_xlfn.TEXTJOIN(CHAR(10),TRUE,IF(E31="","","• "&amp;E31),IF(F31="","","• "&amp;F31),IF(G31="","","• "&amp;G31),IF(H31="","","• "&amp;H31),IF(I31="","","• "&amp;I31),IF(J31="","","• "&amp;J31))</f>
        <v/>
      </c>
      <c r="L31" s="4" t="n"/>
      <c r="M31" s="19" t="n"/>
      <c r="N31" s="19" t="n"/>
      <c r="O31" s="30">
        <f>IF(OR(M31="",N31=""),"",INDEX(RiskGrid,6-VALUE(LEFT(M31,1)),VALUE(LEFT(N31,1))))</f>
        <v/>
      </c>
      <c r="P31" s="30">
        <f>IF(O31="","",IF(O31&gt;=BandVH,"Very High",IF(O31&gt;=BandHigh,"High",IF(O31&gt;=BandMed,"Medium","Low"))))</f>
        <v/>
      </c>
      <c r="Q31" s="4" t="n"/>
      <c r="R31" s="19" t="n"/>
      <c r="S31" s="4" t="n"/>
      <c r="T31" s="19" t="n"/>
      <c r="U31" s="4" t="n"/>
      <c r="V31" s="19" t="n"/>
      <c r="W31" s="4" t="n"/>
      <c r="X31" s="19" t="n"/>
      <c r="Y31" s="4" t="n"/>
      <c r="Z31" s="19" t="n"/>
      <c r="AA31" s="4" t="n"/>
      <c r="AB31" s="19" t="n"/>
      <c r="AC31" s="5">
        <f>_xlfn.TEXTJOIN(CHAR(10),TRUE,IF(Q31="","","• "&amp;Q31&amp;IF(R31="Yes","  [IPL]","")),IF(S31="","","• "&amp;S31&amp;IF(T31="Yes","  [IPL]","")),IF(U31="","","• "&amp;U31&amp;IF(V31="Yes","  [IPL]","")),IF(W31="","","• "&amp;W31&amp;IF(X31="Yes","  [IPL]","")),IF(Y31="","","• "&amp;Y31&amp;IF(Z31="Yes","  [IPL]","")),IF(AA31="","","• "&amp;AA31&amp;IF(AB31="Yes","  [IPL]","")))</f>
        <v/>
      </c>
      <c r="AD31" s="30">
        <f>IF(AC31="","",COUNTIF(Q31:AB31,"Yes"))</f>
        <v/>
      </c>
      <c r="AE31" s="19" t="n"/>
      <c r="AF31" s="19" t="n"/>
      <c r="AG31" s="30">
        <f>IF(OR(AE31="",AF31=""),"",INDEX(RiskGrid,6-VALUE(LEFT(AE31,1)),VALUE(LEFT(AF31,1))))</f>
        <v/>
      </c>
      <c r="AH31" s="30">
        <f>IF(AG31="","",IF(AG31&gt;=BandVH,"Very High",IF(AG31&gt;=BandHigh,"High",IF(AG31&gt;=BandMed,"Medium","Low"))))</f>
        <v/>
      </c>
      <c r="AI31" s="4" t="n"/>
      <c r="AJ31" s="4" t="n"/>
    </row>
    <row r="32">
      <c r="A32" s="30">
        <f>IF(B32="","",COUNTIF(B$14:B32,"?*"))</f>
        <v/>
      </c>
      <c r="B32" s="4" t="n"/>
      <c r="C32" s="19" t="n"/>
      <c r="D32" s="5">
        <f>IF(OR(B32="",C32=""),"",UPPER(LEFT(C32,1))&amp;LOWER(MID(C32,2,30))&amp;" "&amp;LOWER(LEFT(B32,1))&amp;MID(B32,2,200))</f>
        <v/>
      </c>
      <c r="E32" s="4" t="n"/>
      <c r="F32" s="4" t="n"/>
      <c r="G32" s="4" t="n"/>
      <c r="H32" s="4" t="n"/>
      <c r="I32" s="4" t="n"/>
      <c r="J32" s="4" t="n"/>
      <c r="K32" s="5">
        <f>_xlfn.TEXTJOIN(CHAR(10),TRUE,IF(E32="","","• "&amp;E32),IF(F32="","","• "&amp;F32),IF(G32="","","• "&amp;G32),IF(H32="","","• "&amp;H32),IF(I32="","","• "&amp;I32),IF(J32="","","• "&amp;J32))</f>
        <v/>
      </c>
      <c r="L32" s="4" t="n"/>
      <c r="M32" s="19" t="n"/>
      <c r="N32" s="19" t="n"/>
      <c r="O32" s="30">
        <f>IF(OR(M32="",N32=""),"",INDEX(RiskGrid,6-VALUE(LEFT(M32,1)),VALUE(LEFT(N32,1))))</f>
        <v/>
      </c>
      <c r="P32" s="30">
        <f>IF(O32="","",IF(O32&gt;=BandVH,"Very High",IF(O32&gt;=BandHigh,"High",IF(O32&gt;=BandMed,"Medium","Low"))))</f>
        <v/>
      </c>
      <c r="Q32" s="4" t="n"/>
      <c r="R32" s="19" t="n"/>
      <c r="S32" s="4" t="n"/>
      <c r="T32" s="19" t="n"/>
      <c r="U32" s="4" t="n"/>
      <c r="V32" s="19" t="n"/>
      <c r="W32" s="4" t="n"/>
      <c r="X32" s="19" t="n"/>
      <c r="Y32" s="4" t="n"/>
      <c r="Z32" s="19" t="n"/>
      <c r="AA32" s="4" t="n"/>
      <c r="AB32" s="19" t="n"/>
      <c r="AC32" s="5">
        <f>_xlfn.TEXTJOIN(CHAR(10),TRUE,IF(Q32="","","• "&amp;Q32&amp;IF(R32="Yes","  [IPL]","")),IF(S32="","","• "&amp;S32&amp;IF(T32="Yes","  [IPL]","")),IF(U32="","","• "&amp;U32&amp;IF(V32="Yes","  [IPL]","")),IF(W32="","","• "&amp;W32&amp;IF(X32="Yes","  [IPL]","")),IF(Y32="","","• "&amp;Y32&amp;IF(Z32="Yes","  [IPL]","")),IF(AA32="","","• "&amp;AA32&amp;IF(AB32="Yes","  [IPL]","")))</f>
        <v/>
      </c>
      <c r="AD32" s="30">
        <f>IF(AC32="","",COUNTIF(Q32:AB32,"Yes"))</f>
        <v/>
      </c>
      <c r="AE32" s="19" t="n"/>
      <c r="AF32" s="19" t="n"/>
      <c r="AG32" s="30">
        <f>IF(OR(AE32="",AF32=""),"",INDEX(RiskGrid,6-VALUE(LEFT(AE32,1)),VALUE(LEFT(AF32,1))))</f>
        <v/>
      </c>
      <c r="AH32" s="30">
        <f>IF(AG32="","",IF(AG32&gt;=BandVH,"Very High",IF(AG32&gt;=BandHigh,"High",IF(AG32&gt;=BandMed,"Medium","Low"))))</f>
        <v/>
      </c>
      <c r="AI32" s="4" t="n"/>
      <c r="AJ32" s="4" t="n"/>
    </row>
    <row r="33">
      <c r="A33" s="30">
        <f>IF(B33="","",COUNTIF(B$14:B33,"?*"))</f>
        <v/>
      </c>
      <c r="B33" s="4" t="n"/>
      <c r="C33" s="19" t="n"/>
      <c r="D33" s="5">
        <f>IF(OR(B33="",C33=""),"",UPPER(LEFT(C33,1))&amp;LOWER(MID(C33,2,30))&amp;" "&amp;LOWER(LEFT(B33,1))&amp;MID(B33,2,200))</f>
        <v/>
      </c>
      <c r="E33" s="4" t="n"/>
      <c r="F33" s="4" t="n"/>
      <c r="G33" s="4" t="n"/>
      <c r="H33" s="4" t="n"/>
      <c r="I33" s="4" t="n"/>
      <c r="J33" s="4" t="n"/>
      <c r="K33" s="5">
        <f>_xlfn.TEXTJOIN(CHAR(10),TRUE,IF(E33="","","• "&amp;E33),IF(F33="","","• "&amp;F33),IF(G33="","","• "&amp;G33),IF(H33="","","• "&amp;H33),IF(I33="","","• "&amp;I33),IF(J33="","","• "&amp;J33))</f>
        <v/>
      </c>
      <c r="L33" s="4" t="n"/>
      <c r="M33" s="19" t="n"/>
      <c r="N33" s="19" t="n"/>
      <c r="O33" s="30">
        <f>IF(OR(M33="",N33=""),"",INDEX(RiskGrid,6-VALUE(LEFT(M33,1)),VALUE(LEFT(N33,1))))</f>
        <v/>
      </c>
      <c r="P33" s="30">
        <f>IF(O33="","",IF(O33&gt;=BandVH,"Very High",IF(O33&gt;=BandHigh,"High",IF(O33&gt;=BandMed,"Medium","Low"))))</f>
        <v/>
      </c>
      <c r="Q33" s="4" t="n"/>
      <c r="R33" s="19" t="n"/>
      <c r="S33" s="4" t="n"/>
      <c r="T33" s="19" t="n"/>
      <c r="U33" s="4" t="n"/>
      <c r="V33" s="19" t="n"/>
      <c r="W33" s="4" t="n"/>
      <c r="X33" s="19" t="n"/>
      <c r="Y33" s="4" t="n"/>
      <c r="Z33" s="19" t="n"/>
      <c r="AA33" s="4" t="n"/>
      <c r="AB33" s="19" t="n"/>
      <c r="AC33" s="5">
        <f>_xlfn.TEXTJOIN(CHAR(10),TRUE,IF(Q33="","","• "&amp;Q33&amp;IF(R33="Yes","  [IPL]","")),IF(S33="","","• "&amp;S33&amp;IF(T33="Yes","  [IPL]","")),IF(U33="","","• "&amp;U33&amp;IF(V33="Yes","  [IPL]","")),IF(W33="","","• "&amp;W33&amp;IF(X33="Yes","  [IPL]","")),IF(Y33="","","• "&amp;Y33&amp;IF(Z33="Yes","  [IPL]","")),IF(AA33="","","• "&amp;AA33&amp;IF(AB33="Yes","  [IPL]","")))</f>
        <v/>
      </c>
      <c r="AD33" s="30">
        <f>IF(AC33="","",COUNTIF(Q33:AB33,"Yes"))</f>
        <v/>
      </c>
      <c r="AE33" s="19" t="n"/>
      <c r="AF33" s="19" t="n"/>
      <c r="AG33" s="30">
        <f>IF(OR(AE33="",AF33=""),"",INDEX(RiskGrid,6-VALUE(LEFT(AE33,1)),VALUE(LEFT(AF33,1))))</f>
        <v/>
      </c>
      <c r="AH33" s="30">
        <f>IF(AG33="","",IF(AG33&gt;=BandVH,"Very High",IF(AG33&gt;=BandHigh,"High",IF(AG33&gt;=BandMed,"Medium","Low"))))</f>
        <v/>
      </c>
      <c r="AI33" s="4" t="n"/>
      <c r="AJ33" s="4" t="n"/>
    </row>
    <row r="34">
      <c r="A34" s="30">
        <f>IF(B34="","",COUNTIF(B$14:B34,"?*"))</f>
        <v/>
      </c>
      <c r="B34" s="4" t="n"/>
      <c r="C34" s="19" t="n"/>
      <c r="D34" s="5">
        <f>IF(OR(B34="",C34=""),"",UPPER(LEFT(C34,1))&amp;LOWER(MID(C34,2,30))&amp;" "&amp;LOWER(LEFT(B34,1))&amp;MID(B34,2,200))</f>
        <v/>
      </c>
      <c r="E34" s="4" t="n"/>
      <c r="F34" s="4" t="n"/>
      <c r="G34" s="4" t="n"/>
      <c r="H34" s="4" t="n"/>
      <c r="I34" s="4" t="n"/>
      <c r="J34" s="4" t="n"/>
      <c r="K34" s="5">
        <f>_xlfn.TEXTJOIN(CHAR(10),TRUE,IF(E34="","","• "&amp;E34),IF(F34="","","• "&amp;F34),IF(G34="","","• "&amp;G34),IF(H34="","","• "&amp;H34),IF(I34="","","• "&amp;I34),IF(J34="","","• "&amp;J34))</f>
        <v/>
      </c>
      <c r="L34" s="4" t="n"/>
      <c r="M34" s="19" t="n"/>
      <c r="N34" s="19" t="n"/>
      <c r="O34" s="30">
        <f>IF(OR(M34="",N34=""),"",INDEX(RiskGrid,6-VALUE(LEFT(M34,1)),VALUE(LEFT(N34,1))))</f>
        <v/>
      </c>
      <c r="P34" s="30">
        <f>IF(O34="","",IF(O34&gt;=BandVH,"Very High",IF(O34&gt;=BandHigh,"High",IF(O34&gt;=BandMed,"Medium","Low"))))</f>
        <v/>
      </c>
      <c r="Q34" s="4" t="n"/>
      <c r="R34" s="19" t="n"/>
      <c r="S34" s="4" t="n"/>
      <c r="T34" s="19" t="n"/>
      <c r="U34" s="4" t="n"/>
      <c r="V34" s="19" t="n"/>
      <c r="W34" s="4" t="n"/>
      <c r="X34" s="19" t="n"/>
      <c r="Y34" s="4" t="n"/>
      <c r="Z34" s="19" t="n"/>
      <c r="AA34" s="4" t="n"/>
      <c r="AB34" s="19" t="n"/>
      <c r="AC34" s="5">
        <f>_xlfn.TEXTJOIN(CHAR(10),TRUE,IF(Q34="","","• "&amp;Q34&amp;IF(R34="Yes","  [IPL]","")),IF(S34="","","• "&amp;S34&amp;IF(T34="Yes","  [IPL]","")),IF(U34="","","• "&amp;U34&amp;IF(V34="Yes","  [IPL]","")),IF(W34="","","• "&amp;W34&amp;IF(X34="Yes","  [IPL]","")),IF(Y34="","","• "&amp;Y34&amp;IF(Z34="Yes","  [IPL]","")),IF(AA34="","","• "&amp;AA34&amp;IF(AB34="Yes","  [IPL]","")))</f>
        <v/>
      </c>
      <c r="AD34" s="30">
        <f>IF(AC34="","",COUNTIF(Q34:AB34,"Yes"))</f>
        <v/>
      </c>
      <c r="AE34" s="19" t="n"/>
      <c r="AF34" s="19" t="n"/>
      <c r="AG34" s="30">
        <f>IF(OR(AE34="",AF34=""),"",INDEX(RiskGrid,6-VALUE(LEFT(AE34,1)),VALUE(LEFT(AF34,1))))</f>
        <v/>
      </c>
      <c r="AH34" s="30">
        <f>IF(AG34="","",IF(AG34&gt;=BandVH,"Very High",IF(AG34&gt;=BandHigh,"High",IF(AG34&gt;=BandMed,"Medium","Low"))))</f>
        <v/>
      </c>
      <c r="AI34" s="4" t="n"/>
      <c r="AJ34" s="4" t="n"/>
    </row>
    <row r="35">
      <c r="A35" s="30">
        <f>IF(B35="","",COUNTIF(B$14:B35,"?*"))</f>
        <v/>
      </c>
      <c r="B35" s="4" t="n"/>
      <c r="C35" s="19" t="n"/>
      <c r="D35" s="5">
        <f>IF(OR(B35="",C35=""),"",UPPER(LEFT(C35,1))&amp;LOWER(MID(C35,2,30))&amp;" "&amp;LOWER(LEFT(B35,1))&amp;MID(B35,2,200))</f>
        <v/>
      </c>
      <c r="E35" s="4" t="n"/>
      <c r="F35" s="4" t="n"/>
      <c r="G35" s="4" t="n"/>
      <c r="H35" s="4" t="n"/>
      <c r="I35" s="4" t="n"/>
      <c r="J35" s="4" t="n"/>
      <c r="K35" s="5">
        <f>_xlfn.TEXTJOIN(CHAR(10),TRUE,IF(E35="","","• "&amp;E35),IF(F35="","","• "&amp;F35),IF(G35="","","• "&amp;G35),IF(H35="","","• "&amp;H35),IF(I35="","","• "&amp;I35),IF(J35="","","• "&amp;J35))</f>
        <v/>
      </c>
      <c r="L35" s="4" t="n"/>
      <c r="M35" s="19" t="n"/>
      <c r="N35" s="19" t="n"/>
      <c r="O35" s="30">
        <f>IF(OR(M35="",N35=""),"",INDEX(RiskGrid,6-VALUE(LEFT(M35,1)),VALUE(LEFT(N35,1))))</f>
        <v/>
      </c>
      <c r="P35" s="30">
        <f>IF(O35="","",IF(O35&gt;=BandVH,"Very High",IF(O35&gt;=BandHigh,"High",IF(O35&gt;=BandMed,"Medium","Low"))))</f>
        <v/>
      </c>
      <c r="Q35" s="4" t="n"/>
      <c r="R35" s="19" t="n"/>
      <c r="S35" s="4" t="n"/>
      <c r="T35" s="19" t="n"/>
      <c r="U35" s="4" t="n"/>
      <c r="V35" s="19" t="n"/>
      <c r="W35" s="4" t="n"/>
      <c r="X35" s="19" t="n"/>
      <c r="Y35" s="4" t="n"/>
      <c r="Z35" s="19" t="n"/>
      <c r="AA35" s="4" t="n"/>
      <c r="AB35" s="19" t="n"/>
      <c r="AC35" s="5">
        <f>_xlfn.TEXTJOIN(CHAR(10),TRUE,IF(Q35="","","• "&amp;Q35&amp;IF(R35="Yes","  [IPL]","")),IF(S35="","","• "&amp;S35&amp;IF(T35="Yes","  [IPL]","")),IF(U35="","","• "&amp;U35&amp;IF(V35="Yes","  [IPL]","")),IF(W35="","","• "&amp;W35&amp;IF(X35="Yes","  [IPL]","")),IF(Y35="","","• "&amp;Y35&amp;IF(Z35="Yes","  [IPL]","")),IF(AA35="","","• "&amp;AA35&amp;IF(AB35="Yes","  [IPL]","")))</f>
        <v/>
      </c>
      <c r="AD35" s="30">
        <f>IF(AC35="","",COUNTIF(Q35:AB35,"Yes"))</f>
        <v/>
      </c>
      <c r="AE35" s="19" t="n"/>
      <c r="AF35" s="19" t="n"/>
      <c r="AG35" s="30">
        <f>IF(OR(AE35="",AF35=""),"",INDEX(RiskGrid,6-VALUE(LEFT(AE35,1)),VALUE(LEFT(AF35,1))))</f>
        <v/>
      </c>
      <c r="AH35" s="30">
        <f>IF(AG35="","",IF(AG35&gt;=BandVH,"Very High",IF(AG35&gt;=BandHigh,"High",IF(AG35&gt;=BandMed,"Medium","Low"))))</f>
        <v/>
      </c>
      <c r="AI35" s="4" t="n"/>
      <c r="AJ35" s="4" t="n"/>
    </row>
    <row r="36">
      <c r="A36" s="30">
        <f>IF(B36="","",COUNTIF(B$14:B36,"?*"))</f>
        <v/>
      </c>
      <c r="B36" s="4" t="n"/>
      <c r="C36" s="19" t="n"/>
      <c r="D36" s="5">
        <f>IF(OR(B36="",C36=""),"",UPPER(LEFT(C36,1))&amp;LOWER(MID(C36,2,30))&amp;" "&amp;LOWER(LEFT(B36,1))&amp;MID(B36,2,200))</f>
        <v/>
      </c>
      <c r="E36" s="4" t="n"/>
      <c r="F36" s="4" t="n"/>
      <c r="G36" s="4" t="n"/>
      <c r="H36" s="4" t="n"/>
      <c r="I36" s="4" t="n"/>
      <c r="J36" s="4" t="n"/>
      <c r="K36" s="5">
        <f>_xlfn.TEXTJOIN(CHAR(10),TRUE,IF(E36="","","• "&amp;E36),IF(F36="","","• "&amp;F36),IF(G36="","","• "&amp;G36),IF(H36="","","• "&amp;H36),IF(I36="","","• "&amp;I36),IF(J36="","","• "&amp;J36))</f>
        <v/>
      </c>
      <c r="L36" s="4" t="n"/>
      <c r="M36" s="19" t="n"/>
      <c r="N36" s="19" t="n"/>
      <c r="O36" s="30">
        <f>IF(OR(M36="",N36=""),"",INDEX(RiskGrid,6-VALUE(LEFT(M36,1)),VALUE(LEFT(N36,1))))</f>
        <v/>
      </c>
      <c r="P36" s="30">
        <f>IF(O36="","",IF(O36&gt;=BandVH,"Very High",IF(O36&gt;=BandHigh,"High",IF(O36&gt;=BandMed,"Medium","Low"))))</f>
        <v/>
      </c>
      <c r="Q36" s="4" t="n"/>
      <c r="R36" s="19" t="n"/>
      <c r="S36" s="4" t="n"/>
      <c r="T36" s="19" t="n"/>
      <c r="U36" s="4" t="n"/>
      <c r="V36" s="19" t="n"/>
      <c r="W36" s="4" t="n"/>
      <c r="X36" s="19" t="n"/>
      <c r="Y36" s="4" t="n"/>
      <c r="Z36" s="19" t="n"/>
      <c r="AA36" s="4" t="n"/>
      <c r="AB36" s="19" t="n"/>
      <c r="AC36" s="5">
        <f>_xlfn.TEXTJOIN(CHAR(10),TRUE,IF(Q36="","","• "&amp;Q36&amp;IF(R36="Yes","  [IPL]","")),IF(S36="","","• "&amp;S36&amp;IF(T36="Yes","  [IPL]","")),IF(U36="","","• "&amp;U36&amp;IF(V36="Yes","  [IPL]","")),IF(W36="","","• "&amp;W36&amp;IF(X36="Yes","  [IPL]","")),IF(Y36="","","• "&amp;Y36&amp;IF(Z36="Yes","  [IPL]","")),IF(AA36="","","• "&amp;AA36&amp;IF(AB36="Yes","  [IPL]","")))</f>
        <v/>
      </c>
      <c r="AD36" s="30">
        <f>IF(AC36="","",COUNTIF(Q36:AB36,"Yes"))</f>
        <v/>
      </c>
      <c r="AE36" s="19" t="n"/>
      <c r="AF36" s="19" t="n"/>
      <c r="AG36" s="30">
        <f>IF(OR(AE36="",AF36=""),"",INDEX(RiskGrid,6-VALUE(LEFT(AE36,1)),VALUE(LEFT(AF36,1))))</f>
        <v/>
      </c>
      <c r="AH36" s="30">
        <f>IF(AG36="","",IF(AG36&gt;=BandVH,"Very High",IF(AG36&gt;=BandHigh,"High",IF(AG36&gt;=BandMed,"Medium","Low"))))</f>
        <v/>
      </c>
      <c r="AI36" s="4" t="n"/>
      <c r="AJ36" s="4" t="n"/>
    </row>
    <row r="37">
      <c r="A37" s="30">
        <f>IF(B37="","",COUNTIF(B$14:B37,"?*"))</f>
        <v/>
      </c>
      <c r="B37" s="4" t="n"/>
      <c r="C37" s="19" t="n"/>
      <c r="D37" s="5">
        <f>IF(OR(B37="",C37=""),"",UPPER(LEFT(C37,1))&amp;LOWER(MID(C37,2,30))&amp;" "&amp;LOWER(LEFT(B37,1))&amp;MID(B37,2,200))</f>
        <v/>
      </c>
      <c r="E37" s="4" t="n"/>
      <c r="F37" s="4" t="n"/>
      <c r="G37" s="4" t="n"/>
      <c r="H37" s="4" t="n"/>
      <c r="I37" s="4" t="n"/>
      <c r="J37" s="4" t="n"/>
      <c r="K37" s="5">
        <f>_xlfn.TEXTJOIN(CHAR(10),TRUE,IF(E37="","","• "&amp;E37),IF(F37="","","• "&amp;F37),IF(G37="","","• "&amp;G37),IF(H37="","","• "&amp;H37),IF(I37="","","• "&amp;I37),IF(J37="","","• "&amp;J37))</f>
        <v/>
      </c>
      <c r="L37" s="4" t="n"/>
      <c r="M37" s="19" t="n"/>
      <c r="N37" s="19" t="n"/>
      <c r="O37" s="30">
        <f>IF(OR(M37="",N37=""),"",INDEX(RiskGrid,6-VALUE(LEFT(M37,1)),VALUE(LEFT(N37,1))))</f>
        <v/>
      </c>
      <c r="P37" s="30">
        <f>IF(O37="","",IF(O37&gt;=BandVH,"Very High",IF(O37&gt;=BandHigh,"High",IF(O37&gt;=BandMed,"Medium","Low"))))</f>
        <v/>
      </c>
      <c r="Q37" s="4" t="n"/>
      <c r="R37" s="19" t="n"/>
      <c r="S37" s="4" t="n"/>
      <c r="T37" s="19" t="n"/>
      <c r="U37" s="4" t="n"/>
      <c r="V37" s="19" t="n"/>
      <c r="W37" s="4" t="n"/>
      <c r="X37" s="19" t="n"/>
      <c r="Y37" s="4" t="n"/>
      <c r="Z37" s="19" t="n"/>
      <c r="AA37" s="4" t="n"/>
      <c r="AB37" s="19" t="n"/>
      <c r="AC37" s="5">
        <f>_xlfn.TEXTJOIN(CHAR(10),TRUE,IF(Q37="","","• "&amp;Q37&amp;IF(R37="Yes","  [IPL]","")),IF(S37="","","• "&amp;S37&amp;IF(T37="Yes","  [IPL]","")),IF(U37="","","• "&amp;U37&amp;IF(V37="Yes","  [IPL]","")),IF(W37="","","• "&amp;W37&amp;IF(X37="Yes","  [IPL]","")),IF(Y37="","","• "&amp;Y37&amp;IF(Z37="Yes","  [IPL]","")),IF(AA37="","","• "&amp;AA37&amp;IF(AB37="Yes","  [IPL]","")))</f>
        <v/>
      </c>
      <c r="AD37" s="30">
        <f>IF(AC37="","",COUNTIF(Q37:AB37,"Yes"))</f>
        <v/>
      </c>
      <c r="AE37" s="19" t="n"/>
      <c r="AF37" s="19" t="n"/>
      <c r="AG37" s="30">
        <f>IF(OR(AE37="",AF37=""),"",INDEX(RiskGrid,6-VALUE(LEFT(AE37,1)),VALUE(LEFT(AF37,1))))</f>
        <v/>
      </c>
      <c r="AH37" s="30">
        <f>IF(AG37="","",IF(AG37&gt;=BandVH,"Very High",IF(AG37&gt;=BandHigh,"High",IF(AG37&gt;=BandMed,"Medium","Low"))))</f>
        <v/>
      </c>
      <c r="AI37" s="4" t="n"/>
      <c r="AJ37" s="4" t="n"/>
    </row>
    <row r="38">
      <c r="A38" s="30">
        <f>IF(B38="","",COUNTIF(B$14:B38,"?*"))</f>
        <v/>
      </c>
      <c r="B38" s="4" t="n"/>
      <c r="C38" s="19" t="n"/>
      <c r="D38" s="5">
        <f>IF(OR(B38="",C38=""),"",UPPER(LEFT(C38,1))&amp;LOWER(MID(C38,2,30))&amp;" "&amp;LOWER(LEFT(B38,1))&amp;MID(B38,2,200))</f>
        <v/>
      </c>
      <c r="E38" s="4" t="n"/>
      <c r="F38" s="4" t="n"/>
      <c r="G38" s="4" t="n"/>
      <c r="H38" s="4" t="n"/>
      <c r="I38" s="4" t="n"/>
      <c r="J38" s="4" t="n"/>
      <c r="K38" s="5">
        <f>_xlfn.TEXTJOIN(CHAR(10),TRUE,IF(E38="","","• "&amp;E38),IF(F38="","","• "&amp;F38),IF(G38="","","• "&amp;G38),IF(H38="","","• "&amp;H38),IF(I38="","","• "&amp;I38),IF(J38="","","• "&amp;J38))</f>
        <v/>
      </c>
      <c r="L38" s="4" t="n"/>
      <c r="M38" s="19" t="n"/>
      <c r="N38" s="19" t="n"/>
      <c r="O38" s="30">
        <f>IF(OR(M38="",N38=""),"",INDEX(RiskGrid,6-VALUE(LEFT(M38,1)),VALUE(LEFT(N38,1))))</f>
        <v/>
      </c>
      <c r="P38" s="30">
        <f>IF(O38="","",IF(O38&gt;=BandVH,"Very High",IF(O38&gt;=BandHigh,"High",IF(O38&gt;=BandMed,"Medium","Low"))))</f>
        <v/>
      </c>
      <c r="Q38" s="4" t="n"/>
      <c r="R38" s="19" t="n"/>
      <c r="S38" s="4" t="n"/>
      <c r="T38" s="19" t="n"/>
      <c r="U38" s="4" t="n"/>
      <c r="V38" s="19" t="n"/>
      <c r="W38" s="4" t="n"/>
      <c r="X38" s="19" t="n"/>
      <c r="Y38" s="4" t="n"/>
      <c r="Z38" s="19" t="n"/>
      <c r="AA38" s="4" t="n"/>
      <c r="AB38" s="19" t="n"/>
      <c r="AC38" s="5">
        <f>_xlfn.TEXTJOIN(CHAR(10),TRUE,IF(Q38="","","• "&amp;Q38&amp;IF(R38="Yes","  [IPL]","")),IF(S38="","","• "&amp;S38&amp;IF(T38="Yes","  [IPL]","")),IF(U38="","","• "&amp;U38&amp;IF(V38="Yes","  [IPL]","")),IF(W38="","","• "&amp;W38&amp;IF(X38="Yes","  [IPL]","")),IF(Y38="","","• "&amp;Y38&amp;IF(Z38="Yes","  [IPL]","")),IF(AA38="","","• "&amp;AA38&amp;IF(AB38="Yes","  [IPL]","")))</f>
        <v/>
      </c>
      <c r="AD38" s="30">
        <f>IF(AC38="","",COUNTIF(Q38:AB38,"Yes"))</f>
        <v/>
      </c>
      <c r="AE38" s="19" t="n"/>
      <c r="AF38" s="19" t="n"/>
      <c r="AG38" s="30">
        <f>IF(OR(AE38="",AF38=""),"",INDEX(RiskGrid,6-VALUE(LEFT(AE38,1)),VALUE(LEFT(AF38,1))))</f>
        <v/>
      </c>
      <c r="AH38" s="30">
        <f>IF(AG38="","",IF(AG38&gt;=BandVH,"Very High",IF(AG38&gt;=BandHigh,"High",IF(AG38&gt;=BandMed,"Medium","Low"))))</f>
        <v/>
      </c>
      <c r="AI38" s="4" t="n"/>
      <c r="AJ38" s="4" t="n"/>
    </row>
    <row r="39">
      <c r="A39" s="30">
        <f>IF(B39="","",COUNTIF(B$14:B39,"?*"))</f>
        <v/>
      </c>
      <c r="B39" s="4" t="n"/>
      <c r="C39" s="19" t="n"/>
      <c r="D39" s="5">
        <f>IF(OR(B39="",C39=""),"",UPPER(LEFT(C39,1))&amp;LOWER(MID(C39,2,30))&amp;" "&amp;LOWER(LEFT(B39,1))&amp;MID(B39,2,200))</f>
        <v/>
      </c>
      <c r="E39" s="4" t="n"/>
      <c r="F39" s="4" t="n"/>
      <c r="G39" s="4" t="n"/>
      <c r="H39" s="4" t="n"/>
      <c r="I39" s="4" t="n"/>
      <c r="J39" s="4" t="n"/>
      <c r="K39" s="5">
        <f>_xlfn.TEXTJOIN(CHAR(10),TRUE,IF(E39="","","• "&amp;E39),IF(F39="","","• "&amp;F39),IF(G39="","","• "&amp;G39),IF(H39="","","• "&amp;H39),IF(I39="","","• "&amp;I39),IF(J39="","","• "&amp;J39))</f>
        <v/>
      </c>
      <c r="L39" s="4" t="n"/>
      <c r="M39" s="19" t="n"/>
      <c r="N39" s="19" t="n"/>
      <c r="O39" s="30">
        <f>IF(OR(M39="",N39=""),"",INDEX(RiskGrid,6-VALUE(LEFT(M39,1)),VALUE(LEFT(N39,1))))</f>
        <v/>
      </c>
      <c r="P39" s="30">
        <f>IF(O39="","",IF(O39&gt;=BandVH,"Very High",IF(O39&gt;=BandHigh,"High",IF(O39&gt;=BandMed,"Medium","Low"))))</f>
        <v/>
      </c>
      <c r="Q39" s="4" t="n"/>
      <c r="R39" s="19" t="n"/>
      <c r="S39" s="4" t="n"/>
      <c r="T39" s="19" t="n"/>
      <c r="U39" s="4" t="n"/>
      <c r="V39" s="19" t="n"/>
      <c r="W39" s="4" t="n"/>
      <c r="X39" s="19" t="n"/>
      <c r="Y39" s="4" t="n"/>
      <c r="Z39" s="19" t="n"/>
      <c r="AA39" s="4" t="n"/>
      <c r="AB39" s="19" t="n"/>
      <c r="AC39" s="5">
        <f>_xlfn.TEXTJOIN(CHAR(10),TRUE,IF(Q39="","","• "&amp;Q39&amp;IF(R39="Yes","  [IPL]","")),IF(S39="","","• "&amp;S39&amp;IF(T39="Yes","  [IPL]","")),IF(U39="","","• "&amp;U39&amp;IF(V39="Yes","  [IPL]","")),IF(W39="","","• "&amp;W39&amp;IF(X39="Yes","  [IPL]","")),IF(Y39="","","• "&amp;Y39&amp;IF(Z39="Yes","  [IPL]","")),IF(AA39="","","• "&amp;AA39&amp;IF(AB39="Yes","  [IPL]","")))</f>
        <v/>
      </c>
      <c r="AD39" s="30">
        <f>IF(AC39="","",COUNTIF(Q39:AB39,"Yes"))</f>
        <v/>
      </c>
      <c r="AE39" s="19" t="n"/>
      <c r="AF39" s="19" t="n"/>
      <c r="AG39" s="30">
        <f>IF(OR(AE39="",AF39=""),"",INDEX(RiskGrid,6-VALUE(LEFT(AE39,1)),VALUE(LEFT(AF39,1))))</f>
        <v/>
      </c>
      <c r="AH39" s="30">
        <f>IF(AG39="","",IF(AG39&gt;=BandVH,"Very High",IF(AG39&gt;=BandHigh,"High",IF(AG39&gt;=BandMed,"Medium","Low"))))</f>
        <v/>
      </c>
      <c r="AI39" s="4" t="n"/>
      <c r="AJ39" s="4" t="n"/>
    </row>
    <row r="40">
      <c r="A40" s="30">
        <f>IF(B40="","",COUNTIF(B$14:B40,"?*"))</f>
        <v/>
      </c>
      <c r="B40" s="4" t="n"/>
      <c r="C40" s="19" t="n"/>
      <c r="D40" s="5">
        <f>IF(OR(B40="",C40=""),"",UPPER(LEFT(C40,1))&amp;LOWER(MID(C40,2,30))&amp;" "&amp;LOWER(LEFT(B40,1))&amp;MID(B40,2,200))</f>
        <v/>
      </c>
      <c r="E40" s="4" t="n"/>
      <c r="F40" s="4" t="n"/>
      <c r="G40" s="4" t="n"/>
      <c r="H40" s="4" t="n"/>
      <c r="I40" s="4" t="n"/>
      <c r="J40" s="4" t="n"/>
      <c r="K40" s="5">
        <f>_xlfn.TEXTJOIN(CHAR(10),TRUE,IF(E40="","","• "&amp;E40),IF(F40="","","• "&amp;F40),IF(G40="","","• "&amp;G40),IF(H40="","","• "&amp;H40),IF(I40="","","• "&amp;I40),IF(J40="","","• "&amp;J40))</f>
        <v/>
      </c>
      <c r="L40" s="4" t="n"/>
      <c r="M40" s="19" t="n"/>
      <c r="N40" s="19" t="n"/>
      <c r="O40" s="30">
        <f>IF(OR(M40="",N40=""),"",INDEX(RiskGrid,6-VALUE(LEFT(M40,1)),VALUE(LEFT(N40,1))))</f>
        <v/>
      </c>
      <c r="P40" s="30">
        <f>IF(O40="","",IF(O40&gt;=BandVH,"Very High",IF(O40&gt;=BandHigh,"High",IF(O40&gt;=BandMed,"Medium","Low"))))</f>
        <v/>
      </c>
      <c r="Q40" s="4" t="n"/>
      <c r="R40" s="19" t="n"/>
      <c r="S40" s="4" t="n"/>
      <c r="T40" s="19" t="n"/>
      <c r="U40" s="4" t="n"/>
      <c r="V40" s="19" t="n"/>
      <c r="W40" s="4" t="n"/>
      <c r="X40" s="19" t="n"/>
      <c r="Y40" s="4" t="n"/>
      <c r="Z40" s="19" t="n"/>
      <c r="AA40" s="4" t="n"/>
      <c r="AB40" s="19" t="n"/>
      <c r="AC40" s="5">
        <f>_xlfn.TEXTJOIN(CHAR(10),TRUE,IF(Q40="","","• "&amp;Q40&amp;IF(R40="Yes","  [IPL]","")),IF(S40="","","• "&amp;S40&amp;IF(T40="Yes","  [IPL]","")),IF(U40="","","• "&amp;U40&amp;IF(V40="Yes","  [IPL]","")),IF(W40="","","• "&amp;W40&amp;IF(X40="Yes","  [IPL]","")),IF(Y40="","","• "&amp;Y40&amp;IF(Z40="Yes","  [IPL]","")),IF(AA40="","","• "&amp;AA40&amp;IF(AB40="Yes","  [IPL]","")))</f>
        <v/>
      </c>
      <c r="AD40" s="30">
        <f>IF(AC40="","",COUNTIF(Q40:AB40,"Yes"))</f>
        <v/>
      </c>
      <c r="AE40" s="19" t="n"/>
      <c r="AF40" s="19" t="n"/>
      <c r="AG40" s="30">
        <f>IF(OR(AE40="",AF40=""),"",INDEX(RiskGrid,6-VALUE(LEFT(AE40,1)),VALUE(LEFT(AF40,1))))</f>
        <v/>
      </c>
      <c r="AH40" s="30">
        <f>IF(AG40="","",IF(AG40&gt;=BandVH,"Very High",IF(AG40&gt;=BandHigh,"High",IF(AG40&gt;=BandMed,"Medium","Low"))))</f>
        <v/>
      </c>
      <c r="AI40" s="4" t="n"/>
      <c r="AJ40" s="4" t="n"/>
    </row>
    <row r="41">
      <c r="A41" s="30">
        <f>IF(B41="","",COUNTIF(B$14:B41,"?*"))</f>
        <v/>
      </c>
      <c r="B41" s="4" t="n"/>
      <c r="C41" s="19" t="n"/>
      <c r="D41" s="5">
        <f>IF(OR(B41="",C41=""),"",UPPER(LEFT(C41,1))&amp;LOWER(MID(C41,2,30))&amp;" "&amp;LOWER(LEFT(B41,1))&amp;MID(B41,2,200))</f>
        <v/>
      </c>
      <c r="E41" s="4" t="n"/>
      <c r="F41" s="4" t="n"/>
      <c r="G41" s="4" t="n"/>
      <c r="H41" s="4" t="n"/>
      <c r="I41" s="4" t="n"/>
      <c r="J41" s="4" t="n"/>
      <c r="K41" s="5">
        <f>_xlfn.TEXTJOIN(CHAR(10),TRUE,IF(E41="","","• "&amp;E41),IF(F41="","","• "&amp;F41),IF(G41="","","• "&amp;G41),IF(H41="","","• "&amp;H41),IF(I41="","","• "&amp;I41),IF(J41="","","• "&amp;J41))</f>
        <v/>
      </c>
      <c r="L41" s="4" t="n"/>
      <c r="M41" s="19" t="n"/>
      <c r="N41" s="19" t="n"/>
      <c r="O41" s="30">
        <f>IF(OR(M41="",N41=""),"",INDEX(RiskGrid,6-VALUE(LEFT(M41,1)),VALUE(LEFT(N41,1))))</f>
        <v/>
      </c>
      <c r="P41" s="30">
        <f>IF(O41="","",IF(O41&gt;=BandVH,"Very High",IF(O41&gt;=BandHigh,"High",IF(O41&gt;=BandMed,"Medium","Low"))))</f>
        <v/>
      </c>
      <c r="Q41" s="4" t="n"/>
      <c r="R41" s="19" t="n"/>
      <c r="S41" s="4" t="n"/>
      <c r="T41" s="19" t="n"/>
      <c r="U41" s="4" t="n"/>
      <c r="V41" s="19" t="n"/>
      <c r="W41" s="4" t="n"/>
      <c r="X41" s="19" t="n"/>
      <c r="Y41" s="4" t="n"/>
      <c r="Z41" s="19" t="n"/>
      <c r="AA41" s="4" t="n"/>
      <c r="AB41" s="19" t="n"/>
      <c r="AC41" s="5">
        <f>_xlfn.TEXTJOIN(CHAR(10),TRUE,IF(Q41="","","• "&amp;Q41&amp;IF(R41="Yes","  [IPL]","")),IF(S41="","","• "&amp;S41&amp;IF(T41="Yes","  [IPL]","")),IF(U41="","","• "&amp;U41&amp;IF(V41="Yes","  [IPL]","")),IF(W41="","","• "&amp;W41&amp;IF(X41="Yes","  [IPL]","")),IF(Y41="","","• "&amp;Y41&amp;IF(Z41="Yes","  [IPL]","")),IF(AA41="","","• "&amp;AA41&amp;IF(AB41="Yes","  [IPL]","")))</f>
        <v/>
      </c>
      <c r="AD41" s="30">
        <f>IF(AC41="","",COUNTIF(Q41:AB41,"Yes"))</f>
        <v/>
      </c>
      <c r="AE41" s="19" t="n"/>
      <c r="AF41" s="19" t="n"/>
      <c r="AG41" s="30">
        <f>IF(OR(AE41="",AF41=""),"",INDEX(RiskGrid,6-VALUE(LEFT(AE41,1)),VALUE(LEFT(AF41,1))))</f>
        <v/>
      </c>
      <c r="AH41" s="30">
        <f>IF(AG41="","",IF(AG41&gt;=BandVH,"Very High",IF(AG41&gt;=BandHigh,"High",IF(AG41&gt;=BandMed,"Medium","Low"))))</f>
        <v/>
      </c>
      <c r="AI41" s="4" t="n"/>
      <c r="AJ41" s="4" t="n"/>
    </row>
    <row r="42">
      <c r="A42" s="30">
        <f>IF(B42="","",COUNTIF(B$14:B42,"?*"))</f>
        <v/>
      </c>
      <c r="B42" s="4" t="n"/>
      <c r="C42" s="19" t="n"/>
      <c r="D42" s="5">
        <f>IF(OR(B42="",C42=""),"",UPPER(LEFT(C42,1))&amp;LOWER(MID(C42,2,30))&amp;" "&amp;LOWER(LEFT(B42,1))&amp;MID(B42,2,200))</f>
        <v/>
      </c>
      <c r="E42" s="4" t="n"/>
      <c r="F42" s="4" t="n"/>
      <c r="G42" s="4" t="n"/>
      <c r="H42" s="4" t="n"/>
      <c r="I42" s="4" t="n"/>
      <c r="J42" s="4" t="n"/>
      <c r="K42" s="5">
        <f>_xlfn.TEXTJOIN(CHAR(10),TRUE,IF(E42="","","• "&amp;E42),IF(F42="","","• "&amp;F42),IF(G42="","","• "&amp;G42),IF(H42="","","• "&amp;H42),IF(I42="","","• "&amp;I42),IF(J42="","","• "&amp;J42))</f>
        <v/>
      </c>
      <c r="L42" s="4" t="n"/>
      <c r="M42" s="19" t="n"/>
      <c r="N42" s="19" t="n"/>
      <c r="O42" s="30">
        <f>IF(OR(M42="",N42=""),"",INDEX(RiskGrid,6-VALUE(LEFT(M42,1)),VALUE(LEFT(N42,1))))</f>
        <v/>
      </c>
      <c r="P42" s="30">
        <f>IF(O42="","",IF(O42&gt;=BandVH,"Very High",IF(O42&gt;=BandHigh,"High",IF(O42&gt;=BandMed,"Medium","Low"))))</f>
        <v/>
      </c>
      <c r="Q42" s="4" t="n"/>
      <c r="R42" s="19" t="n"/>
      <c r="S42" s="4" t="n"/>
      <c r="T42" s="19" t="n"/>
      <c r="U42" s="4" t="n"/>
      <c r="V42" s="19" t="n"/>
      <c r="W42" s="4" t="n"/>
      <c r="X42" s="19" t="n"/>
      <c r="Y42" s="4" t="n"/>
      <c r="Z42" s="19" t="n"/>
      <c r="AA42" s="4" t="n"/>
      <c r="AB42" s="19" t="n"/>
      <c r="AC42" s="5">
        <f>_xlfn.TEXTJOIN(CHAR(10),TRUE,IF(Q42="","","• "&amp;Q42&amp;IF(R42="Yes","  [IPL]","")),IF(S42="","","• "&amp;S42&amp;IF(T42="Yes","  [IPL]","")),IF(U42="","","• "&amp;U42&amp;IF(V42="Yes","  [IPL]","")),IF(W42="","","• "&amp;W42&amp;IF(X42="Yes","  [IPL]","")),IF(Y42="","","• "&amp;Y42&amp;IF(Z42="Yes","  [IPL]","")),IF(AA42="","","• "&amp;AA42&amp;IF(AB42="Yes","  [IPL]","")))</f>
        <v/>
      </c>
      <c r="AD42" s="30">
        <f>IF(AC42="","",COUNTIF(Q42:AB42,"Yes"))</f>
        <v/>
      </c>
      <c r="AE42" s="19" t="n"/>
      <c r="AF42" s="19" t="n"/>
      <c r="AG42" s="30">
        <f>IF(OR(AE42="",AF42=""),"",INDEX(RiskGrid,6-VALUE(LEFT(AE42,1)),VALUE(LEFT(AF42,1))))</f>
        <v/>
      </c>
      <c r="AH42" s="30">
        <f>IF(AG42="","",IF(AG42&gt;=BandVH,"Very High",IF(AG42&gt;=BandHigh,"High",IF(AG42&gt;=BandMed,"Medium","Low"))))</f>
        <v/>
      </c>
      <c r="AI42" s="4" t="n"/>
      <c r="AJ42" s="4" t="n"/>
    </row>
    <row r="43">
      <c r="A43" s="30">
        <f>IF(B43="","",COUNTIF(B$14:B43,"?*"))</f>
        <v/>
      </c>
      <c r="B43" s="4" t="n"/>
      <c r="C43" s="19" t="n"/>
      <c r="D43" s="5">
        <f>IF(OR(B43="",C43=""),"",UPPER(LEFT(C43,1))&amp;LOWER(MID(C43,2,30))&amp;" "&amp;LOWER(LEFT(B43,1))&amp;MID(B43,2,200))</f>
        <v/>
      </c>
      <c r="E43" s="4" t="n"/>
      <c r="F43" s="4" t="n"/>
      <c r="G43" s="4" t="n"/>
      <c r="H43" s="4" t="n"/>
      <c r="I43" s="4" t="n"/>
      <c r="J43" s="4" t="n"/>
      <c r="K43" s="5">
        <f>_xlfn.TEXTJOIN(CHAR(10),TRUE,IF(E43="","","• "&amp;E43),IF(F43="","","• "&amp;F43),IF(G43="","","• "&amp;G43),IF(H43="","","• "&amp;H43),IF(I43="","","• "&amp;I43),IF(J43="","","• "&amp;J43))</f>
        <v/>
      </c>
      <c r="L43" s="4" t="n"/>
      <c r="M43" s="19" t="n"/>
      <c r="N43" s="19" t="n"/>
      <c r="O43" s="30">
        <f>IF(OR(M43="",N43=""),"",INDEX(RiskGrid,6-VALUE(LEFT(M43,1)),VALUE(LEFT(N43,1))))</f>
        <v/>
      </c>
      <c r="P43" s="30">
        <f>IF(O43="","",IF(O43&gt;=BandVH,"Very High",IF(O43&gt;=BandHigh,"High",IF(O43&gt;=BandMed,"Medium","Low"))))</f>
        <v/>
      </c>
      <c r="Q43" s="4" t="n"/>
      <c r="R43" s="19" t="n"/>
      <c r="S43" s="4" t="n"/>
      <c r="T43" s="19" t="n"/>
      <c r="U43" s="4" t="n"/>
      <c r="V43" s="19" t="n"/>
      <c r="W43" s="4" t="n"/>
      <c r="X43" s="19" t="n"/>
      <c r="Y43" s="4" t="n"/>
      <c r="Z43" s="19" t="n"/>
      <c r="AA43" s="4" t="n"/>
      <c r="AB43" s="19" t="n"/>
      <c r="AC43" s="5">
        <f>_xlfn.TEXTJOIN(CHAR(10),TRUE,IF(Q43="","","• "&amp;Q43&amp;IF(R43="Yes","  [IPL]","")),IF(S43="","","• "&amp;S43&amp;IF(T43="Yes","  [IPL]","")),IF(U43="","","• "&amp;U43&amp;IF(V43="Yes","  [IPL]","")),IF(W43="","","• "&amp;W43&amp;IF(X43="Yes","  [IPL]","")),IF(Y43="","","• "&amp;Y43&amp;IF(Z43="Yes","  [IPL]","")),IF(AA43="","","• "&amp;AA43&amp;IF(AB43="Yes","  [IPL]","")))</f>
        <v/>
      </c>
      <c r="AD43" s="30">
        <f>IF(AC43="","",COUNTIF(Q43:AB43,"Yes"))</f>
        <v/>
      </c>
      <c r="AE43" s="19" t="n"/>
      <c r="AF43" s="19" t="n"/>
      <c r="AG43" s="30">
        <f>IF(OR(AE43="",AF43=""),"",INDEX(RiskGrid,6-VALUE(LEFT(AE43,1)),VALUE(LEFT(AF43,1))))</f>
        <v/>
      </c>
      <c r="AH43" s="30">
        <f>IF(AG43="","",IF(AG43&gt;=BandVH,"Very High",IF(AG43&gt;=BandHigh,"High",IF(AG43&gt;=BandMed,"Medium","Low"))))</f>
        <v/>
      </c>
      <c r="AI43" s="4" t="n"/>
      <c r="AJ43" s="4" t="n"/>
    </row>
    <row r="44">
      <c r="A44" s="30">
        <f>IF(B44="","",COUNTIF(B$14:B44,"?*"))</f>
        <v/>
      </c>
      <c r="B44" s="4" t="n"/>
      <c r="C44" s="19" t="n"/>
      <c r="D44" s="5">
        <f>IF(OR(B44="",C44=""),"",UPPER(LEFT(C44,1))&amp;LOWER(MID(C44,2,30))&amp;" "&amp;LOWER(LEFT(B44,1))&amp;MID(B44,2,200))</f>
        <v/>
      </c>
      <c r="E44" s="4" t="n"/>
      <c r="F44" s="4" t="n"/>
      <c r="G44" s="4" t="n"/>
      <c r="H44" s="4" t="n"/>
      <c r="I44" s="4" t="n"/>
      <c r="J44" s="4" t="n"/>
      <c r="K44" s="5">
        <f>_xlfn.TEXTJOIN(CHAR(10),TRUE,IF(E44="","","• "&amp;E44),IF(F44="","","• "&amp;F44),IF(G44="","","• "&amp;G44),IF(H44="","","• "&amp;H44),IF(I44="","","• "&amp;I44),IF(J44="","","• "&amp;J44))</f>
        <v/>
      </c>
      <c r="L44" s="4" t="n"/>
      <c r="M44" s="19" t="n"/>
      <c r="N44" s="19" t="n"/>
      <c r="O44" s="30">
        <f>IF(OR(M44="",N44=""),"",INDEX(RiskGrid,6-VALUE(LEFT(M44,1)),VALUE(LEFT(N44,1))))</f>
        <v/>
      </c>
      <c r="P44" s="30">
        <f>IF(O44="","",IF(O44&gt;=BandVH,"Very High",IF(O44&gt;=BandHigh,"High",IF(O44&gt;=BandMed,"Medium","Low"))))</f>
        <v/>
      </c>
      <c r="Q44" s="4" t="n"/>
      <c r="R44" s="19" t="n"/>
      <c r="S44" s="4" t="n"/>
      <c r="T44" s="19" t="n"/>
      <c r="U44" s="4" t="n"/>
      <c r="V44" s="19" t="n"/>
      <c r="W44" s="4" t="n"/>
      <c r="X44" s="19" t="n"/>
      <c r="Y44" s="4" t="n"/>
      <c r="Z44" s="19" t="n"/>
      <c r="AA44" s="4" t="n"/>
      <c r="AB44" s="19" t="n"/>
      <c r="AC44" s="5">
        <f>_xlfn.TEXTJOIN(CHAR(10),TRUE,IF(Q44="","","• "&amp;Q44&amp;IF(R44="Yes","  [IPL]","")),IF(S44="","","• "&amp;S44&amp;IF(T44="Yes","  [IPL]","")),IF(U44="","","• "&amp;U44&amp;IF(V44="Yes","  [IPL]","")),IF(W44="","","• "&amp;W44&amp;IF(X44="Yes","  [IPL]","")),IF(Y44="","","• "&amp;Y44&amp;IF(Z44="Yes","  [IPL]","")),IF(AA44="","","• "&amp;AA44&amp;IF(AB44="Yes","  [IPL]","")))</f>
        <v/>
      </c>
      <c r="AD44" s="30">
        <f>IF(AC44="","",COUNTIF(Q44:AB44,"Yes"))</f>
        <v/>
      </c>
      <c r="AE44" s="19" t="n"/>
      <c r="AF44" s="19" t="n"/>
      <c r="AG44" s="30">
        <f>IF(OR(AE44="",AF44=""),"",INDEX(RiskGrid,6-VALUE(LEFT(AE44,1)),VALUE(LEFT(AF44,1))))</f>
        <v/>
      </c>
      <c r="AH44" s="30">
        <f>IF(AG44="","",IF(AG44&gt;=BandVH,"Very High",IF(AG44&gt;=BandHigh,"High",IF(AG44&gt;=BandMed,"Medium","Low"))))</f>
        <v/>
      </c>
      <c r="AI44" s="4" t="n"/>
      <c r="AJ44" s="4" t="n"/>
    </row>
    <row r="45">
      <c r="A45" s="30">
        <f>IF(B45="","",COUNTIF(B$14:B45,"?*"))</f>
        <v/>
      </c>
      <c r="B45" s="4" t="n"/>
      <c r="C45" s="19" t="n"/>
      <c r="D45" s="5">
        <f>IF(OR(B45="",C45=""),"",UPPER(LEFT(C45,1))&amp;LOWER(MID(C45,2,30))&amp;" "&amp;LOWER(LEFT(B45,1))&amp;MID(B45,2,200))</f>
        <v/>
      </c>
      <c r="E45" s="4" t="n"/>
      <c r="F45" s="4" t="n"/>
      <c r="G45" s="4" t="n"/>
      <c r="H45" s="4" t="n"/>
      <c r="I45" s="4" t="n"/>
      <c r="J45" s="4" t="n"/>
      <c r="K45" s="5">
        <f>_xlfn.TEXTJOIN(CHAR(10),TRUE,IF(E45="","","• "&amp;E45),IF(F45="","","• "&amp;F45),IF(G45="","","• "&amp;G45),IF(H45="","","• "&amp;H45),IF(I45="","","• "&amp;I45),IF(J45="","","• "&amp;J45))</f>
        <v/>
      </c>
      <c r="L45" s="4" t="n"/>
      <c r="M45" s="19" t="n"/>
      <c r="N45" s="19" t="n"/>
      <c r="O45" s="30">
        <f>IF(OR(M45="",N45=""),"",INDEX(RiskGrid,6-VALUE(LEFT(M45,1)),VALUE(LEFT(N45,1))))</f>
        <v/>
      </c>
      <c r="P45" s="30">
        <f>IF(O45="","",IF(O45&gt;=BandVH,"Very High",IF(O45&gt;=BandHigh,"High",IF(O45&gt;=BandMed,"Medium","Low"))))</f>
        <v/>
      </c>
      <c r="Q45" s="4" t="n"/>
      <c r="R45" s="19" t="n"/>
      <c r="S45" s="4" t="n"/>
      <c r="T45" s="19" t="n"/>
      <c r="U45" s="4" t="n"/>
      <c r="V45" s="19" t="n"/>
      <c r="W45" s="4" t="n"/>
      <c r="X45" s="19" t="n"/>
      <c r="Y45" s="4" t="n"/>
      <c r="Z45" s="19" t="n"/>
      <c r="AA45" s="4" t="n"/>
      <c r="AB45" s="19" t="n"/>
      <c r="AC45" s="5">
        <f>_xlfn.TEXTJOIN(CHAR(10),TRUE,IF(Q45="","","• "&amp;Q45&amp;IF(R45="Yes","  [IPL]","")),IF(S45="","","• "&amp;S45&amp;IF(T45="Yes","  [IPL]","")),IF(U45="","","• "&amp;U45&amp;IF(V45="Yes","  [IPL]","")),IF(W45="","","• "&amp;W45&amp;IF(X45="Yes","  [IPL]","")),IF(Y45="","","• "&amp;Y45&amp;IF(Z45="Yes","  [IPL]","")),IF(AA45="","","• "&amp;AA45&amp;IF(AB45="Yes","  [IPL]","")))</f>
        <v/>
      </c>
      <c r="AD45" s="30">
        <f>IF(AC45="","",COUNTIF(Q45:AB45,"Yes"))</f>
        <v/>
      </c>
      <c r="AE45" s="19" t="n"/>
      <c r="AF45" s="19" t="n"/>
      <c r="AG45" s="30">
        <f>IF(OR(AE45="",AF45=""),"",INDEX(RiskGrid,6-VALUE(LEFT(AE45,1)),VALUE(LEFT(AF45,1))))</f>
        <v/>
      </c>
      <c r="AH45" s="30">
        <f>IF(AG45="","",IF(AG45&gt;=BandVH,"Very High",IF(AG45&gt;=BandHigh,"High",IF(AG45&gt;=BandMed,"Medium","Low"))))</f>
        <v/>
      </c>
      <c r="AI45" s="4" t="n"/>
      <c r="AJ45" s="4" t="n"/>
    </row>
    <row r="46">
      <c r="A46" s="30">
        <f>IF(B46="","",COUNTIF(B$14:B46,"?*"))</f>
        <v/>
      </c>
      <c r="B46" s="4" t="n"/>
      <c r="C46" s="19" t="n"/>
      <c r="D46" s="5">
        <f>IF(OR(B46="",C46=""),"",UPPER(LEFT(C46,1))&amp;LOWER(MID(C46,2,30))&amp;" "&amp;LOWER(LEFT(B46,1))&amp;MID(B46,2,200))</f>
        <v/>
      </c>
      <c r="E46" s="4" t="n"/>
      <c r="F46" s="4" t="n"/>
      <c r="G46" s="4" t="n"/>
      <c r="H46" s="4" t="n"/>
      <c r="I46" s="4" t="n"/>
      <c r="J46" s="4" t="n"/>
      <c r="K46" s="5">
        <f>_xlfn.TEXTJOIN(CHAR(10),TRUE,IF(E46="","","• "&amp;E46),IF(F46="","","• "&amp;F46),IF(G46="","","• "&amp;G46),IF(H46="","","• "&amp;H46),IF(I46="","","• "&amp;I46),IF(J46="","","• "&amp;J46))</f>
        <v/>
      </c>
      <c r="L46" s="4" t="n"/>
      <c r="M46" s="19" t="n"/>
      <c r="N46" s="19" t="n"/>
      <c r="O46" s="30">
        <f>IF(OR(M46="",N46=""),"",INDEX(RiskGrid,6-VALUE(LEFT(M46,1)),VALUE(LEFT(N46,1))))</f>
        <v/>
      </c>
      <c r="P46" s="30">
        <f>IF(O46="","",IF(O46&gt;=BandVH,"Very High",IF(O46&gt;=BandHigh,"High",IF(O46&gt;=BandMed,"Medium","Low"))))</f>
        <v/>
      </c>
      <c r="Q46" s="4" t="n"/>
      <c r="R46" s="19" t="n"/>
      <c r="S46" s="4" t="n"/>
      <c r="T46" s="19" t="n"/>
      <c r="U46" s="4" t="n"/>
      <c r="V46" s="19" t="n"/>
      <c r="W46" s="4" t="n"/>
      <c r="X46" s="19" t="n"/>
      <c r="Y46" s="4" t="n"/>
      <c r="Z46" s="19" t="n"/>
      <c r="AA46" s="4" t="n"/>
      <c r="AB46" s="19" t="n"/>
      <c r="AC46" s="5">
        <f>_xlfn.TEXTJOIN(CHAR(10),TRUE,IF(Q46="","","• "&amp;Q46&amp;IF(R46="Yes","  [IPL]","")),IF(S46="","","• "&amp;S46&amp;IF(T46="Yes","  [IPL]","")),IF(U46="","","• "&amp;U46&amp;IF(V46="Yes","  [IPL]","")),IF(W46="","","• "&amp;W46&amp;IF(X46="Yes","  [IPL]","")),IF(Y46="","","• "&amp;Y46&amp;IF(Z46="Yes","  [IPL]","")),IF(AA46="","","• "&amp;AA46&amp;IF(AB46="Yes","  [IPL]","")))</f>
        <v/>
      </c>
      <c r="AD46" s="30">
        <f>IF(AC46="","",COUNTIF(Q46:AB46,"Yes"))</f>
        <v/>
      </c>
      <c r="AE46" s="19" t="n"/>
      <c r="AF46" s="19" t="n"/>
      <c r="AG46" s="30">
        <f>IF(OR(AE46="",AF46=""),"",INDEX(RiskGrid,6-VALUE(LEFT(AE46,1)),VALUE(LEFT(AF46,1))))</f>
        <v/>
      </c>
      <c r="AH46" s="30">
        <f>IF(AG46="","",IF(AG46&gt;=BandVH,"Very High",IF(AG46&gt;=BandHigh,"High",IF(AG46&gt;=BandMed,"Medium","Low"))))</f>
        <v/>
      </c>
      <c r="AI46" s="4" t="n"/>
      <c r="AJ46" s="4" t="n"/>
    </row>
    <row r="47">
      <c r="A47" s="30">
        <f>IF(B47="","",COUNTIF(B$14:B47,"?*"))</f>
        <v/>
      </c>
      <c r="B47" s="4" t="n"/>
      <c r="C47" s="19" t="n"/>
      <c r="D47" s="5">
        <f>IF(OR(B47="",C47=""),"",UPPER(LEFT(C47,1))&amp;LOWER(MID(C47,2,30))&amp;" "&amp;LOWER(LEFT(B47,1))&amp;MID(B47,2,200))</f>
        <v/>
      </c>
      <c r="E47" s="4" t="n"/>
      <c r="F47" s="4" t="n"/>
      <c r="G47" s="4" t="n"/>
      <c r="H47" s="4" t="n"/>
      <c r="I47" s="4" t="n"/>
      <c r="J47" s="4" t="n"/>
      <c r="K47" s="5">
        <f>_xlfn.TEXTJOIN(CHAR(10),TRUE,IF(E47="","","• "&amp;E47),IF(F47="","","• "&amp;F47),IF(G47="","","• "&amp;G47),IF(H47="","","• "&amp;H47),IF(I47="","","• "&amp;I47),IF(J47="","","• "&amp;J47))</f>
        <v/>
      </c>
      <c r="L47" s="4" t="n"/>
      <c r="M47" s="19" t="n"/>
      <c r="N47" s="19" t="n"/>
      <c r="O47" s="30">
        <f>IF(OR(M47="",N47=""),"",INDEX(RiskGrid,6-VALUE(LEFT(M47,1)),VALUE(LEFT(N47,1))))</f>
        <v/>
      </c>
      <c r="P47" s="30">
        <f>IF(O47="","",IF(O47&gt;=BandVH,"Very High",IF(O47&gt;=BandHigh,"High",IF(O47&gt;=BandMed,"Medium","Low"))))</f>
        <v/>
      </c>
      <c r="Q47" s="4" t="n"/>
      <c r="R47" s="19" t="n"/>
      <c r="S47" s="4" t="n"/>
      <c r="T47" s="19" t="n"/>
      <c r="U47" s="4" t="n"/>
      <c r="V47" s="19" t="n"/>
      <c r="W47" s="4" t="n"/>
      <c r="X47" s="19" t="n"/>
      <c r="Y47" s="4" t="n"/>
      <c r="Z47" s="19" t="n"/>
      <c r="AA47" s="4" t="n"/>
      <c r="AB47" s="19" t="n"/>
      <c r="AC47" s="5">
        <f>_xlfn.TEXTJOIN(CHAR(10),TRUE,IF(Q47="","","• "&amp;Q47&amp;IF(R47="Yes","  [IPL]","")),IF(S47="","","• "&amp;S47&amp;IF(T47="Yes","  [IPL]","")),IF(U47="","","• "&amp;U47&amp;IF(V47="Yes","  [IPL]","")),IF(W47="","","• "&amp;W47&amp;IF(X47="Yes","  [IPL]","")),IF(Y47="","","• "&amp;Y47&amp;IF(Z47="Yes","  [IPL]","")),IF(AA47="","","• "&amp;AA47&amp;IF(AB47="Yes","  [IPL]","")))</f>
        <v/>
      </c>
      <c r="AD47" s="30">
        <f>IF(AC47="","",COUNTIF(Q47:AB47,"Yes"))</f>
        <v/>
      </c>
      <c r="AE47" s="19" t="n"/>
      <c r="AF47" s="19" t="n"/>
      <c r="AG47" s="30">
        <f>IF(OR(AE47="",AF47=""),"",INDEX(RiskGrid,6-VALUE(LEFT(AE47,1)),VALUE(LEFT(AF47,1))))</f>
        <v/>
      </c>
      <c r="AH47" s="30">
        <f>IF(AG47="","",IF(AG47&gt;=BandVH,"Very High",IF(AG47&gt;=BandHigh,"High",IF(AG47&gt;=BandMed,"Medium","Low"))))</f>
        <v/>
      </c>
      <c r="AI47" s="4" t="n"/>
      <c r="AJ47" s="4" t="n"/>
    </row>
    <row r="48">
      <c r="A48" s="30">
        <f>IF(B48="","",COUNTIF(B$14:B48,"?*"))</f>
        <v/>
      </c>
      <c r="B48" s="4" t="n"/>
      <c r="C48" s="19" t="n"/>
      <c r="D48" s="5">
        <f>IF(OR(B48="",C48=""),"",UPPER(LEFT(C48,1))&amp;LOWER(MID(C48,2,30))&amp;" "&amp;LOWER(LEFT(B48,1))&amp;MID(B48,2,200))</f>
        <v/>
      </c>
      <c r="E48" s="4" t="n"/>
      <c r="F48" s="4" t="n"/>
      <c r="G48" s="4" t="n"/>
      <c r="H48" s="4" t="n"/>
      <c r="I48" s="4" t="n"/>
      <c r="J48" s="4" t="n"/>
      <c r="K48" s="5">
        <f>_xlfn.TEXTJOIN(CHAR(10),TRUE,IF(E48="","","• "&amp;E48),IF(F48="","","• "&amp;F48),IF(G48="","","• "&amp;G48),IF(H48="","","• "&amp;H48),IF(I48="","","• "&amp;I48),IF(J48="","","• "&amp;J48))</f>
        <v/>
      </c>
      <c r="L48" s="4" t="n"/>
      <c r="M48" s="19" t="n"/>
      <c r="N48" s="19" t="n"/>
      <c r="O48" s="30">
        <f>IF(OR(M48="",N48=""),"",INDEX(RiskGrid,6-VALUE(LEFT(M48,1)),VALUE(LEFT(N48,1))))</f>
        <v/>
      </c>
      <c r="P48" s="30">
        <f>IF(O48="","",IF(O48&gt;=BandVH,"Very High",IF(O48&gt;=BandHigh,"High",IF(O48&gt;=BandMed,"Medium","Low"))))</f>
        <v/>
      </c>
      <c r="Q48" s="4" t="n"/>
      <c r="R48" s="19" t="n"/>
      <c r="S48" s="4" t="n"/>
      <c r="T48" s="19" t="n"/>
      <c r="U48" s="4" t="n"/>
      <c r="V48" s="19" t="n"/>
      <c r="W48" s="4" t="n"/>
      <c r="X48" s="19" t="n"/>
      <c r="Y48" s="4" t="n"/>
      <c r="Z48" s="19" t="n"/>
      <c r="AA48" s="4" t="n"/>
      <c r="AB48" s="19" t="n"/>
      <c r="AC48" s="5">
        <f>_xlfn.TEXTJOIN(CHAR(10),TRUE,IF(Q48="","","• "&amp;Q48&amp;IF(R48="Yes","  [IPL]","")),IF(S48="","","• "&amp;S48&amp;IF(T48="Yes","  [IPL]","")),IF(U48="","","• "&amp;U48&amp;IF(V48="Yes","  [IPL]","")),IF(W48="","","• "&amp;W48&amp;IF(X48="Yes","  [IPL]","")),IF(Y48="","","• "&amp;Y48&amp;IF(Z48="Yes","  [IPL]","")),IF(AA48="","","• "&amp;AA48&amp;IF(AB48="Yes","  [IPL]","")))</f>
        <v/>
      </c>
      <c r="AD48" s="30">
        <f>IF(AC48="","",COUNTIF(Q48:AB48,"Yes"))</f>
        <v/>
      </c>
      <c r="AE48" s="19" t="n"/>
      <c r="AF48" s="19" t="n"/>
      <c r="AG48" s="30">
        <f>IF(OR(AE48="",AF48=""),"",INDEX(RiskGrid,6-VALUE(LEFT(AE48,1)),VALUE(LEFT(AF48,1))))</f>
        <v/>
      </c>
      <c r="AH48" s="30">
        <f>IF(AG48="","",IF(AG48&gt;=BandVH,"Very High",IF(AG48&gt;=BandHigh,"High",IF(AG48&gt;=BandMed,"Medium","Low"))))</f>
        <v/>
      </c>
      <c r="AI48" s="4" t="n"/>
      <c r="AJ48" s="4" t="n"/>
    </row>
    <row r="49">
      <c r="A49" s="30">
        <f>IF(B49="","",COUNTIF(B$14:B49,"?*"))</f>
        <v/>
      </c>
      <c r="B49" s="4" t="n"/>
      <c r="C49" s="19" t="n"/>
      <c r="D49" s="5">
        <f>IF(OR(B49="",C49=""),"",UPPER(LEFT(C49,1))&amp;LOWER(MID(C49,2,30))&amp;" "&amp;LOWER(LEFT(B49,1))&amp;MID(B49,2,200))</f>
        <v/>
      </c>
      <c r="E49" s="4" t="n"/>
      <c r="F49" s="4" t="n"/>
      <c r="G49" s="4" t="n"/>
      <c r="H49" s="4" t="n"/>
      <c r="I49" s="4" t="n"/>
      <c r="J49" s="4" t="n"/>
      <c r="K49" s="5">
        <f>_xlfn.TEXTJOIN(CHAR(10),TRUE,IF(E49="","","• "&amp;E49),IF(F49="","","• "&amp;F49),IF(G49="","","• "&amp;G49),IF(H49="","","• "&amp;H49),IF(I49="","","• "&amp;I49),IF(J49="","","• "&amp;J49))</f>
        <v/>
      </c>
      <c r="L49" s="4" t="n"/>
      <c r="M49" s="19" t="n"/>
      <c r="N49" s="19" t="n"/>
      <c r="O49" s="30">
        <f>IF(OR(M49="",N49=""),"",INDEX(RiskGrid,6-VALUE(LEFT(M49,1)),VALUE(LEFT(N49,1))))</f>
        <v/>
      </c>
      <c r="P49" s="30">
        <f>IF(O49="","",IF(O49&gt;=BandVH,"Very High",IF(O49&gt;=BandHigh,"High",IF(O49&gt;=BandMed,"Medium","Low"))))</f>
        <v/>
      </c>
      <c r="Q49" s="4" t="n"/>
      <c r="R49" s="19" t="n"/>
      <c r="S49" s="4" t="n"/>
      <c r="T49" s="19" t="n"/>
      <c r="U49" s="4" t="n"/>
      <c r="V49" s="19" t="n"/>
      <c r="W49" s="4" t="n"/>
      <c r="X49" s="19" t="n"/>
      <c r="Y49" s="4" t="n"/>
      <c r="Z49" s="19" t="n"/>
      <c r="AA49" s="4" t="n"/>
      <c r="AB49" s="19" t="n"/>
      <c r="AC49" s="5">
        <f>_xlfn.TEXTJOIN(CHAR(10),TRUE,IF(Q49="","","• "&amp;Q49&amp;IF(R49="Yes","  [IPL]","")),IF(S49="","","• "&amp;S49&amp;IF(T49="Yes","  [IPL]","")),IF(U49="","","• "&amp;U49&amp;IF(V49="Yes","  [IPL]","")),IF(W49="","","• "&amp;W49&amp;IF(X49="Yes","  [IPL]","")),IF(Y49="","","• "&amp;Y49&amp;IF(Z49="Yes","  [IPL]","")),IF(AA49="","","• "&amp;AA49&amp;IF(AB49="Yes","  [IPL]","")))</f>
        <v/>
      </c>
      <c r="AD49" s="30">
        <f>IF(AC49="","",COUNTIF(Q49:AB49,"Yes"))</f>
        <v/>
      </c>
      <c r="AE49" s="19" t="n"/>
      <c r="AF49" s="19" t="n"/>
      <c r="AG49" s="30">
        <f>IF(OR(AE49="",AF49=""),"",INDEX(RiskGrid,6-VALUE(LEFT(AE49,1)),VALUE(LEFT(AF49,1))))</f>
        <v/>
      </c>
      <c r="AH49" s="30">
        <f>IF(AG49="","",IF(AG49&gt;=BandVH,"Very High",IF(AG49&gt;=BandHigh,"High",IF(AG49&gt;=BandMed,"Medium","Low"))))</f>
        <v/>
      </c>
      <c r="AI49" s="4" t="n"/>
      <c r="AJ49" s="4" t="n"/>
    </row>
    <row r="50">
      <c r="A50" s="30">
        <f>IF(B50="","",COUNTIF(B$14:B50,"?*"))</f>
        <v/>
      </c>
      <c r="B50" s="4" t="n"/>
      <c r="C50" s="19" t="n"/>
      <c r="D50" s="5">
        <f>IF(OR(B50="",C50=""),"",UPPER(LEFT(C50,1))&amp;LOWER(MID(C50,2,30))&amp;" "&amp;LOWER(LEFT(B50,1))&amp;MID(B50,2,200))</f>
        <v/>
      </c>
      <c r="E50" s="4" t="n"/>
      <c r="F50" s="4" t="n"/>
      <c r="G50" s="4" t="n"/>
      <c r="H50" s="4" t="n"/>
      <c r="I50" s="4" t="n"/>
      <c r="J50" s="4" t="n"/>
      <c r="K50" s="5">
        <f>_xlfn.TEXTJOIN(CHAR(10),TRUE,IF(E50="","","• "&amp;E50),IF(F50="","","• "&amp;F50),IF(G50="","","• "&amp;G50),IF(H50="","","• "&amp;H50),IF(I50="","","• "&amp;I50),IF(J50="","","• "&amp;J50))</f>
        <v/>
      </c>
      <c r="L50" s="4" t="n"/>
      <c r="M50" s="19" t="n"/>
      <c r="N50" s="19" t="n"/>
      <c r="O50" s="30">
        <f>IF(OR(M50="",N50=""),"",INDEX(RiskGrid,6-VALUE(LEFT(M50,1)),VALUE(LEFT(N50,1))))</f>
        <v/>
      </c>
      <c r="P50" s="30">
        <f>IF(O50="","",IF(O50&gt;=BandVH,"Very High",IF(O50&gt;=BandHigh,"High",IF(O50&gt;=BandMed,"Medium","Low"))))</f>
        <v/>
      </c>
      <c r="Q50" s="4" t="n"/>
      <c r="R50" s="19" t="n"/>
      <c r="S50" s="4" t="n"/>
      <c r="T50" s="19" t="n"/>
      <c r="U50" s="4" t="n"/>
      <c r="V50" s="19" t="n"/>
      <c r="W50" s="4" t="n"/>
      <c r="X50" s="19" t="n"/>
      <c r="Y50" s="4" t="n"/>
      <c r="Z50" s="19" t="n"/>
      <c r="AA50" s="4" t="n"/>
      <c r="AB50" s="19" t="n"/>
      <c r="AC50" s="5">
        <f>_xlfn.TEXTJOIN(CHAR(10),TRUE,IF(Q50="","","• "&amp;Q50&amp;IF(R50="Yes","  [IPL]","")),IF(S50="","","• "&amp;S50&amp;IF(T50="Yes","  [IPL]","")),IF(U50="","","• "&amp;U50&amp;IF(V50="Yes","  [IPL]","")),IF(W50="","","• "&amp;W50&amp;IF(X50="Yes","  [IPL]","")),IF(Y50="","","• "&amp;Y50&amp;IF(Z50="Yes","  [IPL]","")),IF(AA50="","","• "&amp;AA50&amp;IF(AB50="Yes","  [IPL]","")))</f>
        <v/>
      </c>
      <c r="AD50" s="30">
        <f>IF(AC50="","",COUNTIF(Q50:AB50,"Yes"))</f>
        <v/>
      </c>
      <c r="AE50" s="19" t="n"/>
      <c r="AF50" s="19" t="n"/>
      <c r="AG50" s="30">
        <f>IF(OR(AE50="",AF50=""),"",INDEX(RiskGrid,6-VALUE(LEFT(AE50,1)),VALUE(LEFT(AF50,1))))</f>
        <v/>
      </c>
      <c r="AH50" s="30">
        <f>IF(AG50="","",IF(AG50&gt;=BandVH,"Very High",IF(AG50&gt;=BandHigh,"High",IF(AG50&gt;=BandMed,"Medium","Low"))))</f>
        <v/>
      </c>
      <c r="AI50" s="4" t="n"/>
      <c r="AJ50" s="4" t="n"/>
    </row>
    <row r="51">
      <c r="A51" s="30">
        <f>IF(B51="","",COUNTIF(B$14:B51,"?*"))</f>
        <v/>
      </c>
      <c r="B51" s="4" t="n"/>
      <c r="C51" s="19" t="n"/>
      <c r="D51" s="5">
        <f>IF(OR(B51="",C51=""),"",UPPER(LEFT(C51,1))&amp;LOWER(MID(C51,2,30))&amp;" "&amp;LOWER(LEFT(B51,1))&amp;MID(B51,2,200))</f>
        <v/>
      </c>
      <c r="E51" s="4" t="n"/>
      <c r="F51" s="4" t="n"/>
      <c r="G51" s="4" t="n"/>
      <c r="H51" s="4" t="n"/>
      <c r="I51" s="4" t="n"/>
      <c r="J51" s="4" t="n"/>
      <c r="K51" s="5">
        <f>_xlfn.TEXTJOIN(CHAR(10),TRUE,IF(E51="","","• "&amp;E51),IF(F51="","","• "&amp;F51),IF(G51="","","• "&amp;G51),IF(H51="","","• "&amp;H51),IF(I51="","","• "&amp;I51),IF(J51="","","• "&amp;J51))</f>
        <v/>
      </c>
      <c r="L51" s="4" t="n"/>
      <c r="M51" s="19" t="n"/>
      <c r="N51" s="19" t="n"/>
      <c r="O51" s="30">
        <f>IF(OR(M51="",N51=""),"",INDEX(RiskGrid,6-VALUE(LEFT(M51,1)),VALUE(LEFT(N51,1))))</f>
        <v/>
      </c>
      <c r="P51" s="30">
        <f>IF(O51="","",IF(O51&gt;=BandVH,"Very High",IF(O51&gt;=BandHigh,"High",IF(O51&gt;=BandMed,"Medium","Low"))))</f>
        <v/>
      </c>
      <c r="Q51" s="4" t="n"/>
      <c r="R51" s="19" t="n"/>
      <c r="S51" s="4" t="n"/>
      <c r="T51" s="19" t="n"/>
      <c r="U51" s="4" t="n"/>
      <c r="V51" s="19" t="n"/>
      <c r="W51" s="4" t="n"/>
      <c r="X51" s="19" t="n"/>
      <c r="Y51" s="4" t="n"/>
      <c r="Z51" s="19" t="n"/>
      <c r="AA51" s="4" t="n"/>
      <c r="AB51" s="19" t="n"/>
      <c r="AC51" s="5">
        <f>_xlfn.TEXTJOIN(CHAR(10),TRUE,IF(Q51="","","• "&amp;Q51&amp;IF(R51="Yes","  [IPL]","")),IF(S51="","","• "&amp;S51&amp;IF(T51="Yes","  [IPL]","")),IF(U51="","","• "&amp;U51&amp;IF(V51="Yes","  [IPL]","")),IF(W51="","","• "&amp;W51&amp;IF(X51="Yes","  [IPL]","")),IF(Y51="","","• "&amp;Y51&amp;IF(Z51="Yes","  [IPL]","")),IF(AA51="","","• "&amp;AA51&amp;IF(AB51="Yes","  [IPL]","")))</f>
        <v/>
      </c>
      <c r="AD51" s="30">
        <f>IF(AC51="","",COUNTIF(Q51:AB51,"Yes"))</f>
        <v/>
      </c>
      <c r="AE51" s="19" t="n"/>
      <c r="AF51" s="19" t="n"/>
      <c r="AG51" s="30">
        <f>IF(OR(AE51="",AF51=""),"",INDEX(RiskGrid,6-VALUE(LEFT(AE51,1)),VALUE(LEFT(AF51,1))))</f>
        <v/>
      </c>
      <c r="AH51" s="30">
        <f>IF(AG51="","",IF(AG51&gt;=BandVH,"Very High",IF(AG51&gt;=BandHigh,"High",IF(AG51&gt;=BandMed,"Medium","Low"))))</f>
        <v/>
      </c>
      <c r="AI51" s="4" t="n"/>
      <c r="AJ51" s="4" t="n"/>
    </row>
    <row r="52">
      <c r="A52" s="30">
        <f>IF(B52="","",COUNTIF(B$14:B52,"?*"))</f>
        <v/>
      </c>
      <c r="B52" s="4" t="n"/>
      <c r="C52" s="19" t="n"/>
      <c r="D52" s="5">
        <f>IF(OR(B52="",C52=""),"",UPPER(LEFT(C52,1))&amp;LOWER(MID(C52,2,30))&amp;" "&amp;LOWER(LEFT(B52,1))&amp;MID(B52,2,200))</f>
        <v/>
      </c>
      <c r="E52" s="4" t="n"/>
      <c r="F52" s="4" t="n"/>
      <c r="G52" s="4" t="n"/>
      <c r="H52" s="4" t="n"/>
      <c r="I52" s="4" t="n"/>
      <c r="J52" s="4" t="n"/>
      <c r="K52" s="5">
        <f>_xlfn.TEXTJOIN(CHAR(10),TRUE,IF(E52="","","• "&amp;E52),IF(F52="","","• "&amp;F52),IF(G52="","","• "&amp;G52),IF(H52="","","• "&amp;H52),IF(I52="","","• "&amp;I52),IF(J52="","","• "&amp;J52))</f>
        <v/>
      </c>
      <c r="L52" s="4" t="n"/>
      <c r="M52" s="19" t="n"/>
      <c r="N52" s="19" t="n"/>
      <c r="O52" s="30">
        <f>IF(OR(M52="",N52=""),"",INDEX(RiskGrid,6-VALUE(LEFT(M52,1)),VALUE(LEFT(N52,1))))</f>
        <v/>
      </c>
      <c r="P52" s="30">
        <f>IF(O52="","",IF(O52&gt;=BandVH,"Very High",IF(O52&gt;=BandHigh,"High",IF(O52&gt;=BandMed,"Medium","Low"))))</f>
        <v/>
      </c>
      <c r="Q52" s="4" t="n"/>
      <c r="R52" s="19" t="n"/>
      <c r="S52" s="4" t="n"/>
      <c r="T52" s="19" t="n"/>
      <c r="U52" s="4" t="n"/>
      <c r="V52" s="19" t="n"/>
      <c r="W52" s="4" t="n"/>
      <c r="X52" s="19" t="n"/>
      <c r="Y52" s="4" t="n"/>
      <c r="Z52" s="19" t="n"/>
      <c r="AA52" s="4" t="n"/>
      <c r="AB52" s="19" t="n"/>
      <c r="AC52" s="5">
        <f>_xlfn.TEXTJOIN(CHAR(10),TRUE,IF(Q52="","","• "&amp;Q52&amp;IF(R52="Yes","  [IPL]","")),IF(S52="","","• "&amp;S52&amp;IF(T52="Yes","  [IPL]","")),IF(U52="","","• "&amp;U52&amp;IF(V52="Yes","  [IPL]","")),IF(W52="","","• "&amp;W52&amp;IF(X52="Yes","  [IPL]","")),IF(Y52="","","• "&amp;Y52&amp;IF(Z52="Yes","  [IPL]","")),IF(AA52="","","• "&amp;AA52&amp;IF(AB52="Yes","  [IPL]","")))</f>
        <v/>
      </c>
      <c r="AD52" s="30">
        <f>IF(AC52="","",COUNTIF(Q52:AB52,"Yes"))</f>
        <v/>
      </c>
      <c r="AE52" s="19" t="n"/>
      <c r="AF52" s="19" t="n"/>
      <c r="AG52" s="30">
        <f>IF(OR(AE52="",AF52=""),"",INDEX(RiskGrid,6-VALUE(LEFT(AE52,1)),VALUE(LEFT(AF52,1))))</f>
        <v/>
      </c>
      <c r="AH52" s="30">
        <f>IF(AG52="","",IF(AG52&gt;=BandVH,"Very High",IF(AG52&gt;=BandHigh,"High",IF(AG52&gt;=BandMed,"Medium","Low"))))</f>
        <v/>
      </c>
      <c r="AI52" s="4" t="n"/>
      <c r="AJ52" s="4" t="n"/>
    </row>
    <row r="53">
      <c r="A53" s="30">
        <f>IF(B53="","",COUNTIF(B$14:B53,"?*"))</f>
        <v/>
      </c>
      <c r="B53" s="4" t="n"/>
      <c r="C53" s="19" t="n"/>
      <c r="D53" s="5">
        <f>IF(OR(B53="",C53=""),"",UPPER(LEFT(C53,1))&amp;LOWER(MID(C53,2,30))&amp;" "&amp;LOWER(LEFT(B53,1))&amp;MID(B53,2,200))</f>
        <v/>
      </c>
      <c r="E53" s="4" t="n"/>
      <c r="F53" s="4" t="n"/>
      <c r="G53" s="4" t="n"/>
      <c r="H53" s="4" t="n"/>
      <c r="I53" s="4" t="n"/>
      <c r="J53" s="4" t="n"/>
      <c r="K53" s="5">
        <f>_xlfn.TEXTJOIN(CHAR(10),TRUE,IF(E53="","","• "&amp;E53),IF(F53="","","• "&amp;F53),IF(G53="","","• "&amp;G53),IF(H53="","","• "&amp;H53),IF(I53="","","• "&amp;I53),IF(J53="","","• "&amp;J53))</f>
        <v/>
      </c>
      <c r="L53" s="4" t="n"/>
      <c r="M53" s="19" t="n"/>
      <c r="N53" s="19" t="n"/>
      <c r="O53" s="30">
        <f>IF(OR(M53="",N53=""),"",INDEX(RiskGrid,6-VALUE(LEFT(M53,1)),VALUE(LEFT(N53,1))))</f>
        <v/>
      </c>
      <c r="P53" s="30">
        <f>IF(O53="","",IF(O53&gt;=BandVH,"Very High",IF(O53&gt;=BandHigh,"High",IF(O53&gt;=BandMed,"Medium","Low"))))</f>
        <v/>
      </c>
      <c r="Q53" s="4" t="n"/>
      <c r="R53" s="19" t="n"/>
      <c r="S53" s="4" t="n"/>
      <c r="T53" s="19" t="n"/>
      <c r="U53" s="4" t="n"/>
      <c r="V53" s="19" t="n"/>
      <c r="W53" s="4" t="n"/>
      <c r="X53" s="19" t="n"/>
      <c r="Y53" s="4" t="n"/>
      <c r="Z53" s="19" t="n"/>
      <c r="AA53" s="4" t="n"/>
      <c r="AB53" s="19" t="n"/>
      <c r="AC53" s="5">
        <f>_xlfn.TEXTJOIN(CHAR(10),TRUE,IF(Q53="","","• "&amp;Q53&amp;IF(R53="Yes","  [IPL]","")),IF(S53="","","• "&amp;S53&amp;IF(T53="Yes","  [IPL]","")),IF(U53="","","• "&amp;U53&amp;IF(V53="Yes","  [IPL]","")),IF(W53="","","• "&amp;W53&amp;IF(X53="Yes","  [IPL]","")),IF(Y53="","","• "&amp;Y53&amp;IF(Z53="Yes","  [IPL]","")),IF(AA53="","","• "&amp;AA53&amp;IF(AB53="Yes","  [IPL]","")))</f>
        <v/>
      </c>
      <c r="AD53" s="30">
        <f>IF(AC53="","",COUNTIF(Q53:AB53,"Yes"))</f>
        <v/>
      </c>
      <c r="AE53" s="19" t="n"/>
      <c r="AF53" s="19" t="n"/>
      <c r="AG53" s="30">
        <f>IF(OR(AE53="",AF53=""),"",INDEX(RiskGrid,6-VALUE(LEFT(AE53,1)),VALUE(LEFT(AF53,1))))</f>
        <v/>
      </c>
      <c r="AH53" s="30">
        <f>IF(AG53="","",IF(AG53&gt;=BandVH,"Very High",IF(AG53&gt;=BandHigh,"High",IF(AG53&gt;=BandMed,"Medium","Low"))))</f>
        <v/>
      </c>
      <c r="AI53" s="4" t="n"/>
      <c r="AJ53" s="4" t="n"/>
    </row>
    <row r="54">
      <c r="A54" s="30">
        <f>IF(B54="","",COUNTIF(B$14:B54,"?*"))</f>
        <v/>
      </c>
      <c r="B54" s="4" t="n"/>
      <c r="C54" s="19" t="n"/>
      <c r="D54" s="5">
        <f>IF(OR(B54="",C54=""),"",UPPER(LEFT(C54,1))&amp;LOWER(MID(C54,2,30))&amp;" "&amp;LOWER(LEFT(B54,1))&amp;MID(B54,2,200))</f>
        <v/>
      </c>
      <c r="E54" s="4" t="n"/>
      <c r="F54" s="4" t="n"/>
      <c r="G54" s="4" t="n"/>
      <c r="H54" s="4" t="n"/>
      <c r="I54" s="4" t="n"/>
      <c r="J54" s="4" t="n"/>
      <c r="K54" s="5">
        <f>_xlfn.TEXTJOIN(CHAR(10),TRUE,IF(E54="","","• "&amp;E54),IF(F54="","","• "&amp;F54),IF(G54="","","• "&amp;G54),IF(H54="","","• "&amp;H54),IF(I54="","","• "&amp;I54),IF(J54="","","• "&amp;J54))</f>
        <v/>
      </c>
      <c r="L54" s="4" t="n"/>
      <c r="M54" s="19" t="n"/>
      <c r="N54" s="19" t="n"/>
      <c r="O54" s="30">
        <f>IF(OR(M54="",N54=""),"",INDEX(RiskGrid,6-VALUE(LEFT(M54,1)),VALUE(LEFT(N54,1))))</f>
        <v/>
      </c>
      <c r="P54" s="30">
        <f>IF(O54="","",IF(O54&gt;=BandVH,"Very High",IF(O54&gt;=BandHigh,"High",IF(O54&gt;=BandMed,"Medium","Low"))))</f>
        <v/>
      </c>
      <c r="Q54" s="4" t="n"/>
      <c r="R54" s="19" t="n"/>
      <c r="S54" s="4" t="n"/>
      <c r="T54" s="19" t="n"/>
      <c r="U54" s="4" t="n"/>
      <c r="V54" s="19" t="n"/>
      <c r="W54" s="4" t="n"/>
      <c r="X54" s="19" t="n"/>
      <c r="Y54" s="4" t="n"/>
      <c r="Z54" s="19" t="n"/>
      <c r="AA54" s="4" t="n"/>
      <c r="AB54" s="19" t="n"/>
      <c r="AC54" s="5">
        <f>_xlfn.TEXTJOIN(CHAR(10),TRUE,IF(Q54="","","• "&amp;Q54&amp;IF(R54="Yes","  [IPL]","")),IF(S54="","","• "&amp;S54&amp;IF(T54="Yes","  [IPL]","")),IF(U54="","","• "&amp;U54&amp;IF(V54="Yes","  [IPL]","")),IF(W54="","","• "&amp;W54&amp;IF(X54="Yes","  [IPL]","")),IF(Y54="","","• "&amp;Y54&amp;IF(Z54="Yes","  [IPL]","")),IF(AA54="","","• "&amp;AA54&amp;IF(AB54="Yes","  [IPL]","")))</f>
        <v/>
      </c>
      <c r="AD54" s="30">
        <f>IF(AC54="","",COUNTIF(Q54:AB54,"Yes"))</f>
        <v/>
      </c>
      <c r="AE54" s="19" t="n"/>
      <c r="AF54" s="19" t="n"/>
      <c r="AG54" s="30">
        <f>IF(OR(AE54="",AF54=""),"",INDEX(RiskGrid,6-VALUE(LEFT(AE54,1)),VALUE(LEFT(AF54,1))))</f>
        <v/>
      </c>
      <c r="AH54" s="30">
        <f>IF(AG54="","",IF(AG54&gt;=BandVH,"Very High",IF(AG54&gt;=BandHigh,"High",IF(AG54&gt;=BandMed,"Medium","Low"))))</f>
        <v/>
      </c>
      <c r="AI54" s="4" t="n"/>
      <c r="AJ54" s="4" t="n"/>
    </row>
    <row r="55">
      <c r="A55" s="30">
        <f>IF(B55="","",COUNTIF(B$14:B55,"?*"))</f>
        <v/>
      </c>
      <c r="B55" s="4" t="n"/>
      <c r="C55" s="19" t="n"/>
      <c r="D55" s="5">
        <f>IF(OR(B55="",C55=""),"",UPPER(LEFT(C55,1))&amp;LOWER(MID(C55,2,30))&amp;" "&amp;LOWER(LEFT(B55,1))&amp;MID(B55,2,200))</f>
        <v/>
      </c>
      <c r="E55" s="4" t="n"/>
      <c r="F55" s="4" t="n"/>
      <c r="G55" s="4" t="n"/>
      <c r="H55" s="4" t="n"/>
      <c r="I55" s="4" t="n"/>
      <c r="J55" s="4" t="n"/>
      <c r="K55" s="5">
        <f>_xlfn.TEXTJOIN(CHAR(10),TRUE,IF(E55="","","• "&amp;E55),IF(F55="","","• "&amp;F55),IF(G55="","","• "&amp;G55),IF(H55="","","• "&amp;H55),IF(I55="","","• "&amp;I55),IF(J55="","","• "&amp;J55))</f>
        <v/>
      </c>
      <c r="L55" s="4" t="n"/>
      <c r="M55" s="19" t="n"/>
      <c r="N55" s="19" t="n"/>
      <c r="O55" s="30">
        <f>IF(OR(M55="",N55=""),"",INDEX(RiskGrid,6-VALUE(LEFT(M55,1)),VALUE(LEFT(N55,1))))</f>
        <v/>
      </c>
      <c r="P55" s="30">
        <f>IF(O55="","",IF(O55&gt;=BandVH,"Very High",IF(O55&gt;=BandHigh,"High",IF(O55&gt;=BandMed,"Medium","Low"))))</f>
        <v/>
      </c>
      <c r="Q55" s="4" t="n"/>
      <c r="R55" s="19" t="n"/>
      <c r="S55" s="4" t="n"/>
      <c r="T55" s="19" t="n"/>
      <c r="U55" s="4" t="n"/>
      <c r="V55" s="19" t="n"/>
      <c r="W55" s="4" t="n"/>
      <c r="X55" s="19" t="n"/>
      <c r="Y55" s="4" t="n"/>
      <c r="Z55" s="19" t="n"/>
      <c r="AA55" s="4" t="n"/>
      <c r="AB55" s="19" t="n"/>
      <c r="AC55" s="5">
        <f>_xlfn.TEXTJOIN(CHAR(10),TRUE,IF(Q55="","","• "&amp;Q55&amp;IF(R55="Yes","  [IPL]","")),IF(S55="","","• "&amp;S55&amp;IF(T55="Yes","  [IPL]","")),IF(U55="","","• "&amp;U55&amp;IF(V55="Yes","  [IPL]","")),IF(W55="","","• "&amp;W55&amp;IF(X55="Yes","  [IPL]","")),IF(Y55="","","• "&amp;Y55&amp;IF(Z55="Yes","  [IPL]","")),IF(AA55="","","• "&amp;AA55&amp;IF(AB55="Yes","  [IPL]","")))</f>
        <v/>
      </c>
      <c r="AD55" s="30">
        <f>IF(AC55="","",COUNTIF(Q55:AB55,"Yes"))</f>
        <v/>
      </c>
      <c r="AE55" s="19" t="n"/>
      <c r="AF55" s="19" t="n"/>
      <c r="AG55" s="30">
        <f>IF(OR(AE55="",AF55=""),"",INDEX(RiskGrid,6-VALUE(LEFT(AE55,1)),VALUE(LEFT(AF55,1))))</f>
        <v/>
      </c>
      <c r="AH55" s="30">
        <f>IF(AG55="","",IF(AG55&gt;=BandVH,"Very High",IF(AG55&gt;=BandHigh,"High",IF(AG55&gt;=BandMed,"Medium","Low"))))</f>
        <v/>
      </c>
      <c r="AI55" s="4" t="n"/>
      <c r="AJ55" s="4" t="n"/>
    </row>
    <row r="56">
      <c r="A56" s="30">
        <f>IF(B56="","",COUNTIF(B$14:B56,"?*"))</f>
        <v/>
      </c>
      <c r="B56" s="4" t="n"/>
      <c r="C56" s="19" t="n"/>
      <c r="D56" s="5">
        <f>IF(OR(B56="",C56=""),"",UPPER(LEFT(C56,1))&amp;LOWER(MID(C56,2,30))&amp;" "&amp;LOWER(LEFT(B56,1))&amp;MID(B56,2,200))</f>
        <v/>
      </c>
      <c r="E56" s="4" t="n"/>
      <c r="F56" s="4" t="n"/>
      <c r="G56" s="4" t="n"/>
      <c r="H56" s="4" t="n"/>
      <c r="I56" s="4" t="n"/>
      <c r="J56" s="4" t="n"/>
      <c r="K56" s="5">
        <f>_xlfn.TEXTJOIN(CHAR(10),TRUE,IF(E56="","","• "&amp;E56),IF(F56="","","• "&amp;F56),IF(G56="","","• "&amp;G56),IF(H56="","","• "&amp;H56),IF(I56="","","• "&amp;I56),IF(J56="","","• "&amp;J56))</f>
        <v/>
      </c>
      <c r="L56" s="4" t="n"/>
      <c r="M56" s="19" t="n"/>
      <c r="N56" s="19" t="n"/>
      <c r="O56" s="30">
        <f>IF(OR(M56="",N56=""),"",INDEX(RiskGrid,6-VALUE(LEFT(M56,1)),VALUE(LEFT(N56,1))))</f>
        <v/>
      </c>
      <c r="P56" s="30">
        <f>IF(O56="","",IF(O56&gt;=BandVH,"Very High",IF(O56&gt;=BandHigh,"High",IF(O56&gt;=BandMed,"Medium","Low"))))</f>
        <v/>
      </c>
      <c r="Q56" s="4" t="n"/>
      <c r="R56" s="19" t="n"/>
      <c r="S56" s="4" t="n"/>
      <c r="T56" s="19" t="n"/>
      <c r="U56" s="4" t="n"/>
      <c r="V56" s="19" t="n"/>
      <c r="W56" s="4" t="n"/>
      <c r="X56" s="19" t="n"/>
      <c r="Y56" s="4" t="n"/>
      <c r="Z56" s="19" t="n"/>
      <c r="AA56" s="4" t="n"/>
      <c r="AB56" s="19" t="n"/>
      <c r="AC56" s="5">
        <f>_xlfn.TEXTJOIN(CHAR(10),TRUE,IF(Q56="","","• "&amp;Q56&amp;IF(R56="Yes","  [IPL]","")),IF(S56="","","• "&amp;S56&amp;IF(T56="Yes","  [IPL]","")),IF(U56="","","• "&amp;U56&amp;IF(V56="Yes","  [IPL]","")),IF(W56="","","• "&amp;W56&amp;IF(X56="Yes","  [IPL]","")),IF(Y56="","","• "&amp;Y56&amp;IF(Z56="Yes","  [IPL]","")),IF(AA56="","","• "&amp;AA56&amp;IF(AB56="Yes","  [IPL]","")))</f>
        <v/>
      </c>
      <c r="AD56" s="30">
        <f>IF(AC56="","",COUNTIF(Q56:AB56,"Yes"))</f>
        <v/>
      </c>
      <c r="AE56" s="19" t="n"/>
      <c r="AF56" s="19" t="n"/>
      <c r="AG56" s="30">
        <f>IF(OR(AE56="",AF56=""),"",INDEX(RiskGrid,6-VALUE(LEFT(AE56,1)),VALUE(LEFT(AF56,1))))</f>
        <v/>
      </c>
      <c r="AH56" s="30">
        <f>IF(AG56="","",IF(AG56&gt;=BandVH,"Very High",IF(AG56&gt;=BandHigh,"High",IF(AG56&gt;=BandMed,"Medium","Low"))))</f>
        <v/>
      </c>
      <c r="AI56" s="4" t="n"/>
      <c r="AJ56" s="4" t="n"/>
    </row>
    <row r="57">
      <c r="A57" s="30">
        <f>IF(B57="","",COUNTIF(B$14:B57,"?*"))</f>
        <v/>
      </c>
      <c r="B57" s="4" t="n"/>
      <c r="C57" s="19" t="n"/>
      <c r="D57" s="5">
        <f>IF(OR(B57="",C57=""),"",UPPER(LEFT(C57,1))&amp;LOWER(MID(C57,2,30))&amp;" "&amp;LOWER(LEFT(B57,1))&amp;MID(B57,2,200))</f>
        <v/>
      </c>
      <c r="E57" s="4" t="n"/>
      <c r="F57" s="4" t="n"/>
      <c r="G57" s="4" t="n"/>
      <c r="H57" s="4" t="n"/>
      <c r="I57" s="4" t="n"/>
      <c r="J57" s="4" t="n"/>
      <c r="K57" s="5">
        <f>_xlfn.TEXTJOIN(CHAR(10),TRUE,IF(E57="","","• "&amp;E57),IF(F57="","","• "&amp;F57),IF(G57="","","• "&amp;G57),IF(H57="","","• "&amp;H57),IF(I57="","","• "&amp;I57),IF(J57="","","• "&amp;J57))</f>
        <v/>
      </c>
      <c r="L57" s="4" t="n"/>
      <c r="M57" s="19" t="n"/>
      <c r="N57" s="19" t="n"/>
      <c r="O57" s="30">
        <f>IF(OR(M57="",N57=""),"",INDEX(RiskGrid,6-VALUE(LEFT(M57,1)),VALUE(LEFT(N57,1))))</f>
        <v/>
      </c>
      <c r="P57" s="30">
        <f>IF(O57="","",IF(O57&gt;=BandVH,"Very High",IF(O57&gt;=BandHigh,"High",IF(O57&gt;=BandMed,"Medium","Low"))))</f>
        <v/>
      </c>
      <c r="Q57" s="4" t="n"/>
      <c r="R57" s="19" t="n"/>
      <c r="S57" s="4" t="n"/>
      <c r="T57" s="19" t="n"/>
      <c r="U57" s="4" t="n"/>
      <c r="V57" s="19" t="n"/>
      <c r="W57" s="4" t="n"/>
      <c r="X57" s="19" t="n"/>
      <c r="Y57" s="4" t="n"/>
      <c r="Z57" s="19" t="n"/>
      <c r="AA57" s="4" t="n"/>
      <c r="AB57" s="19" t="n"/>
      <c r="AC57" s="5">
        <f>_xlfn.TEXTJOIN(CHAR(10),TRUE,IF(Q57="","","• "&amp;Q57&amp;IF(R57="Yes","  [IPL]","")),IF(S57="","","• "&amp;S57&amp;IF(T57="Yes","  [IPL]","")),IF(U57="","","• "&amp;U57&amp;IF(V57="Yes","  [IPL]","")),IF(W57="","","• "&amp;W57&amp;IF(X57="Yes","  [IPL]","")),IF(Y57="","","• "&amp;Y57&amp;IF(Z57="Yes","  [IPL]","")),IF(AA57="","","• "&amp;AA57&amp;IF(AB57="Yes","  [IPL]","")))</f>
        <v/>
      </c>
      <c r="AD57" s="30">
        <f>IF(AC57="","",COUNTIF(Q57:AB57,"Yes"))</f>
        <v/>
      </c>
      <c r="AE57" s="19" t="n"/>
      <c r="AF57" s="19" t="n"/>
      <c r="AG57" s="30">
        <f>IF(OR(AE57="",AF57=""),"",INDEX(RiskGrid,6-VALUE(LEFT(AE57,1)),VALUE(LEFT(AF57,1))))</f>
        <v/>
      </c>
      <c r="AH57" s="30">
        <f>IF(AG57="","",IF(AG57&gt;=BandVH,"Very High",IF(AG57&gt;=BandHigh,"High",IF(AG57&gt;=BandMed,"Medium","Low"))))</f>
        <v/>
      </c>
      <c r="AI57" s="4" t="n"/>
      <c r="AJ57" s="4" t="n"/>
    </row>
    <row r="58">
      <c r="A58" s="30">
        <f>IF(B58="","",COUNTIF(B$14:B58,"?*"))</f>
        <v/>
      </c>
      <c r="B58" s="4" t="n"/>
      <c r="C58" s="19" t="n"/>
      <c r="D58" s="5">
        <f>IF(OR(B58="",C58=""),"",UPPER(LEFT(C58,1))&amp;LOWER(MID(C58,2,30))&amp;" "&amp;LOWER(LEFT(B58,1))&amp;MID(B58,2,200))</f>
        <v/>
      </c>
      <c r="E58" s="4" t="n"/>
      <c r="F58" s="4" t="n"/>
      <c r="G58" s="4" t="n"/>
      <c r="H58" s="4" t="n"/>
      <c r="I58" s="4" t="n"/>
      <c r="J58" s="4" t="n"/>
      <c r="K58" s="5">
        <f>_xlfn.TEXTJOIN(CHAR(10),TRUE,IF(E58="","","• "&amp;E58),IF(F58="","","• "&amp;F58),IF(G58="","","• "&amp;G58),IF(H58="","","• "&amp;H58),IF(I58="","","• "&amp;I58),IF(J58="","","• "&amp;J58))</f>
        <v/>
      </c>
      <c r="L58" s="4" t="n"/>
      <c r="M58" s="19" t="n"/>
      <c r="N58" s="19" t="n"/>
      <c r="O58" s="30">
        <f>IF(OR(M58="",N58=""),"",INDEX(RiskGrid,6-VALUE(LEFT(M58,1)),VALUE(LEFT(N58,1))))</f>
        <v/>
      </c>
      <c r="P58" s="30">
        <f>IF(O58="","",IF(O58&gt;=BandVH,"Very High",IF(O58&gt;=BandHigh,"High",IF(O58&gt;=BandMed,"Medium","Low"))))</f>
        <v/>
      </c>
      <c r="Q58" s="4" t="n"/>
      <c r="R58" s="19" t="n"/>
      <c r="S58" s="4" t="n"/>
      <c r="T58" s="19" t="n"/>
      <c r="U58" s="4" t="n"/>
      <c r="V58" s="19" t="n"/>
      <c r="W58" s="4" t="n"/>
      <c r="X58" s="19" t="n"/>
      <c r="Y58" s="4" t="n"/>
      <c r="Z58" s="19" t="n"/>
      <c r="AA58" s="4" t="n"/>
      <c r="AB58" s="19" t="n"/>
      <c r="AC58" s="5">
        <f>_xlfn.TEXTJOIN(CHAR(10),TRUE,IF(Q58="","","• "&amp;Q58&amp;IF(R58="Yes","  [IPL]","")),IF(S58="","","• "&amp;S58&amp;IF(T58="Yes","  [IPL]","")),IF(U58="","","• "&amp;U58&amp;IF(V58="Yes","  [IPL]","")),IF(W58="","","• "&amp;W58&amp;IF(X58="Yes","  [IPL]","")),IF(Y58="","","• "&amp;Y58&amp;IF(Z58="Yes","  [IPL]","")),IF(AA58="","","• "&amp;AA58&amp;IF(AB58="Yes","  [IPL]","")))</f>
        <v/>
      </c>
      <c r="AD58" s="30">
        <f>IF(AC58="","",COUNTIF(Q58:AB58,"Yes"))</f>
        <v/>
      </c>
      <c r="AE58" s="19" t="n"/>
      <c r="AF58" s="19" t="n"/>
      <c r="AG58" s="30">
        <f>IF(OR(AE58="",AF58=""),"",INDEX(RiskGrid,6-VALUE(LEFT(AE58,1)),VALUE(LEFT(AF58,1))))</f>
        <v/>
      </c>
      <c r="AH58" s="30">
        <f>IF(AG58="","",IF(AG58&gt;=BandVH,"Very High",IF(AG58&gt;=BandHigh,"High",IF(AG58&gt;=BandMed,"Medium","Low"))))</f>
        <v/>
      </c>
      <c r="AI58" s="4" t="n"/>
      <c r="AJ58" s="4" t="n"/>
    </row>
    <row r="59">
      <c r="A59" s="30">
        <f>IF(B59="","",COUNTIF(B$14:B59,"?*"))</f>
        <v/>
      </c>
      <c r="B59" s="4" t="n"/>
      <c r="C59" s="19" t="n"/>
      <c r="D59" s="5">
        <f>IF(OR(B59="",C59=""),"",UPPER(LEFT(C59,1))&amp;LOWER(MID(C59,2,30))&amp;" "&amp;LOWER(LEFT(B59,1))&amp;MID(B59,2,200))</f>
        <v/>
      </c>
      <c r="E59" s="4" t="n"/>
      <c r="F59" s="4" t="n"/>
      <c r="G59" s="4" t="n"/>
      <c r="H59" s="4" t="n"/>
      <c r="I59" s="4" t="n"/>
      <c r="J59" s="4" t="n"/>
      <c r="K59" s="5">
        <f>_xlfn.TEXTJOIN(CHAR(10),TRUE,IF(E59="","","• "&amp;E59),IF(F59="","","• "&amp;F59),IF(G59="","","• "&amp;G59),IF(H59="","","• "&amp;H59),IF(I59="","","• "&amp;I59),IF(J59="","","• "&amp;J59))</f>
        <v/>
      </c>
      <c r="L59" s="4" t="n"/>
      <c r="M59" s="19" t="n"/>
      <c r="N59" s="19" t="n"/>
      <c r="O59" s="30">
        <f>IF(OR(M59="",N59=""),"",INDEX(RiskGrid,6-VALUE(LEFT(M59,1)),VALUE(LEFT(N59,1))))</f>
        <v/>
      </c>
      <c r="P59" s="30">
        <f>IF(O59="","",IF(O59&gt;=BandVH,"Very High",IF(O59&gt;=BandHigh,"High",IF(O59&gt;=BandMed,"Medium","Low"))))</f>
        <v/>
      </c>
      <c r="Q59" s="4" t="n"/>
      <c r="R59" s="19" t="n"/>
      <c r="S59" s="4" t="n"/>
      <c r="T59" s="19" t="n"/>
      <c r="U59" s="4" t="n"/>
      <c r="V59" s="19" t="n"/>
      <c r="W59" s="4" t="n"/>
      <c r="X59" s="19" t="n"/>
      <c r="Y59" s="4" t="n"/>
      <c r="Z59" s="19" t="n"/>
      <c r="AA59" s="4" t="n"/>
      <c r="AB59" s="19" t="n"/>
      <c r="AC59" s="5">
        <f>_xlfn.TEXTJOIN(CHAR(10),TRUE,IF(Q59="","","• "&amp;Q59&amp;IF(R59="Yes","  [IPL]","")),IF(S59="","","• "&amp;S59&amp;IF(T59="Yes","  [IPL]","")),IF(U59="","","• "&amp;U59&amp;IF(V59="Yes","  [IPL]","")),IF(W59="","","• "&amp;W59&amp;IF(X59="Yes","  [IPL]","")),IF(Y59="","","• "&amp;Y59&amp;IF(Z59="Yes","  [IPL]","")),IF(AA59="","","• "&amp;AA59&amp;IF(AB59="Yes","  [IPL]","")))</f>
        <v/>
      </c>
      <c r="AD59" s="30">
        <f>IF(AC59="","",COUNTIF(Q59:AB59,"Yes"))</f>
        <v/>
      </c>
      <c r="AE59" s="19" t="n"/>
      <c r="AF59" s="19" t="n"/>
      <c r="AG59" s="30">
        <f>IF(OR(AE59="",AF59=""),"",INDEX(RiskGrid,6-VALUE(LEFT(AE59,1)),VALUE(LEFT(AF59,1))))</f>
        <v/>
      </c>
      <c r="AH59" s="30">
        <f>IF(AG59="","",IF(AG59&gt;=BandVH,"Very High",IF(AG59&gt;=BandHigh,"High",IF(AG59&gt;=BandMed,"Medium","Low"))))</f>
        <v/>
      </c>
      <c r="AI59" s="4" t="n"/>
      <c r="AJ59" s="4" t="n"/>
    </row>
    <row r="60">
      <c r="A60" s="30">
        <f>IF(B60="","",COUNTIF(B$14:B60,"?*"))</f>
        <v/>
      </c>
      <c r="B60" s="4" t="n"/>
      <c r="C60" s="19" t="n"/>
      <c r="D60" s="5">
        <f>IF(OR(B60="",C60=""),"",UPPER(LEFT(C60,1))&amp;LOWER(MID(C60,2,30))&amp;" "&amp;LOWER(LEFT(B60,1))&amp;MID(B60,2,200))</f>
        <v/>
      </c>
      <c r="E60" s="4" t="n"/>
      <c r="F60" s="4" t="n"/>
      <c r="G60" s="4" t="n"/>
      <c r="H60" s="4" t="n"/>
      <c r="I60" s="4" t="n"/>
      <c r="J60" s="4" t="n"/>
      <c r="K60" s="5">
        <f>_xlfn.TEXTJOIN(CHAR(10),TRUE,IF(E60="","","• "&amp;E60),IF(F60="","","• "&amp;F60),IF(G60="","","• "&amp;G60),IF(H60="","","• "&amp;H60),IF(I60="","","• "&amp;I60),IF(J60="","","• "&amp;J60))</f>
        <v/>
      </c>
      <c r="L60" s="4" t="n"/>
      <c r="M60" s="19" t="n"/>
      <c r="N60" s="19" t="n"/>
      <c r="O60" s="30">
        <f>IF(OR(M60="",N60=""),"",INDEX(RiskGrid,6-VALUE(LEFT(M60,1)),VALUE(LEFT(N60,1))))</f>
        <v/>
      </c>
      <c r="P60" s="30">
        <f>IF(O60="","",IF(O60&gt;=BandVH,"Very High",IF(O60&gt;=BandHigh,"High",IF(O60&gt;=BandMed,"Medium","Low"))))</f>
        <v/>
      </c>
      <c r="Q60" s="4" t="n"/>
      <c r="R60" s="19" t="n"/>
      <c r="S60" s="4" t="n"/>
      <c r="T60" s="19" t="n"/>
      <c r="U60" s="4" t="n"/>
      <c r="V60" s="19" t="n"/>
      <c r="W60" s="4" t="n"/>
      <c r="X60" s="19" t="n"/>
      <c r="Y60" s="4" t="n"/>
      <c r="Z60" s="19" t="n"/>
      <c r="AA60" s="4" t="n"/>
      <c r="AB60" s="19" t="n"/>
      <c r="AC60" s="5">
        <f>_xlfn.TEXTJOIN(CHAR(10),TRUE,IF(Q60="","","• "&amp;Q60&amp;IF(R60="Yes","  [IPL]","")),IF(S60="","","• "&amp;S60&amp;IF(T60="Yes","  [IPL]","")),IF(U60="","","• "&amp;U60&amp;IF(V60="Yes","  [IPL]","")),IF(W60="","","• "&amp;W60&amp;IF(X60="Yes","  [IPL]","")),IF(Y60="","","• "&amp;Y60&amp;IF(Z60="Yes","  [IPL]","")),IF(AA60="","","• "&amp;AA60&amp;IF(AB60="Yes","  [IPL]","")))</f>
        <v/>
      </c>
      <c r="AD60" s="30">
        <f>IF(AC60="","",COUNTIF(Q60:AB60,"Yes"))</f>
        <v/>
      </c>
      <c r="AE60" s="19" t="n"/>
      <c r="AF60" s="19" t="n"/>
      <c r="AG60" s="30">
        <f>IF(OR(AE60="",AF60=""),"",INDEX(RiskGrid,6-VALUE(LEFT(AE60,1)),VALUE(LEFT(AF60,1))))</f>
        <v/>
      </c>
      <c r="AH60" s="30">
        <f>IF(AG60="","",IF(AG60&gt;=BandVH,"Very High",IF(AG60&gt;=BandHigh,"High",IF(AG60&gt;=BandMed,"Medium","Low"))))</f>
        <v/>
      </c>
      <c r="AI60" s="4" t="n"/>
      <c r="AJ60" s="4" t="n"/>
    </row>
    <row r="61">
      <c r="A61" s="30">
        <f>IF(B61="","",COUNTIF(B$14:B61,"?*"))</f>
        <v/>
      </c>
      <c r="B61" s="4" t="n"/>
      <c r="C61" s="19" t="n"/>
      <c r="D61" s="5">
        <f>IF(OR(B61="",C61=""),"",UPPER(LEFT(C61,1))&amp;LOWER(MID(C61,2,30))&amp;" "&amp;LOWER(LEFT(B61,1))&amp;MID(B61,2,200))</f>
        <v/>
      </c>
      <c r="E61" s="4" t="n"/>
      <c r="F61" s="4" t="n"/>
      <c r="G61" s="4" t="n"/>
      <c r="H61" s="4" t="n"/>
      <c r="I61" s="4" t="n"/>
      <c r="J61" s="4" t="n"/>
      <c r="K61" s="5">
        <f>_xlfn.TEXTJOIN(CHAR(10),TRUE,IF(E61="","","• "&amp;E61),IF(F61="","","• "&amp;F61),IF(G61="","","• "&amp;G61),IF(H61="","","• "&amp;H61),IF(I61="","","• "&amp;I61),IF(J61="","","• "&amp;J61))</f>
        <v/>
      </c>
      <c r="L61" s="4" t="n"/>
      <c r="M61" s="19" t="n"/>
      <c r="N61" s="19" t="n"/>
      <c r="O61" s="30">
        <f>IF(OR(M61="",N61=""),"",INDEX(RiskGrid,6-VALUE(LEFT(M61,1)),VALUE(LEFT(N61,1))))</f>
        <v/>
      </c>
      <c r="P61" s="30">
        <f>IF(O61="","",IF(O61&gt;=BandVH,"Very High",IF(O61&gt;=BandHigh,"High",IF(O61&gt;=BandMed,"Medium","Low"))))</f>
        <v/>
      </c>
      <c r="Q61" s="4" t="n"/>
      <c r="R61" s="19" t="n"/>
      <c r="S61" s="4" t="n"/>
      <c r="T61" s="19" t="n"/>
      <c r="U61" s="4" t="n"/>
      <c r="V61" s="19" t="n"/>
      <c r="W61" s="4" t="n"/>
      <c r="X61" s="19" t="n"/>
      <c r="Y61" s="4" t="n"/>
      <c r="Z61" s="19" t="n"/>
      <c r="AA61" s="4" t="n"/>
      <c r="AB61" s="19" t="n"/>
      <c r="AC61" s="5">
        <f>_xlfn.TEXTJOIN(CHAR(10),TRUE,IF(Q61="","","• "&amp;Q61&amp;IF(R61="Yes","  [IPL]","")),IF(S61="","","• "&amp;S61&amp;IF(T61="Yes","  [IPL]","")),IF(U61="","","• "&amp;U61&amp;IF(V61="Yes","  [IPL]","")),IF(W61="","","• "&amp;W61&amp;IF(X61="Yes","  [IPL]","")),IF(Y61="","","• "&amp;Y61&amp;IF(Z61="Yes","  [IPL]","")),IF(AA61="","","• "&amp;AA61&amp;IF(AB61="Yes","  [IPL]","")))</f>
        <v/>
      </c>
      <c r="AD61" s="30">
        <f>IF(AC61="","",COUNTIF(Q61:AB61,"Yes"))</f>
        <v/>
      </c>
      <c r="AE61" s="19" t="n"/>
      <c r="AF61" s="19" t="n"/>
      <c r="AG61" s="30">
        <f>IF(OR(AE61="",AF61=""),"",INDEX(RiskGrid,6-VALUE(LEFT(AE61,1)),VALUE(LEFT(AF61,1))))</f>
        <v/>
      </c>
      <c r="AH61" s="30">
        <f>IF(AG61="","",IF(AG61&gt;=BandVH,"Very High",IF(AG61&gt;=BandHigh,"High",IF(AG61&gt;=BandMed,"Medium","Low"))))</f>
        <v/>
      </c>
      <c r="AI61" s="4" t="n"/>
      <c r="AJ61" s="4" t="n"/>
    </row>
    <row r="62">
      <c r="A62" s="30">
        <f>IF(B62="","",COUNTIF(B$14:B62,"?*"))</f>
        <v/>
      </c>
      <c r="B62" s="4" t="n"/>
      <c r="C62" s="19" t="n"/>
      <c r="D62" s="5">
        <f>IF(OR(B62="",C62=""),"",UPPER(LEFT(C62,1))&amp;LOWER(MID(C62,2,30))&amp;" "&amp;LOWER(LEFT(B62,1))&amp;MID(B62,2,200))</f>
        <v/>
      </c>
      <c r="E62" s="4" t="n"/>
      <c r="F62" s="4" t="n"/>
      <c r="G62" s="4" t="n"/>
      <c r="H62" s="4" t="n"/>
      <c r="I62" s="4" t="n"/>
      <c r="J62" s="4" t="n"/>
      <c r="K62" s="5">
        <f>_xlfn.TEXTJOIN(CHAR(10),TRUE,IF(E62="","","• "&amp;E62),IF(F62="","","• "&amp;F62),IF(G62="","","• "&amp;G62),IF(H62="","","• "&amp;H62),IF(I62="","","• "&amp;I62),IF(J62="","","• "&amp;J62))</f>
        <v/>
      </c>
      <c r="L62" s="4" t="n"/>
      <c r="M62" s="19" t="n"/>
      <c r="N62" s="19" t="n"/>
      <c r="O62" s="30">
        <f>IF(OR(M62="",N62=""),"",INDEX(RiskGrid,6-VALUE(LEFT(M62,1)),VALUE(LEFT(N62,1))))</f>
        <v/>
      </c>
      <c r="P62" s="30">
        <f>IF(O62="","",IF(O62&gt;=BandVH,"Very High",IF(O62&gt;=BandHigh,"High",IF(O62&gt;=BandMed,"Medium","Low"))))</f>
        <v/>
      </c>
      <c r="Q62" s="4" t="n"/>
      <c r="R62" s="19" t="n"/>
      <c r="S62" s="4" t="n"/>
      <c r="T62" s="19" t="n"/>
      <c r="U62" s="4" t="n"/>
      <c r="V62" s="19" t="n"/>
      <c r="W62" s="4" t="n"/>
      <c r="X62" s="19" t="n"/>
      <c r="Y62" s="4" t="n"/>
      <c r="Z62" s="19" t="n"/>
      <c r="AA62" s="4" t="n"/>
      <c r="AB62" s="19" t="n"/>
      <c r="AC62" s="5">
        <f>_xlfn.TEXTJOIN(CHAR(10),TRUE,IF(Q62="","","• "&amp;Q62&amp;IF(R62="Yes","  [IPL]","")),IF(S62="","","• "&amp;S62&amp;IF(T62="Yes","  [IPL]","")),IF(U62="","","• "&amp;U62&amp;IF(V62="Yes","  [IPL]","")),IF(W62="","","• "&amp;W62&amp;IF(X62="Yes","  [IPL]","")),IF(Y62="","","• "&amp;Y62&amp;IF(Z62="Yes","  [IPL]","")),IF(AA62="","","• "&amp;AA62&amp;IF(AB62="Yes","  [IPL]","")))</f>
        <v/>
      </c>
      <c r="AD62" s="30">
        <f>IF(AC62="","",COUNTIF(Q62:AB62,"Yes"))</f>
        <v/>
      </c>
      <c r="AE62" s="19" t="n"/>
      <c r="AF62" s="19" t="n"/>
      <c r="AG62" s="30">
        <f>IF(OR(AE62="",AF62=""),"",INDEX(RiskGrid,6-VALUE(LEFT(AE62,1)),VALUE(LEFT(AF62,1))))</f>
        <v/>
      </c>
      <c r="AH62" s="30">
        <f>IF(AG62="","",IF(AG62&gt;=BandVH,"Very High",IF(AG62&gt;=BandHigh,"High",IF(AG62&gt;=BandMed,"Medium","Low"))))</f>
        <v/>
      </c>
      <c r="AI62" s="4" t="n"/>
      <c r="AJ62" s="4" t="n"/>
    </row>
    <row r="63">
      <c r="A63" s="30">
        <f>IF(B63="","",COUNTIF(B$14:B63,"?*"))</f>
        <v/>
      </c>
      <c r="B63" s="4" t="n"/>
      <c r="C63" s="19" t="n"/>
      <c r="D63" s="5">
        <f>IF(OR(B63="",C63=""),"",UPPER(LEFT(C63,1))&amp;LOWER(MID(C63,2,30))&amp;" "&amp;LOWER(LEFT(B63,1))&amp;MID(B63,2,200))</f>
        <v/>
      </c>
      <c r="E63" s="4" t="n"/>
      <c r="F63" s="4" t="n"/>
      <c r="G63" s="4" t="n"/>
      <c r="H63" s="4" t="n"/>
      <c r="I63" s="4" t="n"/>
      <c r="J63" s="4" t="n"/>
      <c r="K63" s="5">
        <f>_xlfn.TEXTJOIN(CHAR(10),TRUE,IF(E63="","","• "&amp;E63),IF(F63="","","• "&amp;F63),IF(G63="","","• "&amp;G63),IF(H63="","","• "&amp;H63),IF(I63="","","• "&amp;I63),IF(J63="","","• "&amp;J63))</f>
        <v/>
      </c>
      <c r="L63" s="4" t="n"/>
      <c r="M63" s="19" t="n"/>
      <c r="N63" s="19" t="n"/>
      <c r="O63" s="30">
        <f>IF(OR(M63="",N63=""),"",INDEX(RiskGrid,6-VALUE(LEFT(M63,1)),VALUE(LEFT(N63,1))))</f>
        <v/>
      </c>
      <c r="P63" s="30">
        <f>IF(O63="","",IF(O63&gt;=BandVH,"Very High",IF(O63&gt;=BandHigh,"High",IF(O63&gt;=BandMed,"Medium","Low"))))</f>
        <v/>
      </c>
      <c r="Q63" s="4" t="n"/>
      <c r="R63" s="19" t="n"/>
      <c r="S63" s="4" t="n"/>
      <c r="T63" s="19" t="n"/>
      <c r="U63" s="4" t="n"/>
      <c r="V63" s="19" t="n"/>
      <c r="W63" s="4" t="n"/>
      <c r="X63" s="19" t="n"/>
      <c r="Y63" s="4" t="n"/>
      <c r="Z63" s="19" t="n"/>
      <c r="AA63" s="4" t="n"/>
      <c r="AB63" s="19" t="n"/>
      <c r="AC63" s="5">
        <f>_xlfn.TEXTJOIN(CHAR(10),TRUE,IF(Q63="","","• "&amp;Q63&amp;IF(R63="Yes","  [IPL]","")),IF(S63="","","• "&amp;S63&amp;IF(T63="Yes","  [IPL]","")),IF(U63="","","• "&amp;U63&amp;IF(V63="Yes","  [IPL]","")),IF(W63="","","• "&amp;W63&amp;IF(X63="Yes","  [IPL]","")),IF(Y63="","","• "&amp;Y63&amp;IF(Z63="Yes","  [IPL]","")),IF(AA63="","","• "&amp;AA63&amp;IF(AB63="Yes","  [IPL]","")))</f>
        <v/>
      </c>
      <c r="AD63" s="30">
        <f>IF(AC63="","",COUNTIF(Q63:AB63,"Yes"))</f>
        <v/>
      </c>
      <c r="AE63" s="19" t="n"/>
      <c r="AF63" s="19" t="n"/>
      <c r="AG63" s="30">
        <f>IF(OR(AE63="",AF63=""),"",INDEX(RiskGrid,6-VALUE(LEFT(AE63,1)),VALUE(LEFT(AF63,1))))</f>
        <v/>
      </c>
      <c r="AH63" s="30">
        <f>IF(AG63="","",IF(AG63&gt;=BandVH,"Very High",IF(AG63&gt;=BandHigh,"High",IF(AG63&gt;=BandMed,"Medium","Low"))))</f>
        <v/>
      </c>
      <c r="AI63" s="4" t="n"/>
      <c r="AJ63" s="4" t="n"/>
    </row>
    <row r="64">
      <c r="A64" s="30">
        <f>IF(B64="","",COUNTIF(B$14:B64,"?*"))</f>
        <v/>
      </c>
      <c r="B64" s="4" t="n"/>
      <c r="C64" s="19" t="n"/>
      <c r="D64" s="5">
        <f>IF(OR(B64="",C64=""),"",UPPER(LEFT(C64,1))&amp;LOWER(MID(C64,2,30))&amp;" "&amp;LOWER(LEFT(B64,1))&amp;MID(B64,2,200))</f>
        <v/>
      </c>
      <c r="E64" s="4" t="n"/>
      <c r="F64" s="4" t="n"/>
      <c r="G64" s="4" t="n"/>
      <c r="H64" s="4" t="n"/>
      <c r="I64" s="4" t="n"/>
      <c r="J64" s="4" t="n"/>
      <c r="K64" s="5">
        <f>_xlfn.TEXTJOIN(CHAR(10),TRUE,IF(E64="","","• "&amp;E64),IF(F64="","","• "&amp;F64),IF(G64="","","• "&amp;G64),IF(H64="","","• "&amp;H64),IF(I64="","","• "&amp;I64),IF(J64="","","• "&amp;J64))</f>
        <v/>
      </c>
      <c r="L64" s="4" t="n"/>
      <c r="M64" s="19" t="n"/>
      <c r="N64" s="19" t="n"/>
      <c r="O64" s="30">
        <f>IF(OR(M64="",N64=""),"",INDEX(RiskGrid,6-VALUE(LEFT(M64,1)),VALUE(LEFT(N64,1))))</f>
        <v/>
      </c>
      <c r="P64" s="30">
        <f>IF(O64="","",IF(O64&gt;=BandVH,"Very High",IF(O64&gt;=BandHigh,"High",IF(O64&gt;=BandMed,"Medium","Low"))))</f>
        <v/>
      </c>
      <c r="Q64" s="4" t="n"/>
      <c r="R64" s="19" t="n"/>
      <c r="S64" s="4" t="n"/>
      <c r="T64" s="19" t="n"/>
      <c r="U64" s="4" t="n"/>
      <c r="V64" s="19" t="n"/>
      <c r="W64" s="4" t="n"/>
      <c r="X64" s="19" t="n"/>
      <c r="Y64" s="4" t="n"/>
      <c r="Z64" s="19" t="n"/>
      <c r="AA64" s="4" t="n"/>
      <c r="AB64" s="19" t="n"/>
      <c r="AC64" s="5">
        <f>_xlfn.TEXTJOIN(CHAR(10),TRUE,IF(Q64="","","• "&amp;Q64&amp;IF(R64="Yes","  [IPL]","")),IF(S64="","","• "&amp;S64&amp;IF(T64="Yes","  [IPL]","")),IF(U64="","","• "&amp;U64&amp;IF(V64="Yes","  [IPL]","")),IF(W64="","","• "&amp;W64&amp;IF(X64="Yes","  [IPL]","")),IF(Y64="","","• "&amp;Y64&amp;IF(Z64="Yes","  [IPL]","")),IF(AA64="","","• "&amp;AA64&amp;IF(AB64="Yes","  [IPL]","")))</f>
        <v/>
      </c>
      <c r="AD64" s="30">
        <f>IF(AC64="","",COUNTIF(Q64:AB64,"Yes"))</f>
        <v/>
      </c>
      <c r="AE64" s="19" t="n"/>
      <c r="AF64" s="19" t="n"/>
      <c r="AG64" s="30">
        <f>IF(OR(AE64="",AF64=""),"",INDEX(RiskGrid,6-VALUE(LEFT(AE64,1)),VALUE(LEFT(AF64,1))))</f>
        <v/>
      </c>
      <c r="AH64" s="30">
        <f>IF(AG64="","",IF(AG64&gt;=BandVH,"Very High",IF(AG64&gt;=BandHigh,"High",IF(AG64&gt;=BandMed,"Medium","Low"))))</f>
        <v/>
      </c>
      <c r="AI64" s="4" t="n"/>
      <c r="AJ64" s="4" t="n"/>
    </row>
    <row r="65">
      <c r="A65" s="30">
        <f>IF(B65="","",COUNTIF(B$14:B65,"?*"))</f>
        <v/>
      </c>
      <c r="B65" s="4" t="n"/>
      <c r="C65" s="19" t="n"/>
      <c r="D65" s="5">
        <f>IF(OR(B65="",C65=""),"",UPPER(LEFT(C65,1))&amp;LOWER(MID(C65,2,30))&amp;" "&amp;LOWER(LEFT(B65,1))&amp;MID(B65,2,200))</f>
        <v/>
      </c>
      <c r="E65" s="4" t="n"/>
      <c r="F65" s="4" t="n"/>
      <c r="G65" s="4" t="n"/>
      <c r="H65" s="4" t="n"/>
      <c r="I65" s="4" t="n"/>
      <c r="J65" s="4" t="n"/>
      <c r="K65" s="5">
        <f>_xlfn.TEXTJOIN(CHAR(10),TRUE,IF(E65="","","• "&amp;E65),IF(F65="","","• "&amp;F65),IF(G65="","","• "&amp;G65),IF(H65="","","• "&amp;H65),IF(I65="","","• "&amp;I65),IF(J65="","","• "&amp;J65))</f>
        <v/>
      </c>
      <c r="L65" s="4" t="n"/>
      <c r="M65" s="19" t="n"/>
      <c r="N65" s="19" t="n"/>
      <c r="O65" s="30">
        <f>IF(OR(M65="",N65=""),"",INDEX(RiskGrid,6-VALUE(LEFT(M65,1)),VALUE(LEFT(N65,1))))</f>
        <v/>
      </c>
      <c r="P65" s="30">
        <f>IF(O65="","",IF(O65&gt;=BandVH,"Very High",IF(O65&gt;=BandHigh,"High",IF(O65&gt;=BandMed,"Medium","Low"))))</f>
        <v/>
      </c>
      <c r="Q65" s="4" t="n"/>
      <c r="R65" s="19" t="n"/>
      <c r="S65" s="4" t="n"/>
      <c r="T65" s="19" t="n"/>
      <c r="U65" s="4" t="n"/>
      <c r="V65" s="19" t="n"/>
      <c r="W65" s="4" t="n"/>
      <c r="X65" s="19" t="n"/>
      <c r="Y65" s="4" t="n"/>
      <c r="Z65" s="19" t="n"/>
      <c r="AA65" s="4" t="n"/>
      <c r="AB65" s="19" t="n"/>
      <c r="AC65" s="5">
        <f>_xlfn.TEXTJOIN(CHAR(10),TRUE,IF(Q65="","","• "&amp;Q65&amp;IF(R65="Yes","  [IPL]","")),IF(S65="","","• "&amp;S65&amp;IF(T65="Yes","  [IPL]","")),IF(U65="","","• "&amp;U65&amp;IF(V65="Yes","  [IPL]","")),IF(W65="","","• "&amp;W65&amp;IF(X65="Yes","  [IPL]","")),IF(Y65="","","• "&amp;Y65&amp;IF(Z65="Yes","  [IPL]","")),IF(AA65="","","• "&amp;AA65&amp;IF(AB65="Yes","  [IPL]","")))</f>
        <v/>
      </c>
      <c r="AD65" s="30">
        <f>IF(AC65="","",COUNTIF(Q65:AB65,"Yes"))</f>
        <v/>
      </c>
      <c r="AE65" s="19" t="n"/>
      <c r="AF65" s="19" t="n"/>
      <c r="AG65" s="30">
        <f>IF(OR(AE65="",AF65=""),"",INDEX(RiskGrid,6-VALUE(LEFT(AE65,1)),VALUE(LEFT(AF65,1))))</f>
        <v/>
      </c>
      <c r="AH65" s="30">
        <f>IF(AG65="","",IF(AG65&gt;=BandVH,"Very High",IF(AG65&gt;=BandHigh,"High",IF(AG65&gt;=BandMed,"Medium","Low"))))</f>
        <v/>
      </c>
      <c r="AI65" s="4" t="n"/>
      <c r="AJ65" s="4" t="n"/>
    </row>
    <row r="66">
      <c r="A66" s="30">
        <f>IF(B66="","",COUNTIF(B$14:B66,"?*"))</f>
        <v/>
      </c>
      <c r="B66" s="4" t="n"/>
      <c r="C66" s="19" t="n"/>
      <c r="D66" s="5">
        <f>IF(OR(B66="",C66=""),"",UPPER(LEFT(C66,1))&amp;LOWER(MID(C66,2,30))&amp;" "&amp;LOWER(LEFT(B66,1))&amp;MID(B66,2,200))</f>
        <v/>
      </c>
      <c r="E66" s="4" t="n"/>
      <c r="F66" s="4" t="n"/>
      <c r="G66" s="4" t="n"/>
      <c r="H66" s="4" t="n"/>
      <c r="I66" s="4" t="n"/>
      <c r="J66" s="4" t="n"/>
      <c r="K66" s="5">
        <f>_xlfn.TEXTJOIN(CHAR(10),TRUE,IF(E66="","","• "&amp;E66),IF(F66="","","• "&amp;F66),IF(G66="","","• "&amp;G66),IF(H66="","","• "&amp;H66),IF(I66="","","• "&amp;I66),IF(J66="","","• "&amp;J66))</f>
        <v/>
      </c>
      <c r="L66" s="4" t="n"/>
      <c r="M66" s="19" t="n"/>
      <c r="N66" s="19" t="n"/>
      <c r="O66" s="30">
        <f>IF(OR(M66="",N66=""),"",INDEX(RiskGrid,6-VALUE(LEFT(M66,1)),VALUE(LEFT(N66,1))))</f>
        <v/>
      </c>
      <c r="P66" s="30">
        <f>IF(O66="","",IF(O66&gt;=BandVH,"Very High",IF(O66&gt;=BandHigh,"High",IF(O66&gt;=BandMed,"Medium","Low"))))</f>
        <v/>
      </c>
      <c r="Q66" s="4" t="n"/>
      <c r="R66" s="19" t="n"/>
      <c r="S66" s="4" t="n"/>
      <c r="T66" s="19" t="n"/>
      <c r="U66" s="4" t="n"/>
      <c r="V66" s="19" t="n"/>
      <c r="W66" s="4" t="n"/>
      <c r="X66" s="19" t="n"/>
      <c r="Y66" s="4" t="n"/>
      <c r="Z66" s="19" t="n"/>
      <c r="AA66" s="4" t="n"/>
      <c r="AB66" s="19" t="n"/>
      <c r="AC66" s="5">
        <f>_xlfn.TEXTJOIN(CHAR(10),TRUE,IF(Q66="","","• "&amp;Q66&amp;IF(R66="Yes","  [IPL]","")),IF(S66="","","• "&amp;S66&amp;IF(T66="Yes","  [IPL]","")),IF(U66="","","• "&amp;U66&amp;IF(V66="Yes","  [IPL]","")),IF(W66="","","• "&amp;W66&amp;IF(X66="Yes","  [IPL]","")),IF(Y66="","","• "&amp;Y66&amp;IF(Z66="Yes","  [IPL]","")),IF(AA66="","","• "&amp;AA66&amp;IF(AB66="Yes","  [IPL]","")))</f>
        <v/>
      </c>
      <c r="AD66" s="30">
        <f>IF(AC66="","",COUNTIF(Q66:AB66,"Yes"))</f>
        <v/>
      </c>
      <c r="AE66" s="19" t="n"/>
      <c r="AF66" s="19" t="n"/>
      <c r="AG66" s="30">
        <f>IF(OR(AE66="",AF66=""),"",INDEX(RiskGrid,6-VALUE(LEFT(AE66,1)),VALUE(LEFT(AF66,1))))</f>
        <v/>
      </c>
      <c r="AH66" s="30">
        <f>IF(AG66="","",IF(AG66&gt;=BandVH,"Very High",IF(AG66&gt;=BandHigh,"High",IF(AG66&gt;=BandMed,"Medium","Low"))))</f>
        <v/>
      </c>
      <c r="AI66" s="4" t="n"/>
      <c r="AJ66" s="4" t="n"/>
    </row>
    <row r="67">
      <c r="A67" s="30">
        <f>IF(B67="","",COUNTIF(B$14:B67,"?*"))</f>
        <v/>
      </c>
      <c r="B67" s="4" t="n"/>
      <c r="C67" s="19" t="n"/>
      <c r="D67" s="5">
        <f>IF(OR(B67="",C67=""),"",UPPER(LEFT(C67,1))&amp;LOWER(MID(C67,2,30))&amp;" "&amp;LOWER(LEFT(B67,1))&amp;MID(B67,2,200))</f>
        <v/>
      </c>
      <c r="E67" s="4" t="n"/>
      <c r="F67" s="4" t="n"/>
      <c r="G67" s="4" t="n"/>
      <c r="H67" s="4" t="n"/>
      <c r="I67" s="4" t="n"/>
      <c r="J67" s="4" t="n"/>
      <c r="K67" s="5">
        <f>_xlfn.TEXTJOIN(CHAR(10),TRUE,IF(E67="","","• "&amp;E67),IF(F67="","","• "&amp;F67),IF(G67="","","• "&amp;G67),IF(H67="","","• "&amp;H67),IF(I67="","","• "&amp;I67),IF(J67="","","• "&amp;J67))</f>
        <v/>
      </c>
      <c r="L67" s="4" t="n"/>
      <c r="M67" s="19" t="n"/>
      <c r="N67" s="19" t="n"/>
      <c r="O67" s="30">
        <f>IF(OR(M67="",N67=""),"",INDEX(RiskGrid,6-VALUE(LEFT(M67,1)),VALUE(LEFT(N67,1))))</f>
        <v/>
      </c>
      <c r="P67" s="30">
        <f>IF(O67="","",IF(O67&gt;=BandVH,"Very High",IF(O67&gt;=BandHigh,"High",IF(O67&gt;=BandMed,"Medium","Low"))))</f>
        <v/>
      </c>
      <c r="Q67" s="4" t="n"/>
      <c r="R67" s="19" t="n"/>
      <c r="S67" s="4" t="n"/>
      <c r="T67" s="19" t="n"/>
      <c r="U67" s="4" t="n"/>
      <c r="V67" s="19" t="n"/>
      <c r="W67" s="4" t="n"/>
      <c r="X67" s="19" t="n"/>
      <c r="Y67" s="4" t="n"/>
      <c r="Z67" s="19" t="n"/>
      <c r="AA67" s="4" t="n"/>
      <c r="AB67" s="19" t="n"/>
      <c r="AC67" s="5">
        <f>_xlfn.TEXTJOIN(CHAR(10),TRUE,IF(Q67="","","• "&amp;Q67&amp;IF(R67="Yes","  [IPL]","")),IF(S67="","","• "&amp;S67&amp;IF(T67="Yes","  [IPL]","")),IF(U67="","","• "&amp;U67&amp;IF(V67="Yes","  [IPL]","")),IF(W67="","","• "&amp;W67&amp;IF(X67="Yes","  [IPL]","")),IF(Y67="","","• "&amp;Y67&amp;IF(Z67="Yes","  [IPL]","")),IF(AA67="","","• "&amp;AA67&amp;IF(AB67="Yes","  [IPL]","")))</f>
        <v/>
      </c>
      <c r="AD67" s="30">
        <f>IF(AC67="","",COUNTIF(Q67:AB67,"Yes"))</f>
        <v/>
      </c>
      <c r="AE67" s="19" t="n"/>
      <c r="AF67" s="19" t="n"/>
      <c r="AG67" s="30">
        <f>IF(OR(AE67="",AF67=""),"",INDEX(RiskGrid,6-VALUE(LEFT(AE67,1)),VALUE(LEFT(AF67,1))))</f>
        <v/>
      </c>
      <c r="AH67" s="30">
        <f>IF(AG67="","",IF(AG67&gt;=BandVH,"Very High",IF(AG67&gt;=BandHigh,"High",IF(AG67&gt;=BandMed,"Medium","Low"))))</f>
        <v/>
      </c>
      <c r="AI67" s="4" t="n"/>
      <c r="AJ67" s="4" t="n"/>
    </row>
    <row r="68">
      <c r="A68" s="30">
        <f>IF(B68="","",COUNTIF(B$14:B68,"?*"))</f>
        <v/>
      </c>
      <c r="B68" s="4" t="n"/>
      <c r="C68" s="19" t="n"/>
      <c r="D68" s="5">
        <f>IF(OR(B68="",C68=""),"",UPPER(LEFT(C68,1))&amp;LOWER(MID(C68,2,30))&amp;" "&amp;LOWER(LEFT(B68,1))&amp;MID(B68,2,200))</f>
        <v/>
      </c>
      <c r="E68" s="4" t="n"/>
      <c r="F68" s="4" t="n"/>
      <c r="G68" s="4" t="n"/>
      <c r="H68" s="4" t="n"/>
      <c r="I68" s="4" t="n"/>
      <c r="J68" s="4" t="n"/>
      <c r="K68" s="5">
        <f>_xlfn.TEXTJOIN(CHAR(10),TRUE,IF(E68="","","• "&amp;E68),IF(F68="","","• "&amp;F68),IF(G68="","","• "&amp;G68),IF(H68="","","• "&amp;H68),IF(I68="","","• "&amp;I68),IF(J68="","","• "&amp;J68))</f>
        <v/>
      </c>
      <c r="L68" s="4" t="n"/>
      <c r="M68" s="19" t="n"/>
      <c r="N68" s="19" t="n"/>
      <c r="O68" s="30">
        <f>IF(OR(M68="",N68=""),"",INDEX(RiskGrid,6-VALUE(LEFT(M68,1)),VALUE(LEFT(N68,1))))</f>
        <v/>
      </c>
      <c r="P68" s="30">
        <f>IF(O68="","",IF(O68&gt;=BandVH,"Very High",IF(O68&gt;=BandHigh,"High",IF(O68&gt;=BandMed,"Medium","Low"))))</f>
        <v/>
      </c>
      <c r="Q68" s="4" t="n"/>
      <c r="R68" s="19" t="n"/>
      <c r="S68" s="4" t="n"/>
      <c r="T68" s="19" t="n"/>
      <c r="U68" s="4" t="n"/>
      <c r="V68" s="19" t="n"/>
      <c r="W68" s="4" t="n"/>
      <c r="X68" s="19" t="n"/>
      <c r="Y68" s="4" t="n"/>
      <c r="Z68" s="19" t="n"/>
      <c r="AA68" s="4" t="n"/>
      <c r="AB68" s="19" t="n"/>
      <c r="AC68" s="5">
        <f>_xlfn.TEXTJOIN(CHAR(10),TRUE,IF(Q68="","","• "&amp;Q68&amp;IF(R68="Yes","  [IPL]","")),IF(S68="","","• "&amp;S68&amp;IF(T68="Yes","  [IPL]","")),IF(U68="","","• "&amp;U68&amp;IF(V68="Yes","  [IPL]","")),IF(W68="","","• "&amp;W68&amp;IF(X68="Yes","  [IPL]","")),IF(Y68="","","• "&amp;Y68&amp;IF(Z68="Yes","  [IPL]","")),IF(AA68="","","• "&amp;AA68&amp;IF(AB68="Yes","  [IPL]","")))</f>
        <v/>
      </c>
      <c r="AD68" s="30">
        <f>IF(AC68="","",COUNTIF(Q68:AB68,"Yes"))</f>
        <v/>
      </c>
      <c r="AE68" s="19" t="n"/>
      <c r="AF68" s="19" t="n"/>
      <c r="AG68" s="30">
        <f>IF(OR(AE68="",AF68=""),"",INDEX(RiskGrid,6-VALUE(LEFT(AE68,1)),VALUE(LEFT(AF68,1))))</f>
        <v/>
      </c>
      <c r="AH68" s="30">
        <f>IF(AG68="","",IF(AG68&gt;=BandVH,"Very High",IF(AG68&gt;=BandHigh,"High",IF(AG68&gt;=BandMed,"Medium","Low"))))</f>
        <v/>
      </c>
      <c r="AI68" s="4" t="n"/>
      <c r="AJ68" s="4" t="n"/>
    </row>
    <row r="69">
      <c r="A69" s="30">
        <f>IF(B69="","",COUNTIF(B$14:B69,"?*"))</f>
        <v/>
      </c>
      <c r="B69" s="4" t="n"/>
      <c r="C69" s="19" t="n"/>
      <c r="D69" s="5">
        <f>IF(OR(B69="",C69=""),"",UPPER(LEFT(C69,1))&amp;LOWER(MID(C69,2,30))&amp;" "&amp;LOWER(LEFT(B69,1))&amp;MID(B69,2,200))</f>
        <v/>
      </c>
      <c r="E69" s="4" t="n"/>
      <c r="F69" s="4" t="n"/>
      <c r="G69" s="4" t="n"/>
      <c r="H69" s="4" t="n"/>
      <c r="I69" s="4" t="n"/>
      <c r="J69" s="4" t="n"/>
      <c r="K69" s="5">
        <f>_xlfn.TEXTJOIN(CHAR(10),TRUE,IF(E69="","","• "&amp;E69),IF(F69="","","• "&amp;F69),IF(G69="","","• "&amp;G69),IF(H69="","","• "&amp;H69),IF(I69="","","• "&amp;I69),IF(J69="","","• "&amp;J69))</f>
        <v/>
      </c>
      <c r="L69" s="4" t="n"/>
      <c r="M69" s="19" t="n"/>
      <c r="N69" s="19" t="n"/>
      <c r="O69" s="30">
        <f>IF(OR(M69="",N69=""),"",INDEX(RiskGrid,6-VALUE(LEFT(M69,1)),VALUE(LEFT(N69,1))))</f>
        <v/>
      </c>
      <c r="P69" s="30">
        <f>IF(O69="","",IF(O69&gt;=BandVH,"Very High",IF(O69&gt;=BandHigh,"High",IF(O69&gt;=BandMed,"Medium","Low"))))</f>
        <v/>
      </c>
      <c r="Q69" s="4" t="n"/>
      <c r="R69" s="19" t="n"/>
      <c r="S69" s="4" t="n"/>
      <c r="T69" s="19" t="n"/>
      <c r="U69" s="4" t="n"/>
      <c r="V69" s="19" t="n"/>
      <c r="W69" s="4" t="n"/>
      <c r="X69" s="19" t="n"/>
      <c r="Y69" s="4" t="n"/>
      <c r="Z69" s="19" t="n"/>
      <c r="AA69" s="4" t="n"/>
      <c r="AB69" s="19" t="n"/>
      <c r="AC69" s="5">
        <f>_xlfn.TEXTJOIN(CHAR(10),TRUE,IF(Q69="","","• "&amp;Q69&amp;IF(R69="Yes","  [IPL]","")),IF(S69="","","• "&amp;S69&amp;IF(T69="Yes","  [IPL]","")),IF(U69="","","• "&amp;U69&amp;IF(V69="Yes","  [IPL]","")),IF(W69="","","• "&amp;W69&amp;IF(X69="Yes","  [IPL]","")),IF(Y69="","","• "&amp;Y69&amp;IF(Z69="Yes","  [IPL]","")),IF(AA69="","","• "&amp;AA69&amp;IF(AB69="Yes","  [IPL]","")))</f>
        <v/>
      </c>
      <c r="AD69" s="30">
        <f>IF(AC69="","",COUNTIF(Q69:AB69,"Yes"))</f>
        <v/>
      </c>
      <c r="AE69" s="19" t="n"/>
      <c r="AF69" s="19" t="n"/>
      <c r="AG69" s="30">
        <f>IF(OR(AE69="",AF69=""),"",INDEX(RiskGrid,6-VALUE(LEFT(AE69,1)),VALUE(LEFT(AF69,1))))</f>
        <v/>
      </c>
      <c r="AH69" s="30">
        <f>IF(AG69="","",IF(AG69&gt;=BandVH,"Very High",IF(AG69&gt;=BandHigh,"High",IF(AG69&gt;=BandMed,"Medium","Low"))))</f>
        <v/>
      </c>
      <c r="AI69" s="4" t="n"/>
      <c r="AJ69" s="4" t="n"/>
    </row>
    <row r="70">
      <c r="A70" s="30">
        <f>IF(B70="","",COUNTIF(B$14:B70,"?*"))</f>
        <v/>
      </c>
      <c r="B70" s="4" t="n"/>
      <c r="C70" s="19" t="n"/>
      <c r="D70" s="5">
        <f>IF(OR(B70="",C70=""),"",UPPER(LEFT(C70,1))&amp;LOWER(MID(C70,2,30))&amp;" "&amp;LOWER(LEFT(B70,1))&amp;MID(B70,2,200))</f>
        <v/>
      </c>
      <c r="E70" s="4" t="n"/>
      <c r="F70" s="4" t="n"/>
      <c r="G70" s="4" t="n"/>
      <c r="H70" s="4" t="n"/>
      <c r="I70" s="4" t="n"/>
      <c r="J70" s="4" t="n"/>
      <c r="K70" s="5">
        <f>_xlfn.TEXTJOIN(CHAR(10),TRUE,IF(E70="","","• "&amp;E70),IF(F70="","","• "&amp;F70),IF(G70="","","• "&amp;G70),IF(H70="","","• "&amp;H70),IF(I70="","","• "&amp;I70),IF(J70="","","• "&amp;J70))</f>
        <v/>
      </c>
      <c r="L70" s="4" t="n"/>
      <c r="M70" s="19" t="n"/>
      <c r="N70" s="19" t="n"/>
      <c r="O70" s="30">
        <f>IF(OR(M70="",N70=""),"",INDEX(RiskGrid,6-VALUE(LEFT(M70,1)),VALUE(LEFT(N70,1))))</f>
        <v/>
      </c>
      <c r="P70" s="30">
        <f>IF(O70="","",IF(O70&gt;=BandVH,"Very High",IF(O70&gt;=BandHigh,"High",IF(O70&gt;=BandMed,"Medium","Low"))))</f>
        <v/>
      </c>
      <c r="Q70" s="4" t="n"/>
      <c r="R70" s="19" t="n"/>
      <c r="S70" s="4" t="n"/>
      <c r="T70" s="19" t="n"/>
      <c r="U70" s="4" t="n"/>
      <c r="V70" s="19" t="n"/>
      <c r="W70" s="4" t="n"/>
      <c r="X70" s="19" t="n"/>
      <c r="Y70" s="4" t="n"/>
      <c r="Z70" s="19" t="n"/>
      <c r="AA70" s="4" t="n"/>
      <c r="AB70" s="19" t="n"/>
      <c r="AC70" s="5">
        <f>_xlfn.TEXTJOIN(CHAR(10),TRUE,IF(Q70="","","• "&amp;Q70&amp;IF(R70="Yes","  [IPL]","")),IF(S70="","","• "&amp;S70&amp;IF(T70="Yes","  [IPL]","")),IF(U70="","","• "&amp;U70&amp;IF(V70="Yes","  [IPL]","")),IF(W70="","","• "&amp;W70&amp;IF(X70="Yes","  [IPL]","")),IF(Y70="","","• "&amp;Y70&amp;IF(Z70="Yes","  [IPL]","")),IF(AA70="","","• "&amp;AA70&amp;IF(AB70="Yes","  [IPL]","")))</f>
        <v/>
      </c>
      <c r="AD70" s="30">
        <f>IF(AC70="","",COUNTIF(Q70:AB70,"Yes"))</f>
        <v/>
      </c>
      <c r="AE70" s="19" t="n"/>
      <c r="AF70" s="19" t="n"/>
      <c r="AG70" s="30">
        <f>IF(OR(AE70="",AF70=""),"",INDEX(RiskGrid,6-VALUE(LEFT(AE70,1)),VALUE(LEFT(AF70,1))))</f>
        <v/>
      </c>
      <c r="AH70" s="30">
        <f>IF(AG70="","",IF(AG70&gt;=BandVH,"Very High",IF(AG70&gt;=BandHigh,"High",IF(AG70&gt;=BandMed,"Medium","Low"))))</f>
        <v/>
      </c>
      <c r="AI70" s="4" t="n"/>
      <c r="AJ70" s="4" t="n"/>
    </row>
    <row r="71">
      <c r="A71" s="30">
        <f>IF(B71="","",COUNTIF(B$14:B71,"?*"))</f>
        <v/>
      </c>
      <c r="B71" s="4" t="n"/>
      <c r="C71" s="19" t="n"/>
      <c r="D71" s="5">
        <f>IF(OR(B71="",C71=""),"",UPPER(LEFT(C71,1))&amp;LOWER(MID(C71,2,30))&amp;" "&amp;LOWER(LEFT(B71,1))&amp;MID(B71,2,200))</f>
        <v/>
      </c>
      <c r="E71" s="4" t="n"/>
      <c r="F71" s="4" t="n"/>
      <c r="G71" s="4" t="n"/>
      <c r="H71" s="4" t="n"/>
      <c r="I71" s="4" t="n"/>
      <c r="J71" s="4" t="n"/>
      <c r="K71" s="5">
        <f>_xlfn.TEXTJOIN(CHAR(10),TRUE,IF(E71="","","• "&amp;E71),IF(F71="","","• "&amp;F71),IF(G71="","","• "&amp;G71),IF(H71="","","• "&amp;H71),IF(I71="","","• "&amp;I71),IF(J71="","","• "&amp;J71))</f>
        <v/>
      </c>
      <c r="L71" s="4" t="n"/>
      <c r="M71" s="19" t="n"/>
      <c r="N71" s="19" t="n"/>
      <c r="O71" s="30">
        <f>IF(OR(M71="",N71=""),"",INDEX(RiskGrid,6-VALUE(LEFT(M71,1)),VALUE(LEFT(N71,1))))</f>
        <v/>
      </c>
      <c r="P71" s="30">
        <f>IF(O71="","",IF(O71&gt;=BandVH,"Very High",IF(O71&gt;=BandHigh,"High",IF(O71&gt;=BandMed,"Medium","Low"))))</f>
        <v/>
      </c>
      <c r="Q71" s="4" t="n"/>
      <c r="R71" s="19" t="n"/>
      <c r="S71" s="4" t="n"/>
      <c r="T71" s="19" t="n"/>
      <c r="U71" s="4" t="n"/>
      <c r="V71" s="19" t="n"/>
      <c r="W71" s="4" t="n"/>
      <c r="X71" s="19" t="n"/>
      <c r="Y71" s="4" t="n"/>
      <c r="Z71" s="19" t="n"/>
      <c r="AA71" s="4" t="n"/>
      <c r="AB71" s="19" t="n"/>
      <c r="AC71" s="5">
        <f>_xlfn.TEXTJOIN(CHAR(10),TRUE,IF(Q71="","","• "&amp;Q71&amp;IF(R71="Yes","  [IPL]","")),IF(S71="","","• "&amp;S71&amp;IF(T71="Yes","  [IPL]","")),IF(U71="","","• "&amp;U71&amp;IF(V71="Yes","  [IPL]","")),IF(W71="","","• "&amp;W71&amp;IF(X71="Yes","  [IPL]","")),IF(Y71="","","• "&amp;Y71&amp;IF(Z71="Yes","  [IPL]","")),IF(AA71="","","• "&amp;AA71&amp;IF(AB71="Yes","  [IPL]","")))</f>
        <v/>
      </c>
      <c r="AD71" s="30">
        <f>IF(AC71="","",COUNTIF(Q71:AB71,"Yes"))</f>
        <v/>
      </c>
      <c r="AE71" s="19" t="n"/>
      <c r="AF71" s="19" t="n"/>
      <c r="AG71" s="30">
        <f>IF(OR(AE71="",AF71=""),"",INDEX(RiskGrid,6-VALUE(LEFT(AE71,1)),VALUE(LEFT(AF71,1))))</f>
        <v/>
      </c>
      <c r="AH71" s="30">
        <f>IF(AG71="","",IF(AG71&gt;=BandVH,"Very High",IF(AG71&gt;=BandHigh,"High",IF(AG71&gt;=BandMed,"Medium","Low"))))</f>
        <v/>
      </c>
      <c r="AI71" s="4" t="n"/>
      <c r="AJ71" s="4" t="n"/>
    </row>
    <row r="72">
      <c r="A72" s="30">
        <f>IF(B72="","",COUNTIF(B$14:B72,"?*"))</f>
        <v/>
      </c>
      <c r="B72" s="4" t="n"/>
      <c r="C72" s="19" t="n"/>
      <c r="D72" s="5">
        <f>IF(OR(B72="",C72=""),"",UPPER(LEFT(C72,1))&amp;LOWER(MID(C72,2,30))&amp;" "&amp;LOWER(LEFT(B72,1))&amp;MID(B72,2,200))</f>
        <v/>
      </c>
      <c r="E72" s="4" t="n"/>
      <c r="F72" s="4" t="n"/>
      <c r="G72" s="4" t="n"/>
      <c r="H72" s="4" t="n"/>
      <c r="I72" s="4" t="n"/>
      <c r="J72" s="4" t="n"/>
      <c r="K72" s="5">
        <f>_xlfn.TEXTJOIN(CHAR(10),TRUE,IF(E72="","","• "&amp;E72),IF(F72="","","• "&amp;F72),IF(G72="","","• "&amp;G72),IF(H72="","","• "&amp;H72),IF(I72="","","• "&amp;I72),IF(J72="","","• "&amp;J72))</f>
        <v/>
      </c>
      <c r="L72" s="4" t="n"/>
      <c r="M72" s="19" t="n"/>
      <c r="N72" s="19" t="n"/>
      <c r="O72" s="30">
        <f>IF(OR(M72="",N72=""),"",INDEX(RiskGrid,6-VALUE(LEFT(M72,1)),VALUE(LEFT(N72,1))))</f>
        <v/>
      </c>
      <c r="P72" s="30">
        <f>IF(O72="","",IF(O72&gt;=BandVH,"Very High",IF(O72&gt;=BandHigh,"High",IF(O72&gt;=BandMed,"Medium","Low"))))</f>
        <v/>
      </c>
      <c r="Q72" s="4" t="n"/>
      <c r="R72" s="19" t="n"/>
      <c r="S72" s="4" t="n"/>
      <c r="T72" s="19" t="n"/>
      <c r="U72" s="4" t="n"/>
      <c r="V72" s="19" t="n"/>
      <c r="W72" s="4" t="n"/>
      <c r="X72" s="19" t="n"/>
      <c r="Y72" s="4" t="n"/>
      <c r="Z72" s="19" t="n"/>
      <c r="AA72" s="4" t="n"/>
      <c r="AB72" s="19" t="n"/>
      <c r="AC72" s="5">
        <f>_xlfn.TEXTJOIN(CHAR(10),TRUE,IF(Q72="","","• "&amp;Q72&amp;IF(R72="Yes","  [IPL]","")),IF(S72="","","• "&amp;S72&amp;IF(T72="Yes","  [IPL]","")),IF(U72="","","• "&amp;U72&amp;IF(V72="Yes","  [IPL]","")),IF(W72="","","• "&amp;W72&amp;IF(X72="Yes","  [IPL]","")),IF(Y72="","","• "&amp;Y72&amp;IF(Z72="Yes","  [IPL]","")),IF(AA72="","","• "&amp;AA72&amp;IF(AB72="Yes","  [IPL]","")))</f>
        <v/>
      </c>
      <c r="AD72" s="30">
        <f>IF(AC72="","",COUNTIF(Q72:AB72,"Yes"))</f>
        <v/>
      </c>
      <c r="AE72" s="19" t="n"/>
      <c r="AF72" s="19" t="n"/>
      <c r="AG72" s="30">
        <f>IF(OR(AE72="",AF72=""),"",INDEX(RiskGrid,6-VALUE(LEFT(AE72,1)),VALUE(LEFT(AF72,1))))</f>
        <v/>
      </c>
      <c r="AH72" s="30">
        <f>IF(AG72="","",IF(AG72&gt;=BandVH,"Very High",IF(AG72&gt;=BandHigh,"High",IF(AG72&gt;=BandMed,"Medium","Low"))))</f>
        <v/>
      </c>
      <c r="AI72" s="4" t="n"/>
      <c r="AJ72" s="4" t="n"/>
    </row>
    <row r="73">
      <c r="A73" s="30">
        <f>IF(B73="","",COUNTIF(B$14:B73,"?*"))</f>
        <v/>
      </c>
      <c r="B73" s="4" t="n"/>
      <c r="C73" s="19" t="n"/>
      <c r="D73" s="5">
        <f>IF(OR(B73="",C73=""),"",UPPER(LEFT(C73,1))&amp;LOWER(MID(C73,2,30))&amp;" "&amp;LOWER(LEFT(B73,1))&amp;MID(B73,2,200))</f>
        <v/>
      </c>
      <c r="E73" s="4" t="n"/>
      <c r="F73" s="4" t="n"/>
      <c r="G73" s="4" t="n"/>
      <c r="H73" s="4" t="n"/>
      <c r="I73" s="4" t="n"/>
      <c r="J73" s="4" t="n"/>
      <c r="K73" s="5">
        <f>_xlfn.TEXTJOIN(CHAR(10),TRUE,IF(E73="","","• "&amp;E73),IF(F73="","","• "&amp;F73),IF(G73="","","• "&amp;G73),IF(H73="","","• "&amp;H73),IF(I73="","","• "&amp;I73),IF(J73="","","• "&amp;J73))</f>
        <v/>
      </c>
      <c r="L73" s="4" t="n"/>
      <c r="M73" s="19" t="n"/>
      <c r="N73" s="19" t="n"/>
      <c r="O73" s="30">
        <f>IF(OR(M73="",N73=""),"",INDEX(RiskGrid,6-VALUE(LEFT(M73,1)),VALUE(LEFT(N73,1))))</f>
        <v/>
      </c>
      <c r="P73" s="30">
        <f>IF(O73="","",IF(O73&gt;=BandVH,"Very High",IF(O73&gt;=BandHigh,"High",IF(O73&gt;=BandMed,"Medium","Low"))))</f>
        <v/>
      </c>
      <c r="Q73" s="4" t="n"/>
      <c r="R73" s="19" t="n"/>
      <c r="S73" s="4" t="n"/>
      <c r="T73" s="19" t="n"/>
      <c r="U73" s="4" t="n"/>
      <c r="V73" s="19" t="n"/>
      <c r="W73" s="4" t="n"/>
      <c r="X73" s="19" t="n"/>
      <c r="Y73" s="4" t="n"/>
      <c r="Z73" s="19" t="n"/>
      <c r="AA73" s="4" t="n"/>
      <c r="AB73" s="19" t="n"/>
      <c r="AC73" s="5">
        <f>_xlfn.TEXTJOIN(CHAR(10),TRUE,IF(Q73="","","• "&amp;Q73&amp;IF(R73="Yes","  [IPL]","")),IF(S73="","","• "&amp;S73&amp;IF(T73="Yes","  [IPL]","")),IF(U73="","","• "&amp;U73&amp;IF(V73="Yes","  [IPL]","")),IF(W73="","","• "&amp;W73&amp;IF(X73="Yes","  [IPL]","")),IF(Y73="","","• "&amp;Y73&amp;IF(Z73="Yes","  [IPL]","")),IF(AA73="","","• "&amp;AA73&amp;IF(AB73="Yes","  [IPL]","")))</f>
        <v/>
      </c>
      <c r="AD73" s="30">
        <f>IF(AC73="","",COUNTIF(Q73:AB73,"Yes"))</f>
        <v/>
      </c>
      <c r="AE73" s="19" t="n"/>
      <c r="AF73" s="19" t="n"/>
      <c r="AG73" s="30">
        <f>IF(OR(AE73="",AF73=""),"",INDEX(RiskGrid,6-VALUE(LEFT(AE73,1)),VALUE(LEFT(AF73,1))))</f>
        <v/>
      </c>
      <c r="AH73" s="30">
        <f>IF(AG73="","",IF(AG73&gt;=BandVH,"Very High",IF(AG73&gt;=BandHigh,"High",IF(AG73&gt;=BandMed,"Medium","Low"))))</f>
        <v/>
      </c>
      <c r="AI73" s="4" t="n"/>
      <c r="AJ73" s="4" t="n"/>
    </row>
    <row r="74">
      <c r="A74" s="30">
        <f>IF(B74="","",COUNTIF(B$14:B74,"?*"))</f>
        <v/>
      </c>
      <c r="B74" s="4" t="n"/>
      <c r="C74" s="19" t="n"/>
      <c r="D74" s="5">
        <f>IF(OR(B74="",C74=""),"",UPPER(LEFT(C74,1))&amp;LOWER(MID(C74,2,30))&amp;" "&amp;LOWER(LEFT(B74,1))&amp;MID(B74,2,200))</f>
        <v/>
      </c>
      <c r="E74" s="4" t="n"/>
      <c r="F74" s="4" t="n"/>
      <c r="G74" s="4" t="n"/>
      <c r="H74" s="4" t="n"/>
      <c r="I74" s="4" t="n"/>
      <c r="J74" s="4" t="n"/>
      <c r="K74" s="5">
        <f>_xlfn.TEXTJOIN(CHAR(10),TRUE,IF(E74="","","• "&amp;E74),IF(F74="","","• "&amp;F74),IF(G74="","","• "&amp;G74),IF(H74="","","• "&amp;H74),IF(I74="","","• "&amp;I74),IF(J74="","","• "&amp;J74))</f>
        <v/>
      </c>
      <c r="L74" s="4" t="n"/>
      <c r="M74" s="19" t="n"/>
      <c r="N74" s="19" t="n"/>
      <c r="O74" s="30">
        <f>IF(OR(M74="",N74=""),"",INDEX(RiskGrid,6-VALUE(LEFT(M74,1)),VALUE(LEFT(N74,1))))</f>
        <v/>
      </c>
      <c r="P74" s="30">
        <f>IF(O74="","",IF(O74&gt;=BandVH,"Very High",IF(O74&gt;=BandHigh,"High",IF(O74&gt;=BandMed,"Medium","Low"))))</f>
        <v/>
      </c>
      <c r="Q74" s="4" t="n"/>
      <c r="R74" s="19" t="n"/>
      <c r="S74" s="4" t="n"/>
      <c r="T74" s="19" t="n"/>
      <c r="U74" s="4" t="n"/>
      <c r="V74" s="19" t="n"/>
      <c r="W74" s="4" t="n"/>
      <c r="X74" s="19" t="n"/>
      <c r="Y74" s="4" t="n"/>
      <c r="Z74" s="19" t="n"/>
      <c r="AA74" s="4" t="n"/>
      <c r="AB74" s="19" t="n"/>
      <c r="AC74" s="5">
        <f>_xlfn.TEXTJOIN(CHAR(10),TRUE,IF(Q74="","","• "&amp;Q74&amp;IF(R74="Yes","  [IPL]","")),IF(S74="","","• "&amp;S74&amp;IF(T74="Yes","  [IPL]","")),IF(U74="","","• "&amp;U74&amp;IF(V74="Yes","  [IPL]","")),IF(W74="","","• "&amp;W74&amp;IF(X74="Yes","  [IPL]","")),IF(Y74="","","• "&amp;Y74&amp;IF(Z74="Yes","  [IPL]","")),IF(AA74="","","• "&amp;AA74&amp;IF(AB74="Yes","  [IPL]","")))</f>
        <v/>
      </c>
      <c r="AD74" s="30">
        <f>IF(AC74="","",COUNTIF(Q74:AB74,"Yes"))</f>
        <v/>
      </c>
      <c r="AE74" s="19" t="n"/>
      <c r="AF74" s="19" t="n"/>
      <c r="AG74" s="30">
        <f>IF(OR(AE74="",AF74=""),"",INDEX(RiskGrid,6-VALUE(LEFT(AE74,1)),VALUE(LEFT(AF74,1))))</f>
        <v/>
      </c>
      <c r="AH74" s="30">
        <f>IF(AG74="","",IF(AG74&gt;=BandVH,"Very High",IF(AG74&gt;=BandHigh,"High",IF(AG74&gt;=BandMed,"Medium","Low"))))</f>
        <v/>
      </c>
      <c r="AI74" s="4" t="n"/>
      <c r="AJ74" s="4" t="n"/>
    </row>
    <row r="75">
      <c r="A75" s="30">
        <f>IF(B75="","",COUNTIF(B$14:B75,"?*"))</f>
        <v/>
      </c>
      <c r="B75" s="4" t="n"/>
      <c r="C75" s="19" t="n"/>
      <c r="D75" s="5">
        <f>IF(OR(B75="",C75=""),"",UPPER(LEFT(C75,1))&amp;LOWER(MID(C75,2,30))&amp;" "&amp;LOWER(LEFT(B75,1))&amp;MID(B75,2,200))</f>
        <v/>
      </c>
      <c r="E75" s="4" t="n"/>
      <c r="F75" s="4" t="n"/>
      <c r="G75" s="4" t="n"/>
      <c r="H75" s="4" t="n"/>
      <c r="I75" s="4" t="n"/>
      <c r="J75" s="4" t="n"/>
      <c r="K75" s="5">
        <f>_xlfn.TEXTJOIN(CHAR(10),TRUE,IF(E75="","","• "&amp;E75),IF(F75="","","• "&amp;F75),IF(G75="","","• "&amp;G75),IF(H75="","","• "&amp;H75),IF(I75="","","• "&amp;I75),IF(J75="","","• "&amp;J75))</f>
        <v/>
      </c>
      <c r="L75" s="4" t="n"/>
      <c r="M75" s="19" t="n"/>
      <c r="N75" s="19" t="n"/>
      <c r="O75" s="30">
        <f>IF(OR(M75="",N75=""),"",INDEX(RiskGrid,6-VALUE(LEFT(M75,1)),VALUE(LEFT(N75,1))))</f>
        <v/>
      </c>
      <c r="P75" s="30">
        <f>IF(O75="","",IF(O75&gt;=BandVH,"Very High",IF(O75&gt;=BandHigh,"High",IF(O75&gt;=BandMed,"Medium","Low"))))</f>
        <v/>
      </c>
      <c r="Q75" s="4" t="n"/>
      <c r="R75" s="19" t="n"/>
      <c r="S75" s="4" t="n"/>
      <c r="T75" s="19" t="n"/>
      <c r="U75" s="4" t="n"/>
      <c r="V75" s="19" t="n"/>
      <c r="W75" s="4" t="n"/>
      <c r="X75" s="19" t="n"/>
      <c r="Y75" s="4" t="n"/>
      <c r="Z75" s="19" t="n"/>
      <c r="AA75" s="4" t="n"/>
      <c r="AB75" s="19" t="n"/>
      <c r="AC75" s="5">
        <f>_xlfn.TEXTJOIN(CHAR(10),TRUE,IF(Q75="","","• "&amp;Q75&amp;IF(R75="Yes","  [IPL]","")),IF(S75="","","• "&amp;S75&amp;IF(T75="Yes","  [IPL]","")),IF(U75="","","• "&amp;U75&amp;IF(V75="Yes","  [IPL]","")),IF(W75="","","• "&amp;W75&amp;IF(X75="Yes","  [IPL]","")),IF(Y75="","","• "&amp;Y75&amp;IF(Z75="Yes","  [IPL]","")),IF(AA75="","","• "&amp;AA75&amp;IF(AB75="Yes","  [IPL]","")))</f>
        <v/>
      </c>
      <c r="AD75" s="30">
        <f>IF(AC75="","",COUNTIF(Q75:AB75,"Yes"))</f>
        <v/>
      </c>
      <c r="AE75" s="19" t="n"/>
      <c r="AF75" s="19" t="n"/>
      <c r="AG75" s="30">
        <f>IF(OR(AE75="",AF75=""),"",INDEX(RiskGrid,6-VALUE(LEFT(AE75,1)),VALUE(LEFT(AF75,1))))</f>
        <v/>
      </c>
      <c r="AH75" s="30">
        <f>IF(AG75="","",IF(AG75&gt;=BandVH,"Very High",IF(AG75&gt;=BandHigh,"High",IF(AG75&gt;=BandMed,"Medium","Low"))))</f>
        <v/>
      </c>
      <c r="AI75" s="4" t="n"/>
      <c r="AJ75" s="4" t="n"/>
    </row>
    <row r="76">
      <c r="A76" s="30">
        <f>IF(B76="","",COUNTIF(B$14:B76,"?*"))</f>
        <v/>
      </c>
      <c r="B76" s="4" t="n"/>
      <c r="C76" s="19" t="n"/>
      <c r="D76" s="5">
        <f>IF(OR(B76="",C76=""),"",UPPER(LEFT(C76,1))&amp;LOWER(MID(C76,2,30))&amp;" "&amp;LOWER(LEFT(B76,1))&amp;MID(B76,2,200))</f>
        <v/>
      </c>
      <c r="E76" s="4" t="n"/>
      <c r="F76" s="4" t="n"/>
      <c r="G76" s="4" t="n"/>
      <c r="H76" s="4" t="n"/>
      <c r="I76" s="4" t="n"/>
      <c r="J76" s="4" t="n"/>
      <c r="K76" s="5">
        <f>_xlfn.TEXTJOIN(CHAR(10),TRUE,IF(E76="","","• "&amp;E76),IF(F76="","","• "&amp;F76),IF(G76="","","• "&amp;G76),IF(H76="","","• "&amp;H76),IF(I76="","","• "&amp;I76),IF(J76="","","• "&amp;J76))</f>
        <v/>
      </c>
      <c r="L76" s="4" t="n"/>
      <c r="M76" s="19" t="n"/>
      <c r="N76" s="19" t="n"/>
      <c r="O76" s="30">
        <f>IF(OR(M76="",N76=""),"",INDEX(RiskGrid,6-VALUE(LEFT(M76,1)),VALUE(LEFT(N76,1))))</f>
        <v/>
      </c>
      <c r="P76" s="30">
        <f>IF(O76="","",IF(O76&gt;=BandVH,"Very High",IF(O76&gt;=BandHigh,"High",IF(O76&gt;=BandMed,"Medium","Low"))))</f>
        <v/>
      </c>
      <c r="Q76" s="4" t="n"/>
      <c r="R76" s="19" t="n"/>
      <c r="S76" s="4" t="n"/>
      <c r="T76" s="19" t="n"/>
      <c r="U76" s="4" t="n"/>
      <c r="V76" s="19" t="n"/>
      <c r="W76" s="4" t="n"/>
      <c r="X76" s="19" t="n"/>
      <c r="Y76" s="4" t="n"/>
      <c r="Z76" s="19" t="n"/>
      <c r="AA76" s="4" t="n"/>
      <c r="AB76" s="19" t="n"/>
      <c r="AC76" s="5">
        <f>_xlfn.TEXTJOIN(CHAR(10),TRUE,IF(Q76="","","• "&amp;Q76&amp;IF(R76="Yes","  [IPL]","")),IF(S76="","","• "&amp;S76&amp;IF(T76="Yes","  [IPL]","")),IF(U76="","","• "&amp;U76&amp;IF(V76="Yes","  [IPL]","")),IF(W76="","","• "&amp;W76&amp;IF(X76="Yes","  [IPL]","")),IF(Y76="","","• "&amp;Y76&amp;IF(Z76="Yes","  [IPL]","")),IF(AA76="","","• "&amp;AA76&amp;IF(AB76="Yes","  [IPL]","")))</f>
        <v/>
      </c>
      <c r="AD76" s="30">
        <f>IF(AC76="","",COUNTIF(Q76:AB76,"Yes"))</f>
        <v/>
      </c>
      <c r="AE76" s="19" t="n"/>
      <c r="AF76" s="19" t="n"/>
      <c r="AG76" s="30">
        <f>IF(OR(AE76="",AF76=""),"",INDEX(RiskGrid,6-VALUE(LEFT(AE76,1)),VALUE(LEFT(AF76,1))))</f>
        <v/>
      </c>
      <c r="AH76" s="30">
        <f>IF(AG76="","",IF(AG76&gt;=BandVH,"Very High",IF(AG76&gt;=BandHigh,"High",IF(AG76&gt;=BandMed,"Medium","Low"))))</f>
        <v/>
      </c>
      <c r="AI76" s="4" t="n"/>
      <c r="AJ76" s="4" t="n"/>
    </row>
    <row r="77">
      <c r="A77" s="30">
        <f>IF(B77="","",COUNTIF(B$14:B77,"?*"))</f>
        <v/>
      </c>
      <c r="B77" s="4" t="n"/>
      <c r="C77" s="19" t="n"/>
      <c r="D77" s="5">
        <f>IF(OR(B77="",C77=""),"",UPPER(LEFT(C77,1))&amp;LOWER(MID(C77,2,30))&amp;" "&amp;LOWER(LEFT(B77,1))&amp;MID(B77,2,200))</f>
        <v/>
      </c>
      <c r="E77" s="4" t="n"/>
      <c r="F77" s="4" t="n"/>
      <c r="G77" s="4" t="n"/>
      <c r="H77" s="4" t="n"/>
      <c r="I77" s="4" t="n"/>
      <c r="J77" s="4" t="n"/>
      <c r="K77" s="5">
        <f>_xlfn.TEXTJOIN(CHAR(10),TRUE,IF(E77="","","• "&amp;E77),IF(F77="","","• "&amp;F77),IF(G77="","","• "&amp;G77),IF(H77="","","• "&amp;H77),IF(I77="","","• "&amp;I77),IF(J77="","","• "&amp;J77))</f>
        <v/>
      </c>
      <c r="L77" s="4" t="n"/>
      <c r="M77" s="19" t="n"/>
      <c r="N77" s="19" t="n"/>
      <c r="O77" s="30">
        <f>IF(OR(M77="",N77=""),"",INDEX(RiskGrid,6-VALUE(LEFT(M77,1)),VALUE(LEFT(N77,1))))</f>
        <v/>
      </c>
      <c r="P77" s="30">
        <f>IF(O77="","",IF(O77&gt;=BandVH,"Very High",IF(O77&gt;=BandHigh,"High",IF(O77&gt;=BandMed,"Medium","Low"))))</f>
        <v/>
      </c>
      <c r="Q77" s="4" t="n"/>
      <c r="R77" s="19" t="n"/>
      <c r="S77" s="4" t="n"/>
      <c r="T77" s="19" t="n"/>
      <c r="U77" s="4" t="n"/>
      <c r="V77" s="19" t="n"/>
      <c r="W77" s="4" t="n"/>
      <c r="X77" s="19" t="n"/>
      <c r="Y77" s="4" t="n"/>
      <c r="Z77" s="19" t="n"/>
      <c r="AA77" s="4" t="n"/>
      <c r="AB77" s="19" t="n"/>
      <c r="AC77" s="5">
        <f>_xlfn.TEXTJOIN(CHAR(10),TRUE,IF(Q77="","","• "&amp;Q77&amp;IF(R77="Yes","  [IPL]","")),IF(S77="","","• "&amp;S77&amp;IF(T77="Yes","  [IPL]","")),IF(U77="","","• "&amp;U77&amp;IF(V77="Yes","  [IPL]","")),IF(W77="","","• "&amp;W77&amp;IF(X77="Yes","  [IPL]","")),IF(Y77="","","• "&amp;Y77&amp;IF(Z77="Yes","  [IPL]","")),IF(AA77="","","• "&amp;AA77&amp;IF(AB77="Yes","  [IPL]","")))</f>
        <v/>
      </c>
      <c r="AD77" s="30">
        <f>IF(AC77="","",COUNTIF(Q77:AB77,"Yes"))</f>
        <v/>
      </c>
      <c r="AE77" s="19" t="n"/>
      <c r="AF77" s="19" t="n"/>
      <c r="AG77" s="30">
        <f>IF(OR(AE77="",AF77=""),"",INDEX(RiskGrid,6-VALUE(LEFT(AE77,1)),VALUE(LEFT(AF77,1))))</f>
        <v/>
      </c>
      <c r="AH77" s="30">
        <f>IF(AG77="","",IF(AG77&gt;=BandVH,"Very High",IF(AG77&gt;=BandHigh,"High",IF(AG77&gt;=BandMed,"Medium","Low"))))</f>
        <v/>
      </c>
      <c r="AI77" s="4" t="n"/>
      <c r="AJ77" s="4" t="n"/>
    </row>
    <row r="78">
      <c r="A78" s="30">
        <f>IF(B78="","",COUNTIF(B$14:B78,"?*"))</f>
        <v/>
      </c>
      <c r="B78" s="4" t="n"/>
      <c r="C78" s="19" t="n"/>
      <c r="D78" s="5">
        <f>IF(OR(B78="",C78=""),"",UPPER(LEFT(C78,1))&amp;LOWER(MID(C78,2,30))&amp;" "&amp;LOWER(LEFT(B78,1))&amp;MID(B78,2,200))</f>
        <v/>
      </c>
      <c r="E78" s="4" t="n"/>
      <c r="F78" s="4" t="n"/>
      <c r="G78" s="4" t="n"/>
      <c r="H78" s="4" t="n"/>
      <c r="I78" s="4" t="n"/>
      <c r="J78" s="4" t="n"/>
      <c r="K78" s="5">
        <f>_xlfn.TEXTJOIN(CHAR(10),TRUE,IF(E78="","","• "&amp;E78),IF(F78="","","• "&amp;F78),IF(G78="","","• "&amp;G78),IF(H78="","","• "&amp;H78),IF(I78="","","• "&amp;I78),IF(J78="","","• "&amp;J78))</f>
        <v/>
      </c>
      <c r="L78" s="4" t="n"/>
      <c r="M78" s="19" t="n"/>
      <c r="N78" s="19" t="n"/>
      <c r="O78" s="30">
        <f>IF(OR(M78="",N78=""),"",INDEX(RiskGrid,6-VALUE(LEFT(M78,1)),VALUE(LEFT(N78,1))))</f>
        <v/>
      </c>
      <c r="P78" s="30">
        <f>IF(O78="","",IF(O78&gt;=BandVH,"Very High",IF(O78&gt;=BandHigh,"High",IF(O78&gt;=BandMed,"Medium","Low"))))</f>
        <v/>
      </c>
      <c r="Q78" s="4" t="n"/>
      <c r="R78" s="19" t="n"/>
      <c r="S78" s="4" t="n"/>
      <c r="T78" s="19" t="n"/>
      <c r="U78" s="4" t="n"/>
      <c r="V78" s="19" t="n"/>
      <c r="W78" s="4" t="n"/>
      <c r="X78" s="19" t="n"/>
      <c r="Y78" s="4" t="n"/>
      <c r="Z78" s="19" t="n"/>
      <c r="AA78" s="4" t="n"/>
      <c r="AB78" s="19" t="n"/>
      <c r="AC78" s="5">
        <f>_xlfn.TEXTJOIN(CHAR(10),TRUE,IF(Q78="","","• "&amp;Q78&amp;IF(R78="Yes","  [IPL]","")),IF(S78="","","• "&amp;S78&amp;IF(T78="Yes","  [IPL]","")),IF(U78="","","• "&amp;U78&amp;IF(V78="Yes","  [IPL]","")),IF(W78="","","• "&amp;W78&amp;IF(X78="Yes","  [IPL]","")),IF(Y78="","","• "&amp;Y78&amp;IF(Z78="Yes","  [IPL]","")),IF(AA78="","","• "&amp;AA78&amp;IF(AB78="Yes","  [IPL]","")))</f>
        <v/>
      </c>
      <c r="AD78" s="30">
        <f>IF(AC78="","",COUNTIF(Q78:AB78,"Yes"))</f>
        <v/>
      </c>
      <c r="AE78" s="19" t="n"/>
      <c r="AF78" s="19" t="n"/>
      <c r="AG78" s="30">
        <f>IF(OR(AE78="",AF78=""),"",INDEX(RiskGrid,6-VALUE(LEFT(AE78,1)),VALUE(LEFT(AF78,1))))</f>
        <v/>
      </c>
      <c r="AH78" s="30">
        <f>IF(AG78="","",IF(AG78&gt;=BandVH,"Very High",IF(AG78&gt;=BandHigh,"High",IF(AG78&gt;=BandMed,"Medium","Low"))))</f>
        <v/>
      </c>
      <c r="AI78" s="4" t="n"/>
      <c r="AJ78" s="4" t="n"/>
    </row>
    <row r="79">
      <c r="A79" s="30">
        <f>IF(B79="","",COUNTIF(B$14:B79,"?*"))</f>
        <v/>
      </c>
      <c r="B79" s="4" t="n"/>
      <c r="C79" s="19" t="n"/>
      <c r="D79" s="5">
        <f>IF(OR(B79="",C79=""),"",UPPER(LEFT(C79,1))&amp;LOWER(MID(C79,2,30))&amp;" "&amp;LOWER(LEFT(B79,1))&amp;MID(B79,2,200))</f>
        <v/>
      </c>
      <c r="E79" s="4" t="n"/>
      <c r="F79" s="4" t="n"/>
      <c r="G79" s="4" t="n"/>
      <c r="H79" s="4" t="n"/>
      <c r="I79" s="4" t="n"/>
      <c r="J79" s="4" t="n"/>
      <c r="K79" s="5">
        <f>_xlfn.TEXTJOIN(CHAR(10),TRUE,IF(E79="","","• "&amp;E79),IF(F79="","","• "&amp;F79),IF(G79="","","• "&amp;G79),IF(H79="","","• "&amp;H79),IF(I79="","","• "&amp;I79),IF(J79="","","• "&amp;J79))</f>
        <v/>
      </c>
      <c r="L79" s="4" t="n"/>
      <c r="M79" s="19" t="n"/>
      <c r="N79" s="19" t="n"/>
      <c r="O79" s="30">
        <f>IF(OR(M79="",N79=""),"",INDEX(RiskGrid,6-VALUE(LEFT(M79,1)),VALUE(LEFT(N79,1))))</f>
        <v/>
      </c>
      <c r="P79" s="30">
        <f>IF(O79="","",IF(O79&gt;=BandVH,"Very High",IF(O79&gt;=BandHigh,"High",IF(O79&gt;=BandMed,"Medium","Low"))))</f>
        <v/>
      </c>
      <c r="Q79" s="4" t="n"/>
      <c r="R79" s="19" t="n"/>
      <c r="S79" s="4" t="n"/>
      <c r="T79" s="19" t="n"/>
      <c r="U79" s="4" t="n"/>
      <c r="V79" s="19" t="n"/>
      <c r="W79" s="4" t="n"/>
      <c r="X79" s="19" t="n"/>
      <c r="Y79" s="4" t="n"/>
      <c r="Z79" s="19" t="n"/>
      <c r="AA79" s="4" t="n"/>
      <c r="AB79" s="19" t="n"/>
      <c r="AC79" s="5">
        <f>_xlfn.TEXTJOIN(CHAR(10),TRUE,IF(Q79="","","• "&amp;Q79&amp;IF(R79="Yes","  [IPL]","")),IF(S79="","","• "&amp;S79&amp;IF(T79="Yes","  [IPL]","")),IF(U79="","","• "&amp;U79&amp;IF(V79="Yes","  [IPL]","")),IF(W79="","","• "&amp;W79&amp;IF(X79="Yes","  [IPL]","")),IF(Y79="","","• "&amp;Y79&amp;IF(Z79="Yes","  [IPL]","")),IF(AA79="","","• "&amp;AA79&amp;IF(AB79="Yes","  [IPL]","")))</f>
        <v/>
      </c>
      <c r="AD79" s="30">
        <f>IF(AC79="","",COUNTIF(Q79:AB79,"Yes"))</f>
        <v/>
      </c>
      <c r="AE79" s="19" t="n"/>
      <c r="AF79" s="19" t="n"/>
      <c r="AG79" s="30">
        <f>IF(OR(AE79="",AF79=""),"",INDEX(RiskGrid,6-VALUE(LEFT(AE79,1)),VALUE(LEFT(AF79,1))))</f>
        <v/>
      </c>
      <c r="AH79" s="30">
        <f>IF(AG79="","",IF(AG79&gt;=BandVH,"Very High",IF(AG79&gt;=BandHigh,"High",IF(AG79&gt;=BandMed,"Medium","Low"))))</f>
        <v/>
      </c>
      <c r="AI79" s="4" t="n"/>
      <c r="AJ79" s="4" t="n"/>
    </row>
    <row r="80">
      <c r="A80" s="30">
        <f>IF(B80="","",COUNTIF(B$14:B80,"?*"))</f>
        <v/>
      </c>
      <c r="B80" s="4" t="n"/>
      <c r="C80" s="19" t="n"/>
      <c r="D80" s="5">
        <f>IF(OR(B80="",C80=""),"",UPPER(LEFT(C80,1))&amp;LOWER(MID(C80,2,30))&amp;" "&amp;LOWER(LEFT(B80,1))&amp;MID(B80,2,200))</f>
        <v/>
      </c>
      <c r="E80" s="4" t="n"/>
      <c r="F80" s="4" t="n"/>
      <c r="G80" s="4" t="n"/>
      <c r="H80" s="4" t="n"/>
      <c r="I80" s="4" t="n"/>
      <c r="J80" s="4" t="n"/>
      <c r="K80" s="5">
        <f>_xlfn.TEXTJOIN(CHAR(10),TRUE,IF(E80="","","• "&amp;E80),IF(F80="","","• "&amp;F80),IF(G80="","","• "&amp;G80),IF(H80="","","• "&amp;H80),IF(I80="","","• "&amp;I80),IF(J80="","","• "&amp;J80))</f>
        <v/>
      </c>
      <c r="L80" s="4" t="n"/>
      <c r="M80" s="19" t="n"/>
      <c r="N80" s="19" t="n"/>
      <c r="O80" s="30">
        <f>IF(OR(M80="",N80=""),"",INDEX(RiskGrid,6-VALUE(LEFT(M80,1)),VALUE(LEFT(N80,1))))</f>
        <v/>
      </c>
      <c r="P80" s="30">
        <f>IF(O80="","",IF(O80&gt;=BandVH,"Very High",IF(O80&gt;=BandHigh,"High",IF(O80&gt;=BandMed,"Medium","Low"))))</f>
        <v/>
      </c>
      <c r="Q80" s="4" t="n"/>
      <c r="R80" s="19" t="n"/>
      <c r="S80" s="4" t="n"/>
      <c r="T80" s="19" t="n"/>
      <c r="U80" s="4" t="n"/>
      <c r="V80" s="19" t="n"/>
      <c r="W80" s="4" t="n"/>
      <c r="X80" s="19" t="n"/>
      <c r="Y80" s="4" t="n"/>
      <c r="Z80" s="19" t="n"/>
      <c r="AA80" s="4" t="n"/>
      <c r="AB80" s="19" t="n"/>
      <c r="AC80" s="5">
        <f>_xlfn.TEXTJOIN(CHAR(10),TRUE,IF(Q80="","","• "&amp;Q80&amp;IF(R80="Yes","  [IPL]","")),IF(S80="","","• "&amp;S80&amp;IF(T80="Yes","  [IPL]","")),IF(U80="","","• "&amp;U80&amp;IF(V80="Yes","  [IPL]","")),IF(W80="","","• "&amp;W80&amp;IF(X80="Yes","  [IPL]","")),IF(Y80="","","• "&amp;Y80&amp;IF(Z80="Yes","  [IPL]","")),IF(AA80="","","• "&amp;AA80&amp;IF(AB80="Yes","  [IPL]","")))</f>
        <v/>
      </c>
      <c r="AD80" s="30">
        <f>IF(AC80="","",COUNTIF(Q80:AB80,"Yes"))</f>
        <v/>
      </c>
      <c r="AE80" s="19" t="n"/>
      <c r="AF80" s="19" t="n"/>
      <c r="AG80" s="30">
        <f>IF(OR(AE80="",AF80=""),"",INDEX(RiskGrid,6-VALUE(LEFT(AE80,1)),VALUE(LEFT(AF80,1))))</f>
        <v/>
      </c>
      <c r="AH80" s="30">
        <f>IF(AG80="","",IF(AG80&gt;=BandVH,"Very High",IF(AG80&gt;=BandHigh,"High",IF(AG80&gt;=BandMed,"Medium","Low"))))</f>
        <v/>
      </c>
      <c r="AI80" s="4" t="n"/>
      <c r="AJ80" s="4" t="n"/>
    </row>
    <row r="81">
      <c r="A81" s="30">
        <f>IF(B81="","",COUNTIF(B$14:B81,"?*"))</f>
        <v/>
      </c>
      <c r="B81" s="4" t="n"/>
      <c r="C81" s="19" t="n"/>
      <c r="D81" s="5">
        <f>IF(OR(B81="",C81=""),"",UPPER(LEFT(C81,1))&amp;LOWER(MID(C81,2,30))&amp;" "&amp;LOWER(LEFT(B81,1))&amp;MID(B81,2,200))</f>
        <v/>
      </c>
      <c r="E81" s="4" t="n"/>
      <c r="F81" s="4" t="n"/>
      <c r="G81" s="4" t="n"/>
      <c r="H81" s="4" t="n"/>
      <c r="I81" s="4" t="n"/>
      <c r="J81" s="4" t="n"/>
      <c r="K81" s="5">
        <f>_xlfn.TEXTJOIN(CHAR(10),TRUE,IF(E81="","","• "&amp;E81),IF(F81="","","• "&amp;F81),IF(G81="","","• "&amp;G81),IF(H81="","","• "&amp;H81),IF(I81="","","• "&amp;I81),IF(J81="","","• "&amp;J81))</f>
        <v/>
      </c>
      <c r="L81" s="4" t="n"/>
      <c r="M81" s="19" t="n"/>
      <c r="N81" s="19" t="n"/>
      <c r="O81" s="30">
        <f>IF(OR(M81="",N81=""),"",INDEX(RiskGrid,6-VALUE(LEFT(M81,1)),VALUE(LEFT(N81,1))))</f>
        <v/>
      </c>
      <c r="P81" s="30">
        <f>IF(O81="","",IF(O81&gt;=BandVH,"Very High",IF(O81&gt;=BandHigh,"High",IF(O81&gt;=BandMed,"Medium","Low"))))</f>
        <v/>
      </c>
      <c r="Q81" s="4" t="n"/>
      <c r="R81" s="19" t="n"/>
      <c r="S81" s="4" t="n"/>
      <c r="T81" s="19" t="n"/>
      <c r="U81" s="4" t="n"/>
      <c r="V81" s="19" t="n"/>
      <c r="W81" s="4" t="n"/>
      <c r="X81" s="19" t="n"/>
      <c r="Y81" s="4" t="n"/>
      <c r="Z81" s="19" t="n"/>
      <c r="AA81" s="4" t="n"/>
      <c r="AB81" s="19" t="n"/>
      <c r="AC81" s="5">
        <f>_xlfn.TEXTJOIN(CHAR(10),TRUE,IF(Q81="","","• "&amp;Q81&amp;IF(R81="Yes","  [IPL]","")),IF(S81="","","• "&amp;S81&amp;IF(T81="Yes","  [IPL]","")),IF(U81="","","• "&amp;U81&amp;IF(V81="Yes","  [IPL]","")),IF(W81="","","• "&amp;W81&amp;IF(X81="Yes","  [IPL]","")),IF(Y81="","","• "&amp;Y81&amp;IF(Z81="Yes","  [IPL]","")),IF(AA81="","","• "&amp;AA81&amp;IF(AB81="Yes","  [IPL]","")))</f>
        <v/>
      </c>
      <c r="AD81" s="30">
        <f>IF(AC81="","",COUNTIF(Q81:AB81,"Yes"))</f>
        <v/>
      </c>
      <c r="AE81" s="19" t="n"/>
      <c r="AF81" s="19" t="n"/>
      <c r="AG81" s="30">
        <f>IF(OR(AE81="",AF81=""),"",INDEX(RiskGrid,6-VALUE(LEFT(AE81,1)),VALUE(LEFT(AF81,1))))</f>
        <v/>
      </c>
      <c r="AH81" s="30">
        <f>IF(AG81="","",IF(AG81&gt;=BandVH,"Very High",IF(AG81&gt;=BandHigh,"High",IF(AG81&gt;=BandMed,"Medium","Low"))))</f>
        <v/>
      </c>
      <c r="AI81" s="4" t="n"/>
      <c r="AJ81" s="4" t="n"/>
    </row>
    <row r="82">
      <c r="A82" s="30">
        <f>IF(B82="","",COUNTIF(B$14:B82,"?*"))</f>
        <v/>
      </c>
      <c r="B82" s="4" t="n"/>
      <c r="C82" s="19" t="n"/>
      <c r="D82" s="5">
        <f>IF(OR(B82="",C82=""),"",UPPER(LEFT(C82,1))&amp;LOWER(MID(C82,2,30))&amp;" "&amp;LOWER(LEFT(B82,1))&amp;MID(B82,2,200))</f>
        <v/>
      </c>
      <c r="E82" s="4" t="n"/>
      <c r="F82" s="4" t="n"/>
      <c r="G82" s="4" t="n"/>
      <c r="H82" s="4" t="n"/>
      <c r="I82" s="4" t="n"/>
      <c r="J82" s="4" t="n"/>
      <c r="K82" s="5">
        <f>_xlfn.TEXTJOIN(CHAR(10),TRUE,IF(E82="","","• "&amp;E82),IF(F82="","","• "&amp;F82),IF(G82="","","• "&amp;G82),IF(H82="","","• "&amp;H82),IF(I82="","","• "&amp;I82),IF(J82="","","• "&amp;J82))</f>
        <v/>
      </c>
      <c r="L82" s="4" t="n"/>
      <c r="M82" s="19" t="n"/>
      <c r="N82" s="19" t="n"/>
      <c r="O82" s="30">
        <f>IF(OR(M82="",N82=""),"",INDEX(RiskGrid,6-VALUE(LEFT(M82,1)),VALUE(LEFT(N82,1))))</f>
        <v/>
      </c>
      <c r="P82" s="30">
        <f>IF(O82="","",IF(O82&gt;=BandVH,"Very High",IF(O82&gt;=BandHigh,"High",IF(O82&gt;=BandMed,"Medium","Low"))))</f>
        <v/>
      </c>
      <c r="Q82" s="4" t="n"/>
      <c r="R82" s="19" t="n"/>
      <c r="S82" s="4" t="n"/>
      <c r="T82" s="19" t="n"/>
      <c r="U82" s="4" t="n"/>
      <c r="V82" s="19" t="n"/>
      <c r="W82" s="4" t="n"/>
      <c r="X82" s="19" t="n"/>
      <c r="Y82" s="4" t="n"/>
      <c r="Z82" s="19" t="n"/>
      <c r="AA82" s="4" t="n"/>
      <c r="AB82" s="19" t="n"/>
      <c r="AC82" s="5">
        <f>_xlfn.TEXTJOIN(CHAR(10),TRUE,IF(Q82="","","• "&amp;Q82&amp;IF(R82="Yes","  [IPL]","")),IF(S82="","","• "&amp;S82&amp;IF(T82="Yes","  [IPL]","")),IF(U82="","","• "&amp;U82&amp;IF(V82="Yes","  [IPL]","")),IF(W82="","","• "&amp;W82&amp;IF(X82="Yes","  [IPL]","")),IF(Y82="","","• "&amp;Y82&amp;IF(Z82="Yes","  [IPL]","")),IF(AA82="","","• "&amp;AA82&amp;IF(AB82="Yes","  [IPL]","")))</f>
        <v/>
      </c>
      <c r="AD82" s="30">
        <f>IF(AC82="","",COUNTIF(Q82:AB82,"Yes"))</f>
        <v/>
      </c>
      <c r="AE82" s="19" t="n"/>
      <c r="AF82" s="19" t="n"/>
      <c r="AG82" s="30">
        <f>IF(OR(AE82="",AF82=""),"",INDEX(RiskGrid,6-VALUE(LEFT(AE82,1)),VALUE(LEFT(AF82,1))))</f>
        <v/>
      </c>
      <c r="AH82" s="30">
        <f>IF(AG82="","",IF(AG82&gt;=BandVH,"Very High",IF(AG82&gt;=BandHigh,"High",IF(AG82&gt;=BandMed,"Medium","Low"))))</f>
        <v/>
      </c>
      <c r="AI82" s="4" t="n"/>
      <c r="AJ82" s="4" t="n"/>
    </row>
    <row r="83">
      <c r="A83" s="30">
        <f>IF(B83="","",COUNTIF(B$14:B83,"?*"))</f>
        <v/>
      </c>
      <c r="B83" s="4" t="n"/>
      <c r="C83" s="19" t="n"/>
      <c r="D83" s="5">
        <f>IF(OR(B83="",C83=""),"",UPPER(LEFT(C83,1))&amp;LOWER(MID(C83,2,30))&amp;" "&amp;LOWER(LEFT(B83,1))&amp;MID(B83,2,200))</f>
        <v/>
      </c>
      <c r="E83" s="4" t="n"/>
      <c r="F83" s="4" t="n"/>
      <c r="G83" s="4" t="n"/>
      <c r="H83" s="4" t="n"/>
      <c r="I83" s="4" t="n"/>
      <c r="J83" s="4" t="n"/>
      <c r="K83" s="5">
        <f>_xlfn.TEXTJOIN(CHAR(10),TRUE,IF(E83="","","• "&amp;E83),IF(F83="","","• "&amp;F83),IF(G83="","","• "&amp;G83),IF(H83="","","• "&amp;H83),IF(I83="","","• "&amp;I83),IF(J83="","","• "&amp;J83))</f>
        <v/>
      </c>
      <c r="L83" s="4" t="n"/>
      <c r="M83" s="19" t="n"/>
      <c r="N83" s="19" t="n"/>
      <c r="O83" s="30">
        <f>IF(OR(M83="",N83=""),"",INDEX(RiskGrid,6-VALUE(LEFT(M83,1)),VALUE(LEFT(N83,1))))</f>
        <v/>
      </c>
      <c r="P83" s="30">
        <f>IF(O83="","",IF(O83&gt;=BandVH,"Very High",IF(O83&gt;=BandHigh,"High",IF(O83&gt;=BandMed,"Medium","Low"))))</f>
        <v/>
      </c>
      <c r="Q83" s="4" t="n"/>
      <c r="R83" s="19" t="n"/>
      <c r="S83" s="4" t="n"/>
      <c r="T83" s="19" t="n"/>
      <c r="U83" s="4" t="n"/>
      <c r="V83" s="19" t="n"/>
      <c r="W83" s="4" t="n"/>
      <c r="X83" s="19" t="n"/>
      <c r="Y83" s="4" t="n"/>
      <c r="Z83" s="19" t="n"/>
      <c r="AA83" s="4" t="n"/>
      <c r="AB83" s="19" t="n"/>
      <c r="AC83" s="5">
        <f>_xlfn.TEXTJOIN(CHAR(10),TRUE,IF(Q83="","","• "&amp;Q83&amp;IF(R83="Yes","  [IPL]","")),IF(S83="","","• "&amp;S83&amp;IF(T83="Yes","  [IPL]","")),IF(U83="","","• "&amp;U83&amp;IF(V83="Yes","  [IPL]","")),IF(W83="","","• "&amp;W83&amp;IF(X83="Yes","  [IPL]","")),IF(Y83="","","• "&amp;Y83&amp;IF(Z83="Yes","  [IPL]","")),IF(AA83="","","• "&amp;AA83&amp;IF(AB83="Yes","  [IPL]","")))</f>
        <v/>
      </c>
      <c r="AD83" s="30">
        <f>IF(AC83="","",COUNTIF(Q83:AB83,"Yes"))</f>
        <v/>
      </c>
      <c r="AE83" s="19" t="n"/>
      <c r="AF83" s="19" t="n"/>
      <c r="AG83" s="30">
        <f>IF(OR(AE83="",AF83=""),"",INDEX(RiskGrid,6-VALUE(LEFT(AE83,1)),VALUE(LEFT(AF83,1))))</f>
        <v/>
      </c>
      <c r="AH83" s="30">
        <f>IF(AG83="","",IF(AG83&gt;=BandVH,"Very High",IF(AG83&gt;=BandHigh,"High",IF(AG83&gt;=BandMed,"Medium","Low"))))</f>
        <v/>
      </c>
      <c r="AI83" s="4" t="n"/>
      <c r="AJ83" s="4" t="n"/>
    </row>
    <row r="84">
      <c r="A84" s="30">
        <f>IF(B84="","",COUNTIF(B$14:B84,"?*"))</f>
        <v/>
      </c>
      <c r="B84" s="4" t="n"/>
      <c r="C84" s="19" t="n"/>
      <c r="D84" s="5">
        <f>IF(OR(B84="",C84=""),"",UPPER(LEFT(C84,1))&amp;LOWER(MID(C84,2,30))&amp;" "&amp;LOWER(LEFT(B84,1))&amp;MID(B84,2,200))</f>
        <v/>
      </c>
      <c r="E84" s="4" t="n"/>
      <c r="F84" s="4" t="n"/>
      <c r="G84" s="4" t="n"/>
      <c r="H84" s="4" t="n"/>
      <c r="I84" s="4" t="n"/>
      <c r="J84" s="4" t="n"/>
      <c r="K84" s="5">
        <f>_xlfn.TEXTJOIN(CHAR(10),TRUE,IF(E84="","","• "&amp;E84),IF(F84="","","• "&amp;F84),IF(G84="","","• "&amp;G84),IF(H84="","","• "&amp;H84),IF(I84="","","• "&amp;I84),IF(J84="","","• "&amp;J84))</f>
        <v/>
      </c>
      <c r="L84" s="4" t="n"/>
      <c r="M84" s="19" t="n"/>
      <c r="N84" s="19" t="n"/>
      <c r="O84" s="30">
        <f>IF(OR(M84="",N84=""),"",INDEX(RiskGrid,6-VALUE(LEFT(M84,1)),VALUE(LEFT(N84,1))))</f>
        <v/>
      </c>
      <c r="P84" s="30">
        <f>IF(O84="","",IF(O84&gt;=BandVH,"Very High",IF(O84&gt;=BandHigh,"High",IF(O84&gt;=BandMed,"Medium","Low"))))</f>
        <v/>
      </c>
      <c r="Q84" s="4" t="n"/>
      <c r="R84" s="19" t="n"/>
      <c r="S84" s="4" t="n"/>
      <c r="T84" s="19" t="n"/>
      <c r="U84" s="4" t="n"/>
      <c r="V84" s="19" t="n"/>
      <c r="W84" s="4" t="n"/>
      <c r="X84" s="19" t="n"/>
      <c r="Y84" s="4" t="n"/>
      <c r="Z84" s="19" t="n"/>
      <c r="AA84" s="4" t="n"/>
      <c r="AB84" s="19" t="n"/>
      <c r="AC84" s="5">
        <f>_xlfn.TEXTJOIN(CHAR(10),TRUE,IF(Q84="","","• "&amp;Q84&amp;IF(R84="Yes","  [IPL]","")),IF(S84="","","• "&amp;S84&amp;IF(T84="Yes","  [IPL]","")),IF(U84="","","• "&amp;U84&amp;IF(V84="Yes","  [IPL]","")),IF(W84="","","• "&amp;W84&amp;IF(X84="Yes","  [IPL]","")),IF(Y84="","","• "&amp;Y84&amp;IF(Z84="Yes","  [IPL]","")),IF(AA84="","","• "&amp;AA84&amp;IF(AB84="Yes","  [IPL]","")))</f>
        <v/>
      </c>
      <c r="AD84" s="30">
        <f>IF(AC84="","",COUNTIF(Q84:AB84,"Yes"))</f>
        <v/>
      </c>
      <c r="AE84" s="19" t="n"/>
      <c r="AF84" s="19" t="n"/>
      <c r="AG84" s="30">
        <f>IF(OR(AE84="",AF84=""),"",INDEX(RiskGrid,6-VALUE(LEFT(AE84,1)),VALUE(LEFT(AF84,1))))</f>
        <v/>
      </c>
      <c r="AH84" s="30">
        <f>IF(AG84="","",IF(AG84&gt;=BandVH,"Very High",IF(AG84&gt;=BandHigh,"High",IF(AG84&gt;=BandMed,"Medium","Low"))))</f>
        <v/>
      </c>
      <c r="AI84" s="4" t="n"/>
      <c r="AJ84" s="4" t="n"/>
    </row>
    <row r="85">
      <c r="A85" s="30">
        <f>IF(B85="","",COUNTIF(B$14:B85,"?*"))</f>
        <v/>
      </c>
      <c r="B85" s="4" t="n"/>
      <c r="C85" s="19" t="n"/>
      <c r="D85" s="5">
        <f>IF(OR(B85="",C85=""),"",UPPER(LEFT(C85,1))&amp;LOWER(MID(C85,2,30))&amp;" "&amp;LOWER(LEFT(B85,1))&amp;MID(B85,2,200))</f>
        <v/>
      </c>
      <c r="E85" s="4" t="n"/>
      <c r="F85" s="4" t="n"/>
      <c r="G85" s="4" t="n"/>
      <c r="H85" s="4" t="n"/>
      <c r="I85" s="4" t="n"/>
      <c r="J85" s="4" t="n"/>
      <c r="K85" s="5">
        <f>_xlfn.TEXTJOIN(CHAR(10),TRUE,IF(E85="","","• "&amp;E85),IF(F85="","","• "&amp;F85),IF(G85="","","• "&amp;G85),IF(H85="","","• "&amp;H85),IF(I85="","","• "&amp;I85),IF(J85="","","• "&amp;J85))</f>
        <v/>
      </c>
      <c r="L85" s="4" t="n"/>
      <c r="M85" s="19" t="n"/>
      <c r="N85" s="19" t="n"/>
      <c r="O85" s="30">
        <f>IF(OR(M85="",N85=""),"",INDEX(RiskGrid,6-VALUE(LEFT(M85,1)),VALUE(LEFT(N85,1))))</f>
        <v/>
      </c>
      <c r="P85" s="30">
        <f>IF(O85="","",IF(O85&gt;=BandVH,"Very High",IF(O85&gt;=BandHigh,"High",IF(O85&gt;=BandMed,"Medium","Low"))))</f>
        <v/>
      </c>
      <c r="Q85" s="4" t="n"/>
      <c r="R85" s="19" t="n"/>
      <c r="S85" s="4" t="n"/>
      <c r="T85" s="19" t="n"/>
      <c r="U85" s="4" t="n"/>
      <c r="V85" s="19" t="n"/>
      <c r="W85" s="4" t="n"/>
      <c r="X85" s="19" t="n"/>
      <c r="Y85" s="4" t="n"/>
      <c r="Z85" s="19" t="n"/>
      <c r="AA85" s="4" t="n"/>
      <c r="AB85" s="19" t="n"/>
      <c r="AC85" s="5">
        <f>_xlfn.TEXTJOIN(CHAR(10),TRUE,IF(Q85="","","• "&amp;Q85&amp;IF(R85="Yes","  [IPL]","")),IF(S85="","","• "&amp;S85&amp;IF(T85="Yes","  [IPL]","")),IF(U85="","","• "&amp;U85&amp;IF(V85="Yes","  [IPL]","")),IF(W85="","","• "&amp;W85&amp;IF(X85="Yes","  [IPL]","")),IF(Y85="","","• "&amp;Y85&amp;IF(Z85="Yes","  [IPL]","")),IF(AA85="","","• "&amp;AA85&amp;IF(AB85="Yes","  [IPL]","")))</f>
        <v/>
      </c>
      <c r="AD85" s="30">
        <f>IF(AC85="","",COUNTIF(Q85:AB85,"Yes"))</f>
        <v/>
      </c>
      <c r="AE85" s="19" t="n"/>
      <c r="AF85" s="19" t="n"/>
      <c r="AG85" s="30">
        <f>IF(OR(AE85="",AF85=""),"",INDEX(RiskGrid,6-VALUE(LEFT(AE85,1)),VALUE(LEFT(AF85,1))))</f>
        <v/>
      </c>
      <c r="AH85" s="30">
        <f>IF(AG85="","",IF(AG85&gt;=BandVH,"Very High",IF(AG85&gt;=BandHigh,"High",IF(AG85&gt;=BandMed,"Medium","Low"))))</f>
        <v/>
      </c>
      <c r="AI85" s="4" t="n"/>
      <c r="AJ85" s="4" t="n"/>
    </row>
    <row r="86">
      <c r="A86" s="30">
        <f>IF(B86="","",COUNTIF(B$14:B86,"?*"))</f>
        <v/>
      </c>
      <c r="B86" s="4" t="n"/>
      <c r="C86" s="19" t="n"/>
      <c r="D86" s="5">
        <f>IF(OR(B86="",C86=""),"",UPPER(LEFT(C86,1))&amp;LOWER(MID(C86,2,30))&amp;" "&amp;LOWER(LEFT(B86,1))&amp;MID(B86,2,200))</f>
        <v/>
      </c>
      <c r="E86" s="4" t="n"/>
      <c r="F86" s="4" t="n"/>
      <c r="G86" s="4" t="n"/>
      <c r="H86" s="4" t="n"/>
      <c r="I86" s="4" t="n"/>
      <c r="J86" s="4" t="n"/>
      <c r="K86" s="5">
        <f>_xlfn.TEXTJOIN(CHAR(10),TRUE,IF(E86="","","• "&amp;E86),IF(F86="","","• "&amp;F86),IF(G86="","","• "&amp;G86),IF(H86="","","• "&amp;H86),IF(I86="","","• "&amp;I86),IF(J86="","","• "&amp;J86))</f>
        <v/>
      </c>
      <c r="L86" s="4" t="n"/>
      <c r="M86" s="19" t="n"/>
      <c r="N86" s="19" t="n"/>
      <c r="O86" s="30">
        <f>IF(OR(M86="",N86=""),"",INDEX(RiskGrid,6-VALUE(LEFT(M86,1)),VALUE(LEFT(N86,1))))</f>
        <v/>
      </c>
      <c r="P86" s="30">
        <f>IF(O86="","",IF(O86&gt;=BandVH,"Very High",IF(O86&gt;=BandHigh,"High",IF(O86&gt;=BandMed,"Medium","Low"))))</f>
        <v/>
      </c>
      <c r="Q86" s="4" t="n"/>
      <c r="R86" s="19" t="n"/>
      <c r="S86" s="4" t="n"/>
      <c r="T86" s="19" t="n"/>
      <c r="U86" s="4" t="n"/>
      <c r="V86" s="19" t="n"/>
      <c r="W86" s="4" t="n"/>
      <c r="X86" s="19" t="n"/>
      <c r="Y86" s="4" t="n"/>
      <c r="Z86" s="19" t="n"/>
      <c r="AA86" s="4" t="n"/>
      <c r="AB86" s="19" t="n"/>
      <c r="AC86" s="5">
        <f>_xlfn.TEXTJOIN(CHAR(10),TRUE,IF(Q86="","","• "&amp;Q86&amp;IF(R86="Yes","  [IPL]","")),IF(S86="","","• "&amp;S86&amp;IF(T86="Yes","  [IPL]","")),IF(U86="","","• "&amp;U86&amp;IF(V86="Yes","  [IPL]","")),IF(W86="","","• "&amp;W86&amp;IF(X86="Yes","  [IPL]","")),IF(Y86="","","• "&amp;Y86&amp;IF(Z86="Yes","  [IPL]","")),IF(AA86="","","• "&amp;AA86&amp;IF(AB86="Yes","  [IPL]","")))</f>
        <v/>
      </c>
      <c r="AD86" s="30">
        <f>IF(AC86="","",COUNTIF(Q86:AB86,"Yes"))</f>
        <v/>
      </c>
      <c r="AE86" s="19" t="n"/>
      <c r="AF86" s="19" t="n"/>
      <c r="AG86" s="30">
        <f>IF(OR(AE86="",AF86=""),"",INDEX(RiskGrid,6-VALUE(LEFT(AE86,1)),VALUE(LEFT(AF86,1))))</f>
        <v/>
      </c>
      <c r="AH86" s="30">
        <f>IF(AG86="","",IF(AG86&gt;=BandVH,"Very High",IF(AG86&gt;=BandHigh,"High",IF(AG86&gt;=BandMed,"Medium","Low"))))</f>
        <v/>
      </c>
      <c r="AI86" s="4" t="n"/>
      <c r="AJ86" s="4" t="n"/>
    </row>
    <row r="87">
      <c r="A87" s="30">
        <f>IF(B87="","",COUNTIF(B$14:B87,"?*"))</f>
        <v/>
      </c>
      <c r="B87" s="4" t="n"/>
      <c r="C87" s="19" t="n"/>
      <c r="D87" s="5">
        <f>IF(OR(B87="",C87=""),"",UPPER(LEFT(C87,1))&amp;LOWER(MID(C87,2,30))&amp;" "&amp;LOWER(LEFT(B87,1))&amp;MID(B87,2,200))</f>
        <v/>
      </c>
      <c r="E87" s="4" t="n"/>
      <c r="F87" s="4" t="n"/>
      <c r="G87" s="4" t="n"/>
      <c r="H87" s="4" t="n"/>
      <c r="I87" s="4" t="n"/>
      <c r="J87" s="4" t="n"/>
      <c r="K87" s="5">
        <f>_xlfn.TEXTJOIN(CHAR(10),TRUE,IF(E87="","","• "&amp;E87),IF(F87="","","• "&amp;F87),IF(G87="","","• "&amp;G87),IF(H87="","","• "&amp;H87),IF(I87="","","• "&amp;I87),IF(J87="","","• "&amp;J87))</f>
        <v/>
      </c>
      <c r="L87" s="4" t="n"/>
      <c r="M87" s="19" t="n"/>
      <c r="N87" s="19" t="n"/>
      <c r="O87" s="30">
        <f>IF(OR(M87="",N87=""),"",INDEX(RiskGrid,6-VALUE(LEFT(M87,1)),VALUE(LEFT(N87,1))))</f>
        <v/>
      </c>
      <c r="P87" s="30">
        <f>IF(O87="","",IF(O87&gt;=BandVH,"Very High",IF(O87&gt;=BandHigh,"High",IF(O87&gt;=BandMed,"Medium","Low"))))</f>
        <v/>
      </c>
      <c r="Q87" s="4" t="n"/>
      <c r="R87" s="19" t="n"/>
      <c r="S87" s="4" t="n"/>
      <c r="T87" s="19" t="n"/>
      <c r="U87" s="4" t="n"/>
      <c r="V87" s="19" t="n"/>
      <c r="W87" s="4" t="n"/>
      <c r="X87" s="19" t="n"/>
      <c r="Y87" s="4" t="n"/>
      <c r="Z87" s="19" t="n"/>
      <c r="AA87" s="4" t="n"/>
      <c r="AB87" s="19" t="n"/>
      <c r="AC87" s="5">
        <f>_xlfn.TEXTJOIN(CHAR(10),TRUE,IF(Q87="","","• "&amp;Q87&amp;IF(R87="Yes","  [IPL]","")),IF(S87="","","• "&amp;S87&amp;IF(T87="Yes","  [IPL]","")),IF(U87="","","• "&amp;U87&amp;IF(V87="Yes","  [IPL]","")),IF(W87="","","• "&amp;W87&amp;IF(X87="Yes","  [IPL]","")),IF(Y87="","","• "&amp;Y87&amp;IF(Z87="Yes","  [IPL]","")),IF(AA87="","","• "&amp;AA87&amp;IF(AB87="Yes","  [IPL]","")))</f>
        <v/>
      </c>
      <c r="AD87" s="30">
        <f>IF(AC87="","",COUNTIF(Q87:AB87,"Yes"))</f>
        <v/>
      </c>
      <c r="AE87" s="19" t="n"/>
      <c r="AF87" s="19" t="n"/>
      <c r="AG87" s="30">
        <f>IF(OR(AE87="",AF87=""),"",INDEX(RiskGrid,6-VALUE(LEFT(AE87,1)),VALUE(LEFT(AF87,1))))</f>
        <v/>
      </c>
      <c r="AH87" s="30">
        <f>IF(AG87="","",IF(AG87&gt;=BandVH,"Very High",IF(AG87&gt;=BandHigh,"High",IF(AG87&gt;=BandMed,"Medium","Low"))))</f>
        <v/>
      </c>
      <c r="AI87" s="4" t="n"/>
      <c r="AJ87" s="4" t="n"/>
    </row>
    <row r="88">
      <c r="A88" s="30">
        <f>IF(B88="","",COUNTIF(B$14:B88,"?*"))</f>
        <v/>
      </c>
      <c r="B88" s="4" t="n"/>
      <c r="C88" s="19" t="n"/>
      <c r="D88" s="5">
        <f>IF(OR(B88="",C88=""),"",UPPER(LEFT(C88,1))&amp;LOWER(MID(C88,2,30))&amp;" "&amp;LOWER(LEFT(B88,1))&amp;MID(B88,2,200))</f>
        <v/>
      </c>
      <c r="E88" s="4" t="n"/>
      <c r="F88" s="4" t="n"/>
      <c r="G88" s="4" t="n"/>
      <c r="H88" s="4" t="n"/>
      <c r="I88" s="4" t="n"/>
      <c r="J88" s="4" t="n"/>
      <c r="K88" s="5">
        <f>_xlfn.TEXTJOIN(CHAR(10),TRUE,IF(E88="","","• "&amp;E88),IF(F88="","","• "&amp;F88),IF(G88="","","• "&amp;G88),IF(H88="","","• "&amp;H88),IF(I88="","","• "&amp;I88),IF(J88="","","• "&amp;J88))</f>
        <v/>
      </c>
      <c r="L88" s="4" t="n"/>
      <c r="M88" s="19" t="n"/>
      <c r="N88" s="19" t="n"/>
      <c r="O88" s="30">
        <f>IF(OR(M88="",N88=""),"",INDEX(RiskGrid,6-VALUE(LEFT(M88,1)),VALUE(LEFT(N88,1))))</f>
        <v/>
      </c>
      <c r="P88" s="30">
        <f>IF(O88="","",IF(O88&gt;=BandVH,"Very High",IF(O88&gt;=BandHigh,"High",IF(O88&gt;=BandMed,"Medium","Low"))))</f>
        <v/>
      </c>
      <c r="Q88" s="4" t="n"/>
      <c r="R88" s="19" t="n"/>
      <c r="S88" s="4" t="n"/>
      <c r="T88" s="19" t="n"/>
      <c r="U88" s="4" t="n"/>
      <c r="V88" s="19" t="n"/>
      <c r="W88" s="4" t="n"/>
      <c r="X88" s="19" t="n"/>
      <c r="Y88" s="4" t="n"/>
      <c r="Z88" s="19" t="n"/>
      <c r="AA88" s="4" t="n"/>
      <c r="AB88" s="19" t="n"/>
      <c r="AC88" s="5">
        <f>_xlfn.TEXTJOIN(CHAR(10),TRUE,IF(Q88="","","• "&amp;Q88&amp;IF(R88="Yes","  [IPL]","")),IF(S88="","","• "&amp;S88&amp;IF(T88="Yes","  [IPL]","")),IF(U88="","","• "&amp;U88&amp;IF(V88="Yes","  [IPL]","")),IF(W88="","","• "&amp;W88&amp;IF(X88="Yes","  [IPL]","")),IF(Y88="","","• "&amp;Y88&amp;IF(Z88="Yes","  [IPL]","")),IF(AA88="","","• "&amp;AA88&amp;IF(AB88="Yes","  [IPL]","")))</f>
        <v/>
      </c>
      <c r="AD88" s="30">
        <f>IF(AC88="","",COUNTIF(Q88:AB88,"Yes"))</f>
        <v/>
      </c>
      <c r="AE88" s="19" t="n"/>
      <c r="AF88" s="19" t="n"/>
      <c r="AG88" s="30">
        <f>IF(OR(AE88="",AF88=""),"",INDEX(RiskGrid,6-VALUE(LEFT(AE88,1)),VALUE(LEFT(AF88,1))))</f>
        <v/>
      </c>
      <c r="AH88" s="30">
        <f>IF(AG88="","",IF(AG88&gt;=BandVH,"Very High",IF(AG88&gt;=BandHigh,"High",IF(AG88&gt;=BandMed,"Medium","Low"))))</f>
        <v/>
      </c>
      <c r="AI88" s="4" t="n"/>
      <c r="AJ88" s="4" t="n"/>
    </row>
    <row r="89">
      <c r="A89" s="30">
        <f>IF(B89="","",COUNTIF(B$14:B89,"?*"))</f>
        <v/>
      </c>
      <c r="B89" s="4" t="n"/>
      <c r="C89" s="19" t="n"/>
      <c r="D89" s="5">
        <f>IF(OR(B89="",C89=""),"",UPPER(LEFT(C89,1))&amp;LOWER(MID(C89,2,30))&amp;" "&amp;LOWER(LEFT(B89,1))&amp;MID(B89,2,200))</f>
        <v/>
      </c>
      <c r="E89" s="4" t="n"/>
      <c r="F89" s="4" t="n"/>
      <c r="G89" s="4" t="n"/>
      <c r="H89" s="4" t="n"/>
      <c r="I89" s="4" t="n"/>
      <c r="J89" s="4" t="n"/>
      <c r="K89" s="5">
        <f>_xlfn.TEXTJOIN(CHAR(10),TRUE,IF(E89="","","• "&amp;E89),IF(F89="","","• "&amp;F89),IF(G89="","","• "&amp;G89),IF(H89="","","• "&amp;H89),IF(I89="","","• "&amp;I89),IF(J89="","","• "&amp;J89))</f>
        <v/>
      </c>
      <c r="L89" s="4" t="n"/>
      <c r="M89" s="19" t="n"/>
      <c r="N89" s="19" t="n"/>
      <c r="O89" s="30">
        <f>IF(OR(M89="",N89=""),"",INDEX(RiskGrid,6-VALUE(LEFT(M89,1)),VALUE(LEFT(N89,1))))</f>
        <v/>
      </c>
      <c r="P89" s="30">
        <f>IF(O89="","",IF(O89&gt;=BandVH,"Very High",IF(O89&gt;=BandHigh,"High",IF(O89&gt;=BandMed,"Medium","Low"))))</f>
        <v/>
      </c>
      <c r="Q89" s="4" t="n"/>
      <c r="R89" s="19" t="n"/>
      <c r="S89" s="4" t="n"/>
      <c r="T89" s="19" t="n"/>
      <c r="U89" s="4" t="n"/>
      <c r="V89" s="19" t="n"/>
      <c r="W89" s="4" t="n"/>
      <c r="X89" s="19" t="n"/>
      <c r="Y89" s="4" t="n"/>
      <c r="Z89" s="19" t="n"/>
      <c r="AA89" s="4" t="n"/>
      <c r="AB89" s="19" t="n"/>
      <c r="AC89" s="5">
        <f>_xlfn.TEXTJOIN(CHAR(10),TRUE,IF(Q89="","","• "&amp;Q89&amp;IF(R89="Yes","  [IPL]","")),IF(S89="","","• "&amp;S89&amp;IF(T89="Yes","  [IPL]","")),IF(U89="","","• "&amp;U89&amp;IF(V89="Yes","  [IPL]","")),IF(W89="","","• "&amp;W89&amp;IF(X89="Yes","  [IPL]","")),IF(Y89="","","• "&amp;Y89&amp;IF(Z89="Yes","  [IPL]","")),IF(AA89="","","• "&amp;AA89&amp;IF(AB89="Yes","  [IPL]","")))</f>
        <v/>
      </c>
      <c r="AD89" s="30">
        <f>IF(AC89="","",COUNTIF(Q89:AB89,"Yes"))</f>
        <v/>
      </c>
      <c r="AE89" s="19" t="n"/>
      <c r="AF89" s="19" t="n"/>
      <c r="AG89" s="30">
        <f>IF(OR(AE89="",AF89=""),"",INDEX(RiskGrid,6-VALUE(LEFT(AE89,1)),VALUE(LEFT(AF89,1))))</f>
        <v/>
      </c>
      <c r="AH89" s="30">
        <f>IF(AG89="","",IF(AG89&gt;=BandVH,"Very High",IF(AG89&gt;=BandHigh,"High",IF(AG89&gt;=BandMed,"Medium","Low"))))</f>
        <v/>
      </c>
      <c r="AI89" s="4" t="n"/>
      <c r="AJ89" s="4" t="n"/>
    </row>
    <row r="90">
      <c r="A90" s="30">
        <f>IF(B90="","",COUNTIF(B$14:B90,"?*"))</f>
        <v/>
      </c>
      <c r="B90" s="4" t="n"/>
      <c r="C90" s="19" t="n"/>
      <c r="D90" s="5">
        <f>IF(OR(B90="",C90=""),"",UPPER(LEFT(C90,1))&amp;LOWER(MID(C90,2,30))&amp;" "&amp;LOWER(LEFT(B90,1))&amp;MID(B90,2,200))</f>
        <v/>
      </c>
      <c r="E90" s="4" t="n"/>
      <c r="F90" s="4" t="n"/>
      <c r="G90" s="4" t="n"/>
      <c r="H90" s="4" t="n"/>
      <c r="I90" s="4" t="n"/>
      <c r="J90" s="4" t="n"/>
      <c r="K90" s="5">
        <f>_xlfn.TEXTJOIN(CHAR(10),TRUE,IF(E90="","","• "&amp;E90),IF(F90="","","• "&amp;F90),IF(G90="","","• "&amp;G90),IF(H90="","","• "&amp;H90),IF(I90="","","• "&amp;I90),IF(J90="","","• "&amp;J90))</f>
        <v/>
      </c>
      <c r="L90" s="4" t="n"/>
      <c r="M90" s="19" t="n"/>
      <c r="N90" s="19" t="n"/>
      <c r="O90" s="30">
        <f>IF(OR(M90="",N90=""),"",INDEX(RiskGrid,6-VALUE(LEFT(M90,1)),VALUE(LEFT(N90,1))))</f>
        <v/>
      </c>
      <c r="P90" s="30">
        <f>IF(O90="","",IF(O90&gt;=BandVH,"Very High",IF(O90&gt;=BandHigh,"High",IF(O90&gt;=BandMed,"Medium","Low"))))</f>
        <v/>
      </c>
      <c r="Q90" s="4" t="n"/>
      <c r="R90" s="19" t="n"/>
      <c r="S90" s="4" t="n"/>
      <c r="T90" s="19" t="n"/>
      <c r="U90" s="4" t="n"/>
      <c r="V90" s="19" t="n"/>
      <c r="W90" s="4" t="n"/>
      <c r="X90" s="19" t="n"/>
      <c r="Y90" s="4" t="n"/>
      <c r="Z90" s="19" t="n"/>
      <c r="AA90" s="4" t="n"/>
      <c r="AB90" s="19" t="n"/>
      <c r="AC90" s="5">
        <f>_xlfn.TEXTJOIN(CHAR(10),TRUE,IF(Q90="","","• "&amp;Q90&amp;IF(R90="Yes","  [IPL]","")),IF(S90="","","• "&amp;S90&amp;IF(T90="Yes","  [IPL]","")),IF(U90="","","• "&amp;U90&amp;IF(V90="Yes","  [IPL]","")),IF(W90="","","• "&amp;W90&amp;IF(X90="Yes","  [IPL]","")),IF(Y90="","","• "&amp;Y90&amp;IF(Z90="Yes","  [IPL]","")),IF(AA90="","","• "&amp;AA90&amp;IF(AB90="Yes","  [IPL]","")))</f>
        <v/>
      </c>
      <c r="AD90" s="30">
        <f>IF(AC90="","",COUNTIF(Q90:AB90,"Yes"))</f>
        <v/>
      </c>
      <c r="AE90" s="19" t="n"/>
      <c r="AF90" s="19" t="n"/>
      <c r="AG90" s="30">
        <f>IF(OR(AE90="",AF90=""),"",INDEX(RiskGrid,6-VALUE(LEFT(AE90,1)),VALUE(LEFT(AF90,1))))</f>
        <v/>
      </c>
      <c r="AH90" s="30">
        <f>IF(AG90="","",IF(AG90&gt;=BandVH,"Very High",IF(AG90&gt;=BandHigh,"High",IF(AG90&gt;=BandMed,"Medium","Low"))))</f>
        <v/>
      </c>
      <c r="AI90" s="4" t="n"/>
      <c r="AJ90" s="4" t="n"/>
    </row>
    <row r="91">
      <c r="A91" s="30">
        <f>IF(B91="","",COUNTIF(B$14:B91,"?*"))</f>
        <v/>
      </c>
      <c r="B91" s="4" t="n"/>
      <c r="C91" s="19" t="n"/>
      <c r="D91" s="5">
        <f>IF(OR(B91="",C91=""),"",UPPER(LEFT(C91,1))&amp;LOWER(MID(C91,2,30))&amp;" "&amp;LOWER(LEFT(B91,1))&amp;MID(B91,2,200))</f>
        <v/>
      </c>
      <c r="E91" s="4" t="n"/>
      <c r="F91" s="4" t="n"/>
      <c r="G91" s="4" t="n"/>
      <c r="H91" s="4" t="n"/>
      <c r="I91" s="4" t="n"/>
      <c r="J91" s="4" t="n"/>
      <c r="K91" s="5">
        <f>_xlfn.TEXTJOIN(CHAR(10),TRUE,IF(E91="","","• "&amp;E91),IF(F91="","","• "&amp;F91),IF(G91="","","• "&amp;G91),IF(H91="","","• "&amp;H91),IF(I91="","","• "&amp;I91),IF(J91="","","• "&amp;J91))</f>
        <v/>
      </c>
      <c r="L91" s="4" t="n"/>
      <c r="M91" s="19" t="n"/>
      <c r="N91" s="19" t="n"/>
      <c r="O91" s="30">
        <f>IF(OR(M91="",N91=""),"",INDEX(RiskGrid,6-VALUE(LEFT(M91,1)),VALUE(LEFT(N91,1))))</f>
        <v/>
      </c>
      <c r="P91" s="30">
        <f>IF(O91="","",IF(O91&gt;=BandVH,"Very High",IF(O91&gt;=BandHigh,"High",IF(O91&gt;=BandMed,"Medium","Low"))))</f>
        <v/>
      </c>
      <c r="Q91" s="4" t="n"/>
      <c r="R91" s="19" t="n"/>
      <c r="S91" s="4" t="n"/>
      <c r="T91" s="19" t="n"/>
      <c r="U91" s="4" t="n"/>
      <c r="V91" s="19" t="n"/>
      <c r="W91" s="4" t="n"/>
      <c r="X91" s="19" t="n"/>
      <c r="Y91" s="4" t="n"/>
      <c r="Z91" s="19" t="n"/>
      <c r="AA91" s="4" t="n"/>
      <c r="AB91" s="19" t="n"/>
      <c r="AC91" s="5">
        <f>_xlfn.TEXTJOIN(CHAR(10),TRUE,IF(Q91="","","• "&amp;Q91&amp;IF(R91="Yes","  [IPL]","")),IF(S91="","","• "&amp;S91&amp;IF(T91="Yes","  [IPL]","")),IF(U91="","","• "&amp;U91&amp;IF(V91="Yes","  [IPL]","")),IF(W91="","","• "&amp;W91&amp;IF(X91="Yes","  [IPL]","")),IF(Y91="","","• "&amp;Y91&amp;IF(Z91="Yes","  [IPL]","")),IF(AA91="","","• "&amp;AA91&amp;IF(AB91="Yes","  [IPL]","")))</f>
        <v/>
      </c>
      <c r="AD91" s="30">
        <f>IF(AC91="","",COUNTIF(Q91:AB91,"Yes"))</f>
        <v/>
      </c>
      <c r="AE91" s="19" t="n"/>
      <c r="AF91" s="19" t="n"/>
      <c r="AG91" s="30">
        <f>IF(OR(AE91="",AF91=""),"",INDEX(RiskGrid,6-VALUE(LEFT(AE91,1)),VALUE(LEFT(AF91,1))))</f>
        <v/>
      </c>
      <c r="AH91" s="30">
        <f>IF(AG91="","",IF(AG91&gt;=BandVH,"Very High",IF(AG91&gt;=BandHigh,"High",IF(AG91&gt;=BandMed,"Medium","Low"))))</f>
        <v/>
      </c>
      <c r="AI91" s="4" t="n"/>
      <c r="AJ91" s="4" t="n"/>
    </row>
    <row r="92">
      <c r="A92" s="30">
        <f>IF(B92="","",COUNTIF(B$14:B92,"?*"))</f>
        <v/>
      </c>
      <c r="B92" s="4" t="n"/>
      <c r="C92" s="19" t="n"/>
      <c r="D92" s="5">
        <f>IF(OR(B92="",C92=""),"",UPPER(LEFT(C92,1))&amp;LOWER(MID(C92,2,30))&amp;" "&amp;LOWER(LEFT(B92,1))&amp;MID(B92,2,200))</f>
        <v/>
      </c>
      <c r="E92" s="4" t="n"/>
      <c r="F92" s="4" t="n"/>
      <c r="G92" s="4" t="n"/>
      <c r="H92" s="4" t="n"/>
      <c r="I92" s="4" t="n"/>
      <c r="J92" s="4" t="n"/>
      <c r="K92" s="5">
        <f>_xlfn.TEXTJOIN(CHAR(10),TRUE,IF(E92="","","• "&amp;E92),IF(F92="","","• "&amp;F92),IF(G92="","","• "&amp;G92),IF(H92="","","• "&amp;H92),IF(I92="","","• "&amp;I92),IF(J92="","","• "&amp;J92))</f>
        <v/>
      </c>
      <c r="L92" s="4" t="n"/>
      <c r="M92" s="19" t="n"/>
      <c r="N92" s="19" t="n"/>
      <c r="O92" s="30">
        <f>IF(OR(M92="",N92=""),"",INDEX(RiskGrid,6-VALUE(LEFT(M92,1)),VALUE(LEFT(N92,1))))</f>
        <v/>
      </c>
      <c r="P92" s="30">
        <f>IF(O92="","",IF(O92&gt;=BandVH,"Very High",IF(O92&gt;=BandHigh,"High",IF(O92&gt;=BandMed,"Medium","Low"))))</f>
        <v/>
      </c>
      <c r="Q92" s="4" t="n"/>
      <c r="R92" s="19" t="n"/>
      <c r="S92" s="4" t="n"/>
      <c r="T92" s="19" t="n"/>
      <c r="U92" s="4" t="n"/>
      <c r="V92" s="19" t="n"/>
      <c r="W92" s="4" t="n"/>
      <c r="X92" s="19" t="n"/>
      <c r="Y92" s="4" t="n"/>
      <c r="Z92" s="19" t="n"/>
      <c r="AA92" s="4" t="n"/>
      <c r="AB92" s="19" t="n"/>
      <c r="AC92" s="5">
        <f>_xlfn.TEXTJOIN(CHAR(10),TRUE,IF(Q92="","","• "&amp;Q92&amp;IF(R92="Yes","  [IPL]","")),IF(S92="","","• "&amp;S92&amp;IF(T92="Yes","  [IPL]","")),IF(U92="","","• "&amp;U92&amp;IF(V92="Yes","  [IPL]","")),IF(W92="","","• "&amp;W92&amp;IF(X92="Yes","  [IPL]","")),IF(Y92="","","• "&amp;Y92&amp;IF(Z92="Yes","  [IPL]","")),IF(AA92="","","• "&amp;AA92&amp;IF(AB92="Yes","  [IPL]","")))</f>
        <v/>
      </c>
      <c r="AD92" s="30">
        <f>IF(AC92="","",COUNTIF(Q92:AB92,"Yes"))</f>
        <v/>
      </c>
      <c r="AE92" s="19" t="n"/>
      <c r="AF92" s="19" t="n"/>
      <c r="AG92" s="30">
        <f>IF(OR(AE92="",AF92=""),"",INDEX(RiskGrid,6-VALUE(LEFT(AE92,1)),VALUE(LEFT(AF92,1))))</f>
        <v/>
      </c>
      <c r="AH92" s="30">
        <f>IF(AG92="","",IF(AG92&gt;=BandVH,"Very High",IF(AG92&gt;=BandHigh,"High",IF(AG92&gt;=BandMed,"Medium","Low"))))</f>
        <v/>
      </c>
      <c r="AI92" s="4" t="n"/>
      <c r="AJ92" s="4" t="n"/>
    </row>
    <row r="93">
      <c r="A93" s="30">
        <f>IF(B93="","",COUNTIF(B$14:B93,"?*"))</f>
        <v/>
      </c>
      <c r="B93" s="4" t="n"/>
      <c r="C93" s="19" t="n"/>
      <c r="D93" s="5">
        <f>IF(OR(B93="",C93=""),"",UPPER(LEFT(C93,1))&amp;LOWER(MID(C93,2,30))&amp;" "&amp;LOWER(LEFT(B93,1))&amp;MID(B93,2,200))</f>
        <v/>
      </c>
      <c r="E93" s="4" t="n"/>
      <c r="F93" s="4" t="n"/>
      <c r="G93" s="4" t="n"/>
      <c r="H93" s="4" t="n"/>
      <c r="I93" s="4" t="n"/>
      <c r="J93" s="4" t="n"/>
      <c r="K93" s="5">
        <f>_xlfn.TEXTJOIN(CHAR(10),TRUE,IF(E93="","","• "&amp;E93),IF(F93="","","• "&amp;F93),IF(G93="","","• "&amp;G93),IF(H93="","","• "&amp;H93),IF(I93="","","• "&amp;I93),IF(J93="","","• "&amp;J93))</f>
        <v/>
      </c>
      <c r="L93" s="4" t="n"/>
      <c r="M93" s="19" t="n"/>
      <c r="N93" s="19" t="n"/>
      <c r="O93" s="30">
        <f>IF(OR(M93="",N93=""),"",INDEX(RiskGrid,6-VALUE(LEFT(M93,1)),VALUE(LEFT(N93,1))))</f>
        <v/>
      </c>
      <c r="P93" s="30">
        <f>IF(O93="","",IF(O93&gt;=BandVH,"Very High",IF(O93&gt;=BandHigh,"High",IF(O93&gt;=BandMed,"Medium","Low"))))</f>
        <v/>
      </c>
      <c r="Q93" s="4" t="n"/>
      <c r="R93" s="19" t="n"/>
      <c r="S93" s="4" t="n"/>
      <c r="T93" s="19" t="n"/>
      <c r="U93" s="4" t="n"/>
      <c r="V93" s="19" t="n"/>
      <c r="W93" s="4" t="n"/>
      <c r="X93" s="19" t="n"/>
      <c r="Y93" s="4" t="n"/>
      <c r="Z93" s="19" t="n"/>
      <c r="AA93" s="4" t="n"/>
      <c r="AB93" s="19" t="n"/>
      <c r="AC93" s="5">
        <f>_xlfn.TEXTJOIN(CHAR(10),TRUE,IF(Q93="","","• "&amp;Q93&amp;IF(R93="Yes","  [IPL]","")),IF(S93="","","• "&amp;S93&amp;IF(T93="Yes","  [IPL]","")),IF(U93="","","• "&amp;U93&amp;IF(V93="Yes","  [IPL]","")),IF(W93="","","• "&amp;W93&amp;IF(X93="Yes","  [IPL]","")),IF(Y93="","","• "&amp;Y93&amp;IF(Z93="Yes","  [IPL]","")),IF(AA93="","","• "&amp;AA93&amp;IF(AB93="Yes","  [IPL]","")))</f>
        <v/>
      </c>
      <c r="AD93" s="30">
        <f>IF(AC93="","",COUNTIF(Q93:AB93,"Yes"))</f>
        <v/>
      </c>
      <c r="AE93" s="19" t="n"/>
      <c r="AF93" s="19" t="n"/>
      <c r="AG93" s="30">
        <f>IF(OR(AE93="",AF93=""),"",INDEX(RiskGrid,6-VALUE(LEFT(AE93,1)),VALUE(LEFT(AF93,1))))</f>
        <v/>
      </c>
      <c r="AH93" s="30">
        <f>IF(AG93="","",IF(AG93&gt;=BandVH,"Very High",IF(AG93&gt;=BandHigh,"High",IF(AG93&gt;=BandMed,"Medium","Low"))))</f>
        <v/>
      </c>
      <c r="AI93" s="4" t="n"/>
      <c r="AJ93" s="4" t="n"/>
    </row>
    <row r="94">
      <c r="A94" s="30">
        <f>IF(B94="","",COUNTIF(B$14:B94,"?*"))</f>
        <v/>
      </c>
      <c r="B94" s="4" t="n"/>
      <c r="C94" s="19" t="n"/>
      <c r="D94" s="5">
        <f>IF(OR(B94="",C94=""),"",UPPER(LEFT(C94,1))&amp;LOWER(MID(C94,2,30))&amp;" "&amp;LOWER(LEFT(B94,1))&amp;MID(B94,2,200))</f>
        <v/>
      </c>
      <c r="E94" s="4" t="n"/>
      <c r="F94" s="4" t="n"/>
      <c r="G94" s="4" t="n"/>
      <c r="H94" s="4" t="n"/>
      <c r="I94" s="4" t="n"/>
      <c r="J94" s="4" t="n"/>
      <c r="K94" s="5">
        <f>_xlfn.TEXTJOIN(CHAR(10),TRUE,IF(E94="","","• "&amp;E94),IF(F94="","","• "&amp;F94),IF(G94="","","• "&amp;G94),IF(H94="","","• "&amp;H94),IF(I94="","","• "&amp;I94),IF(J94="","","• "&amp;J94))</f>
        <v/>
      </c>
      <c r="L94" s="4" t="n"/>
      <c r="M94" s="19" t="n"/>
      <c r="N94" s="19" t="n"/>
      <c r="O94" s="30">
        <f>IF(OR(M94="",N94=""),"",INDEX(RiskGrid,6-VALUE(LEFT(M94,1)),VALUE(LEFT(N94,1))))</f>
        <v/>
      </c>
      <c r="P94" s="30">
        <f>IF(O94="","",IF(O94&gt;=BandVH,"Very High",IF(O94&gt;=BandHigh,"High",IF(O94&gt;=BandMed,"Medium","Low"))))</f>
        <v/>
      </c>
      <c r="Q94" s="4" t="n"/>
      <c r="R94" s="19" t="n"/>
      <c r="S94" s="4" t="n"/>
      <c r="T94" s="19" t="n"/>
      <c r="U94" s="4" t="n"/>
      <c r="V94" s="19" t="n"/>
      <c r="W94" s="4" t="n"/>
      <c r="X94" s="19" t="n"/>
      <c r="Y94" s="4" t="n"/>
      <c r="Z94" s="19" t="n"/>
      <c r="AA94" s="4" t="n"/>
      <c r="AB94" s="19" t="n"/>
      <c r="AC94" s="5">
        <f>_xlfn.TEXTJOIN(CHAR(10),TRUE,IF(Q94="","","• "&amp;Q94&amp;IF(R94="Yes","  [IPL]","")),IF(S94="","","• "&amp;S94&amp;IF(T94="Yes","  [IPL]","")),IF(U94="","","• "&amp;U94&amp;IF(V94="Yes","  [IPL]","")),IF(W94="","","• "&amp;W94&amp;IF(X94="Yes","  [IPL]","")),IF(Y94="","","• "&amp;Y94&amp;IF(Z94="Yes","  [IPL]","")),IF(AA94="","","• "&amp;AA94&amp;IF(AB94="Yes","  [IPL]","")))</f>
        <v/>
      </c>
      <c r="AD94" s="30">
        <f>IF(AC94="","",COUNTIF(Q94:AB94,"Yes"))</f>
        <v/>
      </c>
      <c r="AE94" s="19" t="n"/>
      <c r="AF94" s="19" t="n"/>
      <c r="AG94" s="30">
        <f>IF(OR(AE94="",AF94=""),"",INDEX(RiskGrid,6-VALUE(LEFT(AE94,1)),VALUE(LEFT(AF94,1))))</f>
        <v/>
      </c>
      <c r="AH94" s="30">
        <f>IF(AG94="","",IF(AG94&gt;=BandVH,"Very High",IF(AG94&gt;=BandHigh,"High",IF(AG94&gt;=BandMed,"Medium","Low"))))</f>
        <v/>
      </c>
      <c r="AI94" s="4" t="n"/>
      <c r="AJ94" s="4" t="n"/>
    </row>
    <row r="95">
      <c r="A95" s="30">
        <f>IF(B95="","",COUNTIF(B$14:B95,"?*"))</f>
        <v/>
      </c>
      <c r="B95" s="4" t="n"/>
      <c r="C95" s="19" t="n"/>
      <c r="D95" s="5">
        <f>IF(OR(B95="",C95=""),"",UPPER(LEFT(C95,1))&amp;LOWER(MID(C95,2,30))&amp;" "&amp;LOWER(LEFT(B95,1))&amp;MID(B95,2,200))</f>
        <v/>
      </c>
      <c r="E95" s="4" t="n"/>
      <c r="F95" s="4" t="n"/>
      <c r="G95" s="4" t="n"/>
      <c r="H95" s="4" t="n"/>
      <c r="I95" s="4" t="n"/>
      <c r="J95" s="4" t="n"/>
      <c r="K95" s="5">
        <f>_xlfn.TEXTJOIN(CHAR(10),TRUE,IF(E95="","","• "&amp;E95),IF(F95="","","• "&amp;F95),IF(G95="","","• "&amp;G95),IF(H95="","","• "&amp;H95),IF(I95="","","• "&amp;I95),IF(J95="","","• "&amp;J95))</f>
        <v/>
      </c>
      <c r="L95" s="4" t="n"/>
      <c r="M95" s="19" t="n"/>
      <c r="N95" s="19" t="n"/>
      <c r="O95" s="30">
        <f>IF(OR(M95="",N95=""),"",INDEX(RiskGrid,6-VALUE(LEFT(M95,1)),VALUE(LEFT(N95,1))))</f>
        <v/>
      </c>
      <c r="P95" s="30">
        <f>IF(O95="","",IF(O95&gt;=BandVH,"Very High",IF(O95&gt;=BandHigh,"High",IF(O95&gt;=BandMed,"Medium","Low"))))</f>
        <v/>
      </c>
      <c r="Q95" s="4" t="n"/>
      <c r="R95" s="19" t="n"/>
      <c r="S95" s="4" t="n"/>
      <c r="T95" s="19" t="n"/>
      <c r="U95" s="4" t="n"/>
      <c r="V95" s="19" t="n"/>
      <c r="W95" s="4" t="n"/>
      <c r="X95" s="19" t="n"/>
      <c r="Y95" s="4" t="n"/>
      <c r="Z95" s="19" t="n"/>
      <c r="AA95" s="4" t="n"/>
      <c r="AB95" s="19" t="n"/>
      <c r="AC95" s="5">
        <f>_xlfn.TEXTJOIN(CHAR(10),TRUE,IF(Q95="","","• "&amp;Q95&amp;IF(R95="Yes","  [IPL]","")),IF(S95="","","• "&amp;S95&amp;IF(T95="Yes","  [IPL]","")),IF(U95="","","• "&amp;U95&amp;IF(V95="Yes","  [IPL]","")),IF(W95="","","• "&amp;W95&amp;IF(X95="Yes","  [IPL]","")),IF(Y95="","","• "&amp;Y95&amp;IF(Z95="Yes","  [IPL]","")),IF(AA95="","","• "&amp;AA95&amp;IF(AB95="Yes","  [IPL]","")))</f>
        <v/>
      </c>
      <c r="AD95" s="30">
        <f>IF(AC95="","",COUNTIF(Q95:AB95,"Yes"))</f>
        <v/>
      </c>
      <c r="AE95" s="19" t="n"/>
      <c r="AF95" s="19" t="n"/>
      <c r="AG95" s="30">
        <f>IF(OR(AE95="",AF95=""),"",INDEX(RiskGrid,6-VALUE(LEFT(AE95,1)),VALUE(LEFT(AF95,1))))</f>
        <v/>
      </c>
      <c r="AH95" s="30">
        <f>IF(AG95="","",IF(AG95&gt;=BandVH,"Very High",IF(AG95&gt;=BandHigh,"High",IF(AG95&gt;=BandMed,"Medium","Low"))))</f>
        <v/>
      </c>
      <c r="AI95" s="4" t="n"/>
      <c r="AJ95" s="4" t="n"/>
    </row>
    <row r="96">
      <c r="A96" s="30">
        <f>IF(B96="","",COUNTIF(B$14:B96,"?*"))</f>
        <v/>
      </c>
      <c r="B96" s="4" t="n"/>
      <c r="C96" s="19" t="n"/>
      <c r="D96" s="5">
        <f>IF(OR(B96="",C96=""),"",UPPER(LEFT(C96,1))&amp;LOWER(MID(C96,2,30))&amp;" "&amp;LOWER(LEFT(B96,1))&amp;MID(B96,2,200))</f>
        <v/>
      </c>
      <c r="E96" s="4" t="n"/>
      <c r="F96" s="4" t="n"/>
      <c r="G96" s="4" t="n"/>
      <c r="H96" s="4" t="n"/>
      <c r="I96" s="4" t="n"/>
      <c r="J96" s="4" t="n"/>
      <c r="K96" s="5">
        <f>_xlfn.TEXTJOIN(CHAR(10),TRUE,IF(E96="","","• "&amp;E96),IF(F96="","","• "&amp;F96),IF(G96="","","• "&amp;G96),IF(H96="","","• "&amp;H96),IF(I96="","","• "&amp;I96),IF(J96="","","• "&amp;J96))</f>
        <v/>
      </c>
      <c r="L96" s="4" t="n"/>
      <c r="M96" s="19" t="n"/>
      <c r="N96" s="19" t="n"/>
      <c r="O96" s="30">
        <f>IF(OR(M96="",N96=""),"",INDEX(RiskGrid,6-VALUE(LEFT(M96,1)),VALUE(LEFT(N96,1))))</f>
        <v/>
      </c>
      <c r="P96" s="30">
        <f>IF(O96="","",IF(O96&gt;=BandVH,"Very High",IF(O96&gt;=BandHigh,"High",IF(O96&gt;=BandMed,"Medium","Low"))))</f>
        <v/>
      </c>
      <c r="Q96" s="4" t="n"/>
      <c r="R96" s="19" t="n"/>
      <c r="S96" s="4" t="n"/>
      <c r="T96" s="19" t="n"/>
      <c r="U96" s="4" t="n"/>
      <c r="V96" s="19" t="n"/>
      <c r="W96" s="4" t="n"/>
      <c r="X96" s="19" t="n"/>
      <c r="Y96" s="4" t="n"/>
      <c r="Z96" s="19" t="n"/>
      <c r="AA96" s="4" t="n"/>
      <c r="AB96" s="19" t="n"/>
      <c r="AC96" s="5">
        <f>_xlfn.TEXTJOIN(CHAR(10),TRUE,IF(Q96="","","• "&amp;Q96&amp;IF(R96="Yes","  [IPL]","")),IF(S96="","","• "&amp;S96&amp;IF(T96="Yes","  [IPL]","")),IF(U96="","","• "&amp;U96&amp;IF(V96="Yes","  [IPL]","")),IF(W96="","","• "&amp;W96&amp;IF(X96="Yes","  [IPL]","")),IF(Y96="","","• "&amp;Y96&amp;IF(Z96="Yes","  [IPL]","")),IF(AA96="","","• "&amp;AA96&amp;IF(AB96="Yes","  [IPL]","")))</f>
        <v/>
      </c>
      <c r="AD96" s="30">
        <f>IF(AC96="","",COUNTIF(Q96:AB96,"Yes"))</f>
        <v/>
      </c>
      <c r="AE96" s="19" t="n"/>
      <c r="AF96" s="19" t="n"/>
      <c r="AG96" s="30">
        <f>IF(OR(AE96="",AF96=""),"",INDEX(RiskGrid,6-VALUE(LEFT(AE96,1)),VALUE(LEFT(AF96,1))))</f>
        <v/>
      </c>
      <c r="AH96" s="30">
        <f>IF(AG96="","",IF(AG96&gt;=BandVH,"Very High",IF(AG96&gt;=BandHigh,"High",IF(AG96&gt;=BandMed,"Medium","Low"))))</f>
        <v/>
      </c>
      <c r="AI96" s="4" t="n"/>
      <c r="AJ96" s="4" t="n"/>
    </row>
    <row r="97">
      <c r="A97" s="30">
        <f>IF(B97="","",COUNTIF(B$14:B97,"?*"))</f>
        <v/>
      </c>
      <c r="B97" s="4" t="n"/>
      <c r="C97" s="19" t="n"/>
      <c r="D97" s="5">
        <f>IF(OR(B97="",C97=""),"",UPPER(LEFT(C97,1))&amp;LOWER(MID(C97,2,30))&amp;" "&amp;LOWER(LEFT(B97,1))&amp;MID(B97,2,200))</f>
        <v/>
      </c>
      <c r="E97" s="4" t="n"/>
      <c r="F97" s="4" t="n"/>
      <c r="G97" s="4" t="n"/>
      <c r="H97" s="4" t="n"/>
      <c r="I97" s="4" t="n"/>
      <c r="J97" s="4" t="n"/>
      <c r="K97" s="5">
        <f>_xlfn.TEXTJOIN(CHAR(10),TRUE,IF(E97="","","• "&amp;E97),IF(F97="","","• "&amp;F97),IF(G97="","","• "&amp;G97),IF(H97="","","• "&amp;H97),IF(I97="","","• "&amp;I97),IF(J97="","","• "&amp;J97))</f>
        <v/>
      </c>
      <c r="L97" s="4" t="n"/>
      <c r="M97" s="19" t="n"/>
      <c r="N97" s="19" t="n"/>
      <c r="O97" s="30">
        <f>IF(OR(M97="",N97=""),"",INDEX(RiskGrid,6-VALUE(LEFT(M97,1)),VALUE(LEFT(N97,1))))</f>
        <v/>
      </c>
      <c r="P97" s="30">
        <f>IF(O97="","",IF(O97&gt;=BandVH,"Very High",IF(O97&gt;=BandHigh,"High",IF(O97&gt;=BandMed,"Medium","Low"))))</f>
        <v/>
      </c>
      <c r="Q97" s="4" t="n"/>
      <c r="R97" s="19" t="n"/>
      <c r="S97" s="4" t="n"/>
      <c r="T97" s="19" t="n"/>
      <c r="U97" s="4" t="n"/>
      <c r="V97" s="19" t="n"/>
      <c r="W97" s="4" t="n"/>
      <c r="X97" s="19" t="n"/>
      <c r="Y97" s="4" t="n"/>
      <c r="Z97" s="19" t="n"/>
      <c r="AA97" s="4" t="n"/>
      <c r="AB97" s="19" t="n"/>
      <c r="AC97" s="5">
        <f>_xlfn.TEXTJOIN(CHAR(10),TRUE,IF(Q97="","","• "&amp;Q97&amp;IF(R97="Yes","  [IPL]","")),IF(S97="","","• "&amp;S97&amp;IF(T97="Yes","  [IPL]","")),IF(U97="","","• "&amp;U97&amp;IF(V97="Yes","  [IPL]","")),IF(W97="","","• "&amp;W97&amp;IF(X97="Yes","  [IPL]","")),IF(Y97="","","• "&amp;Y97&amp;IF(Z97="Yes","  [IPL]","")),IF(AA97="","","• "&amp;AA97&amp;IF(AB97="Yes","  [IPL]","")))</f>
        <v/>
      </c>
      <c r="AD97" s="30">
        <f>IF(AC97="","",COUNTIF(Q97:AB97,"Yes"))</f>
        <v/>
      </c>
      <c r="AE97" s="19" t="n"/>
      <c r="AF97" s="19" t="n"/>
      <c r="AG97" s="30">
        <f>IF(OR(AE97="",AF97=""),"",INDEX(RiskGrid,6-VALUE(LEFT(AE97,1)),VALUE(LEFT(AF97,1))))</f>
        <v/>
      </c>
      <c r="AH97" s="30">
        <f>IF(AG97="","",IF(AG97&gt;=BandVH,"Very High",IF(AG97&gt;=BandHigh,"High",IF(AG97&gt;=BandMed,"Medium","Low"))))</f>
        <v/>
      </c>
      <c r="AI97" s="4" t="n"/>
      <c r="AJ97" s="4" t="n"/>
    </row>
    <row r="98">
      <c r="A98" s="30">
        <f>IF(B98="","",COUNTIF(B$14:B98,"?*"))</f>
        <v/>
      </c>
      <c r="B98" s="4" t="n"/>
      <c r="C98" s="19" t="n"/>
      <c r="D98" s="5">
        <f>IF(OR(B98="",C98=""),"",UPPER(LEFT(C98,1))&amp;LOWER(MID(C98,2,30))&amp;" "&amp;LOWER(LEFT(B98,1))&amp;MID(B98,2,200))</f>
        <v/>
      </c>
      <c r="E98" s="4" t="n"/>
      <c r="F98" s="4" t="n"/>
      <c r="G98" s="4" t="n"/>
      <c r="H98" s="4" t="n"/>
      <c r="I98" s="4" t="n"/>
      <c r="J98" s="4" t="n"/>
      <c r="K98" s="5">
        <f>_xlfn.TEXTJOIN(CHAR(10),TRUE,IF(E98="","","• "&amp;E98),IF(F98="","","• "&amp;F98),IF(G98="","","• "&amp;G98),IF(H98="","","• "&amp;H98),IF(I98="","","• "&amp;I98),IF(J98="","","• "&amp;J98))</f>
        <v/>
      </c>
      <c r="L98" s="4" t="n"/>
      <c r="M98" s="19" t="n"/>
      <c r="N98" s="19" t="n"/>
      <c r="O98" s="30">
        <f>IF(OR(M98="",N98=""),"",INDEX(RiskGrid,6-VALUE(LEFT(M98,1)),VALUE(LEFT(N98,1))))</f>
        <v/>
      </c>
      <c r="P98" s="30">
        <f>IF(O98="","",IF(O98&gt;=BandVH,"Very High",IF(O98&gt;=BandHigh,"High",IF(O98&gt;=BandMed,"Medium","Low"))))</f>
        <v/>
      </c>
      <c r="Q98" s="4" t="n"/>
      <c r="R98" s="19" t="n"/>
      <c r="S98" s="4" t="n"/>
      <c r="T98" s="19" t="n"/>
      <c r="U98" s="4" t="n"/>
      <c r="V98" s="19" t="n"/>
      <c r="W98" s="4" t="n"/>
      <c r="X98" s="19" t="n"/>
      <c r="Y98" s="4" t="n"/>
      <c r="Z98" s="19" t="n"/>
      <c r="AA98" s="4" t="n"/>
      <c r="AB98" s="19" t="n"/>
      <c r="AC98" s="5">
        <f>_xlfn.TEXTJOIN(CHAR(10),TRUE,IF(Q98="","","• "&amp;Q98&amp;IF(R98="Yes","  [IPL]","")),IF(S98="","","• "&amp;S98&amp;IF(T98="Yes","  [IPL]","")),IF(U98="","","• "&amp;U98&amp;IF(V98="Yes","  [IPL]","")),IF(W98="","","• "&amp;W98&amp;IF(X98="Yes","  [IPL]","")),IF(Y98="","","• "&amp;Y98&amp;IF(Z98="Yes","  [IPL]","")),IF(AA98="","","• "&amp;AA98&amp;IF(AB98="Yes","  [IPL]","")))</f>
        <v/>
      </c>
      <c r="AD98" s="30">
        <f>IF(AC98="","",COUNTIF(Q98:AB98,"Yes"))</f>
        <v/>
      </c>
      <c r="AE98" s="19" t="n"/>
      <c r="AF98" s="19" t="n"/>
      <c r="AG98" s="30">
        <f>IF(OR(AE98="",AF98=""),"",INDEX(RiskGrid,6-VALUE(LEFT(AE98,1)),VALUE(LEFT(AF98,1))))</f>
        <v/>
      </c>
      <c r="AH98" s="30">
        <f>IF(AG98="","",IF(AG98&gt;=BandVH,"Very High",IF(AG98&gt;=BandHigh,"High",IF(AG98&gt;=BandMed,"Medium","Low"))))</f>
        <v/>
      </c>
      <c r="AI98" s="4" t="n"/>
      <c r="AJ98" s="4" t="n"/>
    </row>
    <row r="99">
      <c r="A99" s="30">
        <f>IF(B99="","",COUNTIF(B$14:B99,"?*"))</f>
        <v/>
      </c>
      <c r="B99" s="4" t="n"/>
      <c r="C99" s="19" t="n"/>
      <c r="D99" s="5">
        <f>IF(OR(B99="",C99=""),"",UPPER(LEFT(C99,1))&amp;LOWER(MID(C99,2,30))&amp;" "&amp;LOWER(LEFT(B99,1))&amp;MID(B99,2,200))</f>
        <v/>
      </c>
      <c r="E99" s="4" t="n"/>
      <c r="F99" s="4" t="n"/>
      <c r="G99" s="4" t="n"/>
      <c r="H99" s="4" t="n"/>
      <c r="I99" s="4" t="n"/>
      <c r="J99" s="4" t="n"/>
      <c r="K99" s="5">
        <f>_xlfn.TEXTJOIN(CHAR(10),TRUE,IF(E99="","","• "&amp;E99),IF(F99="","","• "&amp;F99),IF(G99="","","• "&amp;G99),IF(H99="","","• "&amp;H99),IF(I99="","","• "&amp;I99),IF(J99="","","• "&amp;J99))</f>
        <v/>
      </c>
      <c r="L99" s="4" t="n"/>
      <c r="M99" s="19" t="n"/>
      <c r="N99" s="19" t="n"/>
      <c r="O99" s="30">
        <f>IF(OR(M99="",N99=""),"",INDEX(RiskGrid,6-VALUE(LEFT(M99,1)),VALUE(LEFT(N99,1))))</f>
        <v/>
      </c>
      <c r="P99" s="30">
        <f>IF(O99="","",IF(O99&gt;=BandVH,"Very High",IF(O99&gt;=BandHigh,"High",IF(O99&gt;=BandMed,"Medium","Low"))))</f>
        <v/>
      </c>
      <c r="Q99" s="4" t="n"/>
      <c r="R99" s="19" t="n"/>
      <c r="S99" s="4" t="n"/>
      <c r="T99" s="19" t="n"/>
      <c r="U99" s="4" t="n"/>
      <c r="V99" s="19" t="n"/>
      <c r="W99" s="4" t="n"/>
      <c r="X99" s="19" t="n"/>
      <c r="Y99" s="4" t="n"/>
      <c r="Z99" s="19" t="n"/>
      <c r="AA99" s="4" t="n"/>
      <c r="AB99" s="19" t="n"/>
      <c r="AC99" s="5">
        <f>_xlfn.TEXTJOIN(CHAR(10),TRUE,IF(Q99="","","• "&amp;Q99&amp;IF(R99="Yes","  [IPL]","")),IF(S99="","","• "&amp;S99&amp;IF(T99="Yes","  [IPL]","")),IF(U99="","","• "&amp;U99&amp;IF(V99="Yes","  [IPL]","")),IF(W99="","","• "&amp;W99&amp;IF(X99="Yes","  [IPL]","")),IF(Y99="","","• "&amp;Y99&amp;IF(Z99="Yes","  [IPL]","")),IF(AA99="","","• "&amp;AA99&amp;IF(AB99="Yes","  [IPL]","")))</f>
        <v/>
      </c>
      <c r="AD99" s="30">
        <f>IF(AC99="","",COUNTIF(Q99:AB99,"Yes"))</f>
        <v/>
      </c>
      <c r="AE99" s="19" t="n"/>
      <c r="AF99" s="19" t="n"/>
      <c r="AG99" s="30">
        <f>IF(OR(AE99="",AF99=""),"",INDEX(RiskGrid,6-VALUE(LEFT(AE99,1)),VALUE(LEFT(AF99,1))))</f>
        <v/>
      </c>
      <c r="AH99" s="30">
        <f>IF(AG99="","",IF(AG99&gt;=BandVH,"Very High",IF(AG99&gt;=BandHigh,"High",IF(AG99&gt;=BandMed,"Medium","Low"))))</f>
        <v/>
      </c>
      <c r="AI99" s="4" t="n"/>
      <c r="AJ99" s="4" t="n"/>
    </row>
    <row r="100">
      <c r="A100" s="30">
        <f>IF(B100="","",COUNTIF(B$14:B100,"?*"))</f>
        <v/>
      </c>
      <c r="B100" s="4" t="n"/>
      <c r="C100" s="19" t="n"/>
      <c r="D100" s="5">
        <f>IF(OR(B100="",C100=""),"",UPPER(LEFT(C100,1))&amp;LOWER(MID(C100,2,30))&amp;" "&amp;LOWER(LEFT(B100,1))&amp;MID(B100,2,200))</f>
        <v/>
      </c>
      <c r="E100" s="4" t="n"/>
      <c r="F100" s="4" t="n"/>
      <c r="G100" s="4" t="n"/>
      <c r="H100" s="4" t="n"/>
      <c r="I100" s="4" t="n"/>
      <c r="J100" s="4" t="n"/>
      <c r="K100" s="5">
        <f>_xlfn.TEXTJOIN(CHAR(10),TRUE,IF(E100="","","• "&amp;E100),IF(F100="","","• "&amp;F100),IF(G100="","","• "&amp;G100),IF(H100="","","• "&amp;H100),IF(I100="","","• "&amp;I100),IF(J100="","","• "&amp;J100))</f>
        <v/>
      </c>
      <c r="L100" s="4" t="n"/>
      <c r="M100" s="19" t="n"/>
      <c r="N100" s="19" t="n"/>
      <c r="O100" s="30">
        <f>IF(OR(M100="",N100=""),"",INDEX(RiskGrid,6-VALUE(LEFT(M100,1)),VALUE(LEFT(N100,1))))</f>
        <v/>
      </c>
      <c r="P100" s="30">
        <f>IF(O100="","",IF(O100&gt;=BandVH,"Very High",IF(O100&gt;=BandHigh,"High",IF(O100&gt;=BandMed,"Medium","Low"))))</f>
        <v/>
      </c>
      <c r="Q100" s="4" t="n"/>
      <c r="R100" s="19" t="n"/>
      <c r="S100" s="4" t="n"/>
      <c r="T100" s="19" t="n"/>
      <c r="U100" s="4" t="n"/>
      <c r="V100" s="19" t="n"/>
      <c r="W100" s="4" t="n"/>
      <c r="X100" s="19" t="n"/>
      <c r="Y100" s="4" t="n"/>
      <c r="Z100" s="19" t="n"/>
      <c r="AA100" s="4" t="n"/>
      <c r="AB100" s="19" t="n"/>
      <c r="AC100" s="5">
        <f>_xlfn.TEXTJOIN(CHAR(10),TRUE,IF(Q100="","","• "&amp;Q100&amp;IF(R100="Yes","  [IPL]","")),IF(S100="","","• "&amp;S100&amp;IF(T100="Yes","  [IPL]","")),IF(U100="","","• "&amp;U100&amp;IF(V100="Yes","  [IPL]","")),IF(W100="","","• "&amp;W100&amp;IF(X100="Yes","  [IPL]","")),IF(Y100="","","• "&amp;Y100&amp;IF(Z100="Yes","  [IPL]","")),IF(AA100="","","• "&amp;AA100&amp;IF(AB100="Yes","  [IPL]","")))</f>
        <v/>
      </c>
      <c r="AD100" s="30">
        <f>IF(AC100="","",COUNTIF(Q100:AB100,"Yes"))</f>
        <v/>
      </c>
      <c r="AE100" s="19" t="n"/>
      <c r="AF100" s="19" t="n"/>
      <c r="AG100" s="30">
        <f>IF(OR(AE100="",AF100=""),"",INDEX(RiskGrid,6-VALUE(LEFT(AE100,1)),VALUE(LEFT(AF100,1))))</f>
        <v/>
      </c>
      <c r="AH100" s="30">
        <f>IF(AG100="","",IF(AG100&gt;=BandVH,"Very High",IF(AG100&gt;=BandHigh,"High",IF(AG100&gt;=BandMed,"Medium","Low"))))</f>
        <v/>
      </c>
      <c r="AI100" s="4" t="n"/>
      <c r="AJ100" s="4" t="n"/>
    </row>
    <row r="101">
      <c r="A101" s="30">
        <f>IF(B101="","",COUNTIF(B$14:B101,"?*"))</f>
        <v/>
      </c>
      <c r="B101" s="4" t="n"/>
      <c r="C101" s="19" t="n"/>
      <c r="D101" s="5">
        <f>IF(OR(B101="",C101=""),"",UPPER(LEFT(C101,1))&amp;LOWER(MID(C101,2,30))&amp;" "&amp;LOWER(LEFT(B101,1))&amp;MID(B101,2,200))</f>
        <v/>
      </c>
      <c r="E101" s="4" t="n"/>
      <c r="F101" s="4" t="n"/>
      <c r="G101" s="4" t="n"/>
      <c r="H101" s="4" t="n"/>
      <c r="I101" s="4" t="n"/>
      <c r="J101" s="4" t="n"/>
      <c r="K101" s="5">
        <f>_xlfn.TEXTJOIN(CHAR(10),TRUE,IF(E101="","","• "&amp;E101),IF(F101="","","• "&amp;F101),IF(G101="","","• "&amp;G101),IF(H101="","","• "&amp;H101),IF(I101="","","• "&amp;I101),IF(J101="","","• "&amp;J101))</f>
        <v/>
      </c>
      <c r="L101" s="4" t="n"/>
      <c r="M101" s="19" t="n"/>
      <c r="N101" s="19" t="n"/>
      <c r="O101" s="30">
        <f>IF(OR(M101="",N101=""),"",INDEX(RiskGrid,6-VALUE(LEFT(M101,1)),VALUE(LEFT(N101,1))))</f>
        <v/>
      </c>
      <c r="P101" s="30">
        <f>IF(O101="","",IF(O101&gt;=BandVH,"Very High",IF(O101&gt;=BandHigh,"High",IF(O101&gt;=BandMed,"Medium","Low"))))</f>
        <v/>
      </c>
      <c r="Q101" s="4" t="n"/>
      <c r="R101" s="19" t="n"/>
      <c r="S101" s="4" t="n"/>
      <c r="T101" s="19" t="n"/>
      <c r="U101" s="4" t="n"/>
      <c r="V101" s="19" t="n"/>
      <c r="W101" s="4" t="n"/>
      <c r="X101" s="19" t="n"/>
      <c r="Y101" s="4" t="n"/>
      <c r="Z101" s="19" t="n"/>
      <c r="AA101" s="4" t="n"/>
      <c r="AB101" s="19" t="n"/>
      <c r="AC101" s="5">
        <f>_xlfn.TEXTJOIN(CHAR(10),TRUE,IF(Q101="","","• "&amp;Q101&amp;IF(R101="Yes","  [IPL]","")),IF(S101="","","• "&amp;S101&amp;IF(T101="Yes","  [IPL]","")),IF(U101="","","• "&amp;U101&amp;IF(V101="Yes","  [IPL]","")),IF(W101="","","• "&amp;W101&amp;IF(X101="Yes","  [IPL]","")),IF(Y101="","","• "&amp;Y101&amp;IF(Z101="Yes","  [IPL]","")),IF(AA101="","","• "&amp;AA101&amp;IF(AB101="Yes","  [IPL]","")))</f>
        <v/>
      </c>
      <c r="AD101" s="30">
        <f>IF(AC101="","",COUNTIF(Q101:AB101,"Yes"))</f>
        <v/>
      </c>
      <c r="AE101" s="19" t="n"/>
      <c r="AF101" s="19" t="n"/>
      <c r="AG101" s="30">
        <f>IF(OR(AE101="",AF101=""),"",INDEX(RiskGrid,6-VALUE(LEFT(AE101,1)),VALUE(LEFT(AF101,1))))</f>
        <v/>
      </c>
      <c r="AH101" s="30">
        <f>IF(AG101="","",IF(AG101&gt;=BandVH,"Very High",IF(AG101&gt;=BandHigh,"High",IF(AG101&gt;=BandMed,"Medium","Low"))))</f>
        <v/>
      </c>
      <c r="AI101" s="4" t="n"/>
      <c r="AJ101" s="4" t="n"/>
    </row>
    <row r="102">
      <c r="A102" s="30">
        <f>IF(B102="","",COUNTIF(B$14:B102,"?*"))</f>
        <v/>
      </c>
      <c r="B102" s="4" t="n"/>
      <c r="C102" s="19" t="n"/>
      <c r="D102" s="5">
        <f>IF(OR(B102="",C102=""),"",UPPER(LEFT(C102,1))&amp;LOWER(MID(C102,2,30))&amp;" "&amp;LOWER(LEFT(B102,1))&amp;MID(B102,2,200))</f>
        <v/>
      </c>
      <c r="E102" s="4" t="n"/>
      <c r="F102" s="4" t="n"/>
      <c r="G102" s="4" t="n"/>
      <c r="H102" s="4" t="n"/>
      <c r="I102" s="4" t="n"/>
      <c r="J102" s="4" t="n"/>
      <c r="K102" s="5">
        <f>_xlfn.TEXTJOIN(CHAR(10),TRUE,IF(E102="","","• "&amp;E102),IF(F102="","","• "&amp;F102),IF(G102="","","• "&amp;G102),IF(H102="","","• "&amp;H102),IF(I102="","","• "&amp;I102),IF(J102="","","• "&amp;J102))</f>
        <v/>
      </c>
      <c r="L102" s="4" t="n"/>
      <c r="M102" s="19" t="n"/>
      <c r="N102" s="19" t="n"/>
      <c r="O102" s="30">
        <f>IF(OR(M102="",N102=""),"",INDEX(RiskGrid,6-VALUE(LEFT(M102,1)),VALUE(LEFT(N102,1))))</f>
        <v/>
      </c>
      <c r="P102" s="30">
        <f>IF(O102="","",IF(O102&gt;=BandVH,"Very High",IF(O102&gt;=BandHigh,"High",IF(O102&gt;=BandMed,"Medium","Low"))))</f>
        <v/>
      </c>
      <c r="Q102" s="4" t="n"/>
      <c r="R102" s="19" t="n"/>
      <c r="S102" s="4" t="n"/>
      <c r="T102" s="19" t="n"/>
      <c r="U102" s="4" t="n"/>
      <c r="V102" s="19" t="n"/>
      <c r="W102" s="4" t="n"/>
      <c r="X102" s="19" t="n"/>
      <c r="Y102" s="4" t="n"/>
      <c r="Z102" s="19" t="n"/>
      <c r="AA102" s="4" t="n"/>
      <c r="AB102" s="19" t="n"/>
      <c r="AC102" s="5">
        <f>_xlfn.TEXTJOIN(CHAR(10),TRUE,IF(Q102="","","• "&amp;Q102&amp;IF(R102="Yes","  [IPL]","")),IF(S102="","","• "&amp;S102&amp;IF(T102="Yes","  [IPL]","")),IF(U102="","","• "&amp;U102&amp;IF(V102="Yes","  [IPL]","")),IF(W102="","","• "&amp;W102&amp;IF(X102="Yes","  [IPL]","")),IF(Y102="","","• "&amp;Y102&amp;IF(Z102="Yes","  [IPL]","")),IF(AA102="","","• "&amp;AA102&amp;IF(AB102="Yes","  [IPL]","")))</f>
        <v/>
      </c>
      <c r="AD102" s="30">
        <f>IF(AC102="","",COUNTIF(Q102:AB102,"Yes"))</f>
        <v/>
      </c>
      <c r="AE102" s="19" t="n"/>
      <c r="AF102" s="19" t="n"/>
      <c r="AG102" s="30">
        <f>IF(OR(AE102="",AF102=""),"",INDEX(RiskGrid,6-VALUE(LEFT(AE102,1)),VALUE(LEFT(AF102,1))))</f>
        <v/>
      </c>
      <c r="AH102" s="30">
        <f>IF(AG102="","",IF(AG102&gt;=BandVH,"Very High",IF(AG102&gt;=BandHigh,"High",IF(AG102&gt;=BandMed,"Medium","Low"))))</f>
        <v/>
      </c>
      <c r="AI102" s="4" t="n"/>
      <c r="AJ102" s="4" t="n"/>
    </row>
    <row r="103">
      <c r="A103" s="30">
        <f>IF(B103="","",COUNTIF(B$14:B103,"?*"))</f>
        <v/>
      </c>
      <c r="B103" s="4" t="n"/>
      <c r="C103" s="19" t="n"/>
      <c r="D103" s="5">
        <f>IF(OR(B103="",C103=""),"",UPPER(LEFT(C103,1))&amp;LOWER(MID(C103,2,30))&amp;" "&amp;LOWER(LEFT(B103,1))&amp;MID(B103,2,200))</f>
        <v/>
      </c>
      <c r="E103" s="4" t="n"/>
      <c r="F103" s="4" t="n"/>
      <c r="G103" s="4" t="n"/>
      <c r="H103" s="4" t="n"/>
      <c r="I103" s="4" t="n"/>
      <c r="J103" s="4" t="n"/>
      <c r="K103" s="5">
        <f>_xlfn.TEXTJOIN(CHAR(10),TRUE,IF(E103="","","• "&amp;E103),IF(F103="","","• "&amp;F103),IF(G103="","","• "&amp;G103),IF(H103="","","• "&amp;H103),IF(I103="","","• "&amp;I103),IF(J103="","","• "&amp;J103))</f>
        <v/>
      </c>
      <c r="L103" s="4" t="n"/>
      <c r="M103" s="19" t="n"/>
      <c r="N103" s="19" t="n"/>
      <c r="O103" s="30">
        <f>IF(OR(M103="",N103=""),"",INDEX(RiskGrid,6-VALUE(LEFT(M103,1)),VALUE(LEFT(N103,1))))</f>
        <v/>
      </c>
      <c r="P103" s="30">
        <f>IF(O103="","",IF(O103&gt;=BandVH,"Very High",IF(O103&gt;=BandHigh,"High",IF(O103&gt;=BandMed,"Medium","Low"))))</f>
        <v/>
      </c>
      <c r="Q103" s="4" t="n"/>
      <c r="R103" s="19" t="n"/>
      <c r="S103" s="4" t="n"/>
      <c r="T103" s="19" t="n"/>
      <c r="U103" s="4" t="n"/>
      <c r="V103" s="19" t="n"/>
      <c r="W103" s="4" t="n"/>
      <c r="X103" s="19" t="n"/>
      <c r="Y103" s="4" t="n"/>
      <c r="Z103" s="19" t="n"/>
      <c r="AA103" s="4" t="n"/>
      <c r="AB103" s="19" t="n"/>
      <c r="AC103" s="5">
        <f>_xlfn.TEXTJOIN(CHAR(10),TRUE,IF(Q103="","","• "&amp;Q103&amp;IF(R103="Yes","  [IPL]","")),IF(S103="","","• "&amp;S103&amp;IF(T103="Yes","  [IPL]","")),IF(U103="","","• "&amp;U103&amp;IF(V103="Yes","  [IPL]","")),IF(W103="","","• "&amp;W103&amp;IF(X103="Yes","  [IPL]","")),IF(Y103="","","• "&amp;Y103&amp;IF(Z103="Yes","  [IPL]","")),IF(AA103="","","• "&amp;AA103&amp;IF(AB103="Yes","  [IPL]","")))</f>
        <v/>
      </c>
      <c r="AD103" s="30">
        <f>IF(AC103="","",COUNTIF(Q103:AB103,"Yes"))</f>
        <v/>
      </c>
      <c r="AE103" s="19" t="n"/>
      <c r="AF103" s="19" t="n"/>
      <c r="AG103" s="30">
        <f>IF(OR(AE103="",AF103=""),"",INDEX(RiskGrid,6-VALUE(LEFT(AE103,1)),VALUE(LEFT(AF103,1))))</f>
        <v/>
      </c>
      <c r="AH103" s="30">
        <f>IF(AG103="","",IF(AG103&gt;=BandVH,"Very High",IF(AG103&gt;=BandHigh,"High",IF(AG103&gt;=BandMed,"Medium","Low"))))</f>
        <v/>
      </c>
      <c r="AI103" s="4" t="n"/>
      <c r="AJ103" s="4" t="n"/>
    </row>
    <row r="104">
      <c r="A104" s="30">
        <f>IF(B104="","",COUNTIF(B$14:B104,"?*"))</f>
        <v/>
      </c>
      <c r="B104" s="4" t="n"/>
      <c r="C104" s="19" t="n"/>
      <c r="D104" s="5">
        <f>IF(OR(B104="",C104=""),"",UPPER(LEFT(C104,1))&amp;LOWER(MID(C104,2,30))&amp;" "&amp;LOWER(LEFT(B104,1))&amp;MID(B104,2,200))</f>
        <v/>
      </c>
      <c r="E104" s="4" t="n"/>
      <c r="F104" s="4" t="n"/>
      <c r="G104" s="4" t="n"/>
      <c r="H104" s="4" t="n"/>
      <c r="I104" s="4" t="n"/>
      <c r="J104" s="4" t="n"/>
      <c r="K104" s="5">
        <f>_xlfn.TEXTJOIN(CHAR(10),TRUE,IF(E104="","","• "&amp;E104),IF(F104="","","• "&amp;F104),IF(G104="","","• "&amp;G104),IF(H104="","","• "&amp;H104),IF(I104="","","• "&amp;I104),IF(J104="","","• "&amp;J104))</f>
        <v/>
      </c>
      <c r="L104" s="4" t="n"/>
      <c r="M104" s="19" t="n"/>
      <c r="N104" s="19" t="n"/>
      <c r="O104" s="30">
        <f>IF(OR(M104="",N104=""),"",INDEX(RiskGrid,6-VALUE(LEFT(M104,1)),VALUE(LEFT(N104,1))))</f>
        <v/>
      </c>
      <c r="P104" s="30">
        <f>IF(O104="","",IF(O104&gt;=BandVH,"Very High",IF(O104&gt;=BandHigh,"High",IF(O104&gt;=BandMed,"Medium","Low"))))</f>
        <v/>
      </c>
      <c r="Q104" s="4" t="n"/>
      <c r="R104" s="19" t="n"/>
      <c r="S104" s="4" t="n"/>
      <c r="T104" s="19" t="n"/>
      <c r="U104" s="4" t="n"/>
      <c r="V104" s="19" t="n"/>
      <c r="W104" s="4" t="n"/>
      <c r="X104" s="19" t="n"/>
      <c r="Y104" s="4" t="n"/>
      <c r="Z104" s="19" t="n"/>
      <c r="AA104" s="4" t="n"/>
      <c r="AB104" s="19" t="n"/>
      <c r="AC104" s="5">
        <f>_xlfn.TEXTJOIN(CHAR(10),TRUE,IF(Q104="","","• "&amp;Q104&amp;IF(R104="Yes","  [IPL]","")),IF(S104="","","• "&amp;S104&amp;IF(T104="Yes","  [IPL]","")),IF(U104="","","• "&amp;U104&amp;IF(V104="Yes","  [IPL]","")),IF(W104="","","• "&amp;W104&amp;IF(X104="Yes","  [IPL]","")),IF(Y104="","","• "&amp;Y104&amp;IF(Z104="Yes","  [IPL]","")),IF(AA104="","","• "&amp;AA104&amp;IF(AB104="Yes","  [IPL]","")))</f>
        <v/>
      </c>
      <c r="AD104" s="30">
        <f>IF(AC104="","",COUNTIF(Q104:AB104,"Yes"))</f>
        <v/>
      </c>
      <c r="AE104" s="19" t="n"/>
      <c r="AF104" s="19" t="n"/>
      <c r="AG104" s="30">
        <f>IF(OR(AE104="",AF104=""),"",INDEX(RiskGrid,6-VALUE(LEFT(AE104,1)),VALUE(LEFT(AF104,1))))</f>
        <v/>
      </c>
      <c r="AH104" s="30">
        <f>IF(AG104="","",IF(AG104&gt;=BandVH,"Very High",IF(AG104&gt;=BandHigh,"High",IF(AG104&gt;=BandMed,"Medium","Low"))))</f>
        <v/>
      </c>
      <c r="AI104" s="4" t="n"/>
      <c r="AJ104" s="4" t="n"/>
    </row>
    <row r="105">
      <c r="A105" s="30">
        <f>IF(B105="","",COUNTIF(B$14:B105,"?*"))</f>
        <v/>
      </c>
      <c r="B105" s="4" t="n"/>
      <c r="C105" s="19" t="n"/>
      <c r="D105" s="5">
        <f>IF(OR(B105="",C105=""),"",UPPER(LEFT(C105,1))&amp;LOWER(MID(C105,2,30))&amp;" "&amp;LOWER(LEFT(B105,1))&amp;MID(B105,2,200))</f>
        <v/>
      </c>
      <c r="E105" s="4" t="n"/>
      <c r="F105" s="4" t="n"/>
      <c r="G105" s="4" t="n"/>
      <c r="H105" s="4" t="n"/>
      <c r="I105" s="4" t="n"/>
      <c r="J105" s="4" t="n"/>
      <c r="K105" s="5">
        <f>_xlfn.TEXTJOIN(CHAR(10),TRUE,IF(E105="","","• "&amp;E105),IF(F105="","","• "&amp;F105),IF(G105="","","• "&amp;G105),IF(H105="","","• "&amp;H105),IF(I105="","","• "&amp;I105),IF(J105="","","• "&amp;J105))</f>
        <v/>
      </c>
      <c r="L105" s="4" t="n"/>
      <c r="M105" s="19" t="n"/>
      <c r="N105" s="19" t="n"/>
      <c r="O105" s="30">
        <f>IF(OR(M105="",N105=""),"",INDEX(RiskGrid,6-VALUE(LEFT(M105,1)),VALUE(LEFT(N105,1))))</f>
        <v/>
      </c>
      <c r="P105" s="30">
        <f>IF(O105="","",IF(O105&gt;=BandVH,"Very High",IF(O105&gt;=BandHigh,"High",IF(O105&gt;=BandMed,"Medium","Low"))))</f>
        <v/>
      </c>
      <c r="Q105" s="4" t="n"/>
      <c r="R105" s="19" t="n"/>
      <c r="S105" s="4" t="n"/>
      <c r="T105" s="19" t="n"/>
      <c r="U105" s="4" t="n"/>
      <c r="V105" s="19" t="n"/>
      <c r="W105" s="4" t="n"/>
      <c r="X105" s="19" t="n"/>
      <c r="Y105" s="4" t="n"/>
      <c r="Z105" s="19" t="n"/>
      <c r="AA105" s="4" t="n"/>
      <c r="AB105" s="19" t="n"/>
      <c r="AC105" s="5">
        <f>_xlfn.TEXTJOIN(CHAR(10),TRUE,IF(Q105="","","• "&amp;Q105&amp;IF(R105="Yes","  [IPL]","")),IF(S105="","","• "&amp;S105&amp;IF(T105="Yes","  [IPL]","")),IF(U105="","","• "&amp;U105&amp;IF(V105="Yes","  [IPL]","")),IF(W105="","","• "&amp;W105&amp;IF(X105="Yes","  [IPL]","")),IF(Y105="","","• "&amp;Y105&amp;IF(Z105="Yes","  [IPL]","")),IF(AA105="","","• "&amp;AA105&amp;IF(AB105="Yes","  [IPL]","")))</f>
        <v/>
      </c>
      <c r="AD105" s="30">
        <f>IF(AC105="","",COUNTIF(Q105:AB105,"Yes"))</f>
        <v/>
      </c>
      <c r="AE105" s="19" t="n"/>
      <c r="AF105" s="19" t="n"/>
      <c r="AG105" s="30">
        <f>IF(OR(AE105="",AF105=""),"",INDEX(RiskGrid,6-VALUE(LEFT(AE105,1)),VALUE(LEFT(AF105,1))))</f>
        <v/>
      </c>
      <c r="AH105" s="30">
        <f>IF(AG105="","",IF(AG105&gt;=BandVH,"Very High",IF(AG105&gt;=BandHigh,"High",IF(AG105&gt;=BandMed,"Medium","Low"))))</f>
        <v/>
      </c>
      <c r="AI105" s="4" t="n"/>
      <c r="AJ105" s="4" t="n"/>
    </row>
    <row r="106">
      <c r="A106" s="30">
        <f>IF(B106="","",COUNTIF(B$14:B106,"?*"))</f>
        <v/>
      </c>
      <c r="B106" s="4" t="n"/>
      <c r="C106" s="19" t="n"/>
      <c r="D106" s="5">
        <f>IF(OR(B106="",C106=""),"",UPPER(LEFT(C106,1))&amp;LOWER(MID(C106,2,30))&amp;" "&amp;LOWER(LEFT(B106,1))&amp;MID(B106,2,200))</f>
        <v/>
      </c>
      <c r="E106" s="4" t="n"/>
      <c r="F106" s="4" t="n"/>
      <c r="G106" s="4" t="n"/>
      <c r="H106" s="4" t="n"/>
      <c r="I106" s="4" t="n"/>
      <c r="J106" s="4" t="n"/>
      <c r="K106" s="5">
        <f>_xlfn.TEXTJOIN(CHAR(10),TRUE,IF(E106="","","• "&amp;E106),IF(F106="","","• "&amp;F106),IF(G106="","","• "&amp;G106),IF(H106="","","• "&amp;H106),IF(I106="","","• "&amp;I106),IF(J106="","","• "&amp;J106))</f>
        <v/>
      </c>
      <c r="L106" s="4" t="n"/>
      <c r="M106" s="19" t="n"/>
      <c r="N106" s="19" t="n"/>
      <c r="O106" s="30">
        <f>IF(OR(M106="",N106=""),"",INDEX(RiskGrid,6-VALUE(LEFT(M106,1)),VALUE(LEFT(N106,1))))</f>
        <v/>
      </c>
      <c r="P106" s="30">
        <f>IF(O106="","",IF(O106&gt;=BandVH,"Very High",IF(O106&gt;=BandHigh,"High",IF(O106&gt;=BandMed,"Medium","Low"))))</f>
        <v/>
      </c>
      <c r="Q106" s="4" t="n"/>
      <c r="R106" s="19" t="n"/>
      <c r="S106" s="4" t="n"/>
      <c r="T106" s="19" t="n"/>
      <c r="U106" s="4" t="n"/>
      <c r="V106" s="19" t="n"/>
      <c r="W106" s="4" t="n"/>
      <c r="X106" s="19" t="n"/>
      <c r="Y106" s="4" t="n"/>
      <c r="Z106" s="19" t="n"/>
      <c r="AA106" s="4" t="n"/>
      <c r="AB106" s="19" t="n"/>
      <c r="AC106" s="5">
        <f>_xlfn.TEXTJOIN(CHAR(10),TRUE,IF(Q106="","","• "&amp;Q106&amp;IF(R106="Yes","  [IPL]","")),IF(S106="","","• "&amp;S106&amp;IF(T106="Yes","  [IPL]","")),IF(U106="","","• "&amp;U106&amp;IF(V106="Yes","  [IPL]","")),IF(W106="","","• "&amp;W106&amp;IF(X106="Yes","  [IPL]","")),IF(Y106="","","• "&amp;Y106&amp;IF(Z106="Yes","  [IPL]","")),IF(AA106="","","• "&amp;AA106&amp;IF(AB106="Yes","  [IPL]","")))</f>
        <v/>
      </c>
      <c r="AD106" s="30">
        <f>IF(AC106="","",COUNTIF(Q106:AB106,"Yes"))</f>
        <v/>
      </c>
      <c r="AE106" s="19" t="n"/>
      <c r="AF106" s="19" t="n"/>
      <c r="AG106" s="30">
        <f>IF(OR(AE106="",AF106=""),"",INDEX(RiskGrid,6-VALUE(LEFT(AE106,1)),VALUE(LEFT(AF106,1))))</f>
        <v/>
      </c>
      <c r="AH106" s="30">
        <f>IF(AG106="","",IF(AG106&gt;=BandVH,"Very High",IF(AG106&gt;=BandHigh,"High",IF(AG106&gt;=BandMed,"Medium","Low"))))</f>
        <v/>
      </c>
      <c r="AI106" s="4" t="n"/>
      <c r="AJ106" s="4" t="n"/>
    </row>
    <row r="107">
      <c r="A107" s="30">
        <f>IF(B107="","",COUNTIF(B$14:B107,"?*"))</f>
        <v/>
      </c>
      <c r="B107" s="4" t="n"/>
      <c r="C107" s="19" t="n"/>
      <c r="D107" s="5">
        <f>IF(OR(B107="",C107=""),"",UPPER(LEFT(C107,1))&amp;LOWER(MID(C107,2,30))&amp;" "&amp;LOWER(LEFT(B107,1))&amp;MID(B107,2,200))</f>
        <v/>
      </c>
      <c r="E107" s="4" t="n"/>
      <c r="F107" s="4" t="n"/>
      <c r="G107" s="4" t="n"/>
      <c r="H107" s="4" t="n"/>
      <c r="I107" s="4" t="n"/>
      <c r="J107" s="4" t="n"/>
      <c r="K107" s="5">
        <f>_xlfn.TEXTJOIN(CHAR(10),TRUE,IF(E107="","","• "&amp;E107),IF(F107="","","• "&amp;F107),IF(G107="","","• "&amp;G107),IF(H107="","","• "&amp;H107),IF(I107="","","• "&amp;I107),IF(J107="","","• "&amp;J107))</f>
        <v/>
      </c>
      <c r="L107" s="4" t="n"/>
      <c r="M107" s="19" t="n"/>
      <c r="N107" s="19" t="n"/>
      <c r="O107" s="30">
        <f>IF(OR(M107="",N107=""),"",INDEX(RiskGrid,6-VALUE(LEFT(M107,1)),VALUE(LEFT(N107,1))))</f>
        <v/>
      </c>
      <c r="P107" s="30">
        <f>IF(O107="","",IF(O107&gt;=BandVH,"Very High",IF(O107&gt;=BandHigh,"High",IF(O107&gt;=BandMed,"Medium","Low"))))</f>
        <v/>
      </c>
      <c r="Q107" s="4" t="n"/>
      <c r="R107" s="19" t="n"/>
      <c r="S107" s="4" t="n"/>
      <c r="T107" s="19" t="n"/>
      <c r="U107" s="4" t="n"/>
      <c r="V107" s="19" t="n"/>
      <c r="W107" s="4" t="n"/>
      <c r="X107" s="19" t="n"/>
      <c r="Y107" s="4" t="n"/>
      <c r="Z107" s="19" t="n"/>
      <c r="AA107" s="4" t="n"/>
      <c r="AB107" s="19" t="n"/>
      <c r="AC107" s="5">
        <f>_xlfn.TEXTJOIN(CHAR(10),TRUE,IF(Q107="","","• "&amp;Q107&amp;IF(R107="Yes","  [IPL]","")),IF(S107="","","• "&amp;S107&amp;IF(T107="Yes","  [IPL]","")),IF(U107="","","• "&amp;U107&amp;IF(V107="Yes","  [IPL]","")),IF(W107="","","• "&amp;W107&amp;IF(X107="Yes","  [IPL]","")),IF(Y107="","","• "&amp;Y107&amp;IF(Z107="Yes","  [IPL]","")),IF(AA107="","","• "&amp;AA107&amp;IF(AB107="Yes","  [IPL]","")))</f>
        <v/>
      </c>
      <c r="AD107" s="30">
        <f>IF(AC107="","",COUNTIF(Q107:AB107,"Yes"))</f>
        <v/>
      </c>
      <c r="AE107" s="19" t="n"/>
      <c r="AF107" s="19" t="n"/>
      <c r="AG107" s="30">
        <f>IF(OR(AE107="",AF107=""),"",INDEX(RiskGrid,6-VALUE(LEFT(AE107,1)),VALUE(LEFT(AF107,1))))</f>
        <v/>
      </c>
      <c r="AH107" s="30">
        <f>IF(AG107="","",IF(AG107&gt;=BandVH,"Very High",IF(AG107&gt;=BandHigh,"High",IF(AG107&gt;=BandMed,"Medium","Low"))))</f>
        <v/>
      </c>
      <c r="AI107" s="4" t="n"/>
      <c r="AJ107" s="4" t="n"/>
    </row>
    <row r="108">
      <c r="A108" s="30">
        <f>IF(B108="","",COUNTIF(B$14:B108,"?*"))</f>
        <v/>
      </c>
      <c r="B108" s="4" t="n"/>
      <c r="C108" s="19" t="n"/>
      <c r="D108" s="5">
        <f>IF(OR(B108="",C108=""),"",UPPER(LEFT(C108,1))&amp;LOWER(MID(C108,2,30))&amp;" "&amp;LOWER(LEFT(B108,1))&amp;MID(B108,2,200))</f>
        <v/>
      </c>
      <c r="E108" s="4" t="n"/>
      <c r="F108" s="4" t="n"/>
      <c r="G108" s="4" t="n"/>
      <c r="H108" s="4" t="n"/>
      <c r="I108" s="4" t="n"/>
      <c r="J108" s="4" t="n"/>
      <c r="K108" s="5">
        <f>_xlfn.TEXTJOIN(CHAR(10),TRUE,IF(E108="","","• "&amp;E108),IF(F108="","","• "&amp;F108),IF(G108="","","• "&amp;G108),IF(H108="","","• "&amp;H108),IF(I108="","","• "&amp;I108),IF(J108="","","• "&amp;J108))</f>
        <v/>
      </c>
      <c r="L108" s="4" t="n"/>
      <c r="M108" s="19" t="n"/>
      <c r="N108" s="19" t="n"/>
      <c r="O108" s="30">
        <f>IF(OR(M108="",N108=""),"",INDEX(RiskGrid,6-VALUE(LEFT(M108,1)),VALUE(LEFT(N108,1))))</f>
        <v/>
      </c>
      <c r="P108" s="30">
        <f>IF(O108="","",IF(O108&gt;=BandVH,"Very High",IF(O108&gt;=BandHigh,"High",IF(O108&gt;=BandMed,"Medium","Low"))))</f>
        <v/>
      </c>
      <c r="Q108" s="4" t="n"/>
      <c r="R108" s="19" t="n"/>
      <c r="S108" s="4" t="n"/>
      <c r="T108" s="19" t="n"/>
      <c r="U108" s="4" t="n"/>
      <c r="V108" s="19" t="n"/>
      <c r="W108" s="4" t="n"/>
      <c r="X108" s="19" t="n"/>
      <c r="Y108" s="4" t="n"/>
      <c r="Z108" s="19" t="n"/>
      <c r="AA108" s="4" t="n"/>
      <c r="AB108" s="19" t="n"/>
      <c r="AC108" s="5">
        <f>_xlfn.TEXTJOIN(CHAR(10),TRUE,IF(Q108="","","• "&amp;Q108&amp;IF(R108="Yes","  [IPL]","")),IF(S108="","","• "&amp;S108&amp;IF(T108="Yes","  [IPL]","")),IF(U108="","","• "&amp;U108&amp;IF(V108="Yes","  [IPL]","")),IF(W108="","","• "&amp;W108&amp;IF(X108="Yes","  [IPL]","")),IF(Y108="","","• "&amp;Y108&amp;IF(Z108="Yes","  [IPL]","")),IF(AA108="","","• "&amp;AA108&amp;IF(AB108="Yes","  [IPL]","")))</f>
        <v/>
      </c>
      <c r="AD108" s="30">
        <f>IF(AC108="","",COUNTIF(Q108:AB108,"Yes"))</f>
        <v/>
      </c>
      <c r="AE108" s="19" t="n"/>
      <c r="AF108" s="19" t="n"/>
      <c r="AG108" s="30">
        <f>IF(OR(AE108="",AF108=""),"",INDEX(RiskGrid,6-VALUE(LEFT(AE108,1)),VALUE(LEFT(AF108,1))))</f>
        <v/>
      </c>
      <c r="AH108" s="30">
        <f>IF(AG108="","",IF(AG108&gt;=BandVH,"Very High",IF(AG108&gt;=BandHigh,"High",IF(AG108&gt;=BandMed,"Medium","Low"))))</f>
        <v/>
      </c>
      <c r="AI108" s="4" t="n"/>
      <c r="AJ108" s="4" t="n"/>
    </row>
    <row r="109">
      <c r="A109" s="30">
        <f>IF(B109="","",COUNTIF(B$14:B109,"?*"))</f>
        <v/>
      </c>
      <c r="B109" s="4" t="n"/>
      <c r="C109" s="19" t="n"/>
      <c r="D109" s="5">
        <f>IF(OR(B109="",C109=""),"",UPPER(LEFT(C109,1))&amp;LOWER(MID(C109,2,30))&amp;" "&amp;LOWER(LEFT(B109,1))&amp;MID(B109,2,200))</f>
        <v/>
      </c>
      <c r="E109" s="4" t="n"/>
      <c r="F109" s="4" t="n"/>
      <c r="G109" s="4" t="n"/>
      <c r="H109" s="4" t="n"/>
      <c r="I109" s="4" t="n"/>
      <c r="J109" s="4" t="n"/>
      <c r="K109" s="5">
        <f>_xlfn.TEXTJOIN(CHAR(10),TRUE,IF(E109="","","• "&amp;E109),IF(F109="","","• "&amp;F109),IF(G109="","","• "&amp;G109),IF(H109="","","• "&amp;H109),IF(I109="","","• "&amp;I109),IF(J109="","","• "&amp;J109))</f>
        <v/>
      </c>
      <c r="L109" s="4" t="n"/>
      <c r="M109" s="19" t="n"/>
      <c r="N109" s="19" t="n"/>
      <c r="O109" s="30">
        <f>IF(OR(M109="",N109=""),"",INDEX(RiskGrid,6-VALUE(LEFT(M109,1)),VALUE(LEFT(N109,1))))</f>
        <v/>
      </c>
      <c r="P109" s="30">
        <f>IF(O109="","",IF(O109&gt;=BandVH,"Very High",IF(O109&gt;=BandHigh,"High",IF(O109&gt;=BandMed,"Medium","Low"))))</f>
        <v/>
      </c>
      <c r="Q109" s="4" t="n"/>
      <c r="R109" s="19" t="n"/>
      <c r="S109" s="4" t="n"/>
      <c r="T109" s="19" t="n"/>
      <c r="U109" s="4" t="n"/>
      <c r="V109" s="19" t="n"/>
      <c r="W109" s="4" t="n"/>
      <c r="X109" s="19" t="n"/>
      <c r="Y109" s="4" t="n"/>
      <c r="Z109" s="19" t="n"/>
      <c r="AA109" s="4" t="n"/>
      <c r="AB109" s="19" t="n"/>
      <c r="AC109" s="5">
        <f>_xlfn.TEXTJOIN(CHAR(10),TRUE,IF(Q109="","","• "&amp;Q109&amp;IF(R109="Yes","  [IPL]","")),IF(S109="","","• "&amp;S109&amp;IF(T109="Yes","  [IPL]","")),IF(U109="","","• "&amp;U109&amp;IF(V109="Yes","  [IPL]","")),IF(W109="","","• "&amp;W109&amp;IF(X109="Yes","  [IPL]","")),IF(Y109="","","• "&amp;Y109&amp;IF(Z109="Yes","  [IPL]","")),IF(AA109="","","• "&amp;AA109&amp;IF(AB109="Yes","  [IPL]","")))</f>
        <v/>
      </c>
      <c r="AD109" s="30">
        <f>IF(AC109="","",COUNTIF(Q109:AB109,"Yes"))</f>
        <v/>
      </c>
      <c r="AE109" s="19" t="n"/>
      <c r="AF109" s="19" t="n"/>
      <c r="AG109" s="30">
        <f>IF(OR(AE109="",AF109=""),"",INDEX(RiskGrid,6-VALUE(LEFT(AE109,1)),VALUE(LEFT(AF109,1))))</f>
        <v/>
      </c>
      <c r="AH109" s="30">
        <f>IF(AG109="","",IF(AG109&gt;=BandVH,"Very High",IF(AG109&gt;=BandHigh,"High",IF(AG109&gt;=BandMed,"Medium","Low"))))</f>
        <v/>
      </c>
      <c r="AI109" s="4" t="n"/>
      <c r="AJ109" s="4" t="n"/>
    </row>
    <row r="110">
      <c r="A110" s="30">
        <f>IF(B110="","",COUNTIF(B$14:B110,"?*"))</f>
        <v/>
      </c>
      <c r="B110" s="4" t="n"/>
      <c r="C110" s="19" t="n"/>
      <c r="D110" s="5">
        <f>IF(OR(B110="",C110=""),"",UPPER(LEFT(C110,1))&amp;LOWER(MID(C110,2,30))&amp;" "&amp;LOWER(LEFT(B110,1))&amp;MID(B110,2,200))</f>
        <v/>
      </c>
      <c r="E110" s="4" t="n"/>
      <c r="F110" s="4" t="n"/>
      <c r="G110" s="4" t="n"/>
      <c r="H110" s="4" t="n"/>
      <c r="I110" s="4" t="n"/>
      <c r="J110" s="4" t="n"/>
      <c r="K110" s="5">
        <f>_xlfn.TEXTJOIN(CHAR(10),TRUE,IF(E110="","","• "&amp;E110),IF(F110="","","• "&amp;F110),IF(G110="","","• "&amp;G110),IF(H110="","","• "&amp;H110),IF(I110="","","• "&amp;I110),IF(J110="","","• "&amp;J110))</f>
        <v/>
      </c>
      <c r="L110" s="4" t="n"/>
      <c r="M110" s="19" t="n"/>
      <c r="N110" s="19" t="n"/>
      <c r="O110" s="30">
        <f>IF(OR(M110="",N110=""),"",INDEX(RiskGrid,6-VALUE(LEFT(M110,1)),VALUE(LEFT(N110,1))))</f>
        <v/>
      </c>
      <c r="P110" s="30">
        <f>IF(O110="","",IF(O110&gt;=BandVH,"Very High",IF(O110&gt;=BandHigh,"High",IF(O110&gt;=BandMed,"Medium","Low"))))</f>
        <v/>
      </c>
      <c r="Q110" s="4" t="n"/>
      <c r="R110" s="19" t="n"/>
      <c r="S110" s="4" t="n"/>
      <c r="T110" s="19" t="n"/>
      <c r="U110" s="4" t="n"/>
      <c r="V110" s="19" t="n"/>
      <c r="W110" s="4" t="n"/>
      <c r="X110" s="19" t="n"/>
      <c r="Y110" s="4" t="n"/>
      <c r="Z110" s="19" t="n"/>
      <c r="AA110" s="4" t="n"/>
      <c r="AB110" s="19" t="n"/>
      <c r="AC110" s="5">
        <f>_xlfn.TEXTJOIN(CHAR(10),TRUE,IF(Q110="","","• "&amp;Q110&amp;IF(R110="Yes","  [IPL]","")),IF(S110="","","• "&amp;S110&amp;IF(T110="Yes","  [IPL]","")),IF(U110="","","• "&amp;U110&amp;IF(V110="Yes","  [IPL]","")),IF(W110="","","• "&amp;W110&amp;IF(X110="Yes","  [IPL]","")),IF(Y110="","","• "&amp;Y110&amp;IF(Z110="Yes","  [IPL]","")),IF(AA110="","","• "&amp;AA110&amp;IF(AB110="Yes","  [IPL]","")))</f>
        <v/>
      </c>
      <c r="AD110" s="30">
        <f>IF(AC110="","",COUNTIF(Q110:AB110,"Yes"))</f>
        <v/>
      </c>
      <c r="AE110" s="19" t="n"/>
      <c r="AF110" s="19" t="n"/>
      <c r="AG110" s="30">
        <f>IF(OR(AE110="",AF110=""),"",INDEX(RiskGrid,6-VALUE(LEFT(AE110,1)),VALUE(LEFT(AF110,1))))</f>
        <v/>
      </c>
      <c r="AH110" s="30">
        <f>IF(AG110="","",IF(AG110&gt;=BandVH,"Very High",IF(AG110&gt;=BandHigh,"High",IF(AG110&gt;=BandMed,"Medium","Low"))))</f>
        <v/>
      </c>
      <c r="AI110" s="4" t="n"/>
      <c r="AJ110" s="4" t="n"/>
    </row>
    <row r="111">
      <c r="A111" s="30">
        <f>IF(B111="","",COUNTIF(B$14:B111,"?*"))</f>
        <v/>
      </c>
      <c r="B111" s="4" t="n"/>
      <c r="C111" s="19" t="n"/>
      <c r="D111" s="5">
        <f>IF(OR(B111="",C111=""),"",UPPER(LEFT(C111,1))&amp;LOWER(MID(C111,2,30))&amp;" "&amp;LOWER(LEFT(B111,1))&amp;MID(B111,2,200))</f>
        <v/>
      </c>
      <c r="E111" s="4" t="n"/>
      <c r="F111" s="4" t="n"/>
      <c r="G111" s="4" t="n"/>
      <c r="H111" s="4" t="n"/>
      <c r="I111" s="4" t="n"/>
      <c r="J111" s="4" t="n"/>
      <c r="K111" s="5">
        <f>_xlfn.TEXTJOIN(CHAR(10),TRUE,IF(E111="","","• "&amp;E111),IF(F111="","","• "&amp;F111),IF(G111="","","• "&amp;G111),IF(H111="","","• "&amp;H111),IF(I111="","","• "&amp;I111),IF(J111="","","• "&amp;J111))</f>
        <v/>
      </c>
      <c r="L111" s="4" t="n"/>
      <c r="M111" s="19" t="n"/>
      <c r="N111" s="19" t="n"/>
      <c r="O111" s="30">
        <f>IF(OR(M111="",N111=""),"",INDEX(RiskGrid,6-VALUE(LEFT(M111,1)),VALUE(LEFT(N111,1))))</f>
        <v/>
      </c>
      <c r="P111" s="30">
        <f>IF(O111="","",IF(O111&gt;=BandVH,"Very High",IF(O111&gt;=BandHigh,"High",IF(O111&gt;=BandMed,"Medium","Low"))))</f>
        <v/>
      </c>
      <c r="Q111" s="4" t="n"/>
      <c r="R111" s="19" t="n"/>
      <c r="S111" s="4" t="n"/>
      <c r="T111" s="19" t="n"/>
      <c r="U111" s="4" t="n"/>
      <c r="V111" s="19" t="n"/>
      <c r="W111" s="4" t="n"/>
      <c r="X111" s="19" t="n"/>
      <c r="Y111" s="4" t="n"/>
      <c r="Z111" s="19" t="n"/>
      <c r="AA111" s="4" t="n"/>
      <c r="AB111" s="19" t="n"/>
      <c r="AC111" s="5">
        <f>_xlfn.TEXTJOIN(CHAR(10),TRUE,IF(Q111="","","• "&amp;Q111&amp;IF(R111="Yes","  [IPL]","")),IF(S111="","","• "&amp;S111&amp;IF(T111="Yes","  [IPL]","")),IF(U111="","","• "&amp;U111&amp;IF(V111="Yes","  [IPL]","")),IF(W111="","","• "&amp;W111&amp;IF(X111="Yes","  [IPL]","")),IF(Y111="","","• "&amp;Y111&amp;IF(Z111="Yes","  [IPL]","")),IF(AA111="","","• "&amp;AA111&amp;IF(AB111="Yes","  [IPL]","")))</f>
        <v/>
      </c>
      <c r="AD111" s="30">
        <f>IF(AC111="","",COUNTIF(Q111:AB111,"Yes"))</f>
        <v/>
      </c>
      <c r="AE111" s="19" t="n"/>
      <c r="AF111" s="19" t="n"/>
      <c r="AG111" s="30">
        <f>IF(OR(AE111="",AF111=""),"",INDEX(RiskGrid,6-VALUE(LEFT(AE111,1)),VALUE(LEFT(AF111,1))))</f>
        <v/>
      </c>
      <c r="AH111" s="30">
        <f>IF(AG111="","",IF(AG111&gt;=BandVH,"Very High",IF(AG111&gt;=BandHigh,"High",IF(AG111&gt;=BandMed,"Medium","Low"))))</f>
        <v/>
      </c>
      <c r="AI111" s="4" t="n"/>
      <c r="AJ111" s="4" t="n"/>
    </row>
    <row r="112">
      <c r="A112" s="30">
        <f>IF(B112="","",COUNTIF(B$14:B112,"?*"))</f>
        <v/>
      </c>
      <c r="B112" s="4" t="n"/>
      <c r="C112" s="19" t="n"/>
      <c r="D112" s="5">
        <f>IF(OR(B112="",C112=""),"",UPPER(LEFT(C112,1))&amp;LOWER(MID(C112,2,30))&amp;" "&amp;LOWER(LEFT(B112,1))&amp;MID(B112,2,200))</f>
        <v/>
      </c>
      <c r="E112" s="4" t="n"/>
      <c r="F112" s="4" t="n"/>
      <c r="G112" s="4" t="n"/>
      <c r="H112" s="4" t="n"/>
      <c r="I112" s="4" t="n"/>
      <c r="J112" s="4" t="n"/>
      <c r="K112" s="5">
        <f>_xlfn.TEXTJOIN(CHAR(10),TRUE,IF(E112="","","• "&amp;E112),IF(F112="","","• "&amp;F112),IF(G112="","","• "&amp;G112),IF(H112="","","• "&amp;H112),IF(I112="","","• "&amp;I112),IF(J112="","","• "&amp;J112))</f>
        <v/>
      </c>
      <c r="L112" s="4" t="n"/>
      <c r="M112" s="19" t="n"/>
      <c r="N112" s="19" t="n"/>
      <c r="O112" s="30">
        <f>IF(OR(M112="",N112=""),"",INDEX(RiskGrid,6-VALUE(LEFT(M112,1)),VALUE(LEFT(N112,1))))</f>
        <v/>
      </c>
      <c r="P112" s="30">
        <f>IF(O112="","",IF(O112&gt;=BandVH,"Very High",IF(O112&gt;=BandHigh,"High",IF(O112&gt;=BandMed,"Medium","Low"))))</f>
        <v/>
      </c>
      <c r="Q112" s="4" t="n"/>
      <c r="R112" s="19" t="n"/>
      <c r="S112" s="4" t="n"/>
      <c r="T112" s="19" t="n"/>
      <c r="U112" s="4" t="n"/>
      <c r="V112" s="19" t="n"/>
      <c r="W112" s="4" t="n"/>
      <c r="X112" s="19" t="n"/>
      <c r="Y112" s="4" t="n"/>
      <c r="Z112" s="19" t="n"/>
      <c r="AA112" s="4" t="n"/>
      <c r="AB112" s="19" t="n"/>
      <c r="AC112" s="5">
        <f>_xlfn.TEXTJOIN(CHAR(10),TRUE,IF(Q112="","","• "&amp;Q112&amp;IF(R112="Yes","  [IPL]","")),IF(S112="","","• "&amp;S112&amp;IF(T112="Yes","  [IPL]","")),IF(U112="","","• "&amp;U112&amp;IF(V112="Yes","  [IPL]","")),IF(W112="","","• "&amp;W112&amp;IF(X112="Yes","  [IPL]","")),IF(Y112="","","• "&amp;Y112&amp;IF(Z112="Yes","  [IPL]","")),IF(AA112="","","• "&amp;AA112&amp;IF(AB112="Yes","  [IPL]","")))</f>
        <v/>
      </c>
      <c r="AD112" s="30">
        <f>IF(AC112="","",COUNTIF(Q112:AB112,"Yes"))</f>
        <v/>
      </c>
      <c r="AE112" s="19" t="n"/>
      <c r="AF112" s="19" t="n"/>
      <c r="AG112" s="30">
        <f>IF(OR(AE112="",AF112=""),"",INDEX(RiskGrid,6-VALUE(LEFT(AE112,1)),VALUE(LEFT(AF112,1))))</f>
        <v/>
      </c>
      <c r="AH112" s="30">
        <f>IF(AG112="","",IF(AG112&gt;=BandVH,"Very High",IF(AG112&gt;=BandHigh,"High",IF(AG112&gt;=BandMed,"Medium","Low"))))</f>
        <v/>
      </c>
      <c r="AI112" s="4" t="n"/>
      <c r="AJ112" s="4" t="n"/>
    </row>
    <row r="113">
      <c r="A113" s="30">
        <f>IF(B113="","",COUNTIF(B$14:B113,"?*"))</f>
        <v/>
      </c>
      <c r="B113" s="4" t="n"/>
      <c r="C113" s="19" t="n"/>
      <c r="D113" s="5">
        <f>IF(OR(B113="",C113=""),"",UPPER(LEFT(C113,1))&amp;LOWER(MID(C113,2,30))&amp;" "&amp;LOWER(LEFT(B113,1))&amp;MID(B113,2,200))</f>
        <v/>
      </c>
      <c r="E113" s="4" t="n"/>
      <c r="F113" s="4" t="n"/>
      <c r="G113" s="4" t="n"/>
      <c r="H113" s="4" t="n"/>
      <c r="I113" s="4" t="n"/>
      <c r="J113" s="4" t="n"/>
      <c r="K113" s="5">
        <f>_xlfn.TEXTJOIN(CHAR(10),TRUE,IF(E113="","","• "&amp;E113),IF(F113="","","• "&amp;F113),IF(G113="","","• "&amp;G113),IF(H113="","","• "&amp;H113),IF(I113="","","• "&amp;I113),IF(J113="","","• "&amp;J113))</f>
        <v/>
      </c>
      <c r="L113" s="4" t="n"/>
      <c r="M113" s="19" t="n"/>
      <c r="N113" s="19" t="n"/>
      <c r="O113" s="30">
        <f>IF(OR(M113="",N113=""),"",INDEX(RiskGrid,6-VALUE(LEFT(M113,1)),VALUE(LEFT(N113,1))))</f>
        <v/>
      </c>
      <c r="P113" s="30">
        <f>IF(O113="","",IF(O113&gt;=BandVH,"Very High",IF(O113&gt;=BandHigh,"High",IF(O113&gt;=BandMed,"Medium","Low"))))</f>
        <v/>
      </c>
      <c r="Q113" s="4" t="n"/>
      <c r="R113" s="19" t="n"/>
      <c r="S113" s="4" t="n"/>
      <c r="T113" s="19" t="n"/>
      <c r="U113" s="4" t="n"/>
      <c r="V113" s="19" t="n"/>
      <c r="W113" s="4" t="n"/>
      <c r="X113" s="19" t="n"/>
      <c r="Y113" s="4" t="n"/>
      <c r="Z113" s="19" t="n"/>
      <c r="AA113" s="4" t="n"/>
      <c r="AB113" s="19" t="n"/>
      <c r="AC113" s="5">
        <f>_xlfn.TEXTJOIN(CHAR(10),TRUE,IF(Q113="","","• "&amp;Q113&amp;IF(R113="Yes","  [IPL]","")),IF(S113="","","• "&amp;S113&amp;IF(T113="Yes","  [IPL]","")),IF(U113="","","• "&amp;U113&amp;IF(V113="Yes","  [IPL]","")),IF(W113="","","• "&amp;W113&amp;IF(X113="Yes","  [IPL]","")),IF(Y113="","","• "&amp;Y113&amp;IF(Z113="Yes","  [IPL]","")),IF(AA113="","","• "&amp;AA113&amp;IF(AB113="Yes","  [IPL]","")))</f>
        <v/>
      </c>
      <c r="AD113" s="30">
        <f>IF(AC113="","",COUNTIF(Q113:AB113,"Yes"))</f>
        <v/>
      </c>
      <c r="AE113" s="19" t="n"/>
      <c r="AF113" s="19" t="n"/>
      <c r="AG113" s="30">
        <f>IF(OR(AE113="",AF113=""),"",INDEX(RiskGrid,6-VALUE(LEFT(AE113,1)),VALUE(LEFT(AF113,1))))</f>
        <v/>
      </c>
      <c r="AH113" s="30">
        <f>IF(AG113="","",IF(AG113&gt;=BandVH,"Very High",IF(AG113&gt;=BandHigh,"High",IF(AG113&gt;=BandMed,"Medium","Low"))))</f>
        <v/>
      </c>
      <c r="AI113" s="4" t="n"/>
      <c r="AJ113" s="4" t="n"/>
    </row>
  </sheetData>
  <mergeCells count="24">
    <mergeCell ref="A3:C3"/>
    <mergeCell ref="AC12:AD12"/>
    <mergeCell ref="D7:L7"/>
    <mergeCell ref="N3:O3"/>
    <mergeCell ref="A5:C5"/>
    <mergeCell ref="A8:C8"/>
    <mergeCell ref="D4:L4"/>
    <mergeCell ref="D3:L3"/>
    <mergeCell ref="D9:L9"/>
    <mergeCell ref="A4:C4"/>
    <mergeCell ref="D8:L8"/>
    <mergeCell ref="K12:L12"/>
    <mergeCell ref="D5:L5"/>
    <mergeCell ref="A9:C9"/>
    <mergeCell ref="AE12:AH12"/>
    <mergeCell ref="E12:J12"/>
    <mergeCell ref="Q12:AB12"/>
    <mergeCell ref="AI12:AJ12"/>
    <mergeCell ref="A11:L11"/>
    <mergeCell ref="A12:D12"/>
    <mergeCell ref="A6:C6"/>
    <mergeCell ref="M12:P12"/>
    <mergeCell ref="A7:C7"/>
    <mergeCell ref="D6:L6"/>
  </mergeCells>
  <conditionalFormatting sqref="O14:P113">
    <cfRule type="expression" priority="1" dxfId="0">
      <formula>$P14="Very High"</formula>
    </cfRule>
    <cfRule type="expression" priority="3" dxfId="1">
      <formula>$P14="High"</formula>
    </cfRule>
    <cfRule type="expression" priority="5" dxfId="2">
      <formula>$P14="Medium"</formula>
    </cfRule>
    <cfRule type="expression" priority="7" dxfId="3">
      <formula>$P14="Low"</formula>
    </cfRule>
  </conditionalFormatting>
  <conditionalFormatting sqref="AG14:AH113">
    <cfRule type="expression" priority="2" dxfId="0">
      <formula>$AH14="Very High"</formula>
    </cfRule>
    <cfRule type="expression" priority="4" dxfId="1">
      <formula>$AH14="High"</formula>
    </cfRule>
    <cfRule type="expression" priority="6" dxfId="2">
      <formula>$AH14="Medium"</formula>
    </cfRule>
    <cfRule type="expression" priority="8" dxfId="3">
      <formula>$AH14="Low"</formula>
    </cfRule>
  </conditionalFormatting>
  <dataValidations count="9">
    <dataValidation sqref="D3" showDropDown="0" showInputMessage="1" showErrorMessage="1" allowBlank="1" promptTitle="Select" prompt="Choose the node studied on this sheet" type="list">
      <formula1>=NodeList</formula1>
    </dataValidation>
    <dataValidation sqref="B14:B113" showDropDown="0" showInputMessage="1" showErrorMessage="1" allowBlank="1" promptTitle="Select" prompt="Parameter (from Lists)" type="list">
      <formula1>=ParamList</formula1>
    </dataValidation>
    <dataValidation sqref="C14:C113" showDropDown="0" showInputMessage="1" showErrorMessage="1" allowBlank="1" promptTitle="Select" prompt="Guidewords valid for this parameter" type="list">
      <formula1>=OFFSET(GWStart,MATCH($B14,GWParam,0)-1,0,COUNTIF(GWParam,$B14),1)</formula1>
    </dataValidation>
    <dataValidation sqref="E14:J113" showDropDown="0" showInputMessage="1" showErrorMessage="1" allowBlank="1" errorTitle="Not in list" error="Entry is not in the list – it will be accepted as free text." promptTitle="Select" prompt="Pick a cause for this deviation, or type your own." type="list" errorStyle="information">
      <formula1>=OFFSET(CauseStart,MATCH($B14&amp;"|"&amp;$C14,CauseKey,0)-1,0,MAX(1,COUNTIF(CauseKey,$B14&amp;"|"&amp;$C14)),1)</formula1>
    </dataValidation>
    <dataValidation sqref="M14:M113" showDropDown="0" showInputMessage="0" showErrorMessage="1" allowBlank="1" type="list">
      <formula1>=SevList</formula1>
    </dataValidation>
    <dataValidation sqref="N14:N113" showDropDown="0" showInputMessage="0" showErrorMessage="1" allowBlank="1" type="list">
      <formula1>=LikList</formula1>
    </dataValidation>
    <dataValidation sqref="AE14:AE113" showDropDown="0" showInputMessage="0" showErrorMessage="1" allowBlank="1" type="list">
      <formula1>=SevList</formula1>
    </dataValidation>
    <dataValidation sqref="AF14:AF113" showDropDown="0" showInputMessage="0" showErrorMessage="1" allowBlank="1" type="list">
      <formula1>=LikList</formula1>
    </dataValidation>
    <dataValidation sqref="R14:R113 T14:T113 V14:V113 X14:X113 Z14:Z113 AB14:AB113" showDropDown="0" showInputMessage="1" showErrorMessage="0" allowBlank="1" promptTitle="IPL?" prompt="Is this safeguard an Independent Protection Layer?" type="list">
      <formula1>=IPLList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M113"/>
  <sheetViews>
    <sheetView workbookViewId="0">
      <pane xSplit="4" ySplit="13" topLeftCell="E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4" customWidth="1" min="4" max="4"/>
    <col outlineLevel="1" width="26" customWidth="1" min="5" max="10"/>
    <col width="48" customWidth="1" min="11" max="11"/>
    <col width="42" customWidth="1" min="12" max="12"/>
    <col width="13" customWidth="1" min="13" max="13"/>
    <col width="13" customWidth="1" min="14" max="14"/>
    <col width="7" customWidth="1" min="15" max="15"/>
    <col width="10" customWidth="1" min="16" max="16"/>
    <col outlineLevel="1" width="28" customWidth="1" min="17" max="28"/>
    <col width="48" customWidth="1" min="29" max="29"/>
    <col width="7" customWidth="1" min="30" max="30"/>
    <col width="13" customWidth="1" min="31" max="31"/>
    <col width="13" customWidth="1" min="32" max="32"/>
    <col width="7" customWidth="1" min="33" max="33"/>
    <col width="10" customWidth="1" min="34" max="34"/>
    <col width="36" customWidth="1" min="35" max="35"/>
    <col width="14" customWidth="1" min="36" max="36"/>
  </cols>
  <sheetData>
    <row r="1">
      <c r="A1" s="24" t="inlineStr">
        <is>
          <t>HAZOP WORKSHEET</t>
        </is>
      </c>
      <c r="E1" s="25">
        <f>Cover!B7</f>
        <v/>
      </c>
    </row>
    <row r="3">
      <c r="A3" s="26" t="inlineStr">
        <is>
          <t>Select node ▸</t>
        </is>
      </c>
      <c r="B3" s="8" t="n"/>
      <c r="C3" s="9" t="n"/>
      <c r="D3" s="27" t="inlineStr">
        <is>
          <t>N08 – Gas detection, F&amp;G and ESD system</t>
        </is>
      </c>
      <c r="E3" s="8" t="n"/>
      <c r="F3" s="8" t="n"/>
      <c r="G3" s="8" t="n"/>
      <c r="H3" s="8" t="n"/>
      <c r="I3" s="8" t="n"/>
      <c r="J3" s="8" t="n"/>
      <c r="K3" s="8" t="n"/>
      <c r="L3" s="9" t="n"/>
      <c r="M3" s="26" t="inlineStr">
        <is>
          <t>Session date</t>
        </is>
      </c>
      <c r="N3" s="13" t="n">
        <v>46309</v>
      </c>
      <c r="O3" s="9" t="n"/>
      <c r="P3" s="26" t="inlineStr">
        <is>
          <t>Revision</t>
        </is>
      </c>
      <c r="Q3" s="4" t="inlineStr">
        <is>
          <t>A</t>
        </is>
      </c>
    </row>
    <row r="4" ht="16" customHeight="1">
      <c r="A4" s="10" t="inlineStr">
        <is>
          <t>Node title</t>
        </is>
      </c>
      <c r="B4" s="8" t="n"/>
      <c r="C4" s="9" t="n"/>
      <c r="D4" s="6">
        <f>IF($D$3="","",IFERROR(INDEX(Nodes!$B$5:$B$34,MATCH($D$3,Nodes!$C$5:$C$34,0))&amp;"",""))</f>
        <v/>
      </c>
      <c r="E4" s="8" t="n"/>
      <c r="F4" s="8" t="n"/>
      <c r="G4" s="8" t="n"/>
      <c r="H4" s="8" t="n"/>
      <c r="I4" s="8" t="n"/>
      <c r="J4" s="8" t="n"/>
      <c r="K4" s="8" t="n"/>
      <c r="L4" s="9" t="n"/>
    </row>
    <row r="5" ht="16" customHeight="1">
      <c r="A5" s="10" t="inlineStr">
        <is>
          <t>P&amp;IDs / drawings</t>
        </is>
      </c>
      <c r="B5" s="8" t="n"/>
      <c r="C5" s="9" t="n"/>
      <c r="D5" s="6">
        <f>IF($D$3="","",IFERROR(INDEX(Nodes!$D$5:$D$34,MATCH($D$3,Nodes!$C$5:$C$34,0))&amp;"",""))</f>
        <v/>
      </c>
      <c r="E5" s="8" t="n"/>
      <c r="F5" s="8" t="n"/>
      <c r="G5" s="8" t="n"/>
      <c r="H5" s="8" t="n"/>
      <c r="I5" s="8" t="n"/>
      <c r="J5" s="8" t="n"/>
      <c r="K5" s="8" t="n"/>
      <c r="L5" s="9" t="n"/>
    </row>
    <row r="6" ht="30" customHeight="1">
      <c r="A6" s="10" t="inlineStr">
        <is>
          <t>Battery limits</t>
        </is>
      </c>
      <c r="B6" s="8" t="n"/>
      <c r="C6" s="9" t="n"/>
      <c r="D6" s="6">
        <f>IF($D$3="","",IFERROR(INDEX(Nodes!$E$5:$E$34,MATCH($D$3,Nodes!$C$5:$C$34,0))&amp;"",""))</f>
        <v/>
      </c>
      <c r="E6" s="8" t="n"/>
      <c r="F6" s="8" t="n"/>
      <c r="G6" s="8" t="n"/>
      <c r="H6" s="8" t="n"/>
      <c r="I6" s="8" t="n"/>
      <c r="J6" s="8" t="n"/>
      <c r="K6" s="8" t="n"/>
      <c r="L6" s="9" t="n"/>
    </row>
    <row r="7" ht="30" customHeight="1">
      <c r="A7" s="10" t="inlineStr">
        <is>
          <t>Functional description / design intent</t>
        </is>
      </c>
      <c r="B7" s="8" t="n"/>
      <c r="C7" s="9" t="n"/>
      <c r="D7" s="6">
        <f>IF($D$3="","",IFERROR(INDEX(Nodes!$F$5:$F$34,MATCH($D$3,Nodes!$C$5:$C$34,0))&amp;"",""))</f>
        <v/>
      </c>
      <c r="E7" s="8" t="n"/>
      <c r="F7" s="8" t="n"/>
      <c r="G7" s="8" t="n"/>
      <c r="H7" s="8" t="n"/>
      <c r="I7" s="8" t="n"/>
      <c r="J7" s="8" t="n"/>
      <c r="K7" s="8" t="n"/>
      <c r="L7" s="9" t="n"/>
    </row>
    <row r="8" ht="16" customHeight="1">
      <c r="A8" s="10" t="inlineStr">
        <is>
          <t>Design parameters</t>
        </is>
      </c>
      <c r="B8" s="8" t="n"/>
      <c r="C8" s="9" t="n"/>
      <c r="D8" s="6">
        <f>IF($D$3="","",IFERROR(INDEX(Nodes!$G$5:$G$34,MATCH($D$3,Nodes!$C$5:$C$34,0))&amp;"",""))</f>
        <v/>
      </c>
      <c r="E8" s="8" t="n"/>
      <c r="F8" s="8" t="n"/>
      <c r="G8" s="8" t="n"/>
      <c r="H8" s="8" t="n"/>
      <c r="I8" s="8" t="n"/>
      <c r="J8" s="8" t="n"/>
      <c r="K8" s="8" t="n"/>
      <c r="L8" s="9" t="n"/>
    </row>
    <row r="9" ht="16" customHeight="1">
      <c r="A9" s="10" t="inlineStr">
        <is>
          <t>Operating parameters</t>
        </is>
      </c>
      <c r="B9" s="8" t="n"/>
      <c r="C9" s="9" t="n"/>
      <c r="D9" s="6">
        <f>IF($D$3="","",IFERROR(INDEX(Nodes!$H$5:$H$34,MATCH($D$3,Nodes!$C$5:$C$34,0))&amp;"",""))</f>
        <v/>
      </c>
      <c r="E9" s="8" t="n"/>
      <c r="F9" s="8" t="n"/>
      <c r="G9" s="8" t="n"/>
      <c r="H9" s="8" t="n"/>
      <c r="I9" s="8" t="n"/>
      <c r="J9" s="8" t="n"/>
      <c r="K9" s="8" t="n"/>
      <c r="L9" s="9" t="n"/>
    </row>
    <row r="11">
      <c r="A11" s="2" t="inlineStr">
        <is>
          <t>ONE ROW PER DEVIATION. Choose Parameter + Guideword, then pick up to 6 causes in Cause 1–6 (or type your own) – they are listed line by line in 'Potential causes'. Enter up to 6 safeguards, each marked IPL Yes/No – listed in 'Safeguards'. Use the [–] buttons above the columns to collapse the pick columns.</t>
        </is>
      </c>
    </row>
    <row r="12">
      <c r="A12" s="7" t="inlineStr">
        <is>
          <t>DEVIATION</t>
        </is>
      </c>
      <c r="B12" s="8" t="n"/>
      <c r="C12" s="8" t="n"/>
      <c r="D12" s="9" t="n"/>
      <c r="E12" s="7" t="inlineStr">
        <is>
          <t>CAUSE PICK-LIST</t>
        </is>
      </c>
      <c r="F12" s="8" t="n"/>
      <c r="G12" s="8" t="n"/>
      <c r="H12" s="8" t="n"/>
      <c r="I12" s="8" t="n"/>
      <c r="J12" s="9" t="n"/>
      <c r="K12" s="7" t="inlineStr">
        <is>
          <t>CAUSES &amp; CONSEQUENCES</t>
        </is>
      </c>
      <c r="L12" s="9" t="n"/>
      <c r="M12" s="7" t="inlineStr">
        <is>
          <t>RISK BEFORE SAFEGUARDS</t>
        </is>
      </c>
      <c r="N12" s="8" t="n"/>
      <c r="O12" s="8" t="n"/>
      <c r="P12" s="9" t="n"/>
      <c r="Q12" s="7" t="inlineStr">
        <is>
          <t>SAFEGUARD ENTRY (mark each IPL Yes / No)</t>
        </is>
      </c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9" t="n"/>
      <c r="AC12" s="7" t="inlineStr">
        <is>
          <t>SAFEGUARDS</t>
        </is>
      </c>
      <c r="AD12" s="9" t="n"/>
      <c r="AE12" s="7" t="inlineStr">
        <is>
          <t>RISK AFTER SAFEGUARDS</t>
        </is>
      </c>
      <c r="AF12" s="8" t="n"/>
      <c r="AG12" s="8" t="n"/>
      <c r="AH12" s="9" t="n"/>
      <c r="AI12" s="7" t="inlineStr">
        <is>
          <t>RECOMMENDATIONS</t>
        </is>
      </c>
      <c r="AJ12" s="9" t="n"/>
    </row>
    <row r="13" ht="30" customHeight="1">
      <c r="A13" s="7" t="inlineStr">
        <is>
          <t>Dev. No.</t>
        </is>
      </c>
      <c r="B13" s="7" t="inlineStr">
        <is>
          <t>Parameter</t>
        </is>
      </c>
      <c r="C13" s="7" t="inlineStr">
        <is>
          <t>Guideword</t>
        </is>
      </c>
      <c r="D13" s="7" t="inlineStr">
        <is>
          <t>Deviation</t>
        </is>
      </c>
      <c r="E13" s="29" t="inlineStr">
        <is>
          <t>Cause 1</t>
        </is>
      </c>
      <c r="F13" s="29" t="inlineStr">
        <is>
          <t>Cause 2</t>
        </is>
      </c>
      <c r="G13" s="29" t="inlineStr">
        <is>
          <t>Cause 3</t>
        </is>
      </c>
      <c r="H13" s="29" t="inlineStr">
        <is>
          <t>Cause 4</t>
        </is>
      </c>
      <c r="I13" s="29" t="inlineStr">
        <is>
          <t>Cause 5</t>
        </is>
      </c>
      <c r="J13" s="29" t="inlineStr">
        <is>
          <t>Cause 6</t>
        </is>
      </c>
      <c r="K13" s="7" t="inlineStr">
        <is>
          <t>Potential causes</t>
        </is>
      </c>
      <c r="L13" s="7" t="inlineStr">
        <is>
          <t>Consequences</t>
        </is>
      </c>
      <c r="M13" s="7" t="inlineStr">
        <is>
          <t>Severity (S)</t>
        </is>
      </c>
      <c r="N13" s="7" t="inlineStr">
        <is>
          <t>Likelihood (L)</t>
        </is>
      </c>
      <c r="O13" s="7" t="inlineStr">
        <is>
          <t>Risk score</t>
        </is>
      </c>
      <c r="P13" s="7" t="inlineStr">
        <is>
          <t>Risk rank</t>
        </is>
      </c>
      <c r="Q13" s="29" t="inlineStr">
        <is>
          <t>Safeguard 1</t>
        </is>
      </c>
      <c r="R13" s="29" t="inlineStr">
        <is>
          <t>IPL? 1</t>
        </is>
      </c>
      <c r="S13" s="29" t="inlineStr">
        <is>
          <t>Safeguard 2</t>
        </is>
      </c>
      <c r="T13" s="29" t="inlineStr">
        <is>
          <t>IPL? 2</t>
        </is>
      </c>
      <c r="U13" s="29" t="inlineStr">
        <is>
          <t>Safeguard 3</t>
        </is>
      </c>
      <c r="V13" s="29" t="inlineStr">
        <is>
          <t>IPL? 3</t>
        </is>
      </c>
      <c r="W13" s="29" t="inlineStr">
        <is>
          <t>Safeguard 4</t>
        </is>
      </c>
      <c r="X13" s="29" t="inlineStr">
        <is>
          <t>IPL? 4</t>
        </is>
      </c>
      <c r="Y13" s="29" t="inlineStr">
        <is>
          <t>Safeguard 5</t>
        </is>
      </c>
      <c r="Z13" s="29" t="inlineStr">
        <is>
          <t>IPL? 5</t>
        </is>
      </c>
      <c r="AA13" s="29" t="inlineStr">
        <is>
          <t>Safeguard 6</t>
        </is>
      </c>
      <c r="AB13" s="29" t="inlineStr">
        <is>
          <t>IPL? 6</t>
        </is>
      </c>
      <c r="AC13" s="7" t="inlineStr">
        <is>
          <t>Safeguards</t>
        </is>
      </c>
      <c r="AD13" s="7" t="inlineStr">
        <is>
          <t>No. of IPLs</t>
        </is>
      </c>
      <c r="AE13" s="7" t="inlineStr">
        <is>
          <t>Severity (S)</t>
        </is>
      </c>
      <c r="AF13" s="7" t="inlineStr">
        <is>
          <t>Likelihood (L)</t>
        </is>
      </c>
      <c r="AG13" s="7" t="inlineStr">
        <is>
          <t>Risk score</t>
        </is>
      </c>
      <c r="AH13" s="7" t="inlineStr">
        <is>
          <t>Risk rank</t>
        </is>
      </c>
      <c r="AI13" s="7" t="inlineStr">
        <is>
          <t>Recommendations / actions</t>
        </is>
      </c>
      <c r="AJ13" s="7" t="inlineStr">
        <is>
          <t>Action by</t>
        </is>
      </c>
    </row>
    <row r="14" ht="90" customHeight="1">
      <c r="A14" s="30">
        <f>IF(B14="","",COUNTIF(B$14:B14,"?*"))</f>
        <v/>
      </c>
      <c r="B14" s="4" t="inlineStr">
        <is>
          <t>Process control / instrumentation</t>
        </is>
      </c>
      <c r="C14" s="19" t="inlineStr">
        <is>
          <t>LOSS OF</t>
        </is>
      </c>
      <c r="D14" s="5">
        <f>IF(OR(B14="",C14=""),"",UPPER(LEFT(C14,1))&amp;LOWER(MID(C14,2,30))&amp;" "&amp;LOWER(LEFT(B14,1))&amp;MID(B14,2,200))</f>
        <v/>
      </c>
      <c r="E14" s="4" t="inlineStr">
        <is>
          <t>Alarm and trip testing not done</t>
        </is>
      </c>
      <c r="F14" s="4" t="inlineStr">
        <is>
          <t>Location of instruments unsuitable</t>
        </is>
      </c>
      <c r="G14" s="4" t="inlineStr">
        <is>
          <t>Fire protection of instruments and cables</t>
        </is>
      </c>
      <c r="H14" s="4" t="n"/>
      <c r="I14" s="4" t="n"/>
      <c r="J14" s="4" t="n"/>
      <c r="K14" s="5">
        <f>_xlfn.TEXTJOIN(CHAR(10),TRUE,IF(E14="","","• "&amp;E14),IF(F14="","","• "&amp;F14),IF(G14="","","• "&amp;G14),IF(H14="","","• "&amp;H14),IF(I14="","","• "&amp;I14),IF(J14="","","• "&amp;J14))</f>
        <v/>
      </c>
      <c r="L14" s="4" t="inlineStr">
        <is>
          <t>A gas release in the GRMS / PRS is not isolated – the pipeline and MP inventory feed the release: prolonged jet fire, larger vapour cloud (event tree ETA-GN-01)
[N08-01] Quantified: fault tree FT-GN-02 PFDavg 2.6E-2 (RRF 38); used by event tree ETA-GN-01 heading H2 and bow tie BT-GN-01 mitigative barrier. Likelihood after safeguards from the calculated frequency 4.3E-6 /yr.</t>
        </is>
      </c>
      <c r="M14" s="19" t="inlineStr">
        <is>
          <t>5 – Catastrophic</t>
        </is>
      </c>
      <c r="N14" s="19" t="inlineStr">
        <is>
          <t>3 – Possible</t>
        </is>
      </c>
      <c r="O14" s="30">
        <f>IF(OR(M14="",N14=""),"",INDEX(RiskGrid,6-VALUE(LEFT(M14,1)),VALUE(LEFT(N14,1))))</f>
        <v/>
      </c>
      <c r="P14" s="30">
        <f>IF(O14="","",IF(O14&gt;=BandVH,"Very High",IF(O14&gt;=BandHigh,"High",IF(O14&gt;=BandMed,"Medium","Low"))))</f>
        <v/>
      </c>
      <c r="Q14" s="4" t="inlineStr">
        <is>
          <t>Proof testing – quarterly gas detector bump tests, annual full-stroke ESD valve tests, annual logic test</t>
        </is>
      </c>
      <c r="R14" s="19" t="inlineStr">
        <is>
          <t>No</t>
        </is>
      </c>
      <c r="S14" s="4" t="inlineStr">
        <is>
          <t>HS-1000 – Manual ESD push buttons (control room and field) – operator response to gas alarms and reports</t>
        </is>
      </c>
      <c r="T14" s="19" t="inlineStr">
        <is>
          <t>No</t>
        </is>
      </c>
      <c r="U14" s="4" t="n"/>
      <c r="V14" s="19" t="n"/>
      <c r="W14" s="4" t="n"/>
      <c r="X14" s="19" t="n"/>
      <c r="Y14" s="4" t="n"/>
      <c r="Z14" s="19" t="n"/>
      <c r="AA14" s="4" t="n"/>
      <c r="AB14" s="19" t="n"/>
      <c r="AC14" s="5">
        <f>_xlfn.TEXTJOIN(CHAR(10),TRUE,IF(Q14="","","• "&amp;Q14&amp;IF(R14="Yes","  [IPL]","")),IF(S14="","","• "&amp;S14&amp;IF(T14="Yes","  [IPL]","")),IF(U14="","","• "&amp;U14&amp;IF(V14="Yes","  [IPL]","")),IF(W14="","","• "&amp;W14&amp;IF(X14="Yes","  [IPL]","")),IF(Y14="","","• "&amp;Y14&amp;IF(Z14="Yes","  [IPL]","")),IF(AA14="","","• "&amp;AA14&amp;IF(AB14="Yes","  [IPL]","")))</f>
        <v/>
      </c>
      <c r="AD14" s="30">
        <f>IF(AC14="","",COUNTIF(Q14:AB14,"Yes"))</f>
        <v/>
      </c>
      <c r="AE14" s="19" t="inlineStr">
        <is>
          <t>5 – Catastrophic</t>
        </is>
      </c>
      <c r="AF14" s="19" t="inlineStr">
        <is>
          <t>1 – Rare</t>
        </is>
      </c>
      <c r="AG14" s="30">
        <f>IF(OR(AE14="",AF14=""),"",INDEX(RiskGrid,6-VALUE(LEFT(AE14,1)),VALUE(LEFT(AF14,1))))</f>
        <v/>
      </c>
      <c r="AH14" s="30">
        <f>IF(AG14="","",IF(AG14&gt;=BandVH,"Very High",IF(AG14&gt;=BandHigh,"High",IF(AG14&gt;=BandMed,"Medium","Low"))))</f>
        <v/>
      </c>
      <c r="AI14" s="4" t="inlineStr">
        <is>
          <t>R-001 Verify the HP / MP gas detection &amp; ESD function against the required risk reduction. Fault tree FT-GN-02 gives PFDavg 2.6E-2 (RRF 38); test the effect of six-monthly partial-stroke testing of ESDV-1001 / ESDV-1107 and quarterly detector bump tests (FMECA S01 / S08).
R-020 Gas alarm response procedure and drills – the manual ESD is credited in fault tree FT-GN-02 (gate G-004) with an operator failure probability of 0.1.</t>
        </is>
      </c>
      <c r="AJ14" s="4" t="inlineStr">
        <is>
          <t>Instrument engineer / Operations superintendent</t>
        </is>
      </c>
    </row>
    <row r="15" ht="90" customHeight="1">
      <c r="A15" s="30">
        <f>IF(B15="","",COUNTIF(B$14:B15,"?*"))</f>
        <v/>
      </c>
      <c r="B15" s="4" t="inlineStr">
        <is>
          <t>Utilities / services</t>
        </is>
      </c>
      <c r="C15" s="19" t="inlineStr">
        <is>
          <t>LOSS OF</t>
        </is>
      </c>
      <c r="D15" s="5">
        <f>IF(OR(B15="",C15=""),"",UPPER(LEFT(C15,1))&amp;LOWER(MID(C15,2,30))&amp;" "&amp;LOWER(LEFT(B15,1))&amp;MID(B15,2,200))</f>
        <v/>
      </c>
      <c r="E15" s="4" t="inlineStr">
        <is>
          <t>Power</t>
        </is>
      </c>
      <c r="F15" s="4" t="inlineStr">
        <is>
          <t>UPS battery failure</t>
        </is>
      </c>
      <c r="G15" s="4" t="n"/>
      <c r="H15" s="4" t="n"/>
      <c r="I15" s="4" t="n"/>
      <c r="J15" s="4" t="n"/>
      <c r="K15" s="5">
        <f>_xlfn.TEXTJOIN(CHAR(10),TRUE,IF(E15="","","• "&amp;E15),IF(F15="","","• "&amp;F15),IF(G15="","","• "&amp;G15),IF(H15="","","• "&amp;H15),IF(I15="","","• "&amp;I15),IF(J15="","","• "&amp;J15))</f>
        <v/>
      </c>
      <c r="L15" s="4" t="inlineStr">
        <is>
          <t>Fail-safe design closes the ESD valves – loss of gas to the whole works (flame-outs, see N02-03); if the UPS fails while a release occurs, no automatic isolation
[N08-02] FMECA S08 UPS-1000.</t>
        </is>
      </c>
      <c r="M15" s="19" t="inlineStr">
        <is>
          <t>3 – Moderate</t>
        </is>
      </c>
      <c r="N15" s="19" t="inlineStr">
        <is>
          <t>3 – Possible</t>
        </is>
      </c>
      <c r="O15" s="30">
        <f>IF(OR(M15="",N15=""),"",INDEX(RiskGrid,6-VALUE(LEFT(M15,1)),VALUE(LEFT(N15,1))))</f>
        <v/>
      </c>
      <c r="P15" s="30">
        <f>IF(O15="","",IF(O15&gt;=BandVH,"Very High",IF(O15&gt;=BandHigh,"High",IF(O15&gt;=BandMed,"Medium","Low"))))</f>
        <v/>
      </c>
      <c r="Q15" s="4" t="inlineStr">
        <is>
          <t>UPS-1000 – UPS for SIS / F&amp;G (30 min) with alarm; de-energise-to-trip (fail-safe) design</t>
        </is>
      </c>
      <c r="R15" s="19" t="inlineStr">
        <is>
          <t>No</t>
        </is>
      </c>
      <c r="S15" s="4" t="inlineStr">
        <is>
          <t>PSLL-2006 / PSLL-4005 – Low-low gas pressure trips in the user burner management systems (reformer, reheat furnace, preheaters)</t>
        </is>
      </c>
      <c r="T15" s="19" t="inlineStr">
        <is>
          <t>Yes</t>
        </is>
      </c>
      <c r="U15" s="4" t="n"/>
      <c r="V15" s="19" t="n"/>
      <c r="W15" s="4" t="n"/>
      <c r="X15" s="19" t="n"/>
      <c r="Y15" s="4" t="n"/>
      <c r="Z15" s="19" t="n"/>
      <c r="AA15" s="4" t="n"/>
      <c r="AB15" s="19" t="n"/>
      <c r="AC15" s="5">
        <f>_xlfn.TEXTJOIN(CHAR(10),TRUE,IF(Q15="","","• "&amp;Q15&amp;IF(R15="Yes","  [IPL]","")),IF(S15="","","• "&amp;S15&amp;IF(T15="Yes","  [IPL]","")),IF(U15="","","• "&amp;U15&amp;IF(V15="Yes","  [IPL]","")),IF(W15="","","• "&amp;W15&amp;IF(X15="Yes","  [IPL]","")),IF(Y15="","","• "&amp;Y15&amp;IF(Z15="Yes","  [IPL]","")),IF(AA15="","","• "&amp;AA15&amp;IF(AB15="Yes","  [IPL]","")))</f>
        <v/>
      </c>
      <c r="AD15" s="30">
        <f>IF(AC15="","",COUNTIF(Q15:AB15,"Yes"))</f>
        <v/>
      </c>
      <c r="AE15" s="19" t="inlineStr">
        <is>
          <t>3 – Moderate</t>
        </is>
      </c>
      <c r="AF15" s="19" t="inlineStr">
        <is>
          <t>2 – Unlikely</t>
        </is>
      </c>
      <c r="AG15" s="30">
        <f>IF(OR(AE15="",AF15=""),"",INDEX(RiskGrid,6-VALUE(LEFT(AE15,1)),VALUE(LEFT(AF15,1))))</f>
        <v/>
      </c>
      <c r="AH15" s="30">
        <f>IF(AG15="","",IF(AG15&gt;=BandVH,"Very High",IF(AG15&gt;=BandHigh,"High",IF(AG15&gt;=BandMed,"Medium","Low"))))</f>
        <v/>
      </c>
      <c r="AI15" s="4" t="inlineStr"/>
      <c r="AJ15" s="4" t="inlineStr"/>
    </row>
    <row r="16" ht="90" customHeight="1">
      <c r="A16" s="30">
        <f>IF(B16="","",COUNTIF(B$14:B16,"?*"))</f>
        <v/>
      </c>
      <c r="B16" s="4" t="inlineStr">
        <is>
          <t>Operator action</t>
        </is>
      </c>
      <c r="C16" s="19" t="inlineStr">
        <is>
          <t>NO</t>
        </is>
      </c>
      <c r="D16" s="5">
        <f>IF(OR(B16="",C16=""),"",UPPER(LEFT(C16,1))&amp;LOWER(MID(C16,2,30))&amp;" "&amp;LOWER(LEFT(B16,1))&amp;MID(B16,2,200))</f>
        <v/>
      </c>
      <c r="E16" s="4" t="inlineStr">
        <is>
          <t>Time available for operator intervention</t>
        </is>
      </c>
      <c r="F16" s="4" t="inlineStr">
        <is>
          <t>Alarm flooding; bypassed trips</t>
        </is>
      </c>
      <c r="G16" s="4" t="n"/>
      <c r="H16" s="4" t="n"/>
      <c r="I16" s="4" t="n"/>
      <c r="J16" s="4" t="n"/>
      <c r="K16" s="5">
        <f>_xlfn.TEXTJOIN(CHAR(10),TRUE,IF(E16="","","• "&amp;E16),IF(F16="","","• "&amp;F16),IF(G16="","","• "&amp;G16),IF(H16="","","• "&amp;H16),IF(I16="","","• "&amp;I16),IF(J16="","","• "&amp;J16))</f>
        <v/>
      </c>
      <c r="L16" s="4" t="inlineStr">
        <is>
          <t>Release not isolated when the automatic function has failed (as N08-01)
[N08-03] Fault tree FT-GN-02 gate G-004 (manual ESD) – operator failure 0.1.</t>
        </is>
      </c>
      <c r="M16" s="19" t="inlineStr">
        <is>
          <t>5 – Catastrophic</t>
        </is>
      </c>
      <c r="N16" s="19" t="inlineStr">
        <is>
          <t>3 – Possible</t>
        </is>
      </c>
      <c r="O16" s="30">
        <f>IF(OR(M16="",N16=""),"",INDEX(RiskGrid,6-VALUE(LEFT(M16,1)),VALUE(LEFT(N16,1))))</f>
        <v/>
      </c>
      <c r="P16" s="30">
        <f>IF(O16="","",IF(O16&gt;=BandVH,"Very High",IF(O16&gt;=BandHigh,"High",IF(O16&gt;=BandMed,"Medium","Low"))))</f>
        <v/>
      </c>
      <c r="Q16" s="4" t="inlineStr">
        <is>
          <t>Gas alarm response procedure and emergency drills</t>
        </is>
      </c>
      <c r="R16" s="19" t="inlineStr">
        <is>
          <t>No</t>
        </is>
      </c>
      <c r="S16" s="4" t="n"/>
      <c r="T16" s="19" t="n"/>
      <c r="U16" s="4" t="n"/>
      <c r="V16" s="19" t="n"/>
      <c r="W16" s="4" t="n"/>
      <c r="X16" s="19" t="n"/>
      <c r="Y16" s="4" t="n"/>
      <c r="Z16" s="19" t="n"/>
      <c r="AA16" s="4" t="n"/>
      <c r="AB16" s="19" t="n"/>
      <c r="AC16" s="5">
        <f>_xlfn.TEXTJOIN(CHAR(10),TRUE,IF(Q16="","","• "&amp;Q16&amp;IF(R16="Yes","  [IPL]","")),IF(S16="","","• "&amp;S16&amp;IF(T16="Yes","  [IPL]","")),IF(U16="","","• "&amp;U16&amp;IF(V16="Yes","  [IPL]","")),IF(W16="","","• "&amp;W16&amp;IF(X16="Yes","  [IPL]","")),IF(Y16="","","• "&amp;Y16&amp;IF(Z16="Yes","  [IPL]","")),IF(AA16="","","• "&amp;AA16&amp;IF(AB16="Yes","  [IPL]","")))</f>
        <v/>
      </c>
      <c r="AD16" s="30">
        <f>IF(AC16="","",COUNTIF(Q16:AB16,"Yes"))</f>
        <v/>
      </c>
      <c r="AE16" s="19" t="inlineStr">
        <is>
          <t>5 – Catastrophic</t>
        </is>
      </c>
      <c r="AF16" s="19" t="inlineStr">
        <is>
          <t>2 – Unlikely</t>
        </is>
      </c>
      <c r="AG16" s="30">
        <f>IF(OR(AE16="",AF16=""),"",INDEX(RiskGrid,6-VALUE(LEFT(AE16,1)),VALUE(LEFT(AF16,1))))</f>
        <v/>
      </c>
      <c r="AH16" s="30">
        <f>IF(AG16="","",IF(AG16&gt;=BandVH,"Very High",IF(AG16&gt;=BandHigh,"High",IF(AG16&gt;=BandMed,"Medium","Low"))))</f>
        <v/>
      </c>
      <c r="AI16" s="4" t="inlineStr">
        <is>
          <t>R-020 Gas alarm response procedure and drills – the manual ESD is credited in fault tree FT-GN-02 (gate G-004) with an operator failure probability of 0.1.</t>
        </is>
      </c>
      <c r="AJ16" s="4" t="inlineStr">
        <is>
          <t>Operations superintendent</t>
        </is>
      </c>
    </row>
    <row r="17" ht="90" customHeight="1">
      <c r="A17" s="30">
        <f>IF(B17="","",COUNTIF(B$14:B17,"?*"))</f>
        <v/>
      </c>
      <c r="B17" s="4" t="inlineStr">
        <is>
          <t>Maintenance</t>
        </is>
      </c>
      <c r="C17" s="19" t="inlineStr">
        <is>
          <t>INADEQUATE</t>
        </is>
      </c>
      <c r="D17" s="5">
        <f>IF(OR(B17="",C17=""),"",UPPER(LEFT(C17,1))&amp;LOWER(MID(C17,2,30))&amp;" "&amp;LOWER(LEFT(B17,1))&amp;MID(B17,2,200))</f>
        <v/>
      </c>
      <c r="E17" s="4" t="inlineStr">
        <is>
          <t>Calibration</t>
        </is>
      </c>
      <c r="F17" s="4" t="inlineStr">
        <is>
          <t>Training</t>
        </is>
      </c>
      <c r="G17" s="4" t="inlineStr">
        <is>
          <t>Condition monitoring</t>
        </is>
      </c>
      <c r="H17" s="4" t="n"/>
      <c r="I17" s="4" t="n"/>
      <c r="J17" s="4" t="n"/>
      <c r="K17" s="5">
        <f>_xlfn.TEXTJOIN(CHAR(10),TRUE,IF(E17="","","• "&amp;E17),IF(F17="","","• "&amp;F17),IF(G17="","","• "&amp;G17),IF(H17="","","• "&amp;H17),IF(I17="","","• "&amp;I17),IF(J17="","","• "&amp;J17))</f>
        <v/>
      </c>
      <c r="L17" s="4" t="inlineStr">
        <is>
          <t>Detection unavailable – as N08-01
[N08-04] FMECA S08 GD-1110A (drift); common-cause group CCF-001 in FT-GN-02.</t>
        </is>
      </c>
      <c r="M17" s="19" t="inlineStr">
        <is>
          <t>5 – Catastrophic</t>
        </is>
      </c>
      <c r="N17" s="19" t="inlineStr">
        <is>
          <t>3 – Possible</t>
        </is>
      </c>
      <c r="O17" s="30">
        <f>IF(OR(M17="",N17=""),"",INDEX(RiskGrid,6-VALUE(LEFT(M17,1)),VALUE(LEFT(N17,1))))</f>
        <v/>
      </c>
      <c r="P17" s="30">
        <f>IF(O17="","",IF(O17&gt;=BandVH,"Very High",IF(O17&gt;=BandHigh,"High",IF(O17&gt;=BandMed,"Medium","Low"))))</f>
        <v/>
      </c>
      <c r="Q17" s="4" t="inlineStr">
        <is>
          <t>Proof testing – quarterly gas detector bump tests, annual full-stroke ESD valve tests, annual logic test</t>
        </is>
      </c>
      <c r="R17" s="19" t="inlineStr">
        <is>
          <t>No</t>
        </is>
      </c>
      <c r="S17" s="4" t="inlineStr">
        <is>
          <t>Bypass / override management – authorised, time-limited, logged; monthly audit</t>
        </is>
      </c>
      <c r="T17" s="19" t="inlineStr">
        <is>
          <t>No</t>
        </is>
      </c>
      <c r="U17" s="4" t="n"/>
      <c r="V17" s="19" t="n"/>
      <c r="W17" s="4" t="n"/>
      <c r="X17" s="19" t="n"/>
      <c r="Y17" s="4" t="n"/>
      <c r="Z17" s="19" t="n"/>
      <c r="AA17" s="4" t="n"/>
      <c r="AB17" s="19" t="n"/>
      <c r="AC17" s="5">
        <f>_xlfn.TEXTJOIN(CHAR(10),TRUE,IF(Q17="","","• "&amp;Q17&amp;IF(R17="Yes","  [IPL]","")),IF(S17="","","• "&amp;S17&amp;IF(T17="Yes","  [IPL]","")),IF(U17="","","• "&amp;U17&amp;IF(V17="Yes","  [IPL]","")),IF(W17="","","• "&amp;W17&amp;IF(X17="Yes","  [IPL]","")),IF(Y17="","","• "&amp;Y17&amp;IF(Z17="Yes","  [IPL]","")),IF(AA17="","","• "&amp;AA17&amp;IF(AB17="Yes","  [IPL]","")))</f>
        <v/>
      </c>
      <c r="AD17" s="30">
        <f>IF(AC17="","",COUNTIF(Q17:AB17,"Yes"))</f>
        <v/>
      </c>
      <c r="AE17" s="19" t="inlineStr">
        <is>
          <t>5 – Catastrophic</t>
        </is>
      </c>
      <c r="AF17" s="19" t="inlineStr">
        <is>
          <t>2 – Unlikely</t>
        </is>
      </c>
      <c r="AG17" s="30">
        <f>IF(OR(AE17="",AF17=""),"",INDEX(RiskGrid,6-VALUE(LEFT(AE17,1)),VALUE(LEFT(AF17,1))))</f>
        <v/>
      </c>
      <c r="AH17" s="30">
        <f>IF(AG17="","",IF(AG17&gt;=BandVH,"Very High",IF(AG17&gt;=BandHigh,"High",IF(AG17&gt;=BandMed,"Medium","Low"))))</f>
        <v/>
      </c>
      <c r="AI17" s="4" t="inlineStr">
        <is>
          <t>R-001 Verify the HP / MP gas detection &amp; ESD function against the required risk reduction. Fault tree FT-GN-02 gives PFDavg 2.6E-2 (RRF 38); test the effect of six-monthly partial-stroke testing of ESDV-1001 / ESDV-1107 and quarterly detector bump tests (FMECA S01 / S08).
R-012 Bypass / override management for BMS, SIS and gas detectors: authorisation, time limit, logging and monthly audit; BMS logic changes only under MOC.</t>
        </is>
      </c>
      <c r="AJ17" s="4" t="inlineStr">
        <is>
          <t>Instrument engineer / HSE / process safety</t>
        </is>
      </c>
    </row>
    <row r="18">
      <c r="A18" s="30">
        <f>IF(B18="","",COUNTIF(B$14:B18,"?*"))</f>
        <v/>
      </c>
      <c r="B18" s="4" t="n"/>
      <c r="C18" s="19" t="n"/>
      <c r="D18" s="5">
        <f>IF(OR(B18="",C18=""),"",UPPER(LEFT(C18,1))&amp;LOWER(MID(C18,2,30))&amp;" "&amp;LOWER(LEFT(B18,1))&amp;MID(B18,2,200))</f>
        <v/>
      </c>
      <c r="E18" s="4" t="n"/>
      <c r="F18" s="4" t="n"/>
      <c r="G18" s="4" t="n"/>
      <c r="H18" s="4" t="n"/>
      <c r="I18" s="4" t="n"/>
      <c r="J18" s="4" t="n"/>
      <c r="K18" s="5">
        <f>_xlfn.TEXTJOIN(CHAR(10),TRUE,IF(E18="","","• "&amp;E18),IF(F18="","","• "&amp;F18),IF(G18="","","• "&amp;G18),IF(H18="","","• "&amp;H18),IF(I18="","","• "&amp;I18),IF(J18="","","• "&amp;J18))</f>
        <v/>
      </c>
      <c r="L18" s="4" t="n"/>
      <c r="M18" s="19" t="n"/>
      <c r="N18" s="19" t="n"/>
      <c r="O18" s="30">
        <f>IF(OR(M18="",N18=""),"",INDEX(RiskGrid,6-VALUE(LEFT(M18,1)),VALUE(LEFT(N18,1))))</f>
        <v/>
      </c>
      <c r="P18" s="30">
        <f>IF(O18="","",IF(O18&gt;=BandVH,"Very High",IF(O18&gt;=BandHigh,"High",IF(O18&gt;=BandMed,"Medium","Low"))))</f>
        <v/>
      </c>
      <c r="Q18" s="4" t="n"/>
      <c r="R18" s="19" t="n"/>
      <c r="S18" s="4" t="n"/>
      <c r="T18" s="19" t="n"/>
      <c r="U18" s="4" t="n"/>
      <c r="V18" s="19" t="n"/>
      <c r="W18" s="4" t="n"/>
      <c r="X18" s="19" t="n"/>
      <c r="Y18" s="4" t="n"/>
      <c r="Z18" s="19" t="n"/>
      <c r="AA18" s="4" t="n"/>
      <c r="AB18" s="19" t="n"/>
      <c r="AC18" s="5">
        <f>_xlfn.TEXTJOIN(CHAR(10),TRUE,IF(Q18="","","• "&amp;Q18&amp;IF(R18="Yes","  [IPL]","")),IF(S18="","","• "&amp;S18&amp;IF(T18="Yes","  [IPL]","")),IF(U18="","","• "&amp;U18&amp;IF(V18="Yes","  [IPL]","")),IF(W18="","","• "&amp;W18&amp;IF(X18="Yes","  [IPL]","")),IF(Y18="","","• "&amp;Y18&amp;IF(Z18="Yes","  [IPL]","")),IF(AA18="","","• "&amp;AA18&amp;IF(AB18="Yes","  [IPL]","")))</f>
        <v/>
      </c>
      <c r="AD18" s="30">
        <f>IF(AC18="","",COUNTIF(Q18:AB18,"Yes"))</f>
        <v/>
      </c>
      <c r="AE18" s="19" t="n"/>
      <c r="AF18" s="19" t="n"/>
      <c r="AG18" s="30">
        <f>IF(OR(AE18="",AF18=""),"",INDEX(RiskGrid,6-VALUE(LEFT(AE18,1)),VALUE(LEFT(AF18,1))))</f>
        <v/>
      </c>
      <c r="AH18" s="30">
        <f>IF(AG18="","",IF(AG18&gt;=BandVH,"Very High",IF(AG18&gt;=BandHigh,"High",IF(AG18&gt;=BandMed,"Medium","Low"))))</f>
        <v/>
      </c>
      <c r="AI18" s="4" t="n"/>
      <c r="AJ18" s="4" t="n"/>
    </row>
    <row r="19">
      <c r="A19" s="30">
        <f>IF(B19="","",COUNTIF(B$14:B19,"?*"))</f>
        <v/>
      </c>
      <c r="B19" s="4" t="n"/>
      <c r="C19" s="19" t="n"/>
      <c r="D19" s="5">
        <f>IF(OR(B19="",C19=""),"",UPPER(LEFT(C19,1))&amp;LOWER(MID(C19,2,30))&amp;" "&amp;LOWER(LEFT(B19,1))&amp;MID(B19,2,200))</f>
        <v/>
      </c>
      <c r="E19" s="4" t="n"/>
      <c r="F19" s="4" t="n"/>
      <c r="G19" s="4" t="n"/>
      <c r="H19" s="4" t="n"/>
      <c r="I19" s="4" t="n"/>
      <c r="J19" s="4" t="n"/>
      <c r="K19" s="5">
        <f>_xlfn.TEXTJOIN(CHAR(10),TRUE,IF(E19="","","• "&amp;E19),IF(F19="","","• "&amp;F19),IF(G19="","","• "&amp;G19),IF(H19="","","• "&amp;H19),IF(I19="","","• "&amp;I19),IF(J19="","","• "&amp;J19))</f>
        <v/>
      </c>
      <c r="L19" s="4" t="n"/>
      <c r="M19" s="19" t="n"/>
      <c r="N19" s="19" t="n"/>
      <c r="O19" s="30">
        <f>IF(OR(M19="",N19=""),"",INDEX(RiskGrid,6-VALUE(LEFT(M19,1)),VALUE(LEFT(N19,1))))</f>
        <v/>
      </c>
      <c r="P19" s="30">
        <f>IF(O19="","",IF(O19&gt;=BandVH,"Very High",IF(O19&gt;=BandHigh,"High",IF(O19&gt;=BandMed,"Medium","Low"))))</f>
        <v/>
      </c>
      <c r="Q19" s="4" t="n"/>
      <c r="R19" s="19" t="n"/>
      <c r="S19" s="4" t="n"/>
      <c r="T19" s="19" t="n"/>
      <c r="U19" s="4" t="n"/>
      <c r="V19" s="19" t="n"/>
      <c r="W19" s="4" t="n"/>
      <c r="X19" s="19" t="n"/>
      <c r="Y19" s="4" t="n"/>
      <c r="Z19" s="19" t="n"/>
      <c r="AA19" s="4" t="n"/>
      <c r="AB19" s="19" t="n"/>
      <c r="AC19" s="5">
        <f>_xlfn.TEXTJOIN(CHAR(10),TRUE,IF(Q19="","","• "&amp;Q19&amp;IF(R19="Yes","  [IPL]","")),IF(S19="","","• "&amp;S19&amp;IF(T19="Yes","  [IPL]","")),IF(U19="","","• "&amp;U19&amp;IF(V19="Yes","  [IPL]","")),IF(W19="","","• "&amp;W19&amp;IF(X19="Yes","  [IPL]","")),IF(Y19="","","• "&amp;Y19&amp;IF(Z19="Yes","  [IPL]","")),IF(AA19="","","• "&amp;AA19&amp;IF(AB19="Yes","  [IPL]","")))</f>
        <v/>
      </c>
      <c r="AD19" s="30">
        <f>IF(AC19="","",COUNTIF(Q19:AB19,"Yes"))</f>
        <v/>
      </c>
      <c r="AE19" s="19" t="n"/>
      <c r="AF19" s="19" t="n"/>
      <c r="AG19" s="30">
        <f>IF(OR(AE19="",AF19=""),"",INDEX(RiskGrid,6-VALUE(LEFT(AE19,1)),VALUE(LEFT(AF19,1))))</f>
        <v/>
      </c>
      <c r="AH19" s="30">
        <f>IF(AG19="","",IF(AG19&gt;=BandVH,"Very High",IF(AG19&gt;=BandHigh,"High",IF(AG19&gt;=BandMed,"Medium","Low"))))</f>
        <v/>
      </c>
      <c r="AI19" s="4" t="n"/>
      <c r="AJ19" s="4" t="n"/>
    </row>
    <row r="20">
      <c r="A20" s="30">
        <f>IF(B20="","",COUNTIF(B$14:B20,"?*"))</f>
        <v/>
      </c>
      <c r="B20" s="4" t="n"/>
      <c r="C20" s="19" t="n"/>
      <c r="D20" s="5">
        <f>IF(OR(B20="",C20=""),"",UPPER(LEFT(C20,1))&amp;LOWER(MID(C20,2,30))&amp;" "&amp;LOWER(LEFT(B20,1))&amp;MID(B20,2,200))</f>
        <v/>
      </c>
      <c r="E20" s="4" t="n"/>
      <c r="F20" s="4" t="n"/>
      <c r="G20" s="4" t="n"/>
      <c r="H20" s="4" t="n"/>
      <c r="I20" s="4" t="n"/>
      <c r="J20" s="4" t="n"/>
      <c r="K20" s="5">
        <f>_xlfn.TEXTJOIN(CHAR(10),TRUE,IF(E20="","","• "&amp;E20),IF(F20="","","• "&amp;F20),IF(G20="","","• "&amp;G20),IF(H20="","","• "&amp;H20),IF(I20="","","• "&amp;I20),IF(J20="","","• "&amp;J20))</f>
        <v/>
      </c>
      <c r="L20" s="4" t="n"/>
      <c r="M20" s="19" t="n"/>
      <c r="N20" s="19" t="n"/>
      <c r="O20" s="30">
        <f>IF(OR(M20="",N20=""),"",INDEX(RiskGrid,6-VALUE(LEFT(M20,1)),VALUE(LEFT(N20,1))))</f>
        <v/>
      </c>
      <c r="P20" s="30">
        <f>IF(O20="","",IF(O20&gt;=BandVH,"Very High",IF(O20&gt;=BandHigh,"High",IF(O20&gt;=BandMed,"Medium","Low"))))</f>
        <v/>
      </c>
      <c r="Q20" s="4" t="n"/>
      <c r="R20" s="19" t="n"/>
      <c r="S20" s="4" t="n"/>
      <c r="T20" s="19" t="n"/>
      <c r="U20" s="4" t="n"/>
      <c r="V20" s="19" t="n"/>
      <c r="W20" s="4" t="n"/>
      <c r="X20" s="19" t="n"/>
      <c r="Y20" s="4" t="n"/>
      <c r="Z20" s="19" t="n"/>
      <c r="AA20" s="4" t="n"/>
      <c r="AB20" s="19" t="n"/>
      <c r="AC20" s="5">
        <f>_xlfn.TEXTJOIN(CHAR(10),TRUE,IF(Q20="","","• "&amp;Q20&amp;IF(R20="Yes","  [IPL]","")),IF(S20="","","• "&amp;S20&amp;IF(T20="Yes","  [IPL]","")),IF(U20="","","• "&amp;U20&amp;IF(V20="Yes","  [IPL]","")),IF(W20="","","• "&amp;W20&amp;IF(X20="Yes","  [IPL]","")),IF(Y20="","","• "&amp;Y20&amp;IF(Z20="Yes","  [IPL]","")),IF(AA20="","","• "&amp;AA20&amp;IF(AB20="Yes","  [IPL]","")))</f>
        <v/>
      </c>
      <c r="AD20" s="30">
        <f>IF(AC20="","",COUNTIF(Q20:AB20,"Yes"))</f>
        <v/>
      </c>
      <c r="AE20" s="19" t="n"/>
      <c r="AF20" s="19" t="n"/>
      <c r="AG20" s="30">
        <f>IF(OR(AE20="",AF20=""),"",INDEX(RiskGrid,6-VALUE(LEFT(AE20,1)),VALUE(LEFT(AF20,1))))</f>
        <v/>
      </c>
      <c r="AH20" s="30">
        <f>IF(AG20="","",IF(AG20&gt;=BandVH,"Very High",IF(AG20&gt;=BandHigh,"High",IF(AG20&gt;=BandMed,"Medium","Low"))))</f>
        <v/>
      </c>
      <c r="AI20" s="4" t="n"/>
      <c r="AJ20" s="4" t="n"/>
    </row>
    <row r="21">
      <c r="A21" s="30">
        <f>IF(B21="","",COUNTIF(B$14:B21,"?*"))</f>
        <v/>
      </c>
      <c r="B21" s="4" t="n"/>
      <c r="C21" s="19" t="n"/>
      <c r="D21" s="5">
        <f>IF(OR(B21="",C21=""),"",UPPER(LEFT(C21,1))&amp;LOWER(MID(C21,2,30))&amp;" "&amp;LOWER(LEFT(B21,1))&amp;MID(B21,2,200))</f>
        <v/>
      </c>
      <c r="E21" s="4" t="n"/>
      <c r="F21" s="4" t="n"/>
      <c r="G21" s="4" t="n"/>
      <c r="H21" s="4" t="n"/>
      <c r="I21" s="4" t="n"/>
      <c r="J21" s="4" t="n"/>
      <c r="K21" s="5">
        <f>_xlfn.TEXTJOIN(CHAR(10),TRUE,IF(E21="","","• "&amp;E21),IF(F21="","","• "&amp;F21),IF(G21="","","• "&amp;G21),IF(H21="","","• "&amp;H21),IF(I21="","","• "&amp;I21),IF(J21="","","• "&amp;J21))</f>
        <v/>
      </c>
      <c r="L21" s="4" t="n"/>
      <c r="M21" s="19" t="n"/>
      <c r="N21" s="19" t="n"/>
      <c r="O21" s="30">
        <f>IF(OR(M21="",N21=""),"",INDEX(RiskGrid,6-VALUE(LEFT(M21,1)),VALUE(LEFT(N21,1))))</f>
        <v/>
      </c>
      <c r="P21" s="30">
        <f>IF(O21="","",IF(O21&gt;=BandVH,"Very High",IF(O21&gt;=BandHigh,"High",IF(O21&gt;=BandMed,"Medium","Low"))))</f>
        <v/>
      </c>
      <c r="Q21" s="4" t="n"/>
      <c r="R21" s="19" t="n"/>
      <c r="S21" s="4" t="n"/>
      <c r="T21" s="19" t="n"/>
      <c r="U21" s="4" t="n"/>
      <c r="V21" s="19" t="n"/>
      <c r="W21" s="4" t="n"/>
      <c r="X21" s="19" t="n"/>
      <c r="Y21" s="4" t="n"/>
      <c r="Z21" s="19" t="n"/>
      <c r="AA21" s="4" t="n"/>
      <c r="AB21" s="19" t="n"/>
      <c r="AC21" s="5">
        <f>_xlfn.TEXTJOIN(CHAR(10),TRUE,IF(Q21="","","• "&amp;Q21&amp;IF(R21="Yes","  [IPL]","")),IF(S21="","","• "&amp;S21&amp;IF(T21="Yes","  [IPL]","")),IF(U21="","","• "&amp;U21&amp;IF(V21="Yes","  [IPL]","")),IF(W21="","","• "&amp;W21&amp;IF(X21="Yes","  [IPL]","")),IF(Y21="","","• "&amp;Y21&amp;IF(Z21="Yes","  [IPL]","")),IF(AA21="","","• "&amp;AA21&amp;IF(AB21="Yes","  [IPL]","")))</f>
        <v/>
      </c>
      <c r="AD21" s="30">
        <f>IF(AC21="","",COUNTIF(Q21:AB21,"Yes"))</f>
        <v/>
      </c>
      <c r="AE21" s="19" t="n"/>
      <c r="AF21" s="19" t="n"/>
      <c r="AG21" s="30">
        <f>IF(OR(AE21="",AF21=""),"",INDEX(RiskGrid,6-VALUE(LEFT(AE21,1)),VALUE(LEFT(AF21,1))))</f>
        <v/>
      </c>
      <c r="AH21" s="30">
        <f>IF(AG21="","",IF(AG21&gt;=BandVH,"Very High",IF(AG21&gt;=BandHigh,"High",IF(AG21&gt;=BandMed,"Medium","Low"))))</f>
        <v/>
      </c>
      <c r="AI21" s="4" t="n"/>
      <c r="AJ21" s="4" t="n"/>
    </row>
    <row r="22">
      <c r="A22" s="30">
        <f>IF(B22="","",COUNTIF(B$14:B22,"?*"))</f>
        <v/>
      </c>
      <c r="B22" s="4" t="n"/>
      <c r="C22" s="19" t="n"/>
      <c r="D22" s="5">
        <f>IF(OR(B22="",C22=""),"",UPPER(LEFT(C22,1))&amp;LOWER(MID(C22,2,30))&amp;" "&amp;LOWER(LEFT(B22,1))&amp;MID(B22,2,200))</f>
        <v/>
      </c>
      <c r="E22" s="4" t="n"/>
      <c r="F22" s="4" t="n"/>
      <c r="G22" s="4" t="n"/>
      <c r="H22" s="4" t="n"/>
      <c r="I22" s="4" t="n"/>
      <c r="J22" s="4" t="n"/>
      <c r="K22" s="5">
        <f>_xlfn.TEXTJOIN(CHAR(10),TRUE,IF(E22="","","• "&amp;E22),IF(F22="","","• "&amp;F22),IF(G22="","","• "&amp;G22),IF(H22="","","• "&amp;H22),IF(I22="","","• "&amp;I22),IF(J22="","","• "&amp;J22))</f>
        <v/>
      </c>
      <c r="L22" s="4" t="n"/>
      <c r="M22" s="19" t="n"/>
      <c r="N22" s="19" t="n"/>
      <c r="O22" s="30">
        <f>IF(OR(M22="",N22=""),"",INDEX(RiskGrid,6-VALUE(LEFT(M22,1)),VALUE(LEFT(N22,1))))</f>
        <v/>
      </c>
      <c r="P22" s="30">
        <f>IF(O22="","",IF(O22&gt;=BandVH,"Very High",IF(O22&gt;=BandHigh,"High",IF(O22&gt;=BandMed,"Medium","Low"))))</f>
        <v/>
      </c>
      <c r="Q22" s="4" t="n"/>
      <c r="R22" s="19" t="n"/>
      <c r="S22" s="4" t="n"/>
      <c r="T22" s="19" t="n"/>
      <c r="U22" s="4" t="n"/>
      <c r="V22" s="19" t="n"/>
      <c r="W22" s="4" t="n"/>
      <c r="X22" s="19" t="n"/>
      <c r="Y22" s="4" t="n"/>
      <c r="Z22" s="19" t="n"/>
      <c r="AA22" s="4" t="n"/>
      <c r="AB22" s="19" t="n"/>
      <c r="AC22" s="5">
        <f>_xlfn.TEXTJOIN(CHAR(10),TRUE,IF(Q22="","","• "&amp;Q22&amp;IF(R22="Yes","  [IPL]","")),IF(S22="","","• "&amp;S22&amp;IF(T22="Yes","  [IPL]","")),IF(U22="","","• "&amp;U22&amp;IF(V22="Yes","  [IPL]","")),IF(W22="","","• "&amp;W22&amp;IF(X22="Yes","  [IPL]","")),IF(Y22="","","• "&amp;Y22&amp;IF(Z22="Yes","  [IPL]","")),IF(AA22="","","• "&amp;AA22&amp;IF(AB22="Yes","  [IPL]","")))</f>
        <v/>
      </c>
      <c r="AD22" s="30">
        <f>IF(AC22="","",COUNTIF(Q22:AB22,"Yes"))</f>
        <v/>
      </c>
      <c r="AE22" s="19" t="n"/>
      <c r="AF22" s="19" t="n"/>
      <c r="AG22" s="30">
        <f>IF(OR(AE22="",AF22=""),"",INDEX(RiskGrid,6-VALUE(LEFT(AE22,1)),VALUE(LEFT(AF22,1))))</f>
        <v/>
      </c>
      <c r="AH22" s="30">
        <f>IF(AG22="","",IF(AG22&gt;=BandVH,"Very High",IF(AG22&gt;=BandHigh,"High",IF(AG22&gt;=BandMed,"Medium","Low"))))</f>
        <v/>
      </c>
      <c r="AI22" s="4" t="n"/>
      <c r="AJ22" s="4" t="n"/>
    </row>
    <row r="23">
      <c r="A23" s="30">
        <f>IF(B23="","",COUNTIF(B$14:B23,"?*"))</f>
        <v/>
      </c>
      <c r="B23" s="4" t="n"/>
      <c r="C23" s="19" t="n"/>
      <c r="D23" s="5">
        <f>IF(OR(B23="",C23=""),"",UPPER(LEFT(C23,1))&amp;LOWER(MID(C23,2,30))&amp;" "&amp;LOWER(LEFT(B23,1))&amp;MID(B23,2,200))</f>
        <v/>
      </c>
      <c r="E23" s="4" t="n"/>
      <c r="F23" s="4" t="n"/>
      <c r="G23" s="4" t="n"/>
      <c r="H23" s="4" t="n"/>
      <c r="I23" s="4" t="n"/>
      <c r="J23" s="4" t="n"/>
      <c r="K23" s="5">
        <f>_xlfn.TEXTJOIN(CHAR(10),TRUE,IF(E23="","","• "&amp;E23),IF(F23="","","• "&amp;F23),IF(G23="","","• "&amp;G23),IF(H23="","","• "&amp;H23),IF(I23="","","• "&amp;I23),IF(J23="","","• "&amp;J23))</f>
        <v/>
      </c>
      <c r="L23" s="4" t="n"/>
      <c r="M23" s="19" t="n"/>
      <c r="N23" s="19" t="n"/>
      <c r="O23" s="30">
        <f>IF(OR(M23="",N23=""),"",INDEX(RiskGrid,6-VALUE(LEFT(M23,1)),VALUE(LEFT(N23,1))))</f>
        <v/>
      </c>
      <c r="P23" s="30">
        <f>IF(O23="","",IF(O23&gt;=BandVH,"Very High",IF(O23&gt;=BandHigh,"High",IF(O23&gt;=BandMed,"Medium","Low"))))</f>
        <v/>
      </c>
      <c r="Q23" s="4" t="n"/>
      <c r="R23" s="19" t="n"/>
      <c r="S23" s="4" t="n"/>
      <c r="T23" s="19" t="n"/>
      <c r="U23" s="4" t="n"/>
      <c r="V23" s="19" t="n"/>
      <c r="W23" s="4" t="n"/>
      <c r="X23" s="19" t="n"/>
      <c r="Y23" s="4" t="n"/>
      <c r="Z23" s="19" t="n"/>
      <c r="AA23" s="4" t="n"/>
      <c r="AB23" s="19" t="n"/>
      <c r="AC23" s="5">
        <f>_xlfn.TEXTJOIN(CHAR(10),TRUE,IF(Q23="","","• "&amp;Q23&amp;IF(R23="Yes","  [IPL]","")),IF(S23="","","• "&amp;S23&amp;IF(T23="Yes","  [IPL]","")),IF(U23="","","• "&amp;U23&amp;IF(V23="Yes","  [IPL]","")),IF(W23="","","• "&amp;W23&amp;IF(X23="Yes","  [IPL]","")),IF(Y23="","","• "&amp;Y23&amp;IF(Z23="Yes","  [IPL]","")),IF(AA23="","","• "&amp;AA23&amp;IF(AB23="Yes","  [IPL]","")))</f>
        <v/>
      </c>
      <c r="AD23" s="30">
        <f>IF(AC23="","",COUNTIF(Q23:AB23,"Yes"))</f>
        <v/>
      </c>
      <c r="AE23" s="19" t="n"/>
      <c r="AF23" s="19" t="n"/>
      <c r="AG23" s="30">
        <f>IF(OR(AE23="",AF23=""),"",INDEX(RiskGrid,6-VALUE(LEFT(AE23,1)),VALUE(LEFT(AF23,1))))</f>
        <v/>
      </c>
      <c r="AH23" s="30">
        <f>IF(AG23="","",IF(AG23&gt;=BandVH,"Very High",IF(AG23&gt;=BandHigh,"High",IF(AG23&gt;=BandMed,"Medium","Low"))))</f>
        <v/>
      </c>
      <c r="AI23" s="4" t="n"/>
      <c r="AJ23" s="4" t="n"/>
    </row>
    <row r="24">
      <c r="A24" s="30">
        <f>IF(B24="","",COUNTIF(B$14:B24,"?*"))</f>
        <v/>
      </c>
      <c r="B24" s="4" t="n"/>
      <c r="C24" s="19" t="n"/>
      <c r="D24" s="5">
        <f>IF(OR(B24="",C24=""),"",UPPER(LEFT(C24,1))&amp;LOWER(MID(C24,2,30))&amp;" "&amp;LOWER(LEFT(B24,1))&amp;MID(B24,2,200))</f>
        <v/>
      </c>
      <c r="E24" s="4" t="n"/>
      <c r="F24" s="4" t="n"/>
      <c r="G24" s="4" t="n"/>
      <c r="H24" s="4" t="n"/>
      <c r="I24" s="4" t="n"/>
      <c r="J24" s="4" t="n"/>
      <c r="K24" s="5">
        <f>_xlfn.TEXTJOIN(CHAR(10),TRUE,IF(E24="","","• "&amp;E24),IF(F24="","","• "&amp;F24),IF(G24="","","• "&amp;G24),IF(H24="","","• "&amp;H24),IF(I24="","","• "&amp;I24),IF(J24="","","• "&amp;J24))</f>
        <v/>
      </c>
      <c r="L24" s="4" t="n"/>
      <c r="M24" s="19" t="n"/>
      <c r="N24" s="19" t="n"/>
      <c r="O24" s="30">
        <f>IF(OR(M24="",N24=""),"",INDEX(RiskGrid,6-VALUE(LEFT(M24,1)),VALUE(LEFT(N24,1))))</f>
        <v/>
      </c>
      <c r="P24" s="30">
        <f>IF(O24="","",IF(O24&gt;=BandVH,"Very High",IF(O24&gt;=BandHigh,"High",IF(O24&gt;=BandMed,"Medium","Low"))))</f>
        <v/>
      </c>
      <c r="Q24" s="4" t="n"/>
      <c r="R24" s="19" t="n"/>
      <c r="S24" s="4" t="n"/>
      <c r="T24" s="19" t="n"/>
      <c r="U24" s="4" t="n"/>
      <c r="V24" s="19" t="n"/>
      <c r="W24" s="4" t="n"/>
      <c r="X24" s="19" t="n"/>
      <c r="Y24" s="4" t="n"/>
      <c r="Z24" s="19" t="n"/>
      <c r="AA24" s="4" t="n"/>
      <c r="AB24" s="19" t="n"/>
      <c r="AC24" s="5">
        <f>_xlfn.TEXTJOIN(CHAR(10),TRUE,IF(Q24="","","• "&amp;Q24&amp;IF(R24="Yes","  [IPL]","")),IF(S24="","","• "&amp;S24&amp;IF(T24="Yes","  [IPL]","")),IF(U24="","","• "&amp;U24&amp;IF(V24="Yes","  [IPL]","")),IF(W24="","","• "&amp;W24&amp;IF(X24="Yes","  [IPL]","")),IF(Y24="","","• "&amp;Y24&amp;IF(Z24="Yes","  [IPL]","")),IF(AA24="","","• "&amp;AA24&amp;IF(AB24="Yes","  [IPL]","")))</f>
        <v/>
      </c>
      <c r="AD24" s="30">
        <f>IF(AC24="","",COUNTIF(Q24:AB24,"Yes"))</f>
        <v/>
      </c>
      <c r="AE24" s="19" t="n"/>
      <c r="AF24" s="19" t="n"/>
      <c r="AG24" s="30">
        <f>IF(OR(AE24="",AF24=""),"",INDEX(RiskGrid,6-VALUE(LEFT(AE24,1)),VALUE(LEFT(AF24,1))))</f>
        <v/>
      </c>
      <c r="AH24" s="30">
        <f>IF(AG24="","",IF(AG24&gt;=BandVH,"Very High",IF(AG24&gt;=BandHigh,"High",IF(AG24&gt;=BandMed,"Medium","Low"))))</f>
        <v/>
      </c>
      <c r="AI24" s="4" t="n"/>
      <c r="AJ24" s="4" t="n"/>
    </row>
    <row r="25">
      <c r="A25" s="30">
        <f>IF(B25="","",COUNTIF(B$14:B25,"?*"))</f>
        <v/>
      </c>
      <c r="B25" s="4" t="n"/>
      <c r="C25" s="19" t="n"/>
      <c r="D25" s="5">
        <f>IF(OR(B25="",C25=""),"",UPPER(LEFT(C25,1))&amp;LOWER(MID(C25,2,30))&amp;" "&amp;LOWER(LEFT(B25,1))&amp;MID(B25,2,200))</f>
        <v/>
      </c>
      <c r="E25" s="4" t="n"/>
      <c r="F25" s="4" t="n"/>
      <c r="G25" s="4" t="n"/>
      <c r="H25" s="4" t="n"/>
      <c r="I25" s="4" t="n"/>
      <c r="J25" s="4" t="n"/>
      <c r="K25" s="5">
        <f>_xlfn.TEXTJOIN(CHAR(10),TRUE,IF(E25="","","• "&amp;E25),IF(F25="","","• "&amp;F25),IF(G25="","","• "&amp;G25),IF(H25="","","• "&amp;H25),IF(I25="","","• "&amp;I25),IF(J25="","","• "&amp;J25))</f>
        <v/>
      </c>
      <c r="L25" s="4" t="n"/>
      <c r="M25" s="19" t="n"/>
      <c r="N25" s="19" t="n"/>
      <c r="O25" s="30">
        <f>IF(OR(M25="",N25=""),"",INDEX(RiskGrid,6-VALUE(LEFT(M25,1)),VALUE(LEFT(N25,1))))</f>
        <v/>
      </c>
      <c r="P25" s="30">
        <f>IF(O25="","",IF(O25&gt;=BandVH,"Very High",IF(O25&gt;=BandHigh,"High",IF(O25&gt;=BandMed,"Medium","Low"))))</f>
        <v/>
      </c>
      <c r="Q25" s="4" t="n"/>
      <c r="R25" s="19" t="n"/>
      <c r="S25" s="4" t="n"/>
      <c r="T25" s="19" t="n"/>
      <c r="U25" s="4" t="n"/>
      <c r="V25" s="19" t="n"/>
      <c r="W25" s="4" t="n"/>
      <c r="X25" s="19" t="n"/>
      <c r="Y25" s="4" t="n"/>
      <c r="Z25" s="19" t="n"/>
      <c r="AA25" s="4" t="n"/>
      <c r="AB25" s="19" t="n"/>
      <c r="AC25" s="5">
        <f>_xlfn.TEXTJOIN(CHAR(10),TRUE,IF(Q25="","","• "&amp;Q25&amp;IF(R25="Yes","  [IPL]","")),IF(S25="","","• "&amp;S25&amp;IF(T25="Yes","  [IPL]","")),IF(U25="","","• "&amp;U25&amp;IF(V25="Yes","  [IPL]","")),IF(W25="","","• "&amp;W25&amp;IF(X25="Yes","  [IPL]","")),IF(Y25="","","• "&amp;Y25&amp;IF(Z25="Yes","  [IPL]","")),IF(AA25="","","• "&amp;AA25&amp;IF(AB25="Yes","  [IPL]","")))</f>
        <v/>
      </c>
      <c r="AD25" s="30">
        <f>IF(AC25="","",COUNTIF(Q25:AB25,"Yes"))</f>
        <v/>
      </c>
      <c r="AE25" s="19" t="n"/>
      <c r="AF25" s="19" t="n"/>
      <c r="AG25" s="30">
        <f>IF(OR(AE25="",AF25=""),"",INDEX(RiskGrid,6-VALUE(LEFT(AE25,1)),VALUE(LEFT(AF25,1))))</f>
        <v/>
      </c>
      <c r="AH25" s="30">
        <f>IF(AG25="","",IF(AG25&gt;=BandVH,"Very High",IF(AG25&gt;=BandHigh,"High",IF(AG25&gt;=BandMed,"Medium","Low"))))</f>
        <v/>
      </c>
      <c r="AI25" s="4" t="n"/>
      <c r="AJ25" s="4" t="n"/>
    </row>
    <row r="26">
      <c r="A26" s="30">
        <f>IF(B26="","",COUNTIF(B$14:B26,"?*"))</f>
        <v/>
      </c>
      <c r="B26" s="4" t="n"/>
      <c r="C26" s="19" t="n"/>
      <c r="D26" s="5">
        <f>IF(OR(B26="",C26=""),"",UPPER(LEFT(C26,1))&amp;LOWER(MID(C26,2,30))&amp;" "&amp;LOWER(LEFT(B26,1))&amp;MID(B26,2,200))</f>
        <v/>
      </c>
      <c r="E26" s="4" t="n"/>
      <c r="F26" s="4" t="n"/>
      <c r="G26" s="4" t="n"/>
      <c r="H26" s="4" t="n"/>
      <c r="I26" s="4" t="n"/>
      <c r="J26" s="4" t="n"/>
      <c r="K26" s="5">
        <f>_xlfn.TEXTJOIN(CHAR(10),TRUE,IF(E26="","","• "&amp;E26),IF(F26="","","• "&amp;F26),IF(G26="","","• "&amp;G26),IF(H26="","","• "&amp;H26),IF(I26="","","• "&amp;I26),IF(J26="","","• "&amp;J26))</f>
        <v/>
      </c>
      <c r="L26" s="4" t="n"/>
      <c r="M26" s="19" t="n"/>
      <c r="N26" s="19" t="n"/>
      <c r="O26" s="30">
        <f>IF(OR(M26="",N26=""),"",INDEX(RiskGrid,6-VALUE(LEFT(M26,1)),VALUE(LEFT(N26,1))))</f>
        <v/>
      </c>
      <c r="P26" s="30">
        <f>IF(O26="","",IF(O26&gt;=BandVH,"Very High",IF(O26&gt;=BandHigh,"High",IF(O26&gt;=BandMed,"Medium","Low"))))</f>
        <v/>
      </c>
      <c r="Q26" s="4" t="n"/>
      <c r="R26" s="19" t="n"/>
      <c r="S26" s="4" t="n"/>
      <c r="T26" s="19" t="n"/>
      <c r="U26" s="4" t="n"/>
      <c r="V26" s="19" t="n"/>
      <c r="W26" s="4" t="n"/>
      <c r="X26" s="19" t="n"/>
      <c r="Y26" s="4" t="n"/>
      <c r="Z26" s="19" t="n"/>
      <c r="AA26" s="4" t="n"/>
      <c r="AB26" s="19" t="n"/>
      <c r="AC26" s="5">
        <f>_xlfn.TEXTJOIN(CHAR(10),TRUE,IF(Q26="","","• "&amp;Q26&amp;IF(R26="Yes","  [IPL]","")),IF(S26="","","• "&amp;S26&amp;IF(T26="Yes","  [IPL]","")),IF(U26="","","• "&amp;U26&amp;IF(V26="Yes","  [IPL]","")),IF(W26="","","• "&amp;W26&amp;IF(X26="Yes","  [IPL]","")),IF(Y26="","","• "&amp;Y26&amp;IF(Z26="Yes","  [IPL]","")),IF(AA26="","","• "&amp;AA26&amp;IF(AB26="Yes","  [IPL]","")))</f>
        <v/>
      </c>
      <c r="AD26" s="30">
        <f>IF(AC26="","",COUNTIF(Q26:AB26,"Yes"))</f>
        <v/>
      </c>
      <c r="AE26" s="19" t="n"/>
      <c r="AF26" s="19" t="n"/>
      <c r="AG26" s="30">
        <f>IF(OR(AE26="",AF26=""),"",INDEX(RiskGrid,6-VALUE(LEFT(AE26,1)),VALUE(LEFT(AF26,1))))</f>
        <v/>
      </c>
      <c r="AH26" s="30">
        <f>IF(AG26="","",IF(AG26&gt;=BandVH,"Very High",IF(AG26&gt;=BandHigh,"High",IF(AG26&gt;=BandMed,"Medium","Low"))))</f>
        <v/>
      </c>
      <c r="AI26" s="4" t="n"/>
      <c r="AJ26" s="4" t="n"/>
    </row>
    <row r="27">
      <c r="A27" s="30">
        <f>IF(B27="","",COUNTIF(B$14:B27,"?*"))</f>
        <v/>
      </c>
      <c r="B27" s="4" t="n"/>
      <c r="C27" s="19" t="n"/>
      <c r="D27" s="5">
        <f>IF(OR(B27="",C27=""),"",UPPER(LEFT(C27,1))&amp;LOWER(MID(C27,2,30))&amp;" "&amp;LOWER(LEFT(B27,1))&amp;MID(B27,2,200))</f>
        <v/>
      </c>
      <c r="E27" s="4" t="n"/>
      <c r="F27" s="4" t="n"/>
      <c r="G27" s="4" t="n"/>
      <c r="H27" s="4" t="n"/>
      <c r="I27" s="4" t="n"/>
      <c r="J27" s="4" t="n"/>
      <c r="K27" s="5">
        <f>_xlfn.TEXTJOIN(CHAR(10),TRUE,IF(E27="","","• "&amp;E27),IF(F27="","","• "&amp;F27),IF(G27="","","• "&amp;G27),IF(H27="","","• "&amp;H27),IF(I27="","","• "&amp;I27),IF(J27="","","• "&amp;J27))</f>
        <v/>
      </c>
      <c r="L27" s="4" t="n"/>
      <c r="M27" s="19" t="n"/>
      <c r="N27" s="19" t="n"/>
      <c r="O27" s="30">
        <f>IF(OR(M27="",N27=""),"",INDEX(RiskGrid,6-VALUE(LEFT(M27,1)),VALUE(LEFT(N27,1))))</f>
        <v/>
      </c>
      <c r="P27" s="30">
        <f>IF(O27="","",IF(O27&gt;=BandVH,"Very High",IF(O27&gt;=BandHigh,"High",IF(O27&gt;=BandMed,"Medium","Low"))))</f>
        <v/>
      </c>
      <c r="Q27" s="4" t="n"/>
      <c r="R27" s="19" t="n"/>
      <c r="S27" s="4" t="n"/>
      <c r="T27" s="19" t="n"/>
      <c r="U27" s="4" t="n"/>
      <c r="V27" s="19" t="n"/>
      <c r="W27" s="4" t="n"/>
      <c r="X27" s="19" t="n"/>
      <c r="Y27" s="4" t="n"/>
      <c r="Z27" s="19" t="n"/>
      <c r="AA27" s="4" t="n"/>
      <c r="AB27" s="19" t="n"/>
      <c r="AC27" s="5">
        <f>_xlfn.TEXTJOIN(CHAR(10),TRUE,IF(Q27="","","• "&amp;Q27&amp;IF(R27="Yes","  [IPL]","")),IF(S27="","","• "&amp;S27&amp;IF(T27="Yes","  [IPL]","")),IF(U27="","","• "&amp;U27&amp;IF(V27="Yes","  [IPL]","")),IF(W27="","","• "&amp;W27&amp;IF(X27="Yes","  [IPL]","")),IF(Y27="","","• "&amp;Y27&amp;IF(Z27="Yes","  [IPL]","")),IF(AA27="","","• "&amp;AA27&amp;IF(AB27="Yes","  [IPL]","")))</f>
        <v/>
      </c>
      <c r="AD27" s="30">
        <f>IF(AC27="","",COUNTIF(Q27:AB27,"Yes"))</f>
        <v/>
      </c>
      <c r="AE27" s="19" t="n"/>
      <c r="AF27" s="19" t="n"/>
      <c r="AG27" s="30">
        <f>IF(OR(AE27="",AF27=""),"",INDEX(RiskGrid,6-VALUE(LEFT(AE27,1)),VALUE(LEFT(AF27,1))))</f>
        <v/>
      </c>
      <c r="AH27" s="30">
        <f>IF(AG27="","",IF(AG27&gt;=BandVH,"Very High",IF(AG27&gt;=BandHigh,"High",IF(AG27&gt;=BandMed,"Medium","Low"))))</f>
        <v/>
      </c>
      <c r="AI27" s="4" t="n"/>
      <c r="AJ27" s="4" t="n"/>
    </row>
    <row r="28">
      <c r="A28" s="30">
        <f>IF(B28="","",COUNTIF(B$14:B28,"?*"))</f>
        <v/>
      </c>
      <c r="B28" s="4" t="n"/>
      <c r="C28" s="19" t="n"/>
      <c r="D28" s="5">
        <f>IF(OR(B28="",C28=""),"",UPPER(LEFT(C28,1))&amp;LOWER(MID(C28,2,30))&amp;" "&amp;LOWER(LEFT(B28,1))&amp;MID(B28,2,200))</f>
        <v/>
      </c>
      <c r="E28" s="4" t="n"/>
      <c r="F28" s="4" t="n"/>
      <c r="G28" s="4" t="n"/>
      <c r="H28" s="4" t="n"/>
      <c r="I28" s="4" t="n"/>
      <c r="J28" s="4" t="n"/>
      <c r="K28" s="5">
        <f>_xlfn.TEXTJOIN(CHAR(10),TRUE,IF(E28="","","• "&amp;E28),IF(F28="","","• "&amp;F28),IF(G28="","","• "&amp;G28),IF(H28="","","• "&amp;H28),IF(I28="","","• "&amp;I28),IF(J28="","","• "&amp;J28))</f>
        <v/>
      </c>
      <c r="L28" s="4" t="n"/>
      <c r="M28" s="19" t="n"/>
      <c r="N28" s="19" t="n"/>
      <c r="O28" s="30">
        <f>IF(OR(M28="",N28=""),"",INDEX(RiskGrid,6-VALUE(LEFT(M28,1)),VALUE(LEFT(N28,1))))</f>
        <v/>
      </c>
      <c r="P28" s="30">
        <f>IF(O28="","",IF(O28&gt;=BandVH,"Very High",IF(O28&gt;=BandHigh,"High",IF(O28&gt;=BandMed,"Medium","Low"))))</f>
        <v/>
      </c>
      <c r="Q28" s="4" t="n"/>
      <c r="R28" s="19" t="n"/>
      <c r="S28" s="4" t="n"/>
      <c r="T28" s="19" t="n"/>
      <c r="U28" s="4" t="n"/>
      <c r="V28" s="19" t="n"/>
      <c r="W28" s="4" t="n"/>
      <c r="X28" s="19" t="n"/>
      <c r="Y28" s="4" t="n"/>
      <c r="Z28" s="19" t="n"/>
      <c r="AA28" s="4" t="n"/>
      <c r="AB28" s="19" t="n"/>
      <c r="AC28" s="5">
        <f>_xlfn.TEXTJOIN(CHAR(10),TRUE,IF(Q28="","","• "&amp;Q28&amp;IF(R28="Yes","  [IPL]","")),IF(S28="","","• "&amp;S28&amp;IF(T28="Yes","  [IPL]","")),IF(U28="","","• "&amp;U28&amp;IF(V28="Yes","  [IPL]","")),IF(W28="","","• "&amp;W28&amp;IF(X28="Yes","  [IPL]","")),IF(Y28="","","• "&amp;Y28&amp;IF(Z28="Yes","  [IPL]","")),IF(AA28="","","• "&amp;AA28&amp;IF(AB28="Yes","  [IPL]","")))</f>
        <v/>
      </c>
      <c r="AD28" s="30">
        <f>IF(AC28="","",COUNTIF(Q28:AB28,"Yes"))</f>
        <v/>
      </c>
      <c r="AE28" s="19" t="n"/>
      <c r="AF28" s="19" t="n"/>
      <c r="AG28" s="30">
        <f>IF(OR(AE28="",AF28=""),"",INDEX(RiskGrid,6-VALUE(LEFT(AE28,1)),VALUE(LEFT(AF28,1))))</f>
        <v/>
      </c>
      <c r="AH28" s="30">
        <f>IF(AG28="","",IF(AG28&gt;=BandVH,"Very High",IF(AG28&gt;=BandHigh,"High",IF(AG28&gt;=BandMed,"Medium","Low"))))</f>
        <v/>
      </c>
      <c r="AI28" s="4" t="n"/>
      <c r="AJ28" s="4" t="n"/>
    </row>
    <row r="29">
      <c r="A29" s="30">
        <f>IF(B29="","",COUNTIF(B$14:B29,"?*"))</f>
        <v/>
      </c>
      <c r="B29" s="4" t="n"/>
      <c r="C29" s="19" t="n"/>
      <c r="D29" s="5">
        <f>IF(OR(B29="",C29=""),"",UPPER(LEFT(C29,1))&amp;LOWER(MID(C29,2,30))&amp;" "&amp;LOWER(LEFT(B29,1))&amp;MID(B29,2,200))</f>
        <v/>
      </c>
      <c r="E29" s="4" t="n"/>
      <c r="F29" s="4" t="n"/>
      <c r="G29" s="4" t="n"/>
      <c r="H29" s="4" t="n"/>
      <c r="I29" s="4" t="n"/>
      <c r="J29" s="4" t="n"/>
      <c r="K29" s="5">
        <f>_xlfn.TEXTJOIN(CHAR(10),TRUE,IF(E29="","","• "&amp;E29),IF(F29="","","• "&amp;F29),IF(G29="","","• "&amp;G29),IF(H29="","","• "&amp;H29),IF(I29="","","• "&amp;I29),IF(J29="","","• "&amp;J29))</f>
        <v/>
      </c>
      <c r="L29" s="4" t="n"/>
      <c r="M29" s="19" t="n"/>
      <c r="N29" s="19" t="n"/>
      <c r="O29" s="30">
        <f>IF(OR(M29="",N29=""),"",INDEX(RiskGrid,6-VALUE(LEFT(M29,1)),VALUE(LEFT(N29,1))))</f>
        <v/>
      </c>
      <c r="P29" s="30">
        <f>IF(O29="","",IF(O29&gt;=BandVH,"Very High",IF(O29&gt;=BandHigh,"High",IF(O29&gt;=BandMed,"Medium","Low"))))</f>
        <v/>
      </c>
      <c r="Q29" s="4" t="n"/>
      <c r="R29" s="19" t="n"/>
      <c r="S29" s="4" t="n"/>
      <c r="T29" s="19" t="n"/>
      <c r="U29" s="4" t="n"/>
      <c r="V29" s="19" t="n"/>
      <c r="W29" s="4" t="n"/>
      <c r="X29" s="19" t="n"/>
      <c r="Y29" s="4" t="n"/>
      <c r="Z29" s="19" t="n"/>
      <c r="AA29" s="4" t="n"/>
      <c r="AB29" s="19" t="n"/>
      <c r="AC29" s="5">
        <f>_xlfn.TEXTJOIN(CHAR(10),TRUE,IF(Q29="","","• "&amp;Q29&amp;IF(R29="Yes","  [IPL]","")),IF(S29="","","• "&amp;S29&amp;IF(T29="Yes","  [IPL]","")),IF(U29="","","• "&amp;U29&amp;IF(V29="Yes","  [IPL]","")),IF(W29="","","• "&amp;W29&amp;IF(X29="Yes","  [IPL]","")),IF(Y29="","","• "&amp;Y29&amp;IF(Z29="Yes","  [IPL]","")),IF(AA29="","","• "&amp;AA29&amp;IF(AB29="Yes","  [IPL]","")))</f>
        <v/>
      </c>
      <c r="AD29" s="30">
        <f>IF(AC29="","",COUNTIF(Q29:AB29,"Yes"))</f>
        <v/>
      </c>
      <c r="AE29" s="19" t="n"/>
      <c r="AF29" s="19" t="n"/>
      <c r="AG29" s="30">
        <f>IF(OR(AE29="",AF29=""),"",INDEX(RiskGrid,6-VALUE(LEFT(AE29,1)),VALUE(LEFT(AF29,1))))</f>
        <v/>
      </c>
      <c r="AH29" s="30">
        <f>IF(AG29="","",IF(AG29&gt;=BandVH,"Very High",IF(AG29&gt;=BandHigh,"High",IF(AG29&gt;=BandMed,"Medium","Low"))))</f>
        <v/>
      </c>
      <c r="AI29" s="4" t="n"/>
      <c r="AJ29" s="4" t="n"/>
    </row>
    <row r="30">
      <c r="A30" s="30">
        <f>IF(B30="","",COUNTIF(B$14:B30,"?*"))</f>
        <v/>
      </c>
      <c r="B30" s="4" t="n"/>
      <c r="C30" s="19" t="n"/>
      <c r="D30" s="5">
        <f>IF(OR(B30="",C30=""),"",UPPER(LEFT(C30,1))&amp;LOWER(MID(C30,2,30))&amp;" "&amp;LOWER(LEFT(B30,1))&amp;MID(B30,2,200))</f>
        <v/>
      </c>
      <c r="E30" s="4" t="n"/>
      <c r="F30" s="4" t="n"/>
      <c r="G30" s="4" t="n"/>
      <c r="H30" s="4" t="n"/>
      <c r="I30" s="4" t="n"/>
      <c r="J30" s="4" t="n"/>
      <c r="K30" s="5">
        <f>_xlfn.TEXTJOIN(CHAR(10),TRUE,IF(E30="","","• "&amp;E30),IF(F30="","","• "&amp;F30),IF(G30="","","• "&amp;G30),IF(H30="","","• "&amp;H30),IF(I30="","","• "&amp;I30),IF(J30="","","• "&amp;J30))</f>
        <v/>
      </c>
      <c r="L30" s="4" t="n"/>
      <c r="M30" s="19" t="n"/>
      <c r="N30" s="19" t="n"/>
      <c r="O30" s="30">
        <f>IF(OR(M30="",N30=""),"",INDEX(RiskGrid,6-VALUE(LEFT(M30,1)),VALUE(LEFT(N30,1))))</f>
        <v/>
      </c>
      <c r="P30" s="30">
        <f>IF(O30="","",IF(O30&gt;=BandVH,"Very High",IF(O30&gt;=BandHigh,"High",IF(O30&gt;=BandMed,"Medium","Low"))))</f>
        <v/>
      </c>
      <c r="Q30" s="4" t="n"/>
      <c r="R30" s="19" t="n"/>
      <c r="S30" s="4" t="n"/>
      <c r="T30" s="19" t="n"/>
      <c r="U30" s="4" t="n"/>
      <c r="V30" s="19" t="n"/>
      <c r="W30" s="4" t="n"/>
      <c r="X30" s="19" t="n"/>
      <c r="Y30" s="4" t="n"/>
      <c r="Z30" s="19" t="n"/>
      <c r="AA30" s="4" t="n"/>
      <c r="AB30" s="19" t="n"/>
      <c r="AC30" s="5">
        <f>_xlfn.TEXTJOIN(CHAR(10),TRUE,IF(Q30="","","• "&amp;Q30&amp;IF(R30="Yes","  [IPL]","")),IF(S30="","","• "&amp;S30&amp;IF(T30="Yes","  [IPL]","")),IF(U30="","","• "&amp;U30&amp;IF(V30="Yes","  [IPL]","")),IF(W30="","","• "&amp;W30&amp;IF(X30="Yes","  [IPL]","")),IF(Y30="","","• "&amp;Y30&amp;IF(Z30="Yes","  [IPL]","")),IF(AA30="","","• "&amp;AA30&amp;IF(AB30="Yes","  [IPL]","")))</f>
        <v/>
      </c>
      <c r="AD30" s="30">
        <f>IF(AC30="","",COUNTIF(Q30:AB30,"Yes"))</f>
        <v/>
      </c>
      <c r="AE30" s="19" t="n"/>
      <c r="AF30" s="19" t="n"/>
      <c r="AG30" s="30">
        <f>IF(OR(AE30="",AF30=""),"",INDEX(RiskGrid,6-VALUE(LEFT(AE30,1)),VALUE(LEFT(AF30,1))))</f>
        <v/>
      </c>
      <c r="AH30" s="30">
        <f>IF(AG30="","",IF(AG30&gt;=BandVH,"Very High",IF(AG30&gt;=BandHigh,"High",IF(AG30&gt;=BandMed,"Medium","Low"))))</f>
        <v/>
      </c>
      <c r="AI30" s="4" t="n"/>
      <c r="AJ30" s="4" t="n"/>
    </row>
    <row r="31">
      <c r="A31" s="30">
        <f>IF(B31="","",COUNTIF(B$14:B31,"?*"))</f>
        <v/>
      </c>
      <c r="B31" s="4" t="n"/>
      <c r="C31" s="19" t="n"/>
      <c r="D31" s="5">
        <f>IF(OR(B31="",C31=""),"",UPPER(LEFT(C31,1))&amp;LOWER(MID(C31,2,30))&amp;" "&amp;LOWER(LEFT(B31,1))&amp;MID(B31,2,200))</f>
        <v/>
      </c>
      <c r="E31" s="4" t="n"/>
      <c r="F31" s="4" t="n"/>
      <c r="G31" s="4" t="n"/>
      <c r="H31" s="4" t="n"/>
      <c r="I31" s="4" t="n"/>
      <c r="J31" s="4" t="n"/>
      <c r="K31" s="5">
        <f>_xlfn.TEXTJOIN(CHAR(10),TRUE,IF(E31="","","• "&amp;E31),IF(F31="","","• "&amp;F31),IF(G31="","","• "&amp;G31),IF(H31="","","• "&amp;H31),IF(I31="","","• "&amp;I31),IF(J31="","","• "&amp;J31))</f>
        <v/>
      </c>
      <c r="L31" s="4" t="n"/>
      <c r="M31" s="19" t="n"/>
      <c r="N31" s="19" t="n"/>
      <c r="O31" s="30">
        <f>IF(OR(M31="",N31=""),"",INDEX(RiskGrid,6-VALUE(LEFT(M31,1)),VALUE(LEFT(N31,1))))</f>
        <v/>
      </c>
      <c r="P31" s="30">
        <f>IF(O31="","",IF(O31&gt;=BandVH,"Very High",IF(O31&gt;=BandHigh,"High",IF(O31&gt;=BandMed,"Medium","Low"))))</f>
        <v/>
      </c>
      <c r="Q31" s="4" t="n"/>
      <c r="R31" s="19" t="n"/>
      <c r="S31" s="4" t="n"/>
      <c r="T31" s="19" t="n"/>
      <c r="U31" s="4" t="n"/>
      <c r="V31" s="19" t="n"/>
      <c r="W31" s="4" t="n"/>
      <c r="X31" s="19" t="n"/>
      <c r="Y31" s="4" t="n"/>
      <c r="Z31" s="19" t="n"/>
      <c r="AA31" s="4" t="n"/>
      <c r="AB31" s="19" t="n"/>
      <c r="AC31" s="5">
        <f>_xlfn.TEXTJOIN(CHAR(10),TRUE,IF(Q31="","","• "&amp;Q31&amp;IF(R31="Yes","  [IPL]","")),IF(S31="","","• "&amp;S31&amp;IF(T31="Yes","  [IPL]","")),IF(U31="","","• "&amp;U31&amp;IF(V31="Yes","  [IPL]","")),IF(W31="","","• "&amp;W31&amp;IF(X31="Yes","  [IPL]","")),IF(Y31="","","• "&amp;Y31&amp;IF(Z31="Yes","  [IPL]","")),IF(AA31="","","• "&amp;AA31&amp;IF(AB31="Yes","  [IPL]","")))</f>
        <v/>
      </c>
      <c r="AD31" s="30">
        <f>IF(AC31="","",COUNTIF(Q31:AB31,"Yes"))</f>
        <v/>
      </c>
      <c r="AE31" s="19" t="n"/>
      <c r="AF31" s="19" t="n"/>
      <c r="AG31" s="30">
        <f>IF(OR(AE31="",AF31=""),"",INDEX(RiskGrid,6-VALUE(LEFT(AE31,1)),VALUE(LEFT(AF31,1))))</f>
        <v/>
      </c>
      <c r="AH31" s="30">
        <f>IF(AG31="","",IF(AG31&gt;=BandVH,"Very High",IF(AG31&gt;=BandHigh,"High",IF(AG31&gt;=BandMed,"Medium","Low"))))</f>
        <v/>
      </c>
      <c r="AI31" s="4" t="n"/>
      <c r="AJ31" s="4" t="n"/>
    </row>
    <row r="32">
      <c r="A32" s="30">
        <f>IF(B32="","",COUNTIF(B$14:B32,"?*"))</f>
        <v/>
      </c>
      <c r="B32" s="4" t="n"/>
      <c r="C32" s="19" t="n"/>
      <c r="D32" s="5">
        <f>IF(OR(B32="",C32=""),"",UPPER(LEFT(C32,1))&amp;LOWER(MID(C32,2,30))&amp;" "&amp;LOWER(LEFT(B32,1))&amp;MID(B32,2,200))</f>
        <v/>
      </c>
      <c r="E32" s="4" t="n"/>
      <c r="F32" s="4" t="n"/>
      <c r="G32" s="4" t="n"/>
      <c r="H32" s="4" t="n"/>
      <c r="I32" s="4" t="n"/>
      <c r="J32" s="4" t="n"/>
      <c r="K32" s="5">
        <f>_xlfn.TEXTJOIN(CHAR(10),TRUE,IF(E32="","","• "&amp;E32),IF(F32="","","• "&amp;F32),IF(G32="","","• "&amp;G32),IF(H32="","","• "&amp;H32),IF(I32="","","• "&amp;I32),IF(J32="","","• "&amp;J32))</f>
        <v/>
      </c>
      <c r="L32" s="4" t="n"/>
      <c r="M32" s="19" t="n"/>
      <c r="N32" s="19" t="n"/>
      <c r="O32" s="30">
        <f>IF(OR(M32="",N32=""),"",INDEX(RiskGrid,6-VALUE(LEFT(M32,1)),VALUE(LEFT(N32,1))))</f>
        <v/>
      </c>
      <c r="P32" s="30">
        <f>IF(O32="","",IF(O32&gt;=BandVH,"Very High",IF(O32&gt;=BandHigh,"High",IF(O32&gt;=BandMed,"Medium","Low"))))</f>
        <v/>
      </c>
      <c r="Q32" s="4" t="n"/>
      <c r="R32" s="19" t="n"/>
      <c r="S32" s="4" t="n"/>
      <c r="T32" s="19" t="n"/>
      <c r="U32" s="4" t="n"/>
      <c r="V32" s="19" t="n"/>
      <c r="W32" s="4" t="n"/>
      <c r="X32" s="19" t="n"/>
      <c r="Y32" s="4" t="n"/>
      <c r="Z32" s="19" t="n"/>
      <c r="AA32" s="4" t="n"/>
      <c r="AB32" s="19" t="n"/>
      <c r="AC32" s="5">
        <f>_xlfn.TEXTJOIN(CHAR(10),TRUE,IF(Q32="","","• "&amp;Q32&amp;IF(R32="Yes","  [IPL]","")),IF(S32="","","• "&amp;S32&amp;IF(T32="Yes","  [IPL]","")),IF(U32="","","• "&amp;U32&amp;IF(V32="Yes","  [IPL]","")),IF(W32="","","• "&amp;W32&amp;IF(X32="Yes","  [IPL]","")),IF(Y32="","","• "&amp;Y32&amp;IF(Z32="Yes","  [IPL]","")),IF(AA32="","","• "&amp;AA32&amp;IF(AB32="Yes","  [IPL]","")))</f>
        <v/>
      </c>
      <c r="AD32" s="30">
        <f>IF(AC32="","",COUNTIF(Q32:AB32,"Yes"))</f>
        <v/>
      </c>
      <c r="AE32" s="19" t="n"/>
      <c r="AF32" s="19" t="n"/>
      <c r="AG32" s="30">
        <f>IF(OR(AE32="",AF32=""),"",INDEX(RiskGrid,6-VALUE(LEFT(AE32,1)),VALUE(LEFT(AF32,1))))</f>
        <v/>
      </c>
      <c r="AH32" s="30">
        <f>IF(AG32="","",IF(AG32&gt;=BandVH,"Very High",IF(AG32&gt;=BandHigh,"High",IF(AG32&gt;=BandMed,"Medium","Low"))))</f>
        <v/>
      </c>
      <c r="AI32" s="4" t="n"/>
      <c r="AJ32" s="4" t="n"/>
    </row>
    <row r="33">
      <c r="A33" s="30">
        <f>IF(B33="","",COUNTIF(B$14:B33,"?*"))</f>
        <v/>
      </c>
      <c r="B33" s="4" t="n"/>
      <c r="C33" s="19" t="n"/>
      <c r="D33" s="5">
        <f>IF(OR(B33="",C33=""),"",UPPER(LEFT(C33,1))&amp;LOWER(MID(C33,2,30))&amp;" "&amp;LOWER(LEFT(B33,1))&amp;MID(B33,2,200))</f>
        <v/>
      </c>
      <c r="E33" s="4" t="n"/>
      <c r="F33" s="4" t="n"/>
      <c r="G33" s="4" t="n"/>
      <c r="H33" s="4" t="n"/>
      <c r="I33" s="4" t="n"/>
      <c r="J33" s="4" t="n"/>
      <c r="K33" s="5">
        <f>_xlfn.TEXTJOIN(CHAR(10),TRUE,IF(E33="","","• "&amp;E33),IF(F33="","","• "&amp;F33),IF(G33="","","• "&amp;G33),IF(H33="","","• "&amp;H33),IF(I33="","","• "&amp;I33),IF(J33="","","• "&amp;J33))</f>
        <v/>
      </c>
      <c r="L33" s="4" t="n"/>
      <c r="M33" s="19" t="n"/>
      <c r="N33" s="19" t="n"/>
      <c r="O33" s="30">
        <f>IF(OR(M33="",N33=""),"",INDEX(RiskGrid,6-VALUE(LEFT(M33,1)),VALUE(LEFT(N33,1))))</f>
        <v/>
      </c>
      <c r="P33" s="30">
        <f>IF(O33="","",IF(O33&gt;=BandVH,"Very High",IF(O33&gt;=BandHigh,"High",IF(O33&gt;=BandMed,"Medium","Low"))))</f>
        <v/>
      </c>
      <c r="Q33" s="4" t="n"/>
      <c r="R33" s="19" t="n"/>
      <c r="S33" s="4" t="n"/>
      <c r="T33" s="19" t="n"/>
      <c r="U33" s="4" t="n"/>
      <c r="V33" s="19" t="n"/>
      <c r="W33" s="4" t="n"/>
      <c r="X33" s="19" t="n"/>
      <c r="Y33" s="4" t="n"/>
      <c r="Z33" s="19" t="n"/>
      <c r="AA33" s="4" t="n"/>
      <c r="AB33" s="19" t="n"/>
      <c r="AC33" s="5">
        <f>_xlfn.TEXTJOIN(CHAR(10),TRUE,IF(Q33="","","• "&amp;Q33&amp;IF(R33="Yes","  [IPL]","")),IF(S33="","","• "&amp;S33&amp;IF(T33="Yes","  [IPL]","")),IF(U33="","","• "&amp;U33&amp;IF(V33="Yes","  [IPL]","")),IF(W33="","","• "&amp;W33&amp;IF(X33="Yes","  [IPL]","")),IF(Y33="","","• "&amp;Y33&amp;IF(Z33="Yes","  [IPL]","")),IF(AA33="","","• "&amp;AA33&amp;IF(AB33="Yes","  [IPL]","")))</f>
        <v/>
      </c>
      <c r="AD33" s="30">
        <f>IF(AC33="","",COUNTIF(Q33:AB33,"Yes"))</f>
        <v/>
      </c>
      <c r="AE33" s="19" t="n"/>
      <c r="AF33" s="19" t="n"/>
      <c r="AG33" s="30">
        <f>IF(OR(AE33="",AF33=""),"",INDEX(RiskGrid,6-VALUE(LEFT(AE33,1)),VALUE(LEFT(AF33,1))))</f>
        <v/>
      </c>
      <c r="AH33" s="30">
        <f>IF(AG33="","",IF(AG33&gt;=BandVH,"Very High",IF(AG33&gt;=BandHigh,"High",IF(AG33&gt;=BandMed,"Medium","Low"))))</f>
        <v/>
      </c>
      <c r="AI33" s="4" t="n"/>
      <c r="AJ33" s="4" t="n"/>
    </row>
    <row r="34">
      <c r="A34" s="30">
        <f>IF(B34="","",COUNTIF(B$14:B34,"?*"))</f>
        <v/>
      </c>
      <c r="B34" s="4" t="n"/>
      <c r="C34" s="19" t="n"/>
      <c r="D34" s="5">
        <f>IF(OR(B34="",C34=""),"",UPPER(LEFT(C34,1))&amp;LOWER(MID(C34,2,30))&amp;" "&amp;LOWER(LEFT(B34,1))&amp;MID(B34,2,200))</f>
        <v/>
      </c>
      <c r="E34" s="4" t="n"/>
      <c r="F34" s="4" t="n"/>
      <c r="G34" s="4" t="n"/>
      <c r="H34" s="4" t="n"/>
      <c r="I34" s="4" t="n"/>
      <c r="J34" s="4" t="n"/>
      <c r="K34" s="5">
        <f>_xlfn.TEXTJOIN(CHAR(10),TRUE,IF(E34="","","• "&amp;E34),IF(F34="","","• "&amp;F34),IF(G34="","","• "&amp;G34),IF(H34="","","• "&amp;H34),IF(I34="","","• "&amp;I34),IF(J34="","","• "&amp;J34))</f>
        <v/>
      </c>
      <c r="L34" s="4" t="n"/>
      <c r="M34" s="19" t="n"/>
      <c r="N34" s="19" t="n"/>
      <c r="O34" s="30">
        <f>IF(OR(M34="",N34=""),"",INDEX(RiskGrid,6-VALUE(LEFT(M34,1)),VALUE(LEFT(N34,1))))</f>
        <v/>
      </c>
      <c r="P34" s="30">
        <f>IF(O34="","",IF(O34&gt;=BandVH,"Very High",IF(O34&gt;=BandHigh,"High",IF(O34&gt;=BandMed,"Medium","Low"))))</f>
        <v/>
      </c>
      <c r="Q34" s="4" t="n"/>
      <c r="R34" s="19" t="n"/>
      <c r="S34" s="4" t="n"/>
      <c r="T34" s="19" t="n"/>
      <c r="U34" s="4" t="n"/>
      <c r="V34" s="19" t="n"/>
      <c r="W34" s="4" t="n"/>
      <c r="X34" s="19" t="n"/>
      <c r="Y34" s="4" t="n"/>
      <c r="Z34" s="19" t="n"/>
      <c r="AA34" s="4" t="n"/>
      <c r="AB34" s="19" t="n"/>
      <c r="AC34" s="5">
        <f>_xlfn.TEXTJOIN(CHAR(10),TRUE,IF(Q34="","","• "&amp;Q34&amp;IF(R34="Yes","  [IPL]","")),IF(S34="","","• "&amp;S34&amp;IF(T34="Yes","  [IPL]","")),IF(U34="","","• "&amp;U34&amp;IF(V34="Yes","  [IPL]","")),IF(W34="","","• "&amp;W34&amp;IF(X34="Yes","  [IPL]","")),IF(Y34="","","• "&amp;Y34&amp;IF(Z34="Yes","  [IPL]","")),IF(AA34="","","• "&amp;AA34&amp;IF(AB34="Yes","  [IPL]","")))</f>
        <v/>
      </c>
      <c r="AD34" s="30">
        <f>IF(AC34="","",COUNTIF(Q34:AB34,"Yes"))</f>
        <v/>
      </c>
      <c r="AE34" s="19" t="n"/>
      <c r="AF34" s="19" t="n"/>
      <c r="AG34" s="30">
        <f>IF(OR(AE34="",AF34=""),"",INDEX(RiskGrid,6-VALUE(LEFT(AE34,1)),VALUE(LEFT(AF34,1))))</f>
        <v/>
      </c>
      <c r="AH34" s="30">
        <f>IF(AG34="","",IF(AG34&gt;=BandVH,"Very High",IF(AG34&gt;=BandHigh,"High",IF(AG34&gt;=BandMed,"Medium","Low"))))</f>
        <v/>
      </c>
      <c r="AI34" s="4" t="n"/>
      <c r="AJ34" s="4" t="n"/>
    </row>
    <row r="35">
      <c r="A35" s="30">
        <f>IF(B35="","",COUNTIF(B$14:B35,"?*"))</f>
        <v/>
      </c>
      <c r="B35" s="4" t="n"/>
      <c r="C35" s="19" t="n"/>
      <c r="D35" s="5">
        <f>IF(OR(B35="",C35=""),"",UPPER(LEFT(C35,1))&amp;LOWER(MID(C35,2,30))&amp;" "&amp;LOWER(LEFT(B35,1))&amp;MID(B35,2,200))</f>
        <v/>
      </c>
      <c r="E35" s="4" t="n"/>
      <c r="F35" s="4" t="n"/>
      <c r="G35" s="4" t="n"/>
      <c r="H35" s="4" t="n"/>
      <c r="I35" s="4" t="n"/>
      <c r="J35" s="4" t="n"/>
      <c r="K35" s="5">
        <f>_xlfn.TEXTJOIN(CHAR(10),TRUE,IF(E35="","","• "&amp;E35),IF(F35="","","• "&amp;F35),IF(G35="","","• "&amp;G35),IF(H35="","","• "&amp;H35),IF(I35="","","• "&amp;I35),IF(J35="","","• "&amp;J35))</f>
        <v/>
      </c>
      <c r="L35" s="4" t="n"/>
      <c r="M35" s="19" t="n"/>
      <c r="N35" s="19" t="n"/>
      <c r="O35" s="30">
        <f>IF(OR(M35="",N35=""),"",INDEX(RiskGrid,6-VALUE(LEFT(M35,1)),VALUE(LEFT(N35,1))))</f>
        <v/>
      </c>
      <c r="P35" s="30">
        <f>IF(O35="","",IF(O35&gt;=BandVH,"Very High",IF(O35&gt;=BandHigh,"High",IF(O35&gt;=BandMed,"Medium","Low"))))</f>
        <v/>
      </c>
      <c r="Q35" s="4" t="n"/>
      <c r="R35" s="19" t="n"/>
      <c r="S35" s="4" t="n"/>
      <c r="T35" s="19" t="n"/>
      <c r="U35" s="4" t="n"/>
      <c r="V35" s="19" t="n"/>
      <c r="W35" s="4" t="n"/>
      <c r="X35" s="19" t="n"/>
      <c r="Y35" s="4" t="n"/>
      <c r="Z35" s="19" t="n"/>
      <c r="AA35" s="4" t="n"/>
      <c r="AB35" s="19" t="n"/>
      <c r="AC35" s="5">
        <f>_xlfn.TEXTJOIN(CHAR(10),TRUE,IF(Q35="","","• "&amp;Q35&amp;IF(R35="Yes","  [IPL]","")),IF(S35="","","• "&amp;S35&amp;IF(T35="Yes","  [IPL]","")),IF(U35="","","• "&amp;U35&amp;IF(V35="Yes","  [IPL]","")),IF(W35="","","• "&amp;W35&amp;IF(X35="Yes","  [IPL]","")),IF(Y35="","","• "&amp;Y35&amp;IF(Z35="Yes","  [IPL]","")),IF(AA35="","","• "&amp;AA35&amp;IF(AB35="Yes","  [IPL]","")))</f>
        <v/>
      </c>
      <c r="AD35" s="30">
        <f>IF(AC35="","",COUNTIF(Q35:AB35,"Yes"))</f>
        <v/>
      </c>
      <c r="AE35" s="19" t="n"/>
      <c r="AF35" s="19" t="n"/>
      <c r="AG35" s="30">
        <f>IF(OR(AE35="",AF35=""),"",INDEX(RiskGrid,6-VALUE(LEFT(AE35,1)),VALUE(LEFT(AF35,1))))</f>
        <v/>
      </c>
      <c r="AH35" s="30">
        <f>IF(AG35="","",IF(AG35&gt;=BandVH,"Very High",IF(AG35&gt;=BandHigh,"High",IF(AG35&gt;=BandMed,"Medium","Low"))))</f>
        <v/>
      </c>
      <c r="AI35" s="4" t="n"/>
      <c r="AJ35" s="4" t="n"/>
    </row>
    <row r="36">
      <c r="A36" s="30">
        <f>IF(B36="","",COUNTIF(B$14:B36,"?*"))</f>
        <v/>
      </c>
      <c r="B36" s="4" t="n"/>
      <c r="C36" s="19" t="n"/>
      <c r="D36" s="5">
        <f>IF(OR(B36="",C36=""),"",UPPER(LEFT(C36,1))&amp;LOWER(MID(C36,2,30))&amp;" "&amp;LOWER(LEFT(B36,1))&amp;MID(B36,2,200))</f>
        <v/>
      </c>
      <c r="E36" s="4" t="n"/>
      <c r="F36" s="4" t="n"/>
      <c r="G36" s="4" t="n"/>
      <c r="H36" s="4" t="n"/>
      <c r="I36" s="4" t="n"/>
      <c r="J36" s="4" t="n"/>
      <c r="K36" s="5">
        <f>_xlfn.TEXTJOIN(CHAR(10),TRUE,IF(E36="","","• "&amp;E36),IF(F36="","","• "&amp;F36),IF(G36="","","• "&amp;G36),IF(H36="","","• "&amp;H36),IF(I36="","","• "&amp;I36),IF(J36="","","• "&amp;J36))</f>
        <v/>
      </c>
      <c r="L36" s="4" t="n"/>
      <c r="M36" s="19" t="n"/>
      <c r="N36" s="19" t="n"/>
      <c r="O36" s="30">
        <f>IF(OR(M36="",N36=""),"",INDEX(RiskGrid,6-VALUE(LEFT(M36,1)),VALUE(LEFT(N36,1))))</f>
        <v/>
      </c>
      <c r="P36" s="30">
        <f>IF(O36="","",IF(O36&gt;=BandVH,"Very High",IF(O36&gt;=BandHigh,"High",IF(O36&gt;=BandMed,"Medium","Low"))))</f>
        <v/>
      </c>
      <c r="Q36" s="4" t="n"/>
      <c r="R36" s="19" t="n"/>
      <c r="S36" s="4" t="n"/>
      <c r="T36" s="19" t="n"/>
      <c r="U36" s="4" t="n"/>
      <c r="V36" s="19" t="n"/>
      <c r="W36" s="4" t="n"/>
      <c r="X36" s="19" t="n"/>
      <c r="Y36" s="4" t="n"/>
      <c r="Z36" s="19" t="n"/>
      <c r="AA36" s="4" t="n"/>
      <c r="AB36" s="19" t="n"/>
      <c r="AC36" s="5">
        <f>_xlfn.TEXTJOIN(CHAR(10),TRUE,IF(Q36="","","• "&amp;Q36&amp;IF(R36="Yes","  [IPL]","")),IF(S36="","","• "&amp;S36&amp;IF(T36="Yes","  [IPL]","")),IF(U36="","","• "&amp;U36&amp;IF(V36="Yes","  [IPL]","")),IF(W36="","","• "&amp;W36&amp;IF(X36="Yes","  [IPL]","")),IF(Y36="","","• "&amp;Y36&amp;IF(Z36="Yes","  [IPL]","")),IF(AA36="","","• "&amp;AA36&amp;IF(AB36="Yes","  [IPL]","")))</f>
        <v/>
      </c>
      <c r="AD36" s="30">
        <f>IF(AC36="","",COUNTIF(Q36:AB36,"Yes"))</f>
        <v/>
      </c>
      <c r="AE36" s="19" t="n"/>
      <c r="AF36" s="19" t="n"/>
      <c r="AG36" s="30">
        <f>IF(OR(AE36="",AF36=""),"",INDEX(RiskGrid,6-VALUE(LEFT(AE36,1)),VALUE(LEFT(AF36,1))))</f>
        <v/>
      </c>
      <c r="AH36" s="30">
        <f>IF(AG36="","",IF(AG36&gt;=BandVH,"Very High",IF(AG36&gt;=BandHigh,"High",IF(AG36&gt;=BandMed,"Medium","Low"))))</f>
        <v/>
      </c>
      <c r="AI36" s="4" t="n"/>
      <c r="AJ36" s="4" t="n"/>
    </row>
    <row r="37">
      <c r="A37" s="30">
        <f>IF(B37="","",COUNTIF(B$14:B37,"?*"))</f>
        <v/>
      </c>
      <c r="B37" s="4" t="n"/>
      <c r="C37" s="19" t="n"/>
      <c r="D37" s="5">
        <f>IF(OR(B37="",C37=""),"",UPPER(LEFT(C37,1))&amp;LOWER(MID(C37,2,30))&amp;" "&amp;LOWER(LEFT(B37,1))&amp;MID(B37,2,200))</f>
        <v/>
      </c>
      <c r="E37" s="4" t="n"/>
      <c r="F37" s="4" t="n"/>
      <c r="G37" s="4" t="n"/>
      <c r="H37" s="4" t="n"/>
      <c r="I37" s="4" t="n"/>
      <c r="J37" s="4" t="n"/>
      <c r="K37" s="5">
        <f>_xlfn.TEXTJOIN(CHAR(10),TRUE,IF(E37="","","• "&amp;E37),IF(F37="","","• "&amp;F37),IF(G37="","","• "&amp;G37),IF(H37="","","• "&amp;H37),IF(I37="","","• "&amp;I37),IF(J37="","","• "&amp;J37))</f>
        <v/>
      </c>
      <c r="L37" s="4" t="n"/>
      <c r="M37" s="19" t="n"/>
      <c r="N37" s="19" t="n"/>
      <c r="O37" s="30">
        <f>IF(OR(M37="",N37=""),"",INDEX(RiskGrid,6-VALUE(LEFT(M37,1)),VALUE(LEFT(N37,1))))</f>
        <v/>
      </c>
      <c r="P37" s="30">
        <f>IF(O37="","",IF(O37&gt;=BandVH,"Very High",IF(O37&gt;=BandHigh,"High",IF(O37&gt;=BandMed,"Medium","Low"))))</f>
        <v/>
      </c>
      <c r="Q37" s="4" t="n"/>
      <c r="R37" s="19" t="n"/>
      <c r="S37" s="4" t="n"/>
      <c r="T37" s="19" t="n"/>
      <c r="U37" s="4" t="n"/>
      <c r="V37" s="19" t="n"/>
      <c r="W37" s="4" t="n"/>
      <c r="X37" s="19" t="n"/>
      <c r="Y37" s="4" t="n"/>
      <c r="Z37" s="19" t="n"/>
      <c r="AA37" s="4" t="n"/>
      <c r="AB37" s="19" t="n"/>
      <c r="AC37" s="5">
        <f>_xlfn.TEXTJOIN(CHAR(10),TRUE,IF(Q37="","","• "&amp;Q37&amp;IF(R37="Yes","  [IPL]","")),IF(S37="","","• "&amp;S37&amp;IF(T37="Yes","  [IPL]","")),IF(U37="","","• "&amp;U37&amp;IF(V37="Yes","  [IPL]","")),IF(W37="","","• "&amp;W37&amp;IF(X37="Yes","  [IPL]","")),IF(Y37="","","• "&amp;Y37&amp;IF(Z37="Yes","  [IPL]","")),IF(AA37="","","• "&amp;AA37&amp;IF(AB37="Yes","  [IPL]","")))</f>
        <v/>
      </c>
      <c r="AD37" s="30">
        <f>IF(AC37="","",COUNTIF(Q37:AB37,"Yes"))</f>
        <v/>
      </c>
      <c r="AE37" s="19" t="n"/>
      <c r="AF37" s="19" t="n"/>
      <c r="AG37" s="30">
        <f>IF(OR(AE37="",AF37=""),"",INDEX(RiskGrid,6-VALUE(LEFT(AE37,1)),VALUE(LEFT(AF37,1))))</f>
        <v/>
      </c>
      <c r="AH37" s="30">
        <f>IF(AG37="","",IF(AG37&gt;=BandVH,"Very High",IF(AG37&gt;=BandHigh,"High",IF(AG37&gt;=BandMed,"Medium","Low"))))</f>
        <v/>
      </c>
      <c r="AI37" s="4" t="n"/>
      <c r="AJ37" s="4" t="n"/>
    </row>
    <row r="38">
      <c r="A38" s="30">
        <f>IF(B38="","",COUNTIF(B$14:B38,"?*"))</f>
        <v/>
      </c>
      <c r="B38" s="4" t="n"/>
      <c r="C38" s="19" t="n"/>
      <c r="D38" s="5">
        <f>IF(OR(B38="",C38=""),"",UPPER(LEFT(C38,1))&amp;LOWER(MID(C38,2,30))&amp;" "&amp;LOWER(LEFT(B38,1))&amp;MID(B38,2,200))</f>
        <v/>
      </c>
      <c r="E38" s="4" t="n"/>
      <c r="F38" s="4" t="n"/>
      <c r="G38" s="4" t="n"/>
      <c r="H38" s="4" t="n"/>
      <c r="I38" s="4" t="n"/>
      <c r="J38" s="4" t="n"/>
      <c r="K38" s="5">
        <f>_xlfn.TEXTJOIN(CHAR(10),TRUE,IF(E38="","","• "&amp;E38),IF(F38="","","• "&amp;F38),IF(G38="","","• "&amp;G38),IF(H38="","","• "&amp;H38),IF(I38="","","• "&amp;I38),IF(J38="","","• "&amp;J38))</f>
        <v/>
      </c>
      <c r="L38" s="4" t="n"/>
      <c r="M38" s="19" t="n"/>
      <c r="N38" s="19" t="n"/>
      <c r="O38" s="30">
        <f>IF(OR(M38="",N38=""),"",INDEX(RiskGrid,6-VALUE(LEFT(M38,1)),VALUE(LEFT(N38,1))))</f>
        <v/>
      </c>
      <c r="P38" s="30">
        <f>IF(O38="","",IF(O38&gt;=BandVH,"Very High",IF(O38&gt;=BandHigh,"High",IF(O38&gt;=BandMed,"Medium","Low"))))</f>
        <v/>
      </c>
      <c r="Q38" s="4" t="n"/>
      <c r="R38" s="19" t="n"/>
      <c r="S38" s="4" t="n"/>
      <c r="T38" s="19" t="n"/>
      <c r="U38" s="4" t="n"/>
      <c r="V38" s="19" t="n"/>
      <c r="W38" s="4" t="n"/>
      <c r="X38" s="19" t="n"/>
      <c r="Y38" s="4" t="n"/>
      <c r="Z38" s="19" t="n"/>
      <c r="AA38" s="4" t="n"/>
      <c r="AB38" s="19" t="n"/>
      <c r="AC38" s="5">
        <f>_xlfn.TEXTJOIN(CHAR(10),TRUE,IF(Q38="","","• "&amp;Q38&amp;IF(R38="Yes","  [IPL]","")),IF(S38="","","• "&amp;S38&amp;IF(T38="Yes","  [IPL]","")),IF(U38="","","• "&amp;U38&amp;IF(V38="Yes","  [IPL]","")),IF(W38="","","• "&amp;W38&amp;IF(X38="Yes","  [IPL]","")),IF(Y38="","","• "&amp;Y38&amp;IF(Z38="Yes","  [IPL]","")),IF(AA38="","","• "&amp;AA38&amp;IF(AB38="Yes","  [IPL]","")))</f>
        <v/>
      </c>
      <c r="AD38" s="30">
        <f>IF(AC38="","",COUNTIF(Q38:AB38,"Yes"))</f>
        <v/>
      </c>
      <c r="AE38" s="19" t="n"/>
      <c r="AF38" s="19" t="n"/>
      <c r="AG38" s="30">
        <f>IF(OR(AE38="",AF38=""),"",INDEX(RiskGrid,6-VALUE(LEFT(AE38,1)),VALUE(LEFT(AF38,1))))</f>
        <v/>
      </c>
      <c r="AH38" s="30">
        <f>IF(AG38="","",IF(AG38&gt;=BandVH,"Very High",IF(AG38&gt;=BandHigh,"High",IF(AG38&gt;=BandMed,"Medium","Low"))))</f>
        <v/>
      </c>
      <c r="AI38" s="4" t="n"/>
      <c r="AJ38" s="4" t="n"/>
    </row>
    <row r="39">
      <c r="A39" s="30">
        <f>IF(B39="","",COUNTIF(B$14:B39,"?*"))</f>
        <v/>
      </c>
      <c r="B39" s="4" t="n"/>
      <c r="C39" s="19" t="n"/>
      <c r="D39" s="5">
        <f>IF(OR(B39="",C39=""),"",UPPER(LEFT(C39,1))&amp;LOWER(MID(C39,2,30))&amp;" "&amp;LOWER(LEFT(B39,1))&amp;MID(B39,2,200))</f>
        <v/>
      </c>
      <c r="E39" s="4" t="n"/>
      <c r="F39" s="4" t="n"/>
      <c r="G39" s="4" t="n"/>
      <c r="H39" s="4" t="n"/>
      <c r="I39" s="4" t="n"/>
      <c r="J39" s="4" t="n"/>
      <c r="K39" s="5">
        <f>_xlfn.TEXTJOIN(CHAR(10),TRUE,IF(E39="","","• "&amp;E39),IF(F39="","","• "&amp;F39),IF(G39="","","• "&amp;G39),IF(H39="","","• "&amp;H39),IF(I39="","","• "&amp;I39),IF(J39="","","• "&amp;J39))</f>
        <v/>
      </c>
      <c r="L39" s="4" t="n"/>
      <c r="M39" s="19" t="n"/>
      <c r="N39" s="19" t="n"/>
      <c r="O39" s="30">
        <f>IF(OR(M39="",N39=""),"",INDEX(RiskGrid,6-VALUE(LEFT(M39,1)),VALUE(LEFT(N39,1))))</f>
        <v/>
      </c>
      <c r="P39" s="30">
        <f>IF(O39="","",IF(O39&gt;=BandVH,"Very High",IF(O39&gt;=BandHigh,"High",IF(O39&gt;=BandMed,"Medium","Low"))))</f>
        <v/>
      </c>
      <c r="Q39" s="4" t="n"/>
      <c r="R39" s="19" t="n"/>
      <c r="S39" s="4" t="n"/>
      <c r="T39" s="19" t="n"/>
      <c r="U39" s="4" t="n"/>
      <c r="V39" s="19" t="n"/>
      <c r="W39" s="4" t="n"/>
      <c r="X39" s="19" t="n"/>
      <c r="Y39" s="4" t="n"/>
      <c r="Z39" s="19" t="n"/>
      <c r="AA39" s="4" t="n"/>
      <c r="AB39" s="19" t="n"/>
      <c r="AC39" s="5">
        <f>_xlfn.TEXTJOIN(CHAR(10),TRUE,IF(Q39="","","• "&amp;Q39&amp;IF(R39="Yes","  [IPL]","")),IF(S39="","","• "&amp;S39&amp;IF(T39="Yes","  [IPL]","")),IF(U39="","","• "&amp;U39&amp;IF(V39="Yes","  [IPL]","")),IF(W39="","","• "&amp;W39&amp;IF(X39="Yes","  [IPL]","")),IF(Y39="","","• "&amp;Y39&amp;IF(Z39="Yes","  [IPL]","")),IF(AA39="","","• "&amp;AA39&amp;IF(AB39="Yes","  [IPL]","")))</f>
        <v/>
      </c>
      <c r="AD39" s="30">
        <f>IF(AC39="","",COUNTIF(Q39:AB39,"Yes"))</f>
        <v/>
      </c>
      <c r="AE39" s="19" t="n"/>
      <c r="AF39" s="19" t="n"/>
      <c r="AG39" s="30">
        <f>IF(OR(AE39="",AF39=""),"",INDEX(RiskGrid,6-VALUE(LEFT(AE39,1)),VALUE(LEFT(AF39,1))))</f>
        <v/>
      </c>
      <c r="AH39" s="30">
        <f>IF(AG39="","",IF(AG39&gt;=BandVH,"Very High",IF(AG39&gt;=BandHigh,"High",IF(AG39&gt;=BandMed,"Medium","Low"))))</f>
        <v/>
      </c>
      <c r="AI39" s="4" t="n"/>
      <c r="AJ39" s="4" t="n"/>
    </row>
    <row r="40">
      <c r="A40" s="30">
        <f>IF(B40="","",COUNTIF(B$14:B40,"?*"))</f>
        <v/>
      </c>
      <c r="B40" s="4" t="n"/>
      <c r="C40" s="19" t="n"/>
      <c r="D40" s="5">
        <f>IF(OR(B40="",C40=""),"",UPPER(LEFT(C40,1))&amp;LOWER(MID(C40,2,30))&amp;" "&amp;LOWER(LEFT(B40,1))&amp;MID(B40,2,200))</f>
        <v/>
      </c>
      <c r="E40" s="4" t="n"/>
      <c r="F40" s="4" t="n"/>
      <c r="G40" s="4" t="n"/>
      <c r="H40" s="4" t="n"/>
      <c r="I40" s="4" t="n"/>
      <c r="J40" s="4" t="n"/>
      <c r="K40" s="5">
        <f>_xlfn.TEXTJOIN(CHAR(10),TRUE,IF(E40="","","• "&amp;E40),IF(F40="","","• "&amp;F40),IF(G40="","","• "&amp;G40),IF(H40="","","• "&amp;H40),IF(I40="","","• "&amp;I40),IF(J40="","","• "&amp;J40))</f>
        <v/>
      </c>
      <c r="L40" s="4" t="n"/>
      <c r="M40" s="19" t="n"/>
      <c r="N40" s="19" t="n"/>
      <c r="O40" s="30">
        <f>IF(OR(M40="",N40=""),"",INDEX(RiskGrid,6-VALUE(LEFT(M40,1)),VALUE(LEFT(N40,1))))</f>
        <v/>
      </c>
      <c r="P40" s="30">
        <f>IF(O40="","",IF(O40&gt;=BandVH,"Very High",IF(O40&gt;=BandHigh,"High",IF(O40&gt;=BandMed,"Medium","Low"))))</f>
        <v/>
      </c>
      <c r="Q40" s="4" t="n"/>
      <c r="R40" s="19" t="n"/>
      <c r="S40" s="4" t="n"/>
      <c r="T40" s="19" t="n"/>
      <c r="U40" s="4" t="n"/>
      <c r="V40" s="19" t="n"/>
      <c r="W40" s="4" t="n"/>
      <c r="X40" s="19" t="n"/>
      <c r="Y40" s="4" t="n"/>
      <c r="Z40" s="19" t="n"/>
      <c r="AA40" s="4" t="n"/>
      <c r="AB40" s="19" t="n"/>
      <c r="AC40" s="5">
        <f>_xlfn.TEXTJOIN(CHAR(10),TRUE,IF(Q40="","","• "&amp;Q40&amp;IF(R40="Yes","  [IPL]","")),IF(S40="","","• "&amp;S40&amp;IF(T40="Yes","  [IPL]","")),IF(U40="","","• "&amp;U40&amp;IF(V40="Yes","  [IPL]","")),IF(W40="","","• "&amp;W40&amp;IF(X40="Yes","  [IPL]","")),IF(Y40="","","• "&amp;Y40&amp;IF(Z40="Yes","  [IPL]","")),IF(AA40="","","• "&amp;AA40&amp;IF(AB40="Yes","  [IPL]","")))</f>
        <v/>
      </c>
      <c r="AD40" s="30">
        <f>IF(AC40="","",COUNTIF(Q40:AB40,"Yes"))</f>
        <v/>
      </c>
      <c r="AE40" s="19" t="n"/>
      <c r="AF40" s="19" t="n"/>
      <c r="AG40" s="30">
        <f>IF(OR(AE40="",AF40=""),"",INDEX(RiskGrid,6-VALUE(LEFT(AE40,1)),VALUE(LEFT(AF40,1))))</f>
        <v/>
      </c>
      <c r="AH40" s="30">
        <f>IF(AG40="","",IF(AG40&gt;=BandVH,"Very High",IF(AG40&gt;=BandHigh,"High",IF(AG40&gt;=BandMed,"Medium","Low"))))</f>
        <v/>
      </c>
      <c r="AI40" s="4" t="n"/>
      <c r="AJ40" s="4" t="n"/>
    </row>
    <row r="41">
      <c r="A41" s="30">
        <f>IF(B41="","",COUNTIF(B$14:B41,"?*"))</f>
        <v/>
      </c>
      <c r="B41" s="4" t="n"/>
      <c r="C41" s="19" t="n"/>
      <c r="D41" s="5">
        <f>IF(OR(B41="",C41=""),"",UPPER(LEFT(C41,1))&amp;LOWER(MID(C41,2,30))&amp;" "&amp;LOWER(LEFT(B41,1))&amp;MID(B41,2,200))</f>
        <v/>
      </c>
      <c r="E41" s="4" t="n"/>
      <c r="F41" s="4" t="n"/>
      <c r="G41" s="4" t="n"/>
      <c r="H41" s="4" t="n"/>
      <c r="I41" s="4" t="n"/>
      <c r="J41" s="4" t="n"/>
      <c r="K41" s="5">
        <f>_xlfn.TEXTJOIN(CHAR(10),TRUE,IF(E41="","","• "&amp;E41),IF(F41="","","• "&amp;F41),IF(G41="","","• "&amp;G41),IF(H41="","","• "&amp;H41),IF(I41="","","• "&amp;I41),IF(J41="","","• "&amp;J41))</f>
        <v/>
      </c>
      <c r="L41" s="4" t="n"/>
      <c r="M41" s="19" t="n"/>
      <c r="N41" s="19" t="n"/>
      <c r="O41" s="30">
        <f>IF(OR(M41="",N41=""),"",INDEX(RiskGrid,6-VALUE(LEFT(M41,1)),VALUE(LEFT(N41,1))))</f>
        <v/>
      </c>
      <c r="P41" s="30">
        <f>IF(O41="","",IF(O41&gt;=BandVH,"Very High",IF(O41&gt;=BandHigh,"High",IF(O41&gt;=BandMed,"Medium","Low"))))</f>
        <v/>
      </c>
      <c r="Q41" s="4" t="n"/>
      <c r="R41" s="19" t="n"/>
      <c r="S41" s="4" t="n"/>
      <c r="T41" s="19" t="n"/>
      <c r="U41" s="4" t="n"/>
      <c r="V41" s="19" t="n"/>
      <c r="W41" s="4" t="n"/>
      <c r="X41" s="19" t="n"/>
      <c r="Y41" s="4" t="n"/>
      <c r="Z41" s="19" t="n"/>
      <c r="AA41" s="4" t="n"/>
      <c r="AB41" s="19" t="n"/>
      <c r="AC41" s="5">
        <f>_xlfn.TEXTJOIN(CHAR(10),TRUE,IF(Q41="","","• "&amp;Q41&amp;IF(R41="Yes","  [IPL]","")),IF(S41="","","• "&amp;S41&amp;IF(T41="Yes","  [IPL]","")),IF(U41="","","• "&amp;U41&amp;IF(V41="Yes","  [IPL]","")),IF(W41="","","• "&amp;W41&amp;IF(X41="Yes","  [IPL]","")),IF(Y41="","","• "&amp;Y41&amp;IF(Z41="Yes","  [IPL]","")),IF(AA41="","","• "&amp;AA41&amp;IF(AB41="Yes","  [IPL]","")))</f>
        <v/>
      </c>
      <c r="AD41" s="30">
        <f>IF(AC41="","",COUNTIF(Q41:AB41,"Yes"))</f>
        <v/>
      </c>
      <c r="AE41" s="19" t="n"/>
      <c r="AF41" s="19" t="n"/>
      <c r="AG41" s="30">
        <f>IF(OR(AE41="",AF41=""),"",INDEX(RiskGrid,6-VALUE(LEFT(AE41,1)),VALUE(LEFT(AF41,1))))</f>
        <v/>
      </c>
      <c r="AH41" s="30">
        <f>IF(AG41="","",IF(AG41&gt;=BandVH,"Very High",IF(AG41&gt;=BandHigh,"High",IF(AG41&gt;=BandMed,"Medium","Low"))))</f>
        <v/>
      </c>
      <c r="AI41" s="4" t="n"/>
      <c r="AJ41" s="4" t="n"/>
    </row>
    <row r="42">
      <c r="A42" s="30">
        <f>IF(B42="","",COUNTIF(B$14:B42,"?*"))</f>
        <v/>
      </c>
      <c r="B42" s="4" t="n"/>
      <c r="C42" s="19" t="n"/>
      <c r="D42" s="5">
        <f>IF(OR(B42="",C42=""),"",UPPER(LEFT(C42,1))&amp;LOWER(MID(C42,2,30))&amp;" "&amp;LOWER(LEFT(B42,1))&amp;MID(B42,2,200))</f>
        <v/>
      </c>
      <c r="E42" s="4" t="n"/>
      <c r="F42" s="4" t="n"/>
      <c r="G42" s="4" t="n"/>
      <c r="H42" s="4" t="n"/>
      <c r="I42" s="4" t="n"/>
      <c r="J42" s="4" t="n"/>
      <c r="K42" s="5">
        <f>_xlfn.TEXTJOIN(CHAR(10),TRUE,IF(E42="","","• "&amp;E42),IF(F42="","","• "&amp;F42),IF(G42="","","• "&amp;G42),IF(H42="","","• "&amp;H42),IF(I42="","","• "&amp;I42),IF(J42="","","• "&amp;J42))</f>
        <v/>
      </c>
      <c r="L42" s="4" t="n"/>
      <c r="M42" s="19" t="n"/>
      <c r="N42" s="19" t="n"/>
      <c r="O42" s="30">
        <f>IF(OR(M42="",N42=""),"",INDEX(RiskGrid,6-VALUE(LEFT(M42,1)),VALUE(LEFT(N42,1))))</f>
        <v/>
      </c>
      <c r="P42" s="30">
        <f>IF(O42="","",IF(O42&gt;=BandVH,"Very High",IF(O42&gt;=BandHigh,"High",IF(O42&gt;=BandMed,"Medium","Low"))))</f>
        <v/>
      </c>
      <c r="Q42" s="4" t="n"/>
      <c r="R42" s="19" t="n"/>
      <c r="S42" s="4" t="n"/>
      <c r="T42" s="19" t="n"/>
      <c r="U42" s="4" t="n"/>
      <c r="V42" s="19" t="n"/>
      <c r="W42" s="4" t="n"/>
      <c r="X42" s="19" t="n"/>
      <c r="Y42" s="4" t="n"/>
      <c r="Z42" s="19" t="n"/>
      <c r="AA42" s="4" t="n"/>
      <c r="AB42" s="19" t="n"/>
      <c r="AC42" s="5">
        <f>_xlfn.TEXTJOIN(CHAR(10),TRUE,IF(Q42="","","• "&amp;Q42&amp;IF(R42="Yes","  [IPL]","")),IF(S42="","","• "&amp;S42&amp;IF(T42="Yes","  [IPL]","")),IF(U42="","","• "&amp;U42&amp;IF(V42="Yes","  [IPL]","")),IF(W42="","","• "&amp;W42&amp;IF(X42="Yes","  [IPL]","")),IF(Y42="","","• "&amp;Y42&amp;IF(Z42="Yes","  [IPL]","")),IF(AA42="","","• "&amp;AA42&amp;IF(AB42="Yes","  [IPL]","")))</f>
        <v/>
      </c>
      <c r="AD42" s="30">
        <f>IF(AC42="","",COUNTIF(Q42:AB42,"Yes"))</f>
        <v/>
      </c>
      <c r="AE42" s="19" t="n"/>
      <c r="AF42" s="19" t="n"/>
      <c r="AG42" s="30">
        <f>IF(OR(AE42="",AF42=""),"",INDEX(RiskGrid,6-VALUE(LEFT(AE42,1)),VALUE(LEFT(AF42,1))))</f>
        <v/>
      </c>
      <c r="AH42" s="30">
        <f>IF(AG42="","",IF(AG42&gt;=BandVH,"Very High",IF(AG42&gt;=BandHigh,"High",IF(AG42&gt;=BandMed,"Medium","Low"))))</f>
        <v/>
      </c>
      <c r="AI42" s="4" t="n"/>
      <c r="AJ42" s="4" t="n"/>
    </row>
    <row r="43">
      <c r="A43" s="30">
        <f>IF(B43="","",COUNTIF(B$14:B43,"?*"))</f>
        <v/>
      </c>
      <c r="B43" s="4" t="n"/>
      <c r="C43" s="19" t="n"/>
      <c r="D43" s="5">
        <f>IF(OR(B43="",C43=""),"",UPPER(LEFT(C43,1))&amp;LOWER(MID(C43,2,30))&amp;" "&amp;LOWER(LEFT(B43,1))&amp;MID(B43,2,200))</f>
        <v/>
      </c>
      <c r="E43" s="4" t="n"/>
      <c r="F43" s="4" t="n"/>
      <c r="G43" s="4" t="n"/>
      <c r="H43" s="4" t="n"/>
      <c r="I43" s="4" t="n"/>
      <c r="J43" s="4" t="n"/>
      <c r="K43" s="5">
        <f>_xlfn.TEXTJOIN(CHAR(10),TRUE,IF(E43="","","• "&amp;E43),IF(F43="","","• "&amp;F43),IF(G43="","","• "&amp;G43),IF(H43="","","• "&amp;H43),IF(I43="","","• "&amp;I43),IF(J43="","","• "&amp;J43))</f>
        <v/>
      </c>
      <c r="L43" s="4" t="n"/>
      <c r="M43" s="19" t="n"/>
      <c r="N43" s="19" t="n"/>
      <c r="O43" s="30">
        <f>IF(OR(M43="",N43=""),"",INDEX(RiskGrid,6-VALUE(LEFT(M43,1)),VALUE(LEFT(N43,1))))</f>
        <v/>
      </c>
      <c r="P43" s="30">
        <f>IF(O43="","",IF(O43&gt;=BandVH,"Very High",IF(O43&gt;=BandHigh,"High",IF(O43&gt;=BandMed,"Medium","Low"))))</f>
        <v/>
      </c>
      <c r="Q43" s="4" t="n"/>
      <c r="R43" s="19" t="n"/>
      <c r="S43" s="4" t="n"/>
      <c r="T43" s="19" t="n"/>
      <c r="U43" s="4" t="n"/>
      <c r="V43" s="19" t="n"/>
      <c r="W43" s="4" t="n"/>
      <c r="X43" s="19" t="n"/>
      <c r="Y43" s="4" t="n"/>
      <c r="Z43" s="19" t="n"/>
      <c r="AA43" s="4" t="n"/>
      <c r="AB43" s="19" t="n"/>
      <c r="AC43" s="5">
        <f>_xlfn.TEXTJOIN(CHAR(10),TRUE,IF(Q43="","","• "&amp;Q43&amp;IF(R43="Yes","  [IPL]","")),IF(S43="","","• "&amp;S43&amp;IF(T43="Yes","  [IPL]","")),IF(U43="","","• "&amp;U43&amp;IF(V43="Yes","  [IPL]","")),IF(W43="","","• "&amp;W43&amp;IF(X43="Yes","  [IPL]","")),IF(Y43="","","• "&amp;Y43&amp;IF(Z43="Yes","  [IPL]","")),IF(AA43="","","• "&amp;AA43&amp;IF(AB43="Yes","  [IPL]","")))</f>
        <v/>
      </c>
      <c r="AD43" s="30">
        <f>IF(AC43="","",COUNTIF(Q43:AB43,"Yes"))</f>
        <v/>
      </c>
      <c r="AE43" s="19" t="n"/>
      <c r="AF43" s="19" t="n"/>
      <c r="AG43" s="30">
        <f>IF(OR(AE43="",AF43=""),"",INDEX(RiskGrid,6-VALUE(LEFT(AE43,1)),VALUE(LEFT(AF43,1))))</f>
        <v/>
      </c>
      <c r="AH43" s="30">
        <f>IF(AG43="","",IF(AG43&gt;=BandVH,"Very High",IF(AG43&gt;=BandHigh,"High",IF(AG43&gt;=BandMed,"Medium","Low"))))</f>
        <v/>
      </c>
      <c r="AI43" s="4" t="n"/>
      <c r="AJ43" s="4" t="n"/>
    </row>
    <row r="44">
      <c r="A44" s="30">
        <f>IF(B44="","",COUNTIF(B$14:B44,"?*"))</f>
        <v/>
      </c>
      <c r="B44" s="4" t="n"/>
      <c r="C44" s="19" t="n"/>
      <c r="D44" s="5">
        <f>IF(OR(B44="",C44=""),"",UPPER(LEFT(C44,1))&amp;LOWER(MID(C44,2,30))&amp;" "&amp;LOWER(LEFT(B44,1))&amp;MID(B44,2,200))</f>
        <v/>
      </c>
      <c r="E44" s="4" t="n"/>
      <c r="F44" s="4" t="n"/>
      <c r="G44" s="4" t="n"/>
      <c r="H44" s="4" t="n"/>
      <c r="I44" s="4" t="n"/>
      <c r="J44" s="4" t="n"/>
      <c r="K44" s="5">
        <f>_xlfn.TEXTJOIN(CHAR(10),TRUE,IF(E44="","","• "&amp;E44),IF(F44="","","• "&amp;F44),IF(G44="","","• "&amp;G44),IF(H44="","","• "&amp;H44),IF(I44="","","• "&amp;I44),IF(J44="","","• "&amp;J44))</f>
        <v/>
      </c>
      <c r="L44" s="4" t="n"/>
      <c r="M44" s="19" t="n"/>
      <c r="N44" s="19" t="n"/>
      <c r="O44" s="30">
        <f>IF(OR(M44="",N44=""),"",INDEX(RiskGrid,6-VALUE(LEFT(M44,1)),VALUE(LEFT(N44,1))))</f>
        <v/>
      </c>
      <c r="P44" s="30">
        <f>IF(O44="","",IF(O44&gt;=BandVH,"Very High",IF(O44&gt;=BandHigh,"High",IF(O44&gt;=BandMed,"Medium","Low"))))</f>
        <v/>
      </c>
      <c r="Q44" s="4" t="n"/>
      <c r="R44" s="19" t="n"/>
      <c r="S44" s="4" t="n"/>
      <c r="T44" s="19" t="n"/>
      <c r="U44" s="4" t="n"/>
      <c r="V44" s="19" t="n"/>
      <c r="W44" s="4" t="n"/>
      <c r="X44" s="19" t="n"/>
      <c r="Y44" s="4" t="n"/>
      <c r="Z44" s="19" t="n"/>
      <c r="AA44" s="4" t="n"/>
      <c r="AB44" s="19" t="n"/>
      <c r="AC44" s="5">
        <f>_xlfn.TEXTJOIN(CHAR(10),TRUE,IF(Q44="","","• "&amp;Q44&amp;IF(R44="Yes","  [IPL]","")),IF(S44="","","• "&amp;S44&amp;IF(T44="Yes","  [IPL]","")),IF(U44="","","• "&amp;U44&amp;IF(V44="Yes","  [IPL]","")),IF(W44="","","• "&amp;W44&amp;IF(X44="Yes","  [IPL]","")),IF(Y44="","","• "&amp;Y44&amp;IF(Z44="Yes","  [IPL]","")),IF(AA44="","","• "&amp;AA44&amp;IF(AB44="Yes","  [IPL]","")))</f>
        <v/>
      </c>
      <c r="AD44" s="30">
        <f>IF(AC44="","",COUNTIF(Q44:AB44,"Yes"))</f>
        <v/>
      </c>
      <c r="AE44" s="19" t="n"/>
      <c r="AF44" s="19" t="n"/>
      <c r="AG44" s="30">
        <f>IF(OR(AE44="",AF44=""),"",INDEX(RiskGrid,6-VALUE(LEFT(AE44,1)),VALUE(LEFT(AF44,1))))</f>
        <v/>
      </c>
      <c r="AH44" s="30">
        <f>IF(AG44="","",IF(AG44&gt;=BandVH,"Very High",IF(AG44&gt;=BandHigh,"High",IF(AG44&gt;=BandMed,"Medium","Low"))))</f>
        <v/>
      </c>
      <c r="AI44" s="4" t="n"/>
      <c r="AJ44" s="4" t="n"/>
    </row>
    <row r="45">
      <c r="A45" s="30">
        <f>IF(B45="","",COUNTIF(B$14:B45,"?*"))</f>
        <v/>
      </c>
      <c r="B45" s="4" t="n"/>
      <c r="C45" s="19" t="n"/>
      <c r="D45" s="5">
        <f>IF(OR(B45="",C45=""),"",UPPER(LEFT(C45,1))&amp;LOWER(MID(C45,2,30))&amp;" "&amp;LOWER(LEFT(B45,1))&amp;MID(B45,2,200))</f>
        <v/>
      </c>
      <c r="E45" s="4" t="n"/>
      <c r="F45" s="4" t="n"/>
      <c r="G45" s="4" t="n"/>
      <c r="H45" s="4" t="n"/>
      <c r="I45" s="4" t="n"/>
      <c r="J45" s="4" t="n"/>
      <c r="K45" s="5">
        <f>_xlfn.TEXTJOIN(CHAR(10),TRUE,IF(E45="","","• "&amp;E45),IF(F45="","","• "&amp;F45),IF(G45="","","• "&amp;G45),IF(H45="","","• "&amp;H45),IF(I45="","","• "&amp;I45),IF(J45="","","• "&amp;J45))</f>
        <v/>
      </c>
      <c r="L45" s="4" t="n"/>
      <c r="M45" s="19" t="n"/>
      <c r="N45" s="19" t="n"/>
      <c r="O45" s="30">
        <f>IF(OR(M45="",N45=""),"",INDEX(RiskGrid,6-VALUE(LEFT(M45,1)),VALUE(LEFT(N45,1))))</f>
        <v/>
      </c>
      <c r="P45" s="30">
        <f>IF(O45="","",IF(O45&gt;=BandVH,"Very High",IF(O45&gt;=BandHigh,"High",IF(O45&gt;=BandMed,"Medium","Low"))))</f>
        <v/>
      </c>
      <c r="Q45" s="4" t="n"/>
      <c r="R45" s="19" t="n"/>
      <c r="S45" s="4" t="n"/>
      <c r="T45" s="19" t="n"/>
      <c r="U45" s="4" t="n"/>
      <c r="V45" s="19" t="n"/>
      <c r="W45" s="4" t="n"/>
      <c r="X45" s="19" t="n"/>
      <c r="Y45" s="4" t="n"/>
      <c r="Z45" s="19" t="n"/>
      <c r="AA45" s="4" t="n"/>
      <c r="AB45" s="19" t="n"/>
      <c r="AC45" s="5">
        <f>_xlfn.TEXTJOIN(CHAR(10),TRUE,IF(Q45="","","• "&amp;Q45&amp;IF(R45="Yes","  [IPL]","")),IF(S45="","","• "&amp;S45&amp;IF(T45="Yes","  [IPL]","")),IF(U45="","","• "&amp;U45&amp;IF(V45="Yes","  [IPL]","")),IF(W45="","","• "&amp;W45&amp;IF(X45="Yes","  [IPL]","")),IF(Y45="","","• "&amp;Y45&amp;IF(Z45="Yes","  [IPL]","")),IF(AA45="","","• "&amp;AA45&amp;IF(AB45="Yes","  [IPL]","")))</f>
        <v/>
      </c>
      <c r="AD45" s="30">
        <f>IF(AC45="","",COUNTIF(Q45:AB45,"Yes"))</f>
        <v/>
      </c>
      <c r="AE45" s="19" t="n"/>
      <c r="AF45" s="19" t="n"/>
      <c r="AG45" s="30">
        <f>IF(OR(AE45="",AF45=""),"",INDEX(RiskGrid,6-VALUE(LEFT(AE45,1)),VALUE(LEFT(AF45,1))))</f>
        <v/>
      </c>
      <c r="AH45" s="30">
        <f>IF(AG45="","",IF(AG45&gt;=BandVH,"Very High",IF(AG45&gt;=BandHigh,"High",IF(AG45&gt;=BandMed,"Medium","Low"))))</f>
        <v/>
      </c>
      <c r="AI45" s="4" t="n"/>
      <c r="AJ45" s="4" t="n"/>
    </row>
    <row r="46">
      <c r="A46" s="30">
        <f>IF(B46="","",COUNTIF(B$14:B46,"?*"))</f>
        <v/>
      </c>
      <c r="B46" s="4" t="n"/>
      <c r="C46" s="19" t="n"/>
      <c r="D46" s="5">
        <f>IF(OR(B46="",C46=""),"",UPPER(LEFT(C46,1))&amp;LOWER(MID(C46,2,30))&amp;" "&amp;LOWER(LEFT(B46,1))&amp;MID(B46,2,200))</f>
        <v/>
      </c>
      <c r="E46" s="4" t="n"/>
      <c r="F46" s="4" t="n"/>
      <c r="G46" s="4" t="n"/>
      <c r="H46" s="4" t="n"/>
      <c r="I46" s="4" t="n"/>
      <c r="J46" s="4" t="n"/>
      <c r="K46" s="5">
        <f>_xlfn.TEXTJOIN(CHAR(10),TRUE,IF(E46="","","• "&amp;E46),IF(F46="","","• "&amp;F46),IF(G46="","","• "&amp;G46),IF(H46="","","• "&amp;H46),IF(I46="","","• "&amp;I46),IF(J46="","","• "&amp;J46))</f>
        <v/>
      </c>
      <c r="L46" s="4" t="n"/>
      <c r="M46" s="19" t="n"/>
      <c r="N46" s="19" t="n"/>
      <c r="O46" s="30">
        <f>IF(OR(M46="",N46=""),"",INDEX(RiskGrid,6-VALUE(LEFT(M46,1)),VALUE(LEFT(N46,1))))</f>
        <v/>
      </c>
      <c r="P46" s="30">
        <f>IF(O46="","",IF(O46&gt;=BandVH,"Very High",IF(O46&gt;=BandHigh,"High",IF(O46&gt;=BandMed,"Medium","Low"))))</f>
        <v/>
      </c>
      <c r="Q46" s="4" t="n"/>
      <c r="R46" s="19" t="n"/>
      <c r="S46" s="4" t="n"/>
      <c r="T46" s="19" t="n"/>
      <c r="U46" s="4" t="n"/>
      <c r="V46" s="19" t="n"/>
      <c r="W46" s="4" t="n"/>
      <c r="X46" s="19" t="n"/>
      <c r="Y46" s="4" t="n"/>
      <c r="Z46" s="19" t="n"/>
      <c r="AA46" s="4" t="n"/>
      <c r="AB46" s="19" t="n"/>
      <c r="AC46" s="5">
        <f>_xlfn.TEXTJOIN(CHAR(10),TRUE,IF(Q46="","","• "&amp;Q46&amp;IF(R46="Yes","  [IPL]","")),IF(S46="","","• "&amp;S46&amp;IF(T46="Yes","  [IPL]","")),IF(U46="","","• "&amp;U46&amp;IF(V46="Yes","  [IPL]","")),IF(W46="","","• "&amp;W46&amp;IF(X46="Yes","  [IPL]","")),IF(Y46="","","• "&amp;Y46&amp;IF(Z46="Yes","  [IPL]","")),IF(AA46="","","• "&amp;AA46&amp;IF(AB46="Yes","  [IPL]","")))</f>
        <v/>
      </c>
      <c r="AD46" s="30">
        <f>IF(AC46="","",COUNTIF(Q46:AB46,"Yes"))</f>
        <v/>
      </c>
      <c r="AE46" s="19" t="n"/>
      <c r="AF46" s="19" t="n"/>
      <c r="AG46" s="30">
        <f>IF(OR(AE46="",AF46=""),"",INDEX(RiskGrid,6-VALUE(LEFT(AE46,1)),VALUE(LEFT(AF46,1))))</f>
        <v/>
      </c>
      <c r="AH46" s="30">
        <f>IF(AG46="","",IF(AG46&gt;=BandVH,"Very High",IF(AG46&gt;=BandHigh,"High",IF(AG46&gt;=BandMed,"Medium","Low"))))</f>
        <v/>
      </c>
      <c r="AI46" s="4" t="n"/>
      <c r="AJ46" s="4" t="n"/>
    </row>
    <row r="47">
      <c r="A47" s="30">
        <f>IF(B47="","",COUNTIF(B$14:B47,"?*"))</f>
        <v/>
      </c>
      <c r="B47" s="4" t="n"/>
      <c r="C47" s="19" t="n"/>
      <c r="D47" s="5">
        <f>IF(OR(B47="",C47=""),"",UPPER(LEFT(C47,1))&amp;LOWER(MID(C47,2,30))&amp;" "&amp;LOWER(LEFT(B47,1))&amp;MID(B47,2,200))</f>
        <v/>
      </c>
      <c r="E47" s="4" t="n"/>
      <c r="F47" s="4" t="n"/>
      <c r="G47" s="4" t="n"/>
      <c r="H47" s="4" t="n"/>
      <c r="I47" s="4" t="n"/>
      <c r="J47" s="4" t="n"/>
      <c r="K47" s="5">
        <f>_xlfn.TEXTJOIN(CHAR(10),TRUE,IF(E47="","","• "&amp;E47),IF(F47="","","• "&amp;F47),IF(G47="","","• "&amp;G47),IF(H47="","","• "&amp;H47),IF(I47="","","• "&amp;I47),IF(J47="","","• "&amp;J47))</f>
        <v/>
      </c>
      <c r="L47" s="4" t="n"/>
      <c r="M47" s="19" t="n"/>
      <c r="N47" s="19" t="n"/>
      <c r="O47" s="30">
        <f>IF(OR(M47="",N47=""),"",INDEX(RiskGrid,6-VALUE(LEFT(M47,1)),VALUE(LEFT(N47,1))))</f>
        <v/>
      </c>
      <c r="P47" s="30">
        <f>IF(O47="","",IF(O47&gt;=BandVH,"Very High",IF(O47&gt;=BandHigh,"High",IF(O47&gt;=BandMed,"Medium","Low"))))</f>
        <v/>
      </c>
      <c r="Q47" s="4" t="n"/>
      <c r="R47" s="19" t="n"/>
      <c r="S47" s="4" t="n"/>
      <c r="T47" s="19" t="n"/>
      <c r="U47" s="4" t="n"/>
      <c r="V47" s="19" t="n"/>
      <c r="W47" s="4" t="n"/>
      <c r="X47" s="19" t="n"/>
      <c r="Y47" s="4" t="n"/>
      <c r="Z47" s="19" t="n"/>
      <c r="AA47" s="4" t="n"/>
      <c r="AB47" s="19" t="n"/>
      <c r="AC47" s="5">
        <f>_xlfn.TEXTJOIN(CHAR(10),TRUE,IF(Q47="","","• "&amp;Q47&amp;IF(R47="Yes","  [IPL]","")),IF(S47="","","• "&amp;S47&amp;IF(T47="Yes","  [IPL]","")),IF(U47="","","• "&amp;U47&amp;IF(V47="Yes","  [IPL]","")),IF(W47="","","• "&amp;W47&amp;IF(X47="Yes","  [IPL]","")),IF(Y47="","","• "&amp;Y47&amp;IF(Z47="Yes","  [IPL]","")),IF(AA47="","","• "&amp;AA47&amp;IF(AB47="Yes","  [IPL]","")))</f>
        <v/>
      </c>
      <c r="AD47" s="30">
        <f>IF(AC47="","",COUNTIF(Q47:AB47,"Yes"))</f>
        <v/>
      </c>
      <c r="AE47" s="19" t="n"/>
      <c r="AF47" s="19" t="n"/>
      <c r="AG47" s="30">
        <f>IF(OR(AE47="",AF47=""),"",INDEX(RiskGrid,6-VALUE(LEFT(AE47,1)),VALUE(LEFT(AF47,1))))</f>
        <v/>
      </c>
      <c r="AH47" s="30">
        <f>IF(AG47="","",IF(AG47&gt;=BandVH,"Very High",IF(AG47&gt;=BandHigh,"High",IF(AG47&gt;=BandMed,"Medium","Low"))))</f>
        <v/>
      </c>
      <c r="AI47" s="4" t="n"/>
      <c r="AJ47" s="4" t="n"/>
    </row>
    <row r="48">
      <c r="A48" s="30">
        <f>IF(B48="","",COUNTIF(B$14:B48,"?*"))</f>
        <v/>
      </c>
      <c r="B48" s="4" t="n"/>
      <c r="C48" s="19" t="n"/>
      <c r="D48" s="5">
        <f>IF(OR(B48="",C48=""),"",UPPER(LEFT(C48,1))&amp;LOWER(MID(C48,2,30))&amp;" "&amp;LOWER(LEFT(B48,1))&amp;MID(B48,2,200))</f>
        <v/>
      </c>
      <c r="E48" s="4" t="n"/>
      <c r="F48" s="4" t="n"/>
      <c r="G48" s="4" t="n"/>
      <c r="H48" s="4" t="n"/>
      <c r="I48" s="4" t="n"/>
      <c r="J48" s="4" t="n"/>
      <c r="K48" s="5">
        <f>_xlfn.TEXTJOIN(CHAR(10),TRUE,IF(E48="","","• "&amp;E48),IF(F48="","","• "&amp;F48),IF(G48="","","• "&amp;G48),IF(H48="","","• "&amp;H48),IF(I48="","","• "&amp;I48),IF(J48="","","• "&amp;J48))</f>
        <v/>
      </c>
      <c r="L48" s="4" t="n"/>
      <c r="M48" s="19" t="n"/>
      <c r="N48" s="19" t="n"/>
      <c r="O48" s="30">
        <f>IF(OR(M48="",N48=""),"",INDEX(RiskGrid,6-VALUE(LEFT(M48,1)),VALUE(LEFT(N48,1))))</f>
        <v/>
      </c>
      <c r="P48" s="30">
        <f>IF(O48="","",IF(O48&gt;=BandVH,"Very High",IF(O48&gt;=BandHigh,"High",IF(O48&gt;=BandMed,"Medium","Low"))))</f>
        <v/>
      </c>
      <c r="Q48" s="4" t="n"/>
      <c r="R48" s="19" t="n"/>
      <c r="S48" s="4" t="n"/>
      <c r="T48" s="19" t="n"/>
      <c r="U48" s="4" t="n"/>
      <c r="V48" s="19" t="n"/>
      <c r="W48" s="4" t="n"/>
      <c r="X48" s="19" t="n"/>
      <c r="Y48" s="4" t="n"/>
      <c r="Z48" s="19" t="n"/>
      <c r="AA48" s="4" t="n"/>
      <c r="AB48" s="19" t="n"/>
      <c r="AC48" s="5">
        <f>_xlfn.TEXTJOIN(CHAR(10),TRUE,IF(Q48="","","• "&amp;Q48&amp;IF(R48="Yes","  [IPL]","")),IF(S48="","","• "&amp;S48&amp;IF(T48="Yes","  [IPL]","")),IF(U48="","","• "&amp;U48&amp;IF(V48="Yes","  [IPL]","")),IF(W48="","","• "&amp;W48&amp;IF(X48="Yes","  [IPL]","")),IF(Y48="","","• "&amp;Y48&amp;IF(Z48="Yes","  [IPL]","")),IF(AA48="","","• "&amp;AA48&amp;IF(AB48="Yes","  [IPL]","")))</f>
        <v/>
      </c>
      <c r="AD48" s="30">
        <f>IF(AC48="","",COUNTIF(Q48:AB48,"Yes"))</f>
        <v/>
      </c>
      <c r="AE48" s="19" t="n"/>
      <c r="AF48" s="19" t="n"/>
      <c r="AG48" s="30">
        <f>IF(OR(AE48="",AF48=""),"",INDEX(RiskGrid,6-VALUE(LEFT(AE48,1)),VALUE(LEFT(AF48,1))))</f>
        <v/>
      </c>
      <c r="AH48" s="30">
        <f>IF(AG48="","",IF(AG48&gt;=BandVH,"Very High",IF(AG48&gt;=BandHigh,"High",IF(AG48&gt;=BandMed,"Medium","Low"))))</f>
        <v/>
      </c>
      <c r="AI48" s="4" t="n"/>
      <c r="AJ48" s="4" t="n"/>
    </row>
    <row r="49">
      <c r="A49" s="30">
        <f>IF(B49="","",COUNTIF(B$14:B49,"?*"))</f>
        <v/>
      </c>
      <c r="B49" s="4" t="n"/>
      <c r="C49" s="19" t="n"/>
      <c r="D49" s="5">
        <f>IF(OR(B49="",C49=""),"",UPPER(LEFT(C49,1))&amp;LOWER(MID(C49,2,30))&amp;" "&amp;LOWER(LEFT(B49,1))&amp;MID(B49,2,200))</f>
        <v/>
      </c>
      <c r="E49" s="4" t="n"/>
      <c r="F49" s="4" t="n"/>
      <c r="G49" s="4" t="n"/>
      <c r="H49" s="4" t="n"/>
      <c r="I49" s="4" t="n"/>
      <c r="J49" s="4" t="n"/>
      <c r="K49" s="5">
        <f>_xlfn.TEXTJOIN(CHAR(10),TRUE,IF(E49="","","• "&amp;E49),IF(F49="","","• "&amp;F49),IF(G49="","","• "&amp;G49),IF(H49="","","• "&amp;H49),IF(I49="","","• "&amp;I49),IF(J49="","","• "&amp;J49))</f>
        <v/>
      </c>
      <c r="L49" s="4" t="n"/>
      <c r="M49" s="19" t="n"/>
      <c r="N49" s="19" t="n"/>
      <c r="O49" s="30">
        <f>IF(OR(M49="",N49=""),"",INDEX(RiskGrid,6-VALUE(LEFT(M49,1)),VALUE(LEFT(N49,1))))</f>
        <v/>
      </c>
      <c r="P49" s="30">
        <f>IF(O49="","",IF(O49&gt;=BandVH,"Very High",IF(O49&gt;=BandHigh,"High",IF(O49&gt;=BandMed,"Medium","Low"))))</f>
        <v/>
      </c>
      <c r="Q49" s="4" t="n"/>
      <c r="R49" s="19" t="n"/>
      <c r="S49" s="4" t="n"/>
      <c r="T49" s="19" t="n"/>
      <c r="U49" s="4" t="n"/>
      <c r="V49" s="19" t="n"/>
      <c r="W49" s="4" t="n"/>
      <c r="X49" s="19" t="n"/>
      <c r="Y49" s="4" t="n"/>
      <c r="Z49" s="19" t="n"/>
      <c r="AA49" s="4" t="n"/>
      <c r="AB49" s="19" t="n"/>
      <c r="AC49" s="5">
        <f>_xlfn.TEXTJOIN(CHAR(10),TRUE,IF(Q49="","","• "&amp;Q49&amp;IF(R49="Yes","  [IPL]","")),IF(S49="","","• "&amp;S49&amp;IF(T49="Yes","  [IPL]","")),IF(U49="","","• "&amp;U49&amp;IF(V49="Yes","  [IPL]","")),IF(W49="","","• "&amp;W49&amp;IF(X49="Yes","  [IPL]","")),IF(Y49="","","• "&amp;Y49&amp;IF(Z49="Yes","  [IPL]","")),IF(AA49="","","• "&amp;AA49&amp;IF(AB49="Yes","  [IPL]","")))</f>
        <v/>
      </c>
      <c r="AD49" s="30">
        <f>IF(AC49="","",COUNTIF(Q49:AB49,"Yes"))</f>
        <v/>
      </c>
      <c r="AE49" s="19" t="n"/>
      <c r="AF49" s="19" t="n"/>
      <c r="AG49" s="30">
        <f>IF(OR(AE49="",AF49=""),"",INDEX(RiskGrid,6-VALUE(LEFT(AE49,1)),VALUE(LEFT(AF49,1))))</f>
        <v/>
      </c>
      <c r="AH49" s="30">
        <f>IF(AG49="","",IF(AG49&gt;=BandVH,"Very High",IF(AG49&gt;=BandHigh,"High",IF(AG49&gt;=BandMed,"Medium","Low"))))</f>
        <v/>
      </c>
      <c r="AI49" s="4" t="n"/>
      <c r="AJ49" s="4" t="n"/>
    </row>
    <row r="50">
      <c r="A50" s="30">
        <f>IF(B50="","",COUNTIF(B$14:B50,"?*"))</f>
        <v/>
      </c>
      <c r="B50" s="4" t="n"/>
      <c r="C50" s="19" t="n"/>
      <c r="D50" s="5">
        <f>IF(OR(B50="",C50=""),"",UPPER(LEFT(C50,1))&amp;LOWER(MID(C50,2,30))&amp;" "&amp;LOWER(LEFT(B50,1))&amp;MID(B50,2,200))</f>
        <v/>
      </c>
      <c r="E50" s="4" t="n"/>
      <c r="F50" s="4" t="n"/>
      <c r="G50" s="4" t="n"/>
      <c r="H50" s="4" t="n"/>
      <c r="I50" s="4" t="n"/>
      <c r="J50" s="4" t="n"/>
      <c r="K50" s="5">
        <f>_xlfn.TEXTJOIN(CHAR(10),TRUE,IF(E50="","","• "&amp;E50),IF(F50="","","• "&amp;F50),IF(G50="","","• "&amp;G50),IF(H50="","","• "&amp;H50),IF(I50="","","• "&amp;I50),IF(J50="","","• "&amp;J50))</f>
        <v/>
      </c>
      <c r="L50" s="4" t="n"/>
      <c r="M50" s="19" t="n"/>
      <c r="N50" s="19" t="n"/>
      <c r="O50" s="30">
        <f>IF(OR(M50="",N50=""),"",INDEX(RiskGrid,6-VALUE(LEFT(M50,1)),VALUE(LEFT(N50,1))))</f>
        <v/>
      </c>
      <c r="P50" s="30">
        <f>IF(O50="","",IF(O50&gt;=BandVH,"Very High",IF(O50&gt;=BandHigh,"High",IF(O50&gt;=BandMed,"Medium","Low"))))</f>
        <v/>
      </c>
      <c r="Q50" s="4" t="n"/>
      <c r="R50" s="19" t="n"/>
      <c r="S50" s="4" t="n"/>
      <c r="T50" s="19" t="n"/>
      <c r="U50" s="4" t="n"/>
      <c r="V50" s="19" t="n"/>
      <c r="W50" s="4" t="n"/>
      <c r="X50" s="19" t="n"/>
      <c r="Y50" s="4" t="n"/>
      <c r="Z50" s="19" t="n"/>
      <c r="AA50" s="4" t="n"/>
      <c r="AB50" s="19" t="n"/>
      <c r="AC50" s="5">
        <f>_xlfn.TEXTJOIN(CHAR(10),TRUE,IF(Q50="","","• "&amp;Q50&amp;IF(R50="Yes","  [IPL]","")),IF(S50="","","• "&amp;S50&amp;IF(T50="Yes","  [IPL]","")),IF(U50="","","• "&amp;U50&amp;IF(V50="Yes","  [IPL]","")),IF(W50="","","• "&amp;W50&amp;IF(X50="Yes","  [IPL]","")),IF(Y50="","","• "&amp;Y50&amp;IF(Z50="Yes","  [IPL]","")),IF(AA50="","","• "&amp;AA50&amp;IF(AB50="Yes","  [IPL]","")))</f>
        <v/>
      </c>
      <c r="AD50" s="30">
        <f>IF(AC50="","",COUNTIF(Q50:AB50,"Yes"))</f>
        <v/>
      </c>
      <c r="AE50" s="19" t="n"/>
      <c r="AF50" s="19" t="n"/>
      <c r="AG50" s="30">
        <f>IF(OR(AE50="",AF50=""),"",INDEX(RiskGrid,6-VALUE(LEFT(AE50,1)),VALUE(LEFT(AF50,1))))</f>
        <v/>
      </c>
      <c r="AH50" s="30">
        <f>IF(AG50="","",IF(AG50&gt;=BandVH,"Very High",IF(AG50&gt;=BandHigh,"High",IF(AG50&gt;=BandMed,"Medium","Low"))))</f>
        <v/>
      </c>
      <c r="AI50" s="4" t="n"/>
      <c r="AJ50" s="4" t="n"/>
    </row>
    <row r="51">
      <c r="A51" s="30">
        <f>IF(B51="","",COUNTIF(B$14:B51,"?*"))</f>
        <v/>
      </c>
      <c r="B51" s="4" t="n"/>
      <c r="C51" s="19" t="n"/>
      <c r="D51" s="5">
        <f>IF(OR(B51="",C51=""),"",UPPER(LEFT(C51,1))&amp;LOWER(MID(C51,2,30))&amp;" "&amp;LOWER(LEFT(B51,1))&amp;MID(B51,2,200))</f>
        <v/>
      </c>
      <c r="E51" s="4" t="n"/>
      <c r="F51" s="4" t="n"/>
      <c r="G51" s="4" t="n"/>
      <c r="H51" s="4" t="n"/>
      <c r="I51" s="4" t="n"/>
      <c r="J51" s="4" t="n"/>
      <c r="K51" s="5">
        <f>_xlfn.TEXTJOIN(CHAR(10),TRUE,IF(E51="","","• "&amp;E51),IF(F51="","","• "&amp;F51),IF(G51="","","• "&amp;G51),IF(H51="","","• "&amp;H51),IF(I51="","","• "&amp;I51),IF(J51="","","• "&amp;J51))</f>
        <v/>
      </c>
      <c r="L51" s="4" t="n"/>
      <c r="M51" s="19" t="n"/>
      <c r="N51" s="19" t="n"/>
      <c r="O51" s="30">
        <f>IF(OR(M51="",N51=""),"",INDEX(RiskGrid,6-VALUE(LEFT(M51,1)),VALUE(LEFT(N51,1))))</f>
        <v/>
      </c>
      <c r="P51" s="30">
        <f>IF(O51="","",IF(O51&gt;=BandVH,"Very High",IF(O51&gt;=BandHigh,"High",IF(O51&gt;=BandMed,"Medium","Low"))))</f>
        <v/>
      </c>
      <c r="Q51" s="4" t="n"/>
      <c r="R51" s="19" t="n"/>
      <c r="S51" s="4" t="n"/>
      <c r="T51" s="19" t="n"/>
      <c r="U51" s="4" t="n"/>
      <c r="V51" s="19" t="n"/>
      <c r="W51" s="4" t="n"/>
      <c r="X51" s="19" t="n"/>
      <c r="Y51" s="4" t="n"/>
      <c r="Z51" s="19" t="n"/>
      <c r="AA51" s="4" t="n"/>
      <c r="AB51" s="19" t="n"/>
      <c r="AC51" s="5">
        <f>_xlfn.TEXTJOIN(CHAR(10),TRUE,IF(Q51="","","• "&amp;Q51&amp;IF(R51="Yes","  [IPL]","")),IF(S51="","","• "&amp;S51&amp;IF(T51="Yes","  [IPL]","")),IF(U51="","","• "&amp;U51&amp;IF(V51="Yes","  [IPL]","")),IF(W51="","","• "&amp;W51&amp;IF(X51="Yes","  [IPL]","")),IF(Y51="","","• "&amp;Y51&amp;IF(Z51="Yes","  [IPL]","")),IF(AA51="","","• "&amp;AA51&amp;IF(AB51="Yes","  [IPL]","")))</f>
        <v/>
      </c>
      <c r="AD51" s="30">
        <f>IF(AC51="","",COUNTIF(Q51:AB51,"Yes"))</f>
        <v/>
      </c>
      <c r="AE51" s="19" t="n"/>
      <c r="AF51" s="19" t="n"/>
      <c r="AG51" s="30">
        <f>IF(OR(AE51="",AF51=""),"",INDEX(RiskGrid,6-VALUE(LEFT(AE51,1)),VALUE(LEFT(AF51,1))))</f>
        <v/>
      </c>
      <c r="AH51" s="30">
        <f>IF(AG51="","",IF(AG51&gt;=BandVH,"Very High",IF(AG51&gt;=BandHigh,"High",IF(AG51&gt;=BandMed,"Medium","Low"))))</f>
        <v/>
      </c>
      <c r="AI51" s="4" t="n"/>
      <c r="AJ51" s="4" t="n"/>
    </row>
    <row r="52">
      <c r="A52" s="30">
        <f>IF(B52="","",COUNTIF(B$14:B52,"?*"))</f>
        <v/>
      </c>
      <c r="B52" s="4" t="n"/>
      <c r="C52" s="19" t="n"/>
      <c r="D52" s="5">
        <f>IF(OR(B52="",C52=""),"",UPPER(LEFT(C52,1))&amp;LOWER(MID(C52,2,30))&amp;" "&amp;LOWER(LEFT(B52,1))&amp;MID(B52,2,200))</f>
        <v/>
      </c>
      <c r="E52" s="4" t="n"/>
      <c r="F52" s="4" t="n"/>
      <c r="G52" s="4" t="n"/>
      <c r="H52" s="4" t="n"/>
      <c r="I52" s="4" t="n"/>
      <c r="J52" s="4" t="n"/>
      <c r="K52" s="5">
        <f>_xlfn.TEXTJOIN(CHAR(10),TRUE,IF(E52="","","• "&amp;E52),IF(F52="","","• "&amp;F52),IF(G52="","","• "&amp;G52),IF(H52="","","• "&amp;H52),IF(I52="","","• "&amp;I52),IF(J52="","","• "&amp;J52))</f>
        <v/>
      </c>
      <c r="L52" s="4" t="n"/>
      <c r="M52" s="19" t="n"/>
      <c r="N52" s="19" t="n"/>
      <c r="O52" s="30">
        <f>IF(OR(M52="",N52=""),"",INDEX(RiskGrid,6-VALUE(LEFT(M52,1)),VALUE(LEFT(N52,1))))</f>
        <v/>
      </c>
      <c r="P52" s="30">
        <f>IF(O52="","",IF(O52&gt;=BandVH,"Very High",IF(O52&gt;=BandHigh,"High",IF(O52&gt;=BandMed,"Medium","Low"))))</f>
        <v/>
      </c>
      <c r="Q52" s="4" t="n"/>
      <c r="R52" s="19" t="n"/>
      <c r="S52" s="4" t="n"/>
      <c r="T52" s="19" t="n"/>
      <c r="U52" s="4" t="n"/>
      <c r="V52" s="19" t="n"/>
      <c r="W52" s="4" t="n"/>
      <c r="X52" s="19" t="n"/>
      <c r="Y52" s="4" t="n"/>
      <c r="Z52" s="19" t="n"/>
      <c r="AA52" s="4" t="n"/>
      <c r="AB52" s="19" t="n"/>
      <c r="AC52" s="5">
        <f>_xlfn.TEXTJOIN(CHAR(10),TRUE,IF(Q52="","","• "&amp;Q52&amp;IF(R52="Yes","  [IPL]","")),IF(S52="","","• "&amp;S52&amp;IF(T52="Yes","  [IPL]","")),IF(U52="","","• "&amp;U52&amp;IF(V52="Yes","  [IPL]","")),IF(W52="","","• "&amp;W52&amp;IF(X52="Yes","  [IPL]","")),IF(Y52="","","• "&amp;Y52&amp;IF(Z52="Yes","  [IPL]","")),IF(AA52="","","• "&amp;AA52&amp;IF(AB52="Yes","  [IPL]","")))</f>
        <v/>
      </c>
      <c r="AD52" s="30">
        <f>IF(AC52="","",COUNTIF(Q52:AB52,"Yes"))</f>
        <v/>
      </c>
      <c r="AE52" s="19" t="n"/>
      <c r="AF52" s="19" t="n"/>
      <c r="AG52" s="30">
        <f>IF(OR(AE52="",AF52=""),"",INDEX(RiskGrid,6-VALUE(LEFT(AE52,1)),VALUE(LEFT(AF52,1))))</f>
        <v/>
      </c>
      <c r="AH52" s="30">
        <f>IF(AG52="","",IF(AG52&gt;=BandVH,"Very High",IF(AG52&gt;=BandHigh,"High",IF(AG52&gt;=BandMed,"Medium","Low"))))</f>
        <v/>
      </c>
      <c r="AI52" s="4" t="n"/>
      <c r="AJ52" s="4" t="n"/>
    </row>
    <row r="53">
      <c r="A53" s="30">
        <f>IF(B53="","",COUNTIF(B$14:B53,"?*"))</f>
        <v/>
      </c>
      <c r="B53" s="4" t="n"/>
      <c r="C53" s="19" t="n"/>
      <c r="D53" s="5">
        <f>IF(OR(B53="",C53=""),"",UPPER(LEFT(C53,1))&amp;LOWER(MID(C53,2,30))&amp;" "&amp;LOWER(LEFT(B53,1))&amp;MID(B53,2,200))</f>
        <v/>
      </c>
      <c r="E53" s="4" t="n"/>
      <c r="F53" s="4" t="n"/>
      <c r="G53" s="4" t="n"/>
      <c r="H53" s="4" t="n"/>
      <c r="I53" s="4" t="n"/>
      <c r="J53" s="4" t="n"/>
      <c r="K53" s="5">
        <f>_xlfn.TEXTJOIN(CHAR(10),TRUE,IF(E53="","","• "&amp;E53),IF(F53="","","• "&amp;F53),IF(G53="","","• "&amp;G53),IF(H53="","","• "&amp;H53),IF(I53="","","• "&amp;I53),IF(J53="","","• "&amp;J53))</f>
        <v/>
      </c>
      <c r="L53" s="4" t="n"/>
      <c r="M53" s="19" t="n"/>
      <c r="N53" s="19" t="n"/>
      <c r="O53" s="30">
        <f>IF(OR(M53="",N53=""),"",INDEX(RiskGrid,6-VALUE(LEFT(M53,1)),VALUE(LEFT(N53,1))))</f>
        <v/>
      </c>
      <c r="P53" s="30">
        <f>IF(O53="","",IF(O53&gt;=BandVH,"Very High",IF(O53&gt;=BandHigh,"High",IF(O53&gt;=BandMed,"Medium","Low"))))</f>
        <v/>
      </c>
      <c r="Q53" s="4" t="n"/>
      <c r="R53" s="19" t="n"/>
      <c r="S53" s="4" t="n"/>
      <c r="T53" s="19" t="n"/>
      <c r="U53" s="4" t="n"/>
      <c r="V53" s="19" t="n"/>
      <c r="W53" s="4" t="n"/>
      <c r="X53" s="19" t="n"/>
      <c r="Y53" s="4" t="n"/>
      <c r="Z53" s="19" t="n"/>
      <c r="AA53" s="4" t="n"/>
      <c r="AB53" s="19" t="n"/>
      <c r="AC53" s="5">
        <f>_xlfn.TEXTJOIN(CHAR(10),TRUE,IF(Q53="","","• "&amp;Q53&amp;IF(R53="Yes","  [IPL]","")),IF(S53="","","• "&amp;S53&amp;IF(T53="Yes","  [IPL]","")),IF(U53="","","• "&amp;U53&amp;IF(V53="Yes","  [IPL]","")),IF(W53="","","• "&amp;W53&amp;IF(X53="Yes","  [IPL]","")),IF(Y53="","","• "&amp;Y53&amp;IF(Z53="Yes","  [IPL]","")),IF(AA53="","","• "&amp;AA53&amp;IF(AB53="Yes","  [IPL]","")))</f>
        <v/>
      </c>
      <c r="AD53" s="30">
        <f>IF(AC53="","",COUNTIF(Q53:AB53,"Yes"))</f>
        <v/>
      </c>
      <c r="AE53" s="19" t="n"/>
      <c r="AF53" s="19" t="n"/>
      <c r="AG53" s="30">
        <f>IF(OR(AE53="",AF53=""),"",INDEX(RiskGrid,6-VALUE(LEFT(AE53,1)),VALUE(LEFT(AF53,1))))</f>
        <v/>
      </c>
      <c r="AH53" s="30">
        <f>IF(AG53="","",IF(AG53&gt;=BandVH,"Very High",IF(AG53&gt;=BandHigh,"High",IF(AG53&gt;=BandMed,"Medium","Low"))))</f>
        <v/>
      </c>
      <c r="AI53" s="4" t="n"/>
      <c r="AJ53" s="4" t="n"/>
    </row>
    <row r="54">
      <c r="A54" s="30">
        <f>IF(B54="","",COUNTIF(B$14:B54,"?*"))</f>
        <v/>
      </c>
      <c r="B54" s="4" t="n"/>
      <c r="C54" s="19" t="n"/>
      <c r="D54" s="5">
        <f>IF(OR(B54="",C54=""),"",UPPER(LEFT(C54,1))&amp;LOWER(MID(C54,2,30))&amp;" "&amp;LOWER(LEFT(B54,1))&amp;MID(B54,2,200))</f>
        <v/>
      </c>
      <c r="E54" s="4" t="n"/>
      <c r="F54" s="4" t="n"/>
      <c r="G54" s="4" t="n"/>
      <c r="H54" s="4" t="n"/>
      <c r="I54" s="4" t="n"/>
      <c r="J54" s="4" t="n"/>
      <c r="K54" s="5">
        <f>_xlfn.TEXTJOIN(CHAR(10),TRUE,IF(E54="","","• "&amp;E54),IF(F54="","","• "&amp;F54),IF(G54="","","• "&amp;G54),IF(H54="","","• "&amp;H54),IF(I54="","","• "&amp;I54),IF(J54="","","• "&amp;J54))</f>
        <v/>
      </c>
      <c r="L54" s="4" t="n"/>
      <c r="M54" s="19" t="n"/>
      <c r="N54" s="19" t="n"/>
      <c r="O54" s="30">
        <f>IF(OR(M54="",N54=""),"",INDEX(RiskGrid,6-VALUE(LEFT(M54,1)),VALUE(LEFT(N54,1))))</f>
        <v/>
      </c>
      <c r="P54" s="30">
        <f>IF(O54="","",IF(O54&gt;=BandVH,"Very High",IF(O54&gt;=BandHigh,"High",IF(O54&gt;=BandMed,"Medium","Low"))))</f>
        <v/>
      </c>
      <c r="Q54" s="4" t="n"/>
      <c r="R54" s="19" t="n"/>
      <c r="S54" s="4" t="n"/>
      <c r="T54" s="19" t="n"/>
      <c r="U54" s="4" t="n"/>
      <c r="V54" s="19" t="n"/>
      <c r="W54" s="4" t="n"/>
      <c r="X54" s="19" t="n"/>
      <c r="Y54" s="4" t="n"/>
      <c r="Z54" s="19" t="n"/>
      <c r="AA54" s="4" t="n"/>
      <c r="AB54" s="19" t="n"/>
      <c r="AC54" s="5">
        <f>_xlfn.TEXTJOIN(CHAR(10),TRUE,IF(Q54="","","• "&amp;Q54&amp;IF(R54="Yes","  [IPL]","")),IF(S54="","","• "&amp;S54&amp;IF(T54="Yes","  [IPL]","")),IF(U54="","","• "&amp;U54&amp;IF(V54="Yes","  [IPL]","")),IF(W54="","","• "&amp;W54&amp;IF(X54="Yes","  [IPL]","")),IF(Y54="","","• "&amp;Y54&amp;IF(Z54="Yes","  [IPL]","")),IF(AA54="","","• "&amp;AA54&amp;IF(AB54="Yes","  [IPL]","")))</f>
        <v/>
      </c>
      <c r="AD54" s="30">
        <f>IF(AC54="","",COUNTIF(Q54:AB54,"Yes"))</f>
        <v/>
      </c>
      <c r="AE54" s="19" t="n"/>
      <c r="AF54" s="19" t="n"/>
      <c r="AG54" s="30">
        <f>IF(OR(AE54="",AF54=""),"",INDEX(RiskGrid,6-VALUE(LEFT(AE54,1)),VALUE(LEFT(AF54,1))))</f>
        <v/>
      </c>
      <c r="AH54" s="30">
        <f>IF(AG54="","",IF(AG54&gt;=BandVH,"Very High",IF(AG54&gt;=BandHigh,"High",IF(AG54&gt;=BandMed,"Medium","Low"))))</f>
        <v/>
      </c>
      <c r="AI54" s="4" t="n"/>
      <c r="AJ54" s="4" t="n"/>
    </row>
    <row r="55">
      <c r="A55" s="30">
        <f>IF(B55="","",COUNTIF(B$14:B55,"?*"))</f>
        <v/>
      </c>
      <c r="B55" s="4" t="n"/>
      <c r="C55" s="19" t="n"/>
      <c r="D55" s="5">
        <f>IF(OR(B55="",C55=""),"",UPPER(LEFT(C55,1))&amp;LOWER(MID(C55,2,30))&amp;" "&amp;LOWER(LEFT(B55,1))&amp;MID(B55,2,200))</f>
        <v/>
      </c>
      <c r="E55" s="4" t="n"/>
      <c r="F55" s="4" t="n"/>
      <c r="G55" s="4" t="n"/>
      <c r="H55" s="4" t="n"/>
      <c r="I55" s="4" t="n"/>
      <c r="J55" s="4" t="n"/>
      <c r="K55" s="5">
        <f>_xlfn.TEXTJOIN(CHAR(10),TRUE,IF(E55="","","• "&amp;E55),IF(F55="","","• "&amp;F55),IF(G55="","","• "&amp;G55),IF(H55="","","• "&amp;H55),IF(I55="","","• "&amp;I55),IF(J55="","","• "&amp;J55))</f>
        <v/>
      </c>
      <c r="L55" s="4" t="n"/>
      <c r="M55" s="19" t="n"/>
      <c r="N55" s="19" t="n"/>
      <c r="O55" s="30">
        <f>IF(OR(M55="",N55=""),"",INDEX(RiskGrid,6-VALUE(LEFT(M55,1)),VALUE(LEFT(N55,1))))</f>
        <v/>
      </c>
      <c r="P55" s="30">
        <f>IF(O55="","",IF(O55&gt;=BandVH,"Very High",IF(O55&gt;=BandHigh,"High",IF(O55&gt;=BandMed,"Medium","Low"))))</f>
        <v/>
      </c>
      <c r="Q55" s="4" t="n"/>
      <c r="R55" s="19" t="n"/>
      <c r="S55" s="4" t="n"/>
      <c r="T55" s="19" t="n"/>
      <c r="U55" s="4" t="n"/>
      <c r="V55" s="19" t="n"/>
      <c r="W55" s="4" t="n"/>
      <c r="X55" s="19" t="n"/>
      <c r="Y55" s="4" t="n"/>
      <c r="Z55" s="19" t="n"/>
      <c r="AA55" s="4" t="n"/>
      <c r="AB55" s="19" t="n"/>
      <c r="AC55" s="5">
        <f>_xlfn.TEXTJOIN(CHAR(10),TRUE,IF(Q55="","","• "&amp;Q55&amp;IF(R55="Yes","  [IPL]","")),IF(S55="","","• "&amp;S55&amp;IF(T55="Yes","  [IPL]","")),IF(U55="","","• "&amp;U55&amp;IF(V55="Yes","  [IPL]","")),IF(W55="","","• "&amp;W55&amp;IF(X55="Yes","  [IPL]","")),IF(Y55="","","• "&amp;Y55&amp;IF(Z55="Yes","  [IPL]","")),IF(AA55="","","• "&amp;AA55&amp;IF(AB55="Yes","  [IPL]","")))</f>
        <v/>
      </c>
      <c r="AD55" s="30">
        <f>IF(AC55="","",COUNTIF(Q55:AB55,"Yes"))</f>
        <v/>
      </c>
      <c r="AE55" s="19" t="n"/>
      <c r="AF55" s="19" t="n"/>
      <c r="AG55" s="30">
        <f>IF(OR(AE55="",AF55=""),"",INDEX(RiskGrid,6-VALUE(LEFT(AE55,1)),VALUE(LEFT(AF55,1))))</f>
        <v/>
      </c>
      <c r="AH55" s="30">
        <f>IF(AG55="","",IF(AG55&gt;=BandVH,"Very High",IF(AG55&gt;=BandHigh,"High",IF(AG55&gt;=BandMed,"Medium","Low"))))</f>
        <v/>
      </c>
      <c r="AI55" s="4" t="n"/>
      <c r="AJ55" s="4" t="n"/>
    </row>
    <row r="56">
      <c r="A56" s="30">
        <f>IF(B56="","",COUNTIF(B$14:B56,"?*"))</f>
        <v/>
      </c>
      <c r="B56" s="4" t="n"/>
      <c r="C56" s="19" t="n"/>
      <c r="D56" s="5">
        <f>IF(OR(B56="",C56=""),"",UPPER(LEFT(C56,1))&amp;LOWER(MID(C56,2,30))&amp;" "&amp;LOWER(LEFT(B56,1))&amp;MID(B56,2,200))</f>
        <v/>
      </c>
      <c r="E56" s="4" t="n"/>
      <c r="F56" s="4" t="n"/>
      <c r="G56" s="4" t="n"/>
      <c r="H56" s="4" t="n"/>
      <c r="I56" s="4" t="n"/>
      <c r="J56" s="4" t="n"/>
      <c r="K56" s="5">
        <f>_xlfn.TEXTJOIN(CHAR(10),TRUE,IF(E56="","","• "&amp;E56),IF(F56="","","• "&amp;F56),IF(G56="","","• "&amp;G56),IF(H56="","","• "&amp;H56),IF(I56="","","• "&amp;I56),IF(J56="","","• "&amp;J56))</f>
        <v/>
      </c>
      <c r="L56" s="4" t="n"/>
      <c r="M56" s="19" t="n"/>
      <c r="N56" s="19" t="n"/>
      <c r="O56" s="30">
        <f>IF(OR(M56="",N56=""),"",INDEX(RiskGrid,6-VALUE(LEFT(M56,1)),VALUE(LEFT(N56,1))))</f>
        <v/>
      </c>
      <c r="P56" s="30">
        <f>IF(O56="","",IF(O56&gt;=BandVH,"Very High",IF(O56&gt;=BandHigh,"High",IF(O56&gt;=BandMed,"Medium","Low"))))</f>
        <v/>
      </c>
      <c r="Q56" s="4" t="n"/>
      <c r="R56" s="19" t="n"/>
      <c r="S56" s="4" t="n"/>
      <c r="T56" s="19" t="n"/>
      <c r="U56" s="4" t="n"/>
      <c r="V56" s="19" t="n"/>
      <c r="W56" s="4" t="n"/>
      <c r="X56" s="19" t="n"/>
      <c r="Y56" s="4" t="n"/>
      <c r="Z56" s="19" t="n"/>
      <c r="AA56" s="4" t="n"/>
      <c r="AB56" s="19" t="n"/>
      <c r="AC56" s="5">
        <f>_xlfn.TEXTJOIN(CHAR(10),TRUE,IF(Q56="","","• "&amp;Q56&amp;IF(R56="Yes","  [IPL]","")),IF(S56="","","• "&amp;S56&amp;IF(T56="Yes","  [IPL]","")),IF(U56="","","• "&amp;U56&amp;IF(V56="Yes","  [IPL]","")),IF(W56="","","• "&amp;W56&amp;IF(X56="Yes","  [IPL]","")),IF(Y56="","","• "&amp;Y56&amp;IF(Z56="Yes","  [IPL]","")),IF(AA56="","","• "&amp;AA56&amp;IF(AB56="Yes","  [IPL]","")))</f>
        <v/>
      </c>
      <c r="AD56" s="30">
        <f>IF(AC56="","",COUNTIF(Q56:AB56,"Yes"))</f>
        <v/>
      </c>
      <c r="AE56" s="19" t="n"/>
      <c r="AF56" s="19" t="n"/>
      <c r="AG56" s="30">
        <f>IF(OR(AE56="",AF56=""),"",INDEX(RiskGrid,6-VALUE(LEFT(AE56,1)),VALUE(LEFT(AF56,1))))</f>
        <v/>
      </c>
      <c r="AH56" s="30">
        <f>IF(AG56="","",IF(AG56&gt;=BandVH,"Very High",IF(AG56&gt;=BandHigh,"High",IF(AG56&gt;=BandMed,"Medium","Low"))))</f>
        <v/>
      </c>
      <c r="AI56" s="4" t="n"/>
      <c r="AJ56" s="4" t="n"/>
    </row>
    <row r="57">
      <c r="A57" s="30">
        <f>IF(B57="","",COUNTIF(B$14:B57,"?*"))</f>
        <v/>
      </c>
      <c r="B57" s="4" t="n"/>
      <c r="C57" s="19" t="n"/>
      <c r="D57" s="5">
        <f>IF(OR(B57="",C57=""),"",UPPER(LEFT(C57,1))&amp;LOWER(MID(C57,2,30))&amp;" "&amp;LOWER(LEFT(B57,1))&amp;MID(B57,2,200))</f>
        <v/>
      </c>
      <c r="E57" s="4" t="n"/>
      <c r="F57" s="4" t="n"/>
      <c r="G57" s="4" t="n"/>
      <c r="H57" s="4" t="n"/>
      <c r="I57" s="4" t="n"/>
      <c r="J57" s="4" t="n"/>
      <c r="K57" s="5">
        <f>_xlfn.TEXTJOIN(CHAR(10),TRUE,IF(E57="","","• "&amp;E57),IF(F57="","","• "&amp;F57),IF(G57="","","• "&amp;G57),IF(H57="","","• "&amp;H57),IF(I57="","","• "&amp;I57),IF(J57="","","• "&amp;J57))</f>
        <v/>
      </c>
      <c r="L57" s="4" t="n"/>
      <c r="M57" s="19" t="n"/>
      <c r="N57" s="19" t="n"/>
      <c r="O57" s="30">
        <f>IF(OR(M57="",N57=""),"",INDEX(RiskGrid,6-VALUE(LEFT(M57,1)),VALUE(LEFT(N57,1))))</f>
        <v/>
      </c>
      <c r="P57" s="30">
        <f>IF(O57="","",IF(O57&gt;=BandVH,"Very High",IF(O57&gt;=BandHigh,"High",IF(O57&gt;=BandMed,"Medium","Low"))))</f>
        <v/>
      </c>
      <c r="Q57" s="4" t="n"/>
      <c r="R57" s="19" t="n"/>
      <c r="S57" s="4" t="n"/>
      <c r="T57" s="19" t="n"/>
      <c r="U57" s="4" t="n"/>
      <c r="V57" s="19" t="n"/>
      <c r="W57" s="4" t="n"/>
      <c r="X57" s="19" t="n"/>
      <c r="Y57" s="4" t="n"/>
      <c r="Z57" s="19" t="n"/>
      <c r="AA57" s="4" t="n"/>
      <c r="AB57" s="19" t="n"/>
      <c r="AC57" s="5">
        <f>_xlfn.TEXTJOIN(CHAR(10),TRUE,IF(Q57="","","• "&amp;Q57&amp;IF(R57="Yes","  [IPL]","")),IF(S57="","","• "&amp;S57&amp;IF(T57="Yes","  [IPL]","")),IF(U57="","","• "&amp;U57&amp;IF(V57="Yes","  [IPL]","")),IF(W57="","","• "&amp;W57&amp;IF(X57="Yes","  [IPL]","")),IF(Y57="","","• "&amp;Y57&amp;IF(Z57="Yes","  [IPL]","")),IF(AA57="","","• "&amp;AA57&amp;IF(AB57="Yes","  [IPL]","")))</f>
        <v/>
      </c>
      <c r="AD57" s="30">
        <f>IF(AC57="","",COUNTIF(Q57:AB57,"Yes"))</f>
        <v/>
      </c>
      <c r="AE57" s="19" t="n"/>
      <c r="AF57" s="19" t="n"/>
      <c r="AG57" s="30">
        <f>IF(OR(AE57="",AF57=""),"",INDEX(RiskGrid,6-VALUE(LEFT(AE57,1)),VALUE(LEFT(AF57,1))))</f>
        <v/>
      </c>
      <c r="AH57" s="30">
        <f>IF(AG57="","",IF(AG57&gt;=BandVH,"Very High",IF(AG57&gt;=BandHigh,"High",IF(AG57&gt;=BandMed,"Medium","Low"))))</f>
        <v/>
      </c>
      <c r="AI57" s="4" t="n"/>
      <c r="AJ57" s="4" t="n"/>
    </row>
    <row r="58">
      <c r="A58" s="30">
        <f>IF(B58="","",COUNTIF(B$14:B58,"?*"))</f>
        <v/>
      </c>
      <c r="B58" s="4" t="n"/>
      <c r="C58" s="19" t="n"/>
      <c r="D58" s="5">
        <f>IF(OR(B58="",C58=""),"",UPPER(LEFT(C58,1))&amp;LOWER(MID(C58,2,30))&amp;" "&amp;LOWER(LEFT(B58,1))&amp;MID(B58,2,200))</f>
        <v/>
      </c>
      <c r="E58" s="4" t="n"/>
      <c r="F58" s="4" t="n"/>
      <c r="G58" s="4" t="n"/>
      <c r="H58" s="4" t="n"/>
      <c r="I58" s="4" t="n"/>
      <c r="J58" s="4" t="n"/>
      <c r="K58" s="5">
        <f>_xlfn.TEXTJOIN(CHAR(10),TRUE,IF(E58="","","• "&amp;E58),IF(F58="","","• "&amp;F58),IF(G58="","","• "&amp;G58),IF(H58="","","• "&amp;H58),IF(I58="","","• "&amp;I58),IF(J58="","","• "&amp;J58))</f>
        <v/>
      </c>
      <c r="L58" s="4" t="n"/>
      <c r="M58" s="19" t="n"/>
      <c r="N58" s="19" t="n"/>
      <c r="O58" s="30">
        <f>IF(OR(M58="",N58=""),"",INDEX(RiskGrid,6-VALUE(LEFT(M58,1)),VALUE(LEFT(N58,1))))</f>
        <v/>
      </c>
      <c r="P58" s="30">
        <f>IF(O58="","",IF(O58&gt;=BandVH,"Very High",IF(O58&gt;=BandHigh,"High",IF(O58&gt;=BandMed,"Medium","Low"))))</f>
        <v/>
      </c>
      <c r="Q58" s="4" t="n"/>
      <c r="R58" s="19" t="n"/>
      <c r="S58" s="4" t="n"/>
      <c r="T58" s="19" t="n"/>
      <c r="U58" s="4" t="n"/>
      <c r="V58" s="19" t="n"/>
      <c r="W58" s="4" t="n"/>
      <c r="X58" s="19" t="n"/>
      <c r="Y58" s="4" t="n"/>
      <c r="Z58" s="19" t="n"/>
      <c r="AA58" s="4" t="n"/>
      <c r="AB58" s="19" t="n"/>
      <c r="AC58" s="5">
        <f>_xlfn.TEXTJOIN(CHAR(10),TRUE,IF(Q58="","","• "&amp;Q58&amp;IF(R58="Yes","  [IPL]","")),IF(S58="","","• "&amp;S58&amp;IF(T58="Yes","  [IPL]","")),IF(U58="","","• "&amp;U58&amp;IF(V58="Yes","  [IPL]","")),IF(W58="","","• "&amp;W58&amp;IF(X58="Yes","  [IPL]","")),IF(Y58="","","• "&amp;Y58&amp;IF(Z58="Yes","  [IPL]","")),IF(AA58="","","• "&amp;AA58&amp;IF(AB58="Yes","  [IPL]","")))</f>
        <v/>
      </c>
      <c r="AD58" s="30">
        <f>IF(AC58="","",COUNTIF(Q58:AB58,"Yes"))</f>
        <v/>
      </c>
      <c r="AE58" s="19" t="n"/>
      <c r="AF58" s="19" t="n"/>
      <c r="AG58" s="30">
        <f>IF(OR(AE58="",AF58=""),"",INDEX(RiskGrid,6-VALUE(LEFT(AE58,1)),VALUE(LEFT(AF58,1))))</f>
        <v/>
      </c>
      <c r="AH58" s="30">
        <f>IF(AG58="","",IF(AG58&gt;=BandVH,"Very High",IF(AG58&gt;=BandHigh,"High",IF(AG58&gt;=BandMed,"Medium","Low"))))</f>
        <v/>
      </c>
      <c r="AI58" s="4" t="n"/>
      <c r="AJ58" s="4" t="n"/>
    </row>
    <row r="59">
      <c r="A59" s="30">
        <f>IF(B59="","",COUNTIF(B$14:B59,"?*"))</f>
        <v/>
      </c>
      <c r="B59" s="4" t="n"/>
      <c r="C59" s="19" t="n"/>
      <c r="D59" s="5">
        <f>IF(OR(B59="",C59=""),"",UPPER(LEFT(C59,1))&amp;LOWER(MID(C59,2,30))&amp;" "&amp;LOWER(LEFT(B59,1))&amp;MID(B59,2,200))</f>
        <v/>
      </c>
      <c r="E59" s="4" t="n"/>
      <c r="F59" s="4" t="n"/>
      <c r="G59" s="4" t="n"/>
      <c r="H59" s="4" t="n"/>
      <c r="I59" s="4" t="n"/>
      <c r="J59" s="4" t="n"/>
      <c r="K59" s="5">
        <f>_xlfn.TEXTJOIN(CHAR(10),TRUE,IF(E59="","","• "&amp;E59),IF(F59="","","• "&amp;F59),IF(G59="","","• "&amp;G59),IF(H59="","","• "&amp;H59),IF(I59="","","• "&amp;I59),IF(J59="","","• "&amp;J59))</f>
        <v/>
      </c>
      <c r="L59" s="4" t="n"/>
      <c r="M59" s="19" t="n"/>
      <c r="N59" s="19" t="n"/>
      <c r="O59" s="30">
        <f>IF(OR(M59="",N59=""),"",INDEX(RiskGrid,6-VALUE(LEFT(M59,1)),VALUE(LEFT(N59,1))))</f>
        <v/>
      </c>
      <c r="P59" s="30">
        <f>IF(O59="","",IF(O59&gt;=BandVH,"Very High",IF(O59&gt;=BandHigh,"High",IF(O59&gt;=BandMed,"Medium","Low"))))</f>
        <v/>
      </c>
      <c r="Q59" s="4" t="n"/>
      <c r="R59" s="19" t="n"/>
      <c r="S59" s="4" t="n"/>
      <c r="T59" s="19" t="n"/>
      <c r="U59" s="4" t="n"/>
      <c r="V59" s="19" t="n"/>
      <c r="W59" s="4" t="n"/>
      <c r="X59" s="19" t="n"/>
      <c r="Y59" s="4" t="n"/>
      <c r="Z59" s="19" t="n"/>
      <c r="AA59" s="4" t="n"/>
      <c r="AB59" s="19" t="n"/>
      <c r="AC59" s="5">
        <f>_xlfn.TEXTJOIN(CHAR(10),TRUE,IF(Q59="","","• "&amp;Q59&amp;IF(R59="Yes","  [IPL]","")),IF(S59="","","• "&amp;S59&amp;IF(T59="Yes","  [IPL]","")),IF(U59="","","• "&amp;U59&amp;IF(V59="Yes","  [IPL]","")),IF(W59="","","• "&amp;W59&amp;IF(X59="Yes","  [IPL]","")),IF(Y59="","","• "&amp;Y59&amp;IF(Z59="Yes","  [IPL]","")),IF(AA59="","","• "&amp;AA59&amp;IF(AB59="Yes","  [IPL]","")))</f>
        <v/>
      </c>
      <c r="AD59" s="30">
        <f>IF(AC59="","",COUNTIF(Q59:AB59,"Yes"))</f>
        <v/>
      </c>
      <c r="AE59" s="19" t="n"/>
      <c r="AF59" s="19" t="n"/>
      <c r="AG59" s="30">
        <f>IF(OR(AE59="",AF59=""),"",INDEX(RiskGrid,6-VALUE(LEFT(AE59,1)),VALUE(LEFT(AF59,1))))</f>
        <v/>
      </c>
      <c r="AH59" s="30">
        <f>IF(AG59="","",IF(AG59&gt;=BandVH,"Very High",IF(AG59&gt;=BandHigh,"High",IF(AG59&gt;=BandMed,"Medium","Low"))))</f>
        <v/>
      </c>
      <c r="AI59" s="4" t="n"/>
      <c r="AJ59" s="4" t="n"/>
    </row>
    <row r="60">
      <c r="A60" s="30">
        <f>IF(B60="","",COUNTIF(B$14:B60,"?*"))</f>
        <v/>
      </c>
      <c r="B60" s="4" t="n"/>
      <c r="C60" s="19" t="n"/>
      <c r="D60" s="5">
        <f>IF(OR(B60="",C60=""),"",UPPER(LEFT(C60,1))&amp;LOWER(MID(C60,2,30))&amp;" "&amp;LOWER(LEFT(B60,1))&amp;MID(B60,2,200))</f>
        <v/>
      </c>
      <c r="E60" s="4" t="n"/>
      <c r="F60" s="4" t="n"/>
      <c r="G60" s="4" t="n"/>
      <c r="H60" s="4" t="n"/>
      <c r="I60" s="4" t="n"/>
      <c r="J60" s="4" t="n"/>
      <c r="K60" s="5">
        <f>_xlfn.TEXTJOIN(CHAR(10),TRUE,IF(E60="","","• "&amp;E60),IF(F60="","","• "&amp;F60),IF(G60="","","• "&amp;G60),IF(H60="","","• "&amp;H60),IF(I60="","","• "&amp;I60),IF(J60="","","• "&amp;J60))</f>
        <v/>
      </c>
      <c r="L60" s="4" t="n"/>
      <c r="M60" s="19" t="n"/>
      <c r="N60" s="19" t="n"/>
      <c r="O60" s="30">
        <f>IF(OR(M60="",N60=""),"",INDEX(RiskGrid,6-VALUE(LEFT(M60,1)),VALUE(LEFT(N60,1))))</f>
        <v/>
      </c>
      <c r="P60" s="30">
        <f>IF(O60="","",IF(O60&gt;=BandVH,"Very High",IF(O60&gt;=BandHigh,"High",IF(O60&gt;=BandMed,"Medium","Low"))))</f>
        <v/>
      </c>
      <c r="Q60" s="4" t="n"/>
      <c r="R60" s="19" t="n"/>
      <c r="S60" s="4" t="n"/>
      <c r="T60" s="19" t="n"/>
      <c r="U60" s="4" t="n"/>
      <c r="V60" s="19" t="n"/>
      <c r="W60" s="4" t="n"/>
      <c r="X60" s="19" t="n"/>
      <c r="Y60" s="4" t="n"/>
      <c r="Z60" s="19" t="n"/>
      <c r="AA60" s="4" t="n"/>
      <c r="AB60" s="19" t="n"/>
      <c r="AC60" s="5">
        <f>_xlfn.TEXTJOIN(CHAR(10),TRUE,IF(Q60="","","• "&amp;Q60&amp;IF(R60="Yes","  [IPL]","")),IF(S60="","","• "&amp;S60&amp;IF(T60="Yes","  [IPL]","")),IF(U60="","","• "&amp;U60&amp;IF(V60="Yes","  [IPL]","")),IF(W60="","","• "&amp;W60&amp;IF(X60="Yes","  [IPL]","")),IF(Y60="","","• "&amp;Y60&amp;IF(Z60="Yes","  [IPL]","")),IF(AA60="","","• "&amp;AA60&amp;IF(AB60="Yes","  [IPL]","")))</f>
        <v/>
      </c>
      <c r="AD60" s="30">
        <f>IF(AC60="","",COUNTIF(Q60:AB60,"Yes"))</f>
        <v/>
      </c>
      <c r="AE60" s="19" t="n"/>
      <c r="AF60" s="19" t="n"/>
      <c r="AG60" s="30">
        <f>IF(OR(AE60="",AF60=""),"",INDEX(RiskGrid,6-VALUE(LEFT(AE60,1)),VALUE(LEFT(AF60,1))))</f>
        <v/>
      </c>
      <c r="AH60" s="30">
        <f>IF(AG60="","",IF(AG60&gt;=BandVH,"Very High",IF(AG60&gt;=BandHigh,"High",IF(AG60&gt;=BandMed,"Medium","Low"))))</f>
        <v/>
      </c>
      <c r="AI60" s="4" t="n"/>
      <c r="AJ60" s="4" t="n"/>
    </row>
    <row r="61">
      <c r="A61" s="30">
        <f>IF(B61="","",COUNTIF(B$14:B61,"?*"))</f>
        <v/>
      </c>
      <c r="B61" s="4" t="n"/>
      <c r="C61" s="19" t="n"/>
      <c r="D61" s="5">
        <f>IF(OR(B61="",C61=""),"",UPPER(LEFT(C61,1))&amp;LOWER(MID(C61,2,30))&amp;" "&amp;LOWER(LEFT(B61,1))&amp;MID(B61,2,200))</f>
        <v/>
      </c>
      <c r="E61" s="4" t="n"/>
      <c r="F61" s="4" t="n"/>
      <c r="G61" s="4" t="n"/>
      <c r="H61" s="4" t="n"/>
      <c r="I61" s="4" t="n"/>
      <c r="J61" s="4" t="n"/>
      <c r="K61" s="5">
        <f>_xlfn.TEXTJOIN(CHAR(10),TRUE,IF(E61="","","• "&amp;E61),IF(F61="","","• "&amp;F61),IF(G61="","","• "&amp;G61),IF(H61="","","• "&amp;H61),IF(I61="","","• "&amp;I61),IF(J61="","","• "&amp;J61))</f>
        <v/>
      </c>
      <c r="L61" s="4" t="n"/>
      <c r="M61" s="19" t="n"/>
      <c r="N61" s="19" t="n"/>
      <c r="O61" s="30">
        <f>IF(OR(M61="",N61=""),"",INDEX(RiskGrid,6-VALUE(LEFT(M61,1)),VALUE(LEFT(N61,1))))</f>
        <v/>
      </c>
      <c r="P61" s="30">
        <f>IF(O61="","",IF(O61&gt;=BandVH,"Very High",IF(O61&gt;=BandHigh,"High",IF(O61&gt;=BandMed,"Medium","Low"))))</f>
        <v/>
      </c>
      <c r="Q61" s="4" t="n"/>
      <c r="R61" s="19" t="n"/>
      <c r="S61" s="4" t="n"/>
      <c r="T61" s="19" t="n"/>
      <c r="U61" s="4" t="n"/>
      <c r="V61" s="19" t="n"/>
      <c r="W61" s="4" t="n"/>
      <c r="X61" s="19" t="n"/>
      <c r="Y61" s="4" t="n"/>
      <c r="Z61" s="19" t="n"/>
      <c r="AA61" s="4" t="n"/>
      <c r="AB61" s="19" t="n"/>
      <c r="AC61" s="5">
        <f>_xlfn.TEXTJOIN(CHAR(10),TRUE,IF(Q61="","","• "&amp;Q61&amp;IF(R61="Yes","  [IPL]","")),IF(S61="","","• "&amp;S61&amp;IF(T61="Yes","  [IPL]","")),IF(U61="","","• "&amp;U61&amp;IF(V61="Yes","  [IPL]","")),IF(W61="","","• "&amp;W61&amp;IF(X61="Yes","  [IPL]","")),IF(Y61="","","• "&amp;Y61&amp;IF(Z61="Yes","  [IPL]","")),IF(AA61="","","• "&amp;AA61&amp;IF(AB61="Yes","  [IPL]","")))</f>
        <v/>
      </c>
      <c r="AD61" s="30">
        <f>IF(AC61="","",COUNTIF(Q61:AB61,"Yes"))</f>
        <v/>
      </c>
      <c r="AE61" s="19" t="n"/>
      <c r="AF61" s="19" t="n"/>
      <c r="AG61" s="30">
        <f>IF(OR(AE61="",AF61=""),"",INDEX(RiskGrid,6-VALUE(LEFT(AE61,1)),VALUE(LEFT(AF61,1))))</f>
        <v/>
      </c>
      <c r="AH61" s="30">
        <f>IF(AG61="","",IF(AG61&gt;=BandVH,"Very High",IF(AG61&gt;=BandHigh,"High",IF(AG61&gt;=BandMed,"Medium","Low"))))</f>
        <v/>
      </c>
      <c r="AI61" s="4" t="n"/>
      <c r="AJ61" s="4" t="n"/>
    </row>
    <row r="62">
      <c r="A62" s="30">
        <f>IF(B62="","",COUNTIF(B$14:B62,"?*"))</f>
        <v/>
      </c>
      <c r="B62" s="4" t="n"/>
      <c r="C62" s="19" t="n"/>
      <c r="D62" s="5">
        <f>IF(OR(B62="",C62=""),"",UPPER(LEFT(C62,1))&amp;LOWER(MID(C62,2,30))&amp;" "&amp;LOWER(LEFT(B62,1))&amp;MID(B62,2,200))</f>
        <v/>
      </c>
      <c r="E62" s="4" t="n"/>
      <c r="F62" s="4" t="n"/>
      <c r="G62" s="4" t="n"/>
      <c r="H62" s="4" t="n"/>
      <c r="I62" s="4" t="n"/>
      <c r="J62" s="4" t="n"/>
      <c r="K62" s="5">
        <f>_xlfn.TEXTJOIN(CHAR(10),TRUE,IF(E62="","","• "&amp;E62),IF(F62="","","• "&amp;F62),IF(G62="","","• "&amp;G62),IF(H62="","","• "&amp;H62),IF(I62="","","• "&amp;I62),IF(J62="","","• "&amp;J62))</f>
        <v/>
      </c>
      <c r="L62" s="4" t="n"/>
      <c r="M62" s="19" t="n"/>
      <c r="N62" s="19" t="n"/>
      <c r="O62" s="30">
        <f>IF(OR(M62="",N62=""),"",INDEX(RiskGrid,6-VALUE(LEFT(M62,1)),VALUE(LEFT(N62,1))))</f>
        <v/>
      </c>
      <c r="P62" s="30">
        <f>IF(O62="","",IF(O62&gt;=BandVH,"Very High",IF(O62&gt;=BandHigh,"High",IF(O62&gt;=BandMed,"Medium","Low"))))</f>
        <v/>
      </c>
      <c r="Q62" s="4" t="n"/>
      <c r="R62" s="19" t="n"/>
      <c r="S62" s="4" t="n"/>
      <c r="T62" s="19" t="n"/>
      <c r="U62" s="4" t="n"/>
      <c r="V62" s="19" t="n"/>
      <c r="W62" s="4" t="n"/>
      <c r="X62" s="19" t="n"/>
      <c r="Y62" s="4" t="n"/>
      <c r="Z62" s="19" t="n"/>
      <c r="AA62" s="4" t="n"/>
      <c r="AB62" s="19" t="n"/>
      <c r="AC62" s="5">
        <f>_xlfn.TEXTJOIN(CHAR(10),TRUE,IF(Q62="","","• "&amp;Q62&amp;IF(R62="Yes","  [IPL]","")),IF(S62="","","• "&amp;S62&amp;IF(T62="Yes","  [IPL]","")),IF(U62="","","• "&amp;U62&amp;IF(V62="Yes","  [IPL]","")),IF(W62="","","• "&amp;W62&amp;IF(X62="Yes","  [IPL]","")),IF(Y62="","","• "&amp;Y62&amp;IF(Z62="Yes","  [IPL]","")),IF(AA62="","","• "&amp;AA62&amp;IF(AB62="Yes","  [IPL]","")))</f>
        <v/>
      </c>
      <c r="AD62" s="30">
        <f>IF(AC62="","",COUNTIF(Q62:AB62,"Yes"))</f>
        <v/>
      </c>
      <c r="AE62" s="19" t="n"/>
      <c r="AF62" s="19" t="n"/>
      <c r="AG62" s="30">
        <f>IF(OR(AE62="",AF62=""),"",INDEX(RiskGrid,6-VALUE(LEFT(AE62,1)),VALUE(LEFT(AF62,1))))</f>
        <v/>
      </c>
      <c r="AH62" s="30">
        <f>IF(AG62="","",IF(AG62&gt;=BandVH,"Very High",IF(AG62&gt;=BandHigh,"High",IF(AG62&gt;=BandMed,"Medium","Low"))))</f>
        <v/>
      </c>
      <c r="AI62" s="4" t="n"/>
      <c r="AJ62" s="4" t="n"/>
    </row>
    <row r="63">
      <c r="A63" s="30">
        <f>IF(B63="","",COUNTIF(B$14:B63,"?*"))</f>
        <v/>
      </c>
      <c r="B63" s="4" t="n"/>
      <c r="C63" s="19" t="n"/>
      <c r="D63" s="5">
        <f>IF(OR(B63="",C63=""),"",UPPER(LEFT(C63,1))&amp;LOWER(MID(C63,2,30))&amp;" "&amp;LOWER(LEFT(B63,1))&amp;MID(B63,2,200))</f>
        <v/>
      </c>
      <c r="E63" s="4" t="n"/>
      <c r="F63" s="4" t="n"/>
      <c r="G63" s="4" t="n"/>
      <c r="H63" s="4" t="n"/>
      <c r="I63" s="4" t="n"/>
      <c r="J63" s="4" t="n"/>
      <c r="K63" s="5">
        <f>_xlfn.TEXTJOIN(CHAR(10),TRUE,IF(E63="","","• "&amp;E63),IF(F63="","","• "&amp;F63),IF(G63="","","• "&amp;G63),IF(H63="","","• "&amp;H63),IF(I63="","","• "&amp;I63),IF(J63="","","• "&amp;J63))</f>
        <v/>
      </c>
      <c r="L63" s="4" t="n"/>
      <c r="M63" s="19" t="n"/>
      <c r="N63" s="19" t="n"/>
      <c r="O63" s="30">
        <f>IF(OR(M63="",N63=""),"",INDEX(RiskGrid,6-VALUE(LEFT(M63,1)),VALUE(LEFT(N63,1))))</f>
        <v/>
      </c>
      <c r="P63" s="30">
        <f>IF(O63="","",IF(O63&gt;=BandVH,"Very High",IF(O63&gt;=BandHigh,"High",IF(O63&gt;=BandMed,"Medium","Low"))))</f>
        <v/>
      </c>
      <c r="Q63" s="4" t="n"/>
      <c r="R63" s="19" t="n"/>
      <c r="S63" s="4" t="n"/>
      <c r="T63" s="19" t="n"/>
      <c r="U63" s="4" t="n"/>
      <c r="V63" s="19" t="n"/>
      <c r="W63" s="4" t="n"/>
      <c r="X63" s="19" t="n"/>
      <c r="Y63" s="4" t="n"/>
      <c r="Z63" s="19" t="n"/>
      <c r="AA63" s="4" t="n"/>
      <c r="AB63" s="19" t="n"/>
      <c r="AC63" s="5">
        <f>_xlfn.TEXTJOIN(CHAR(10),TRUE,IF(Q63="","","• "&amp;Q63&amp;IF(R63="Yes","  [IPL]","")),IF(S63="","","• "&amp;S63&amp;IF(T63="Yes","  [IPL]","")),IF(U63="","","• "&amp;U63&amp;IF(V63="Yes","  [IPL]","")),IF(W63="","","• "&amp;W63&amp;IF(X63="Yes","  [IPL]","")),IF(Y63="","","• "&amp;Y63&amp;IF(Z63="Yes","  [IPL]","")),IF(AA63="","","• "&amp;AA63&amp;IF(AB63="Yes","  [IPL]","")))</f>
        <v/>
      </c>
      <c r="AD63" s="30">
        <f>IF(AC63="","",COUNTIF(Q63:AB63,"Yes"))</f>
        <v/>
      </c>
      <c r="AE63" s="19" t="n"/>
      <c r="AF63" s="19" t="n"/>
      <c r="AG63" s="30">
        <f>IF(OR(AE63="",AF63=""),"",INDEX(RiskGrid,6-VALUE(LEFT(AE63,1)),VALUE(LEFT(AF63,1))))</f>
        <v/>
      </c>
      <c r="AH63" s="30">
        <f>IF(AG63="","",IF(AG63&gt;=BandVH,"Very High",IF(AG63&gt;=BandHigh,"High",IF(AG63&gt;=BandMed,"Medium","Low"))))</f>
        <v/>
      </c>
      <c r="AI63" s="4" t="n"/>
      <c r="AJ63" s="4" t="n"/>
    </row>
    <row r="64">
      <c r="A64" s="30">
        <f>IF(B64="","",COUNTIF(B$14:B64,"?*"))</f>
        <v/>
      </c>
      <c r="B64" s="4" t="n"/>
      <c r="C64" s="19" t="n"/>
      <c r="D64" s="5">
        <f>IF(OR(B64="",C64=""),"",UPPER(LEFT(C64,1))&amp;LOWER(MID(C64,2,30))&amp;" "&amp;LOWER(LEFT(B64,1))&amp;MID(B64,2,200))</f>
        <v/>
      </c>
      <c r="E64" s="4" t="n"/>
      <c r="F64" s="4" t="n"/>
      <c r="G64" s="4" t="n"/>
      <c r="H64" s="4" t="n"/>
      <c r="I64" s="4" t="n"/>
      <c r="J64" s="4" t="n"/>
      <c r="K64" s="5">
        <f>_xlfn.TEXTJOIN(CHAR(10),TRUE,IF(E64="","","• "&amp;E64),IF(F64="","","• "&amp;F64),IF(G64="","","• "&amp;G64),IF(H64="","","• "&amp;H64),IF(I64="","","• "&amp;I64),IF(J64="","","• "&amp;J64))</f>
        <v/>
      </c>
      <c r="L64" s="4" t="n"/>
      <c r="M64" s="19" t="n"/>
      <c r="N64" s="19" t="n"/>
      <c r="O64" s="30">
        <f>IF(OR(M64="",N64=""),"",INDEX(RiskGrid,6-VALUE(LEFT(M64,1)),VALUE(LEFT(N64,1))))</f>
        <v/>
      </c>
      <c r="P64" s="30">
        <f>IF(O64="","",IF(O64&gt;=BandVH,"Very High",IF(O64&gt;=BandHigh,"High",IF(O64&gt;=BandMed,"Medium","Low"))))</f>
        <v/>
      </c>
      <c r="Q64" s="4" t="n"/>
      <c r="R64" s="19" t="n"/>
      <c r="S64" s="4" t="n"/>
      <c r="T64" s="19" t="n"/>
      <c r="U64" s="4" t="n"/>
      <c r="V64" s="19" t="n"/>
      <c r="W64" s="4" t="n"/>
      <c r="X64" s="19" t="n"/>
      <c r="Y64" s="4" t="n"/>
      <c r="Z64" s="19" t="n"/>
      <c r="AA64" s="4" t="n"/>
      <c r="AB64" s="19" t="n"/>
      <c r="AC64" s="5">
        <f>_xlfn.TEXTJOIN(CHAR(10),TRUE,IF(Q64="","","• "&amp;Q64&amp;IF(R64="Yes","  [IPL]","")),IF(S64="","","• "&amp;S64&amp;IF(T64="Yes","  [IPL]","")),IF(U64="","","• "&amp;U64&amp;IF(V64="Yes","  [IPL]","")),IF(W64="","","• "&amp;W64&amp;IF(X64="Yes","  [IPL]","")),IF(Y64="","","• "&amp;Y64&amp;IF(Z64="Yes","  [IPL]","")),IF(AA64="","","• "&amp;AA64&amp;IF(AB64="Yes","  [IPL]","")))</f>
        <v/>
      </c>
      <c r="AD64" s="30">
        <f>IF(AC64="","",COUNTIF(Q64:AB64,"Yes"))</f>
        <v/>
      </c>
      <c r="AE64" s="19" t="n"/>
      <c r="AF64" s="19" t="n"/>
      <c r="AG64" s="30">
        <f>IF(OR(AE64="",AF64=""),"",INDEX(RiskGrid,6-VALUE(LEFT(AE64,1)),VALUE(LEFT(AF64,1))))</f>
        <v/>
      </c>
      <c r="AH64" s="30">
        <f>IF(AG64="","",IF(AG64&gt;=BandVH,"Very High",IF(AG64&gt;=BandHigh,"High",IF(AG64&gt;=BandMed,"Medium","Low"))))</f>
        <v/>
      </c>
      <c r="AI64" s="4" t="n"/>
      <c r="AJ64" s="4" t="n"/>
    </row>
    <row r="65">
      <c r="A65" s="30">
        <f>IF(B65="","",COUNTIF(B$14:B65,"?*"))</f>
        <v/>
      </c>
      <c r="B65" s="4" t="n"/>
      <c r="C65" s="19" t="n"/>
      <c r="D65" s="5">
        <f>IF(OR(B65="",C65=""),"",UPPER(LEFT(C65,1))&amp;LOWER(MID(C65,2,30))&amp;" "&amp;LOWER(LEFT(B65,1))&amp;MID(B65,2,200))</f>
        <v/>
      </c>
      <c r="E65" s="4" t="n"/>
      <c r="F65" s="4" t="n"/>
      <c r="G65" s="4" t="n"/>
      <c r="H65" s="4" t="n"/>
      <c r="I65" s="4" t="n"/>
      <c r="J65" s="4" t="n"/>
      <c r="K65" s="5">
        <f>_xlfn.TEXTJOIN(CHAR(10),TRUE,IF(E65="","","• "&amp;E65),IF(F65="","","• "&amp;F65),IF(G65="","","• "&amp;G65),IF(H65="","","• "&amp;H65),IF(I65="","","• "&amp;I65),IF(J65="","","• "&amp;J65))</f>
        <v/>
      </c>
      <c r="L65" s="4" t="n"/>
      <c r="M65" s="19" t="n"/>
      <c r="N65" s="19" t="n"/>
      <c r="O65" s="30">
        <f>IF(OR(M65="",N65=""),"",INDEX(RiskGrid,6-VALUE(LEFT(M65,1)),VALUE(LEFT(N65,1))))</f>
        <v/>
      </c>
      <c r="P65" s="30">
        <f>IF(O65="","",IF(O65&gt;=BandVH,"Very High",IF(O65&gt;=BandHigh,"High",IF(O65&gt;=BandMed,"Medium","Low"))))</f>
        <v/>
      </c>
      <c r="Q65" s="4" t="n"/>
      <c r="R65" s="19" t="n"/>
      <c r="S65" s="4" t="n"/>
      <c r="T65" s="19" t="n"/>
      <c r="U65" s="4" t="n"/>
      <c r="V65" s="19" t="n"/>
      <c r="W65" s="4" t="n"/>
      <c r="X65" s="19" t="n"/>
      <c r="Y65" s="4" t="n"/>
      <c r="Z65" s="19" t="n"/>
      <c r="AA65" s="4" t="n"/>
      <c r="AB65" s="19" t="n"/>
      <c r="AC65" s="5">
        <f>_xlfn.TEXTJOIN(CHAR(10),TRUE,IF(Q65="","","• "&amp;Q65&amp;IF(R65="Yes","  [IPL]","")),IF(S65="","","• "&amp;S65&amp;IF(T65="Yes","  [IPL]","")),IF(U65="","","• "&amp;U65&amp;IF(V65="Yes","  [IPL]","")),IF(W65="","","• "&amp;W65&amp;IF(X65="Yes","  [IPL]","")),IF(Y65="","","• "&amp;Y65&amp;IF(Z65="Yes","  [IPL]","")),IF(AA65="","","• "&amp;AA65&amp;IF(AB65="Yes","  [IPL]","")))</f>
        <v/>
      </c>
      <c r="AD65" s="30">
        <f>IF(AC65="","",COUNTIF(Q65:AB65,"Yes"))</f>
        <v/>
      </c>
      <c r="AE65" s="19" t="n"/>
      <c r="AF65" s="19" t="n"/>
      <c r="AG65" s="30">
        <f>IF(OR(AE65="",AF65=""),"",INDEX(RiskGrid,6-VALUE(LEFT(AE65,1)),VALUE(LEFT(AF65,1))))</f>
        <v/>
      </c>
      <c r="AH65" s="30">
        <f>IF(AG65="","",IF(AG65&gt;=BandVH,"Very High",IF(AG65&gt;=BandHigh,"High",IF(AG65&gt;=BandMed,"Medium","Low"))))</f>
        <v/>
      </c>
      <c r="AI65" s="4" t="n"/>
      <c r="AJ65" s="4" t="n"/>
    </row>
    <row r="66">
      <c r="A66" s="30">
        <f>IF(B66="","",COUNTIF(B$14:B66,"?*"))</f>
        <v/>
      </c>
      <c r="B66" s="4" t="n"/>
      <c r="C66" s="19" t="n"/>
      <c r="D66" s="5">
        <f>IF(OR(B66="",C66=""),"",UPPER(LEFT(C66,1))&amp;LOWER(MID(C66,2,30))&amp;" "&amp;LOWER(LEFT(B66,1))&amp;MID(B66,2,200))</f>
        <v/>
      </c>
      <c r="E66" s="4" t="n"/>
      <c r="F66" s="4" t="n"/>
      <c r="G66" s="4" t="n"/>
      <c r="H66" s="4" t="n"/>
      <c r="I66" s="4" t="n"/>
      <c r="J66" s="4" t="n"/>
      <c r="K66" s="5">
        <f>_xlfn.TEXTJOIN(CHAR(10),TRUE,IF(E66="","","• "&amp;E66),IF(F66="","","• "&amp;F66),IF(G66="","","• "&amp;G66),IF(H66="","","• "&amp;H66),IF(I66="","","• "&amp;I66),IF(J66="","","• "&amp;J66))</f>
        <v/>
      </c>
      <c r="L66" s="4" t="n"/>
      <c r="M66" s="19" t="n"/>
      <c r="N66" s="19" t="n"/>
      <c r="O66" s="30">
        <f>IF(OR(M66="",N66=""),"",INDEX(RiskGrid,6-VALUE(LEFT(M66,1)),VALUE(LEFT(N66,1))))</f>
        <v/>
      </c>
      <c r="P66" s="30">
        <f>IF(O66="","",IF(O66&gt;=BandVH,"Very High",IF(O66&gt;=BandHigh,"High",IF(O66&gt;=BandMed,"Medium","Low"))))</f>
        <v/>
      </c>
      <c r="Q66" s="4" t="n"/>
      <c r="R66" s="19" t="n"/>
      <c r="S66" s="4" t="n"/>
      <c r="T66" s="19" t="n"/>
      <c r="U66" s="4" t="n"/>
      <c r="V66" s="19" t="n"/>
      <c r="W66" s="4" t="n"/>
      <c r="X66" s="19" t="n"/>
      <c r="Y66" s="4" t="n"/>
      <c r="Z66" s="19" t="n"/>
      <c r="AA66" s="4" t="n"/>
      <c r="AB66" s="19" t="n"/>
      <c r="AC66" s="5">
        <f>_xlfn.TEXTJOIN(CHAR(10),TRUE,IF(Q66="","","• "&amp;Q66&amp;IF(R66="Yes","  [IPL]","")),IF(S66="","","• "&amp;S66&amp;IF(T66="Yes","  [IPL]","")),IF(U66="","","• "&amp;U66&amp;IF(V66="Yes","  [IPL]","")),IF(W66="","","• "&amp;W66&amp;IF(X66="Yes","  [IPL]","")),IF(Y66="","","• "&amp;Y66&amp;IF(Z66="Yes","  [IPL]","")),IF(AA66="","","• "&amp;AA66&amp;IF(AB66="Yes","  [IPL]","")))</f>
        <v/>
      </c>
      <c r="AD66" s="30">
        <f>IF(AC66="","",COUNTIF(Q66:AB66,"Yes"))</f>
        <v/>
      </c>
      <c r="AE66" s="19" t="n"/>
      <c r="AF66" s="19" t="n"/>
      <c r="AG66" s="30">
        <f>IF(OR(AE66="",AF66=""),"",INDEX(RiskGrid,6-VALUE(LEFT(AE66,1)),VALUE(LEFT(AF66,1))))</f>
        <v/>
      </c>
      <c r="AH66" s="30">
        <f>IF(AG66="","",IF(AG66&gt;=BandVH,"Very High",IF(AG66&gt;=BandHigh,"High",IF(AG66&gt;=BandMed,"Medium","Low"))))</f>
        <v/>
      </c>
      <c r="AI66" s="4" t="n"/>
      <c r="AJ66" s="4" t="n"/>
    </row>
    <row r="67">
      <c r="A67" s="30">
        <f>IF(B67="","",COUNTIF(B$14:B67,"?*"))</f>
        <v/>
      </c>
      <c r="B67" s="4" t="n"/>
      <c r="C67" s="19" t="n"/>
      <c r="D67" s="5">
        <f>IF(OR(B67="",C67=""),"",UPPER(LEFT(C67,1))&amp;LOWER(MID(C67,2,30))&amp;" "&amp;LOWER(LEFT(B67,1))&amp;MID(B67,2,200))</f>
        <v/>
      </c>
      <c r="E67" s="4" t="n"/>
      <c r="F67" s="4" t="n"/>
      <c r="G67" s="4" t="n"/>
      <c r="H67" s="4" t="n"/>
      <c r="I67" s="4" t="n"/>
      <c r="J67" s="4" t="n"/>
      <c r="K67" s="5">
        <f>_xlfn.TEXTJOIN(CHAR(10),TRUE,IF(E67="","","• "&amp;E67),IF(F67="","","• "&amp;F67),IF(G67="","","• "&amp;G67),IF(H67="","","• "&amp;H67),IF(I67="","","• "&amp;I67),IF(J67="","","• "&amp;J67))</f>
        <v/>
      </c>
      <c r="L67" s="4" t="n"/>
      <c r="M67" s="19" t="n"/>
      <c r="N67" s="19" t="n"/>
      <c r="O67" s="30">
        <f>IF(OR(M67="",N67=""),"",INDEX(RiskGrid,6-VALUE(LEFT(M67,1)),VALUE(LEFT(N67,1))))</f>
        <v/>
      </c>
      <c r="P67" s="30">
        <f>IF(O67="","",IF(O67&gt;=BandVH,"Very High",IF(O67&gt;=BandHigh,"High",IF(O67&gt;=BandMed,"Medium","Low"))))</f>
        <v/>
      </c>
      <c r="Q67" s="4" t="n"/>
      <c r="R67" s="19" t="n"/>
      <c r="S67" s="4" t="n"/>
      <c r="T67" s="19" t="n"/>
      <c r="U67" s="4" t="n"/>
      <c r="V67" s="19" t="n"/>
      <c r="W67" s="4" t="n"/>
      <c r="X67" s="19" t="n"/>
      <c r="Y67" s="4" t="n"/>
      <c r="Z67" s="19" t="n"/>
      <c r="AA67" s="4" t="n"/>
      <c r="AB67" s="19" t="n"/>
      <c r="AC67" s="5">
        <f>_xlfn.TEXTJOIN(CHAR(10),TRUE,IF(Q67="","","• "&amp;Q67&amp;IF(R67="Yes","  [IPL]","")),IF(S67="","","• "&amp;S67&amp;IF(T67="Yes","  [IPL]","")),IF(U67="","","• "&amp;U67&amp;IF(V67="Yes","  [IPL]","")),IF(W67="","","• "&amp;W67&amp;IF(X67="Yes","  [IPL]","")),IF(Y67="","","• "&amp;Y67&amp;IF(Z67="Yes","  [IPL]","")),IF(AA67="","","• "&amp;AA67&amp;IF(AB67="Yes","  [IPL]","")))</f>
        <v/>
      </c>
      <c r="AD67" s="30">
        <f>IF(AC67="","",COUNTIF(Q67:AB67,"Yes"))</f>
        <v/>
      </c>
      <c r="AE67" s="19" t="n"/>
      <c r="AF67" s="19" t="n"/>
      <c r="AG67" s="30">
        <f>IF(OR(AE67="",AF67=""),"",INDEX(RiskGrid,6-VALUE(LEFT(AE67,1)),VALUE(LEFT(AF67,1))))</f>
        <v/>
      </c>
      <c r="AH67" s="30">
        <f>IF(AG67="","",IF(AG67&gt;=BandVH,"Very High",IF(AG67&gt;=BandHigh,"High",IF(AG67&gt;=BandMed,"Medium","Low"))))</f>
        <v/>
      </c>
      <c r="AI67" s="4" t="n"/>
      <c r="AJ67" s="4" t="n"/>
    </row>
    <row r="68">
      <c r="A68" s="30">
        <f>IF(B68="","",COUNTIF(B$14:B68,"?*"))</f>
        <v/>
      </c>
      <c r="B68" s="4" t="n"/>
      <c r="C68" s="19" t="n"/>
      <c r="D68" s="5">
        <f>IF(OR(B68="",C68=""),"",UPPER(LEFT(C68,1))&amp;LOWER(MID(C68,2,30))&amp;" "&amp;LOWER(LEFT(B68,1))&amp;MID(B68,2,200))</f>
        <v/>
      </c>
      <c r="E68" s="4" t="n"/>
      <c r="F68" s="4" t="n"/>
      <c r="G68" s="4" t="n"/>
      <c r="H68" s="4" t="n"/>
      <c r="I68" s="4" t="n"/>
      <c r="J68" s="4" t="n"/>
      <c r="K68" s="5">
        <f>_xlfn.TEXTJOIN(CHAR(10),TRUE,IF(E68="","","• "&amp;E68),IF(F68="","","• "&amp;F68),IF(G68="","","• "&amp;G68),IF(H68="","","• "&amp;H68),IF(I68="","","• "&amp;I68),IF(J68="","","• "&amp;J68))</f>
        <v/>
      </c>
      <c r="L68" s="4" t="n"/>
      <c r="M68" s="19" t="n"/>
      <c r="N68" s="19" t="n"/>
      <c r="O68" s="30">
        <f>IF(OR(M68="",N68=""),"",INDEX(RiskGrid,6-VALUE(LEFT(M68,1)),VALUE(LEFT(N68,1))))</f>
        <v/>
      </c>
      <c r="P68" s="30">
        <f>IF(O68="","",IF(O68&gt;=BandVH,"Very High",IF(O68&gt;=BandHigh,"High",IF(O68&gt;=BandMed,"Medium","Low"))))</f>
        <v/>
      </c>
      <c r="Q68" s="4" t="n"/>
      <c r="R68" s="19" t="n"/>
      <c r="S68" s="4" t="n"/>
      <c r="T68" s="19" t="n"/>
      <c r="U68" s="4" t="n"/>
      <c r="V68" s="19" t="n"/>
      <c r="W68" s="4" t="n"/>
      <c r="X68" s="19" t="n"/>
      <c r="Y68" s="4" t="n"/>
      <c r="Z68" s="19" t="n"/>
      <c r="AA68" s="4" t="n"/>
      <c r="AB68" s="19" t="n"/>
      <c r="AC68" s="5">
        <f>_xlfn.TEXTJOIN(CHAR(10),TRUE,IF(Q68="","","• "&amp;Q68&amp;IF(R68="Yes","  [IPL]","")),IF(S68="","","• "&amp;S68&amp;IF(T68="Yes","  [IPL]","")),IF(U68="","","• "&amp;U68&amp;IF(V68="Yes","  [IPL]","")),IF(W68="","","• "&amp;W68&amp;IF(X68="Yes","  [IPL]","")),IF(Y68="","","• "&amp;Y68&amp;IF(Z68="Yes","  [IPL]","")),IF(AA68="","","• "&amp;AA68&amp;IF(AB68="Yes","  [IPL]","")))</f>
        <v/>
      </c>
      <c r="AD68" s="30">
        <f>IF(AC68="","",COUNTIF(Q68:AB68,"Yes"))</f>
        <v/>
      </c>
      <c r="AE68" s="19" t="n"/>
      <c r="AF68" s="19" t="n"/>
      <c r="AG68" s="30">
        <f>IF(OR(AE68="",AF68=""),"",INDEX(RiskGrid,6-VALUE(LEFT(AE68,1)),VALUE(LEFT(AF68,1))))</f>
        <v/>
      </c>
      <c r="AH68" s="30">
        <f>IF(AG68="","",IF(AG68&gt;=BandVH,"Very High",IF(AG68&gt;=BandHigh,"High",IF(AG68&gt;=BandMed,"Medium","Low"))))</f>
        <v/>
      </c>
      <c r="AI68" s="4" t="n"/>
      <c r="AJ68" s="4" t="n"/>
    </row>
    <row r="69">
      <c r="A69" s="30">
        <f>IF(B69="","",COUNTIF(B$14:B69,"?*"))</f>
        <v/>
      </c>
      <c r="B69" s="4" t="n"/>
      <c r="C69" s="19" t="n"/>
      <c r="D69" s="5">
        <f>IF(OR(B69="",C69=""),"",UPPER(LEFT(C69,1))&amp;LOWER(MID(C69,2,30))&amp;" "&amp;LOWER(LEFT(B69,1))&amp;MID(B69,2,200))</f>
        <v/>
      </c>
      <c r="E69" s="4" t="n"/>
      <c r="F69" s="4" t="n"/>
      <c r="G69" s="4" t="n"/>
      <c r="H69" s="4" t="n"/>
      <c r="I69" s="4" t="n"/>
      <c r="J69" s="4" t="n"/>
      <c r="K69" s="5">
        <f>_xlfn.TEXTJOIN(CHAR(10),TRUE,IF(E69="","","• "&amp;E69),IF(F69="","","• "&amp;F69),IF(G69="","","• "&amp;G69),IF(H69="","","• "&amp;H69),IF(I69="","","• "&amp;I69),IF(J69="","","• "&amp;J69))</f>
        <v/>
      </c>
      <c r="L69" s="4" t="n"/>
      <c r="M69" s="19" t="n"/>
      <c r="N69" s="19" t="n"/>
      <c r="O69" s="30">
        <f>IF(OR(M69="",N69=""),"",INDEX(RiskGrid,6-VALUE(LEFT(M69,1)),VALUE(LEFT(N69,1))))</f>
        <v/>
      </c>
      <c r="P69" s="30">
        <f>IF(O69="","",IF(O69&gt;=BandVH,"Very High",IF(O69&gt;=BandHigh,"High",IF(O69&gt;=BandMed,"Medium","Low"))))</f>
        <v/>
      </c>
      <c r="Q69" s="4" t="n"/>
      <c r="R69" s="19" t="n"/>
      <c r="S69" s="4" t="n"/>
      <c r="T69" s="19" t="n"/>
      <c r="U69" s="4" t="n"/>
      <c r="V69" s="19" t="n"/>
      <c r="W69" s="4" t="n"/>
      <c r="X69" s="19" t="n"/>
      <c r="Y69" s="4" t="n"/>
      <c r="Z69" s="19" t="n"/>
      <c r="AA69" s="4" t="n"/>
      <c r="AB69" s="19" t="n"/>
      <c r="AC69" s="5">
        <f>_xlfn.TEXTJOIN(CHAR(10),TRUE,IF(Q69="","","• "&amp;Q69&amp;IF(R69="Yes","  [IPL]","")),IF(S69="","","• "&amp;S69&amp;IF(T69="Yes","  [IPL]","")),IF(U69="","","• "&amp;U69&amp;IF(V69="Yes","  [IPL]","")),IF(W69="","","• "&amp;W69&amp;IF(X69="Yes","  [IPL]","")),IF(Y69="","","• "&amp;Y69&amp;IF(Z69="Yes","  [IPL]","")),IF(AA69="","","• "&amp;AA69&amp;IF(AB69="Yes","  [IPL]","")))</f>
        <v/>
      </c>
      <c r="AD69" s="30">
        <f>IF(AC69="","",COUNTIF(Q69:AB69,"Yes"))</f>
        <v/>
      </c>
      <c r="AE69" s="19" t="n"/>
      <c r="AF69" s="19" t="n"/>
      <c r="AG69" s="30">
        <f>IF(OR(AE69="",AF69=""),"",INDEX(RiskGrid,6-VALUE(LEFT(AE69,1)),VALUE(LEFT(AF69,1))))</f>
        <v/>
      </c>
      <c r="AH69" s="30">
        <f>IF(AG69="","",IF(AG69&gt;=BandVH,"Very High",IF(AG69&gt;=BandHigh,"High",IF(AG69&gt;=BandMed,"Medium","Low"))))</f>
        <v/>
      </c>
      <c r="AI69" s="4" t="n"/>
      <c r="AJ69" s="4" t="n"/>
    </row>
    <row r="70">
      <c r="A70" s="30">
        <f>IF(B70="","",COUNTIF(B$14:B70,"?*"))</f>
        <v/>
      </c>
      <c r="B70" s="4" t="n"/>
      <c r="C70" s="19" t="n"/>
      <c r="D70" s="5">
        <f>IF(OR(B70="",C70=""),"",UPPER(LEFT(C70,1))&amp;LOWER(MID(C70,2,30))&amp;" "&amp;LOWER(LEFT(B70,1))&amp;MID(B70,2,200))</f>
        <v/>
      </c>
      <c r="E70" s="4" t="n"/>
      <c r="F70" s="4" t="n"/>
      <c r="G70" s="4" t="n"/>
      <c r="H70" s="4" t="n"/>
      <c r="I70" s="4" t="n"/>
      <c r="J70" s="4" t="n"/>
      <c r="K70" s="5">
        <f>_xlfn.TEXTJOIN(CHAR(10),TRUE,IF(E70="","","• "&amp;E70),IF(F70="","","• "&amp;F70),IF(G70="","","• "&amp;G70),IF(H70="","","• "&amp;H70),IF(I70="","","• "&amp;I70),IF(J70="","","• "&amp;J70))</f>
        <v/>
      </c>
      <c r="L70" s="4" t="n"/>
      <c r="M70" s="19" t="n"/>
      <c r="N70" s="19" t="n"/>
      <c r="O70" s="30">
        <f>IF(OR(M70="",N70=""),"",INDEX(RiskGrid,6-VALUE(LEFT(M70,1)),VALUE(LEFT(N70,1))))</f>
        <v/>
      </c>
      <c r="P70" s="30">
        <f>IF(O70="","",IF(O70&gt;=BandVH,"Very High",IF(O70&gt;=BandHigh,"High",IF(O70&gt;=BandMed,"Medium","Low"))))</f>
        <v/>
      </c>
      <c r="Q70" s="4" t="n"/>
      <c r="R70" s="19" t="n"/>
      <c r="S70" s="4" t="n"/>
      <c r="T70" s="19" t="n"/>
      <c r="U70" s="4" t="n"/>
      <c r="V70" s="19" t="n"/>
      <c r="W70" s="4" t="n"/>
      <c r="X70" s="19" t="n"/>
      <c r="Y70" s="4" t="n"/>
      <c r="Z70" s="19" t="n"/>
      <c r="AA70" s="4" t="n"/>
      <c r="AB70" s="19" t="n"/>
      <c r="AC70" s="5">
        <f>_xlfn.TEXTJOIN(CHAR(10),TRUE,IF(Q70="","","• "&amp;Q70&amp;IF(R70="Yes","  [IPL]","")),IF(S70="","","• "&amp;S70&amp;IF(T70="Yes","  [IPL]","")),IF(U70="","","• "&amp;U70&amp;IF(V70="Yes","  [IPL]","")),IF(W70="","","• "&amp;W70&amp;IF(X70="Yes","  [IPL]","")),IF(Y70="","","• "&amp;Y70&amp;IF(Z70="Yes","  [IPL]","")),IF(AA70="","","• "&amp;AA70&amp;IF(AB70="Yes","  [IPL]","")))</f>
        <v/>
      </c>
      <c r="AD70" s="30">
        <f>IF(AC70="","",COUNTIF(Q70:AB70,"Yes"))</f>
        <v/>
      </c>
      <c r="AE70" s="19" t="n"/>
      <c r="AF70" s="19" t="n"/>
      <c r="AG70" s="30">
        <f>IF(OR(AE70="",AF70=""),"",INDEX(RiskGrid,6-VALUE(LEFT(AE70,1)),VALUE(LEFT(AF70,1))))</f>
        <v/>
      </c>
      <c r="AH70" s="30">
        <f>IF(AG70="","",IF(AG70&gt;=BandVH,"Very High",IF(AG70&gt;=BandHigh,"High",IF(AG70&gt;=BandMed,"Medium","Low"))))</f>
        <v/>
      </c>
      <c r="AI70" s="4" t="n"/>
      <c r="AJ70" s="4" t="n"/>
    </row>
    <row r="71">
      <c r="A71" s="30">
        <f>IF(B71="","",COUNTIF(B$14:B71,"?*"))</f>
        <v/>
      </c>
      <c r="B71" s="4" t="n"/>
      <c r="C71" s="19" t="n"/>
      <c r="D71" s="5">
        <f>IF(OR(B71="",C71=""),"",UPPER(LEFT(C71,1))&amp;LOWER(MID(C71,2,30))&amp;" "&amp;LOWER(LEFT(B71,1))&amp;MID(B71,2,200))</f>
        <v/>
      </c>
      <c r="E71" s="4" t="n"/>
      <c r="F71" s="4" t="n"/>
      <c r="G71" s="4" t="n"/>
      <c r="H71" s="4" t="n"/>
      <c r="I71" s="4" t="n"/>
      <c r="J71" s="4" t="n"/>
      <c r="K71" s="5">
        <f>_xlfn.TEXTJOIN(CHAR(10),TRUE,IF(E71="","","• "&amp;E71),IF(F71="","","• "&amp;F71),IF(G71="","","• "&amp;G71),IF(H71="","","• "&amp;H71),IF(I71="","","• "&amp;I71),IF(J71="","","• "&amp;J71))</f>
        <v/>
      </c>
      <c r="L71" s="4" t="n"/>
      <c r="M71" s="19" t="n"/>
      <c r="N71" s="19" t="n"/>
      <c r="O71" s="30">
        <f>IF(OR(M71="",N71=""),"",INDEX(RiskGrid,6-VALUE(LEFT(M71,1)),VALUE(LEFT(N71,1))))</f>
        <v/>
      </c>
      <c r="P71" s="30">
        <f>IF(O71="","",IF(O71&gt;=BandVH,"Very High",IF(O71&gt;=BandHigh,"High",IF(O71&gt;=BandMed,"Medium","Low"))))</f>
        <v/>
      </c>
      <c r="Q71" s="4" t="n"/>
      <c r="R71" s="19" t="n"/>
      <c r="S71" s="4" t="n"/>
      <c r="T71" s="19" t="n"/>
      <c r="U71" s="4" t="n"/>
      <c r="V71" s="19" t="n"/>
      <c r="W71" s="4" t="n"/>
      <c r="X71" s="19" t="n"/>
      <c r="Y71" s="4" t="n"/>
      <c r="Z71" s="19" t="n"/>
      <c r="AA71" s="4" t="n"/>
      <c r="AB71" s="19" t="n"/>
      <c r="AC71" s="5">
        <f>_xlfn.TEXTJOIN(CHAR(10),TRUE,IF(Q71="","","• "&amp;Q71&amp;IF(R71="Yes","  [IPL]","")),IF(S71="","","• "&amp;S71&amp;IF(T71="Yes","  [IPL]","")),IF(U71="","","• "&amp;U71&amp;IF(V71="Yes","  [IPL]","")),IF(W71="","","• "&amp;W71&amp;IF(X71="Yes","  [IPL]","")),IF(Y71="","","• "&amp;Y71&amp;IF(Z71="Yes","  [IPL]","")),IF(AA71="","","• "&amp;AA71&amp;IF(AB71="Yes","  [IPL]","")))</f>
        <v/>
      </c>
      <c r="AD71" s="30">
        <f>IF(AC71="","",COUNTIF(Q71:AB71,"Yes"))</f>
        <v/>
      </c>
      <c r="AE71" s="19" t="n"/>
      <c r="AF71" s="19" t="n"/>
      <c r="AG71" s="30">
        <f>IF(OR(AE71="",AF71=""),"",INDEX(RiskGrid,6-VALUE(LEFT(AE71,1)),VALUE(LEFT(AF71,1))))</f>
        <v/>
      </c>
      <c r="AH71" s="30">
        <f>IF(AG71="","",IF(AG71&gt;=BandVH,"Very High",IF(AG71&gt;=BandHigh,"High",IF(AG71&gt;=BandMed,"Medium","Low"))))</f>
        <v/>
      </c>
      <c r="AI71" s="4" t="n"/>
      <c r="AJ71" s="4" t="n"/>
    </row>
    <row r="72">
      <c r="A72" s="30">
        <f>IF(B72="","",COUNTIF(B$14:B72,"?*"))</f>
        <v/>
      </c>
      <c r="B72" s="4" t="n"/>
      <c r="C72" s="19" t="n"/>
      <c r="D72" s="5">
        <f>IF(OR(B72="",C72=""),"",UPPER(LEFT(C72,1))&amp;LOWER(MID(C72,2,30))&amp;" "&amp;LOWER(LEFT(B72,1))&amp;MID(B72,2,200))</f>
        <v/>
      </c>
      <c r="E72" s="4" t="n"/>
      <c r="F72" s="4" t="n"/>
      <c r="G72" s="4" t="n"/>
      <c r="H72" s="4" t="n"/>
      <c r="I72" s="4" t="n"/>
      <c r="J72" s="4" t="n"/>
      <c r="K72" s="5">
        <f>_xlfn.TEXTJOIN(CHAR(10),TRUE,IF(E72="","","• "&amp;E72),IF(F72="","","• "&amp;F72),IF(G72="","","• "&amp;G72),IF(H72="","","• "&amp;H72),IF(I72="","","• "&amp;I72),IF(J72="","","• "&amp;J72))</f>
        <v/>
      </c>
      <c r="L72" s="4" t="n"/>
      <c r="M72" s="19" t="n"/>
      <c r="N72" s="19" t="n"/>
      <c r="O72" s="30">
        <f>IF(OR(M72="",N72=""),"",INDEX(RiskGrid,6-VALUE(LEFT(M72,1)),VALUE(LEFT(N72,1))))</f>
        <v/>
      </c>
      <c r="P72" s="30">
        <f>IF(O72="","",IF(O72&gt;=BandVH,"Very High",IF(O72&gt;=BandHigh,"High",IF(O72&gt;=BandMed,"Medium","Low"))))</f>
        <v/>
      </c>
      <c r="Q72" s="4" t="n"/>
      <c r="R72" s="19" t="n"/>
      <c r="S72" s="4" t="n"/>
      <c r="T72" s="19" t="n"/>
      <c r="U72" s="4" t="n"/>
      <c r="V72" s="19" t="n"/>
      <c r="W72" s="4" t="n"/>
      <c r="X72" s="19" t="n"/>
      <c r="Y72" s="4" t="n"/>
      <c r="Z72" s="19" t="n"/>
      <c r="AA72" s="4" t="n"/>
      <c r="AB72" s="19" t="n"/>
      <c r="AC72" s="5">
        <f>_xlfn.TEXTJOIN(CHAR(10),TRUE,IF(Q72="","","• "&amp;Q72&amp;IF(R72="Yes","  [IPL]","")),IF(S72="","","• "&amp;S72&amp;IF(T72="Yes","  [IPL]","")),IF(U72="","","• "&amp;U72&amp;IF(V72="Yes","  [IPL]","")),IF(W72="","","• "&amp;W72&amp;IF(X72="Yes","  [IPL]","")),IF(Y72="","","• "&amp;Y72&amp;IF(Z72="Yes","  [IPL]","")),IF(AA72="","","• "&amp;AA72&amp;IF(AB72="Yes","  [IPL]","")))</f>
        <v/>
      </c>
      <c r="AD72" s="30">
        <f>IF(AC72="","",COUNTIF(Q72:AB72,"Yes"))</f>
        <v/>
      </c>
      <c r="AE72" s="19" t="n"/>
      <c r="AF72" s="19" t="n"/>
      <c r="AG72" s="30">
        <f>IF(OR(AE72="",AF72=""),"",INDEX(RiskGrid,6-VALUE(LEFT(AE72,1)),VALUE(LEFT(AF72,1))))</f>
        <v/>
      </c>
      <c r="AH72" s="30">
        <f>IF(AG72="","",IF(AG72&gt;=BandVH,"Very High",IF(AG72&gt;=BandHigh,"High",IF(AG72&gt;=BandMed,"Medium","Low"))))</f>
        <v/>
      </c>
      <c r="AI72" s="4" t="n"/>
      <c r="AJ72" s="4" t="n"/>
    </row>
    <row r="73">
      <c r="A73" s="30">
        <f>IF(B73="","",COUNTIF(B$14:B73,"?*"))</f>
        <v/>
      </c>
      <c r="B73" s="4" t="n"/>
      <c r="C73" s="19" t="n"/>
      <c r="D73" s="5">
        <f>IF(OR(B73="",C73=""),"",UPPER(LEFT(C73,1))&amp;LOWER(MID(C73,2,30))&amp;" "&amp;LOWER(LEFT(B73,1))&amp;MID(B73,2,200))</f>
        <v/>
      </c>
      <c r="E73" s="4" t="n"/>
      <c r="F73" s="4" t="n"/>
      <c r="G73" s="4" t="n"/>
      <c r="H73" s="4" t="n"/>
      <c r="I73" s="4" t="n"/>
      <c r="J73" s="4" t="n"/>
      <c r="K73" s="5">
        <f>_xlfn.TEXTJOIN(CHAR(10),TRUE,IF(E73="","","• "&amp;E73),IF(F73="","","• "&amp;F73),IF(G73="","","• "&amp;G73),IF(H73="","","• "&amp;H73),IF(I73="","","• "&amp;I73),IF(J73="","","• "&amp;J73))</f>
        <v/>
      </c>
      <c r="L73" s="4" t="n"/>
      <c r="M73" s="19" t="n"/>
      <c r="N73" s="19" t="n"/>
      <c r="O73" s="30">
        <f>IF(OR(M73="",N73=""),"",INDEX(RiskGrid,6-VALUE(LEFT(M73,1)),VALUE(LEFT(N73,1))))</f>
        <v/>
      </c>
      <c r="P73" s="30">
        <f>IF(O73="","",IF(O73&gt;=BandVH,"Very High",IF(O73&gt;=BandHigh,"High",IF(O73&gt;=BandMed,"Medium","Low"))))</f>
        <v/>
      </c>
      <c r="Q73" s="4" t="n"/>
      <c r="R73" s="19" t="n"/>
      <c r="S73" s="4" t="n"/>
      <c r="T73" s="19" t="n"/>
      <c r="U73" s="4" t="n"/>
      <c r="V73" s="19" t="n"/>
      <c r="W73" s="4" t="n"/>
      <c r="X73" s="19" t="n"/>
      <c r="Y73" s="4" t="n"/>
      <c r="Z73" s="19" t="n"/>
      <c r="AA73" s="4" t="n"/>
      <c r="AB73" s="19" t="n"/>
      <c r="AC73" s="5">
        <f>_xlfn.TEXTJOIN(CHAR(10),TRUE,IF(Q73="","","• "&amp;Q73&amp;IF(R73="Yes","  [IPL]","")),IF(S73="","","• "&amp;S73&amp;IF(T73="Yes","  [IPL]","")),IF(U73="","","• "&amp;U73&amp;IF(V73="Yes","  [IPL]","")),IF(W73="","","• "&amp;W73&amp;IF(X73="Yes","  [IPL]","")),IF(Y73="","","• "&amp;Y73&amp;IF(Z73="Yes","  [IPL]","")),IF(AA73="","","• "&amp;AA73&amp;IF(AB73="Yes","  [IPL]","")))</f>
        <v/>
      </c>
      <c r="AD73" s="30">
        <f>IF(AC73="","",COUNTIF(Q73:AB73,"Yes"))</f>
        <v/>
      </c>
      <c r="AE73" s="19" t="n"/>
      <c r="AF73" s="19" t="n"/>
      <c r="AG73" s="30">
        <f>IF(OR(AE73="",AF73=""),"",INDEX(RiskGrid,6-VALUE(LEFT(AE73,1)),VALUE(LEFT(AF73,1))))</f>
        <v/>
      </c>
      <c r="AH73" s="30">
        <f>IF(AG73="","",IF(AG73&gt;=BandVH,"Very High",IF(AG73&gt;=BandHigh,"High",IF(AG73&gt;=BandMed,"Medium","Low"))))</f>
        <v/>
      </c>
      <c r="AI73" s="4" t="n"/>
      <c r="AJ73" s="4" t="n"/>
    </row>
    <row r="74">
      <c r="A74" s="30">
        <f>IF(B74="","",COUNTIF(B$14:B74,"?*"))</f>
        <v/>
      </c>
      <c r="B74" s="4" t="n"/>
      <c r="C74" s="19" t="n"/>
      <c r="D74" s="5">
        <f>IF(OR(B74="",C74=""),"",UPPER(LEFT(C74,1))&amp;LOWER(MID(C74,2,30))&amp;" "&amp;LOWER(LEFT(B74,1))&amp;MID(B74,2,200))</f>
        <v/>
      </c>
      <c r="E74" s="4" t="n"/>
      <c r="F74" s="4" t="n"/>
      <c r="G74" s="4" t="n"/>
      <c r="H74" s="4" t="n"/>
      <c r="I74" s="4" t="n"/>
      <c r="J74" s="4" t="n"/>
      <c r="K74" s="5">
        <f>_xlfn.TEXTJOIN(CHAR(10),TRUE,IF(E74="","","• "&amp;E74),IF(F74="","","• "&amp;F74),IF(G74="","","• "&amp;G74),IF(H74="","","• "&amp;H74),IF(I74="","","• "&amp;I74),IF(J74="","","• "&amp;J74))</f>
        <v/>
      </c>
      <c r="L74" s="4" t="n"/>
      <c r="M74" s="19" t="n"/>
      <c r="N74" s="19" t="n"/>
      <c r="O74" s="30">
        <f>IF(OR(M74="",N74=""),"",INDEX(RiskGrid,6-VALUE(LEFT(M74,1)),VALUE(LEFT(N74,1))))</f>
        <v/>
      </c>
      <c r="P74" s="30">
        <f>IF(O74="","",IF(O74&gt;=BandVH,"Very High",IF(O74&gt;=BandHigh,"High",IF(O74&gt;=BandMed,"Medium","Low"))))</f>
        <v/>
      </c>
      <c r="Q74" s="4" t="n"/>
      <c r="R74" s="19" t="n"/>
      <c r="S74" s="4" t="n"/>
      <c r="T74" s="19" t="n"/>
      <c r="U74" s="4" t="n"/>
      <c r="V74" s="19" t="n"/>
      <c r="W74" s="4" t="n"/>
      <c r="X74" s="19" t="n"/>
      <c r="Y74" s="4" t="n"/>
      <c r="Z74" s="19" t="n"/>
      <c r="AA74" s="4" t="n"/>
      <c r="AB74" s="19" t="n"/>
      <c r="AC74" s="5">
        <f>_xlfn.TEXTJOIN(CHAR(10),TRUE,IF(Q74="","","• "&amp;Q74&amp;IF(R74="Yes","  [IPL]","")),IF(S74="","","• "&amp;S74&amp;IF(T74="Yes","  [IPL]","")),IF(U74="","","• "&amp;U74&amp;IF(V74="Yes","  [IPL]","")),IF(W74="","","• "&amp;W74&amp;IF(X74="Yes","  [IPL]","")),IF(Y74="","","• "&amp;Y74&amp;IF(Z74="Yes","  [IPL]","")),IF(AA74="","","• "&amp;AA74&amp;IF(AB74="Yes","  [IPL]","")))</f>
        <v/>
      </c>
      <c r="AD74" s="30">
        <f>IF(AC74="","",COUNTIF(Q74:AB74,"Yes"))</f>
        <v/>
      </c>
      <c r="AE74" s="19" t="n"/>
      <c r="AF74" s="19" t="n"/>
      <c r="AG74" s="30">
        <f>IF(OR(AE74="",AF74=""),"",INDEX(RiskGrid,6-VALUE(LEFT(AE74,1)),VALUE(LEFT(AF74,1))))</f>
        <v/>
      </c>
      <c r="AH74" s="30">
        <f>IF(AG74="","",IF(AG74&gt;=BandVH,"Very High",IF(AG74&gt;=BandHigh,"High",IF(AG74&gt;=BandMed,"Medium","Low"))))</f>
        <v/>
      </c>
      <c r="AI74" s="4" t="n"/>
      <c r="AJ74" s="4" t="n"/>
    </row>
    <row r="75">
      <c r="A75" s="30">
        <f>IF(B75="","",COUNTIF(B$14:B75,"?*"))</f>
        <v/>
      </c>
      <c r="B75" s="4" t="n"/>
      <c r="C75" s="19" t="n"/>
      <c r="D75" s="5">
        <f>IF(OR(B75="",C75=""),"",UPPER(LEFT(C75,1))&amp;LOWER(MID(C75,2,30))&amp;" "&amp;LOWER(LEFT(B75,1))&amp;MID(B75,2,200))</f>
        <v/>
      </c>
      <c r="E75" s="4" t="n"/>
      <c r="F75" s="4" t="n"/>
      <c r="G75" s="4" t="n"/>
      <c r="H75" s="4" t="n"/>
      <c r="I75" s="4" t="n"/>
      <c r="J75" s="4" t="n"/>
      <c r="K75" s="5">
        <f>_xlfn.TEXTJOIN(CHAR(10),TRUE,IF(E75="","","• "&amp;E75),IF(F75="","","• "&amp;F75),IF(G75="","","• "&amp;G75),IF(H75="","","• "&amp;H75),IF(I75="","","• "&amp;I75),IF(J75="","","• "&amp;J75))</f>
        <v/>
      </c>
      <c r="L75" s="4" t="n"/>
      <c r="M75" s="19" t="n"/>
      <c r="N75" s="19" t="n"/>
      <c r="O75" s="30">
        <f>IF(OR(M75="",N75=""),"",INDEX(RiskGrid,6-VALUE(LEFT(M75,1)),VALUE(LEFT(N75,1))))</f>
        <v/>
      </c>
      <c r="P75" s="30">
        <f>IF(O75="","",IF(O75&gt;=BandVH,"Very High",IF(O75&gt;=BandHigh,"High",IF(O75&gt;=BandMed,"Medium","Low"))))</f>
        <v/>
      </c>
      <c r="Q75" s="4" t="n"/>
      <c r="R75" s="19" t="n"/>
      <c r="S75" s="4" t="n"/>
      <c r="T75" s="19" t="n"/>
      <c r="U75" s="4" t="n"/>
      <c r="V75" s="19" t="n"/>
      <c r="W75" s="4" t="n"/>
      <c r="X75" s="19" t="n"/>
      <c r="Y75" s="4" t="n"/>
      <c r="Z75" s="19" t="n"/>
      <c r="AA75" s="4" t="n"/>
      <c r="AB75" s="19" t="n"/>
      <c r="AC75" s="5">
        <f>_xlfn.TEXTJOIN(CHAR(10),TRUE,IF(Q75="","","• "&amp;Q75&amp;IF(R75="Yes","  [IPL]","")),IF(S75="","","• "&amp;S75&amp;IF(T75="Yes","  [IPL]","")),IF(U75="","","• "&amp;U75&amp;IF(V75="Yes","  [IPL]","")),IF(W75="","","• "&amp;W75&amp;IF(X75="Yes","  [IPL]","")),IF(Y75="","","• "&amp;Y75&amp;IF(Z75="Yes","  [IPL]","")),IF(AA75="","","• "&amp;AA75&amp;IF(AB75="Yes","  [IPL]","")))</f>
        <v/>
      </c>
      <c r="AD75" s="30">
        <f>IF(AC75="","",COUNTIF(Q75:AB75,"Yes"))</f>
        <v/>
      </c>
      <c r="AE75" s="19" t="n"/>
      <c r="AF75" s="19" t="n"/>
      <c r="AG75" s="30">
        <f>IF(OR(AE75="",AF75=""),"",INDEX(RiskGrid,6-VALUE(LEFT(AE75,1)),VALUE(LEFT(AF75,1))))</f>
        <v/>
      </c>
      <c r="AH75" s="30">
        <f>IF(AG75="","",IF(AG75&gt;=BandVH,"Very High",IF(AG75&gt;=BandHigh,"High",IF(AG75&gt;=BandMed,"Medium","Low"))))</f>
        <v/>
      </c>
      <c r="AI75" s="4" t="n"/>
      <c r="AJ75" s="4" t="n"/>
    </row>
    <row r="76">
      <c r="A76" s="30">
        <f>IF(B76="","",COUNTIF(B$14:B76,"?*"))</f>
        <v/>
      </c>
      <c r="B76" s="4" t="n"/>
      <c r="C76" s="19" t="n"/>
      <c r="D76" s="5">
        <f>IF(OR(B76="",C76=""),"",UPPER(LEFT(C76,1))&amp;LOWER(MID(C76,2,30))&amp;" "&amp;LOWER(LEFT(B76,1))&amp;MID(B76,2,200))</f>
        <v/>
      </c>
      <c r="E76" s="4" t="n"/>
      <c r="F76" s="4" t="n"/>
      <c r="G76" s="4" t="n"/>
      <c r="H76" s="4" t="n"/>
      <c r="I76" s="4" t="n"/>
      <c r="J76" s="4" t="n"/>
      <c r="K76" s="5">
        <f>_xlfn.TEXTJOIN(CHAR(10),TRUE,IF(E76="","","• "&amp;E76),IF(F76="","","• "&amp;F76),IF(G76="","","• "&amp;G76),IF(H76="","","• "&amp;H76),IF(I76="","","• "&amp;I76),IF(J76="","","• "&amp;J76))</f>
        <v/>
      </c>
      <c r="L76" s="4" t="n"/>
      <c r="M76" s="19" t="n"/>
      <c r="N76" s="19" t="n"/>
      <c r="O76" s="30">
        <f>IF(OR(M76="",N76=""),"",INDEX(RiskGrid,6-VALUE(LEFT(M76,1)),VALUE(LEFT(N76,1))))</f>
        <v/>
      </c>
      <c r="P76" s="30">
        <f>IF(O76="","",IF(O76&gt;=BandVH,"Very High",IF(O76&gt;=BandHigh,"High",IF(O76&gt;=BandMed,"Medium","Low"))))</f>
        <v/>
      </c>
      <c r="Q76" s="4" t="n"/>
      <c r="R76" s="19" t="n"/>
      <c r="S76" s="4" t="n"/>
      <c r="T76" s="19" t="n"/>
      <c r="U76" s="4" t="n"/>
      <c r="V76" s="19" t="n"/>
      <c r="W76" s="4" t="n"/>
      <c r="X76" s="19" t="n"/>
      <c r="Y76" s="4" t="n"/>
      <c r="Z76" s="19" t="n"/>
      <c r="AA76" s="4" t="n"/>
      <c r="AB76" s="19" t="n"/>
      <c r="AC76" s="5">
        <f>_xlfn.TEXTJOIN(CHAR(10),TRUE,IF(Q76="","","• "&amp;Q76&amp;IF(R76="Yes","  [IPL]","")),IF(S76="","","• "&amp;S76&amp;IF(T76="Yes","  [IPL]","")),IF(U76="","","• "&amp;U76&amp;IF(V76="Yes","  [IPL]","")),IF(W76="","","• "&amp;W76&amp;IF(X76="Yes","  [IPL]","")),IF(Y76="","","• "&amp;Y76&amp;IF(Z76="Yes","  [IPL]","")),IF(AA76="","","• "&amp;AA76&amp;IF(AB76="Yes","  [IPL]","")))</f>
        <v/>
      </c>
      <c r="AD76" s="30">
        <f>IF(AC76="","",COUNTIF(Q76:AB76,"Yes"))</f>
        <v/>
      </c>
      <c r="AE76" s="19" t="n"/>
      <c r="AF76" s="19" t="n"/>
      <c r="AG76" s="30">
        <f>IF(OR(AE76="",AF76=""),"",INDEX(RiskGrid,6-VALUE(LEFT(AE76,1)),VALUE(LEFT(AF76,1))))</f>
        <v/>
      </c>
      <c r="AH76" s="30">
        <f>IF(AG76="","",IF(AG76&gt;=BandVH,"Very High",IF(AG76&gt;=BandHigh,"High",IF(AG76&gt;=BandMed,"Medium","Low"))))</f>
        <v/>
      </c>
      <c r="AI76" s="4" t="n"/>
      <c r="AJ76" s="4" t="n"/>
    </row>
    <row r="77">
      <c r="A77" s="30">
        <f>IF(B77="","",COUNTIF(B$14:B77,"?*"))</f>
        <v/>
      </c>
      <c r="B77" s="4" t="n"/>
      <c r="C77" s="19" t="n"/>
      <c r="D77" s="5">
        <f>IF(OR(B77="",C77=""),"",UPPER(LEFT(C77,1))&amp;LOWER(MID(C77,2,30))&amp;" "&amp;LOWER(LEFT(B77,1))&amp;MID(B77,2,200))</f>
        <v/>
      </c>
      <c r="E77" s="4" t="n"/>
      <c r="F77" s="4" t="n"/>
      <c r="G77" s="4" t="n"/>
      <c r="H77" s="4" t="n"/>
      <c r="I77" s="4" t="n"/>
      <c r="J77" s="4" t="n"/>
      <c r="K77" s="5">
        <f>_xlfn.TEXTJOIN(CHAR(10),TRUE,IF(E77="","","• "&amp;E77),IF(F77="","","• "&amp;F77),IF(G77="","","• "&amp;G77),IF(H77="","","• "&amp;H77),IF(I77="","","• "&amp;I77),IF(J77="","","• "&amp;J77))</f>
        <v/>
      </c>
      <c r="L77" s="4" t="n"/>
      <c r="M77" s="19" t="n"/>
      <c r="N77" s="19" t="n"/>
      <c r="O77" s="30">
        <f>IF(OR(M77="",N77=""),"",INDEX(RiskGrid,6-VALUE(LEFT(M77,1)),VALUE(LEFT(N77,1))))</f>
        <v/>
      </c>
      <c r="P77" s="30">
        <f>IF(O77="","",IF(O77&gt;=BandVH,"Very High",IF(O77&gt;=BandHigh,"High",IF(O77&gt;=BandMed,"Medium","Low"))))</f>
        <v/>
      </c>
      <c r="Q77" s="4" t="n"/>
      <c r="R77" s="19" t="n"/>
      <c r="S77" s="4" t="n"/>
      <c r="T77" s="19" t="n"/>
      <c r="U77" s="4" t="n"/>
      <c r="V77" s="19" t="n"/>
      <c r="W77" s="4" t="n"/>
      <c r="X77" s="19" t="n"/>
      <c r="Y77" s="4" t="n"/>
      <c r="Z77" s="19" t="n"/>
      <c r="AA77" s="4" t="n"/>
      <c r="AB77" s="19" t="n"/>
      <c r="AC77" s="5">
        <f>_xlfn.TEXTJOIN(CHAR(10),TRUE,IF(Q77="","","• "&amp;Q77&amp;IF(R77="Yes","  [IPL]","")),IF(S77="","","• "&amp;S77&amp;IF(T77="Yes","  [IPL]","")),IF(U77="","","• "&amp;U77&amp;IF(V77="Yes","  [IPL]","")),IF(W77="","","• "&amp;W77&amp;IF(X77="Yes","  [IPL]","")),IF(Y77="","","• "&amp;Y77&amp;IF(Z77="Yes","  [IPL]","")),IF(AA77="","","• "&amp;AA77&amp;IF(AB77="Yes","  [IPL]","")))</f>
        <v/>
      </c>
      <c r="AD77" s="30">
        <f>IF(AC77="","",COUNTIF(Q77:AB77,"Yes"))</f>
        <v/>
      </c>
      <c r="AE77" s="19" t="n"/>
      <c r="AF77" s="19" t="n"/>
      <c r="AG77" s="30">
        <f>IF(OR(AE77="",AF77=""),"",INDEX(RiskGrid,6-VALUE(LEFT(AE77,1)),VALUE(LEFT(AF77,1))))</f>
        <v/>
      </c>
      <c r="AH77" s="30">
        <f>IF(AG77="","",IF(AG77&gt;=BandVH,"Very High",IF(AG77&gt;=BandHigh,"High",IF(AG77&gt;=BandMed,"Medium","Low"))))</f>
        <v/>
      </c>
      <c r="AI77" s="4" t="n"/>
      <c r="AJ77" s="4" t="n"/>
    </row>
    <row r="78">
      <c r="A78" s="30">
        <f>IF(B78="","",COUNTIF(B$14:B78,"?*"))</f>
        <v/>
      </c>
      <c r="B78" s="4" t="n"/>
      <c r="C78" s="19" t="n"/>
      <c r="D78" s="5">
        <f>IF(OR(B78="",C78=""),"",UPPER(LEFT(C78,1))&amp;LOWER(MID(C78,2,30))&amp;" "&amp;LOWER(LEFT(B78,1))&amp;MID(B78,2,200))</f>
        <v/>
      </c>
      <c r="E78" s="4" t="n"/>
      <c r="F78" s="4" t="n"/>
      <c r="G78" s="4" t="n"/>
      <c r="H78" s="4" t="n"/>
      <c r="I78" s="4" t="n"/>
      <c r="J78" s="4" t="n"/>
      <c r="K78" s="5">
        <f>_xlfn.TEXTJOIN(CHAR(10),TRUE,IF(E78="","","• "&amp;E78),IF(F78="","","• "&amp;F78),IF(G78="","","• "&amp;G78),IF(H78="","","• "&amp;H78),IF(I78="","","• "&amp;I78),IF(J78="","","• "&amp;J78))</f>
        <v/>
      </c>
      <c r="L78" s="4" t="n"/>
      <c r="M78" s="19" t="n"/>
      <c r="N78" s="19" t="n"/>
      <c r="O78" s="30">
        <f>IF(OR(M78="",N78=""),"",INDEX(RiskGrid,6-VALUE(LEFT(M78,1)),VALUE(LEFT(N78,1))))</f>
        <v/>
      </c>
      <c r="P78" s="30">
        <f>IF(O78="","",IF(O78&gt;=BandVH,"Very High",IF(O78&gt;=BandHigh,"High",IF(O78&gt;=BandMed,"Medium","Low"))))</f>
        <v/>
      </c>
      <c r="Q78" s="4" t="n"/>
      <c r="R78" s="19" t="n"/>
      <c r="S78" s="4" t="n"/>
      <c r="T78" s="19" t="n"/>
      <c r="U78" s="4" t="n"/>
      <c r="V78" s="19" t="n"/>
      <c r="W78" s="4" t="n"/>
      <c r="X78" s="19" t="n"/>
      <c r="Y78" s="4" t="n"/>
      <c r="Z78" s="19" t="n"/>
      <c r="AA78" s="4" t="n"/>
      <c r="AB78" s="19" t="n"/>
      <c r="AC78" s="5">
        <f>_xlfn.TEXTJOIN(CHAR(10),TRUE,IF(Q78="","","• "&amp;Q78&amp;IF(R78="Yes","  [IPL]","")),IF(S78="","","• "&amp;S78&amp;IF(T78="Yes","  [IPL]","")),IF(U78="","","• "&amp;U78&amp;IF(V78="Yes","  [IPL]","")),IF(W78="","","• "&amp;W78&amp;IF(X78="Yes","  [IPL]","")),IF(Y78="","","• "&amp;Y78&amp;IF(Z78="Yes","  [IPL]","")),IF(AA78="","","• "&amp;AA78&amp;IF(AB78="Yes","  [IPL]","")))</f>
        <v/>
      </c>
      <c r="AD78" s="30">
        <f>IF(AC78="","",COUNTIF(Q78:AB78,"Yes"))</f>
        <v/>
      </c>
      <c r="AE78" s="19" t="n"/>
      <c r="AF78" s="19" t="n"/>
      <c r="AG78" s="30">
        <f>IF(OR(AE78="",AF78=""),"",INDEX(RiskGrid,6-VALUE(LEFT(AE78,1)),VALUE(LEFT(AF78,1))))</f>
        <v/>
      </c>
      <c r="AH78" s="30">
        <f>IF(AG78="","",IF(AG78&gt;=BandVH,"Very High",IF(AG78&gt;=BandHigh,"High",IF(AG78&gt;=BandMed,"Medium","Low"))))</f>
        <v/>
      </c>
      <c r="AI78" s="4" t="n"/>
      <c r="AJ78" s="4" t="n"/>
    </row>
    <row r="79">
      <c r="A79" s="30">
        <f>IF(B79="","",COUNTIF(B$14:B79,"?*"))</f>
        <v/>
      </c>
      <c r="B79" s="4" t="n"/>
      <c r="C79" s="19" t="n"/>
      <c r="D79" s="5">
        <f>IF(OR(B79="",C79=""),"",UPPER(LEFT(C79,1))&amp;LOWER(MID(C79,2,30))&amp;" "&amp;LOWER(LEFT(B79,1))&amp;MID(B79,2,200))</f>
        <v/>
      </c>
      <c r="E79" s="4" t="n"/>
      <c r="F79" s="4" t="n"/>
      <c r="G79" s="4" t="n"/>
      <c r="H79" s="4" t="n"/>
      <c r="I79" s="4" t="n"/>
      <c r="J79" s="4" t="n"/>
      <c r="K79" s="5">
        <f>_xlfn.TEXTJOIN(CHAR(10),TRUE,IF(E79="","","• "&amp;E79),IF(F79="","","• "&amp;F79),IF(G79="","","• "&amp;G79),IF(H79="","","• "&amp;H79),IF(I79="","","• "&amp;I79),IF(J79="","","• "&amp;J79))</f>
        <v/>
      </c>
      <c r="L79" s="4" t="n"/>
      <c r="M79" s="19" t="n"/>
      <c r="N79" s="19" t="n"/>
      <c r="O79" s="30">
        <f>IF(OR(M79="",N79=""),"",INDEX(RiskGrid,6-VALUE(LEFT(M79,1)),VALUE(LEFT(N79,1))))</f>
        <v/>
      </c>
      <c r="P79" s="30">
        <f>IF(O79="","",IF(O79&gt;=BandVH,"Very High",IF(O79&gt;=BandHigh,"High",IF(O79&gt;=BandMed,"Medium","Low"))))</f>
        <v/>
      </c>
      <c r="Q79" s="4" t="n"/>
      <c r="R79" s="19" t="n"/>
      <c r="S79" s="4" t="n"/>
      <c r="T79" s="19" t="n"/>
      <c r="U79" s="4" t="n"/>
      <c r="V79" s="19" t="n"/>
      <c r="W79" s="4" t="n"/>
      <c r="X79" s="19" t="n"/>
      <c r="Y79" s="4" t="n"/>
      <c r="Z79" s="19" t="n"/>
      <c r="AA79" s="4" t="n"/>
      <c r="AB79" s="19" t="n"/>
      <c r="AC79" s="5">
        <f>_xlfn.TEXTJOIN(CHAR(10),TRUE,IF(Q79="","","• "&amp;Q79&amp;IF(R79="Yes","  [IPL]","")),IF(S79="","","• "&amp;S79&amp;IF(T79="Yes","  [IPL]","")),IF(U79="","","• "&amp;U79&amp;IF(V79="Yes","  [IPL]","")),IF(W79="","","• "&amp;W79&amp;IF(X79="Yes","  [IPL]","")),IF(Y79="","","• "&amp;Y79&amp;IF(Z79="Yes","  [IPL]","")),IF(AA79="","","• "&amp;AA79&amp;IF(AB79="Yes","  [IPL]","")))</f>
        <v/>
      </c>
      <c r="AD79" s="30">
        <f>IF(AC79="","",COUNTIF(Q79:AB79,"Yes"))</f>
        <v/>
      </c>
      <c r="AE79" s="19" t="n"/>
      <c r="AF79" s="19" t="n"/>
      <c r="AG79" s="30">
        <f>IF(OR(AE79="",AF79=""),"",INDEX(RiskGrid,6-VALUE(LEFT(AE79,1)),VALUE(LEFT(AF79,1))))</f>
        <v/>
      </c>
      <c r="AH79" s="30">
        <f>IF(AG79="","",IF(AG79&gt;=BandVH,"Very High",IF(AG79&gt;=BandHigh,"High",IF(AG79&gt;=BandMed,"Medium","Low"))))</f>
        <v/>
      </c>
      <c r="AI79" s="4" t="n"/>
      <c r="AJ79" s="4" t="n"/>
    </row>
    <row r="80">
      <c r="A80" s="30">
        <f>IF(B80="","",COUNTIF(B$14:B80,"?*"))</f>
        <v/>
      </c>
      <c r="B80" s="4" t="n"/>
      <c r="C80" s="19" t="n"/>
      <c r="D80" s="5">
        <f>IF(OR(B80="",C80=""),"",UPPER(LEFT(C80,1))&amp;LOWER(MID(C80,2,30))&amp;" "&amp;LOWER(LEFT(B80,1))&amp;MID(B80,2,200))</f>
        <v/>
      </c>
      <c r="E80" s="4" t="n"/>
      <c r="F80" s="4" t="n"/>
      <c r="G80" s="4" t="n"/>
      <c r="H80" s="4" t="n"/>
      <c r="I80" s="4" t="n"/>
      <c r="J80" s="4" t="n"/>
      <c r="K80" s="5">
        <f>_xlfn.TEXTJOIN(CHAR(10),TRUE,IF(E80="","","• "&amp;E80),IF(F80="","","• "&amp;F80),IF(G80="","","• "&amp;G80),IF(H80="","","• "&amp;H80),IF(I80="","","• "&amp;I80),IF(J80="","","• "&amp;J80))</f>
        <v/>
      </c>
      <c r="L80" s="4" t="n"/>
      <c r="M80" s="19" t="n"/>
      <c r="N80" s="19" t="n"/>
      <c r="O80" s="30">
        <f>IF(OR(M80="",N80=""),"",INDEX(RiskGrid,6-VALUE(LEFT(M80,1)),VALUE(LEFT(N80,1))))</f>
        <v/>
      </c>
      <c r="P80" s="30">
        <f>IF(O80="","",IF(O80&gt;=BandVH,"Very High",IF(O80&gt;=BandHigh,"High",IF(O80&gt;=BandMed,"Medium","Low"))))</f>
        <v/>
      </c>
      <c r="Q80" s="4" t="n"/>
      <c r="R80" s="19" t="n"/>
      <c r="S80" s="4" t="n"/>
      <c r="T80" s="19" t="n"/>
      <c r="U80" s="4" t="n"/>
      <c r="V80" s="19" t="n"/>
      <c r="W80" s="4" t="n"/>
      <c r="X80" s="19" t="n"/>
      <c r="Y80" s="4" t="n"/>
      <c r="Z80" s="19" t="n"/>
      <c r="AA80" s="4" t="n"/>
      <c r="AB80" s="19" t="n"/>
      <c r="AC80" s="5">
        <f>_xlfn.TEXTJOIN(CHAR(10),TRUE,IF(Q80="","","• "&amp;Q80&amp;IF(R80="Yes","  [IPL]","")),IF(S80="","","• "&amp;S80&amp;IF(T80="Yes","  [IPL]","")),IF(U80="","","• "&amp;U80&amp;IF(V80="Yes","  [IPL]","")),IF(W80="","","• "&amp;W80&amp;IF(X80="Yes","  [IPL]","")),IF(Y80="","","• "&amp;Y80&amp;IF(Z80="Yes","  [IPL]","")),IF(AA80="","","• "&amp;AA80&amp;IF(AB80="Yes","  [IPL]","")))</f>
        <v/>
      </c>
      <c r="AD80" s="30">
        <f>IF(AC80="","",COUNTIF(Q80:AB80,"Yes"))</f>
        <v/>
      </c>
      <c r="AE80" s="19" t="n"/>
      <c r="AF80" s="19" t="n"/>
      <c r="AG80" s="30">
        <f>IF(OR(AE80="",AF80=""),"",INDEX(RiskGrid,6-VALUE(LEFT(AE80,1)),VALUE(LEFT(AF80,1))))</f>
        <v/>
      </c>
      <c r="AH80" s="30">
        <f>IF(AG80="","",IF(AG80&gt;=BandVH,"Very High",IF(AG80&gt;=BandHigh,"High",IF(AG80&gt;=BandMed,"Medium","Low"))))</f>
        <v/>
      </c>
      <c r="AI80" s="4" t="n"/>
      <c r="AJ80" s="4" t="n"/>
    </row>
    <row r="81">
      <c r="A81" s="30">
        <f>IF(B81="","",COUNTIF(B$14:B81,"?*"))</f>
        <v/>
      </c>
      <c r="B81" s="4" t="n"/>
      <c r="C81" s="19" t="n"/>
      <c r="D81" s="5">
        <f>IF(OR(B81="",C81=""),"",UPPER(LEFT(C81,1))&amp;LOWER(MID(C81,2,30))&amp;" "&amp;LOWER(LEFT(B81,1))&amp;MID(B81,2,200))</f>
        <v/>
      </c>
      <c r="E81" s="4" t="n"/>
      <c r="F81" s="4" t="n"/>
      <c r="G81" s="4" t="n"/>
      <c r="H81" s="4" t="n"/>
      <c r="I81" s="4" t="n"/>
      <c r="J81" s="4" t="n"/>
      <c r="K81" s="5">
        <f>_xlfn.TEXTJOIN(CHAR(10),TRUE,IF(E81="","","• "&amp;E81),IF(F81="","","• "&amp;F81),IF(G81="","","• "&amp;G81),IF(H81="","","• "&amp;H81),IF(I81="","","• "&amp;I81),IF(J81="","","• "&amp;J81))</f>
        <v/>
      </c>
      <c r="L81" s="4" t="n"/>
      <c r="M81" s="19" t="n"/>
      <c r="N81" s="19" t="n"/>
      <c r="O81" s="30">
        <f>IF(OR(M81="",N81=""),"",INDEX(RiskGrid,6-VALUE(LEFT(M81,1)),VALUE(LEFT(N81,1))))</f>
        <v/>
      </c>
      <c r="P81" s="30">
        <f>IF(O81="","",IF(O81&gt;=BandVH,"Very High",IF(O81&gt;=BandHigh,"High",IF(O81&gt;=BandMed,"Medium","Low"))))</f>
        <v/>
      </c>
      <c r="Q81" s="4" t="n"/>
      <c r="R81" s="19" t="n"/>
      <c r="S81" s="4" t="n"/>
      <c r="T81" s="19" t="n"/>
      <c r="U81" s="4" t="n"/>
      <c r="V81" s="19" t="n"/>
      <c r="W81" s="4" t="n"/>
      <c r="X81" s="19" t="n"/>
      <c r="Y81" s="4" t="n"/>
      <c r="Z81" s="19" t="n"/>
      <c r="AA81" s="4" t="n"/>
      <c r="AB81" s="19" t="n"/>
      <c r="AC81" s="5">
        <f>_xlfn.TEXTJOIN(CHAR(10),TRUE,IF(Q81="","","• "&amp;Q81&amp;IF(R81="Yes","  [IPL]","")),IF(S81="","","• "&amp;S81&amp;IF(T81="Yes","  [IPL]","")),IF(U81="","","• "&amp;U81&amp;IF(V81="Yes","  [IPL]","")),IF(W81="","","• "&amp;W81&amp;IF(X81="Yes","  [IPL]","")),IF(Y81="","","• "&amp;Y81&amp;IF(Z81="Yes","  [IPL]","")),IF(AA81="","","• "&amp;AA81&amp;IF(AB81="Yes","  [IPL]","")))</f>
        <v/>
      </c>
      <c r="AD81" s="30">
        <f>IF(AC81="","",COUNTIF(Q81:AB81,"Yes"))</f>
        <v/>
      </c>
      <c r="AE81" s="19" t="n"/>
      <c r="AF81" s="19" t="n"/>
      <c r="AG81" s="30">
        <f>IF(OR(AE81="",AF81=""),"",INDEX(RiskGrid,6-VALUE(LEFT(AE81,1)),VALUE(LEFT(AF81,1))))</f>
        <v/>
      </c>
      <c r="AH81" s="30">
        <f>IF(AG81="","",IF(AG81&gt;=BandVH,"Very High",IF(AG81&gt;=BandHigh,"High",IF(AG81&gt;=BandMed,"Medium","Low"))))</f>
        <v/>
      </c>
      <c r="AI81" s="4" t="n"/>
      <c r="AJ81" s="4" t="n"/>
    </row>
    <row r="82">
      <c r="A82" s="30">
        <f>IF(B82="","",COUNTIF(B$14:B82,"?*"))</f>
        <v/>
      </c>
      <c r="B82" s="4" t="n"/>
      <c r="C82" s="19" t="n"/>
      <c r="D82" s="5">
        <f>IF(OR(B82="",C82=""),"",UPPER(LEFT(C82,1))&amp;LOWER(MID(C82,2,30))&amp;" "&amp;LOWER(LEFT(B82,1))&amp;MID(B82,2,200))</f>
        <v/>
      </c>
      <c r="E82" s="4" t="n"/>
      <c r="F82" s="4" t="n"/>
      <c r="G82" s="4" t="n"/>
      <c r="H82" s="4" t="n"/>
      <c r="I82" s="4" t="n"/>
      <c r="J82" s="4" t="n"/>
      <c r="K82" s="5">
        <f>_xlfn.TEXTJOIN(CHAR(10),TRUE,IF(E82="","","• "&amp;E82),IF(F82="","","• "&amp;F82),IF(G82="","","• "&amp;G82),IF(H82="","","• "&amp;H82),IF(I82="","","• "&amp;I82),IF(J82="","","• "&amp;J82))</f>
        <v/>
      </c>
      <c r="L82" s="4" t="n"/>
      <c r="M82" s="19" t="n"/>
      <c r="N82" s="19" t="n"/>
      <c r="O82" s="30">
        <f>IF(OR(M82="",N82=""),"",INDEX(RiskGrid,6-VALUE(LEFT(M82,1)),VALUE(LEFT(N82,1))))</f>
        <v/>
      </c>
      <c r="P82" s="30">
        <f>IF(O82="","",IF(O82&gt;=BandVH,"Very High",IF(O82&gt;=BandHigh,"High",IF(O82&gt;=BandMed,"Medium","Low"))))</f>
        <v/>
      </c>
      <c r="Q82" s="4" t="n"/>
      <c r="R82" s="19" t="n"/>
      <c r="S82" s="4" t="n"/>
      <c r="T82" s="19" t="n"/>
      <c r="U82" s="4" t="n"/>
      <c r="V82" s="19" t="n"/>
      <c r="W82" s="4" t="n"/>
      <c r="X82" s="19" t="n"/>
      <c r="Y82" s="4" t="n"/>
      <c r="Z82" s="19" t="n"/>
      <c r="AA82" s="4" t="n"/>
      <c r="AB82" s="19" t="n"/>
      <c r="AC82" s="5">
        <f>_xlfn.TEXTJOIN(CHAR(10),TRUE,IF(Q82="","","• "&amp;Q82&amp;IF(R82="Yes","  [IPL]","")),IF(S82="","","• "&amp;S82&amp;IF(T82="Yes","  [IPL]","")),IF(U82="","","• "&amp;U82&amp;IF(V82="Yes","  [IPL]","")),IF(W82="","","• "&amp;W82&amp;IF(X82="Yes","  [IPL]","")),IF(Y82="","","• "&amp;Y82&amp;IF(Z82="Yes","  [IPL]","")),IF(AA82="","","• "&amp;AA82&amp;IF(AB82="Yes","  [IPL]","")))</f>
        <v/>
      </c>
      <c r="AD82" s="30">
        <f>IF(AC82="","",COUNTIF(Q82:AB82,"Yes"))</f>
        <v/>
      </c>
      <c r="AE82" s="19" t="n"/>
      <c r="AF82" s="19" t="n"/>
      <c r="AG82" s="30">
        <f>IF(OR(AE82="",AF82=""),"",INDEX(RiskGrid,6-VALUE(LEFT(AE82,1)),VALUE(LEFT(AF82,1))))</f>
        <v/>
      </c>
      <c r="AH82" s="30">
        <f>IF(AG82="","",IF(AG82&gt;=BandVH,"Very High",IF(AG82&gt;=BandHigh,"High",IF(AG82&gt;=BandMed,"Medium","Low"))))</f>
        <v/>
      </c>
      <c r="AI82" s="4" t="n"/>
      <c r="AJ82" s="4" t="n"/>
    </row>
    <row r="83">
      <c r="A83" s="30">
        <f>IF(B83="","",COUNTIF(B$14:B83,"?*"))</f>
        <v/>
      </c>
      <c r="B83" s="4" t="n"/>
      <c r="C83" s="19" t="n"/>
      <c r="D83" s="5">
        <f>IF(OR(B83="",C83=""),"",UPPER(LEFT(C83,1))&amp;LOWER(MID(C83,2,30))&amp;" "&amp;LOWER(LEFT(B83,1))&amp;MID(B83,2,200))</f>
        <v/>
      </c>
      <c r="E83" s="4" t="n"/>
      <c r="F83" s="4" t="n"/>
      <c r="G83" s="4" t="n"/>
      <c r="H83" s="4" t="n"/>
      <c r="I83" s="4" t="n"/>
      <c r="J83" s="4" t="n"/>
      <c r="K83" s="5">
        <f>_xlfn.TEXTJOIN(CHAR(10),TRUE,IF(E83="","","• "&amp;E83),IF(F83="","","• "&amp;F83),IF(G83="","","• "&amp;G83),IF(H83="","","• "&amp;H83),IF(I83="","","• "&amp;I83),IF(J83="","","• "&amp;J83))</f>
        <v/>
      </c>
      <c r="L83" s="4" t="n"/>
      <c r="M83" s="19" t="n"/>
      <c r="N83" s="19" t="n"/>
      <c r="O83" s="30">
        <f>IF(OR(M83="",N83=""),"",INDEX(RiskGrid,6-VALUE(LEFT(M83,1)),VALUE(LEFT(N83,1))))</f>
        <v/>
      </c>
      <c r="P83" s="30">
        <f>IF(O83="","",IF(O83&gt;=BandVH,"Very High",IF(O83&gt;=BandHigh,"High",IF(O83&gt;=BandMed,"Medium","Low"))))</f>
        <v/>
      </c>
      <c r="Q83" s="4" t="n"/>
      <c r="R83" s="19" t="n"/>
      <c r="S83" s="4" t="n"/>
      <c r="T83" s="19" t="n"/>
      <c r="U83" s="4" t="n"/>
      <c r="V83" s="19" t="n"/>
      <c r="W83" s="4" t="n"/>
      <c r="X83" s="19" t="n"/>
      <c r="Y83" s="4" t="n"/>
      <c r="Z83" s="19" t="n"/>
      <c r="AA83" s="4" t="n"/>
      <c r="AB83" s="19" t="n"/>
      <c r="AC83" s="5">
        <f>_xlfn.TEXTJOIN(CHAR(10),TRUE,IF(Q83="","","• "&amp;Q83&amp;IF(R83="Yes","  [IPL]","")),IF(S83="","","• "&amp;S83&amp;IF(T83="Yes","  [IPL]","")),IF(U83="","","• "&amp;U83&amp;IF(V83="Yes","  [IPL]","")),IF(W83="","","• "&amp;W83&amp;IF(X83="Yes","  [IPL]","")),IF(Y83="","","• "&amp;Y83&amp;IF(Z83="Yes","  [IPL]","")),IF(AA83="","","• "&amp;AA83&amp;IF(AB83="Yes","  [IPL]","")))</f>
        <v/>
      </c>
      <c r="AD83" s="30">
        <f>IF(AC83="","",COUNTIF(Q83:AB83,"Yes"))</f>
        <v/>
      </c>
      <c r="AE83" s="19" t="n"/>
      <c r="AF83" s="19" t="n"/>
      <c r="AG83" s="30">
        <f>IF(OR(AE83="",AF83=""),"",INDEX(RiskGrid,6-VALUE(LEFT(AE83,1)),VALUE(LEFT(AF83,1))))</f>
        <v/>
      </c>
      <c r="AH83" s="30">
        <f>IF(AG83="","",IF(AG83&gt;=BandVH,"Very High",IF(AG83&gt;=BandHigh,"High",IF(AG83&gt;=BandMed,"Medium","Low"))))</f>
        <v/>
      </c>
      <c r="AI83" s="4" t="n"/>
      <c r="AJ83" s="4" t="n"/>
    </row>
    <row r="84">
      <c r="A84" s="30">
        <f>IF(B84="","",COUNTIF(B$14:B84,"?*"))</f>
        <v/>
      </c>
      <c r="B84" s="4" t="n"/>
      <c r="C84" s="19" t="n"/>
      <c r="D84" s="5">
        <f>IF(OR(B84="",C84=""),"",UPPER(LEFT(C84,1))&amp;LOWER(MID(C84,2,30))&amp;" "&amp;LOWER(LEFT(B84,1))&amp;MID(B84,2,200))</f>
        <v/>
      </c>
      <c r="E84" s="4" t="n"/>
      <c r="F84" s="4" t="n"/>
      <c r="G84" s="4" t="n"/>
      <c r="H84" s="4" t="n"/>
      <c r="I84" s="4" t="n"/>
      <c r="J84" s="4" t="n"/>
      <c r="K84" s="5">
        <f>_xlfn.TEXTJOIN(CHAR(10),TRUE,IF(E84="","","• "&amp;E84),IF(F84="","","• "&amp;F84),IF(G84="","","• "&amp;G84),IF(H84="","","• "&amp;H84),IF(I84="","","• "&amp;I84),IF(J84="","","• "&amp;J84))</f>
        <v/>
      </c>
      <c r="L84" s="4" t="n"/>
      <c r="M84" s="19" t="n"/>
      <c r="N84" s="19" t="n"/>
      <c r="O84" s="30">
        <f>IF(OR(M84="",N84=""),"",INDEX(RiskGrid,6-VALUE(LEFT(M84,1)),VALUE(LEFT(N84,1))))</f>
        <v/>
      </c>
      <c r="P84" s="30">
        <f>IF(O84="","",IF(O84&gt;=BandVH,"Very High",IF(O84&gt;=BandHigh,"High",IF(O84&gt;=BandMed,"Medium","Low"))))</f>
        <v/>
      </c>
      <c r="Q84" s="4" t="n"/>
      <c r="R84" s="19" t="n"/>
      <c r="S84" s="4" t="n"/>
      <c r="T84" s="19" t="n"/>
      <c r="U84" s="4" t="n"/>
      <c r="V84" s="19" t="n"/>
      <c r="W84" s="4" t="n"/>
      <c r="X84" s="19" t="n"/>
      <c r="Y84" s="4" t="n"/>
      <c r="Z84" s="19" t="n"/>
      <c r="AA84" s="4" t="n"/>
      <c r="AB84" s="19" t="n"/>
      <c r="AC84" s="5">
        <f>_xlfn.TEXTJOIN(CHAR(10),TRUE,IF(Q84="","","• "&amp;Q84&amp;IF(R84="Yes","  [IPL]","")),IF(S84="","","• "&amp;S84&amp;IF(T84="Yes","  [IPL]","")),IF(U84="","","• "&amp;U84&amp;IF(V84="Yes","  [IPL]","")),IF(W84="","","• "&amp;W84&amp;IF(X84="Yes","  [IPL]","")),IF(Y84="","","• "&amp;Y84&amp;IF(Z84="Yes","  [IPL]","")),IF(AA84="","","• "&amp;AA84&amp;IF(AB84="Yes","  [IPL]","")))</f>
        <v/>
      </c>
      <c r="AD84" s="30">
        <f>IF(AC84="","",COUNTIF(Q84:AB84,"Yes"))</f>
        <v/>
      </c>
      <c r="AE84" s="19" t="n"/>
      <c r="AF84" s="19" t="n"/>
      <c r="AG84" s="30">
        <f>IF(OR(AE84="",AF84=""),"",INDEX(RiskGrid,6-VALUE(LEFT(AE84,1)),VALUE(LEFT(AF84,1))))</f>
        <v/>
      </c>
      <c r="AH84" s="30">
        <f>IF(AG84="","",IF(AG84&gt;=BandVH,"Very High",IF(AG84&gt;=BandHigh,"High",IF(AG84&gt;=BandMed,"Medium","Low"))))</f>
        <v/>
      </c>
      <c r="AI84" s="4" t="n"/>
      <c r="AJ84" s="4" t="n"/>
    </row>
    <row r="85">
      <c r="A85" s="30">
        <f>IF(B85="","",COUNTIF(B$14:B85,"?*"))</f>
        <v/>
      </c>
      <c r="B85" s="4" t="n"/>
      <c r="C85" s="19" t="n"/>
      <c r="D85" s="5">
        <f>IF(OR(B85="",C85=""),"",UPPER(LEFT(C85,1))&amp;LOWER(MID(C85,2,30))&amp;" "&amp;LOWER(LEFT(B85,1))&amp;MID(B85,2,200))</f>
        <v/>
      </c>
      <c r="E85" s="4" t="n"/>
      <c r="F85" s="4" t="n"/>
      <c r="G85" s="4" t="n"/>
      <c r="H85" s="4" t="n"/>
      <c r="I85" s="4" t="n"/>
      <c r="J85" s="4" t="n"/>
      <c r="K85" s="5">
        <f>_xlfn.TEXTJOIN(CHAR(10),TRUE,IF(E85="","","• "&amp;E85),IF(F85="","","• "&amp;F85),IF(G85="","","• "&amp;G85),IF(H85="","","• "&amp;H85),IF(I85="","","• "&amp;I85),IF(J85="","","• "&amp;J85))</f>
        <v/>
      </c>
      <c r="L85" s="4" t="n"/>
      <c r="M85" s="19" t="n"/>
      <c r="N85" s="19" t="n"/>
      <c r="O85" s="30">
        <f>IF(OR(M85="",N85=""),"",INDEX(RiskGrid,6-VALUE(LEFT(M85,1)),VALUE(LEFT(N85,1))))</f>
        <v/>
      </c>
      <c r="P85" s="30">
        <f>IF(O85="","",IF(O85&gt;=BandVH,"Very High",IF(O85&gt;=BandHigh,"High",IF(O85&gt;=BandMed,"Medium","Low"))))</f>
        <v/>
      </c>
      <c r="Q85" s="4" t="n"/>
      <c r="R85" s="19" t="n"/>
      <c r="S85" s="4" t="n"/>
      <c r="T85" s="19" t="n"/>
      <c r="U85" s="4" t="n"/>
      <c r="V85" s="19" t="n"/>
      <c r="W85" s="4" t="n"/>
      <c r="X85" s="19" t="n"/>
      <c r="Y85" s="4" t="n"/>
      <c r="Z85" s="19" t="n"/>
      <c r="AA85" s="4" t="n"/>
      <c r="AB85" s="19" t="n"/>
      <c r="AC85" s="5">
        <f>_xlfn.TEXTJOIN(CHAR(10),TRUE,IF(Q85="","","• "&amp;Q85&amp;IF(R85="Yes","  [IPL]","")),IF(S85="","","• "&amp;S85&amp;IF(T85="Yes","  [IPL]","")),IF(U85="","","• "&amp;U85&amp;IF(V85="Yes","  [IPL]","")),IF(W85="","","• "&amp;W85&amp;IF(X85="Yes","  [IPL]","")),IF(Y85="","","• "&amp;Y85&amp;IF(Z85="Yes","  [IPL]","")),IF(AA85="","","• "&amp;AA85&amp;IF(AB85="Yes","  [IPL]","")))</f>
        <v/>
      </c>
      <c r="AD85" s="30">
        <f>IF(AC85="","",COUNTIF(Q85:AB85,"Yes"))</f>
        <v/>
      </c>
      <c r="AE85" s="19" t="n"/>
      <c r="AF85" s="19" t="n"/>
      <c r="AG85" s="30">
        <f>IF(OR(AE85="",AF85=""),"",INDEX(RiskGrid,6-VALUE(LEFT(AE85,1)),VALUE(LEFT(AF85,1))))</f>
        <v/>
      </c>
      <c r="AH85" s="30">
        <f>IF(AG85="","",IF(AG85&gt;=BandVH,"Very High",IF(AG85&gt;=BandHigh,"High",IF(AG85&gt;=BandMed,"Medium","Low"))))</f>
        <v/>
      </c>
      <c r="AI85" s="4" t="n"/>
      <c r="AJ85" s="4" t="n"/>
    </row>
    <row r="86">
      <c r="A86" s="30">
        <f>IF(B86="","",COUNTIF(B$14:B86,"?*"))</f>
        <v/>
      </c>
      <c r="B86" s="4" t="n"/>
      <c r="C86" s="19" t="n"/>
      <c r="D86" s="5">
        <f>IF(OR(B86="",C86=""),"",UPPER(LEFT(C86,1))&amp;LOWER(MID(C86,2,30))&amp;" "&amp;LOWER(LEFT(B86,1))&amp;MID(B86,2,200))</f>
        <v/>
      </c>
      <c r="E86" s="4" t="n"/>
      <c r="F86" s="4" t="n"/>
      <c r="G86" s="4" t="n"/>
      <c r="H86" s="4" t="n"/>
      <c r="I86" s="4" t="n"/>
      <c r="J86" s="4" t="n"/>
      <c r="K86" s="5">
        <f>_xlfn.TEXTJOIN(CHAR(10),TRUE,IF(E86="","","• "&amp;E86),IF(F86="","","• "&amp;F86),IF(G86="","","• "&amp;G86),IF(H86="","","• "&amp;H86),IF(I86="","","• "&amp;I86),IF(J86="","","• "&amp;J86))</f>
        <v/>
      </c>
      <c r="L86" s="4" t="n"/>
      <c r="M86" s="19" t="n"/>
      <c r="N86" s="19" t="n"/>
      <c r="O86" s="30">
        <f>IF(OR(M86="",N86=""),"",INDEX(RiskGrid,6-VALUE(LEFT(M86,1)),VALUE(LEFT(N86,1))))</f>
        <v/>
      </c>
      <c r="P86" s="30">
        <f>IF(O86="","",IF(O86&gt;=BandVH,"Very High",IF(O86&gt;=BandHigh,"High",IF(O86&gt;=BandMed,"Medium","Low"))))</f>
        <v/>
      </c>
      <c r="Q86" s="4" t="n"/>
      <c r="R86" s="19" t="n"/>
      <c r="S86" s="4" t="n"/>
      <c r="T86" s="19" t="n"/>
      <c r="U86" s="4" t="n"/>
      <c r="V86" s="19" t="n"/>
      <c r="W86" s="4" t="n"/>
      <c r="X86" s="19" t="n"/>
      <c r="Y86" s="4" t="n"/>
      <c r="Z86" s="19" t="n"/>
      <c r="AA86" s="4" t="n"/>
      <c r="AB86" s="19" t="n"/>
      <c r="AC86" s="5">
        <f>_xlfn.TEXTJOIN(CHAR(10),TRUE,IF(Q86="","","• "&amp;Q86&amp;IF(R86="Yes","  [IPL]","")),IF(S86="","","• "&amp;S86&amp;IF(T86="Yes","  [IPL]","")),IF(U86="","","• "&amp;U86&amp;IF(V86="Yes","  [IPL]","")),IF(W86="","","• "&amp;W86&amp;IF(X86="Yes","  [IPL]","")),IF(Y86="","","• "&amp;Y86&amp;IF(Z86="Yes","  [IPL]","")),IF(AA86="","","• "&amp;AA86&amp;IF(AB86="Yes","  [IPL]","")))</f>
        <v/>
      </c>
      <c r="AD86" s="30">
        <f>IF(AC86="","",COUNTIF(Q86:AB86,"Yes"))</f>
        <v/>
      </c>
      <c r="AE86" s="19" t="n"/>
      <c r="AF86" s="19" t="n"/>
      <c r="AG86" s="30">
        <f>IF(OR(AE86="",AF86=""),"",INDEX(RiskGrid,6-VALUE(LEFT(AE86,1)),VALUE(LEFT(AF86,1))))</f>
        <v/>
      </c>
      <c r="AH86" s="30">
        <f>IF(AG86="","",IF(AG86&gt;=BandVH,"Very High",IF(AG86&gt;=BandHigh,"High",IF(AG86&gt;=BandMed,"Medium","Low"))))</f>
        <v/>
      </c>
      <c r="AI86" s="4" t="n"/>
      <c r="AJ86" s="4" t="n"/>
    </row>
    <row r="87">
      <c r="A87" s="30">
        <f>IF(B87="","",COUNTIF(B$14:B87,"?*"))</f>
        <v/>
      </c>
      <c r="B87" s="4" t="n"/>
      <c r="C87" s="19" t="n"/>
      <c r="D87" s="5">
        <f>IF(OR(B87="",C87=""),"",UPPER(LEFT(C87,1))&amp;LOWER(MID(C87,2,30))&amp;" "&amp;LOWER(LEFT(B87,1))&amp;MID(B87,2,200))</f>
        <v/>
      </c>
      <c r="E87" s="4" t="n"/>
      <c r="F87" s="4" t="n"/>
      <c r="G87" s="4" t="n"/>
      <c r="H87" s="4" t="n"/>
      <c r="I87" s="4" t="n"/>
      <c r="J87" s="4" t="n"/>
      <c r="K87" s="5">
        <f>_xlfn.TEXTJOIN(CHAR(10),TRUE,IF(E87="","","• "&amp;E87),IF(F87="","","• "&amp;F87),IF(G87="","","• "&amp;G87),IF(H87="","","• "&amp;H87),IF(I87="","","• "&amp;I87),IF(J87="","","• "&amp;J87))</f>
        <v/>
      </c>
      <c r="L87" s="4" t="n"/>
      <c r="M87" s="19" t="n"/>
      <c r="N87" s="19" t="n"/>
      <c r="O87" s="30">
        <f>IF(OR(M87="",N87=""),"",INDEX(RiskGrid,6-VALUE(LEFT(M87,1)),VALUE(LEFT(N87,1))))</f>
        <v/>
      </c>
      <c r="P87" s="30">
        <f>IF(O87="","",IF(O87&gt;=BandVH,"Very High",IF(O87&gt;=BandHigh,"High",IF(O87&gt;=BandMed,"Medium","Low"))))</f>
        <v/>
      </c>
      <c r="Q87" s="4" t="n"/>
      <c r="R87" s="19" t="n"/>
      <c r="S87" s="4" t="n"/>
      <c r="T87" s="19" t="n"/>
      <c r="U87" s="4" t="n"/>
      <c r="V87" s="19" t="n"/>
      <c r="W87" s="4" t="n"/>
      <c r="X87" s="19" t="n"/>
      <c r="Y87" s="4" t="n"/>
      <c r="Z87" s="19" t="n"/>
      <c r="AA87" s="4" t="n"/>
      <c r="AB87" s="19" t="n"/>
      <c r="AC87" s="5">
        <f>_xlfn.TEXTJOIN(CHAR(10),TRUE,IF(Q87="","","• "&amp;Q87&amp;IF(R87="Yes","  [IPL]","")),IF(S87="","","• "&amp;S87&amp;IF(T87="Yes","  [IPL]","")),IF(U87="","","• "&amp;U87&amp;IF(V87="Yes","  [IPL]","")),IF(W87="","","• "&amp;W87&amp;IF(X87="Yes","  [IPL]","")),IF(Y87="","","• "&amp;Y87&amp;IF(Z87="Yes","  [IPL]","")),IF(AA87="","","• "&amp;AA87&amp;IF(AB87="Yes","  [IPL]","")))</f>
        <v/>
      </c>
      <c r="AD87" s="30">
        <f>IF(AC87="","",COUNTIF(Q87:AB87,"Yes"))</f>
        <v/>
      </c>
      <c r="AE87" s="19" t="n"/>
      <c r="AF87" s="19" t="n"/>
      <c r="AG87" s="30">
        <f>IF(OR(AE87="",AF87=""),"",INDEX(RiskGrid,6-VALUE(LEFT(AE87,1)),VALUE(LEFT(AF87,1))))</f>
        <v/>
      </c>
      <c r="AH87" s="30">
        <f>IF(AG87="","",IF(AG87&gt;=BandVH,"Very High",IF(AG87&gt;=BandHigh,"High",IF(AG87&gt;=BandMed,"Medium","Low"))))</f>
        <v/>
      </c>
      <c r="AI87" s="4" t="n"/>
      <c r="AJ87" s="4" t="n"/>
    </row>
    <row r="88">
      <c r="A88" s="30">
        <f>IF(B88="","",COUNTIF(B$14:B88,"?*"))</f>
        <v/>
      </c>
      <c r="B88" s="4" t="n"/>
      <c r="C88" s="19" t="n"/>
      <c r="D88" s="5">
        <f>IF(OR(B88="",C88=""),"",UPPER(LEFT(C88,1))&amp;LOWER(MID(C88,2,30))&amp;" "&amp;LOWER(LEFT(B88,1))&amp;MID(B88,2,200))</f>
        <v/>
      </c>
      <c r="E88" s="4" t="n"/>
      <c r="F88" s="4" t="n"/>
      <c r="G88" s="4" t="n"/>
      <c r="H88" s="4" t="n"/>
      <c r="I88" s="4" t="n"/>
      <c r="J88" s="4" t="n"/>
      <c r="K88" s="5">
        <f>_xlfn.TEXTJOIN(CHAR(10),TRUE,IF(E88="","","• "&amp;E88),IF(F88="","","• "&amp;F88),IF(G88="","","• "&amp;G88),IF(H88="","","• "&amp;H88),IF(I88="","","• "&amp;I88),IF(J88="","","• "&amp;J88))</f>
        <v/>
      </c>
      <c r="L88" s="4" t="n"/>
      <c r="M88" s="19" t="n"/>
      <c r="N88" s="19" t="n"/>
      <c r="O88" s="30">
        <f>IF(OR(M88="",N88=""),"",INDEX(RiskGrid,6-VALUE(LEFT(M88,1)),VALUE(LEFT(N88,1))))</f>
        <v/>
      </c>
      <c r="P88" s="30">
        <f>IF(O88="","",IF(O88&gt;=BandVH,"Very High",IF(O88&gt;=BandHigh,"High",IF(O88&gt;=BandMed,"Medium","Low"))))</f>
        <v/>
      </c>
      <c r="Q88" s="4" t="n"/>
      <c r="R88" s="19" t="n"/>
      <c r="S88" s="4" t="n"/>
      <c r="T88" s="19" t="n"/>
      <c r="U88" s="4" t="n"/>
      <c r="V88" s="19" t="n"/>
      <c r="W88" s="4" t="n"/>
      <c r="X88" s="19" t="n"/>
      <c r="Y88" s="4" t="n"/>
      <c r="Z88" s="19" t="n"/>
      <c r="AA88" s="4" t="n"/>
      <c r="AB88" s="19" t="n"/>
      <c r="AC88" s="5">
        <f>_xlfn.TEXTJOIN(CHAR(10),TRUE,IF(Q88="","","• "&amp;Q88&amp;IF(R88="Yes","  [IPL]","")),IF(S88="","","• "&amp;S88&amp;IF(T88="Yes","  [IPL]","")),IF(U88="","","• "&amp;U88&amp;IF(V88="Yes","  [IPL]","")),IF(W88="","","• "&amp;W88&amp;IF(X88="Yes","  [IPL]","")),IF(Y88="","","• "&amp;Y88&amp;IF(Z88="Yes","  [IPL]","")),IF(AA88="","","• "&amp;AA88&amp;IF(AB88="Yes","  [IPL]","")))</f>
        <v/>
      </c>
      <c r="AD88" s="30">
        <f>IF(AC88="","",COUNTIF(Q88:AB88,"Yes"))</f>
        <v/>
      </c>
      <c r="AE88" s="19" t="n"/>
      <c r="AF88" s="19" t="n"/>
      <c r="AG88" s="30">
        <f>IF(OR(AE88="",AF88=""),"",INDEX(RiskGrid,6-VALUE(LEFT(AE88,1)),VALUE(LEFT(AF88,1))))</f>
        <v/>
      </c>
      <c r="AH88" s="30">
        <f>IF(AG88="","",IF(AG88&gt;=BandVH,"Very High",IF(AG88&gt;=BandHigh,"High",IF(AG88&gt;=BandMed,"Medium","Low"))))</f>
        <v/>
      </c>
      <c r="AI88" s="4" t="n"/>
      <c r="AJ88" s="4" t="n"/>
    </row>
    <row r="89">
      <c r="A89" s="30">
        <f>IF(B89="","",COUNTIF(B$14:B89,"?*"))</f>
        <v/>
      </c>
      <c r="B89" s="4" t="n"/>
      <c r="C89" s="19" t="n"/>
      <c r="D89" s="5">
        <f>IF(OR(B89="",C89=""),"",UPPER(LEFT(C89,1))&amp;LOWER(MID(C89,2,30))&amp;" "&amp;LOWER(LEFT(B89,1))&amp;MID(B89,2,200))</f>
        <v/>
      </c>
      <c r="E89" s="4" t="n"/>
      <c r="F89" s="4" t="n"/>
      <c r="G89" s="4" t="n"/>
      <c r="H89" s="4" t="n"/>
      <c r="I89" s="4" t="n"/>
      <c r="J89" s="4" t="n"/>
      <c r="K89" s="5">
        <f>_xlfn.TEXTJOIN(CHAR(10),TRUE,IF(E89="","","• "&amp;E89),IF(F89="","","• "&amp;F89),IF(G89="","","• "&amp;G89),IF(H89="","","• "&amp;H89),IF(I89="","","• "&amp;I89),IF(J89="","","• "&amp;J89))</f>
        <v/>
      </c>
      <c r="L89" s="4" t="n"/>
      <c r="M89" s="19" t="n"/>
      <c r="N89" s="19" t="n"/>
      <c r="O89" s="30">
        <f>IF(OR(M89="",N89=""),"",INDEX(RiskGrid,6-VALUE(LEFT(M89,1)),VALUE(LEFT(N89,1))))</f>
        <v/>
      </c>
      <c r="P89" s="30">
        <f>IF(O89="","",IF(O89&gt;=BandVH,"Very High",IF(O89&gt;=BandHigh,"High",IF(O89&gt;=BandMed,"Medium","Low"))))</f>
        <v/>
      </c>
      <c r="Q89" s="4" t="n"/>
      <c r="R89" s="19" t="n"/>
      <c r="S89" s="4" t="n"/>
      <c r="T89" s="19" t="n"/>
      <c r="U89" s="4" t="n"/>
      <c r="V89" s="19" t="n"/>
      <c r="W89" s="4" t="n"/>
      <c r="X89" s="19" t="n"/>
      <c r="Y89" s="4" t="n"/>
      <c r="Z89" s="19" t="n"/>
      <c r="AA89" s="4" t="n"/>
      <c r="AB89" s="19" t="n"/>
      <c r="AC89" s="5">
        <f>_xlfn.TEXTJOIN(CHAR(10),TRUE,IF(Q89="","","• "&amp;Q89&amp;IF(R89="Yes","  [IPL]","")),IF(S89="","","• "&amp;S89&amp;IF(T89="Yes","  [IPL]","")),IF(U89="","","• "&amp;U89&amp;IF(V89="Yes","  [IPL]","")),IF(W89="","","• "&amp;W89&amp;IF(X89="Yes","  [IPL]","")),IF(Y89="","","• "&amp;Y89&amp;IF(Z89="Yes","  [IPL]","")),IF(AA89="","","• "&amp;AA89&amp;IF(AB89="Yes","  [IPL]","")))</f>
        <v/>
      </c>
      <c r="AD89" s="30">
        <f>IF(AC89="","",COUNTIF(Q89:AB89,"Yes"))</f>
        <v/>
      </c>
      <c r="AE89" s="19" t="n"/>
      <c r="AF89" s="19" t="n"/>
      <c r="AG89" s="30">
        <f>IF(OR(AE89="",AF89=""),"",INDEX(RiskGrid,6-VALUE(LEFT(AE89,1)),VALUE(LEFT(AF89,1))))</f>
        <v/>
      </c>
      <c r="AH89" s="30">
        <f>IF(AG89="","",IF(AG89&gt;=BandVH,"Very High",IF(AG89&gt;=BandHigh,"High",IF(AG89&gt;=BandMed,"Medium","Low"))))</f>
        <v/>
      </c>
      <c r="AI89" s="4" t="n"/>
      <c r="AJ89" s="4" t="n"/>
    </row>
    <row r="90">
      <c r="A90" s="30">
        <f>IF(B90="","",COUNTIF(B$14:B90,"?*"))</f>
        <v/>
      </c>
      <c r="B90" s="4" t="n"/>
      <c r="C90" s="19" t="n"/>
      <c r="D90" s="5">
        <f>IF(OR(B90="",C90=""),"",UPPER(LEFT(C90,1))&amp;LOWER(MID(C90,2,30))&amp;" "&amp;LOWER(LEFT(B90,1))&amp;MID(B90,2,200))</f>
        <v/>
      </c>
      <c r="E90" s="4" t="n"/>
      <c r="F90" s="4" t="n"/>
      <c r="G90" s="4" t="n"/>
      <c r="H90" s="4" t="n"/>
      <c r="I90" s="4" t="n"/>
      <c r="J90" s="4" t="n"/>
      <c r="K90" s="5">
        <f>_xlfn.TEXTJOIN(CHAR(10),TRUE,IF(E90="","","• "&amp;E90),IF(F90="","","• "&amp;F90),IF(G90="","","• "&amp;G90),IF(H90="","","• "&amp;H90),IF(I90="","","• "&amp;I90),IF(J90="","","• "&amp;J90))</f>
        <v/>
      </c>
      <c r="L90" s="4" t="n"/>
      <c r="M90" s="19" t="n"/>
      <c r="N90" s="19" t="n"/>
      <c r="O90" s="30">
        <f>IF(OR(M90="",N90=""),"",INDEX(RiskGrid,6-VALUE(LEFT(M90,1)),VALUE(LEFT(N90,1))))</f>
        <v/>
      </c>
      <c r="P90" s="30">
        <f>IF(O90="","",IF(O90&gt;=BandVH,"Very High",IF(O90&gt;=BandHigh,"High",IF(O90&gt;=BandMed,"Medium","Low"))))</f>
        <v/>
      </c>
      <c r="Q90" s="4" t="n"/>
      <c r="R90" s="19" t="n"/>
      <c r="S90" s="4" t="n"/>
      <c r="T90" s="19" t="n"/>
      <c r="U90" s="4" t="n"/>
      <c r="V90" s="19" t="n"/>
      <c r="W90" s="4" t="n"/>
      <c r="X90" s="19" t="n"/>
      <c r="Y90" s="4" t="n"/>
      <c r="Z90" s="19" t="n"/>
      <c r="AA90" s="4" t="n"/>
      <c r="AB90" s="19" t="n"/>
      <c r="AC90" s="5">
        <f>_xlfn.TEXTJOIN(CHAR(10),TRUE,IF(Q90="","","• "&amp;Q90&amp;IF(R90="Yes","  [IPL]","")),IF(S90="","","• "&amp;S90&amp;IF(T90="Yes","  [IPL]","")),IF(U90="","","• "&amp;U90&amp;IF(V90="Yes","  [IPL]","")),IF(W90="","","• "&amp;W90&amp;IF(X90="Yes","  [IPL]","")),IF(Y90="","","• "&amp;Y90&amp;IF(Z90="Yes","  [IPL]","")),IF(AA90="","","• "&amp;AA90&amp;IF(AB90="Yes","  [IPL]","")))</f>
        <v/>
      </c>
      <c r="AD90" s="30">
        <f>IF(AC90="","",COUNTIF(Q90:AB90,"Yes"))</f>
        <v/>
      </c>
      <c r="AE90" s="19" t="n"/>
      <c r="AF90" s="19" t="n"/>
      <c r="AG90" s="30">
        <f>IF(OR(AE90="",AF90=""),"",INDEX(RiskGrid,6-VALUE(LEFT(AE90,1)),VALUE(LEFT(AF90,1))))</f>
        <v/>
      </c>
      <c r="AH90" s="30">
        <f>IF(AG90="","",IF(AG90&gt;=BandVH,"Very High",IF(AG90&gt;=BandHigh,"High",IF(AG90&gt;=BandMed,"Medium","Low"))))</f>
        <v/>
      </c>
      <c r="AI90" s="4" t="n"/>
      <c r="AJ90" s="4" t="n"/>
    </row>
    <row r="91">
      <c r="A91" s="30">
        <f>IF(B91="","",COUNTIF(B$14:B91,"?*"))</f>
        <v/>
      </c>
      <c r="B91" s="4" t="n"/>
      <c r="C91" s="19" t="n"/>
      <c r="D91" s="5">
        <f>IF(OR(B91="",C91=""),"",UPPER(LEFT(C91,1))&amp;LOWER(MID(C91,2,30))&amp;" "&amp;LOWER(LEFT(B91,1))&amp;MID(B91,2,200))</f>
        <v/>
      </c>
      <c r="E91" s="4" t="n"/>
      <c r="F91" s="4" t="n"/>
      <c r="G91" s="4" t="n"/>
      <c r="H91" s="4" t="n"/>
      <c r="I91" s="4" t="n"/>
      <c r="J91" s="4" t="n"/>
      <c r="K91" s="5">
        <f>_xlfn.TEXTJOIN(CHAR(10),TRUE,IF(E91="","","• "&amp;E91),IF(F91="","","• "&amp;F91),IF(G91="","","• "&amp;G91),IF(H91="","","• "&amp;H91),IF(I91="","","• "&amp;I91),IF(J91="","","• "&amp;J91))</f>
        <v/>
      </c>
      <c r="L91" s="4" t="n"/>
      <c r="M91" s="19" t="n"/>
      <c r="N91" s="19" t="n"/>
      <c r="O91" s="30">
        <f>IF(OR(M91="",N91=""),"",INDEX(RiskGrid,6-VALUE(LEFT(M91,1)),VALUE(LEFT(N91,1))))</f>
        <v/>
      </c>
      <c r="P91" s="30">
        <f>IF(O91="","",IF(O91&gt;=BandVH,"Very High",IF(O91&gt;=BandHigh,"High",IF(O91&gt;=BandMed,"Medium","Low"))))</f>
        <v/>
      </c>
      <c r="Q91" s="4" t="n"/>
      <c r="R91" s="19" t="n"/>
      <c r="S91" s="4" t="n"/>
      <c r="T91" s="19" t="n"/>
      <c r="U91" s="4" t="n"/>
      <c r="V91" s="19" t="n"/>
      <c r="W91" s="4" t="n"/>
      <c r="X91" s="19" t="n"/>
      <c r="Y91" s="4" t="n"/>
      <c r="Z91" s="19" t="n"/>
      <c r="AA91" s="4" t="n"/>
      <c r="AB91" s="19" t="n"/>
      <c r="AC91" s="5">
        <f>_xlfn.TEXTJOIN(CHAR(10),TRUE,IF(Q91="","","• "&amp;Q91&amp;IF(R91="Yes","  [IPL]","")),IF(S91="","","• "&amp;S91&amp;IF(T91="Yes","  [IPL]","")),IF(U91="","","• "&amp;U91&amp;IF(V91="Yes","  [IPL]","")),IF(W91="","","• "&amp;W91&amp;IF(X91="Yes","  [IPL]","")),IF(Y91="","","• "&amp;Y91&amp;IF(Z91="Yes","  [IPL]","")),IF(AA91="","","• "&amp;AA91&amp;IF(AB91="Yes","  [IPL]","")))</f>
        <v/>
      </c>
      <c r="AD91" s="30">
        <f>IF(AC91="","",COUNTIF(Q91:AB91,"Yes"))</f>
        <v/>
      </c>
      <c r="AE91" s="19" t="n"/>
      <c r="AF91" s="19" t="n"/>
      <c r="AG91" s="30">
        <f>IF(OR(AE91="",AF91=""),"",INDEX(RiskGrid,6-VALUE(LEFT(AE91,1)),VALUE(LEFT(AF91,1))))</f>
        <v/>
      </c>
      <c r="AH91" s="30">
        <f>IF(AG91="","",IF(AG91&gt;=BandVH,"Very High",IF(AG91&gt;=BandHigh,"High",IF(AG91&gt;=BandMed,"Medium","Low"))))</f>
        <v/>
      </c>
      <c r="AI91" s="4" t="n"/>
      <c r="AJ91" s="4" t="n"/>
    </row>
    <row r="92">
      <c r="A92" s="30">
        <f>IF(B92="","",COUNTIF(B$14:B92,"?*"))</f>
        <v/>
      </c>
      <c r="B92" s="4" t="n"/>
      <c r="C92" s="19" t="n"/>
      <c r="D92" s="5">
        <f>IF(OR(B92="",C92=""),"",UPPER(LEFT(C92,1))&amp;LOWER(MID(C92,2,30))&amp;" "&amp;LOWER(LEFT(B92,1))&amp;MID(B92,2,200))</f>
        <v/>
      </c>
      <c r="E92" s="4" t="n"/>
      <c r="F92" s="4" t="n"/>
      <c r="G92" s="4" t="n"/>
      <c r="H92" s="4" t="n"/>
      <c r="I92" s="4" t="n"/>
      <c r="J92" s="4" t="n"/>
      <c r="K92" s="5">
        <f>_xlfn.TEXTJOIN(CHAR(10),TRUE,IF(E92="","","• "&amp;E92),IF(F92="","","• "&amp;F92),IF(G92="","","• "&amp;G92),IF(H92="","","• "&amp;H92),IF(I92="","","• "&amp;I92),IF(J92="","","• "&amp;J92))</f>
        <v/>
      </c>
      <c r="L92" s="4" t="n"/>
      <c r="M92" s="19" t="n"/>
      <c r="N92" s="19" t="n"/>
      <c r="O92" s="30">
        <f>IF(OR(M92="",N92=""),"",INDEX(RiskGrid,6-VALUE(LEFT(M92,1)),VALUE(LEFT(N92,1))))</f>
        <v/>
      </c>
      <c r="P92" s="30">
        <f>IF(O92="","",IF(O92&gt;=BandVH,"Very High",IF(O92&gt;=BandHigh,"High",IF(O92&gt;=BandMed,"Medium","Low"))))</f>
        <v/>
      </c>
      <c r="Q92" s="4" t="n"/>
      <c r="R92" s="19" t="n"/>
      <c r="S92" s="4" t="n"/>
      <c r="T92" s="19" t="n"/>
      <c r="U92" s="4" t="n"/>
      <c r="V92" s="19" t="n"/>
      <c r="W92" s="4" t="n"/>
      <c r="X92" s="19" t="n"/>
      <c r="Y92" s="4" t="n"/>
      <c r="Z92" s="19" t="n"/>
      <c r="AA92" s="4" t="n"/>
      <c r="AB92" s="19" t="n"/>
      <c r="AC92" s="5">
        <f>_xlfn.TEXTJOIN(CHAR(10),TRUE,IF(Q92="","","• "&amp;Q92&amp;IF(R92="Yes","  [IPL]","")),IF(S92="","","• "&amp;S92&amp;IF(T92="Yes","  [IPL]","")),IF(U92="","","• "&amp;U92&amp;IF(V92="Yes","  [IPL]","")),IF(W92="","","• "&amp;W92&amp;IF(X92="Yes","  [IPL]","")),IF(Y92="","","• "&amp;Y92&amp;IF(Z92="Yes","  [IPL]","")),IF(AA92="","","• "&amp;AA92&amp;IF(AB92="Yes","  [IPL]","")))</f>
        <v/>
      </c>
      <c r="AD92" s="30">
        <f>IF(AC92="","",COUNTIF(Q92:AB92,"Yes"))</f>
        <v/>
      </c>
      <c r="AE92" s="19" t="n"/>
      <c r="AF92" s="19" t="n"/>
      <c r="AG92" s="30">
        <f>IF(OR(AE92="",AF92=""),"",INDEX(RiskGrid,6-VALUE(LEFT(AE92,1)),VALUE(LEFT(AF92,1))))</f>
        <v/>
      </c>
      <c r="AH92" s="30">
        <f>IF(AG92="","",IF(AG92&gt;=BandVH,"Very High",IF(AG92&gt;=BandHigh,"High",IF(AG92&gt;=BandMed,"Medium","Low"))))</f>
        <v/>
      </c>
      <c r="AI92" s="4" t="n"/>
      <c r="AJ92" s="4" t="n"/>
    </row>
    <row r="93">
      <c r="A93" s="30">
        <f>IF(B93="","",COUNTIF(B$14:B93,"?*"))</f>
        <v/>
      </c>
      <c r="B93" s="4" t="n"/>
      <c r="C93" s="19" t="n"/>
      <c r="D93" s="5">
        <f>IF(OR(B93="",C93=""),"",UPPER(LEFT(C93,1))&amp;LOWER(MID(C93,2,30))&amp;" "&amp;LOWER(LEFT(B93,1))&amp;MID(B93,2,200))</f>
        <v/>
      </c>
      <c r="E93" s="4" t="n"/>
      <c r="F93" s="4" t="n"/>
      <c r="G93" s="4" t="n"/>
      <c r="H93" s="4" t="n"/>
      <c r="I93" s="4" t="n"/>
      <c r="J93" s="4" t="n"/>
      <c r="K93" s="5">
        <f>_xlfn.TEXTJOIN(CHAR(10),TRUE,IF(E93="","","• "&amp;E93),IF(F93="","","• "&amp;F93),IF(G93="","","• "&amp;G93),IF(H93="","","• "&amp;H93),IF(I93="","","• "&amp;I93),IF(J93="","","• "&amp;J93))</f>
        <v/>
      </c>
      <c r="L93" s="4" t="n"/>
      <c r="M93" s="19" t="n"/>
      <c r="N93" s="19" t="n"/>
      <c r="O93" s="30">
        <f>IF(OR(M93="",N93=""),"",INDEX(RiskGrid,6-VALUE(LEFT(M93,1)),VALUE(LEFT(N93,1))))</f>
        <v/>
      </c>
      <c r="P93" s="30">
        <f>IF(O93="","",IF(O93&gt;=BandVH,"Very High",IF(O93&gt;=BandHigh,"High",IF(O93&gt;=BandMed,"Medium","Low"))))</f>
        <v/>
      </c>
      <c r="Q93" s="4" t="n"/>
      <c r="R93" s="19" t="n"/>
      <c r="S93" s="4" t="n"/>
      <c r="T93" s="19" t="n"/>
      <c r="U93" s="4" t="n"/>
      <c r="V93" s="19" t="n"/>
      <c r="W93" s="4" t="n"/>
      <c r="X93" s="19" t="n"/>
      <c r="Y93" s="4" t="n"/>
      <c r="Z93" s="19" t="n"/>
      <c r="AA93" s="4" t="n"/>
      <c r="AB93" s="19" t="n"/>
      <c r="AC93" s="5">
        <f>_xlfn.TEXTJOIN(CHAR(10),TRUE,IF(Q93="","","• "&amp;Q93&amp;IF(R93="Yes","  [IPL]","")),IF(S93="","","• "&amp;S93&amp;IF(T93="Yes","  [IPL]","")),IF(U93="","","• "&amp;U93&amp;IF(V93="Yes","  [IPL]","")),IF(W93="","","• "&amp;W93&amp;IF(X93="Yes","  [IPL]","")),IF(Y93="","","• "&amp;Y93&amp;IF(Z93="Yes","  [IPL]","")),IF(AA93="","","• "&amp;AA93&amp;IF(AB93="Yes","  [IPL]","")))</f>
        <v/>
      </c>
      <c r="AD93" s="30">
        <f>IF(AC93="","",COUNTIF(Q93:AB93,"Yes"))</f>
        <v/>
      </c>
      <c r="AE93" s="19" t="n"/>
      <c r="AF93" s="19" t="n"/>
      <c r="AG93" s="30">
        <f>IF(OR(AE93="",AF93=""),"",INDEX(RiskGrid,6-VALUE(LEFT(AE93,1)),VALUE(LEFT(AF93,1))))</f>
        <v/>
      </c>
      <c r="AH93" s="30">
        <f>IF(AG93="","",IF(AG93&gt;=BandVH,"Very High",IF(AG93&gt;=BandHigh,"High",IF(AG93&gt;=BandMed,"Medium","Low"))))</f>
        <v/>
      </c>
      <c r="AI93" s="4" t="n"/>
      <c r="AJ93" s="4" t="n"/>
    </row>
    <row r="94">
      <c r="A94" s="30">
        <f>IF(B94="","",COUNTIF(B$14:B94,"?*"))</f>
        <v/>
      </c>
      <c r="B94" s="4" t="n"/>
      <c r="C94" s="19" t="n"/>
      <c r="D94" s="5">
        <f>IF(OR(B94="",C94=""),"",UPPER(LEFT(C94,1))&amp;LOWER(MID(C94,2,30))&amp;" "&amp;LOWER(LEFT(B94,1))&amp;MID(B94,2,200))</f>
        <v/>
      </c>
      <c r="E94" s="4" t="n"/>
      <c r="F94" s="4" t="n"/>
      <c r="G94" s="4" t="n"/>
      <c r="H94" s="4" t="n"/>
      <c r="I94" s="4" t="n"/>
      <c r="J94" s="4" t="n"/>
      <c r="K94" s="5">
        <f>_xlfn.TEXTJOIN(CHAR(10),TRUE,IF(E94="","","• "&amp;E94),IF(F94="","","• "&amp;F94),IF(G94="","","• "&amp;G94),IF(H94="","","• "&amp;H94),IF(I94="","","• "&amp;I94),IF(J94="","","• "&amp;J94))</f>
        <v/>
      </c>
      <c r="L94" s="4" t="n"/>
      <c r="M94" s="19" t="n"/>
      <c r="N94" s="19" t="n"/>
      <c r="O94" s="30">
        <f>IF(OR(M94="",N94=""),"",INDEX(RiskGrid,6-VALUE(LEFT(M94,1)),VALUE(LEFT(N94,1))))</f>
        <v/>
      </c>
      <c r="P94" s="30">
        <f>IF(O94="","",IF(O94&gt;=BandVH,"Very High",IF(O94&gt;=BandHigh,"High",IF(O94&gt;=BandMed,"Medium","Low"))))</f>
        <v/>
      </c>
      <c r="Q94" s="4" t="n"/>
      <c r="R94" s="19" t="n"/>
      <c r="S94" s="4" t="n"/>
      <c r="T94" s="19" t="n"/>
      <c r="U94" s="4" t="n"/>
      <c r="V94" s="19" t="n"/>
      <c r="W94" s="4" t="n"/>
      <c r="X94" s="19" t="n"/>
      <c r="Y94" s="4" t="n"/>
      <c r="Z94" s="19" t="n"/>
      <c r="AA94" s="4" t="n"/>
      <c r="AB94" s="19" t="n"/>
      <c r="AC94" s="5">
        <f>_xlfn.TEXTJOIN(CHAR(10),TRUE,IF(Q94="","","• "&amp;Q94&amp;IF(R94="Yes","  [IPL]","")),IF(S94="","","• "&amp;S94&amp;IF(T94="Yes","  [IPL]","")),IF(U94="","","• "&amp;U94&amp;IF(V94="Yes","  [IPL]","")),IF(W94="","","• "&amp;W94&amp;IF(X94="Yes","  [IPL]","")),IF(Y94="","","• "&amp;Y94&amp;IF(Z94="Yes","  [IPL]","")),IF(AA94="","","• "&amp;AA94&amp;IF(AB94="Yes","  [IPL]","")))</f>
        <v/>
      </c>
      <c r="AD94" s="30">
        <f>IF(AC94="","",COUNTIF(Q94:AB94,"Yes"))</f>
        <v/>
      </c>
      <c r="AE94" s="19" t="n"/>
      <c r="AF94" s="19" t="n"/>
      <c r="AG94" s="30">
        <f>IF(OR(AE94="",AF94=""),"",INDEX(RiskGrid,6-VALUE(LEFT(AE94,1)),VALUE(LEFT(AF94,1))))</f>
        <v/>
      </c>
      <c r="AH94" s="30">
        <f>IF(AG94="","",IF(AG94&gt;=BandVH,"Very High",IF(AG94&gt;=BandHigh,"High",IF(AG94&gt;=BandMed,"Medium","Low"))))</f>
        <v/>
      </c>
      <c r="AI94" s="4" t="n"/>
      <c r="AJ94" s="4" t="n"/>
    </row>
    <row r="95">
      <c r="A95" s="30">
        <f>IF(B95="","",COUNTIF(B$14:B95,"?*"))</f>
        <v/>
      </c>
      <c r="B95" s="4" t="n"/>
      <c r="C95" s="19" t="n"/>
      <c r="D95" s="5">
        <f>IF(OR(B95="",C95=""),"",UPPER(LEFT(C95,1))&amp;LOWER(MID(C95,2,30))&amp;" "&amp;LOWER(LEFT(B95,1))&amp;MID(B95,2,200))</f>
        <v/>
      </c>
      <c r="E95" s="4" t="n"/>
      <c r="F95" s="4" t="n"/>
      <c r="G95" s="4" t="n"/>
      <c r="H95" s="4" t="n"/>
      <c r="I95" s="4" t="n"/>
      <c r="J95" s="4" t="n"/>
      <c r="K95" s="5">
        <f>_xlfn.TEXTJOIN(CHAR(10),TRUE,IF(E95="","","• "&amp;E95),IF(F95="","","• "&amp;F95),IF(G95="","","• "&amp;G95),IF(H95="","","• "&amp;H95),IF(I95="","","• "&amp;I95),IF(J95="","","• "&amp;J95))</f>
        <v/>
      </c>
      <c r="L95" s="4" t="n"/>
      <c r="M95" s="19" t="n"/>
      <c r="N95" s="19" t="n"/>
      <c r="O95" s="30">
        <f>IF(OR(M95="",N95=""),"",INDEX(RiskGrid,6-VALUE(LEFT(M95,1)),VALUE(LEFT(N95,1))))</f>
        <v/>
      </c>
      <c r="P95" s="30">
        <f>IF(O95="","",IF(O95&gt;=BandVH,"Very High",IF(O95&gt;=BandHigh,"High",IF(O95&gt;=BandMed,"Medium","Low"))))</f>
        <v/>
      </c>
      <c r="Q95" s="4" t="n"/>
      <c r="R95" s="19" t="n"/>
      <c r="S95" s="4" t="n"/>
      <c r="T95" s="19" t="n"/>
      <c r="U95" s="4" t="n"/>
      <c r="V95" s="19" t="n"/>
      <c r="W95" s="4" t="n"/>
      <c r="X95" s="19" t="n"/>
      <c r="Y95" s="4" t="n"/>
      <c r="Z95" s="19" t="n"/>
      <c r="AA95" s="4" t="n"/>
      <c r="AB95" s="19" t="n"/>
      <c r="AC95" s="5">
        <f>_xlfn.TEXTJOIN(CHAR(10),TRUE,IF(Q95="","","• "&amp;Q95&amp;IF(R95="Yes","  [IPL]","")),IF(S95="","","• "&amp;S95&amp;IF(T95="Yes","  [IPL]","")),IF(U95="","","• "&amp;U95&amp;IF(V95="Yes","  [IPL]","")),IF(W95="","","• "&amp;W95&amp;IF(X95="Yes","  [IPL]","")),IF(Y95="","","• "&amp;Y95&amp;IF(Z95="Yes","  [IPL]","")),IF(AA95="","","• "&amp;AA95&amp;IF(AB95="Yes","  [IPL]","")))</f>
        <v/>
      </c>
      <c r="AD95" s="30">
        <f>IF(AC95="","",COUNTIF(Q95:AB95,"Yes"))</f>
        <v/>
      </c>
      <c r="AE95" s="19" t="n"/>
      <c r="AF95" s="19" t="n"/>
      <c r="AG95" s="30">
        <f>IF(OR(AE95="",AF95=""),"",INDEX(RiskGrid,6-VALUE(LEFT(AE95,1)),VALUE(LEFT(AF95,1))))</f>
        <v/>
      </c>
      <c r="AH95" s="30">
        <f>IF(AG95="","",IF(AG95&gt;=BandVH,"Very High",IF(AG95&gt;=BandHigh,"High",IF(AG95&gt;=BandMed,"Medium","Low"))))</f>
        <v/>
      </c>
      <c r="AI95" s="4" t="n"/>
      <c r="AJ95" s="4" t="n"/>
    </row>
    <row r="96">
      <c r="A96" s="30">
        <f>IF(B96="","",COUNTIF(B$14:B96,"?*"))</f>
        <v/>
      </c>
      <c r="B96" s="4" t="n"/>
      <c r="C96" s="19" t="n"/>
      <c r="D96" s="5">
        <f>IF(OR(B96="",C96=""),"",UPPER(LEFT(C96,1))&amp;LOWER(MID(C96,2,30))&amp;" "&amp;LOWER(LEFT(B96,1))&amp;MID(B96,2,200))</f>
        <v/>
      </c>
      <c r="E96" s="4" t="n"/>
      <c r="F96" s="4" t="n"/>
      <c r="G96" s="4" t="n"/>
      <c r="H96" s="4" t="n"/>
      <c r="I96" s="4" t="n"/>
      <c r="J96" s="4" t="n"/>
      <c r="K96" s="5">
        <f>_xlfn.TEXTJOIN(CHAR(10),TRUE,IF(E96="","","• "&amp;E96),IF(F96="","","• "&amp;F96),IF(G96="","","• "&amp;G96),IF(H96="","","• "&amp;H96),IF(I96="","","• "&amp;I96),IF(J96="","","• "&amp;J96))</f>
        <v/>
      </c>
      <c r="L96" s="4" t="n"/>
      <c r="M96" s="19" t="n"/>
      <c r="N96" s="19" t="n"/>
      <c r="O96" s="30">
        <f>IF(OR(M96="",N96=""),"",INDEX(RiskGrid,6-VALUE(LEFT(M96,1)),VALUE(LEFT(N96,1))))</f>
        <v/>
      </c>
      <c r="P96" s="30">
        <f>IF(O96="","",IF(O96&gt;=BandVH,"Very High",IF(O96&gt;=BandHigh,"High",IF(O96&gt;=BandMed,"Medium","Low"))))</f>
        <v/>
      </c>
      <c r="Q96" s="4" t="n"/>
      <c r="R96" s="19" t="n"/>
      <c r="S96" s="4" t="n"/>
      <c r="T96" s="19" t="n"/>
      <c r="U96" s="4" t="n"/>
      <c r="V96" s="19" t="n"/>
      <c r="W96" s="4" t="n"/>
      <c r="X96" s="19" t="n"/>
      <c r="Y96" s="4" t="n"/>
      <c r="Z96" s="19" t="n"/>
      <c r="AA96" s="4" t="n"/>
      <c r="AB96" s="19" t="n"/>
      <c r="AC96" s="5">
        <f>_xlfn.TEXTJOIN(CHAR(10),TRUE,IF(Q96="","","• "&amp;Q96&amp;IF(R96="Yes","  [IPL]","")),IF(S96="","","• "&amp;S96&amp;IF(T96="Yes","  [IPL]","")),IF(U96="","","• "&amp;U96&amp;IF(V96="Yes","  [IPL]","")),IF(W96="","","• "&amp;W96&amp;IF(X96="Yes","  [IPL]","")),IF(Y96="","","• "&amp;Y96&amp;IF(Z96="Yes","  [IPL]","")),IF(AA96="","","• "&amp;AA96&amp;IF(AB96="Yes","  [IPL]","")))</f>
        <v/>
      </c>
      <c r="AD96" s="30">
        <f>IF(AC96="","",COUNTIF(Q96:AB96,"Yes"))</f>
        <v/>
      </c>
      <c r="AE96" s="19" t="n"/>
      <c r="AF96" s="19" t="n"/>
      <c r="AG96" s="30">
        <f>IF(OR(AE96="",AF96=""),"",INDEX(RiskGrid,6-VALUE(LEFT(AE96,1)),VALUE(LEFT(AF96,1))))</f>
        <v/>
      </c>
      <c r="AH96" s="30">
        <f>IF(AG96="","",IF(AG96&gt;=BandVH,"Very High",IF(AG96&gt;=BandHigh,"High",IF(AG96&gt;=BandMed,"Medium","Low"))))</f>
        <v/>
      </c>
      <c r="AI96" s="4" t="n"/>
      <c r="AJ96" s="4" t="n"/>
    </row>
    <row r="97">
      <c r="A97" s="30">
        <f>IF(B97="","",COUNTIF(B$14:B97,"?*"))</f>
        <v/>
      </c>
      <c r="B97" s="4" t="n"/>
      <c r="C97" s="19" t="n"/>
      <c r="D97" s="5">
        <f>IF(OR(B97="",C97=""),"",UPPER(LEFT(C97,1))&amp;LOWER(MID(C97,2,30))&amp;" "&amp;LOWER(LEFT(B97,1))&amp;MID(B97,2,200))</f>
        <v/>
      </c>
      <c r="E97" s="4" t="n"/>
      <c r="F97" s="4" t="n"/>
      <c r="G97" s="4" t="n"/>
      <c r="H97" s="4" t="n"/>
      <c r="I97" s="4" t="n"/>
      <c r="J97" s="4" t="n"/>
      <c r="K97" s="5">
        <f>_xlfn.TEXTJOIN(CHAR(10),TRUE,IF(E97="","","• "&amp;E97),IF(F97="","","• "&amp;F97),IF(G97="","","• "&amp;G97),IF(H97="","","• "&amp;H97),IF(I97="","","• "&amp;I97),IF(J97="","","• "&amp;J97))</f>
        <v/>
      </c>
      <c r="L97" s="4" t="n"/>
      <c r="M97" s="19" t="n"/>
      <c r="N97" s="19" t="n"/>
      <c r="O97" s="30">
        <f>IF(OR(M97="",N97=""),"",INDEX(RiskGrid,6-VALUE(LEFT(M97,1)),VALUE(LEFT(N97,1))))</f>
        <v/>
      </c>
      <c r="P97" s="30">
        <f>IF(O97="","",IF(O97&gt;=BandVH,"Very High",IF(O97&gt;=BandHigh,"High",IF(O97&gt;=BandMed,"Medium","Low"))))</f>
        <v/>
      </c>
      <c r="Q97" s="4" t="n"/>
      <c r="R97" s="19" t="n"/>
      <c r="S97" s="4" t="n"/>
      <c r="T97" s="19" t="n"/>
      <c r="U97" s="4" t="n"/>
      <c r="V97" s="19" t="n"/>
      <c r="W97" s="4" t="n"/>
      <c r="X97" s="19" t="n"/>
      <c r="Y97" s="4" t="n"/>
      <c r="Z97" s="19" t="n"/>
      <c r="AA97" s="4" t="n"/>
      <c r="AB97" s="19" t="n"/>
      <c r="AC97" s="5">
        <f>_xlfn.TEXTJOIN(CHAR(10),TRUE,IF(Q97="","","• "&amp;Q97&amp;IF(R97="Yes","  [IPL]","")),IF(S97="","","• "&amp;S97&amp;IF(T97="Yes","  [IPL]","")),IF(U97="","","• "&amp;U97&amp;IF(V97="Yes","  [IPL]","")),IF(W97="","","• "&amp;W97&amp;IF(X97="Yes","  [IPL]","")),IF(Y97="","","• "&amp;Y97&amp;IF(Z97="Yes","  [IPL]","")),IF(AA97="","","• "&amp;AA97&amp;IF(AB97="Yes","  [IPL]","")))</f>
        <v/>
      </c>
      <c r="AD97" s="30">
        <f>IF(AC97="","",COUNTIF(Q97:AB97,"Yes"))</f>
        <v/>
      </c>
      <c r="AE97" s="19" t="n"/>
      <c r="AF97" s="19" t="n"/>
      <c r="AG97" s="30">
        <f>IF(OR(AE97="",AF97=""),"",INDEX(RiskGrid,6-VALUE(LEFT(AE97,1)),VALUE(LEFT(AF97,1))))</f>
        <v/>
      </c>
      <c r="AH97" s="30">
        <f>IF(AG97="","",IF(AG97&gt;=BandVH,"Very High",IF(AG97&gt;=BandHigh,"High",IF(AG97&gt;=BandMed,"Medium","Low"))))</f>
        <v/>
      </c>
      <c r="AI97" s="4" t="n"/>
      <c r="AJ97" s="4" t="n"/>
    </row>
    <row r="98">
      <c r="A98" s="30">
        <f>IF(B98="","",COUNTIF(B$14:B98,"?*"))</f>
        <v/>
      </c>
      <c r="B98" s="4" t="n"/>
      <c r="C98" s="19" t="n"/>
      <c r="D98" s="5">
        <f>IF(OR(B98="",C98=""),"",UPPER(LEFT(C98,1))&amp;LOWER(MID(C98,2,30))&amp;" "&amp;LOWER(LEFT(B98,1))&amp;MID(B98,2,200))</f>
        <v/>
      </c>
      <c r="E98" s="4" t="n"/>
      <c r="F98" s="4" t="n"/>
      <c r="G98" s="4" t="n"/>
      <c r="H98" s="4" t="n"/>
      <c r="I98" s="4" t="n"/>
      <c r="J98" s="4" t="n"/>
      <c r="K98" s="5">
        <f>_xlfn.TEXTJOIN(CHAR(10),TRUE,IF(E98="","","• "&amp;E98),IF(F98="","","• "&amp;F98),IF(G98="","","• "&amp;G98),IF(H98="","","• "&amp;H98),IF(I98="","","• "&amp;I98),IF(J98="","","• "&amp;J98))</f>
        <v/>
      </c>
      <c r="L98" s="4" t="n"/>
      <c r="M98" s="19" t="n"/>
      <c r="N98" s="19" t="n"/>
      <c r="O98" s="30">
        <f>IF(OR(M98="",N98=""),"",INDEX(RiskGrid,6-VALUE(LEFT(M98,1)),VALUE(LEFT(N98,1))))</f>
        <v/>
      </c>
      <c r="P98" s="30">
        <f>IF(O98="","",IF(O98&gt;=BandVH,"Very High",IF(O98&gt;=BandHigh,"High",IF(O98&gt;=BandMed,"Medium","Low"))))</f>
        <v/>
      </c>
      <c r="Q98" s="4" t="n"/>
      <c r="R98" s="19" t="n"/>
      <c r="S98" s="4" t="n"/>
      <c r="T98" s="19" t="n"/>
      <c r="U98" s="4" t="n"/>
      <c r="V98" s="19" t="n"/>
      <c r="W98" s="4" t="n"/>
      <c r="X98" s="19" t="n"/>
      <c r="Y98" s="4" t="n"/>
      <c r="Z98" s="19" t="n"/>
      <c r="AA98" s="4" t="n"/>
      <c r="AB98" s="19" t="n"/>
      <c r="AC98" s="5">
        <f>_xlfn.TEXTJOIN(CHAR(10),TRUE,IF(Q98="","","• "&amp;Q98&amp;IF(R98="Yes","  [IPL]","")),IF(S98="","","• "&amp;S98&amp;IF(T98="Yes","  [IPL]","")),IF(U98="","","• "&amp;U98&amp;IF(V98="Yes","  [IPL]","")),IF(W98="","","• "&amp;W98&amp;IF(X98="Yes","  [IPL]","")),IF(Y98="","","• "&amp;Y98&amp;IF(Z98="Yes","  [IPL]","")),IF(AA98="","","• "&amp;AA98&amp;IF(AB98="Yes","  [IPL]","")))</f>
        <v/>
      </c>
      <c r="AD98" s="30">
        <f>IF(AC98="","",COUNTIF(Q98:AB98,"Yes"))</f>
        <v/>
      </c>
      <c r="AE98" s="19" t="n"/>
      <c r="AF98" s="19" t="n"/>
      <c r="AG98" s="30">
        <f>IF(OR(AE98="",AF98=""),"",INDEX(RiskGrid,6-VALUE(LEFT(AE98,1)),VALUE(LEFT(AF98,1))))</f>
        <v/>
      </c>
      <c r="AH98" s="30">
        <f>IF(AG98="","",IF(AG98&gt;=BandVH,"Very High",IF(AG98&gt;=BandHigh,"High",IF(AG98&gt;=BandMed,"Medium","Low"))))</f>
        <v/>
      </c>
      <c r="AI98" s="4" t="n"/>
      <c r="AJ98" s="4" t="n"/>
    </row>
    <row r="99">
      <c r="A99" s="30">
        <f>IF(B99="","",COUNTIF(B$14:B99,"?*"))</f>
        <v/>
      </c>
      <c r="B99" s="4" t="n"/>
      <c r="C99" s="19" t="n"/>
      <c r="D99" s="5">
        <f>IF(OR(B99="",C99=""),"",UPPER(LEFT(C99,1))&amp;LOWER(MID(C99,2,30))&amp;" "&amp;LOWER(LEFT(B99,1))&amp;MID(B99,2,200))</f>
        <v/>
      </c>
      <c r="E99" s="4" t="n"/>
      <c r="F99" s="4" t="n"/>
      <c r="G99" s="4" t="n"/>
      <c r="H99" s="4" t="n"/>
      <c r="I99" s="4" t="n"/>
      <c r="J99" s="4" t="n"/>
      <c r="K99" s="5">
        <f>_xlfn.TEXTJOIN(CHAR(10),TRUE,IF(E99="","","• "&amp;E99),IF(F99="","","• "&amp;F99),IF(G99="","","• "&amp;G99),IF(H99="","","• "&amp;H99),IF(I99="","","• "&amp;I99),IF(J99="","","• "&amp;J99))</f>
        <v/>
      </c>
      <c r="L99" s="4" t="n"/>
      <c r="M99" s="19" t="n"/>
      <c r="N99" s="19" t="n"/>
      <c r="O99" s="30">
        <f>IF(OR(M99="",N99=""),"",INDEX(RiskGrid,6-VALUE(LEFT(M99,1)),VALUE(LEFT(N99,1))))</f>
        <v/>
      </c>
      <c r="P99" s="30">
        <f>IF(O99="","",IF(O99&gt;=BandVH,"Very High",IF(O99&gt;=BandHigh,"High",IF(O99&gt;=BandMed,"Medium","Low"))))</f>
        <v/>
      </c>
      <c r="Q99" s="4" t="n"/>
      <c r="R99" s="19" t="n"/>
      <c r="S99" s="4" t="n"/>
      <c r="T99" s="19" t="n"/>
      <c r="U99" s="4" t="n"/>
      <c r="V99" s="19" t="n"/>
      <c r="W99" s="4" t="n"/>
      <c r="X99" s="19" t="n"/>
      <c r="Y99" s="4" t="n"/>
      <c r="Z99" s="19" t="n"/>
      <c r="AA99" s="4" t="n"/>
      <c r="AB99" s="19" t="n"/>
      <c r="AC99" s="5">
        <f>_xlfn.TEXTJOIN(CHAR(10),TRUE,IF(Q99="","","• "&amp;Q99&amp;IF(R99="Yes","  [IPL]","")),IF(S99="","","• "&amp;S99&amp;IF(T99="Yes","  [IPL]","")),IF(U99="","","• "&amp;U99&amp;IF(V99="Yes","  [IPL]","")),IF(W99="","","• "&amp;W99&amp;IF(X99="Yes","  [IPL]","")),IF(Y99="","","• "&amp;Y99&amp;IF(Z99="Yes","  [IPL]","")),IF(AA99="","","• "&amp;AA99&amp;IF(AB99="Yes","  [IPL]","")))</f>
        <v/>
      </c>
      <c r="AD99" s="30">
        <f>IF(AC99="","",COUNTIF(Q99:AB99,"Yes"))</f>
        <v/>
      </c>
      <c r="AE99" s="19" t="n"/>
      <c r="AF99" s="19" t="n"/>
      <c r="AG99" s="30">
        <f>IF(OR(AE99="",AF99=""),"",INDEX(RiskGrid,6-VALUE(LEFT(AE99,1)),VALUE(LEFT(AF99,1))))</f>
        <v/>
      </c>
      <c r="AH99" s="30">
        <f>IF(AG99="","",IF(AG99&gt;=BandVH,"Very High",IF(AG99&gt;=BandHigh,"High",IF(AG99&gt;=BandMed,"Medium","Low"))))</f>
        <v/>
      </c>
      <c r="AI99" s="4" t="n"/>
      <c r="AJ99" s="4" t="n"/>
    </row>
    <row r="100">
      <c r="A100" s="30">
        <f>IF(B100="","",COUNTIF(B$14:B100,"?*"))</f>
        <v/>
      </c>
      <c r="B100" s="4" t="n"/>
      <c r="C100" s="19" t="n"/>
      <c r="D100" s="5">
        <f>IF(OR(B100="",C100=""),"",UPPER(LEFT(C100,1))&amp;LOWER(MID(C100,2,30))&amp;" "&amp;LOWER(LEFT(B100,1))&amp;MID(B100,2,200))</f>
        <v/>
      </c>
      <c r="E100" s="4" t="n"/>
      <c r="F100" s="4" t="n"/>
      <c r="G100" s="4" t="n"/>
      <c r="H100" s="4" t="n"/>
      <c r="I100" s="4" t="n"/>
      <c r="J100" s="4" t="n"/>
      <c r="K100" s="5">
        <f>_xlfn.TEXTJOIN(CHAR(10),TRUE,IF(E100="","","• "&amp;E100),IF(F100="","","• "&amp;F100),IF(G100="","","• "&amp;G100),IF(H100="","","• "&amp;H100),IF(I100="","","• "&amp;I100),IF(J100="","","• "&amp;J100))</f>
        <v/>
      </c>
      <c r="L100" s="4" t="n"/>
      <c r="M100" s="19" t="n"/>
      <c r="N100" s="19" t="n"/>
      <c r="O100" s="30">
        <f>IF(OR(M100="",N100=""),"",INDEX(RiskGrid,6-VALUE(LEFT(M100,1)),VALUE(LEFT(N100,1))))</f>
        <v/>
      </c>
      <c r="P100" s="30">
        <f>IF(O100="","",IF(O100&gt;=BandVH,"Very High",IF(O100&gt;=BandHigh,"High",IF(O100&gt;=BandMed,"Medium","Low"))))</f>
        <v/>
      </c>
      <c r="Q100" s="4" t="n"/>
      <c r="R100" s="19" t="n"/>
      <c r="S100" s="4" t="n"/>
      <c r="T100" s="19" t="n"/>
      <c r="U100" s="4" t="n"/>
      <c r="V100" s="19" t="n"/>
      <c r="W100" s="4" t="n"/>
      <c r="X100" s="19" t="n"/>
      <c r="Y100" s="4" t="n"/>
      <c r="Z100" s="19" t="n"/>
      <c r="AA100" s="4" t="n"/>
      <c r="AB100" s="19" t="n"/>
      <c r="AC100" s="5">
        <f>_xlfn.TEXTJOIN(CHAR(10),TRUE,IF(Q100="","","• "&amp;Q100&amp;IF(R100="Yes","  [IPL]","")),IF(S100="","","• "&amp;S100&amp;IF(T100="Yes","  [IPL]","")),IF(U100="","","• "&amp;U100&amp;IF(V100="Yes","  [IPL]","")),IF(W100="","","• "&amp;W100&amp;IF(X100="Yes","  [IPL]","")),IF(Y100="","","• "&amp;Y100&amp;IF(Z100="Yes","  [IPL]","")),IF(AA100="","","• "&amp;AA100&amp;IF(AB100="Yes","  [IPL]","")))</f>
        <v/>
      </c>
      <c r="AD100" s="30">
        <f>IF(AC100="","",COUNTIF(Q100:AB100,"Yes"))</f>
        <v/>
      </c>
      <c r="AE100" s="19" t="n"/>
      <c r="AF100" s="19" t="n"/>
      <c r="AG100" s="30">
        <f>IF(OR(AE100="",AF100=""),"",INDEX(RiskGrid,6-VALUE(LEFT(AE100,1)),VALUE(LEFT(AF100,1))))</f>
        <v/>
      </c>
      <c r="AH100" s="30">
        <f>IF(AG100="","",IF(AG100&gt;=BandVH,"Very High",IF(AG100&gt;=BandHigh,"High",IF(AG100&gt;=BandMed,"Medium","Low"))))</f>
        <v/>
      </c>
      <c r="AI100" s="4" t="n"/>
      <c r="AJ100" s="4" t="n"/>
    </row>
    <row r="101">
      <c r="A101" s="30">
        <f>IF(B101="","",COUNTIF(B$14:B101,"?*"))</f>
        <v/>
      </c>
      <c r="B101" s="4" t="n"/>
      <c r="C101" s="19" t="n"/>
      <c r="D101" s="5">
        <f>IF(OR(B101="",C101=""),"",UPPER(LEFT(C101,1))&amp;LOWER(MID(C101,2,30))&amp;" "&amp;LOWER(LEFT(B101,1))&amp;MID(B101,2,200))</f>
        <v/>
      </c>
      <c r="E101" s="4" t="n"/>
      <c r="F101" s="4" t="n"/>
      <c r="G101" s="4" t="n"/>
      <c r="H101" s="4" t="n"/>
      <c r="I101" s="4" t="n"/>
      <c r="J101" s="4" t="n"/>
      <c r="K101" s="5">
        <f>_xlfn.TEXTJOIN(CHAR(10),TRUE,IF(E101="","","• "&amp;E101),IF(F101="","","• "&amp;F101),IF(G101="","","• "&amp;G101),IF(H101="","","• "&amp;H101),IF(I101="","","• "&amp;I101),IF(J101="","","• "&amp;J101))</f>
        <v/>
      </c>
      <c r="L101" s="4" t="n"/>
      <c r="M101" s="19" t="n"/>
      <c r="N101" s="19" t="n"/>
      <c r="O101" s="30">
        <f>IF(OR(M101="",N101=""),"",INDEX(RiskGrid,6-VALUE(LEFT(M101,1)),VALUE(LEFT(N101,1))))</f>
        <v/>
      </c>
      <c r="P101" s="30">
        <f>IF(O101="","",IF(O101&gt;=BandVH,"Very High",IF(O101&gt;=BandHigh,"High",IF(O101&gt;=BandMed,"Medium","Low"))))</f>
        <v/>
      </c>
      <c r="Q101" s="4" t="n"/>
      <c r="R101" s="19" t="n"/>
      <c r="S101" s="4" t="n"/>
      <c r="T101" s="19" t="n"/>
      <c r="U101" s="4" t="n"/>
      <c r="V101" s="19" t="n"/>
      <c r="W101" s="4" t="n"/>
      <c r="X101" s="19" t="n"/>
      <c r="Y101" s="4" t="n"/>
      <c r="Z101" s="19" t="n"/>
      <c r="AA101" s="4" t="n"/>
      <c r="AB101" s="19" t="n"/>
      <c r="AC101" s="5">
        <f>_xlfn.TEXTJOIN(CHAR(10),TRUE,IF(Q101="","","• "&amp;Q101&amp;IF(R101="Yes","  [IPL]","")),IF(S101="","","• "&amp;S101&amp;IF(T101="Yes","  [IPL]","")),IF(U101="","","• "&amp;U101&amp;IF(V101="Yes","  [IPL]","")),IF(W101="","","• "&amp;W101&amp;IF(X101="Yes","  [IPL]","")),IF(Y101="","","• "&amp;Y101&amp;IF(Z101="Yes","  [IPL]","")),IF(AA101="","","• "&amp;AA101&amp;IF(AB101="Yes","  [IPL]","")))</f>
        <v/>
      </c>
      <c r="AD101" s="30">
        <f>IF(AC101="","",COUNTIF(Q101:AB101,"Yes"))</f>
        <v/>
      </c>
      <c r="AE101" s="19" t="n"/>
      <c r="AF101" s="19" t="n"/>
      <c r="AG101" s="30">
        <f>IF(OR(AE101="",AF101=""),"",INDEX(RiskGrid,6-VALUE(LEFT(AE101,1)),VALUE(LEFT(AF101,1))))</f>
        <v/>
      </c>
      <c r="AH101" s="30">
        <f>IF(AG101="","",IF(AG101&gt;=BandVH,"Very High",IF(AG101&gt;=BandHigh,"High",IF(AG101&gt;=BandMed,"Medium","Low"))))</f>
        <v/>
      </c>
      <c r="AI101" s="4" t="n"/>
      <c r="AJ101" s="4" t="n"/>
    </row>
    <row r="102">
      <c r="A102" s="30">
        <f>IF(B102="","",COUNTIF(B$14:B102,"?*"))</f>
        <v/>
      </c>
      <c r="B102" s="4" t="n"/>
      <c r="C102" s="19" t="n"/>
      <c r="D102" s="5">
        <f>IF(OR(B102="",C102=""),"",UPPER(LEFT(C102,1))&amp;LOWER(MID(C102,2,30))&amp;" "&amp;LOWER(LEFT(B102,1))&amp;MID(B102,2,200))</f>
        <v/>
      </c>
      <c r="E102" s="4" t="n"/>
      <c r="F102" s="4" t="n"/>
      <c r="G102" s="4" t="n"/>
      <c r="H102" s="4" t="n"/>
      <c r="I102" s="4" t="n"/>
      <c r="J102" s="4" t="n"/>
      <c r="K102" s="5">
        <f>_xlfn.TEXTJOIN(CHAR(10),TRUE,IF(E102="","","• "&amp;E102),IF(F102="","","• "&amp;F102),IF(G102="","","• "&amp;G102),IF(H102="","","• "&amp;H102),IF(I102="","","• "&amp;I102),IF(J102="","","• "&amp;J102))</f>
        <v/>
      </c>
      <c r="L102" s="4" t="n"/>
      <c r="M102" s="19" t="n"/>
      <c r="N102" s="19" t="n"/>
      <c r="O102" s="30">
        <f>IF(OR(M102="",N102=""),"",INDEX(RiskGrid,6-VALUE(LEFT(M102,1)),VALUE(LEFT(N102,1))))</f>
        <v/>
      </c>
      <c r="P102" s="30">
        <f>IF(O102="","",IF(O102&gt;=BandVH,"Very High",IF(O102&gt;=BandHigh,"High",IF(O102&gt;=BandMed,"Medium","Low"))))</f>
        <v/>
      </c>
      <c r="Q102" s="4" t="n"/>
      <c r="R102" s="19" t="n"/>
      <c r="S102" s="4" t="n"/>
      <c r="T102" s="19" t="n"/>
      <c r="U102" s="4" t="n"/>
      <c r="V102" s="19" t="n"/>
      <c r="W102" s="4" t="n"/>
      <c r="X102" s="19" t="n"/>
      <c r="Y102" s="4" t="n"/>
      <c r="Z102" s="19" t="n"/>
      <c r="AA102" s="4" t="n"/>
      <c r="AB102" s="19" t="n"/>
      <c r="AC102" s="5">
        <f>_xlfn.TEXTJOIN(CHAR(10),TRUE,IF(Q102="","","• "&amp;Q102&amp;IF(R102="Yes","  [IPL]","")),IF(S102="","","• "&amp;S102&amp;IF(T102="Yes","  [IPL]","")),IF(U102="","","• "&amp;U102&amp;IF(V102="Yes","  [IPL]","")),IF(W102="","","• "&amp;W102&amp;IF(X102="Yes","  [IPL]","")),IF(Y102="","","• "&amp;Y102&amp;IF(Z102="Yes","  [IPL]","")),IF(AA102="","","• "&amp;AA102&amp;IF(AB102="Yes","  [IPL]","")))</f>
        <v/>
      </c>
      <c r="AD102" s="30">
        <f>IF(AC102="","",COUNTIF(Q102:AB102,"Yes"))</f>
        <v/>
      </c>
      <c r="AE102" s="19" t="n"/>
      <c r="AF102" s="19" t="n"/>
      <c r="AG102" s="30">
        <f>IF(OR(AE102="",AF102=""),"",INDEX(RiskGrid,6-VALUE(LEFT(AE102,1)),VALUE(LEFT(AF102,1))))</f>
        <v/>
      </c>
      <c r="AH102" s="30">
        <f>IF(AG102="","",IF(AG102&gt;=BandVH,"Very High",IF(AG102&gt;=BandHigh,"High",IF(AG102&gt;=BandMed,"Medium","Low"))))</f>
        <v/>
      </c>
      <c r="AI102" s="4" t="n"/>
      <c r="AJ102" s="4" t="n"/>
    </row>
    <row r="103">
      <c r="A103" s="30">
        <f>IF(B103="","",COUNTIF(B$14:B103,"?*"))</f>
        <v/>
      </c>
      <c r="B103" s="4" t="n"/>
      <c r="C103" s="19" t="n"/>
      <c r="D103" s="5">
        <f>IF(OR(B103="",C103=""),"",UPPER(LEFT(C103,1))&amp;LOWER(MID(C103,2,30))&amp;" "&amp;LOWER(LEFT(B103,1))&amp;MID(B103,2,200))</f>
        <v/>
      </c>
      <c r="E103" s="4" t="n"/>
      <c r="F103" s="4" t="n"/>
      <c r="G103" s="4" t="n"/>
      <c r="H103" s="4" t="n"/>
      <c r="I103" s="4" t="n"/>
      <c r="J103" s="4" t="n"/>
      <c r="K103" s="5">
        <f>_xlfn.TEXTJOIN(CHAR(10),TRUE,IF(E103="","","• "&amp;E103),IF(F103="","","• "&amp;F103),IF(G103="","","• "&amp;G103),IF(H103="","","• "&amp;H103),IF(I103="","","• "&amp;I103),IF(J103="","","• "&amp;J103))</f>
        <v/>
      </c>
      <c r="L103" s="4" t="n"/>
      <c r="M103" s="19" t="n"/>
      <c r="N103" s="19" t="n"/>
      <c r="O103" s="30">
        <f>IF(OR(M103="",N103=""),"",INDEX(RiskGrid,6-VALUE(LEFT(M103,1)),VALUE(LEFT(N103,1))))</f>
        <v/>
      </c>
      <c r="P103" s="30">
        <f>IF(O103="","",IF(O103&gt;=BandVH,"Very High",IF(O103&gt;=BandHigh,"High",IF(O103&gt;=BandMed,"Medium","Low"))))</f>
        <v/>
      </c>
      <c r="Q103" s="4" t="n"/>
      <c r="R103" s="19" t="n"/>
      <c r="S103" s="4" t="n"/>
      <c r="T103" s="19" t="n"/>
      <c r="U103" s="4" t="n"/>
      <c r="V103" s="19" t="n"/>
      <c r="W103" s="4" t="n"/>
      <c r="X103" s="19" t="n"/>
      <c r="Y103" s="4" t="n"/>
      <c r="Z103" s="19" t="n"/>
      <c r="AA103" s="4" t="n"/>
      <c r="AB103" s="19" t="n"/>
      <c r="AC103" s="5">
        <f>_xlfn.TEXTJOIN(CHAR(10),TRUE,IF(Q103="","","• "&amp;Q103&amp;IF(R103="Yes","  [IPL]","")),IF(S103="","","• "&amp;S103&amp;IF(T103="Yes","  [IPL]","")),IF(U103="","","• "&amp;U103&amp;IF(V103="Yes","  [IPL]","")),IF(W103="","","• "&amp;W103&amp;IF(X103="Yes","  [IPL]","")),IF(Y103="","","• "&amp;Y103&amp;IF(Z103="Yes","  [IPL]","")),IF(AA103="","","• "&amp;AA103&amp;IF(AB103="Yes","  [IPL]","")))</f>
        <v/>
      </c>
      <c r="AD103" s="30">
        <f>IF(AC103="","",COUNTIF(Q103:AB103,"Yes"))</f>
        <v/>
      </c>
      <c r="AE103" s="19" t="n"/>
      <c r="AF103" s="19" t="n"/>
      <c r="AG103" s="30">
        <f>IF(OR(AE103="",AF103=""),"",INDEX(RiskGrid,6-VALUE(LEFT(AE103,1)),VALUE(LEFT(AF103,1))))</f>
        <v/>
      </c>
      <c r="AH103" s="30">
        <f>IF(AG103="","",IF(AG103&gt;=BandVH,"Very High",IF(AG103&gt;=BandHigh,"High",IF(AG103&gt;=BandMed,"Medium","Low"))))</f>
        <v/>
      </c>
      <c r="AI103" s="4" t="n"/>
      <c r="AJ103" s="4" t="n"/>
    </row>
    <row r="104">
      <c r="A104" s="30">
        <f>IF(B104="","",COUNTIF(B$14:B104,"?*"))</f>
        <v/>
      </c>
      <c r="B104" s="4" t="n"/>
      <c r="C104" s="19" t="n"/>
      <c r="D104" s="5">
        <f>IF(OR(B104="",C104=""),"",UPPER(LEFT(C104,1))&amp;LOWER(MID(C104,2,30))&amp;" "&amp;LOWER(LEFT(B104,1))&amp;MID(B104,2,200))</f>
        <v/>
      </c>
      <c r="E104" s="4" t="n"/>
      <c r="F104" s="4" t="n"/>
      <c r="G104" s="4" t="n"/>
      <c r="H104" s="4" t="n"/>
      <c r="I104" s="4" t="n"/>
      <c r="J104" s="4" t="n"/>
      <c r="K104" s="5">
        <f>_xlfn.TEXTJOIN(CHAR(10),TRUE,IF(E104="","","• "&amp;E104),IF(F104="","","• "&amp;F104),IF(G104="","","• "&amp;G104),IF(H104="","","• "&amp;H104),IF(I104="","","• "&amp;I104),IF(J104="","","• "&amp;J104))</f>
        <v/>
      </c>
      <c r="L104" s="4" t="n"/>
      <c r="M104" s="19" t="n"/>
      <c r="N104" s="19" t="n"/>
      <c r="O104" s="30">
        <f>IF(OR(M104="",N104=""),"",INDEX(RiskGrid,6-VALUE(LEFT(M104,1)),VALUE(LEFT(N104,1))))</f>
        <v/>
      </c>
      <c r="P104" s="30">
        <f>IF(O104="","",IF(O104&gt;=BandVH,"Very High",IF(O104&gt;=BandHigh,"High",IF(O104&gt;=BandMed,"Medium","Low"))))</f>
        <v/>
      </c>
      <c r="Q104" s="4" t="n"/>
      <c r="R104" s="19" t="n"/>
      <c r="S104" s="4" t="n"/>
      <c r="T104" s="19" t="n"/>
      <c r="U104" s="4" t="n"/>
      <c r="V104" s="19" t="n"/>
      <c r="W104" s="4" t="n"/>
      <c r="X104" s="19" t="n"/>
      <c r="Y104" s="4" t="n"/>
      <c r="Z104" s="19" t="n"/>
      <c r="AA104" s="4" t="n"/>
      <c r="AB104" s="19" t="n"/>
      <c r="AC104" s="5">
        <f>_xlfn.TEXTJOIN(CHAR(10),TRUE,IF(Q104="","","• "&amp;Q104&amp;IF(R104="Yes","  [IPL]","")),IF(S104="","","• "&amp;S104&amp;IF(T104="Yes","  [IPL]","")),IF(U104="","","• "&amp;U104&amp;IF(V104="Yes","  [IPL]","")),IF(W104="","","• "&amp;W104&amp;IF(X104="Yes","  [IPL]","")),IF(Y104="","","• "&amp;Y104&amp;IF(Z104="Yes","  [IPL]","")),IF(AA104="","","• "&amp;AA104&amp;IF(AB104="Yes","  [IPL]","")))</f>
        <v/>
      </c>
      <c r="AD104" s="30">
        <f>IF(AC104="","",COUNTIF(Q104:AB104,"Yes"))</f>
        <v/>
      </c>
      <c r="AE104" s="19" t="n"/>
      <c r="AF104" s="19" t="n"/>
      <c r="AG104" s="30">
        <f>IF(OR(AE104="",AF104=""),"",INDEX(RiskGrid,6-VALUE(LEFT(AE104,1)),VALUE(LEFT(AF104,1))))</f>
        <v/>
      </c>
      <c r="AH104" s="30">
        <f>IF(AG104="","",IF(AG104&gt;=BandVH,"Very High",IF(AG104&gt;=BandHigh,"High",IF(AG104&gt;=BandMed,"Medium","Low"))))</f>
        <v/>
      </c>
      <c r="AI104" s="4" t="n"/>
      <c r="AJ104" s="4" t="n"/>
    </row>
    <row r="105">
      <c r="A105" s="30">
        <f>IF(B105="","",COUNTIF(B$14:B105,"?*"))</f>
        <v/>
      </c>
      <c r="B105" s="4" t="n"/>
      <c r="C105" s="19" t="n"/>
      <c r="D105" s="5">
        <f>IF(OR(B105="",C105=""),"",UPPER(LEFT(C105,1))&amp;LOWER(MID(C105,2,30))&amp;" "&amp;LOWER(LEFT(B105,1))&amp;MID(B105,2,200))</f>
        <v/>
      </c>
      <c r="E105" s="4" t="n"/>
      <c r="F105" s="4" t="n"/>
      <c r="G105" s="4" t="n"/>
      <c r="H105" s="4" t="n"/>
      <c r="I105" s="4" t="n"/>
      <c r="J105" s="4" t="n"/>
      <c r="K105" s="5">
        <f>_xlfn.TEXTJOIN(CHAR(10),TRUE,IF(E105="","","• "&amp;E105),IF(F105="","","• "&amp;F105),IF(G105="","","• "&amp;G105),IF(H105="","","• "&amp;H105),IF(I105="","","• "&amp;I105),IF(J105="","","• "&amp;J105))</f>
        <v/>
      </c>
      <c r="L105" s="4" t="n"/>
      <c r="M105" s="19" t="n"/>
      <c r="N105" s="19" t="n"/>
      <c r="O105" s="30">
        <f>IF(OR(M105="",N105=""),"",INDEX(RiskGrid,6-VALUE(LEFT(M105,1)),VALUE(LEFT(N105,1))))</f>
        <v/>
      </c>
      <c r="P105" s="30">
        <f>IF(O105="","",IF(O105&gt;=BandVH,"Very High",IF(O105&gt;=BandHigh,"High",IF(O105&gt;=BandMed,"Medium","Low"))))</f>
        <v/>
      </c>
      <c r="Q105" s="4" t="n"/>
      <c r="R105" s="19" t="n"/>
      <c r="S105" s="4" t="n"/>
      <c r="T105" s="19" t="n"/>
      <c r="U105" s="4" t="n"/>
      <c r="V105" s="19" t="n"/>
      <c r="W105" s="4" t="n"/>
      <c r="X105" s="19" t="n"/>
      <c r="Y105" s="4" t="n"/>
      <c r="Z105" s="19" t="n"/>
      <c r="AA105" s="4" t="n"/>
      <c r="AB105" s="19" t="n"/>
      <c r="AC105" s="5">
        <f>_xlfn.TEXTJOIN(CHAR(10),TRUE,IF(Q105="","","• "&amp;Q105&amp;IF(R105="Yes","  [IPL]","")),IF(S105="","","• "&amp;S105&amp;IF(T105="Yes","  [IPL]","")),IF(U105="","","• "&amp;U105&amp;IF(V105="Yes","  [IPL]","")),IF(W105="","","• "&amp;W105&amp;IF(X105="Yes","  [IPL]","")),IF(Y105="","","• "&amp;Y105&amp;IF(Z105="Yes","  [IPL]","")),IF(AA105="","","• "&amp;AA105&amp;IF(AB105="Yes","  [IPL]","")))</f>
        <v/>
      </c>
      <c r="AD105" s="30">
        <f>IF(AC105="","",COUNTIF(Q105:AB105,"Yes"))</f>
        <v/>
      </c>
      <c r="AE105" s="19" t="n"/>
      <c r="AF105" s="19" t="n"/>
      <c r="AG105" s="30">
        <f>IF(OR(AE105="",AF105=""),"",INDEX(RiskGrid,6-VALUE(LEFT(AE105,1)),VALUE(LEFT(AF105,1))))</f>
        <v/>
      </c>
      <c r="AH105" s="30">
        <f>IF(AG105="","",IF(AG105&gt;=BandVH,"Very High",IF(AG105&gt;=BandHigh,"High",IF(AG105&gt;=BandMed,"Medium","Low"))))</f>
        <v/>
      </c>
      <c r="AI105" s="4" t="n"/>
      <c r="AJ105" s="4" t="n"/>
    </row>
    <row r="106">
      <c r="A106" s="30">
        <f>IF(B106="","",COUNTIF(B$14:B106,"?*"))</f>
        <v/>
      </c>
      <c r="B106" s="4" t="n"/>
      <c r="C106" s="19" t="n"/>
      <c r="D106" s="5">
        <f>IF(OR(B106="",C106=""),"",UPPER(LEFT(C106,1))&amp;LOWER(MID(C106,2,30))&amp;" "&amp;LOWER(LEFT(B106,1))&amp;MID(B106,2,200))</f>
        <v/>
      </c>
      <c r="E106" s="4" t="n"/>
      <c r="F106" s="4" t="n"/>
      <c r="G106" s="4" t="n"/>
      <c r="H106" s="4" t="n"/>
      <c r="I106" s="4" t="n"/>
      <c r="J106" s="4" t="n"/>
      <c r="K106" s="5">
        <f>_xlfn.TEXTJOIN(CHAR(10),TRUE,IF(E106="","","• "&amp;E106),IF(F106="","","• "&amp;F106),IF(G106="","","• "&amp;G106),IF(H106="","","• "&amp;H106),IF(I106="","","• "&amp;I106),IF(J106="","","• "&amp;J106))</f>
        <v/>
      </c>
      <c r="L106" s="4" t="n"/>
      <c r="M106" s="19" t="n"/>
      <c r="N106" s="19" t="n"/>
      <c r="O106" s="30">
        <f>IF(OR(M106="",N106=""),"",INDEX(RiskGrid,6-VALUE(LEFT(M106,1)),VALUE(LEFT(N106,1))))</f>
        <v/>
      </c>
      <c r="P106" s="30">
        <f>IF(O106="","",IF(O106&gt;=BandVH,"Very High",IF(O106&gt;=BandHigh,"High",IF(O106&gt;=BandMed,"Medium","Low"))))</f>
        <v/>
      </c>
      <c r="Q106" s="4" t="n"/>
      <c r="R106" s="19" t="n"/>
      <c r="S106" s="4" t="n"/>
      <c r="T106" s="19" t="n"/>
      <c r="U106" s="4" t="n"/>
      <c r="V106" s="19" t="n"/>
      <c r="W106" s="4" t="n"/>
      <c r="X106" s="19" t="n"/>
      <c r="Y106" s="4" t="n"/>
      <c r="Z106" s="19" t="n"/>
      <c r="AA106" s="4" t="n"/>
      <c r="AB106" s="19" t="n"/>
      <c r="AC106" s="5">
        <f>_xlfn.TEXTJOIN(CHAR(10),TRUE,IF(Q106="","","• "&amp;Q106&amp;IF(R106="Yes","  [IPL]","")),IF(S106="","","• "&amp;S106&amp;IF(T106="Yes","  [IPL]","")),IF(U106="","","• "&amp;U106&amp;IF(V106="Yes","  [IPL]","")),IF(W106="","","• "&amp;W106&amp;IF(X106="Yes","  [IPL]","")),IF(Y106="","","• "&amp;Y106&amp;IF(Z106="Yes","  [IPL]","")),IF(AA106="","","• "&amp;AA106&amp;IF(AB106="Yes","  [IPL]","")))</f>
        <v/>
      </c>
      <c r="AD106" s="30">
        <f>IF(AC106="","",COUNTIF(Q106:AB106,"Yes"))</f>
        <v/>
      </c>
      <c r="AE106" s="19" t="n"/>
      <c r="AF106" s="19" t="n"/>
      <c r="AG106" s="30">
        <f>IF(OR(AE106="",AF106=""),"",INDEX(RiskGrid,6-VALUE(LEFT(AE106,1)),VALUE(LEFT(AF106,1))))</f>
        <v/>
      </c>
      <c r="AH106" s="30">
        <f>IF(AG106="","",IF(AG106&gt;=BandVH,"Very High",IF(AG106&gt;=BandHigh,"High",IF(AG106&gt;=BandMed,"Medium","Low"))))</f>
        <v/>
      </c>
      <c r="AI106" s="4" t="n"/>
      <c r="AJ106" s="4" t="n"/>
    </row>
    <row r="107">
      <c r="A107" s="30">
        <f>IF(B107="","",COUNTIF(B$14:B107,"?*"))</f>
        <v/>
      </c>
      <c r="B107" s="4" t="n"/>
      <c r="C107" s="19" t="n"/>
      <c r="D107" s="5">
        <f>IF(OR(B107="",C107=""),"",UPPER(LEFT(C107,1))&amp;LOWER(MID(C107,2,30))&amp;" "&amp;LOWER(LEFT(B107,1))&amp;MID(B107,2,200))</f>
        <v/>
      </c>
      <c r="E107" s="4" t="n"/>
      <c r="F107" s="4" t="n"/>
      <c r="G107" s="4" t="n"/>
      <c r="H107" s="4" t="n"/>
      <c r="I107" s="4" t="n"/>
      <c r="J107" s="4" t="n"/>
      <c r="K107" s="5">
        <f>_xlfn.TEXTJOIN(CHAR(10),TRUE,IF(E107="","","• "&amp;E107),IF(F107="","","• "&amp;F107),IF(G107="","","• "&amp;G107),IF(H107="","","• "&amp;H107),IF(I107="","","• "&amp;I107),IF(J107="","","• "&amp;J107))</f>
        <v/>
      </c>
      <c r="L107" s="4" t="n"/>
      <c r="M107" s="19" t="n"/>
      <c r="N107" s="19" t="n"/>
      <c r="O107" s="30">
        <f>IF(OR(M107="",N107=""),"",INDEX(RiskGrid,6-VALUE(LEFT(M107,1)),VALUE(LEFT(N107,1))))</f>
        <v/>
      </c>
      <c r="P107" s="30">
        <f>IF(O107="","",IF(O107&gt;=BandVH,"Very High",IF(O107&gt;=BandHigh,"High",IF(O107&gt;=BandMed,"Medium","Low"))))</f>
        <v/>
      </c>
      <c r="Q107" s="4" t="n"/>
      <c r="R107" s="19" t="n"/>
      <c r="S107" s="4" t="n"/>
      <c r="T107" s="19" t="n"/>
      <c r="U107" s="4" t="n"/>
      <c r="V107" s="19" t="n"/>
      <c r="W107" s="4" t="n"/>
      <c r="X107" s="19" t="n"/>
      <c r="Y107" s="4" t="n"/>
      <c r="Z107" s="19" t="n"/>
      <c r="AA107" s="4" t="n"/>
      <c r="AB107" s="19" t="n"/>
      <c r="AC107" s="5">
        <f>_xlfn.TEXTJOIN(CHAR(10),TRUE,IF(Q107="","","• "&amp;Q107&amp;IF(R107="Yes","  [IPL]","")),IF(S107="","","• "&amp;S107&amp;IF(T107="Yes","  [IPL]","")),IF(U107="","","• "&amp;U107&amp;IF(V107="Yes","  [IPL]","")),IF(W107="","","• "&amp;W107&amp;IF(X107="Yes","  [IPL]","")),IF(Y107="","","• "&amp;Y107&amp;IF(Z107="Yes","  [IPL]","")),IF(AA107="","","• "&amp;AA107&amp;IF(AB107="Yes","  [IPL]","")))</f>
        <v/>
      </c>
      <c r="AD107" s="30">
        <f>IF(AC107="","",COUNTIF(Q107:AB107,"Yes"))</f>
        <v/>
      </c>
      <c r="AE107" s="19" t="n"/>
      <c r="AF107" s="19" t="n"/>
      <c r="AG107" s="30">
        <f>IF(OR(AE107="",AF107=""),"",INDEX(RiskGrid,6-VALUE(LEFT(AE107,1)),VALUE(LEFT(AF107,1))))</f>
        <v/>
      </c>
      <c r="AH107" s="30">
        <f>IF(AG107="","",IF(AG107&gt;=BandVH,"Very High",IF(AG107&gt;=BandHigh,"High",IF(AG107&gt;=BandMed,"Medium","Low"))))</f>
        <v/>
      </c>
      <c r="AI107" s="4" t="n"/>
      <c r="AJ107" s="4" t="n"/>
    </row>
    <row r="108">
      <c r="A108" s="30">
        <f>IF(B108="","",COUNTIF(B$14:B108,"?*"))</f>
        <v/>
      </c>
      <c r="B108" s="4" t="n"/>
      <c r="C108" s="19" t="n"/>
      <c r="D108" s="5">
        <f>IF(OR(B108="",C108=""),"",UPPER(LEFT(C108,1))&amp;LOWER(MID(C108,2,30))&amp;" "&amp;LOWER(LEFT(B108,1))&amp;MID(B108,2,200))</f>
        <v/>
      </c>
      <c r="E108" s="4" t="n"/>
      <c r="F108" s="4" t="n"/>
      <c r="G108" s="4" t="n"/>
      <c r="H108" s="4" t="n"/>
      <c r="I108" s="4" t="n"/>
      <c r="J108" s="4" t="n"/>
      <c r="K108" s="5">
        <f>_xlfn.TEXTJOIN(CHAR(10),TRUE,IF(E108="","","• "&amp;E108),IF(F108="","","• "&amp;F108),IF(G108="","","• "&amp;G108),IF(H108="","","• "&amp;H108),IF(I108="","","• "&amp;I108),IF(J108="","","• "&amp;J108))</f>
        <v/>
      </c>
      <c r="L108" s="4" t="n"/>
      <c r="M108" s="19" t="n"/>
      <c r="N108" s="19" t="n"/>
      <c r="O108" s="30">
        <f>IF(OR(M108="",N108=""),"",INDEX(RiskGrid,6-VALUE(LEFT(M108,1)),VALUE(LEFT(N108,1))))</f>
        <v/>
      </c>
      <c r="P108" s="30">
        <f>IF(O108="","",IF(O108&gt;=BandVH,"Very High",IF(O108&gt;=BandHigh,"High",IF(O108&gt;=BandMed,"Medium","Low"))))</f>
        <v/>
      </c>
      <c r="Q108" s="4" t="n"/>
      <c r="R108" s="19" t="n"/>
      <c r="S108" s="4" t="n"/>
      <c r="T108" s="19" t="n"/>
      <c r="U108" s="4" t="n"/>
      <c r="V108" s="19" t="n"/>
      <c r="W108" s="4" t="n"/>
      <c r="X108" s="19" t="n"/>
      <c r="Y108" s="4" t="n"/>
      <c r="Z108" s="19" t="n"/>
      <c r="AA108" s="4" t="n"/>
      <c r="AB108" s="19" t="n"/>
      <c r="AC108" s="5">
        <f>_xlfn.TEXTJOIN(CHAR(10),TRUE,IF(Q108="","","• "&amp;Q108&amp;IF(R108="Yes","  [IPL]","")),IF(S108="","","• "&amp;S108&amp;IF(T108="Yes","  [IPL]","")),IF(U108="","","• "&amp;U108&amp;IF(V108="Yes","  [IPL]","")),IF(W108="","","• "&amp;W108&amp;IF(X108="Yes","  [IPL]","")),IF(Y108="","","• "&amp;Y108&amp;IF(Z108="Yes","  [IPL]","")),IF(AA108="","","• "&amp;AA108&amp;IF(AB108="Yes","  [IPL]","")))</f>
        <v/>
      </c>
      <c r="AD108" s="30">
        <f>IF(AC108="","",COUNTIF(Q108:AB108,"Yes"))</f>
        <v/>
      </c>
      <c r="AE108" s="19" t="n"/>
      <c r="AF108" s="19" t="n"/>
      <c r="AG108" s="30">
        <f>IF(OR(AE108="",AF108=""),"",INDEX(RiskGrid,6-VALUE(LEFT(AE108,1)),VALUE(LEFT(AF108,1))))</f>
        <v/>
      </c>
      <c r="AH108" s="30">
        <f>IF(AG108="","",IF(AG108&gt;=BandVH,"Very High",IF(AG108&gt;=BandHigh,"High",IF(AG108&gt;=BandMed,"Medium","Low"))))</f>
        <v/>
      </c>
      <c r="AI108" s="4" t="n"/>
      <c r="AJ108" s="4" t="n"/>
    </row>
    <row r="109">
      <c r="A109" s="30">
        <f>IF(B109="","",COUNTIF(B$14:B109,"?*"))</f>
        <v/>
      </c>
      <c r="B109" s="4" t="n"/>
      <c r="C109" s="19" t="n"/>
      <c r="D109" s="5">
        <f>IF(OR(B109="",C109=""),"",UPPER(LEFT(C109,1))&amp;LOWER(MID(C109,2,30))&amp;" "&amp;LOWER(LEFT(B109,1))&amp;MID(B109,2,200))</f>
        <v/>
      </c>
      <c r="E109" s="4" t="n"/>
      <c r="F109" s="4" t="n"/>
      <c r="G109" s="4" t="n"/>
      <c r="H109" s="4" t="n"/>
      <c r="I109" s="4" t="n"/>
      <c r="J109" s="4" t="n"/>
      <c r="K109" s="5">
        <f>_xlfn.TEXTJOIN(CHAR(10),TRUE,IF(E109="","","• "&amp;E109),IF(F109="","","• "&amp;F109),IF(G109="","","• "&amp;G109),IF(H109="","","• "&amp;H109),IF(I109="","","• "&amp;I109),IF(J109="","","• "&amp;J109))</f>
        <v/>
      </c>
      <c r="L109" s="4" t="n"/>
      <c r="M109" s="19" t="n"/>
      <c r="N109" s="19" t="n"/>
      <c r="O109" s="30">
        <f>IF(OR(M109="",N109=""),"",INDEX(RiskGrid,6-VALUE(LEFT(M109,1)),VALUE(LEFT(N109,1))))</f>
        <v/>
      </c>
      <c r="P109" s="30">
        <f>IF(O109="","",IF(O109&gt;=BandVH,"Very High",IF(O109&gt;=BandHigh,"High",IF(O109&gt;=BandMed,"Medium","Low"))))</f>
        <v/>
      </c>
      <c r="Q109" s="4" t="n"/>
      <c r="R109" s="19" t="n"/>
      <c r="S109" s="4" t="n"/>
      <c r="T109" s="19" t="n"/>
      <c r="U109" s="4" t="n"/>
      <c r="V109" s="19" t="n"/>
      <c r="W109" s="4" t="n"/>
      <c r="X109" s="19" t="n"/>
      <c r="Y109" s="4" t="n"/>
      <c r="Z109" s="19" t="n"/>
      <c r="AA109" s="4" t="n"/>
      <c r="AB109" s="19" t="n"/>
      <c r="AC109" s="5">
        <f>_xlfn.TEXTJOIN(CHAR(10),TRUE,IF(Q109="","","• "&amp;Q109&amp;IF(R109="Yes","  [IPL]","")),IF(S109="","","• "&amp;S109&amp;IF(T109="Yes","  [IPL]","")),IF(U109="","","• "&amp;U109&amp;IF(V109="Yes","  [IPL]","")),IF(W109="","","• "&amp;W109&amp;IF(X109="Yes","  [IPL]","")),IF(Y109="","","• "&amp;Y109&amp;IF(Z109="Yes","  [IPL]","")),IF(AA109="","","• "&amp;AA109&amp;IF(AB109="Yes","  [IPL]","")))</f>
        <v/>
      </c>
      <c r="AD109" s="30">
        <f>IF(AC109="","",COUNTIF(Q109:AB109,"Yes"))</f>
        <v/>
      </c>
      <c r="AE109" s="19" t="n"/>
      <c r="AF109" s="19" t="n"/>
      <c r="AG109" s="30">
        <f>IF(OR(AE109="",AF109=""),"",INDEX(RiskGrid,6-VALUE(LEFT(AE109,1)),VALUE(LEFT(AF109,1))))</f>
        <v/>
      </c>
      <c r="AH109" s="30">
        <f>IF(AG109="","",IF(AG109&gt;=BandVH,"Very High",IF(AG109&gt;=BandHigh,"High",IF(AG109&gt;=BandMed,"Medium","Low"))))</f>
        <v/>
      </c>
      <c r="AI109" s="4" t="n"/>
      <c r="AJ109" s="4" t="n"/>
    </row>
    <row r="110">
      <c r="A110" s="30">
        <f>IF(B110="","",COUNTIF(B$14:B110,"?*"))</f>
        <v/>
      </c>
      <c r="B110" s="4" t="n"/>
      <c r="C110" s="19" t="n"/>
      <c r="D110" s="5">
        <f>IF(OR(B110="",C110=""),"",UPPER(LEFT(C110,1))&amp;LOWER(MID(C110,2,30))&amp;" "&amp;LOWER(LEFT(B110,1))&amp;MID(B110,2,200))</f>
        <v/>
      </c>
      <c r="E110" s="4" t="n"/>
      <c r="F110" s="4" t="n"/>
      <c r="G110" s="4" t="n"/>
      <c r="H110" s="4" t="n"/>
      <c r="I110" s="4" t="n"/>
      <c r="J110" s="4" t="n"/>
      <c r="K110" s="5">
        <f>_xlfn.TEXTJOIN(CHAR(10),TRUE,IF(E110="","","• "&amp;E110),IF(F110="","","• "&amp;F110),IF(G110="","","• "&amp;G110),IF(H110="","","• "&amp;H110),IF(I110="","","• "&amp;I110),IF(J110="","","• "&amp;J110))</f>
        <v/>
      </c>
      <c r="L110" s="4" t="n"/>
      <c r="M110" s="19" t="n"/>
      <c r="N110" s="19" t="n"/>
      <c r="O110" s="30">
        <f>IF(OR(M110="",N110=""),"",INDEX(RiskGrid,6-VALUE(LEFT(M110,1)),VALUE(LEFT(N110,1))))</f>
        <v/>
      </c>
      <c r="P110" s="30">
        <f>IF(O110="","",IF(O110&gt;=BandVH,"Very High",IF(O110&gt;=BandHigh,"High",IF(O110&gt;=BandMed,"Medium","Low"))))</f>
        <v/>
      </c>
      <c r="Q110" s="4" t="n"/>
      <c r="R110" s="19" t="n"/>
      <c r="S110" s="4" t="n"/>
      <c r="T110" s="19" t="n"/>
      <c r="U110" s="4" t="n"/>
      <c r="V110" s="19" t="n"/>
      <c r="W110" s="4" t="n"/>
      <c r="X110" s="19" t="n"/>
      <c r="Y110" s="4" t="n"/>
      <c r="Z110" s="19" t="n"/>
      <c r="AA110" s="4" t="n"/>
      <c r="AB110" s="19" t="n"/>
      <c r="AC110" s="5">
        <f>_xlfn.TEXTJOIN(CHAR(10),TRUE,IF(Q110="","","• "&amp;Q110&amp;IF(R110="Yes","  [IPL]","")),IF(S110="","","• "&amp;S110&amp;IF(T110="Yes","  [IPL]","")),IF(U110="","","• "&amp;U110&amp;IF(V110="Yes","  [IPL]","")),IF(W110="","","• "&amp;W110&amp;IF(X110="Yes","  [IPL]","")),IF(Y110="","","• "&amp;Y110&amp;IF(Z110="Yes","  [IPL]","")),IF(AA110="","","• "&amp;AA110&amp;IF(AB110="Yes","  [IPL]","")))</f>
        <v/>
      </c>
      <c r="AD110" s="30">
        <f>IF(AC110="","",COUNTIF(Q110:AB110,"Yes"))</f>
        <v/>
      </c>
      <c r="AE110" s="19" t="n"/>
      <c r="AF110" s="19" t="n"/>
      <c r="AG110" s="30">
        <f>IF(OR(AE110="",AF110=""),"",INDEX(RiskGrid,6-VALUE(LEFT(AE110,1)),VALUE(LEFT(AF110,1))))</f>
        <v/>
      </c>
      <c r="AH110" s="30">
        <f>IF(AG110="","",IF(AG110&gt;=BandVH,"Very High",IF(AG110&gt;=BandHigh,"High",IF(AG110&gt;=BandMed,"Medium","Low"))))</f>
        <v/>
      </c>
      <c r="AI110" s="4" t="n"/>
      <c r="AJ110" s="4" t="n"/>
    </row>
    <row r="111">
      <c r="A111" s="30">
        <f>IF(B111="","",COUNTIF(B$14:B111,"?*"))</f>
        <v/>
      </c>
      <c r="B111" s="4" t="n"/>
      <c r="C111" s="19" t="n"/>
      <c r="D111" s="5">
        <f>IF(OR(B111="",C111=""),"",UPPER(LEFT(C111,1))&amp;LOWER(MID(C111,2,30))&amp;" "&amp;LOWER(LEFT(B111,1))&amp;MID(B111,2,200))</f>
        <v/>
      </c>
      <c r="E111" s="4" t="n"/>
      <c r="F111" s="4" t="n"/>
      <c r="G111" s="4" t="n"/>
      <c r="H111" s="4" t="n"/>
      <c r="I111" s="4" t="n"/>
      <c r="J111" s="4" t="n"/>
      <c r="K111" s="5">
        <f>_xlfn.TEXTJOIN(CHAR(10),TRUE,IF(E111="","","• "&amp;E111),IF(F111="","","• "&amp;F111),IF(G111="","","• "&amp;G111),IF(H111="","","• "&amp;H111),IF(I111="","","• "&amp;I111),IF(J111="","","• "&amp;J111))</f>
        <v/>
      </c>
      <c r="L111" s="4" t="n"/>
      <c r="M111" s="19" t="n"/>
      <c r="N111" s="19" t="n"/>
      <c r="O111" s="30">
        <f>IF(OR(M111="",N111=""),"",INDEX(RiskGrid,6-VALUE(LEFT(M111,1)),VALUE(LEFT(N111,1))))</f>
        <v/>
      </c>
      <c r="P111" s="30">
        <f>IF(O111="","",IF(O111&gt;=BandVH,"Very High",IF(O111&gt;=BandHigh,"High",IF(O111&gt;=BandMed,"Medium","Low"))))</f>
        <v/>
      </c>
      <c r="Q111" s="4" t="n"/>
      <c r="R111" s="19" t="n"/>
      <c r="S111" s="4" t="n"/>
      <c r="T111" s="19" t="n"/>
      <c r="U111" s="4" t="n"/>
      <c r="V111" s="19" t="n"/>
      <c r="W111" s="4" t="n"/>
      <c r="X111" s="19" t="n"/>
      <c r="Y111" s="4" t="n"/>
      <c r="Z111" s="19" t="n"/>
      <c r="AA111" s="4" t="n"/>
      <c r="AB111" s="19" t="n"/>
      <c r="AC111" s="5">
        <f>_xlfn.TEXTJOIN(CHAR(10),TRUE,IF(Q111="","","• "&amp;Q111&amp;IF(R111="Yes","  [IPL]","")),IF(S111="","","• "&amp;S111&amp;IF(T111="Yes","  [IPL]","")),IF(U111="","","• "&amp;U111&amp;IF(V111="Yes","  [IPL]","")),IF(W111="","","• "&amp;W111&amp;IF(X111="Yes","  [IPL]","")),IF(Y111="","","• "&amp;Y111&amp;IF(Z111="Yes","  [IPL]","")),IF(AA111="","","• "&amp;AA111&amp;IF(AB111="Yes","  [IPL]","")))</f>
        <v/>
      </c>
      <c r="AD111" s="30">
        <f>IF(AC111="","",COUNTIF(Q111:AB111,"Yes"))</f>
        <v/>
      </c>
      <c r="AE111" s="19" t="n"/>
      <c r="AF111" s="19" t="n"/>
      <c r="AG111" s="30">
        <f>IF(OR(AE111="",AF111=""),"",INDEX(RiskGrid,6-VALUE(LEFT(AE111,1)),VALUE(LEFT(AF111,1))))</f>
        <v/>
      </c>
      <c r="AH111" s="30">
        <f>IF(AG111="","",IF(AG111&gt;=BandVH,"Very High",IF(AG111&gt;=BandHigh,"High",IF(AG111&gt;=BandMed,"Medium","Low"))))</f>
        <v/>
      </c>
      <c r="AI111" s="4" t="n"/>
      <c r="AJ111" s="4" t="n"/>
    </row>
    <row r="112">
      <c r="A112" s="30">
        <f>IF(B112="","",COUNTIF(B$14:B112,"?*"))</f>
        <v/>
      </c>
      <c r="B112" s="4" t="n"/>
      <c r="C112" s="19" t="n"/>
      <c r="D112" s="5">
        <f>IF(OR(B112="",C112=""),"",UPPER(LEFT(C112,1))&amp;LOWER(MID(C112,2,30))&amp;" "&amp;LOWER(LEFT(B112,1))&amp;MID(B112,2,200))</f>
        <v/>
      </c>
      <c r="E112" s="4" t="n"/>
      <c r="F112" s="4" t="n"/>
      <c r="G112" s="4" t="n"/>
      <c r="H112" s="4" t="n"/>
      <c r="I112" s="4" t="n"/>
      <c r="J112" s="4" t="n"/>
      <c r="K112" s="5">
        <f>_xlfn.TEXTJOIN(CHAR(10),TRUE,IF(E112="","","• "&amp;E112),IF(F112="","","• "&amp;F112),IF(G112="","","• "&amp;G112),IF(H112="","","• "&amp;H112),IF(I112="","","• "&amp;I112),IF(J112="","","• "&amp;J112))</f>
        <v/>
      </c>
      <c r="L112" s="4" t="n"/>
      <c r="M112" s="19" t="n"/>
      <c r="N112" s="19" t="n"/>
      <c r="O112" s="30">
        <f>IF(OR(M112="",N112=""),"",INDEX(RiskGrid,6-VALUE(LEFT(M112,1)),VALUE(LEFT(N112,1))))</f>
        <v/>
      </c>
      <c r="P112" s="30">
        <f>IF(O112="","",IF(O112&gt;=BandVH,"Very High",IF(O112&gt;=BandHigh,"High",IF(O112&gt;=BandMed,"Medium","Low"))))</f>
        <v/>
      </c>
      <c r="Q112" s="4" t="n"/>
      <c r="R112" s="19" t="n"/>
      <c r="S112" s="4" t="n"/>
      <c r="T112" s="19" t="n"/>
      <c r="U112" s="4" t="n"/>
      <c r="V112" s="19" t="n"/>
      <c r="W112" s="4" t="n"/>
      <c r="X112" s="19" t="n"/>
      <c r="Y112" s="4" t="n"/>
      <c r="Z112" s="19" t="n"/>
      <c r="AA112" s="4" t="n"/>
      <c r="AB112" s="19" t="n"/>
      <c r="AC112" s="5">
        <f>_xlfn.TEXTJOIN(CHAR(10),TRUE,IF(Q112="","","• "&amp;Q112&amp;IF(R112="Yes","  [IPL]","")),IF(S112="","","• "&amp;S112&amp;IF(T112="Yes","  [IPL]","")),IF(U112="","","• "&amp;U112&amp;IF(V112="Yes","  [IPL]","")),IF(W112="","","• "&amp;W112&amp;IF(X112="Yes","  [IPL]","")),IF(Y112="","","• "&amp;Y112&amp;IF(Z112="Yes","  [IPL]","")),IF(AA112="","","• "&amp;AA112&amp;IF(AB112="Yes","  [IPL]","")))</f>
        <v/>
      </c>
      <c r="AD112" s="30">
        <f>IF(AC112="","",COUNTIF(Q112:AB112,"Yes"))</f>
        <v/>
      </c>
      <c r="AE112" s="19" t="n"/>
      <c r="AF112" s="19" t="n"/>
      <c r="AG112" s="30">
        <f>IF(OR(AE112="",AF112=""),"",INDEX(RiskGrid,6-VALUE(LEFT(AE112,1)),VALUE(LEFT(AF112,1))))</f>
        <v/>
      </c>
      <c r="AH112" s="30">
        <f>IF(AG112="","",IF(AG112&gt;=BandVH,"Very High",IF(AG112&gt;=BandHigh,"High",IF(AG112&gt;=BandMed,"Medium","Low"))))</f>
        <v/>
      </c>
      <c r="AI112" s="4" t="n"/>
      <c r="AJ112" s="4" t="n"/>
    </row>
    <row r="113">
      <c r="A113" s="30">
        <f>IF(B113="","",COUNTIF(B$14:B113,"?*"))</f>
        <v/>
      </c>
      <c r="B113" s="4" t="n"/>
      <c r="C113" s="19" t="n"/>
      <c r="D113" s="5">
        <f>IF(OR(B113="",C113=""),"",UPPER(LEFT(C113,1))&amp;LOWER(MID(C113,2,30))&amp;" "&amp;LOWER(LEFT(B113,1))&amp;MID(B113,2,200))</f>
        <v/>
      </c>
      <c r="E113" s="4" t="n"/>
      <c r="F113" s="4" t="n"/>
      <c r="G113" s="4" t="n"/>
      <c r="H113" s="4" t="n"/>
      <c r="I113" s="4" t="n"/>
      <c r="J113" s="4" t="n"/>
      <c r="K113" s="5">
        <f>_xlfn.TEXTJOIN(CHAR(10),TRUE,IF(E113="","","• "&amp;E113),IF(F113="","","• "&amp;F113),IF(G113="","","• "&amp;G113),IF(H113="","","• "&amp;H113),IF(I113="","","• "&amp;I113),IF(J113="","","• "&amp;J113))</f>
        <v/>
      </c>
      <c r="L113" s="4" t="n"/>
      <c r="M113" s="19" t="n"/>
      <c r="N113" s="19" t="n"/>
      <c r="O113" s="30">
        <f>IF(OR(M113="",N113=""),"",INDEX(RiskGrid,6-VALUE(LEFT(M113,1)),VALUE(LEFT(N113,1))))</f>
        <v/>
      </c>
      <c r="P113" s="30">
        <f>IF(O113="","",IF(O113&gt;=BandVH,"Very High",IF(O113&gt;=BandHigh,"High",IF(O113&gt;=BandMed,"Medium","Low"))))</f>
        <v/>
      </c>
      <c r="Q113" s="4" t="n"/>
      <c r="R113" s="19" t="n"/>
      <c r="S113" s="4" t="n"/>
      <c r="T113" s="19" t="n"/>
      <c r="U113" s="4" t="n"/>
      <c r="V113" s="19" t="n"/>
      <c r="W113" s="4" t="n"/>
      <c r="X113" s="19" t="n"/>
      <c r="Y113" s="4" t="n"/>
      <c r="Z113" s="19" t="n"/>
      <c r="AA113" s="4" t="n"/>
      <c r="AB113" s="19" t="n"/>
      <c r="AC113" s="5">
        <f>_xlfn.TEXTJOIN(CHAR(10),TRUE,IF(Q113="","","• "&amp;Q113&amp;IF(R113="Yes","  [IPL]","")),IF(S113="","","• "&amp;S113&amp;IF(T113="Yes","  [IPL]","")),IF(U113="","","• "&amp;U113&amp;IF(V113="Yes","  [IPL]","")),IF(W113="","","• "&amp;W113&amp;IF(X113="Yes","  [IPL]","")),IF(Y113="","","• "&amp;Y113&amp;IF(Z113="Yes","  [IPL]","")),IF(AA113="","","• "&amp;AA113&amp;IF(AB113="Yes","  [IPL]","")))</f>
        <v/>
      </c>
      <c r="AD113" s="30">
        <f>IF(AC113="","",COUNTIF(Q113:AB113,"Yes"))</f>
        <v/>
      </c>
      <c r="AE113" s="19" t="n"/>
      <c r="AF113" s="19" t="n"/>
      <c r="AG113" s="30">
        <f>IF(OR(AE113="",AF113=""),"",INDEX(RiskGrid,6-VALUE(LEFT(AE113,1)),VALUE(LEFT(AF113,1))))</f>
        <v/>
      </c>
      <c r="AH113" s="30">
        <f>IF(AG113="","",IF(AG113&gt;=BandVH,"Very High",IF(AG113&gt;=BandHigh,"High",IF(AG113&gt;=BandMed,"Medium","Low"))))</f>
        <v/>
      </c>
      <c r="AI113" s="4" t="n"/>
      <c r="AJ113" s="4" t="n"/>
    </row>
  </sheetData>
  <mergeCells count="24">
    <mergeCell ref="A3:C3"/>
    <mergeCell ref="AC12:AD12"/>
    <mergeCell ref="D7:L7"/>
    <mergeCell ref="N3:O3"/>
    <mergeCell ref="A5:C5"/>
    <mergeCell ref="A8:C8"/>
    <mergeCell ref="D4:L4"/>
    <mergeCell ref="D3:L3"/>
    <mergeCell ref="D9:L9"/>
    <mergeCell ref="A4:C4"/>
    <mergeCell ref="D8:L8"/>
    <mergeCell ref="K12:L12"/>
    <mergeCell ref="D5:L5"/>
    <mergeCell ref="A9:C9"/>
    <mergeCell ref="AE12:AH12"/>
    <mergeCell ref="E12:J12"/>
    <mergeCell ref="Q12:AB12"/>
    <mergeCell ref="AI12:AJ12"/>
    <mergeCell ref="A11:L11"/>
    <mergeCell ref="A12:D12"/>
    <mergeCell ref="A6:C6"/>
    <mergeCell ref="M12:P12"/>
    <mergeCell ref="A7:C7"/>
    <mergeCell ref="D6:L6"/>
  </mergeCells>
  <conditionalFormatting sqref="O14:P113">
    <cfRule type="expression" priority="1" dxfId="0">
      <formula>$P14="Very High"</formula>
    </cfRule>
    <cfRule type="expression" priority="3" dxfId="1">
      <formula>$P14="High"</formula>
    </cfRule>
    <cfRule type="expression" priority="5" dxfId="2">
      <formula>$P14="Medium"</formula>
    </cfRule>
    <cfRule type="expression" priority="7" dxfId="3">
      <formula>$P14="Low"</formula>
    </cfRule>
  </conditionalFormatting>
  <conditionalFormatting sqref="AG14:AH113">
    <cfRule type="expression" priority="2" dxfId="0">
      <formula>$AH14="Very High"</formula>
    </cfRule>
    <cfRule type="expression" priority="4" dxfId="1">
      <formula>$AH14="High"</formula>
    </cfRule>
    <cfRule type="expression" priority="6" dxfId="2">
      <formula>$AH14="Medium"</formula>
    </cfRule>
    <cfRule type="expression" priority="8" dxfId="3">
      <formula>$AH14="Low"</formula>
    </cfRule>
  </conditionalFormatting>
  <dataValidations count="9">
    <dataValidation sqref="D3" showDropDown="0" showInputMessage="1" showErrorMessage="1" allowBlank="1" promptTitle="Select" prompt="Choose the node studied on this sheet" type="list">
      <formula1>=NodeList</formula1>
    </dataValidation>
    <dataValidation sqref="B14:B113" showDropDown="0" showInputMessage="1" showErrorMessage="1" allowBlank="1" promptTitle="Select" prompt="Parameter (from Lists)" type="list">
      <formula1>=ParamList</formula1>
    </dataValidation>
    <dataValidation sqref="C14:C113" showDropDown="0" showInputMessage="1" showErrorMessage="1" allowBlank="1" promptTitle="Select" prompt="Guidewords valid for this parameter" type="list">
      <formula1>=OFFSET(GWStart,MATCH($B14,GWParam,0)-1,0,COUNTIF(GWParam,$B14),1)</formula1>
    </dataValidation>
    <dataValidation sqref="E14:J113" showDropDown="0" showInputMessage="1" showErrorMessage="1" allowBlank="1" errorTitle="Not in list" error="Entry is not in the list – it will be accepted as free text." promptTitle="Select" prompt="Pick a cause for this deviation, or type your own." type="list" errorStyle="information">
      <formula1>=OFFSET(CauseStart,MATCH($B14&amp;"|"&amp;$C14,CauseKey,0)-1,0,MAX(1,COUNTIF(CauseKey,$B14&amp;"|"&amp;$C14)),1)</formula1>
    </dataValidation>
    <dataValidation sqref="M14:M113" showDropDown="0" showInputMessage="0" showErrorMessage="1" allowBlank="1" type="list">
      <formula1>=SevList</formula1>
    </dataValidation>
    <dataValidation sqref="N14:N113" showDropDown="0" showInputMessage="0" showErrorMessage="1" allowBlank="1" type="list">
      <formula1>=LikList</formula1>
    </dataValidation>
    <dataValidation sqref="AE14:AE113" showDropDown="0" showInputMessage="0" showErrorMessage="1" allowBlank="1" type="list">
      <formula1>=SevList</formula1>
    </dataValidation>
    <dataValidation sqref="AF14:AF113" showDropDown="0" showInputMessage="0" showErrorMessage="1" allowBlank="1" type="list">
      <formula1>=LikList</formula1>
    </dataValidation>
    <dataValidation sqref="R14:R113 T14:T113 V14:V113 X14:X113 Z14:Z113 AB14:AB113" showDropDown="0" showInputMessage="1" showErrorMessage="0" allowBlank="1" promptTitle="IPL?" prompt="Is this safeguard an Independent Protection Layer?" type="list">
      <formula1>=IPLList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J113"/>
  <sheetViews>
    <sheetView workbookViewId="0">
      <pane xSplit="4" ySplit="13" topLeftCell="E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4" customWidth="1" min="4" max="4"/>
    <col outlineLevel="1" width="26" customWidth="1" min="5" max="10"/>
    <col width="48" customWidth="1" min="11" max="11"/>
    <col width="42" customWidth="1" min="12" max="12"/>
    <col width="13" customWidth="1" min="13" max="13"/>
    <col width="13" customWidth="1" min="14" max="14"/>
    <col width="7" customWidth="1" min="15" max="15"/>
    <col width="10" customWidth="1" min="16" max="16"/>
    <col outlineLevel="1" width="28" customWidth="1" min="17" max="28"/>
    <col width="48" customWidth="1" min="29" max="29"/>
    <col width="7" customWidth="1" min="30" max="30"/>
    <col width="13" customWidth="1" min="31" max="31"/>
    <col width="13" customWidth="1" min="32" max="32"/>
    <col width="7" customWidth="1" min="33" max="33"/>
    <col width="10" customWidth="1" min="34" max="34"/>
    <col width="36" customWidth="1" min="35" max="35"/>
    <col width="14" customWidth="1" min="36" max="36"/>
  </cols>
  <sheetData>
    <row r="1">
      <c r="A1" s="24" t="inlineStr">
        <is>
          <t>HAZOP WORKSHEET</t>
        </is>
      </c>
      <c r="E1" s="25">
        <f>Cover!B7</f>
        <v/>
      </c>
    </row>
    <row r="3">
      <c r="A3" s="26" t="inlineStr">
        <is>
          <t>Select node ▸</t>
        </is>
      </c>
      <c r="B3" s="8" t="n"/>
      <c r="C3" s="9" t="n"/>
      <c r="D3" s="27" t="n"/>
      <c r="E3" s="8" t="n"/>
      <c r="F3" s="8" t="n"/>
      <c r="G3" s="8" t="n"/>
      <c r="H3" s="8" t="n"/>
      <c r="I3" s="8" t="n"/>
      <c r="J3" s="8" t="n"/>
      <c r="K3" s="8" t="n"/>
      <c r="L3" s="9" t="n"/>
      <c r="M3" s="26" t="inlineStr">
        <is>
          <t>Session date</t>
        </is>
      </c>
      <c r="N3" s="13" t="n"/>
      <c r="O3" s="9" t="n"/>
      <c r="P3" s="26" t="inlineStr">
        <is>
          <t>Revision</t>
        </is>
      </c>
      <c r="Q3" s="4" t="n"/>
    </row>
    <row r="4" ht="16" customHeight="1">
      <c r="A4" s="10" t="inlineStr">
        <is>
          <t>Node title</t>
        </is>
      </c>
      <c r="B4" s="8" t="n"/>
      <c r="C4" s="9" t="n"/>
      <c r="D4" s="6">
        <f>IF($D$3="","",IFERROR(INDEX(Nodes!$B$5:$B$34,MATCH($D$3,Nodes!$C$5:$C$34,0))&amp;"",""))</f>
        <v/>
      </c>
      <c r="E4" s="8" t="n"/>
      <c r="F4" s="8" t="n"/>
      <c r="G4" s="8" t="n"/>
      <c r="H4" s="8" t="n"/>
      <c r="I4" s="8" t="n"/>
      <c r="J4" s="8" t="n"/>
      <c r="K4" s="8" t="n"/>
      <c r="L4" s="9" t="n"/>
    </row>
    <row r="5" ht="16" customHeight="1">
      <c r="A5" s="10" t="inlineStr">
        <is>
          <t>P&amp;IDs / drawings</t>
        </is>
      </c>
      <c r="B5" s="8" t="n"/>
      <c r="C5" s="9" t="n"/>
      <c r="D5" s="6">
        <f>IF($D$3="","",IFERROR(INDEX(Nodes!$D$5:$D$34,MATCH($D$3,Nodes!$C$5:$C$34,0))&amp;"",""))</f>
        <v/>
      </c>
      <c r="E5" s="8" t="n"/>
      <c r="F5" s="8" t="n"/>
      <c r="G5" s="8" t="n"/>
      <c r="H5" s="8" t="n"/>
      <c r="I5" s="8" t="n"/>
      <c r="J5" s="8" t="n"/>
      <c r="K5" s="8" t="n"/>
      <c r="L5" s="9" t="n"/>
    </row>
    <row r="6" ht="30" customHeight="1">
      <c r="A6" s="10" t="inlineStr">
        <is>
          <t>Battery limits</t>
        </is>
      </c>
      <c r="B6" s="8" t="n"/>
      <c r="C6" s="9" t="n"/>
      <c r="D6" s="6">
        <f>IF($D$3="","",IFERROR(INDEX(Nodes!$E$5:$E$34,MATCH($D$3,Nodes!$C$5:$C$34,0))&amp;"",""))</f>
        <v/>
      </c>
      <c r="E6" s="8" t="n"/>
      <c r="F6" s="8" t="n"/>
      <c r="G6" s="8" t="n"/>
      <c r="H6" s="8" t="n"/>
      <c r="I6" s="8" t="n"/>
      <c r="J6" s="8" t="n"/>
      <c r="K6" s="8" t="n"/>
      <c r="L6" s="9" t="n"/>
    </row>
    <row r="7" ht="30" customHeight="1">
      <c r="A7" s="10" t="inlineStr">
        <is>
          <t>Functional description / design intent</t>
        </is>
      </c>
      <c r="B7" s="8" t="n"/>
      <c r="C7" s="9" t="n"/>
      <c r="D7" s="6">
        <f>IF($D$3="","",IFERROR(INDEX(Nodes!$F$5:$F$34,MATCH($D$3,Nodes!$C$5:$C$34,0))&amp;"",""))</f>
        <v/>
      </c>
      <c r="E7" s="8" t="n"/>
      <c r="F7" s="8" t="n"/>
      <c r="G7" s="8" t="n"/>
      <c r="H7" s="8" t="n"/>
      <c r="I7" s="8" t="n"/>
      <c r="J7" s="8" t="n"/>
      <c r="K7" s="8" t="n"/>
      <c r="L7" s="9" t="n"/>
    </row>
    <row r="8" ht="16" customHeight="1">
      <c r="A8" s="10" t="inlineStr">
        <is>
          <t>Design parameters</t>
        </is>
      </c>
      <c r="B8" s="8" t="n"/>
      <c r="C8" s="9" t="n"/>
      <c r="D8" s="6">
        <f>IF($D$3="","",IFERROR(INDEX(Nodes!$G$5:$G$34,MATCH($D$3,Nodes!$C$5:$C$34,0))&amp;"",""))</f>
        <v/>
      </c>
      <c r="E8" s="8" t="n"/>
      <c r="F8" s="8" t="n"/>
      <c r="G8" s="8" t="n"/>
      <c r="H8" s="8" t="n"/>
      <c r="I8" s="8" t="n"/>
      <c r="J8" s="8" t="n"/>
      <c r="K8" s="8" t="n"/>
      <c r="L8" s="9" t="n"/>
    </row>
    <row r="9" ht="16" customHeight="1">
      <c r="A9" s="10" t="inlineStr">
        <is>
          <t>Operating parameters</t>
        </is>
      </c>
      <c r="B9" s="8" t="n"/>
      <c r="C9" s="9" t="n"/>
      <c r="D9" s="6">
        <f>IF($D$3="","",IFERROR(INDEX(Nodes!$H$5:$H$34,MATCH($D$3,Nodes!$C$5:$C$34,0))&amp;"",""))</f>
        <v/>
      </c>
      <c r="E9" s="8" t="n"/>
      <c r="F9" s="8" t="n"/>
      <c r="G9" s="8" t="n"/>
      <c r="H9" s="8" t="n"/>
      <c r="I9" s="8" t="n"/>
      <c r="J9" s="8" t="n"/>
      <c r="K9" s="8" t="n"/>
      <c r="L9" s="9" t="n"/>
    </row>
    <row r="11">
      <c r="A11" s="2" t="inlineStr">
        <is>
          <t>ONE ROW PER DEVIATION. Choose Parameter + Guideword, then pick up to 6 causes in Cause 1–6 (or type your own) – they are listed line by line in 'Potential causes'. Enter up to 6 safeguards, each marked IPL Yes/No – listed in 'Safeguards'. Use the [–] buttons above the columns to collapse the pick columns.</t>
        </is>
      </c>
    </row>
    <row r="12">
      <c r="A12" s="7" t="inlineStr">
        <is>
          <t>DEVIATION</t>
        </is>
      </c>
      <c r="B12" s="8" t="n"/>
      <c r="C12" s="8" t="n"/>
      <c r="D12" s="9" t="n"/>
      <c r="E12" s="7" t="inlineStr">
        <is>
          <t>CAUSE PICK-LIST</t>
        </is>
      </c>
      <c r="F12" s="8" t="n"/>
      <c r="G12" s="8" t="n"/>
      <c r="H12" s="8" t="n"/>
      <c r="I12" s="8" t="n"/>
      <c r="J12" s="9" t="n"/>
      <c r="K12" s="7" t="inlineStr">
        <is>
          <t>CAUSES &amp; CONSEQUENCES</t>
        </is>
      </c>
      <c r="L12" s="9" t="n"/>
      <c r="M12" s="7" t="inlineStr">
        <is>
          <t>RISK BEFORE SAFEGUARDS</t>
        </is>
      </c>
      <c r="N12" s="8" t="n"/>
      <c r="O12" s="8" t="n"/>
      <c r="P12" s="9" t="n"/>
      <c r="Q12" s="7" t="inlineStr">
        <is>
          <t>SAFEGUARD ENTRY (mark each IPL Yes / No)</t>
        </is>
      </c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9" t="n"/>
      <c r="AC12" s="7" t="inlineStr">
        <is>
          <t>SAFEGUARDS</t>
        </is>
      </c>
      <c r="AD12" s="9" t="n"/>
      <c r="AE12" s="7" t="inlineStr">
        <is>
          <t>RISK AFTER SAFEGUARDS</t>
        </is>
      </c>
      <c r="AF12" s="8" t="n"/>
      <c r="AG12" s="8" t="n"/>
      <c r="AH12" s="9" t="n"/>
      <c r="AI12" s="7" t="inlineStr">
        <is>
          <t>RECOMMENDATIONS</t>
        </is>
      </c>
      <c r="AJ12" s="9" t="n"/>
    </row>
    <row r="13" ht="30" customHeight="1">
      <c r="A13" s="7" t="inlineStr">
        <is>
          <t>Dev. No.</t>
        </is>
      </c>
      <c r="B13" s="7" t="inlineStr">
        <is>
          <t>Parameter</t>
        </is>
      </c>
      <c r="C13" s="7" t="inlineStr">
        <is>
          <t>Guideword</t>
        </is>
      </c>
      <c r="D13" s="7" t="inlineStr">
        <is>
          <t>Deviation</t>
        </is>
      </c>
      <c r="E13" s="29" t="inlineStr">
        <is>
          <t>Cause 1</t>
        </is>
      </c>
      <c r="F13" s="29" t="inlineStr">
        <is>
          <t>Cause 2</t>
        </is>
      </c>
      <c r="G13" s="29" t="inlineStr">
        <is>
          <t>Cause 3</t>
        </is>
      </c>
      <c r="H13" s="29" t="inlineStr">
        <is>
          <t>Cause 4</t>
        </is>
      </c>
      <c r="I13" s="29" t="inlineStr">
        <is>
          <t>Cause 5</t>
        </is>
      </c>
      <c r="J13" s="29" t="inlineStr">
        <is>
          <t>Cause 6</t>
        </is>
      </c>
      <c r="K13" s="7" t="inlineStr">
        <is>
          <t>Potential causes</t>
        </is>
      </c>
      <c r="L13" s="7" t="inlineStr">
        <is>
          <t>Consequences</t>
        </is>
      </c>
      <c r="M13" s="7" t="inlineStr">
        <is>
          <t>Severity (S)</t>
        </is>
      </c>
      <c r="N13" s="7" t="inlineStr">
        <is>
          <t>Likelihood (L)</t>
        </is>
      </c>
      <c r="O13" s="7" t="inlineStr">
        <is>
          <t>Risk score</t>
        </is>
      </c>
      <c r="P13" s="7" t="inlineStr">
        <is>
          <t>Risk rank</t>
        </is>
      </c>
      <c r="Q13" s="29" t="inlineStr">
        <is>
          <t>Safeguard 1</t>
        </is>
      </c>
      <c r="R13" s="29" t="inlineStr">
        <is>
          <t>IPL? 1</t>
        </is>
      </c>
      <c r="S13" s="29" t="inlineStr">
        <is>
          <t>Safeguard 2</t>
        </is>
      </c>
      <c r="T13" s="29" t="inlineStr">
        <is>
          <t>IPL? 2</t>
        </is>
      </c>
      <c r="U13" s="29" t="inlineStr">
        <is>
          <t>Safeguard 3</t>
        </is>
      </c>
      <c r="V13" s="29" t="inlineStr">
        <is>
          <t>IPL? 3</t>
        </is>
      </c>
      <c r="W13" s="29" t="inlineStr">
        <is>
          <t>Safeguard 4</t>
        </is>
      </c>
      <c r="X13" s="29" t="inlineStr">
        <is>
          <t>IPL? 4</t>
        </is>
      </c>
      <c r="Y13" s="29" t="inlineStr">
        <is>
          <t>Safeguard 5</t>
        </is>
      </c>
      <c r="Z13" s="29" t="inlineStr">
        <is>
          <t>IPL? 5</t>
        </is>
      </c>
      <c r="AA13" s="29" t="inlineStr">
        <is>
          <t>Safeguard 6</t>
        </is>
      </c>
      <c r="AB13" s="29" t="inlineStr">
        <is>
          <t>IPL? 6</t>
        </is>
      </c>
      <c r="AC13" s="7" t="inlineStr">
        <is>
          <t>Safeguards</t>
        </is>
      </c>
      <c r="AD13" s="7" t="inlineStr">
        <is>
          <t>No. of IPLs</t>
        </is>
      </c>
      <c r="AE13" s="7" t="inlineStr">
        <is>
          <t>Severity (S)</t>
        </is>
      </c>
      <c r="AF13" s="7" t="inlineStr">
        <is>
          <t>Likelihood (L)</t>
        </is>
      </c>
      <c r="AG13" s="7" t="inlineStr">
        <is>
          <t>Risk score</t>
        </is>
      </c>
      <c r="AH13" s="7" t="inlineStr">
        <is>
          <t>Risk rank</t>
        </is>
      </c>
      <c r="AI13" s="7" t="inlineStr">
        <is>
          <t>Recommendations / actions</t>
        </is>
      </c>
      <c r="AJ13" s="7" t="inlineStr">
        <is>
          <t>Action by</t>
        </is>
      </c>
    </row>
    <row r="14">
      <c r="A14" s="30">
        <f>IF(B14="","",COUNTIF(B$14:B14,"?*"))</f>
        <v/>
      </c>
      <c r="B14" s="4" t="n"/>
      <c r="C14" s="19" t="n"/>
      <c r="D14" s="5">
        <f>IF(OR(B14="",C14=""),"",UPPER(LEFT(C14,1))&amp;LOWER(MID(C14,2,30))&amp;" "&amp;LOWER(LEFT(B14,1))&amp;MID(B14,2,200))</f>
        <v/>
      </c>
      <c r="E14" s="4" t="n"/>
      <c r="F14" s="4" t="n"/>
      <c r="G14" s="4" t="n"/>
      <c r="H14" s="4" t="n"/>
      <c r="I14" s="4" t="n"/>
      <c r="J14" s="4" t="n"/>
      <c r="K14" s="5">
        <f>_xlfn.TEXTJOIN(CHAR(10),TRUE,IF(E14="","","• "&amp;E14),IF(F14="","","• "&amp;F14),IF(G14="","","• "&amp;G14),IF(H14="","","• "&amp;H14),IF(I14="","","• "&amp;I14),IF(J14="","","• "&amp;J14))</f>
        <v/>
      </c>
      <c r="L14" s="4" t="n"/>
      <c r="M14" s="19" t="n"/>
      <c r="N14" s="19" t="n"/>
      <c r="O14" s="30">
        <f>IF(OR(M14="",N14=""),"",INDEX(RiskGrid,6-VALUE(LEFT(M14,1)),VALUE(LEFT(N14,1))))</f>
        <v/>
      </c>
      <c r="P14" s="30">
        <f>IF(O14="","",IF(O14&gt;=BandVH,"Very High",IF(O14&gt;=BandHigh,"High",IF(O14&gt;=BandMed,"Medium","Low"))))</f>
        <v/>
      </c>
      <c r="Q14" s="4" t="n"/>
      <c r="R14" s="19" t="n"/>
      <c r="S14" s="4" t="n"/>
      <c r="T14" s="19" t="n"/>
      <c r="U14" s="4" t="n"/>
      <c r="V14" s="19" t="n"/>
      <c r="W14" s="4" t="n"/>
      <c r="X14" s="19" t="n"/>
      <c r="Y14" s="4" t="n"/>
      <c r="Z14" s="19" t="n"/>
      <c r="AA14" s="4" t="n"/>
      <c r="AB14" s="19" t="n"/>
      <c r="AC14" s="5">
        <f>_xlfn.TEXTJOIN(CHAR(10),TRUE,IF(Q14="","","• "&amp;Q14&amp;IF(R14="Yes","  [IPL]","")),IF(S14="","","• "&amp;S14&amp;IF(T14="Yes","  [IPL]","")),IF(U14="","","• "&amp;U14&amp;IF(V14="Yes","  [IPL]","")),IF(W14="","","• "&amp;W14&amp;IF(X14="Yes","  [IPL]","")),IF(Y14="","","• "&amp;Y14&amp;IF(Z14="Yes","  [IPL]","")),IF(AA14="","","• "&amp;AA14&amp;IF(AB14="Yes","  [IPL]","")))</f>
        <v/>
      </c>
      <c r="AD14" s="30">
        <f>IF(AC14="","",COUNTIF(Q14:AB14,"Yes"))</f>
        <v/>
      </c>
      <c r="AE14" s="19" t="n"/>
      <c r="AF14" s="19" t="n"/>
      <c r="AG14" s="30">
        <f>IF(OR(AE14="",AF14=""),"",INDEX(RiskGrid,6-VALUE(LEFT(AE14,1)),VALUE(LEFT(AF14,1))))</f>
        <v/>
      </c>
      <c r="AH14" s="30">
        <f>IF(AG14="","",IF(AG14&gt;=BandVH,"Very High",IF(AG14&gt;=BandHigh,"High",IF(AG14&gt;=BandMed,"Medium","Low"))))</f>
        <v/>
      </c>
      <c r="AI14" s="4" t="n"/>
      <c r="AJ14" s="4" t="n"/>
    </row>
    <row r="15">
      <c r="A15" s="30">
        <f>IF(B15="","",COUNTIF(B$14:B15,"?*"))</f>
        <v/>
      </c>
      <c r="B15" s="4" t="n"/>
      <c r="C15" s="19" t="n"/>
      <c r="D15" s="5">
        <f>IF(OR(B15="",C15=""),"",UPPER(LEFT(C15,1))&amp;LOWER(MID(C15,2,30))&amp;" "&amp;LOWER(LEFT(B15,1))&amp;MID(B15,2,200))</f>
        <v/>
      </c>
      <c r="E15" s="4" t="n"/>
      <c r="F15" s="4" t="n"/>
      <c r="G15" s="4" t="n"/>
      <c r="H15" s="4" t="n"/>
      <c r="I15" s="4" t="n"/>
      <c r="J15" s="4" t="n"/>
      <c r="K15" s="5">
        <f>_xlfn.TEXTJOIN(CHAR(10),TRUE,IF(E15="","","• "&amp;E15),IF(F15="","","• "&amp;F15),IF(G15="","","• "&amp;G15),IF(H15="","","• "&amp;H15),IF(I15="","","• "&amp;I15),IF(J15="","","• "&amp;J15))</f>
        <v/>
      </c>
      <c r="L15" s="4" t="n"/>
      <c r="M15" s="19" t="n"/>
      <c r="N15" s="19" t="n"/>
      <c r="O15" s="30">
        <f>IF(OR(M15="",N15=""),"",INDEX(RiskGrid,6-VALUE(LEFT(M15,1)),VALUE(LEFT(N15,1))))</f>
        <v/>
      </c>
      <c r="P15" s="30">
        <f>IF(O15="","",IF(O15&gt;=BandVH,"Very High",IF(O15&gt;=BandHigh,"High",IF(O15&gt;=BandMed,"Medium","Low"))))</f>
        <v/>
      </c>
      <c r="Q15" s="4" t="n"/>
      <c r="R15" s="19" t="n"/>
      <c r="S15" s="4" t="n"/>
      <c r="T15" s="19" t="n"/>
      <c r="U15" s="4" t="n"/>
      <c r="V15" s="19" t="n"/>
      <c r="W15" s="4" t="n"/>
      <c r="X15" s="19" t="n"/>
      <c r="Y15" s="4" t="n"/>
      <c r="Z15" s="19" t="n"/>
      <c r="AA15" s="4" t="n"/>
      <c r="AB15" s="19" t="n"/>
      <c r="AC15" s="5">
        <f>_xlfn.TEXTJOIN(CHAR(10),TRUE,IF(Q15="","","• "&amp;Q15&amp;IF(R15="Yes","  [IPL]","")),IF(S15="","","• "&amp;S15&amp;IF(T15="Yes","  [IPL]","")),IF(U15="","","• "&amp;U15&amp;IF(V15="Yes","  [IPL]","")),IF(W15="","","• "&amp;W15&amp;IF(X15="Yes","  [IPL]","")),IF(Y15="","","• "&amp;Y15&amp;IF(Z15="Yes","  [IPL]","")),IF(AA15="","","• "&amp;AA15&amp;IF(AB15="Yes","  [IPL]","")))</f>
        <v/>
      </c>
      <c r="AD15" s="30">
        <f>IF(AC15="","",COUNTIF(Q15:AB15,"Yes"))</f>
        <v/>
      </c>
      <c r="AE15" s="19" t="n"/>
      <c r="AF15" s="19" t="n"/>
      <c r="AG15" s="30">
        <f>IF(OR(AE15="",AF15=""),"",INDEX(RiskGrid,6-VALUE(LEFT(AE15,1)),VALUE(LEFT(AF15,1))))</f>
        <v/>
      </c>
      <c r="AH15" s="30">
        <f>IF(AG15="","",IF(AG15&gt;=BandVH,"Very High",IF(AG15&gt;=BandHigh,"High",IF(AG15&gt;=BandMed,"Medium","Low"))))</f>
        <v/>
      </c>
      <c r="AI15" s="4" t="n"/>
      <c r="AJ15" s="4" t="n"/>
    </row>
    <row r="16">
      <c r="A16" s="30">
        <f>IF(B16="","",COUNTIF(B$14:B16,"?*"))</f>
        <v/>
      </c>
      <c r="B16" s="4" t="n"/>
      <c r="C16" s="19" t="n"/>
      <c r="D16" s="5">
        <f>IF(OR(B16="",C16=""),"",UPPER(LEFT(C16,1))&amp;LOWER(MID(C16,2,30))&amp;" "&amp;LOWER(LEFT(B16,1))&amp;MID(B16,2,200))</f>
        <v/>
      </c>
      <c r="E16" s="4" t="n"/>
      <c r="F16" s="4" t="n"/>
      <c r="G16" s="4" t="n"/>
      <c r="H16" s="4" t="n"/>
      <c r="I16" s="4" t="n"/>
      <c r="J16" s="4" t="n"/>
      <c r="K16" s="5">
        <f>_xlfn.TEXTJOIN(CHAR(10),TRUE,IF(E16="","","• "&amp;E16),IF(F16="","","• "&amp;F16),IF(G16="","","• "&amp;G16),IF(H16="","","• "&amp;H16),IF(I16="","","• "&amp;I16),IF(J16="","","• "&amp;J16))</f>
        <v/>
      </c>
      <c r="L16" s="4" t="n"/>
      <c r="M16" s="19" t="n"/>
      <c r="N16" s="19" t="n"/>
      <c r="O16" s="30">
        <f>IF(OR(M16="",N16=""),"",INDEX(RiskGrid,6-VALUE(LEFT(M16,1)),VALUE(LEFT(N16,1))))</f>
        <v/>
      </c>
      <c r="P16" s="30">
        <f>IF(O16="","",IF(O16&gt;=BandVH,"Very High",IF(O16&gt;=BandHigh,"High",IF(O16&gt;=BandMed,"Medium","Low"))))</f>
        <v/>
      </c>
      <c r="Q16" s="4" t="n"/>
      <c r="R16" s="19" t="n"/>
      <c r="S16" s="4" t="n"/>
      <c r="T16" s="19" t="n"/>
      <c r="U16" s="4" t="n"/>
      <c r="V16" s="19" t="n"/>
      <c r="W16" s="4" t="n"/>
      <c r="X16" s="19" t="n"/>
      <c r="Y16" s="4" t="n"/>
      <c r="Z16" s="19" t="n"/>
      <c r="AA16" s="4" t="n"/>
      <c r="AB16" s="19" t="n"/>
      <c r="AC16" s="5">
        <f>_xlfn.TEXTJOIN(CHAR(10),TRUE,IF(Q16="","","• "&amp;Q16&amp;IF(R16="Yes","  [IPL]","")),IF(S16="","","• "&amp;S16&amp;IF(T16="Yes","  [IPL]","")),IF(U16="","","• "&amp;U16&amp;IF(V16="Yes","  [IPL]","")),IF(W16="","","• "&amp;W16&amp;IF(X16="Yes","  [IPL]","")),IF(Y16="","","• "&amp;Y16&amp;IF(Z16="Yes","  [IPL]","")),IF(AA16="","","• "&amp;AA16&amp;IF(AB16="Yes","  [IPL]","")))</f>
        <v/>
      </c>
      <c r="AD16" s="30">
        <f>IF(AC16="","",COUNTIF(Q16:AB16,"Yes"))</f>
        <v/>
      </c>
      <c r="AE16" s="19" t="n"/>
      <c r="AF16" s="19" t="n"/>
      <c r="AG16" s="30">
        <f>IF(OR(AE16="",AF16=""),"",INDEX(RiskGrid,6-VALUE(LEFT(AE16,1)),VALUE(LEFT(AF16,1))))</f>
        <v/>
      </c>
      <c r="AH16" s="30">
        <f>IF(AG16="","",IF(AG16&gt;=BandVH,"Very High",IF(AG16&gt;=BandHigh,"High",IF(AG16&gt;=BandMed,"Medium","Low"))))</f>
        <v/>
      </c>
      <c r="AI16" s="4" t="n"/>
      <c r="AJ16" s="4" t="n"/>
    </row>
    <row r="17">
      <c r="A17" s="30">
        <f>IF(B17="","",COUNTIF(B$14:B17,"?*"))</f>
        <v/>
      </c>
      <c r="B17" s="4" t="n"/>
      <c r="C17" s="19" t="n"/>
      <c r="D17" s="5">
        <f>IF(OR(B17="",C17=""),"",UPPER(LEFT(C17,1))&amp;LOWER(MID(C17,2,30))&amp;" "&amp;LOWER(LEFT(B17,1))&amp;MID(B17,2,200))</f>
        <v/>
      </c>
      <c r="E17" s="4" t="n"/>
      <c r="F17" s="4" t="n"/>
      <c r="G17" s="4" t="n"/>
      <c r="H17" s="4" t="n"/>
      <c r="I17" s="4" t="n"/>
      <c r="J17" s="4" t="n"/>
      <c r="K17" s="5">
        <f>_xlfn.TEXTJOIN(CHAR(10),TRUE,IF(E17="","","• "&amp;E17),IF(F17="","","• "&amp;F17),IF(G17="","","• "&amp;G17),IF(H17="","","• "&amp;H17),IF(I17="","","• "&amp;I17),IF(J17="","","• "&amp;J17))</f>
        <v/>
      </c>
      <c r="L17" s="4" t="n"/>
      <c r="M17" s="19" t="n"/>
      <c r="N17" s="19" t="n"/>
      <c r="O17" s="30">
        <f>IF(OR(M17="",N17=""),"",INDEX(RiskGrid,6-VALUE(LEFT(M17,1)),VALUE(LEFT(N17,1))))</f>
        <v/>
      </c>
      <c r="P17" s="30">
        <f>IF(O17="","",IF(O17&gt;=BandVH,"Very High",IF(O17&gt;=BandHigh,"High",IF(O17&gt;=BandMed,"Medium","Low"))))</f>
        <v/>
      </c>
      <c r="Q17" s="4" t="n"/>
      <c r="R17" s="19" t="n"/>
      <c r="S17" s="4" t="n"/>
      <c r="T17" s="19" t="n"/>
      <c r="U17" s="4" t="n"/>
      <c r="V17" s="19" t="n"/>
      <c r="W17" s="4" t="n"/>
      <c r="X17" s="19" t="n"/>
      <c r="Y17" s="4" t="n"/>
      <c r="Z17" s="19" t="n"/>
      <c r="AA17" s="4" t="n"/>
      <c r="AB17" s="19" t="n"/>
      <c r="AC17" s="5">
        <f>_xlfn.TEXTJOIN(CHAR(10),TRUE,IF(Q17="","","• "&amp;Q17&amp;IF(R17="Yes","  [IPL]","")),IF(S17="","","• "&amp;S17&amp;IF(T17="Yes","  [IPL]","")),IF(U17="","","• "&amp;U17&amp;IF(V17="Yes","  [IPL]","")),IF(W17="","","• "&amp;W17&amp;IF(X17="Yes","  [IPL]","")),IF(Y17="","","• "&amp;Y17&amp;IF(Z17="Yes","  [IPL]","")),IF(AA17="","","• "&amp;AA17&amp;IF(AB17="Yes","  [IPL]","")))</f>
        <v/>
      </c>
      <c r="AD17" s="30">
        <f>IF(AC17="","",COUNTIF(Q17:AB17,"Yes"))</f>
        <v/>
      </c>
      <c r="AE17" s="19" t="n"/>
      <c r="AF17" s="19" t="n"/>
      <c r="AG17" s="30">
        <f>IF(OR(AE17="",AF17=""),"",INDEX(RiskGrid,6-VALUE(LEFT(AE17,1)),VALUE(LEFT(AF17,1))))</f>
        <v/>
      </c>
      <c r="AH17" s="30">
        <f>IF(AG17="","",IF(AG17&gt;=BandVH,"Very High",IF(AG17&gt;=BandHigh,"High",IF(AG17&gt;=BandMed,"Medium","Low"))))</f>
        <v/>
      </c>
      <c r="AI17" s="4" t="n"/>
      <c r="AJ17" s="4" t="n"/>
    </row>
    <row r="18">
      <c r="A18" s="30">
        <f>IF(B18="","",COUNTIF(B$14:B18,"?*"))</f>
        <v/>
      </c>
      <c r="B18" s="4" t="n"/>
      <c r="C18" s="19" t="n"/>
      <c r="D18" s="5">
        <f>IF(OR(B18="",C18=""),"",UPPER(LEFT(C18,1))&amp;LOWER(MID(C18,2,30))&amp;" "&amp;LOWER(LEFT(B18,1))&amp;MID(B18,2,200))</f>
        <v/>
      </c>
      <c r="E18" s="4" t="n"/>
      <c r="F18" s="4" t="n"/>
      <c r="G18" s="4" t="n"/>
      <c r="H18" s="4" t="n"/>
      <c r="I18" s="4" t="n"/>
      <c r="J18" s="4" t="n"/>
      <c r="K18" s="5">
        <f>_xlfn.TEXTJOIN(CHAR(10),TRUE,IF(E18="","","• "&amp;E18),IF(F18="","","• "&amp;F18),IF(G18="","","• "&amp;G18),IF(H18="","","• "&amp;H18),IF(I18="","","• "&amp;I18),IF(J18="","","• "&amp;J18))</f>
        <v/>
      </c>
      <c r="L18" s="4" t="n"/>
      <c r="M18" s="19" t="n"/>
      <c r="N18" s="19" t="n"/>
      <c r="O18" s="30">
        <f>IF(OR(M18="",N18=""),"",INDEX(RiskGrid,6-VALUE(LEFT(M18,1)),VALUE(LEFT(N18,1))))</f>
        <v/>
      </c>
      <c r="P18" s="30">
        <f>IF(O18="","",IF(O18&gt;=BandVH,"Very High",IF(O18&gt;=BandHigh,"High",IF(O18&gt;=BandMed,"Medium","Low"))))</f>
        <v/>
      </c>
      <c r="Q18" s="4" t="n"/>
      <c r="R18" s="19" t="n"/>
      <c r="S18" s="4" t="n"/>
      <c r="T18" s="19" t="n"/>
      <c r="U18" s="4" t="n"/>
      <c r="V18" s="19" t="n"/>
      <c r="W18" s="4" t="n"/>
      <c r="X18" s="19" t="n"/>
      <c r="Y18" s="4" t="n"/>
      <c r="Z18" s="19" t="n"/>
      <c r="AA18" s="4" t="n"/>
      <c r="AB18" s="19" t="n"/>
      <c r="AC18" s="5">
        <f>_xlfn.TEXTJOIN(CHAR(10),TRUE,IF(Q18="","","• "&amp;Q18&amp;IF(R18="Yes","  [IPL]","")),IF(S18="","","• "&amp;S18&amp;IF(T18="Yes","  [IPL]","")),IF(U18="","","• "&amp;U18&amp;IF(V18="Yes","  [IPL]","")),IF(W18="","","• "&amp;W18&amp;IF(X18="Yes","  [IPL]","")),IF(Y18="","","• "&amp;Y18&amp;IF(Z18="Yes","  [IPL]","")),IF(AA18="","","• "&amp;AA18&amp;IF(AB18="Yes","  [IPL]","")))</f>
        <v/>
      </c>
      <c r="AD18" s="30">
        <f>IF(AC18="","",COUNTIF(Q18:AB18,"Yes"))</f>
        <v/>
      </c>
      <c r="AE18" s="19" t="n"/>
      <c r="AF18" s="19" t="n"/>
      <c r="AG18" s="30">
        <f>IF(OR(AE18="",AF18=""),"",INDEX(RiskGrid,6-VALUE(LEFT(AE18,1)),VALUE(LEFT(AF18,1))))</f>
        <v/>
      </c>
      <c r="AH18" s="30">
        <f>IF(AG18="","",IF(AG18&gt;=BandVH,"Very High",IF(AG18&gt;=BandHigh,"High",IF(AG18&gt;=BandMed,"Medium","Low"))))</f>
        <v/>
      </c>
      <c r="AI18" s="4" t="n"/>
      <c r="AJ18" s="4" t="n"/>
    </row>
    <row r="19">
      <c r="A19" s="30">
        <f>IF(B19="","",COUNTIF(B$14:B19,"?*"))</f>
        <v/>
      </c>
      <c r="B19" s="4" t="n"/>
      <c r="C19" s="19" t="n"/>
      <c r="D19" s="5">
        <f>IF(OR(B19="",C19=""),"",UPPER(LEFT(C19,1))&amp;LOWER(MID(C19,2,30))&amp;" "&amp;LOWER(LEFT(B19,1))&amp;MID(B19,2,200))</f>
        <v/>
      </c>
      <c r="E19" s="4" t="n"/>
      <c r="F19" s="4" t="n"/>
      <c r="G19" s="4" t="n"/>
      <c r="H19" s="4" t="n"/>
      <c r="I19" s="4" t="n"/>
      <c r="J19" s="4" t="n"/>
      <c r="K19" s="5">
        <f>_xlfn.TEXTJOIN(CHAR(10),TRUE,IF(E19="","","• "&amp;E19),IF(F19="","","• "&amp;F19),IF(G19="","","• "&amp;G19),IF(H19="","","• "&amp;H19),IF(I19="","","• "&amp;I19),IF(J19="","","• "&amp;J19))</f>
        <v/>
      </c>
      <c r="L19" s="4" t="n"/>
      <c r="M19" s="19" t="n"/>
      <c r="N19" s="19" t="n"/>
      <c r="O19" s="30">
        <f>IF(OR(M19="",N19=""),"",INDEX(RiskGrid,6-VALUE(LEFT(M19,1)),VALUE(LEFT(N19,1))))</f>
        <v/>
      </c>
      <c r="P19" s="30">
        <f>IF(O19="","",IF(O19&gt;=BandVH,"Very High",IF(O19&gt;=BandHigh,"High",IF(O19&gt;=BandMed,"Medium","Low"))))</f>
        <v/>
      </c>
      <c r="Q19" s="4" t="n"/>
      <c r="R19" s="19" t="n"/>
      <c r="S19" s="4" t="n"/>
      <c r="T19" s="19" t="n"/>
      <c r="U19" s="4" t="n"/>
      <c r="V19" s="19" t="n"/>
      <c r="W19" s="4" t="n"/>
      <c r="X19" s="19" t="n"/>
      <c r="Y19" s="4" t="n"/>
      <c r="Z19" s="19" t="n"/>
      <c r="AA19" s="4" t="n"/>
      <c r="AB19" s="19" t="n"/>
      <c r="AC19" s="5">
        <f>_xlfn.TEXTJOIN(CHAR(10),TRUE,IF(Q19="","","• "&amp;Q19&amp;IF(R19="Yes","  [IPL]","")),IF(S19="","","• "&amp;S19&amp;IF(T19="Yes","  [IPL]","")),IF(U19="","","• "&amp;U19&amp;IF(V19="Yes","  [IPL]","")),IF(W19="","","• "&amp;W19&amp;IF(X19="Yes","  [IPL]","")),IF(Y19="","","• "&amp;Y19&amp;IF(Z19="Yes","  [IPL]","")),IF(AA19="","","• "&amp;AA19&amp;IF(AB19="Yes","  [IPL]","")))</f>
        <v/>
      </c>
      <c r="AD19" s="30">
        <f>IF(AC19="","",COUNTIF(Q19:AB19,"Yes"))</f>
        <v/>
      </c>
      <c r="AE19" s="19" t="n"/>
      <c r="AF19" s="19" t="n"/>
      <c r="AG19" s="30">
        <f>IF(OR(AE19="",AF19=""),"",INDEX(RiskGrid,6-VALUE(LEFT(AE19,1)),VALUE(LEFT(AF19,1))))</f>
        <v/>
      </c>
      <c r="AH19" s="30">
        <f>IF(AG19="","",IF(AG19&gt;=BandVH,"Very High",IF(AG19&gt;=BandHigh,"High",IF(AG19&gt;=BandMed,"Medium","Low"))))</f>
        <v/>
      </c>
      <c r="AI19" s="4" t="n"/>
      <c r="AJ19" s="4" t="n"/>
    </row>
    <row r="20">
      <c r="A20" s="30">
        <f>IF(B20="","",COUNTIF(B$14:B20,"?*"))</f>
        <v/>
      </c>
      <c r="B20" s="4" t="n"/>
      <c r="C20" s="19" t="n"/>
      <c r="D20" s="5">
        <f>IF(OR(B20="",C20=""),"",UPPER(LEFT(C20,1))&amp;LOWER(MID(C20,2,30))&amp;" "&amp;LOWER(LEFT(B20,1))&amp;MID(B20,2,200))</f>
        <v/>
      </c>
      <c r="E20" s="4" t="n"/>
      <c r="F20" s="4" t="n"/>
      <c r="G20" s="4" t="n"/>
      <c r="H20" s="4" t="n"/>
      <c r="I20" s="4" t="n"/>
      <c r="J20" s="4" t="n"/>
      <c r="K20" s="5">
        <f>_xlfn.TEXTJOIN(CHAR(10),TRUE,IF(E20="","","• "&amp;E20),IF(F20="","","• "&amp;F20),IF(G20="","","• "&amp;G20),IF(H20="","","• "&amp;H20),IF(I20="","","• "&amp;I20),IF(J20="","","• "&amp;J20))</f>
        <v/>
      </c>
      <c r="L20" s="4" t="n"/>
      <c r="M20" s="19" t="n"/>
      <c r="N20" s="19" t="n"/>
      <c r="O20" s="30">
        <f>IF(OR(M20="",N20=""),"",INDEX(RiskGrid,6-VALUE(LEFT(M20,1)),VALUE(LEFT(N20,1))))</f>
        <v/>
      </c>
      <c r="P20" s="30">
        <f>IF(O20="","",IF(O20&gt;=BandVH,"Very High",IF(O20&gt;=BandHigh,"High",IF(O20&gt;=BandMed,"Medium","Low"))))</f>
        <v/>
      </c>
      <c r="Q20" s="4" t="n"/>
      <c r="R20" s="19" t="n"/>
      <c r="S20" s="4" t="n"/>
      <c r="T20" s="19" t="n"/>
      <c r="U20" s="4" t="n"/>
      <c r="V20" s="19" t="n"/>
      <c r="W20" s="4" t="n"/>
      <c r="X20" s="19" t="n"/>
      <c r="Y20" s="4" t="n"/>
      <c r="Z20" s="19" t="n"/>
      <c r="AA20" s="4" t="n"/>
      <c r="AB20" s="19" t="n"/>
      <c r="AC20" s="5">
        <f>_xlfn.TEXTJOIN(CHAR(10),TRUE,IF(Q20="","","• "&amp;Q20&amp;IF(R20="Yes","  [IPL]","")),IF(S20="","","• "&amp;S20&amp;IF(T20="Yes","  [IPL]","")),IF(U20="","","• "&amp;U20&amp;IF(V20="Yes","  [IPL]","")),IF(W20="","","• "&amp;W20&amp;IF(X20="Yes","  [IPL]","")),IF(Y20="","","• "&amp;Y20&amp;IF(Z20="Yes","  [IPL]","")),IF(AA20="","","• "&amp;AA20&amp;IF(AB20="Yes","  [IPL]","")))</f>
        <v/>
      </c>
      <c r="AD20" s="30">
        <f>IF(AC20="","",COUNTIF(Q20:AB20,"Yes"))</f>
        <v/>
      </c>
      <c r="AE20" s="19" t="n"/>
      <c r="AF20" s="19" t="n"/>
      <c r="AG20" s="30">
        <f>IF(OR(AE20="",AF20=""),"",INDEX(RiskGrid,6-VALUE(LEFT(AE20,1)),VALUE(LEFT(AF20,1))))</f>
        <v/>
      </c>
      <c r="AH20" s="30">
        <f>IF(AG20="","",IF(AG20&gt;=BandVH,"Very High",IF(AG20&gt;=BandHigh,"High",IF(AG20&gt;=BandMed,"Medium","Low"))))</f>
        <v/>
      </c>
      <c r="AI20" s="4" t="n"/>
      <c r="AJ20" s="4" t="n"/>
    </row>
    <row r="21">
      <c r="A21" s="30">
        <f>IF(B21="","",COUNTIF(B$14:B21,"?*"))</f>
        <v/>
      </c>
      <c r="B21" s="4" t="n"/>
      <c r="C21" s="19" t="n"/>
      <c r="D21" s="5">
        <f>IF(OR(B21="",C21=""),"",UPPER(LEFT(C21,1))&amp;LOWER(MID(C21,2,30))&amp;" "&amp;LOWER(LEFT(B21,1))&amp;MID(B21,2,200))</f>
        <v/>
      </c>
      <c r="E21" s="4" t="n"/>
      <c r="F21" s="4" t="n"/>
      <c r="G21" s="4" t="n"/>
      <c r="H21" s="4" t="n"/>
      <c r="I21" s="4" t="n"/>
      <c r="J21" s="4" t="n"/>
      <c r="K21" s="5">
        <f>_xlfn.TEXTJOIN(CHAR(10),TRUE,IF(E21="","","• "&amp;E21),IF(F21="","","• "&amp;F21),IF(G21="","","• "&amp;G21),IF(H21="","","• "&amp;H21),IF(I21="","","• "&amp;I21),IF(J21="","","• "&amp;J21))</f>
        <v/>
      </c>
      <c r="L21" s="4" t="n"/>
      <c r="M21" s="19" t="n"/>
      <c r="N21" s="19" t="n"/>
      <c r="O21" s="30">
        <f>IF(OR(M21="",N21=""),"",INDEX(RiskGrid,6-VALUE(LEFT(M21,1)),VALUE(LEFT(N21,1))))</f>
        <v/>
      </c>
      <c r="P21" s="30">
        <f>IF(O21="","",IF(O21&gt;=BandVH,"Very High",IF(O21&gt;=BandHigh,"High",IF(O21&gt;=BandMed,"Medium","Low"))))</f>
        <v/>
      </c>
      <c r="Q21" s="4" t="n"/>
      <c r="R21" s="19" t="n"/>
      <c r="S21" s="4" t="n"/>
      <c r="T21" s="19" t="n"/>
      <c r="U21" s="4" t="n"/>
      <c r="V21" s="19" t="n"/>
      <c r="W21" s="4" t="n"/>
      <c r="X21" s="19" t="n"/>
      <c r="Y21" s="4" t="n"/>
      <c r="Z21" s="19" t="n"/>
      <c r="AA21" s="4" t="n"/>
      <c r="AB21" s="19" t="n"/>
      <c r="AC21" s="5">
        <f>_xlfn.TEXTJOIN(CHAR(10),TRUE,IF(Q21="","","• "&amp;Q21&amp;IF(R21="Yes","  [IPL]","")),IF(S21="","","• "&amp;S21&amp;IF(T21="Yes","  [IPL]","")),IF(U21="","","• "&amp;U21&amp;IF(V21="Yes","  [IPL]","")),IF(W21="","","• "&amp;W21&amp;IF(X21="Yes","  [IPL]","")),IF(Y21="","","• "&amp;Y21&amp;IF(Z21="Yes","  [IPL]","")),IF(AA21="","","• "&amp;AA21&amp;IF(AB21="Yes","  [IPL]","")))</f>
        <v/>
      </c>
      <c r="AD21" s="30">
        <f>IF(AC21="","",COUNTIF(Q21:AB21,"Yes"))</f>
        <v/>
      </c>
      <c r="AE21" s="19" t="n"/>
      <c r="AF21" s="19" t="n"/>
      <c r="AG21" s="30">
        <f>IF(OR(AE21="",AF21=""),"",INDEX(RiskGrid,6-VALUE(LEFT(AE21,1)),VALUE(LEFT(AF21,1))))</f>
        <v/>
      </c>
      <c r="AH21" s="30">
        <f>IF(AG21="","",IF(AG21&gt;=BandVH,"Very High",IF(AG21&gt;=BandHigh,"High",IF(AG21&gt;=BandMed,"Medium","Low"))))</f>
        <v/>
      </c>
      <c r="AI21" s="4" t="n"/>
      <c r="AJ21" s="4" t="n"/>
    </row>
    <row r="22">
      <c r="A22" s="30">
        <f>IF(B22="","",COUNTIF(B$14:B22,"?*"))</f>
        <v/>
      </c>
      <c r="B22" s="4" t="n"/>
      <c r="C22" s="19" t="n"/>
      <c r="D22" s="5">
        <f>IF(OR(B22="",C22=""),"",UPPER(LEFT(C22,1))&amp;LOWER(MID(C22,2,30))&amp;" "&amp;LOWER(LEFT(B22,1))&amp;MID(B22,2,200))</f>
        <v/>
      </c>
      <c r="E22" s="4" t="n"/>
      <c r="F22" s="4" t="n"/>
      <c r="G22" s="4" t="n"/>
      <c r="H22" s="4" t="n"/>
      <c r="I22" s="4" t="n"/>
      <c r="J22" s="4" t="n"/>
      <c r="K22" s="5">
        <f>_xlfn.TEXTJOIN(CHAR(10),TRUE,IF(E22="","","• "&amp;E22),IF(F22="","","• "&amp;F22),IF(G22="","","• "&amp;G22),IF(H22="","","• "&amp;H22),IF(I22="","","• "&amp;I22),IF(J22="","","• "&amp;J22))</f>
        <v/>
      </c>
      <c r="L22" s="4" t="n"/>
      <c r="M22" s="19" t="n"/>
      <c r="N22" s="19" t="n"/>
      <c r="O22" s="30">
        <f>IF(OR(M22="",N22=""),"",INDEX(RiskGrid,6-VALUE(LEFT(M22,1)),VALUE(LEFT(N22,1))))</f>
        <v/>
      </c>
      <c r="P22" s="30">
        <f>IF(O22="","",IF(O22&gt;=BandVH,"Very High",IF(O22&gt;=BandHigh,"High",IF(O22&gt;=BandMed,"Medium","Low"))))</f>
        <v/>
      </c>
      <c r="Q22" s="4" t="n"/>
      <c r="R22" s="19" t="n"/>
      <c r="S22" s="4" t="n"/>
      <c r="T22" s="19" t="n"/>
      <c r="U22" s="4" t="n"/>
      <c r="V22" s="19" t="n"/>
      <c r="W22" s="4" t="n"/>
      <c r="X22" s="19" t="n"/>
      <c r="Y22" s="4" t="n"/>
      <c r="Z22" s="19" t="n"/>
      <c r="AA22" s="4" t="n"/>
      <c r="AB22" s="19" t="n"/>
      <c r="AC22" s="5">
        <f>_xlfn.TEXTJOIN(CHAR(10),TRUE,IF(Q22="","","• "&amp;Q22&amp;IF(R22="Yes","  [IPL]","")),IF(S22="","","• "&amp;S22&amp;IF(T22="Yes","  [IPL]","")),IF(U22="","","• "&amp;U22&amp;IF(V22="Yes","  [IPL]","")),IF(W22="","","• "&amp;W22&amp;IF(X22="Yes","  [IPL]","")),IF(Y22="","","• "&amp;Y22&amp;IF(Z22="Yes","  [IPL]","")),IF(AA22="","","• "&amp;AA22&amp;IF(AB22="Yes","  [IPL]","")))</f>
        <v/>
      </c>
      <c r="AD22" s="30">
        <f>IF(AC22="","",COUNTIF(Q22:AB22,"Yes"))</f>
        <v/>
      </c>
      <c r="AE22" s="19" t="n"/>
      <c r="AF22" s="19" t="n"/>
      <c r="AG22" s="30">
        <f>IF(OR(AE22="",AF22=""),"",INDEX(RiskGrid,6-VALUE(LEFT(AE22,1)),VALUE(LEFT(AF22,1))))</f>
        <v/>
      </c>
      <c r="AH22" s="30">
        <f>IF(AG22="","",IF(AG22&gt;=BandVH,"Very High",IF(AG22&gt;=BandHigh,"High",IF(AG22&gt;=BandMed,"Medium","Low"))))</f>
        <v/>
      </c>
      <c r="AI22" s="4" t="n"/>
      <c r="AJ22" s="4" t="n"/>
    </row>
    <row r="23">
      <c r="A23" s="30">
        <f>IF(B23="","",COUNTIF(B$14:B23,"?*"))</f>
        <v/>
      </c>
      <c r="B23" s="4" t="n"/>
      <c r="C23" s="19" t="n"/>
      <c r="D23" s="5">
        <f>IF(OR(B23="",C23=""),"",UPPER(LEFT(C23,1))&amp;LOWER(MID(C23,2,30))&amp;" "&amp;LOWER(LEFT(B23,1))&amp;MID(B23,2,200))</f>
        <v/>
      </c>
      <c r="E23" s="4" t="n"/>
      <c r="F23" s="4" t="n"/>
      <c r="G23" s="4" t="n"/>
      <c r="H23" s="4" t="n"/>
      <c r="I23" s="4" t="n"/>
      <c r="J23" s="4" t="n"/>
      <c r="K23" s="5">
        <f>_xlfn.TEXTJOIN(CHAR(10),TRUE,IF(E23="","","• "&amp;E23),IF(F23="","","• "&amp;F23),IF(G23="","","• "&amp;G23),IF(H23="","","• "&amp;H23),IF(I23="","","• "&amp;I23),IF(J23="","","• "&amp;J23))</f>
        <v/>
      </c>
      <c r="L23" s="4" t="n"/>
      <c r="M23" s="19" t="n"/>
      <c r="N23" s="19" t="n"/>
      <c r="O23" s="30">
        <f>IF(OR(M23="",N23=""),"",INDEX(RiskGrid,6-VALUE(LEFT(M23,1)),VALUE(LEFT(N23,1))))</f>
        <v/>
      </c>
      <c r="P23" s="30">
        <f>IF(O23="","",IF(O23&gt;=BandVH,"Very High",IF(O23&gt;=BandHigh,"High",IF(O23&gt;=BandMed,"Medium","Low"))))</f>
        <v/>
      </c>
      <c r="Q23" s="4" t="n"/>
      <c r="R23" s="19" t="n"/>
      <c r="S23" s="4" t="n"/>
      <c r="T23" s="19" t="n"/>
      <c r="U23" s="4" t="n"/>
      <c r="V23" s="19" t="n"/>
      <c r="W23" s="4" t="n"/>
      <c r="X23" s="19" t="n"/>
      <c r="Y23" s="4" t="n"/>
      <c r="Z23" s="19" t="n"/>
      <c r="AA23" s="4" t="n"/>
      <c r="AB23" s="19" t="n"/>
      <c r="AC23" s="5">
        <f>_xlfn.TEXTJOIN(CHAR(10),TRUE,IF(Q23="","","• "&amp;Q23&amp;IF(R23="Yes","  [IPL]","")),IF(S23="","","• "&amp;S23&amp;IF(T23="Yes","  [IPL]","")),IF(U23="","","• "&amp;U23&amp;IF(V23="Yes","  [IPL]","")),IF(W23="","","• "&amp;W23&amp;IF(X23="Yes","  [IPL]","")),IF(Y23="","","• "&amp;Y23&amp;IF(Z23="Yes","  [IPL]","")),IF(AA23="","","• "&amp;AA23&amp;IF(AB23="Yes","  [IPL]","")))</f>
        <v/>
      </c>
      <c r="AD23" s="30">
        <f>IF(AC23="","",COUNTIF(Q23:AB23,"Yes"))</f>
        <v/>
      </c>
      <c r="AE23" s="19" t="n"/>
      <c r="AF23" s="19" t="n"/>
      <c r="AG23" s="30">
        <f>IF(OR(AE23="",AF23=""),"",INDEX(RiskGrid,6-VALUE(LEFT(AE23,1)),VALUE(LEFT(AF23,1))))</f>
        <v/>
      </c>
      <c r="AH23" s="30">
        <f>IF(AG23="","",IF(AG23&gt;=BandVH,"Very High",IF(AG23&gt;=BandHigh,"High",IF(AG23&gt;=BandMed,"Medium","Low"))))</f>
        <v/>
      </c>
      <c r="AI23" s="4" t="n"/>
      <c r="AJ23" s="4" t="n"/>
    </row>
    <row r="24">
      <c r="A24" s="30">
        <f>IF(B24="","",COUNTIF(B$14:B24,"?*"))</f>
        <v/>
      </c>
      <c r="B24" s="4" t="n"/>
      <c r="C24" s="19" t="n"/>
      <c r="D24" s="5">
        <f>IF(OR(B24="",C24=""),"",UPPER(LEFT(C24,1))&amp;LOWER(MID(C24,2,30))&amp;" "&amp;LOWER(LEFT(B24,1))&amp;MID(B24,2,200))</f>
        <v/>
      </c>
      <c r="E24" s="4" t="n"/>
      <c r="F24" s="4" t="n"/>
      <c r="G24" s="4" t="n"/>
      <c r="H24" s="4" t="n"/>
      <c r="I24" s="4" t="n"/>
      <c r="J24" s="4" t="n"/>
      <c r="K24" s="5">
        <f>_xlfn.TEXTJOIN(CHAR(10),TRUE,IF(E24="","","• "&amp;E24),IF(F24="","","• "&amp;F24),IF(G24="","","• "&amp;G24),IF(H24="","","• "&amp;H24),IF(I24="","","• "&amp;I24),IF(J24="","","• "&amp;J24))</f>
        <v/>
      </c>
      <c r="L24" s="4" t="n"/>
      <c r="M24" s="19" t="n"/>
      <c r="N24" s="19" t="n"/>
      <c r="O24" s="30">
        <f>IF(OR(M24="",N24=""),"",INDEX(RiskGrid,6-VALUE(LEFT(M24,1)),VALUE(LEFT(N24,1))))</f>
        <v/>
      </c>
      <c r="P24" s="30">
        <f>IF(O24="","",IF(O24&gt;=BandVH,"Very High",IF(O24&gt;=BandHigh,"High",IF(O24&gt;=BandMed,"Medium","Low"))))</f>
        <v/>
      </c>
      <c r="Q24" s="4" t="n"/>
      <c r="R24" s="19" t="n"/>
      <c r="S24" s="4" t="n"/>
      <c r="T24" s="19" t="n"/>
      <c r="U24" s="4" t="n"/>
      <c r="V24" s="19" t="n"/>
      <c r="W24" s="4" t="n"/>
      <c r="X24" s="19" t="n"/>
      <c r="Y24" s="4" t="n"/>
      <c r="Z24" s="19" t="n"/>
      <c r="AA24" s="4" t="n"/>
      <c r="AB24" s="19" t="n"/>
      <c r="AC24" s="5">
        <f>_xlfn.TEXTJOIN(CHAR(10),TRUE,IF(Q24="","","• "&amp;Q24&amp;IF(R24="Yes","  [IPL]","")),IF(S24="","","• "&amp;S24&amp;IF(T24="Yes","  [IPL]","")),IF(U24="","","• "&amp;U24&amp;IF(V24="Yes","  [IPL]","")),IF(W24="","","• "&amp;W24&amp;IF(X24="Yes","  [IPL]","")),IF(Y24="","","• "&amp;Y24&amp;IF(Z24="Yes","  [IPL]","")),IF(AA24="","","• "&amp;AA24&amp;IF(AB24="Yes","  [IPL]","")))</f>
        <v/>
      </c>
      <c r="AD24" s="30">
        <f>IF(AC24="","",COUNTIF(Q24:AB24,"Yes"))</f>
        <v/>
      </c>
      <c r="AE24" s="19" t="n"/>
      <c r="AF24" s="19" t="n"/>
      <c r="AG24" s="30">
        <f>IF(OR(AE24="",AF24=""),"",INDEX(RiskGrid,6-VALUE(LEFT(AE24,1)),VALUE(LEFT(AF24,1))))</f>
        <v/>
      </c>
      <c r="AH24" s="30">
        <f>IF(AG24="","",IF(AG24&gt;=BandVH,"Very High",IF(AG24&gt;=BandHigh,"High",IF(AG24&gt;=BandMed,"Medium","Low"))))</f>
        <v/>
      </c>
      <c r="AI24" s="4" t="n"/>
      <c r="AJ24" s="4" t="n"/>
    </row>
    <row r="25">
      <c r="A25" s="30">
        <f>IF(B25="","",COUNTIF(B$14:B25,"?*"))</f>
        <v/>
      </c>
      <c r="B25" s="4" t="n"/>
      <c r="C25" s="19" t="n"/>
      <c r="D25" s="5">
        <f>IF(OR(B25="",C25=""),"",UPPER(LEFT(C25,1))&amp;LOWER(MID(C25,2,30))&amp;" "&amp;LOWER(LEFT(B25,1))&amp;MID(B25,2,200))</f>
        <v/>
      </c>
      <c r="E25" s="4" t="n"/>
      <c r="F25" s="4" t="n"/>
      <c r="G25" s="4" t="n"/>
      <c r="H25" s="4" t="n"/>
      <c r="I25" s="4" t="n"/>
      <c r="J25" s="4" t="n"/>
      <c r="K25" s="5">
        <f>_xlfn.TEXTJOIN(CHAR(10),TRUE,IF(E25="","","• "&amp;E25),IF(F25="","","• "&amp;F25),IF(G25="","","• "&amp;G25),IF(H25="","","• "&amp;H25),IF(I25="","","• "&amp;I25),IF(J25="","","• "&amp;J25))</f>
        <v/>
      </c>
      <c r="L25" s="4" t="n"/>
      <c r="M25" s="19" t="n"/>
      <c r="N25" s="19" t="n"/>
      <c r="O25" s="30">
        <f>IF(OR(M25="",N25=""),"",INDEX(RiskGrid,6-VALUE(LEFT(M25,1)),VALUE(LEFT(N25,1))))</f>
        <v/>
      </c>
      <c r="P25" s="30">
        <f>IF(O25="","",IF(O25&gt;=BandVH,"Very High",IF(O25&gt;=BandHigh,"High",IF(O25&gt;=BandMed,"Medium","Low"))))</f>
        <v/>
      </c>
      <c r="Q25" s="4" t="n"/>
      <c r="R25" s="19" t="n"/>
      <c r="S25" s="4" t="n"/>
      <c r="T25" s="19" t="n"/>
      <c r="U25" s="4" t="n"/>
      <c r="V25" s="19" t="n"/>
      <c r="W25" s="4" t="n"/>
      <c r="X25" s="19" t="n"/>
      <c r="Y25" s="4" t="n"/>
      <c r="Z25" s="19" t="n"/>
      <c r="AA25" s="4" t="n"/>
      <c r="AB25" s="19" t="n"/>
      <c r="AC25" s="5">
        <f>_xlfn.TEXTJOIN(CHAR(10),TRUE,IF(Q25="","","• "&amp;Q25&amp;IF(R25="Yes","  [IPL]","")),IF(S25="","","• "&amp;S25&amp;IF(T25="Yes","  [IPL]","")),IF(U25="","","• "&amp;U25&amp;IF(V25="Yes","  [IPL]","")),IF(W25="","","• "&amp;W25&amp;IF(X25="Yes","  [IPL]","")),IF(Y25="","","• "&amp;Y25&amp;IF(Z25="Yes","  [IPL]","")),IF(AA25="","","• "&amp;AA25&amp;IF(AB25="Yes","  [IPL]","")))</f>
        <v/>
      </c>
      <c r="AD25" s="30">
        <f>IF(AC25="","",COUNTIF(Q25:AB25,"Yes"))</f>
        <v/>
      </c>
      <c r="AE25" s="19" t="n"/>
      <c r="AF25" s="19" t="n"/>
      <c r="AG25" s="30">
        <f>IF(OR(AE25="",AF25=""),"",INDEX(RiskGrid,6-VALUE(LEFT(AE25,1)),VALUE(LEFT(AF25,1))))</f>
        <v/>
      </c>
      <c r="AH25" s="30">
        <f>IF(AG25="","",IF(AG25&gt;=BandVH,"Very High",IF(AG25&gt;=BandHigh,"High",IF(AG25&gt;=BandMed,"Medium","Low"))))</f>
        <v/>
      </c>
      <c r="AI25" s="4" t="n"/>
      <c r="AJ25" s="4" t="n"/>
    </row>
    <row r="26">
      <c r="A26" s="30">
        <f>IF(B26="","",COUNTIF(B$14:B26,"?*"))</f>
        <v/>
      </c>
      <c r="B26" s="4" t="n"/>
      <c r="C26" s="19" t="n"/>
      <c r="D26" s="5">
        <f>IF(OR(B26="",C26=""),"",UPPER(LEFT(C26,1))&amp;LOWER(MID(C26,2,30))&amp;" "&amp;LOWER(LEFT(B26,1))&amp;MID(B26,2,200))</f>
        <v/>
      </c>
      <c r="E26" s="4" t="n"/>
      <c r="F26" s="4" t="n"/>
      <c r="G26" s="4" t="n"/>
      <c r="H26" s="4" t="n"/>
      <c r="I26" s="4" t="n"/>
      <c r="J26" s="4" t="n"/>
      <c r="K26" s="5">
        <f>_xlfn.TEXTJOIN(CHAR(10),TRUE,IF(E26="","","• "&amp;E26),IF(F26="","","• "&amp;F26),IF(G26="","","• "&amp;G26),IF(H26="","","• "&amp;H26),IF(I26="","","• "&amp;I26),IF(J26="","","• "&amp;J26))</f>
        <v/>
      </c>
      <c r="L26" s="4" t="n"/>
      <c r="M26" s="19" t="n"/>
      <c r="N26" s="19" t="n"/>
      <c r="O26" s="30">
        <f>IF(OR(M26="",N26=""),"",INDEX(RiskGrid,6-VALUE(LEFT(M26,1)),VALUE(LEFT(N26,1))))</f>
        <v/>
      </c>
      <c r="P26" s="30">
        <f>IF(O26="","",IF(O26&gt;=BandVH,"Very High",IF(O26&gt;=BandHigh,"High",IF(O26&gt;=BandMed,"Medium","Low"))))</f>
        <v/>
      </c>
      <c r="Q26" s="4" t="n"/>
      <c r="R26" s="19" t="n"/>
      <c r="S26" s="4" t="n"/>
      <c r="T26" s="19" t="n"/>
      <c r="U26" s="4" t="n"/>
      <c r="V26" s="19" t="n"/>
      <c r="W26" s="4" t="n"/>
      <c r="X26" s="19" t="n"/>
      <c r="Y26" s="4" t="n"/>
      <c r="Z26" s="19" t="n"/>
      <c r="AA26" s="4" t="n"/>
      <c r="AB26" s="19" t="n"/>
      <c r="AC26" s="5">
        <f>_xlfn.TEXTJOIN(CHAR(10),TRUE,IF(Q26="","","• "&amp;Q26&amp;IF(R26="Yes","  [IPL]","")),IF(S26="","","• "&amp;S26&amp;IF(T26="Yes","  [IPL]","")),IF(U26="","","• "&amp;U26&amp;IF(V26="Yes","  [IPL]","")),IF(W26="","","• "&amp;W26&amp;IF(X26="Yes","  [IPL]","")),IF(Y26="","","• "&amp;Y26&amp;IF(Z26="Yes","  [IPL]","")),IF(AA26="","","• "&amp;AA26&amp;IF(AB26="Yes","  [IPL]","")))</f>
        <v/>
      </c>
      <c r="AD26" s="30">
        <f>IF(AC26="","",COUNTIF(Q26:AB26,"Yes"))</f>
        <v/>
      </c>
      <c r="AE26" s="19" t="n"/>
      <c r="AF26" s="19" t="n"/>
      <c r="AG26" s="30">
        <f>IF(OR(AE26="",AF26=""),"",INDEX(RiskGrid,6-VALUE(LEFT(AE26,1)),VALUE(LEFT(AF26,1))))</f>
        <v/>
      </c>
      <c r="AH26" s="30">
        <f>IF(AG26="","",IF(AG26&gt;=BandVH,"Very High",IF(AG26&gt;=BandHigh,"High",IF(AG26&gt;=BandMed,"Medium","Low"))))</f>
        <v/>
      </c>
      <c r="AI26" s="4" t="n"/>
      <c r="AJ26" s="4" t="n"/>
    </row>
    <row r="27">
      <c r="A27" s="30">
        <f>IF(B27="","",COUNTIF(B$14:B27,"?*"))</f>
        <v/>
      </c>
      <c r="B27" s="4" t="n"/>
      <c r="C27" s="19" t="n"/>
      <c r="D27" s="5">
        <f>IF(OR(B27="",C27=""),"",UPPER(LEFT(C27,1))&amp;LOWER(MID(C27,2,30))&amp;" "&amp;LOWER(LEFT(B27,1))&amp;MID(B27,2,200))</f>
        <v/>
      </c>
      <c r="E27" s="4" t="n"/>
      <c r="F27" s="4" t="n"/>
      <c r="G27" s="4" t="n"/>
      <c r="H27" s="4" t="n"/>
      <c r="I27" s="4" t="n"/>
      <c r="J27" s="4" t="n"/>
      <c r="K27" s="5">
        <f>_xlfn.TEXTJOIN(CHAR(10),TRUE,IF(E27="","","• "&amp;E27),IF(F27="","","• "&amp;F27),IF(G27="","","• "&amp;G27),IF(H27="","","• "&amp;H27),IF(I27="","","• "&amp;I27),IF(J27="","","• "&amp;J27))</f>
        <v/>
      </c>
      <c r="L27" s="4" t="n"/>
      <c r="M27" s="19" t="n"/>
      <c r="N27" s="19" t="n"/>
      <c r="O27" s="30">
        <f>IF(OR(M27="",N27=""),"",INDEX(RiskGrid,6-VALUE(LEFT(M27,1)),VALUE(LEFT(N27,1))))</f>
        <v/>
      </c>
      <c r="P27" s="30">
        <f>IF(O27="","",IF(O27&gt;=BandVH,"Very High",IF(O27&gt;=BandHigh,"High",IF(O27&gt;=BandMed,"Medium","Low"))))</f>
        <v/>
      </c>
      <c r="Q27" s="4" t="n"/>
      <c r="R27" s="19" t="n"/>
      <c r="S27" s="4" t="n"/>
      <c r="T27" s="19" t="n"/>
      <c r="U27" s="4" t="n"/>
      <c r="V27" s="19" t="n"/>
      <c r="W27" s="4" t="n"/>
      <c r="X27" s="19" t="n"/>
      <c r="Y27" s="4" t="n"/>
      <c r="Z27" s="19" t="n"/>
      <c r="AA27" s="4" t="n"/>
      <c r="AB27" s="19" t="n"/>
      <c r="AC27" s="5">
        <f>_xlfn.TEXTJOIN(CHAR(10),TRUE,IF(Q27="","","• "&amp;Q27&amp;IF(R27="Yes","  [IPL]","")),IF(S27="","","• "&amp;S27&amp;IF(T27="Yes","  [IPL]","")),IF(U27="","","• "&amp;U27&amp;IF(V27="Yes","  [IPL]","")),IF(W27="","","• "&amp;W27&amp;IF(X27="Yes","  [IPL]","")),IF(Y27="","","• "&amp;Y27&amp;IF(Z27="Yes","  [IPL]","")),IF(AA27="","","• "&amp;AA27&amp;IF(AB27="Yes","  [IPL]","")))</f>
        <v/>
      </c>
      <c r="AD27" s="30">
        <f>IF(AC27="","",COUNTIF(Q27:AB27,"Yes"))</f>
        <v/>
      </c>
      <c r="AE27" s="19" t="n"/>
      <c r="AF27" s="19" t="n"/>
      <c r="AG27" s="30">
        <f>IF(OR(AE27="",AF27=""),"",INDEX(RiskGrid,6-VALUE(LEFT(AE27,1)),VALUE(LEFT(AF27,1))))</f>
        <v/>
      </c>
      <c r="AH27" s="30">
        <f>IF(AG27="","",IF(AG27&gt;=BandVH,"Very High",IF(AG27&gt;=BandHigh,"High",IF(AG27&gt;=BandMed,"Medium","Low"))))</f>
        <v/>
      </c>
      <c r="AI27" s="4" t="n"/>
      <c r="AJ27" s="4" t="n"/>
    </row>
    <row r="28">
      <c r="A28" s="30">
        <f>IF(B28="","",COUNTIF(B$14:B28,"?*"))</f>
        <v/>
      </c>
      <c r="B28" s="4" t="n"/>
      <c r="C28" s="19" t="n"/>
      <c r="D28" s="5">
        <f>IF(OR(B28="",C28=""),"",UPPER(LEFT(C28,1))&amp;LOWER(MID(C28,2,30))&amp;" "&amp;LOWER(LEFT(B28,1))&amp;MID(B28,2,200))</f>
        <v/>
      </c>
      <c r="E28" s="4" t="n"/>
      <c r="F28" s="4" t="n"/>
      <c r="G28" s="4" t="n"/>
      <c r="H28" s="4" t="n"/>
      <c r="I28" s="4" t="n"/>
      <c r="J28" s="4" t="n"/>
      <c r="K28" s="5">
        <f>_xlfn.TEXTJOIN(CHAR(10),TRUE,IF(E28="","","• "&amp;E28),IF(F28="","","• "&amp;F28),IF(G28="","","• "&amp;G28),IF(H28="","","• "&amp;H28),IF(I28="","","• "&amp;I28),IF(J28="","","• "&amp;J28))</f>
        <v/>
      </c>
      <c r="L28" s="4" t="n"/>
      <c r="M28" s="19" t="n"/>
      <c r="N28" s="19" t="n"/>
      <c r="O28" s="30">
        <f>IF(OR(M28="",N28=""),"",INDEX(RiskGrid,6-VALUE(LEFT(M28,1)),VALUE(LEFT(N28,1))))</f>
        <v/>
      </c>
      <c r="P28" s="30">
        <f>IF(O28="","",IF(O28&gt;=BandVH,"Very High",IF(O28&gt;=BandHigh,"High",IF(O28&gt;=BandMed,"Medium","Low"))))</f>
        <v/>
      </c>
      <c r="Q28" s="4" t="n"/>
      <c r="R28" s="19" t="n"/>
      <c r="S28" s="4" t="n"/>
      <c r="T28" s="19" t="n"/>
      <c r="U28" s="4" t="n"/>
      <c r="V28" s="19" t="n"/>
      <c r="W28" s="4" t="n"/>
      <c r="X28" s="19" t="n"/>
      <c r="Y28" s="4" t="n"/>
      <c r="Z28" s="19" t="n"/>
      <c r="AA28" s="4" t="n"/>
      <c r="AB28" s="19" t="n"/>
      <c r="AC28" s="5">
        <f>_xlfn.TEXTJOIN(CHAR(10),TRUE,IF(Q28="","","• "&amp;Q28&amp;IF(R28="Yes","  [IPL]","")),IF(S28="","","• "&amp;S28&amp;IF(T28="Yes","  [IPL]","")),IF(U28="","","• "&amp;U28&amp;IF(V28="Yes","  [IPL]","")),IF(W28="","","• "&amp;W28&amp;IF(X28="Yes","  [IPL]","")),IF(Y28="","","• "&amp;Y28&amp;IF(Z28="Yes","  [IPL]","")),IF(AA28="","","• "&amp;AA28&amp;IF(AB28="Yes","  [IPL]","")))</f>
        <v/>
      </c>
      <c r="AD28" s="30">
        <f>IF(AC28="","",COUNTIF(Q28:AB28,"Yes"))</f>
        <v/>
      </c>
      <c r="AE28" s="19" t="n"/>
      <c r="AF28" s="19" t="n"/>
      <c r="AG28" s="30">
        <f>IF(OR(AE28="",AF28=""),"",INDEX(RiskGrid,6-VALUE(LEFT(AE28,1)),VALUE(LEFT(AF28,1))))</f>
        <v/>
      </c>
      <c r="AH28" s="30">
        <f>IF(AG28="","",IF(AG28&gt;=BandVH,"Very High",IF(AG28&gt;=BandHigh,"High",IF(AG28&gt;=BandMed,"Medium","Low"))))</f>
        <v/>
      </c>
      <c r="AI28" s="4" t="n"/>
      <c r="AJ28" s="4" t="n"/>
    </row>
    <row r="29">
      <c r="A29" s="30">
        <f>IF(B29="","",COUNTIF(B$14:B29,"?*"))</f>
        <v/>
      </c>
      <c r="B29" s="4" t="n"/>
      <c r="C29" s="19" t="n"/>
      <c r="D29" s="5">
        <f>IF(OR(B29="",C29=""),"",UPPER(LEFT(C29,1))&amp;LOWER(MID(C29,2,30))&amp;" "&amp;LOWER(LEFT(B29,1))&amp;MID(B29,2,200))</f>
        <v/>
      </c>
      <c r="E29" s="4" t="n"/>
      <c r="F29" s="4" t="n"/>
      <c r="G29" s="4" t="n"/>
      <c r="H29" s="4" t="n"/>
      <c r="I29" s="4" t="n"/>
      <c r="J29" s="4" t="n"/>
      <c r="K29" s="5">
        <f>_xlfn.TEXTJOIN(CHAR(10),TRUE,IF(E29="","","• "&amp;E29),IF(F29="","","• "&amp;F29),IF(G29="","","• "&amp;G29),IF(H29="","","• "&amp;H29),IF(I29="","","• "&amp;I29),IF(J29="","","• "&amp;J29))</f>
        <v/>
      </c>
      <c r="L29" s="4" t="n"/>
      <c r="M29" s="19" t="n"/>
      <c r="N29" s="19" t="n"/>
      <c r="O29" s="30">
        <f>IF(OR(M29="",N29=""),"",INDEX(RiskGrid,6-VALUE(LEFT(M29,1)),VALUE(LEFT(N29,1))))</f>
        <v/>
      </c>
      <c r="P29" s="30">
        <f>IF(O29="","",IF(O29&gt;=BandVH,"Very High",IF(O29&gt;=BandHigh,"High",IF(O29&gt;=BandMed,"Medium","Low"))))</f>
        <v/>
      </c>
      <c r="Q29" s="4" t="n"/>
      <c r="R29" s="19" t="n"/>
      <c r="S29" s="4" t="n"/>
      <c r="T29" s="19" t="n"/>
      <c r="U29" s="4" t="n"/>
      <c r="V29" s="19" t="n"/>
      <c r="W29" s="4" t="n"/>
      <c r="X29" s="19" t="n"/>
      <c r="Y29" s="4" t="n"/>
      <c r="Z29" s="19" t="n"/>
      <c r="AA29" s="4" t="n"/>
      <c r="AB29" s="19" t="n"/>
      <c r="AC29" s="5">
        <f>_xlfn.TEXTJOIN(CHAR(10),TRUE,IF(Q29="","","• "&amp;Q29&amp;IF(R29="Yes","  [IPL]","")),IF(S29="","","• "&amp;S29&amp;IF(T29="Yes","  [IPL]","")),IF(U29="","","• "&amp;U29&amp;IF(V29="Yes","  [IPL]","")),IF(W29="","","• "&amp;W29&amp;IF(X29="Yes","  [IPL]","")),IF(Y29="","","• "&amp;Y29&amp;IF(Z29="Yes","  [IPL]","")),IF(AA29="","","• "&amp;AA29&amp;IF(AB29="Yes","  [IPL]","")))</f>
        <v/>
      </c>
      <c r="AD29" s="30">
        <f>IF(AC29="","",COUNTIF(Q29:AB29,"Yes"))</f>
        <v/>
      </c>
      <c r="AE29" s="19" t="n"/>
      <c r="AF29" s="19" t="n"/>
      <c r="AG29" s="30">
        <f>IF(OR(AE29="",AF29=""),"",INDEX(RiskGrid,6-VALUE(LEFT(AE29,1)),VALUE(LEFT(AF29,1))))</f>
        <v/>
      </c>
      <c r="AH29" s="30">
        <f>IF(AG29="","",IF(AG29&gt;=BandVH,"Very High",IF(AG29&gt;=BandHigh,"High",IF(AG29&gt;=BandMed,"Medium","Low"))))</f>
        <v/>
      </c>
      <c r="AI29" s="4" t="n"/>
      <c r="AJ29" s="4" t="n"/>
    </row>
    <row r="30">
      <c r="A30" s="30">
        <f>IF(B30="","",COUNTIF(B$14:B30,"?*"))</f>
        <v/>
      </c>
      <c r="B30" s="4" t="n"/>
      <c r="C30" s="19" t="n"/>
      <c r="D30" s="5">
        <f>IF(OR(B30="",C30=""),"",UPPER(LEFT(C30,1))&amp;LOWER(MID(C30,2,30))&amp;" "&amp;LOWER(LEFT(B30,1))&amp;MID(B30,2,200))</f>
        <v/>
      </c>
      <c r="E30" s="4" t="n"/>
      <c r="F30" s="4" t="n"/>
      <c r="G30" s="4" t="n"/>
      <c r="H30" s="4" t="n"/>
      <c r="I30" s="4" t="n"/>
      <c r="J30" s="4" t="n"/>
      <c r="K30" s="5">
        <f>_xlfn.TEXTJOIN(CHAR(10),TRUE,IF(E30="","","• "&amp;E30),IF(F30="","","• "&amp;F30),IF(G30="","","• "&amp;G30),IF(H30="","","• "&amp;H30),IF(I30="","","• "&amp;I30),IF(J30="","","• "&amp;J30))</f>
        <v/>
      </c>
      <c r="L30" s="4" t="n"/>
      <c r="M30" s="19" t="n"/>
      <c r="N30" s="19" t="n"/>
      <c r="O30" s="30">
        <f>IF(OR(M30="",N30=""),"",INDEX(RiskGrid,6-VALUE(LEFT(M30,1)),VALUE(LEFT(N30,1))))</f>
        <v/>
      </c>
      <c r="P30" s="30">
        <f>IF(O30="","",IF(O30&gt;=BandVH,"Very High",IF(O30&gt;=BandHigh,"High",IF(O30&gt;=BandMed,"Medium","Low"))))</f>
        <v/>
      </c>
      <c r="Q30" s="4" t="n"/>
      <c r="R30" s="19" t="n"/>
      <c r="S30" s="4" t="n"/>
      <c r="T30" s="19" t="n"/>
      <c r="U30" s="4" t="n"/>
      <c r="V30" s="19" t="n"/>
      <c r="W30" s="4" t="n"/>
      <c r="X30" s="19" t="n"/>
      <c r="Y30" s="4" t="n"/>
      <c r="Z30" s="19" t="n"/>
      <c r="AA30" s="4" t="n"/>
      <c r="AB30" s="19" t="n"/>
      <c r="AC30" s="5">
        <f>_xlfn.TEXTJOIN(CHAR(10),TRUE,IF(Q30="","","• "&amp;Q30&amp;IF(R30="Yes","  [IPL]","")),IF(S30="","","• "&amp;S30&amp;IF(T30="Yes","  [IPL]","")),IF(U30="","","• "&amp;U30&amp;IF(V30="Yes","  [IPL]","")),IF(W30="","","• "&amp;W30&amp;IF(X30="Yes","  [IPL]","")),IF(Y30="","","• "&amp;Y30&amp;IF(Z30="Yes","  [IPL]","")),IF(AA30="","","• "&amp;AA30&amp;IF(AB30="Yes","  [IPL]","")))</f>
        <v/>
      </c>
      <c r="AD30" s="30">
        <f>IF(AC30="","",COUNTIF(Q30:AB30,"Yes"))</f>
        <v/>
      </c>
      <c r="AE30" s="19" t="n"/>
      <c r="AF30" s="19" t="n"/>
      <c r="AG30" s="30">
        <f>IF(OR(AE30="",AF30=""),"",INDEX(RiskGrid,6-VALUE(LEFT(AE30,1)),VALUE(LEFT(AF30,1))))</f>
        <v/>
      </c>
      <c r="AH30" s="30">
        <f>IF(AG30="","",IF(AG30&gt;=BandVH,"Very High",IF(AG30&gt;=BandHigh,"High",IF(AG30&gt;=BandMed,"Medium","Low"))))</f>
        <v/>
      </c>
      <c r="AI30" s="4" t="n"/>
      <c r="AJ30" s="4" t="n"/>
    </row>
    <row r="31">
      <c r="A31" s="30">
        <f>IF(B31="","",COUNTIF(B$14:B31,"?*"))</f>
        <v/>
      </c>
      <c r="B31" s="4" t="n"/>
      <c r="C31" s="19" t="n"/>
      <c r="D31" s="5">
        <f>IF(OR(B31="",C31=""),"",UPPER(LEFT(C31,1))&amp;LOWER(MID(C31,2,30))&amp;" "&amp;LOWER(LEFT(B31,1))&amp;MID(B31,2,200))</f>
        <v/>
      </c>
      <c r="E31" s="4" t="n"/>
      <c r="F31" s="4" t="n"/>
      <c r="G31" s="4" t="n"/>
      <c r="H31" s="4" t="n"/>
      <c r="I31" s="4" t="n"/>
      <c r="J31" s="4" t="n"/>
      <c r="K31" s="5">
        <f>_xlfn.TEXTJOIN(CHAR(10),TRUE,IF(E31="","","• "&amp;E31),IF(F31="","","• "&amp;F31),IF(G31="","","• "&amp;G31),IF(H31="","","• "&amp;H31),IF(I31="","","• "&amp;I31),IF(J31="","","• "&amp;J31))</f>
        <v/>
      </c>
      <c r="L31" s="4" t="n"/>
      <c r="M31" s="19" t="n"/>
      <c r="N31" s="19" t="n"/>
      <c r="O31" s="30">
        <f>IF(OR(M31="",N31=""),"",INDEX(RiskGrid,6-VALUE(LEFT(M31,1)),VALUE(LEFT(N31,1))))</f>
        <v/>
      </c>
      <c r="P31" s="30">
        <f>IF(O31="","",IF(O31&gt;=BandVH,"Very High",IF(O31&gt;=BandHigh,"High",IF(O31&gt;=BandMed,"Medium","Low"))))</f>
        <v/>
      </c>
      <c r="Q31" s="4" t="n"/>
      <c r="R31" s="19" t="n"/>
      <c r="S31" s="4" t="n"/>
      <c r="T31" s="19" t="n"/>
      <c r="U31" s="4" t="n"/>
      <c r="V31" s="19" t="n"/>
      <c r="W31" s="4" t="n"/>
      <c r="X31" s="19" t="n"/>
      <c r="Y31" s="4" t="n"/>
      <c r="Z31" s="19" t="n"/>
      <c r="AA31" s="4" t="n"/>
      <c r="AB31" s="19" t="n"/>
      <c r="AC31" s="5">
        <f>_xlfn.TEXTJOIN(CHAR(10),TRUE,IF(Q31="","","• "&amp;Q31&amp;IF(R31="Yes","  [IPL]","")),IF(S31="","","• "&amp;S31&amp;IF(T31="Yes","  [IPL]","")),IF(U31="","","• "&amp;U31&amp;IF(V31="Yes","  [IPL]","")),IF(W31="","","• "&amp;W31&amp;IF(X31="Yes","  [IPL]","")),IF(Y31="","","• "&amp;Y31&amp;IF(Z31="Yes","  [IPL]","")),IF(AA31="","","• "&amp;AA31&amp;IF(AB31="Yes","  [IPL]","")))</f>
        <v/>
      </c>
      <c r="AD31" s="30">
        <f>IF(AC31="","",COUNTIF(Q31:AB31,"Yes"))</f>
        <v/>
      </c>
      <c r="AE31" s="19" t="n"/>
      <c r="AF31" s="19" t="n"/>
      <c r="AG31" s="30">
        <f>IF(OR(AE31="",AF31=""),"",INDEX(RiskGrid,6-VALUE(LEFT(AE31,1)),VALUE(LEFT(AF31,1))))</f>
        <v/>
      </c>
      <c r="AH31" s="30">
        <f>IF(AG31="","",IF(AG31&gt;=BandVH,"Very High",IF(AG31&gt;=BandHigh,"High",IF(AG31&gt;=BandMed,"Medium","Low"))))</f>
        <v/>
      </c>
      <c r="AI31" s="4" t="n"/>
      <c r="AJ31" s="4" t="n"/>
    </row>
    <row r="32">
      <c r="A32" s="30">
        <f>IF(B32="","",COUNTIF(B$14:B32,"?*"))</f>
        <v/>
      </c>
      <c r="B32" s="4" t="n"/>
      <c r="C32" s="19" t="n"/>
      <c r="D32" s="5">
        <f>IF(OR(B32="",C32=""),"",UPPER(LEFT(C32,1))&amp;LOWER(MID(C32,2,30))&amp;" "&amp;LOWER(LEFT(B32,1))&amp;MID(B32,2,200))</f>
        <v/>
      </c>
      <c r="E32" s="4" t="n"/>
      <c r="F32" s="4" t="n"/>
      <c r="G32" s="4" t="n"/>
      <c r="H32" s="4" t="n"/>
      <c r="I32" s="4" t="n"/>
      <c r="J32" s="4" t="n"/>
      <c r="K32" s="5">
        <f>_xlfn.TEXTJOIN(CHAR(10),TRUE,IF(E32="","","• "&amp;E32),IF(F32="","","• "&amp;F32),IF(G32="","","• "&amp;G32),IF(H32="","","• "&amp;H32),IF(I32="","","• "&amp;I32),IF(J32="","","• "&amp;J32))</f>
        <v/>
      </c>
      <c r="L32" s="4" t="n"/>
      <c r="M32" s="19" t="n"/>
      <c r="N32" s="19" t="n"/>
      <c r="O32" s="30">
        <f>IF(OR(M32="",N32=""),"",INDEX(RiskGrid,6-VALUE(LEFT(M32,1)),VALUE(LEFT(N32,1))))</f>
        <v/>
      </c>
      <c r="P32" s="30">
        <f>IF(O32="","",IF(O32&gt;=BandVH,"Very High",IF(O32&gt;=BandHigh,"High",IF(O32&gt;=BandMed,"Medium","Low"))))</f>
        <v/>
      </c>
      <c r="Q32" s="4" t="n"/>
      <c r="R32" s="19" t="n"/>
      <c r="S32" s="4" t="n"/>
      <c r="T32" s="19" t="n"/>
      <c r="U32" s="4" t="n"/>
      <c r="V32" s="19" t="n"/>
      <c r="W32" s="4" t="n"/>
      <c r="X32" s="19" t="n"/>
      <c r="Y32" s="4" t="n"/>
      <c r="Z32" s="19" t="n"/>
      <c r="AA32" s="4" t="n"/>
      <c r="AB32" s="19" t="n"/>
      <c r="AC32" s="5">
        <f>_xlfn.TEXTJOIN(CHAR(10),TRUE,IF(Q32="","","• "&amp;Q32&amp;IF(R32="Yes","  [IPL]","")),IF(S32="","","• "&amp;S32&amp;IF(T32="Yes","  [IPL]","")),IF(U32="","","• "&amp;U32&amp;IF(V32="Yes","  [IPL]","")),IF(W32="","","• "&amp;W32&amp;IF(X32="Yes","  [IPL]","")),IF(Y32="","","• "&amp;Y32&amp;IF(Z32="Yes","  [IPL]","")),IF(AA32="","","• "&amp;AA32&amp;IF(AB32="Yes","  [IPL]","")))</f>
        <v/>
      </c>
      <c r="AD32" s="30">
        <f>IF(AC32="","",COUNTIF(Q32:AB32,"Yes"))</f>
        <v/>
      </c>
      <c r="AE32" s="19" t="n"/>
      <c r="AF32" s="19" t="n"/>
      <c r="AG32" s="30">
        <f>IF(OR(AE32="",AF32=""),"",INDEX(RiskGrid,6-VALUE(LEFT(AE32,1)),VALUE(LEFT(AF32,1))))</f>
        <v/>
      </c>
      <c r="AH32" s="30">
        <f>IF(AG32="","",IF(AG32&gt;=BandVH,"Very High",IF(AG32&gt;=BandHigh,"High",IF(AG32&gt;=BandMed,"Medium","Low"))))</f>
        <v/>
      </c>
      <c r="AI32" s="4" t="n"/>
      <c r="AJ32" s="4" t="n"/>
    </row>
    <row r="33">
      <c r="A33" s="30">
        <f>IF(B33="","",COUNTIF(B$14:B33,"?*"))</f>
        <v/>
      </c>
      <c r="B33" s="4" t="n"/>
      <c r="C33" s="19" t="n"/>
      <c r="D33" s="5">
        <f>IF(OR(B33="",C33=""),"",UPPER(LEFT(C33,1))&amp;LOWER(MID(C33,2,30))&amp;" "&amp;LOWER(LEFT(B33,1))&amp;MID(B33,2,200))</f>
        <v/>
      </c>
      <c r="E33" s="4" t="n"/>
      <c r="F33" s="4" t="n"/>
      <c r="G33" s="4" t="n"/>
      <c r="H33" s="4" t="n"/>
      <c r="I33" s="4" t="n"/>
      <c r="J33" s="4" t="n"/>
      <c r="K33" s="5">
        <f>_xlfn.TEXTJOIN(CHAR(10),TRUE,IF(E33="","","• "&amp;E33),IF(F33="","","• "&amp;F33),IF(G33="","","• "&amp;G33),IF(H33="","","• "&amp;H33),IF(I33="","","• "&amp;I33),IF(J33="","","• "&amp;J33))</f>
        <v/>
      </c>
      <c r="L33" s="4" t="n"/>
      <c r="M33" s="19" t="n"/>
      <c r="N33" s="19" t="n"/>
      <c r="O33" s="30">
        <f>IF(OR(M33="",N33=""),"",INDEX(RiskGrid,6-VALUE(LEFT(M33,1)),VALUE(LEFT(N33,1))))</f>
        <v/>
      </c>
      <c r="P33" s="30">
        <f>IF(O33="","",IF(O33&gt;=BandVH,"Very High",IF(O33&gt;=BandHigh,"High",IF(O33&gt;=BandMed,"Medium","Low"))))</f>
        <v/>
      </c>
      <c r="Q33" s="4" t="n"/>
      <c r="R33" s="19" t="n"/>
      <c r="S33" s="4" t="n"/>
      <c r="T33" s="19" t="n"/>
      <c r="U33" s="4" t="n"/>
      <c r="V33" s="19" t="n"/>
      <c r="W33" s="4" t="n"/>
      <c r="X33" s="19" t="n"/>
      <c r="Y33" s="4" t="n"/>
      <c r="Z33" s="19" t="n"/>
      <c r="AA33" s="4" t="n"/>
      <c r="AB33" s="19" t="n"/>
      <c r="AC33" s="5">
        <f>_xlfn.TEXTJOIN(CHAR(10),TRUE,IF(Q33="","","• "&amp;Q33&amp;IF(R33="Yes","  [IPL]","")),IF(S33="","","• "&amp;S33&amp;IF(T33="Yes","  [IPL]","")),IF(U33="","","• "&amp;U33&amp;IF(V33="Yes","  [IPL]","")),IF(W33="","","• "&amp;W33&amp;IF(X33="Yes","  [IPL]","")),IF(Y33="","","• "&amp;Y33&amp;IF(Z33="Yes","  [IPL]","")),IF(AA33="","","• "&amp;AA33&amp;IF(AB33="Yes","  [IPL]","")))</f>
        <v/>
      </c>
      <c r="AD33" s="30">
        <f>IF(AC33="","",COUNTIF(Q33:AB33,"Yes"))</f>
        <v/>
      </c>
      <c r="AE33" s="19" t="n"/>
      <c r="AF33" s="19" t="n"/>
      <c r="AG33" s="30">
        <f>IF(OR(AE33="",AF33=""),"",INDEX(RiskGrid,6-VALUE(LEFT(AE33,1)),VALUE(LEFT(AF33,1))))</f>
        <v/>
      </c>
      <c r="AH33" s="30">
        <f>IF(AG33="","",IF(AG33&gt;=BandVH,"Very High",IF(AG33&gt;=BandHigh,"High",IF(AG33&gt;=BandMed,"Medium","Low"))))</f>
        <v/>
      </c>
      <c r="AI33" s="4" t="n"/>
      <c r="AJ33" s="4" t="n"/>
    </row>
    <row r="34">
      <c r="A34" s="30">
        <f>IF(B34="","",COUNTIF(B$14:B34,"?*"))</f>
        <v/>
      </c>
      <c r="B34" s="4" t="n"/>
      <c r="C34" s="19" t="n"/>
      <c r="D34" s="5">
        <f>IF(OR(B34="",C34=""),"",UPPER(LEFT(C34,1))&amp;LOWER(MID(C34,2,30))&amp;" "&amp;LOWER(LEFT(B34,1))&amp;MID(B34,2,200))</f>
        <v/>
      </c>
      <c r="E34" s="4" t="n"/>
      <c r="F34" s="4" t="n"/>
      <c r="G34" s="4" t="n"/>
      <c r="H34" s="4" t="n"/>
      <c r="I34" s="4" t="n"/>
      <c r="J34" s="4" t="n"/>
      <c r="K34" s="5">
        <f>_xlfn.TEXTJOIN(CHAR(10),TRUE,IF(E34="","","• "&amp;E34),IF(F34="","","• "&amp;F34),IF(G34="","","• "&amp;G34),IF(H34="","","• "&amp;H34),IF(I34="","","• "&amp;I34),IF(J34="","","• "&amp;J34))</f>
        <v/>
      </c>
      <c r="L34" s="4" t="n"/>
      <c r="M34" s="19" t="n"/>
      <c r="N34" s="19" t="n"/>
      <c r="O34" s="30">
        <f>IF(OR(M34="",N34=""),"",INDEX(RiskGrid,6-VALUE(LEFT(M34,1)),VALUE(LEFT(N34,1))))</f>
        <v/>
      </c>
      <c r="P34" s="30">
        <f>IF(O34="","",IF(O34&gt;=BandVH,"Very High",IF(O34&gt;=BandHigh,"High",IF(O34&gt;=BandMed,"Medium","Low"))))</f>
        <v/>
      </c>
      <c r="Q34" s="4" t="n"/>
      <c r="R34" s="19" t="n"/>
      <c r="S34" s="4" t="n"/>
      <c r="T34" s="19" t="n"/>
      <c r="U34" s="4" t="n"/>
      <c r="V34" s="19" t="n"/>
      <c r="W34" s="4" t="n"/>
      <c r="X34" s="19" t="n"/>
      <c r="Y34" s="4" t="n"/>
      <c r="Z34" s="19" t="n"/>
      <c r="AA34" s="4" t="n"/>
      <c r="AB34" s="19" t="n"/>
      <c r="AC34" s="5">
        <f>_xlfn.TEXTJOIN(CHAR(10),TRUE,IF(Q34="","","• "&amp;Q34&amp;IF(R34="Yes","  [IPL]","")),IF(S34="","","• "&amp;S34&amp;IF(T34="Yes","  [IPL]","")),IF(U34="","","• "&amp;U34&amp;IF(V34="Yes","  [IPL]","")),IF(W34="","","• "&amp;W34&amp;IF(X34="Yes","  [IPL]","")),IF(Y34="","","• "&amp;Y34&amp;IF(Z34="Yes","  [IPL]","")),IF(AA34="","","• "&amp;AA34&amp;IF(AB34="Yes","  [IPL]","")))</f>
        <v/>
      </c>
      <c r="AD34" s="30">
        <f>IF(AC34="","",COUNTIF(Q34:AB34,"Yes"))</f>
        <v/>
      </c>
      <c r="AE34" s="19" t="n"/>
      <c r="AF34" s="19" t="n"/>
      <c r="AG34" s="30">
        <f>IF(OR(AE34="",AF34=""),"",INDEX(RiskGrid,6-VALUE(LEFT(AE34,1)),VALUE(LEFT(AF34,1))))</f>
        <v/>
      </c>
      <c r="AH34" s="30">
        <f>IF(AG34="","",IF(AG34&gt;=BandVH,"Very High",IF(AG34&gt;=BandHigh,"High",IF(AG34&gt;=BandMed,"Medium","Low"))))</f>
        <v/>
      </c>
      <c r="AI34" s="4" t="n"/>
      <c r="AJ34" s="4" t="n"/>
    </row>
    <row r="35">
      <c r="A35" s="30">
        <f>IF(B35="","",COUNTIF(B$14:B35,"?*"))</f>
        <v/>
      </c>
      <c r="B35" s="4" t="n"/>
      <c r="C35" s="19" t="n"/>
      <c r="D35" s="5">
        <f>IF(OR(B35="",C35=""),"",UPPER(LEFT(C35,1))&amp;LOWER(MID(C35,2,30))&amp;" "&amp;LOWER(LEFT(B35,1))&amp;MID(B35,2,200))</f>
        <v/>
      </c>
      <c r="E35" s="4" t="n"/>
      <c r="F35" s="4" t="n"/>
      <c r="G35" s="4" t="n"/>
      <c r="H35" s="4" t="n"/>
      <c r="I35" s="4" t="n"/>
      <c r="J35" s="4" t="n"/>
      <c r="K35" s="5">
        <f>_xlfn.TEXTJOIN(CHAR(10),TRUE,IF(E35="","","• "&amp;E35),IF(F35="","","• "&amp;F35),IF(G35="","","• "&amp;G35),IF(H35="","","• "&amp;H35),IF(I35="","","• "&amp;I35),IF(J35="","","• "&amp;J35))</f>
        <v/>
      </c>
      <c r="L35" s="4" t="n"/>
      <c r="M35" s="19" t="n"/>
      <c r="N35" s="19" t="n"/>
      <c r="O35" s="30">
        <f>IF(OR(M35="",N35=""),"",INDEX(RiskGrid,6-VALUE(LEFT(M35,1)),VALUE(LEFT(N35,1))))</f>
        <v/>
      </c>
      <c r="P35" s="30">
        <f>IF(O35="","",IF(O35&gt;=BandVH,"Very High",IF(O35&gt;=BandHigh,"High",IF(O35&gt;=BandMed,"Medium","Low"))))</f>
        <v/>
      </c>
      <c r="Q35" s="4" t="n"/>
      <c r="R35" s="19" t="n"/>
      <c r="S35" s="4" t="n"/>
      <c r="T35" s="19" t="n"/>
      <c r="U35" s="4" t="n"/>
      <c r="V35" s="19" t="n"/>
      <c r="W35" s="4" t="n"/>
      <c r="X35" s="19" t="n"/>
      <c r="Y35" s="4" t="n"/>
      <c r="Z35" s="19" t="n"/>
      <c r="AA35" s="4" t="n"/>
      <c r="AB35" s="19" t="n"/>
      <c r="AC35" s="5">
        <f>_xlfn.TEXTJOIN(CHAR(10),TRUE,IF(Q35="","","• "&amp;Q35&amp;IF(R35="Yes","  [IPL]","")),IF(S35="","","• "&amp;S35&amp;IF(T35="Yes","  [IPL]","")),IF(U35="","","• "&amp;U35&amp;IF(V35="Yes","  [IPL]","")),IF(W35="","","• "&amp;W35&amp;IF(X35="Yes","  [IPL]","")),IF(Y35="","","• "&amp;Y35&amp;IF(Z35="Yes","  [IPL]","")),IF(AA35="","","• "&amp;AA35&amp;IF(AB35="Yes","  [IPL]","")))</f>
        <v/>
      </c>
      <c r="AD35" s="30">
        <f>IF(AC35="","",COUNTIF(Q35:AB35,"Yes"))</f>
        <v/>
      </c>
      <c r="AE35" s="19" t="n"/>
      <c r="AF35" s="19" t="n"/>
      <c r="AG35" s="30">
        <f>IF(OR(AE35="",AF35=""),"",INDEX(RiskGrid,6-VALUE(LEFT(AE35,1)),VALUE(LEFT(AF35,1))))</f>
        <v/>
      </c>
      <c r="AH35" s="30">
        <f>IF(AG35="","",IF(AG35&gt;=BandVH,"Very High",IF(AG35&gt;=BandHigh,"High",IF(AG35&gt;=BandMed,"Medium","Low"))))</f>
        <v/>
      </c>
      <c r="AI35" s="4" t="n"/>
      <c r="AJ35" s="4" t="n"/>
    </row>
    <row r="36">
      <c r="A36" s="30">
        <f>IF(B36="","",COUNTIF(B$14:B36,"?*"))</f>
        <v/>
      </c>
      <c r="B36" s="4" t="n"/>
      <c r="C36" s="19" t="n"/>
      <c r="D36" s="5">
        <f>IF(OR(B36="",C36=""),"",UPPER(LEFT(C36,1))&amp;LOWER(MID(C36,2,30))&amp;" "&amp;LOWER(LEFT(B36,1))&amp;MID(B36,2,200))</f>
        <v/>
      </c>
      <c r="E36" s="4" t="n"/>
      <c r="F36" s="4" t="n"/>
      <c r="G36" s="4" t="n"/>
      <c r="H36" s="4" t="n"/>
      <c r="I36" s="4" t="n"/>
      <c r="J36" s="4" t="n"/>
      <c r="K36" s="5">
        <f>_xlfn.TEXTJOIN(CHAR(10),TRUE,IF(E36="","","• "&amp;E36),IF(F36="","","• "&amp;F36),IF(G36="","","• "&amp;G36),IF(H36="","","• "&amp;H36),IF(I36="","","• "&amp;I36),IF(J36="","","• "&amp;J36))</f>
        <v/>
      </c>
      <c r="L36" s="4" t="n"/>
      <c r="M36" s="19" t="n"/>
      <c r="N36" s="19" t="n"/>
      <c r="O36" s="30">
        <f>IF(OR(M36="",N36=""),"",INDEX(RiskGrid,6-VALUE(LEFT(M36,1)),VALUE(LEFT(N36,1))))</f>
        <v/>
      </c>
      <c r="P36" s="30">
        <f>IF(O36="","",IF(O36&gt;=BandVH,"Very High",IF(O36&gt;=BandHigh,"High",IF(O36&gt;=BandMed,"Medium","Low"))))</f>
        <v/>
      </c>
      <c r="Q36" s="4" t="n"/>
      <c r="R36" s="19" t="n"/>
      <c r="S36" s="4" t="n"/>
      <c r="T36" s="19" t="n"/>
      <c r="U36" s="4" t="n"/>
      <c r="V36" s="19" t="n"/>
      <c r="W36" s="4" t="n"/>
      <c r="X36" s="19" t="n"/>
      <c r="Y36" s="4" t="n"/>
      <c r="Z36" s="19" t="n"/>
      <c r="AA36" s="4" t="n"/>
      <c r="AB36" s="19" t="n"/>
      <c r="AC36" s="5">
        <f>_xlfn.TEXTJOIN(CHAR(10),TRUE,IF(Q36="","","• "&amp;Q36&amp;IF(R36="Yes","  [IPL]","")),IF(S36="","","• "&amp;S36&amp;IF(T36="Yes","  [IPL]","")),IF(U36="","","• "&amp;U36&amp;IF(V36="Yes","  [IPL]","")),IF(W36="","","• "&amp;W36&amp;IF(X36="Yes","  [IPL]","")),IF(Y36="","","• "&amp;Y36&amp;IF(Z36="Yes","  [IPL]","")),IF(AA36="","","• "&amp;AA36&amp;IF(AB36="Yes","  [IPL]","")))</f>
        <v/>
      </c>
      <c r="AD36" s="30">
        <f>IF(AC36="","",COUNTIF(Q36:AB36,"Yes"))</f>
        <v/>
      </c>
      <c r="AE36" s="19" t="n"/>
      <c r="AF36" s="19" t="n"/>
      <c r="AG36" s="30">
        <f>IF(OR(AE36="",AF36=""),"",INDEX(RiskGrid,6-VALUE(LEFT(AE36,1)),VALUE(LEFT(AF36,1))))</f>
        <v/>
      </c>
      <c r="AH36" s="30">
        <f>IF(AG36="","",IF(AG36&gt;=BandVH,"Very High",IF(AG36&gt;=BandHigh,"High",IF(AG36&gt;=BandMed,"Medium","Low"))))</f>
        <v/>
      </c>
      <c r="AI36" s="4" t="n"/>
      <c r="AJ36" s="4" t="n"/>
    </row>
    <row r="37">
      <c r="A37" s="30">
        <f>IF(B37="","",COUNTIF(B$14:B37,"?*"))</f>
        <v/>
      </c>
      <c r="B37" s="4" t="n"/>
      <c r="C37" s="19" t="n"/>
      <c r="D37" s="5">
        <f>IF(OR(B37="",C37=""),"",UPPER(LEFT(C37,1))&amp;LOWER(MID(C37,2,30))&amp;" "&amp;LOWER(LEFT(B37,1))&amp;MID(B37,2,200))</f>
        <v/>
      </c>
      <c r="E37" s="4" t="n"/>
      <c r="F37" s="4" t="n"/>
      <c r="G37" s="4" t="n"/>
      <c r="H37" s="4" t="n"/>
      <c r="I37" s="4" t="n"/>
      <c r="J37" s="4" t="n"/>
      <c r="K37" s="5">
        <f>_xlfn.TEXTJOIN(CHAR(10),TRUE,IF(E37="","","• "&amp;E37),IF(F37="","","• "&amp;F37),IF(G37="","","• "&amp;G37),IF(H37="","","• "&amp;H37),IF(I37="","","• "&amp;I37),IF(J37="","","• "&amp;J37))</f>
        <v/>
      </c>
      <c r="L37" s="4" t="n"/>
      <c r="M37" s="19" t="n"/>
      <c r="N37" s="19" t="n"/>
      <c r="O37" s="30">
        <f>IF(OR(M37="",N37=""),"",INDEX(RiskGrid,6-VALUE(LEFT(M37,1)),VALUE(LEFT(N37,1))))</f>
        <v/>
      </c>
      <c r="P37" s="30">
        <f>IF(O37="","",IF(O37&gt;=BandVH,"Very High",IF(O37&gt;=BandHigh,"High",IF(O37&gt;=BandMed,"Medium","Low"))))</f>
        <v/>
      </c>
      <c r="Q37" s="4" t="n"/>
      <c r="R37" s="19" t="n"/>
      <c r="S37" s="4" t="n"/>
      <c r="T37" s="19" t="n"/>
      <c r="U37" s="4" t="n"/>
      <c r="V37" s="19" t="n"/>
      <c r="W37" s="4" t="n"/>
      <c r="X37" s="19" t="n"/>
      <c r="Y37" s="4" t="n"/>
      <c r="Z37" s="19" t="n"/>
      <c r="AA37" s="4" t="n"/>
      <c r="AB37" s="19" t="n"/>
      <c r="AC37" s="5">
        <f>_xlfn.TEXTJOIN(CHAR(10),TRUE,IF(Q37="","","• "&amp;Q37&amp;IF(R37="Yes","  [IPL]","")),IF(S37="","","• "&amp;S37&amp;IF(T37="Yes","  [IPL]","")),IF(U37="","","• "&amp;U37&amp;IF(V37="Yes","  [IPL]","")),IF(W37="","","• "&amp;W37&amp;IF(X37="Yes","  [IPL]","")),IF(Y37="","","• "&amp;Y37&amp;IF(Z37="Yes","  [IPL]","")),IF(AA37="","","• "&amp;AA37&amp;IF(AB37="Yes","  [IPL]","")))</f>
        <v/>
      </c>
      <c r="AD37" s="30">
        <f>IF(AC37="","",COUNTIF(Q37:AB37,"Yes"))</f>
        <v/>
      </c>
      <c r="AE37" s="19" t="n"/>
      <c r="AF37" s="19" t="n"/>
      <c r="AG37" s="30">
        <f>IF(OR(AE37="",AF37=""),"",INDEX(RiskGrid,6-VALUE(LEFT(AE37,1)),VALUE(LEFT(AF37,1))))</f>
        <v/>
      </c>
      <c r="AH37" s="30">
        <f>IF(AG37="","",IF(AG37&gt;=BandVH,"Very High",IF(AG37&gt;=BandHigh,"High",IF(AG37&gt;=BandMed,"Medium","Low"))))</f>
        <v/>
      </c>
      <c r="AI37" s="4" t="n"/>
      <c r="AJ37" s="4" t="n"/>
    </row>
    <row r="38">
      <c r="A38" s="30">
        <f>IF(B38="","",COUNTIF(B$14:B38,"?*"))</f>
        <v/>
      </c>
      <c r="B38" s="4" t="n"/>
      <c r="C38" s="19" t="n"/>
      <c r="D38" s="5">
        <f>IF(OR(B38="",C38=""),"",UPPER(LEFT(C38,1))&amp;LOWER(MID(C38,2,30))&amp;" "&amp;LOWER(LEFT(B38,1))&amp;MID(B38,2,200))</f>
        <v/>
      </c>
      <c r="E38" s="4" t="n"/>
      <c r="F38" s="4" t="n"/>
      <c r="G38" s="4" t="n"/>
      <c r="H38" s="4" t="n"/>
      <c r="I38" s="4" t="n"/>
      <c r="J38" s="4" t="n"/>
      <c r="K38" s="5">
        <f>_xlfn.TEXTJOIN(CHAR(10),TRUE,IF(E38="","","• "&amp;E38),IF(F38="","","• "&amp;F38),IF(G38="","","• "&amp;G38),IF(H38="","","• "&amp;H38),IF(I38="","","• "&amp;I38),IF(J38="","","• "&amp;J38))</f>
        <v/>
      </c>
      <c r="L38" s="4" t="n"/>
      <c r="M38" s="19" t="n"/>
      <c r="N38" s="19" t="n"/>
      <c r="O38" s="30">
        <f>IF(OR(M38="",N38=""),"",INDEX(RiskGrid,6-VALUE(LEFT(M38,1)),VALUE(LEFT(N38,1))))</f>
        <v/>
      </c>
      <c r="P38" s="30">
        <f>IF(O38="","",IF(O38&gt;=BandVH,"Very High",IF(O38&gt;=BandHigh,"High",IF(O38&gt;=BandMed,"Medium","Low"))))</f>
        <v/>
      </c>
      <c r="Q38" s="4" t="n"/>
      <c r="R38" s="19" t="n"/>
      <c r="S38" s="4" t="n"/>
      <c r="T38" s="19" t="n"/>
      <c r="U38" s="4" t="n"/>
      <c r="V38" s="19" t="n"/>
      <c r="W38" s="4" t="n"/>
      <c r="X38" s="19" t="n"/>
      <c r="Y38" s="4" t="n"/>
      <c r="Z38" s="19" t="n"/>
      <c r="AA38" s="4" t="n"/>
      <c r="AB38" s="19" t="n"/>
      <c r="AC38" s="5">
        <f>_xlfn.TEXTJOIN(CHAR(10),TRUE,IF(Q38="","","• "&amp;Q38&amp;IF(R38="Yes","  [IPL]","")),IF(S38="","","• "&amp;S38&amp;IF(T38="Yes","  [IPL]","")),IF(U38="","","• "&amp;U38&amp;IF(V38="Yes","  [IPL]","")),IF(W38="","","• "&amp;W38&amp;IF(X38="Yes","  [IPL]","")),IF(Y38="","","• "&amp;Y38&amp;IF(Z38="Yes","  [IPL]","")),IF(AA38="","","• "&amp;AA38&amp;IF(AB38="Yes","  [IPL]","")))</f>
        <v/>
      </c>
      <c r="AD38" s="30">
        <f>IF(AC38="","",COUNTIF(Q38:AB38,"Yes"))</f>
        <v/>
      </c>
      <c r="AE38" s="19" t="n"/>
      <c r="AF38" s="19" t="n"/>
      <c r="AG38" s="30">
        <f>IF(OR(AE38="",AF38=""),"",INDEX(RiskGrid,6-VALUE(LEFT(AE38,1)),VALUE(LEFT(AF38,1))))</f>
        <v/>
      </c>
      <c r="AH38" s="30">
        <f>IF(AG38="","",IF(AG38&gt;=BandVH,"Very High",IF(AG38&gt;=BandHigh,"High",IF(AG38&gt;=BandMed,"Medium","Low"))))</f>
        <v/>
      </c>
      <c r="AI38" s="4" t="n"/>
      <c r="AJ38" s="4" t="n"/>
    </row>
    <row r="39">
      <c r="A39" s="30">
        <f>IF(B39="","",COUNTIF(B$14:B39,"?*"))</f>
        <v/>
      </c>
      <c r="B39" s="4" t="n"/>
      <c r="C39" s="19" t="n"/>
      <c r="D39" s="5">
        <f>IF(OR(B39="",C39=""),"",UPPER(LEFT(C39,1))&amp;LOWER(MID(C39,2,30))&amp;" "&amp;LOWER(LEFT(B39,1))&amp;MID(B39,2,200))</f>
        <v/>
      </c>
      <c r="E39" s="4" t="n"/>
      <c r="F39" s="4" t="n"/>
      <c r="G39" s="4" t="n"/>
      <c r="H39" s="4" t="n"/>
      <c r="I39" s="4" t="n"/>
      <c r="J39" s="4" t="n"/>
      <c r="K39" s="5">
        <f>_xlfn.TEXTJOIN(CHAR(10),TRUE,IF(E39="","","• "&amp;E39),IF(F39="","","• "&amp;F39),IF(G39="","","• "&amp;G39),IF(H39="","","• "&amp;H39),IF(I39="","","• "&amp;I39),IF(J39="","","• "&amp;J39))</f>
        <v/>
      </c>
      <c r="L39" s="4" t="n"/>
      <c r="M39" s="19" t="n"/>
      <c r="N39" s="19" t="n"/>
      <c r="O39" s="30">
        <f>IF(OR(M39="",N39=""),"",INDEX(RiskGrid,6-VALUE(LEFT(M39,1)),VALUE(LEFT(N39,1))))</f>
        <v/>
      </c>
      <c r="P39" s="30">
        <f>IF(O39="","",IF(O39&gt;=BandVH,"Very High",IF(O39&gt;=BandHigh,"High",IF(O39&gt;=BandMed,"Medium","Low"))))</f>
        <v/>
      </c>
      <c r="Q39" s="4" t="n"/>
      <c r="R39" s="19" t="n"/>
      <c r="S39" s="4" t="n"/>
      <c r="T39" s="19" t="n"/>
      <c r="U39" s="4" t="n"/>
      <c r="V39" s="19" t="n"/>
      <c r="W39" s="4" t="n"/>
      <c r="X39" s="19" t="n"/>
      <c r="Y39" s="4" t="n"/>
      <c r="Z39" s="19" t="n"/>
      <c r="AA39" s="4" t="n"/>
      <c r="AB39" s="19" t="n"/>
      <c r="AC39" s="5">
        <f>_xlfn.TEXTJOIN(CHAR(10),TRUE,IF(Q39="","","• "&amp;Q39&amp;IF(R39="Yes","  [IPL]","")),IF(S39="","","• "&amp;S39&amp;IF(T39="Yes","  [IPL]","")),IF(U39="","","• "&amp;U39&amp;IF(V39="Yes","  [IPL]","")),IF(W39="","","• "&amp;W39&amp;IF(X39="Yes","  [IPL]","")),IF(Y39="","","• "&amp;Y39&amp;IF(Z39="Yes","  [IPL]","")),IF(AA39="","","• "&amp;AA39&amp;IF(AB39="Yes","  [IPL]","")))</f>
        <v/>
      </c>
      <c r="AD39" s="30">
        <f>IF(AC39="","",COUNTIF(Q39:AB39,"Yes"))</f>
        <v/>
      </c>
      <c r="AE39" s="19" t="n"/>
      <c r="AF39" s="19" t="n"/>
      <c r="AG39" s="30">
        <f>IF(OR(AE39="",AF39=""),"",INDEX(RiskGrid,6-VALUE(LEFT(AE39,1)),VALUE(LEFT(AF39,1))))</f>
        <v/>
      </c>
      <c r="AH39" s="30">
        <f>IF(AG39="","",IF(AG39&gt;=BandVH,"Very High",IF(AG39&gt;=BandHigh,"High",IF(AG39&gt;=BandMed,"Medium","Low"))))</f>
        <v/>
      </c>
      <c r="AI39" s="4" t="n"/>
      <c r="AJ39" s="4" t="n"/>
    </row>
    <row r="40">
      <c r="A40" s="30">
        <f>IF(B40="","",COUNTIF(B$14:B40,"?*"))</f>
        <v/>
      </c>
      <c r="B40" s="4" t="n"/>
      <c r="C40" s="19" t="n"/>
      <c r="D40" s="5">
        <f>IF(OR(B40="",C40=""),"",UPPER(LEFT(C40,1))&amp;LOWER(MID(C40,2,30))&amp;" "&amp;LOWER(LEFT(B40,1))&amp;MID(B40,2,200))</f>
        <v/>
      </c>
      <c r="E40" s="4" t="n"/>
      <c r="F40" s="4" t="n"/>
      <c r="G40" s="4" t="n"/>
      <c r="H40" s="4" t="n"/>
      <c r="I40" s="4" t="n"/>
      <c r="J40" s="4" t="n"/>
      <c r="K40" s="5">
        <f>_xlfn.TEXTJOIN(CHAR(10),TRUE,IF(E40="","","• "&amp;E40),IF(F40="","","• "&amp;F40),IF(G40="","","• "&amp;G40),IF(H40="","","• "&amp;H40),IF(I40="","","• "&amp;I40),IF(J40="","","• "&amp;J40))</f>
        <v/>
      </c>
      <c r="L40" s="4" t="n"/>
      <c r="M40" s="19" t="n"/>
      <c r="N40" s="19" t="n"/>
      <c r="O40" s="30">
        <f>IF(OR(M40="",N40=""),"",INDEX(RiskGrid,6-VALUE(LEFT(M40,1)),VALUE(LEFT(N40,1))))</f>
        <v/>
      </c>
      <c r="P40" s="30">
        <f>IF(O40="","",IF(O40&gt;=BandVH,"Very High",IF(O40&gt;=BandHigh,"High",IF(O40&gt;=BandMed,"Medium","Low"))))</f>
        <v/>
      </c>
      <c r="Q40" s="4" t="n"/>
      <c r="R40" s="19" t="n"/>
      <c r="S40" s="4" t="n"/>
      <c r="T40" s="19" t="n"/>
      <c r="U40" s="4" t="n"/>
      <c r="V40" s="19" t="n"/>
      <c r="W40" s="4" t="n"/>
      <c r="X40" s="19" t="n"/>
      <c r="Y40" s="4" t="n"/>
      <c r="Z40" s="19" t="n"/>
      <c r="AA40" s="4" t="n"/>
      <c r="AB40" s="19" t="n"/>
      <c r="AC40" s="5">
        <f>_xlfn.TEXTJOIN(CHAR(10),TRUE,IF(Q40="","","• "&amp;Q40&amp;IF(R40="Yes","  [IPL]","")),IF(S40="","","• "&amp;S40&amp;IF(T40="Yes","  [IPL]","")),IF(U40="","","• "&amp;U40&amp;IF(V40="Yes","  [IPL]","")),IF(W40="","","• "&amp;W40&amp;IF(X40="Yes","  [IPL]","")),IF(Y40="","","• "&amp;Y40&amp;IF(Z40="Yes","  [IPL]","")),IF(AA40="","","• "&amp;AA40&amp;IF(AB40="Yes","  [IPL]","")))</f>
        <v/>
      </c>
      <c r="AD40" s="30">
        <f>IF(AC40="","",COUNTIF(Q40:AB40,"Yes"))</f>
        <v/>
      </c>
      <c r="AE40" s="19" t="n"/>
      <c r="AF40" s="19" t="n"/>
      <c r="AG40" s="30">
        <f>IF(OR(AE40="",AF40=""),"",INDEX(RiskGrid,6-VALUE(LEFT(AE40,1)),VALUE(LEFT(AF40,1))))</f>
        <v/>
      </c>
      <c r="AH40" s="30">
        <f>IF(AG40="","",IF(AG40&gt;=BandVH,"Very High",IF(AG40&gt;=BandHigh,"High",IF(AG40&gt;=BandMed,"Medium","Low"))))</f>
        <v/>
      </c>
      <c r="AI40" s="4" t="n"/>
      <c r="AJ40" s="4" t="n"/>
    </row>
    <row r="41">
      <c r="A41" s="30">
        <f>IF(B41="","",COUNTIF(B$14:B41,"?*"))</f>
        <v/>
      </c>
      <c r="B41" s="4" t="n"/>
      <c r="C41" s="19" t="n"/>
      <c r="D41" s="5">
        <f>IF(OR(B41="",C41=""),"",UPPER(LEFT(C41,1))&amp;LOWER(MID(C41,2,30))&amp;" "&amp;LOWER(LEFT(B41,1))&amp;MID(B41,2,200))</f>
        <v/>
      </c>
      <c r="E41" s="4" t="n"/>
      <c r="F41" s="4" t="n"/>
      <c r="G41" s="4" t="n"/>
      <c r="H41" s="4" t="n"/>
      <c r="I41" s="4" t="n"/>
      <c r="J41" s="4" t="n"/>
      <c r="K41" s="5">
        <f>_xlfn.TEXTJOIN(CHAR(10),TRUE,IF(E41="","","• "&amp;E41),IF(F41="","","• "&amp;F41),IF(G41="","","• "&amp;G41),IF(H41="","","• "&amp;H41),IF(I41="","","• "&amp;I41),IF(J41="","","• "&amp;J41))</f>
        <v/>
      </c>
      <c r="L41" s="4" t="n"/>
      <c r="M41" s="19" t="n"/>
      <c r="N41" s="19" t="n"/>
      <c r="O41" s="30">
        <f>IF(OR(M41="",N41=""),"",INDEX(RiskGrid,6-VALUE(LEFT(M41,1)),VALUE(LEFT(N41,1))))</f>
        <v/>
      </c>
      <c r="P41" s="30">
        <f>IF(O41="","",IF(O41&gt;=BandVH,"Very High",IF(O41&gt;=BandHigh,"High",IF(O41&gt;=BandMed,"Medium","Low"))))</f>
        <v/>
      </c>
      <c r="Q41" s="4" t="n"/>
      <c r="R41" s="19" t="n"/>
      <c r="S41" s="4" t="n"/>
      <c r="T41" s="19" t="n"/>
      <c r="U41" s="4" t="n"/>
      <c r="V41" s="19" t="n"/>
      <c r="W41" s="4" t="n"/>
      <c r="X41" s="19" t="n"/>
      <c r="Y41" s="4" t="n"/>
      <c r="Z41" s="19" t="n"/>
      <c r="AA41" s="4" t="n"/>
      <c r="AB41" s="19" t="n"/>
      <c r="AC41" s="5">
        <f>_xlfn.TEXTJOIN(CHAR(10),TRUE,IF(Q41="","","• "&amp;Q41&amp;IF(R41="Yes","  [IPL]","")),IF(S41="","","• "&amp;S41&amp;IF(T41="Yes","  [IPL]","")),IF(U41="","","• "&amp;U41&amp;IF(V41="Yes","  [IPL]","")),IF(W41="","","• "&amp;W41&amp;IF(X41="Yes","  [IPL]","")),IF(Y41="","","• "&amp;Y41&amp;IF(Z41="Yes","  [IPL]","")),IF(AA41="","","• "&amp;AA41&amp;IF(AB41="Yes","  [IPL]","")))</f>
        <v/>
      </c>
      <c r="AD41" s="30">
        <f>IF(AC41="","",COUNTIF(Q41:AB41,"Yes"))</f>
        <v/>
      </c>
      <c r="AE41" s="19" t="n"/>
      <c r="AF41" s="19" t="n"/>
      <c r="AG41" s="30">
        <f>IF(OR(AE41="",AF41=""),"",INDEX(RiskGrid,6-VALUE(LEFT(AE41,1)),VALUE(LEFT(AF41,1))))</f>
        <v/>
      </c>
      <c r="AH41" s="30">
        <f>IF(AG41="","",IF(AG41&gt;=BandVH,"Very High",IF(AG41&gt;=BandHigh,"High",IF(AG41&gt;=BandMed,"Medium","Low"))))</f>
        <v/>
      </c>
      <c r="AI41" s="4" t="n"/>
      <c r="AJ41" s="4" t="n"/>
    </row>
    <row r="42">
      <c r="A42" s="30">
        <f>IF(B42="","",COUNTIF(B$14:B42,"?*"))</f>
        <v/>
      </c>
      <c r="B42" s="4" t="n"/>
      <c r="C42" s="19" t="n"/>
      <c r="D42" s="5">
        <f>IF(OR(B42="",C42=""),"",UPPER(LEFT(C42,1))&amp;LOWER(MID(C42,2,30))&amp;" "&amp;LOWER(LEFT(B42,1))&amp;MID(B42,2,200))</f>
        <v/>
      </c>
      <c r="E42" s="4" t="n"/>
      <c r="F42" s="4" t="n"/>
      <c r="G42" s="4" t="n"/>
      <c r="H42" s="4" t="n"/>
      <c r="I42" s="4" t="n"/>
      <c r="J42" s="4" t="n"/>
      <c r="K42" s="5">
        <f>_xlfn.TEXTJOIN(CHAR(10),TRUE,IF(E42="","","• "&amp;E42),IF(F42="","","• "&amp;F42),IF(G42="","","• "&amp;G42),IF(H42="","","• "&amp;H42),IF(I42="","","• "&amp;I42),IF(J42="","","• "&amp;J42))</f>
        <v/>
      </c>
      <c r="L42" s="4" t="n"/>
      <c r="M42" s="19" t="n"/>
      <c r="N42" s="19" t="n"/>
      <c r="O42" s="30">
        <f>IF(OR(M42="",N42=""),"",INDEX(RiskGrid,6-VALUE(LEFT(M42,1)),VALUE(LEFT(N42,1))))</f>
        <v/>
      </c>
      <c r="P42" s="30">
        <f>IF(O42="","",IF(O42&gt;=BandVH,"Very High",IF(O42&gt;=BandHigh,"High",IF(O42&gt;=BandMed,"Medium","Low"))))</f>
        <v/>
      </c>
      <c r="Q42" s="4" t="n"/>
      <c r="R42" s="19" t="n"/>
      <c r="S42" s="4" t="n"/>
      <c r="T42" s="19" t="n"/>
      <c r="U42" s="4" t="n"/>
      <c r="V42" s="19" t="n"/>
      <c r="W42" s="4" t="n"/>
      <c r="X42" s="19" t="n"/>
      <c r="Y42" s="4" t="n"/>
      <c r="Z42" s="19" t="n"/>
      <c r="AA42" s="4" t="n"/>
      <c r="AB42" s="19" t="n"/>
      <c r="AC42" s="5">
        <f>_xlfn.TEXTJOIN(CHAR(10),TRUE,IF(Q42="","","• "&amp;Q42&amp;IF(R42="Yes","  [IPL]","")),IF(S42="","","• "&amp;S42&amp;IF(T42="Yes","  [IPL]","")),IF(U42="","","• "&amp;U42&amp;IF(V42="Yes","  [IPL]","")),IF(W42="","","• "&amp;W42&amp;IF(X42="Yes","  [IPL]","")),IF(Y42="","","• "&amp;Y42&amp;IF(Z42="Yes","  [IPL]","")),IF(AA42="","","• "&amp;AA42&amp;IF(AB42="Yes","  [IPL]","")))</f>
        <v/>
      </c>
      <c r="AD42" s="30">
        <f>IF(AC42="","",COUNTIF(Q42:AB42,"Yes"))</f>
        <v/>
      </c>
      <c r="AE42" s="19" t="n"/>
      <c r="AF42" s="19" t="n"/>
      <c r="AG42" s="30">
        <f>IF(OR(AE42="",AF42=""),"",INDEX(RiskGrid,6-VALUE(LEFT(AE42,1)),VALUE(LEFT(AF42,1))))</f>
        <v/>
      </c>
      <c r="AH42" s="30">
        <f>IF(AG42="","",IF(AG42&gt;=BandVH,"Very High",IF(AG42&gt;=BandHigh,"High",IF(AG42&gt;=BandMed,"Medium","Low"))))</f>
        <v/>
      </c>
      <c r="AI42" s="4" t="n"/>
      <c r="AJ42" s="4" t="n"/>
    </row>
    <row r="43">
      <c r="A43" s="30">
        <f>IF(B43="","",COUNTIF(B$14:B43,"?*"))</f>
        <v/>
      </c>
      <c r="B43" s="4" t="n"/>
      <c r="C43" s="19" t="n"/>
      <c r="D43" s="5">
        <f>IF(OR(B43="",C43=""),"",UPPER(LEFT(C43,1))&amp;LOWER(MID(C43,2,30))&amp;" "&amp;LOWER(LEFT(B43,1))&amp;MID(B43,2,200))</f>
        <v/>
      </c>
      <c r="E43" s="4" t="n"/>
      <c r="F43" s="4" t="n"/>
      <c r="G43" s="4" t="n"/>
      <c r="H43" s="4" t="n"/>
      <c r="I43" s="4" t="n"/>
      <c r="J43" s="4" t="n"/>
      <c r="K43" s="5">
        <f>_xlfn.TEXTJOIN(CHAR(10),TRUE,IF(E43="","","• "&amp;E43),IF(F43="","","• "&amp;F43),IF(G43="","","• "&amp;G43),IF(H43="","","• "&amp;H43),IF(I43="","","• "&amp;I43),IF(J43="","","• "&amp;J43))</f>
        <v/>
      </c>
      <c r="L43" s="4" t="n"/>
      <c r="M43" s="19" t="n"/>
      <c r="N43" s="19" t="n"/>
      <c r="O43" s="30">
        <f>IF(OR(M43="",N43=""),"",INDEX(RiskGrid,6-VALUE(LEFT(M43,1)),VALUE(LEFT(N43,1))))</f>
        <v/>
      </c>
      <c r="P43" s="30">
        <f>IF(O43="","",IF(O43&gt;=BandVH,"Very High",IF(O43&gt;=BandHigh,"High",IF(O43&gt;=BandMed,"Medium","Low"))))</f>
        <v/>
      </c>
      <c r="Q43" s="4" t="n"/>
      <c r="R43" s="19" t="n"/>
      <c r="S43" s="4" t="n"/>
      <c r="T43" s="19" t="n"/>
      <c r="U43" s="4" t="n"/>
      <c r="V43" s="19" t="n"/>
      <c r="W43" s="4" t="n"/>
      <c r="X43" s="19" t="n"/>
      <c r="Y43" s="4" t="n"/>
      <c r="Z43" s="19" t="n"/>
      <c r="AA43" s="4" t="n"/>
      <c r="AB43" s="19" t="n"/>
      <c r="AC43" s="5">
        <f>_xlfn.TEXTJOIN(CHAR(10),TRUE,IF(Q43="","","• "&amp;Q43&amp;IF(R43="Yes","  [IPL]","")),IF(S43="","","• "&amp;S43&amp;IF(T43="Yes","  [IPL]","")),IF(U43="","","• "&amp;U43&amp;IF(V43="Yes","  [IPL]","")),IF(W43="","","• "&amp;W43&amp;IF(X43="Yes","  [IPL]","")),IF(Y43="","","• "&amp;Y43&amp;IF(Z43="Yes","  [IPL]","")),IF(AA43="","","• "&amp;AA43&amp;IF(AB43="Yes","  [IPL]","")))</f>
        <v/>
      </c>
      <c r="AD43" s="30">
        <f>IF(AC43="","",COUNTIF(Q43:AB43,"Yes"))</f>
        <v/>
      </c>
      <c r="AE43" s="19" t="n"/>
      <c r="AF43" s="19" t="n"/>
      <c r="AG43" s="30">
        <f>IF(OR(AE43="",AF43=""),"",INDEX(RiskGrid,6-VALUE(LEFT(AE43,1)),VALUE(LEFT(AF43,1))))</f>
        <v/>
      </c>
      <c r="AH43" s="30">
        <f>IF(AG43="","",IF(AG43&gt;=BandVH,"Very High",IF(AG43&gt;=BandHigh,"High",IF(AG43&gt;=BandMed,"Medium","Low"))))</f>
        <v/>
      </c>
      <c r="AI43" s="4" t="n"/>
      <c r="AJ43" s="4" t="n"/>
    </row>
    <row r="44">
      <c r="A44" s="30">
        <f>IF(B44="","",COUNTIF(B$14:B44,"?*"))</f>
        <v/>
      </c>
      <c r="B44" s="4" t="n"/>
      <c r="C44" s="19" t="n"/>
      <c r="D44" s="5">
        <f>IF(OR(B44="",C44=""),"",UPPER(LEFT(C44,1))&amp;LOWER(MID(C44,2,30))&amp;" "&amp;LOWER(LEFT(B44,1))&amp;MID(B44,2,200))</f>
        <v/>
      </c>
      <c r="E44" s="4" t="n"/>
      <c r="F44" s="4" t="n"/>
      <c r="G44" s="4" t="n"/>
      <c r="H44" s="4" t="n"/>
      <c r="I44" s="4" t="n"/>
      <c r="J44" s="4" t="n"/>
      <c r="K44" s="5">
        <f>_xlfn.TEXTJOIN(CHAR(10),TRUE,IF(E44="","","• "&amp;E44),IF(F44="","","• "&amp;F44),IF(G44="","","• "&amp;G44),IF(H44="","","• "&amp;H44),IF(I44="","","• "&amp;I44),IF(J44="","","• "&amp;J44))</f>
        <v/>
      </c>
      <c r="L44" s="4" t="n"/>
      <c r="M44" s="19" t="n"/>
      <c r="N44" s="19" t="n"/>
      <c r="O44" s="30">
        <f>IF(OR(M44="",N44=""),"",INDEX(RiskGrid,6-VALUE(LEFT(M44,1)),VALUE(LEFT(N44,1))))</f>
        <v/>
      </c>
      <c r="P44" s="30">
        <f>IF(O44="","",IF(O44&gt;=BandVH,"Very High",IF(O44&gt;=BandHigh,"High",IF(O44&gt;=BandMed,"Medium","Low"))))</f>
        <v/>
      </c>
      <c r="Q44" s="4" t="n"/>
      <c r="R44" s="19" t="n"/>
      <c r="S44" s="4" t="n"/>
      <c r="T44" s="19" t="n"/>
      <c r="U44" s="4" t="n"/>
      <c r="V44" s="19" t="n"/>
      <c r="W44" s="4" t="n"/>
      <c r="X44" s="19" t="n"/>
      <c r="Y44" s="4" t="n"/>
      <c r="Z44" s="19" t="n"/>
      <c r="AA44" s="4" t="n"/>
      <c r="AB44" s="19" t="n"/>
      <c r="AC44" s="5">
        <f>_xlfn.TEXTJOIN(CHAR(10),TRUE,IF(Q44="","","• "&amp;Q44&amp;IF(R44="Yes","  [IPL]","")),IF(S44="","","• "&amp;S44&amp;IF(T44="Yes","  [IPL]","")),IF(U44="","","• "&amp;U44&amp;IF(V44="Yes","  [IPL]","")),IF(W44="","","• "&amp;W44&amp;IF(X44="Yes","  [IPL]","")),IF(Y44="","","• "&amp;Y44&amp;IF(Z44="Yes","  [IPL]","")),IF(AA44="","","• "&amp;AA44&amp;IF(AB44="Yes","  [IPL]","")))</f>
        <v/>
      </c>
      <c r="AD44" s="30">
        <f>IF(AC44="","",COUNTIF(Q44:AB44,"Yes"))</f>
        <v/>
      </c>
      <c r="AE44" s="19" t="n"/>
      <c r="AF44" s="19" t="n"/>
      <c r="AG44" s="30">
        <f>IF(OR(AE44="",AF44=""),"",INDEX(RiskGrid,6-VALUE(LEFT(AE44,1)),VALUE(LEFT(AF44,1))))</f>
        <v/>
      </c>
      <c r="AH44" s="30">
        <f>IF(AG44="","",IF(AG44&gt;=BandVH,"Very High",IF(AG44&gt;=BandHigh,"High",IF(AG44&gt;=BandMed,"Medium","Low"))))</f>
        <v/>
      </c>
      <c r="AI44" s="4" t="n"/>
      <c r="AJ44" s="4" t="n"/>
    </row>
    <row r="45">
      <c r="A45" s="30">
        <f>IF(B45="","",COUNTIF(B$14:B45,"?*"))</f>
        <v/>
      </c>
      <c r="B45" s="4" t="n"/>
      <c r="C45" s="19" t="n"/>
      <c r="D45" s="5">
        <f>IF(OR(B45="",C45=""),"",UPPER(LEFT(C45,1))&amp;LOWER(MID(C45,2,30))&amp;" "&amp;LOWER(LEFT(B45,1))&amp;MID(B45,2,200))</f>
        <v/>
      </c>
      <c r="E45" s="4" t="n"/>
      <c r="F45" s="4" t="n"/>
      <c r="G45" s="4" t="n"/>
      <c r="H45" s="4" t="n"/>
      <c r="I45" s="4" t="n"/>
      <c r="J45" s="4" t="n"/>
      <c r="K45" s="5">
        <f>_xlfn.TEXTJOIN(CHAR(10),TRUE,IF(E45="","","• "&amp;E45),IF(F45="","","• "&amp;F45),IF(G45="","","• "&amp;G45),IF(H45="","","• "&amp;H45),IF(I45="","","• "&amp;I45),IF(J45="","","• "&amp;J45))</f>
        <v/>
      </c>
      <c r="L45" s="4" t="n"/>
      <c r="M45" s="19" t="n"/>
      <c r="N45" s="19" t="n"/>
      <c r="O45" s="30">
        <f>IF(OR(M45="",N45=""),"",INDEX(RiskGrid,6-VALUE(LEFT(M45,1)),VALUE(LEFT(N45,1))))</f>
        <v/>
      </c>
      <c r="P45" s="30">
        <f>IF(O45="","",IF(O45&gt;=BandVH,"Very High",IF(O45&gt;=BandHigh,"High",IF(O45&gt;=BandMed,"Medium","Low"))))</f>
        <v/>
      </c>
      <c r="Q45" s="4" t="n"/>
      <c r="R45" s="19" t="n"/>
      <c r="S45" s="4" t="n"/>
      <c r="T45" s="19" t="n"/>
      <c r="U45" s="4" t="n"/>
      <c r="V45" s="19" t="n"/>
      <c r="W45" s="4" t="n"/>
      <c r="X45" s="19" t="n"/>
      <c r="Y45" s="4" t="n"/>
      <c r="Z45" s="19" t="n"/>
      <c r="AA45" s="4" t="n"/>
      <c r="AB45" s="19" t="n"/>
      <c r="AC45" s="5">
        <f>_xlfn.TEXTJOIN(CHAR(10),TRUE,IF(Q45="","","• "&amp;Q45&amp;IF(R45="Yes","  [IPL]","")),IF(S45="","","• "&amp;S45&amp;IF(T45="Yes","  [IPL]","")),IF(U45="","","• "&amp;U45&amp;IF(V45="Yes","  [IPL]","")),IF(W45="","","• "&amp;W45&amp;IF(X45="Yes","  [IPL]","")),IF(Y45="","","• "&amp;Y45&amp;IF(Z45="Yes","  [IPL]","")),IF(AA45="","","• "&amp;AA45&amp;IF(AB45="Yes","  [IPL]","")))</f>
        <v/>
      </c>
      <c r="AD45" s="30">
        <f>IF(AC45="","",COUNTIF(Q45:AB45,"Yes"))</f>
        <v/>
      </c>
      <c r="AE45" s="19" t="n"/>
      <c r="AF45" s="19" t="n"/>
      <c r="AG45" s="30">
        <f>IF(OR(AE45="",AF45=""),"",INDEX(RiskGrid,6-VALUE(LEFT(AE45,1)),VALUE(LEFT(AF45,1))))</f>
        <v/>
      </c>
      <c r="AH45" s="30">
        <f>IF(AG45="","",IF(AG45&gt;=BandVH,"Very High",IF(AG45&gt;=BandHigh,"High",IF(AG45&gt;=BandMed,"Medium","Low"))))</f>
        <v/>
      </c>
      <c r="AI45" s="4" t="n"/>
      <c r="AJ45" s="4" t="n"/>
    </row>
    <row r="46">
      <c r="A46" s="30">
        <f>IF(B46="","",COUNTIF(B$14:B46,"?*"))</f>
        <v/>
      </c>
      <c r="B46" s="4" t="n"/>
      <c r="C46" s="19" t="n"/>
      <c r="D46" s="5">
        <f>IF(OR(B46="",C46=""),"",UPPER(LEFT(C46,1))&amp;LOWER(MID(C46,2,30))&amp;" "&amp;LOWER(LEFT(B46,1))&amp;MID(B46,2,200))</f>
        <v/>
      </c>
      <c r="E46" s="4" t="n"/>
      <c r="F46" s="4" t="n"/>
      <c r="G46" s="4" t="n"/>
      <c r="H46" s="4" t="n"/>
      <c r="I46" s="4" t="n"/>
      <c r="J46" s="4" t="n"/>
      <c r="K46" s="5">
        <f>_xlfn.TEXTJOIN(CHAR(10),TRUE,IF(E46="","","• "&amp;E46),IF(F46="","","• "&amp;F46),IF(G46="","","• "&amp;G46),IF(H46="","","• "&amp;H46),IF(I46="","","• "&amp;I46),IF(J46="","","• "&amp;J46))</f>
        <v/>
      </c>
      <c r="L46" s="4" t="n"/>
      <c r="M46" s="19" t="n"/>
      <c r="N46" s="19" t="n"/>
      <c r="O46" s="30">
        <f>IF(OR(M46="",N46=""),"",INDEX(RiskGrid,6-VALUE(LEFT(M46,1)),VALUE(LEFT(N46,1))))</f>
        <v/>
      </c>
      <c r="P46" s="30">
        <f>IF(O46="","",IF(O46&gt;=BandVH,"Very High",IF(O46&gt;=BandHigh,"High",IF(O46&gt;=BandMed,"Medium","Low"))))</f>
        <v/>
      </c>
      <c r="Q46" s="4" t="n"/>
      <c r="R46" s="19" t="n"/>
      <c r="S46" s="4" t="n"/>
      <c r="T46" s="19" t="n"/>
      <c r="U46" s="4" t="n"/>
      <c r="V46" s="19" t="n"/>
      <c r="W46" s="4" t="n"/>
      <c r="X46" s="19" t="n"/>
      <c r="Y46" s="4" t="n"/>
      <c r="Z46" s="19" t="n"/>
      <c r="AA46" s="4" t="n"/>
      <c r="AB46" s="19" t="n"/>
      <c r="AC46" s="5">
        <f>_xlfn.TEXTJOIN(CHAR(10),TRUE,IF(Q46="","","• "&amp;Q46&amp;IF(R46="Yes","  [IPL]","")),IF(S46="","","• "&amp;S46&amp;IF(T46="Yes","  [IPL]","")),IF(U46="","","• "&amp;U46&amp;IF(V46="Yes","  [IPL]","")),IF(W46="","","• "&amp;W46&amp;IF(X46="Yes","  [IPL]","")),IF(Y46="","","• "&amp;Y46&amp;IF(Z46="Yes","  [IPL]","")),IF(AA46="","","• "&amp;AA46&amp;IF(AB46="Yes","  [IPL]","")))</f>
        <v/>
      </c>
      <c r="AD46" s="30">
        <f>IF(AC46="","",COUNTIF(Q46:AB46,"Yes"))</f>
        <v/>
      </c>
      <c r="AE46" s="19" t="n"/>
      <c r="AF46" s="19" t="n"/>
      <c r="AG46" s="30">
        <f>IF(OR(AE46="",AF46=""),"",INDEX(RiskGrid,6-VALUE(LEFT(AE46,1)),VALUE(LEFT(AF46,1))))</f>
        <v/>
      </c>
      <c r="AH46" s="30">
        <f>IF(AG46="","",IF(AG46&gt;=BandVH,"Very High",IF(AG46&gt;=BandHigh,"High",IF(AG46&gt;=BandMed,"Medium","Low"))))</f>
        <v/>
      </c>
      <c r="AI46" s="4" t="n"/>
      <c r="AJ46" s="4" t="n"/>
    </row>
    <row r="47">
      <c r="A47" s="30">
        <f>IF(B47="","",COUNTIF(B$14:B47,"?*"))</f>
        <v/>
      </c>
      <c r="B47" s="4" t="n"/>
      <c r="C47" s="19" t="n"/>
      <c r="D47" s="5">
        <f>IF(OR(B47="",C47=""),"",UPPER(LEFT(C47,1))&amp;LOWER(MID(C47,2,30))&amp;" "&amp;LOWER(LEFT(B47,1))&amp;MID(B47,2,200))</f>
        <v/>
      </c>
      <c r="E47" s="4" t="n"/>
      <c r="F47" s="4" t="n"/>
      <c r="G47" s="4" t="n"/>
      <c r="H47" s="4" t="n"/>
      <c r="I47" s="4" t="n"/>
      <c r="J47" s="4" t="n"/>
      <c r="K47" s="5">
        <f>_xlfn.TEXTJOIN(CHAR(10),TRUE,IF(E47="","","• "&amp;E47),IF(F47="","","• "&amp;F47),IF(G47="","","• "&amp;G47),IF(H47="","","• "&amp;H47),IF(I47="","","• "&amp;I47),IF(J47="","","• "&amp;J47))</f>
        <v/>
      </c>
      <c r="L47" s="4" t="n"/>
      <c r="M47" s="19" t="n"/>
      <c r="N47" s="19" t="n"/>
      <c r="O47" s="30">
        <f>IF(OR(M47="",N47=""),"",INDEX(RiskGrid,6-VALUE(LEFT(M47,1)),VALUE(LEFT(N47,1))))</f>
        <v/>
      </c>
      <c r="P47" s="30">
        <f>IF(O47="","",IF(O47&gt;=BandVH,"Very High",IF(O47&gt;=BandHigh,"High",IF(O47&gt;=BandMed,"Medium","Low"))))</f>
        <v/>
      </c>
      <c r="Q47" s="4" t="n"/>
      <c r="R47" s="19" t="n"/>
      <c r="S47" s="4" t="n"/>
      <c r="T47" s="19" t="n"/>
      <c r="U47" s="4" t="n"/>
      <c r="V47" s="19" t="n"/>
      <c r="W47" s="4" t="n"/>
      <c r="X47" s="19" t="n"/>
      <c r="Y47" s="4" t="n"/>
      <c r="Z47" s="19" t="n"/>
      <c r="AA47" s="4" t="n"/>
      <c r="AB47" s="19" t="n"/>
      <c r="AC47" s="5">
        <f>_xlfn.TEXTJOIN(CHAR(10),TRUE,IF(Q47="","","• "&amp;Q47&amp;IF(R47="Yes","  [IPL]","")),IF(S47="","","• "&amp;S47&amp;IF(T47="Yes","  [IPL]","")),IF(U47="","","• "&amp;U47&amp;IF(V47="Yes","  [IPL]","")),IF(W47="","","• "&amp;W47&amp;IF(X47="Yes","  [IPL]","")),IF(Y47="","","• "&amp;Y47&amp;IF(Z47="Yes","  [IPL]","")),IF(AA47="","","• "&amp;AA47&amp;IF(AB47="Yes","  [IPL]","")))</f>
        <v/>
      </c>
      <c r="AD47" s="30">
        <f>IF(AC47="","",COUNTIF(Q47:AB47,"Yes"))</f>
        <v/>
      </c>
      <c r="AE47" s="19" t="n"/>
      <c r="AF47" s="19" t="n"/>
      <c r="AG47" s="30">
        <f>IF(OR(AE47="",AF47=""),"",INDEX(RiskGrid,6-VALUE(LEFT(AE47,1)),VALUE(LEFT(AF47,1))))</f>
        <v/>
      </c>
      <c r="AH47" s="30">
        <f>IF(AG47="","",IF(AG47&gt;=BandVH,"Very High",IF(AG47&gt;=BandHigh,"High",IF(AG47&gt;=BandMed,"Medium","Low"))))</f>
        <v/>
      </c>
      <c r="AI47" s="4" t="n"/>
      <c r="AJ47" s="4" t="n"/>
    </row>
    <row r="48">
      <c r="A48" s="30">
        <f>IF(B48="","",COUNTIF(B$14:B48,"?*"))</f>
        <v/>
      </c>
      <c r="B48" s="4" t="n"/>
      <c r="C48" s="19" t="n"/>
      <c r="D48" s="5">
        <f>IF(OR(B48="",C48=""),"",UPPER(LEFT(C48,1))&amp;LOWER(MID(C48,2,30))&amp;" "&amp;LOWER(LEFT(B48,1))&amp;MID(B48,2,200))</f>
        <v/>
      </c>
      <c r="E48" s="4" t="n"/>
      <c r="F48" s="4" t="n"/>
      <c r="G48" s="4" t="n"/>
      <c r="H48" s="4" t="n"/>
      <c r="I48" s="4" t="n"/>
      <c r="J48" s="4" t="n"/>
      <c r="K48" s="5">
        <f>_xlfn.TEXTJOIN(CHAR(10),TRUE,IF(E48="","","• "&amp;E48),IF(F48="","","• "&amp;F48),IF(G48="","","• "&amp;G48),IF(H48="","","• "&amp;H48),IF(I48="","","• "&amp;I48),IF(J48="","","• "&amp;J48))</f>
        <v/>
      </c>
      <c r="L48" s="4" t="n"/>
      <c r="M48" s="19" t="n"/>
      <c r="N48" s="19" t="n"/>
      <c r="O48" s="30">
        <f>IF(OR(M48="",N48=""),"",INDEX(RiskGrid,6-VALUE(LEFT(M48,1)),VALUE(LEFT(N48,1))))</f>
        <v/>
      </c>
      <c r="P48" s="30">
        <f>IF(O48="","",IF(O48&gt;=BandVH,"Very High",IF(O48&gt;=BandHigh,"High",IF(O48&gt;=BandMed,"Medium","Low"))))</f>
        <v/>
      </c>
      <c r="Q48" s="4" t="n"/>
      <c r="R48" s="19" t="n"/>
      <c r="S48" s="4" t="n"/>
      <c r="T48" s="19" t="n"/>
      <c r="U48" s="4" t="n"/>
      <c r="V48" s="19" t="n"/>
      <c r="W48" s="4" t="n"/>
      <c r="X48" s="19" t="n"/>
      <c r="Y48" s="4" t="n"/>
      <c r="Z48" s="19" t="n"/>
      <c r="AA48" s="4" t="n"/>
      <c r="AB48" s="19" t="n"/>
      <c r="AC48" s="5">
        <f>_xlfn.TEXTJOIN(CHAR(10),TRUE,IF(Q48="","","• "&amp;Q48&amp;IF(R48="Yes","  [IPL]","")),IF(S48="","","• "&amp;S48&amp;IF(T48="Yes","  [IPL]","")),IF(U48="","","• "&amp;U48&amp;IF(V48="Yes","  [IPL]","")),IF(W48="","","• "&amp;W48&amp;IF(X48="Yes","  [IPL]","")),IF(Y48="","","• "&amp;Y48&amp;IF(Z48="Yes","  [IPL]","")),IF(AA48="","","• "&amp;AA48&amp;IF(AB48="Yes","  [IPL]","")))</f>
        <v/>
      </c>
      <c r="AD48" s="30">
        <f>IF(AC48="","",COUNTIF(Q48:AB48,"Yes"))</f>
        <v/>
      </c>
      <c r="AE48" s="19" t="n"/>
      <c r="AF48" s="19" t="n"/>
      <c r="AG48" s="30">
        <f>IF(OR(AE48="",AF48=""),"",INDEX(RiskGrid,6-VALUE(LEFT(AE48,1)),VALUE(LEFT(AF48,1))))</f>
        <v/>
      </c>
      <c r="AH48" s="30">
        <f>IF(AG48="","",IF(AG48&gt;=BandVH,"Very High",IF(AG48&gt;=BandHigh,"High",IF(AG48&gt;=BandMed,"Medium","Low"))))</f>
        <v/>
      </c>
      <c r="AI48" s="4" t="n"/>
      <c r="AJ48" s="4" t="n"/>
    </row>
    <row r="49">
      <c r="A49" s="30">
        <f>IF(B49="","",COUNTIF(B$14:B49,"?*"))</f>
        <v/>
      </c>
      <c r="B49" s="4" t="n"/>
      <c r="C49" s="19" t="n"/>
      <c r="D49" s="5">
        <f>IF(OR(B49="",C49=""),"",UPPER(LEFT(C49,1))&amp;LOWER(MID(C49,2,30))&amp;" "&amp;LOWER(LEFT(B49,1))&amp;MID(B49,2,200))</f>
        <v/>
      </c>
      <c r="E49" s="4" t="n"/>
      <c r="F49" s="4" t="n"/>
      <c r="G49" s="4" t="n"/>
      <c r="H49" s="4" t="n"/>
      <c r="I49" s="4" t="n"/>
      <c r="J49" s="4" t="n"/>
      <c r="K49" s="5">
        <f>_xlfn.TEXTJOIN(CHAR(10),TRUE,IF(E49="","","• "&amp;E49),IF(F49="","","• "&amp;F49),IF(G49="","","• "&amp;G49),IF(H49="","","• "&amp;H49),IF(I49="","","• "&amp;I49),IF(J49="","","• "&amp;J49))</f>
        <v/>
      </c>
      <c r="L49" s="4" t="n"/>
      <c r="M49" s="19" t="n"/>
      <c r="N49" s="19" t="n"/>
      <c r="O49" s="30">
        <f>IF(OR(M49="",N49=""),"",INDEX(RiskGrid,6-VALUE(LEFT(M49,1)),VALUE(LEFT(N49,1))))</f>
        <v/>
      </c>
      <c r="P49" s="30">
        <f>IF(O49="","",IF(O49&gt;=BandVH,"Very High",IF(O49&gt;=BandHigh,"High",IF(O49&gt;=BandMed,"Medium","Low"))))</f>
        <v/>
      </c>
      <c r="Q49" s="4" t="n"/>
      <c r="R49" s="19" t="n"/>
      <c r="S49" s="4" t="n"/>
      <c r="T49" s="19" t="n"/>
      <c r="U49" s="4" t="n"/>
      <c r="V49" s="19" t="n"/>
      <c r="W49" s="4" t="n"/>
      <c r="X49" s="19" t="n"/>
      <c r="Y49" s="4" t="n"/>
      <c r="Z49" s="19" t="n"/>
      <c r="AA49" s="4" t="n"/>
      <c r="AB49" s="19" t="n"/>
      <c r="AC49" s="5">
        <f>_xlfn.TEXTJOIN(CHAR(10),TRUE,IF(Q49="","","• "&amp;Q49&amp;IF(R49="Yes","  [IPL]","")),IF(S49="","","• "&amp;S49&amp;IF(T49="Yes","  [IPL]","")),IF(U49="","","• "&amp;U49&amp;IF(V49="Yes","  [IPL]","")),IF(W49="","","• "&amp;W49&amp;IF(X49="Yes","  [IPL]","")),IF(Y49="","","• "&amp;Y49&amp;IF(Z49="Yes","  [IPL]","")),IF(AA49="","","• "&amp;AA49&amp;IF(AB49="Yes","  [IPL]","")))</f>
        <v/>
      </c>
      <c r="AD49" s="30">
        <f>IF(AC49="","",COUNTIF(Q49:AB49,"Yes"))</f>
        <v/>
      </c>
      <c r="AE49" s="19" t="n"/>
      <c r="AF49" s="19" t="n"/>
      <c r="AG49" s="30">
        <f>IF(OR(AE49="",AF49=""),"",INDEX(RiskGrid,6-VALUE(LEFT(AE49,1)),VALUE(LEFT(AF49,1))))</f>
        <v/>
      </c>
      <c r="AH49" s="30">
        <f>IF(AG49="","",IF(AG49&gt;=BandVH,"Very High",IF(AG49&gt;=BandHigh,"High",IF(AG49&gt;=BandMed,"Medium","Low"))))</f>
        <v/>
      </c>
      <c r="AI49" s="4" t="n"/>
      <c r="AJ49" s="4" t="n"/>
    </row>
    <row r="50">
      <c r="A50" s="30">
        <f>IF(B50="","",COUNTIF(B$14:B50,"?*"))</f>
        <v/>
      </c>
      <c r="B50" s="4" t="n"/>
      <c r="C50" s="19" t="n"/>
      <c r="D50" s="5">
        <f>IF(OR(B50="",C50=""),"",UPPER(LEFT(C50,1))&amp;LOWER(MID(C50,2,30))&amp;" "&amp;LOWER(LEFT(B50,1))&amp;MID(B50,2,200))</f>
        <v/>
      </c>
      <c r="E50" s="4" t="n"/>
      <c r="F50" s="4" t="n"/>
      <c r="G50" s="4" t="n"/>
      <c r="H50" s="4" t="n"/>
      <c r="I50" s="4" t="n"/>
      <c r="J50" s="4" t="n"/>
      <c r="K50" s="5">
        <f>_xlfn.TEXTJOIN(CHAR(10),TRUE,IF(E50="","","• "&amp;E50),IF(F50="","","• "&amp;F50),IF(G50="","","• "&amp;G50),IF(H50="","","• "&amp;H50),IF(I50="","","• "&amp;I50),IF(J50="","","• "&amp;J50))</f>
        <v/>
      </c>
      <c r="L50" s="4" t="n"/>
      <c r="M50" s="19" t="n"/>
      <c r="N50" s="19" t="n"/>
      <c r="O50" s="30">
        <f>IF(OR(M50="",N50=""),"",INDEX(RiskGrid,6-VALUE(LEFT(M50,1)),VALUE(LEFT(N50,1))))</f>
        <v/>
      </c>
      <c r="P50" s="30">
        <f>IF(O50="","",IF(O50&gt;=BandVH,"Very High",IF(O50&gt;=BandHigh,"High",IF(O50&gt;=BandMed,"Medium","Low"))))</f>
        <v/>
      </c>
      <c r="Q50" s="4" t="n"/>
      <c r="R50" s="19" t="n"/>
      <c r="S50" s="4" t="n"/>
      <c r="T50" s="19" t="n"/>
      <c r="U50" s="4" t="n"/>
      <c r="V50" s="19" t="n"/>
      <c r="W50" s="4" t="n"/>
      <c r="X50" s="19" t="n"/>
      <c r="Y50" s="4" t="n"/>
      <c r="Z50" s="19" t="n"/>
      <c r="AA50" s="4" t="n"/>
      <c r="AB50" s="19" t="n"/>
      <c r="AC50" s="5">
        <f>_xlfn.TEXTJOIN(CHAR(10),TRUE,IF(Q50="","","• "&amp;Q50&amp;IF(R50="Yes","  [IPL]","")),IF(S50="","","• "&amp;S50&amp;IF(T50="Yes","  [IPL]","")),IF(U50="","","• "&amp;U50&amp;IF(V50="Yes","  [IPL]","")),IF(W50="","","• "&amp;W50&amp;IF(X50="Yes","  [IPL]","")),IF(Y50="","","• "&amp;Y50&amp;IF(Z50="Yes","  [IPL]","")),IF(AA50="","","• "&amp;AA50&amp;IF(AB50="Yes","  [IPL]","")))</f>
        <v/>
      </c>
      <c r="AD50" s="30">
        <f>IF(AC50="","",COUNTIF(Q50:AB50,"Yes"))</f>
        <v/>
      </c>
      <c r="AE50" s="19" t="n"/>
      <c r="AF50" s="19" t="n"/>
      <c r="AG50" s="30">
        <f>IF(OR(AE50="",AF50=""),"",INDEX(RiskGrid,6-VALUE(LEFT(AE50,1)),VALUE(LEFT(AF50,1))))</f>
        <v/>
      </c>
      <c r="AH50" s="30">
        <f>IF(AG50="","",IF(AG50&gt;=BandVH,"Very High",IF(AG50&gt;=BandHigh,"High",IF(AG50&gt;=BandMed,"Medium","Low"))))</f>
        <v/>
      </c>
      <c r="AI50" s="4" t="n"/>
      <c r="AJ50" s="4" t="n"/>
    </row>
    <row r="51">
      <c r="A51" s="30">
        <f>IF(B51="","",COUNTIF(B$14:B51,"?*"))</f>
        <v/>
      </c>
      <c r="B51" s="4" t="n"/>
      <c r="C51" s="19" t="n"/>
      <c r="D51" s="5">
        <f>IF(OR(B51="",C51=""),"",UPPER(LEFT(C51,1))&amp;LOWER(MID(C51,2,30))&amp;" "&amp;LOWER(LEFT(B51,1))&amp;MID(B51,2,200))</f>
        <v/>
      </c>
      <c r="E51" s="4" t="n"/>
      <c r="F51" s="4" t="n"/>
      <c r="G51" s="4" t="n"/>
      <c r="H51" s="4" t="n"/>
      <c r="I51" s="4" t="n"/>
      <c r="J51" s="4" t="n"/>
      <c r="K51" s="5">
        <f>_xlfn.TEXTJOIN(CHAR(10),TRUE,IF(E51="","","• "&amp;E51),IF(F51="","","• "&amp;F51),IF(G51="","","• "&amp;G51),IF(H51="","","• "&amp;H51),IF(I51="","","• "&amp;I51),IF(J51="","","• "&amp;J51))</f>
        <v/>
      </c>
      <c r="L51" s="4" t="n"/>
      <c r="M51" s="19" t="n"/>
      <c r="N51" s="19" t="n"/>
      <c r="O51" s="30">
        <f>IF(OR(M51="",N51=""),"",INDEX(RiskGrid,6-VALUE(LEFT(M51,1)),VALUE(LEFT(N51,1))))</f>
        <v/>
      </c>
      <c r="P51" s="30">
        <f>IF(O51="","",IF(O51&gt;=BandVH,"Very High",IF(O51&gt;=BandHigh,"High",IF(O51&gt;=BandMed,"Medium","Low"))))</f>
        <v/>
      </c>
      <c r="Q51" s="4" t="n"/>
      <c r="R51" s="19" t="n"/>
      <c r="S51" s="4" t="n"/>
      <c r="T51" s="19" t="n"/>
      <c r="U51" s="4" t="n"/>
      <c r="V51" s="19" t="n"/>
      <c r="W51" s="4" t="n"/>
      <c r="X51" s="19" t="n"/>
      <c r="Y51" s="4" t="n"/>
      <c r="Z51" s="19" t="n"/>
      <c r="AA51" s="4" t="n"/>
      <c r="AB51" s="19" t="n"/>
      <c r="AC51" s="5">
        <f>_xlfn.TEXTJOIN(CHAR(10),TRUE,IF(Q51="","","• "&amp;Q51&amp;IF(R51="Yes","  [IPL]","")),IF(S51="","","• "&amp;S51&amp;IF(T51="Yes","  [IPL]","")),IF(U51="","","• "&amp;U51&amp;IF(V51="Yes","  [IPL]","")),IF(W51="","","• "&amp;W51&amp;IF(X51="Yes","  [IPL]","")),IF(Y51="","","• "&amp;Y51&amp;IF(Z51="Yes","  [IPL]","")),IF(AA51="","","• "&amp;AA51&amp;IF(AB51="Yes","  [IPL]","")))</f>
        <v/>
      </c>
      <c r="AD51" s="30">
        <f>IF(AC51="","",COUNTIF(Q51:AB51,"Yes"))</f>
        <v/>
      </c>
      <c r="AE51" s="19" t="n"/>
      <c r="AF51" s="19" t="n"/>
      <c r="AG51" s="30">
        <f>IF(OR(AE51="",AF51=""),"",INDEX(RiskGrid,6-VALUE(LEFT(AE51,1)),VALUE(LEFT(AF51,1))))</f>
        <v/>
      </c>
      <c r="AH51" s="30">
        <f>IF(AG51="","",IF(AG51&gt;=BandVH,"Very High",IF(AG51&gt;=BandHigh,"High",IF(AG51&gt;=BandMed,"Medium","Low"))))</f>
        <v/>
      </c>
      <c r="AI51" s="4" t="n"/>
      <c r="AJ51" s="4" t="n"/>
    </row>
    <row r="52">
      <c r="A52" s="30">
        <f>IF(B52="","",COUNTIF(B$14:B52,"?*"))</f>
        <v/>
      </c>
      <c r="B52" s="4" t="n"/>
      <c r="C52" s="19" t="n"/>
      <c r="D52" s="5">
        <f>IF(OR(B52="",C52=""),"",UPPER(LEFT(C52,1))&amp;LOWER(MID(C52,2,30))&amp;" "&amp;LOWER(LEFT(B52,1))&amp;MID(B52,2,200))</f>
        <v/>
      </c>
      <c r="E52" s="4" t="n"/>
      <c r="F52" s="4" t="n"/>
      <c r="G52" s="4" t="n"/>
      <c r="H52" s="4" t="n"/>
      <c r="I52" s="4" t="n"/>
      <c r="J52" s="4" t="n"/>
      <c r="K52" s="5">
        <f>_xlfn.TEXTJOIN(CHAR(10),TRUE,IF(E52="","","• "&amp;E52),IF(F52="","","• "&amp;F52),IF(G52="","","• "&amp;G52),IF(H52="","","• "&amp;H52),IF(I52="","","• "&amp;I52),IF(J52="","","• "&amp;J52))</f>
        <v/>
      </c>
      <c r="L52" s="4" t="n"/>
      <c r="M52" s="19" t="n"/>
      <c r="N52" s="19" t="n"/>
      <c r="O52" s="30">
        <f>IF(OR(M52="",N52=""),"",INDEX(RiskGrid,6-VALUE(LEFT(M52,1)),VALUE(LEFT(N52,1))))</f>
        <v/>
      </c>
      <c r="P52" s="30">
        <f>IF(O52="","",IF(O52&gt;=BandVH,"Very High",IF(O52&gt;=BandHigh,"High",IF(O52&gt;=BandMed,"Medium","Low"))))</f>
        <v/>
      </c>
      <c r="Q52" s="4" t="n"/>
      <c r="R52" s="19" t="n"/>
      <c r="S52" s="4" t="n"/>
      <c r="T52" s="19" t="n"/>
      <c r="U52" s="4" t="n"/>
      <c r="V52" s="19" t="n"/>
      <c r="W52" s="4" t="n"/>
      <c r="X52" s="19" t="n"/>
      <c r="Y52" s="4" t="n"/>
      <c r="Z52" s="19" t="n"/>
      <c r="AA52" s="4" t="n"/>
      <c r="AB52" s="19" t="n"/>
      <c r="AC52" s="5">
        <f>_xlfn.TEXTJOIN(CHAR(10),TRUE,IF(Q52="","","• "&amp;Q52&amp;IF(R52="Yes","  [IPL]","")),IF(S52="","","• "&amp;S52&amp;IF(T52="Yes","  [IPL]","")),IF(U52="","","• "&amp;U52&amp;IF(V52="Yes","  [IPL]","")),IF(W52="","","• "&amp;W52&amp;IF(X52="Yes","  [IPL]","")),IF(Y52="","","• "&amp;Y52&amp;IF(Z52="Yes","  [IPL]","")),IF(AA52="","","• "&amp;AA52&amp;IF(AB52="Yes","  [IPL]","")))</f>
        <v/>
      </c>
      <c r="AD52" s="30">
        <f>IF(AC52="","",COUNTIF(Q52:AB52,"Yes"))</f>
        <v/>
      </c>
      <c r="AE52" s="19" t="n"/>
      <c r="AF52" s="19" t="n"/>
      <c r="AG52" s="30">
        <f>IF(OR(AE52="",AF52=""),"",INDEX(RiskGrid,6-VALUE(LEFT(AE52,1)),VALUE(LEFT(AF52,1))))</f>
        <v/>
      </c>
      <c r="AH52" s="30">
        <f>IF(AG52="","",IF(AG52&gt;=BandVH,"Very High",IF(AG52&gt;=BandHigh,"High",IF(AG52&gt;=BandMed,"Medium","Low"))))</f>
        <v/>
      </c>
      <c r="AI52" s="4" t="n"/>
      <c r="AJ52" s="4" t="n"/>
    </row>
    <row r="53">
      <c r="A53" s="30">
        <f>IF(B53="","",COUNTIF(B$14:B53,"?*"))</f>
        <v/>
      </c>
      <c r="B53" s="4" t="n"/>
      <c r="C53" s="19" t="n"/>
      <c r="D53" s="5">
        <f>IF(OR(B53="",C53=""),"",UPPER(LEFT(C53,1))&amp;LOWER(MID(C53,2,30))&amp;" "&amp;LOWER(LEFT(B53,1))&amp;MID(B53,2,200))</f>
        <v/>
      </c>
      <c r="E53" s="4" t="n"/>
      <c r="F53" s="4" t="n"/>
      <c r="G53" s="4" t="n"/>
      <c r="H53" s="4" t="n"/>
      <c r="I53" s="4" t="n"/>
      <c r="J53" s="4" t="n"/>
      <c r="K53" s="5">
        <f>_xlfn.TEXTJOIN(CHAR(10),TRUE,IF(E53="","","• "&amp;E53),IF(F53="","","• "&amp;F53),IF(G53="","","• "&amp;G53),IF(H53="","","• "&amp;H53),IF(I53="","","• "&amp;I53),IF(J53="","","• "&amp;J53))</f>
        <v/>
      </c>
      <c r="L53" s="4" t="n"/>
      <c r="M53" s="19" t="n"/>
      <c r="N53" s="19" t="n"/>
      <c r="O53" s="30">
        <f>IF(OR(M53="",N53=""),"",INDEX(RiskGrid,6-VALUE(LEFT(M53,1)),VALUE(LEFT(N53,1))))</f>
        <v/>
      </c>
      <c r="P53" s="30">
        <f>IF(O53="","",IF(O53&gt;=BandVH,"Very High",IF(O53&gt;=BandHigh,"High",IF(O53&gt;=BandMed,"Medium","Low"))))</f>
        <v/>
      </c>
      <c r="Q53" s="4" t="n"/>
      <c r="R53" s="19" t="n"/>
      <c r="S53" s="4" t="n"/>
      <c r="T53" s="19" t="n"/>
      <c r="U53" s="4" t="n"/>
      <c r="V53" s="19" t="n"/>
      <c r="W53" s="4" t="n"/>
      <c r="X53" s="19" t="n"/>
      <c r="Y53" s="4" t="n"/>
      <c r="Z53" s="19" t="n"/>
      <c r="AA53" s="4" t="n"/>
      <c r="AB53" s="19" t="n"/>
      <c r="AC53" s="5">
        <f>_xlfn.TEXTJOIN(CHAR(10),TRUE,IF(Q53="","","• "&amp;Q53&amp;IF(R53="Yes","  [IPL]","")),IF(S53="","","• "&amp;S53&amp;IF(T53="Yes","  [IPL]","")),IF(U53="","","• "&amp;U53&amp;IF(V53="Yes","  [IPL]","")),IF(W53="","","• "&amp;W53&amp;IF(X53="Yes","  [IPL]","")),IF(Y53="","","• "&amp;Y53&amp;IF(Z53="Yes","  [IPL]","")),IF(AA53="","","• "&amp;AA53&amp;IF(AB53="Yes","  [IPL]","")))</f>
        <v/>
      </c>
      <c r="AD53" s="30">
        <f>IF(AC53="","",COUNTIF(Q53:AB53,"Yes"))</f>
        <v/>
      </c>
      <c r="AE53" s="19" t="n"/>
      <c r="AF53" s="19" t="n"/>
      <c r="AG53" s="30">
        <f>IF(OR(AE53="",AF53=""),"",INDEX(RiskGrid,6-VALUE(LEFT(AE53,1)),VALUE(LEFT(AF53,1))))</f>
        <v/>
      </c>
      <c r="AH53" s="30">
        <f>IF(AG53="","",IF(AG53&gt;=BandVH,"Very High",IF(AG53&gt;=BandHigh,"High",IF(AG53&gt;=BandMed,"Medium","Low"))))</f>
        <v/>
      </c>
      <c r="AI53" s="4" t="n"/>
      <c r="AJ53" s="4" t="n"/>
    </row>
    <row r="54">
      <c r="A54" s="30">
        <f>IF(B54="","",COUNTIF(B$14:B54,"?*"))</f>
        <v/>
      </c>
      <c r="B54" s="4" t="n"/>
      <c r="C54" s="19" t="n"/>
      <c r="D54" s="5">
        <f>IF(OR(B54="",C54=""),"",UPPER(LEFT(C54,1))&amp;LOWER(MID(C54,2,30))&amp;" "&amp;LOWER(LEFT(B54,1))&amp;MID(B54,2,200))</f>
        <v/>
      </c>
      <c r="E54" s="4" t="n"/>
      <c r="F54" s="4" t="n"/>
      <c r="G54" s="4" t="n"/>
      <c r="H54" s="4" t="n"/>
      <c r="I54" s="4" t="n"/>
      <c r="J54" s="4" t="n"/>
      <c r="K54" s="5">
        <f>_xlfn.TEXTJOIN(CHAR(10),TRUE,IF(E54="","","• "&amp;E54),IF(F54="","","• "&amp;F54),IF(G54="","","• "&amp;G54),IF(H54="","","• "&amp;H54),IF(I54="","","• "&amp;I54),IF(J54="","","• "&amp;J54))</f>
        <v/>
      </c>
      <c r="L54" s="4" t="n"/>
      <c r="M54" s="19" t="n"/>
      <c r="N54" s="19" t="n"/>
      <c r="O54" s="30">
        <f>IF(OR(M54="",N54=""),"",INDEX(RiskGrid,6-VALUE(LEFT(M54,1)),VALUE(LEFT(N54,1))))</f>
        <v/>
      </c>
      <c r="P54" s="30">
        <f>IF(O54="","",IF(O54&gt;=BandVH,"Very High",IF(O54&gt;=BandHigh,"High",IF(O54&gt;=BandMed,"Medium","Low"))))</f>
        <v/>
      </c>
      <c r="Q54" s="4" t="n"/>
      <c r="R54" s="19" t="n"/>
      <c r="S54" s="4" t="n"/>
      <c r="T54" s="19" t="n"/>
      <c r="U54" s="4" t="n"/>
      <c r="V54" s="19" t="n"/>
      <c r="W54" s="4" t="n"/>
      <c r="X54" s="19" t="n"/>
      <c r="Y54" s="4" t="n"/>
      <c r="Z54" s="19" t="n"/>
      <c r="AA54" s="4" t="n"/>
      <c r="AB54" s="19" t="n"/>
      <c r="AC54" s="5">
        <f>_xlfn.TEXTJOIN(CHAR(10),TRUE,IF(Q54="","","• "&amp;Q54&amp;IF(R54="Yes","  [IPL]","")),IF(S54="","","• "&amp;S54&amp;IF(T54="Yes","  [IPL]","")),IF(U54="","","• "&amp;U54&amp;IF(V54="Yes","  [IPL]","")),IF(W54="","","• "&amp;W54&amp;IF(X54="Yes","  [IPL]","")),IF(Y54="","","• "&amp;Y54&amp;IF(Z54="Yes","  [IPL]","")),IF(AA54="","","• "&amp;AA54&amp;IF(AB54="Yes","  [IPL]","")))</f>
        <v/>
      </c>
      <c r="AD54" s="30">
        <f>IF(AC54="","",COUNTIF(Q54:AB54,"Yes"))</f>
        <v/>
      </c>
      <c r="AE54" s="19" t="n"/>
      <c r="AF54" s="19" t="n"/>
      <c r="AG54" s="30">
        <f>IF(OR(AE54="",AF54=""),"",INDEX(RiskGrid,6-VALUE(LEFT(AE54,1)),VALUE(LEFT(AF54,1))))</f>
        <v/>
      </c>
      <c r="AH54" s="30">
        <f>IF(AG54="","",IF(AG54&gt;=BandVH,"Very High",IF(AG54&gt;=BandHigh,"High",IF(AG54&gt;=BandMed,"Medium","Low"))))</f>
        <v/>
      </c>
      <c r="AI54" s="4" t="n"/>
      <c r="AJ54" s="4" t="n"/>
    </row>
    <row r="55">
      <c r="A55" s="30">
        <f>IF(B55="","",COUNTIF(B$14:B55,"?*"))</f>
        <v/>
      </c>
      <c r="B55" s="4" t="n"/>
      <c r="C55" s="19" t="n"/>
      <c r="D55" s="5">
        <f>IF(OR(B55="",C55=""),"",UPPER(LEFT(C55,1))&amp;LOWER(MID(C55,2,30))&amp;" "&amp;LOWER(LEFT(B55,1))&amp;MID(B55,2,200))</f>
        <v/>
      </c>
      <c r="E55" s="4" t="n"/>
      <c r="F55" s="4" t="n"/>
      <c r="G55" s="4" t="n"/>
      <c r="H55" s="4" t="n"/>
      <c r="I55" s="4" t="n"/>
      <c r="J55" s="4" t="n"/>
      <c r="K55" s="5">
        <f>_xlfn.TEXTJOIN(CHAR(10),TRUE,IF(E55="","","• "&amp;E55),IF(F55="","","• "&amp;F55),IF(G55="","","• "&amp;G55),IF(H55="","","• "&amp;H55),IF(I55="","","• "&amp;I55),IF(J55="","","• "&amp;J55))</f>
        <v/>
      </c>
      <c r="L55" s="4" t="n"/>
      <c r="M55" s="19" t="n"/>
      <c r="N55" s="19" t="n"/>
      <c r="O55" s="30">
        <f>IF(OR(M55="",N55=""),"",INDEX(RiskGrid,6-VALUE(LEFT(M55,1)),VALUE(LEFT(N55,1))))</f>
        <v/>
      </c>
      <c r="P55" s="30">
        <f>IF(O55="","",IF(O55&gt;=BandVH,"Very High",IF(O55&gt;=BandHigh,"High",IF(O55&gt;=BandMed,"Medium","Low"))))</f>
        <v/>
      </c>
      <c r="Q55" s="4" t="n"/>
      <c r="R55" s="19" t="n"/>
      <c r="S55" s="4" t="n"/>
      <c r="T55" s="19" t="n"/>
      <c r="U55" s="4" t="n"/>
      <c r="V55" s="19" t="n"/>
      <c r="W55" s="4" t="n"/>
      <c r="X55" s="19" t="n"/>
      <c r="Y55" s="4" t="n"/>
      <c r="Z55" s="19" t="n"/>
      <c r="AA55" s="4" t="n"/>
      <c r="AB55" s="19" t="n"/>
      <c r="AC55" s="5">
        <f>_xlfn.TEXTJOIN(CHAR(10),TRUE,IF(Q55="","","• "&amp;Q55&amp;IF(R55="Yes","  [IPL]","")),IF(S55="","","• "&amp;S55&amp;IF(T55="Yes","  [IPL]","")),IF(U55="","","• "&amp;U55&amp;IF(V55="Yes","  [IPL]","")),IF(W55="","","• "&amp;W55&amp;IF(X55="Yes","  [IPL]","")),IF(Y55="","","• "&amp;Y55&amp;IF(Z55="Yes","  [IPL]","")),IF(AA55="","","• "&amp;AA55&amp;IF(AB55="Yes","  [IPL]","")))</f>
        <v/>
      </c>
      <c r="AD55" s="30">
        <f>IF(AC55="","",COUNTIF(Q55:AB55,"Yes"))</f>
        <v/>
      </c>
      <c r="AE55" s="19" t="n"/>
      <c r="AF55" s="19" t="n"/>
      <c r="AG55" s="30">
        <f>IF(OR(AE55="",AF55=""),"",INDEX(RiskGrid,6-VALUE(LEFT(AE55,1)),VALUE(LEFT(AF55,1))))</f>
        <v/>
      </c>
      <c r="AH55" s="30">
        <f>IF(AG55="","",IF(AG55&gt;=BandVH,"Very High",IF(AG55&gt;=BandHigh,"High",IF(AG55&gt;=BandMed,"Medium","Low"))))</f>
        <v/>
      </c>
      <c r="AI55" s="4" t="n"/>
      <c r="AJ55" s="4" t="n"/>
    </row>
    <row r="56">
      <c r="A56" s="30">
        <f>IF(B56="","",COUNTIF(B$14:B56,"?*"))</f>
        <v/>
      </c>
      <c r="B56" s="4" t="n"/>
      <c r="C56" s="19" t="n"/>
      <c r="D56" s="5">
        <f>IF(OR(B56="",C56=""),"",UPPER(LEFT(C56,1))&amp;LOWER(MID(C56,2,30))&amp;" "&amp;LOWER(LEFT(B56,1))&amp;MID(B56,2,200))</f>
        <v/>
      </c>
      <c r="E56" s="4" t="n"/>
      <c r="F56" s="4" t="n"/>
      <c r="G56" s="4" t="n"/>
      <c r="H56" s="4" t="n"/>
      <c r="I56" s="4" t="n"/>
      <c r="J56" s="4" t="n"/>
      <c r="K56" s="5">
        <f>_xlfn.TEXTJOIN(CHAR(10),TRUE,IF(E56="","","• "&amp;E56),IF(F56="","","• "&amp;F56),IF(G56="","","• "&amp;G56),IF(H56="","","• "&amp;H56),IF(I56="","","• "&amp;I56),IF(J56="","","• "&amp;J56))</f>
        <v/>
      </c>
      <c r="L56" s="4" t="n"/>
      <c r="M56" s="19" t="n"/>
      <c r="N56" s="19" t="n"/>
      <c r="O56" s="30">
        <f>IF(OR(M56="",N56=""),"",INDEX(RiskGrid,6-VALUE(LEFT(M56,1)),VALUE(LEFT(N56,1))))</f>
        <v/>
      </c>
      <c r="P56" s="30">
        <f>IF(O56="","",IF(O56&gt;=BandVH,"Very High",IF(O56&gt;=BandHigh,"High",IF(O56&gt;=BandMed,"Medium","Low"))))</f>
        <v/>
      </c>
      <c r="Q56" s="4" t="n"/>
      <c r="R56" s="19" t="n"/>
      <c r="S56" s="4" t="n"/>
      <c r="T56" s="19" t="n"/>
      <c r="U56" s="4" t="n"/>
      <c r="V56" s="19" t="n"/>
      <c r="W56" s="4" t="n"/>
      <c r="X56" s="19" t="n"/>
      <c r="Y56" s="4" t="n"/>
      <c r="Z56" s="19" t="n"/>
      <c r="AA56" s="4" t="n"/>
      <c r="AB56" s="19" t="n"/>
      <c r="AC56" s="5">
        <f>_xlfn.TEXTJOIN(CHAR(10),TRUE,IF(Q56="","","• "&amp;Q56&amp;IF(R56="Yes","  [IPL]","")),IF(S56="","","• "&amp;S56&amp;IF(T56="Yes","  [IPL]","")),IF(U56="","","• "&amp;U56&amp;IF(V56="Yes","  [IPL]","")),IF(W56="","","• "&amp;W56&amp;IF(X56="Yes","  [IPL]","")),IF(Y56="","","• "&amp;Y56&amp;IF(Z56="Yes","  [IPL]","")),IF(AA56="","","• "&amp;AA56&amp;IF(AB56="Yes","  [IPL]","")))</f>
        <v/>
      </c>
      <c r="AD56" s="30">
        <f>IF(AC56="","",COUNTIF(Q56:AB56,"Yes"))</f>
        <v/>
      </c>
      <c r="AE56" s="19" t="n"/>
      <c r="AF56" s="19" t="n"/>
      <c r="AG56" s="30">
        <f>IF(OR(AE56="",AF56=""),"",INDEX(RiskGrid,6-VALUE(LEFT(AE56,1)),VALUE(LEFT(AF56,1))))</f>
        <v/>
      </c>
      <c r="AH56" s="30">
        <f>IF(AG56="","",IF(AG56&gt;=BandVH,"Very High",IF(AG56&gt;=BandHigh,"High",IF(AG56&gt;=BandMed,"Medium","Low"))))</f>
        <v/>
      </c>
      <c r="AI56" s="4" t="n"/>
      <c r="AJ56" s="4" t="n"/>
    </row>
    <row r="57">
      <c r="A57" s="30">
        <f>IF(B57="","",COUNTIF(B$14:B57,"?*"))</f>
        <v/>
      </c>
      <c r="B57" s="4" t="n"/>
      <c r="C57" s="19" t="n"/>
      <c r="D57" s="5">
        <f>IF(OR(B57="",C57=""),"",UPPER(LEFT(C57,1))&amp;LOWER(MID(C57,2,30))&amp;" "&amp;LOWER(LEFT(B57,1))&amp;MID(B57,2,200))</f>
        <v/>
      </c>
      <c r="E57" s="4" t="n"/>
      <c r="F57" s="4" t="n"/>
      <c r="G57" s="4" t="n"/>
      <c r="H57" s="4" t="n"/>
      <c r="I57" s="4" t="n"/>
      <c r="J57" s="4" t="n"/>
      <c r="K57" s="5">
        <f>_xlfn.TEXTJOIN(CHAR(10),TRUE,IF(E57="","","• "&amp;E57),IF(F57="","","• "&amp;F57),IF(G57="","","• "&amp;G57),IF(H57="","","• "&amp;H57),IF(I57="","","• "&amp;I57),IF(J57="","","• "&amp;J57))</f>
        <v/>
      </c>
      <c r="L57" s="4" t="n"/>
      <c r="M57" s="19" t="n"/>
      <c r="N57" s="19" t="n"/>
      <c r="O57" s="30">
        <f>IF(OR(M57="",N57=""),"",INDEX(RiskGrid,6-VALUE(LEFT(M57,1)),VALUE(LEFT(N57,1))))</f>
        <v/>
      </c>
      <c r="P57" s="30">
        <f>IF(O57="","",IF(O57&gt;=BandVH,"Very High",IF(O57&gt;=BandHigh,"High",IF(O57&gt;=BandMed,"Medium","Low"))))</f>
        <v/>
      </c>
      <c r="Q57" s="4" t="n"/>
      <c r="R57" s="19" t="n"/>
      <c r="S57" s="4" t="n"/>
      <c r="T57" s="19" t="n"/>
      <c r="U57" s="4" t="n"/>
      <c r="V57" s="19" t="n"/>
      <c r="W57" s="4" t="n"/>
      <c r="X57" s="19" t="n"/>
      <c r="Y57" s="4" t="n"/>
      <c r="Z57" s="19" t="n"/>
      <c r="AA57" s="4" t="n"/>
      <c r="AB57" s="19" t="n"/>
      <c r="AC57" s="5">
        <f>_xlfn.TEXTJOIN(CHAR(10),TRUE,IF(Q57="","","• "&amp;Q57&amp;IF(R57="Yes","  [IPL]","")),IF(S57="","","• "&amp;S57&amp;IF(T57="Yes","  [IPL]","")),IF(U57="","","• "&amp;U57&amp;IF(V57="Yes","  [IPL]","")),IF(W57="","","• "&amp;W57&amp;IF(X57="Yes","  [IPL]","")),IF(Y57="","","• "&amp;Y57&amp;IF(Z57="Yes","  [IPL]","")),IF(AA57="","","• "&amp;AA57&amp;IF(AB57="Yes","  [IPL]","")))</f>
        <v/>
      </c>
      <c r="AD57" s="30">
        <f>IF(AC57="","",COUNTIF(Q57:AB57,"Yes"))</f>
        <v/>
      </c>
      <c r="AE57" s="19" t="n"/>
      <c r="AF57" s="19" t="n"/>
      <c r="AG57" s="30">
        <f>IF(OR(AE57="",AF57=""),"",INDEX(RiskGrid,6-VALUE(LEFT(AE57,1)),VALUE(LEFT(AF57,1))))</f>
        <v/>
      </c>
      <c r="AH57" s="30">
        <f>IF(AG57="","",IF(AG57&gt;=BandVH,"Very High",IF(AG57&gt;=BandHigh,"High",IF(AG57&gt;=BandMed,"Medium","Low"))))</f>
        <v/>
      </c>
      <c r="AI57" s="4" t="n"/>
      <c r="AJ57" s="4" t="n"/>
    </row>
    <row r="58">
      <c r="A58" s="30">
        <f>IF(B58="","",COUNTIF(B$14:B58,"?*"))</f>
        <v/>
      </c>
      <c r="B58" s="4" t="n"/>
      <c r="C58" s="19" t="n"/>
      <c r="D58" s="5">
        <f>IF(OR(B58="",C58=""),"",UPPER(LEFT(C58,1))&amp;LOWER(MID(C58,2,30))&amp;" "&amp;LOWER(LEFT(B58,1))&amp;MID(B58,2,200))</f>
        <v/>
      </c>
      <c r="E58" s="4" t="n"/>
      <c r="F58" s="4" t="n"/>
      <c r="G58" s="4" t="n"/>
      <c r="H58" s="4" t="n"/>
      <c r="I58" s="4" t="n"/>
      <c r="J58" s="4" t="n"/>
      <c r="K58" s="5">
        <f>_xlfn.TEXTJOIN(CHAR(10),TRUE,IF(E58="","","• "&amp;E58),IF(F58="","","• "&amp;F58),IF(G58="","","• "&amp;G58),IF(H58="","","• "&amp;H58),IF(I58="","","• "&amp;I58),IF(J58="","","• "&amp;J58))</f>
        <v/>
      </c>
      <c r="L58" s="4" t="n"/>
      <c r="M58" s="19" t="n"/>
      <c r="N58" s="19" t="n"/>
      <c r="O58" s="30">
        <f>IF(OR(M58="",N58=""),"",INDEX(RiskGrid,6-VALUE(LEFT(M58,1)),VALUE(LEFT(N58,1))))</f>
        <v/>
      </c>
      <c r="P58" s="30">
        <f>IF(O58="","",IF(O58&gt;=BandVH,"Very High",IF(O58&gt;=BandHigh,"High",IF(O58&gt;=BandMed,"Medium","Low"))))</f>
        <v/>
      </c>
      <c r="Q58" s="4" t="n"/>
      <c r="R58" s="19" t="n"/>
      <c r="S58" s="4" t="n"/>
      <c r="T58" s="19" t="n"/>
      <c r="U58" s="4" t="n"/>
      <c r="V58" s="19" t="n"/>
      <c r="W58" s="4" t="n"/>
      <c r="X58" s="19" t="n"/>
      <c r="Y58" s="4" t="n"/>
      <c r="Z58" s="19" t="n"/>
      <c r="AA58" s="4" t="n"/>
      <c r="AB58" s="19" t="n"/>
      <c r="AC58" s="5">
        <f>_xlfn.TEXTJOIN(CHAR(10),TRUE,IF(Q58="","","• "&amp;Q58&amp;IF(R58="Yes","  [IPL]","")),IF(S58="","","• "&amp;S58&amp;IF(T58="Yes","  [IPL]","")),IF(U58="","","• "&amp;U58&amp;IF(V58="Yes","  [IPL]","")),IF(W58="","","• "&amp;W58&amp;IF(X58="Yes","  [IPL]","")),IF(Y58="","","• "&amp;Y58&amp;IF(Z58="Yes","  [IPL]","")),IF(AA58="","","• "&amp;AA58&amp;IF(AB58="Yes","  [IPL]","")))</f>
        <v/>
      </c>
      <c r="AD58" s="30">
        <f>IF(AC58="","",COUNTIF(Q58:AB58,"Yes"))</f>
        <v/>
      </c>
      <c r="AE58" s="19" t="n"/>
      <c r="AF58" s="19" t="n"/>
      <c r="AG58" s="30">
        <f>IF(OR(AE58="",AF58=""),"",INDEX(RiskGrid,6-VALUE(LEFT(AE58,1)),VALUE(LEFT(AF58,1))))</f>
        <v/>
      </c>
      <c r="AH58" s="30">
        <f>IF(AG58="","",IF(AG58&gt;=BandVH,"Very High",IF(AG58&gt;=BandHigh,"High",IF(AG58&gt;=BandMed,"Medium","Low"))))</f>
        <v/>
      </c>
      <c r="AI58" s="4" t="n"/>
      <c r="AJ58" s="4" t="n"/>
    </row>
    <row r="59">
      <c r="A59" s="30">
        <f>IF(B59="","",COUNTIF(B$14:B59,"?*"))</f>
        <v/>
      </c>
      <c r="B59" s="4" t="n"/>
      <c r="C59" s="19" t="n"/>
      <c r="D59" s="5">
        <f>IF(OR(B59="",C59=""),"",UPPER(LEFT(C59,1))&amp;LOWER(MID(C59,2,30))&amp;" "&amp;LOWER(LEFT(B59,1))&amp;MID(B59,2,200))</f>
        <v/>
      </c>
      <c r="E59" s="4" t="n"/>
      <c r="F59" s="4" t="n"/>
      <c r="G59" s="4" t="n"/>
      <c r="H59" s="4" t="n"/>
      <c r="I59" s="4" t="n"/>
      <c r="J59" s="4" t="n"/>
      <c r="K59" s="5">
        <f>_xlfn.TEXTJOIN(CHAR(10),TRUE,IF(E59="","","• "&amp;E59),IF(F59="","","• "&amp;F59),IF(G59="","","• "&amp;G59),IF(H59="","","• "&amp;H59),IF(I59="","","• "&amp;I59),IF(J59="","","• "&amp;J59))</f>
        <v/>
      </c>
      <c r="L59" s="4" t="n"/>
      <c r="M59" s="19" t="n"/>
      <c r="N59" s="19" t="n"/>
      <c r="O59" s="30">
        <f>IF(OR(M59="",N59=""),"",INDEX(RiskGrid,6-VALUE(LEFT(M59,1)),VALUE(LEFT(N59,1))))</f>
        <v/>
      </c>
      <c r="P59" s="30">
        <f>IF(O59="","",IF(O59&gt;=BandVH,"Very High",IF(O59&gt;=BandHigh,"High",IF(O59&gt;=BandMed,"Medium","Low"))))</f>
        <v/>
      </c>
      <c r="Q59" s="4" t="n"/>
      <c r="R59" s="19" t="n"/>
      <c r="S59" s="4" t="n"/>
      <c r="T59" s="19" t="n"/>
      <c r="U59" s="4" t="n"/>
      <c r="V59" s="19" t="n"/>
      <c r="W59" s="4" t="n"/>
      <c r="X59" s="19" t="n"/>
      <c r="Y59" s="4" t="n"/>
      <c r="Z59" s="19" t="n"/>
      <c r="AA59" s="4" t="n"/>
      <c r="AB59" s="19" t="n"/>
      <c r="AC59" s="5">
        <f>_xlfn.TEXTJOIN(CHAR(10),TRUE,IF(Q59="","","• "&amp;Q59&amp;IF(R59="Yes","  [IPL]","")),IF(S59="","","• "&amp;S59&amp;IF(T59="Yes","  [IPL]","")),IF(U59="","","• "&amp;U59&amp;IF(V59="Yes","  [IPL]","")),IF(W59="","","• "&amp;W59&amp;IF(X59="Yes","  [IPL]","")),IF(Y59="","","• "&amp;Y59&amp;IF(Z59="Yes","  [IPL]","")),IF(AA59="","","• "&amp;AA59&amp;IF(AB59="Yes","  [IPL]","")))</f>
        <v/>
      </c>
      <c r="AD59" s="30">
        <f>IF(AC59="","",COUNTIF(Q59:AB59,"Yes"))</f>
        <v/>
      </c>
      <c r="AE59" s="19" t="n"/>
      <c r="AF59" s="19" t="n"/>
      <c r="AG59" s="30">
        <f>IF(OR(AE59="",AF59=""),"",INDEX(RiskGrid,6-VALUE(LEFT(AE59,1)),VALUE(LEFT(AF59,1))))</f>
        <v/>
      </c>
      <c r="AH59" s="30">
        <f>IF(AG59="","",IF(AG59&gt;=BandVH,"Very High",IF(AG59&gt;=BandHigh,"High",IF(AG59&gt;=BandMed,"Medium","Low"))))</f>
        <v/>
      </c>
      <c r="AI59" s="4" t="n"/>
      <c r="AJ59" s="4" t="n"/>
    </row>
    <row r="60">
      <c r="A60" s="30">
        <f>IF(B60="","",COUNTIF(B$14:B60,"?*"))</f>
        <v/>
      </c>
      <c r="B60" s="4" t="n"/>
      <c r="C60" s="19" t="n"/>
      <c r="D60" s="5">
        <f>IF(OR(B60="",C60=""),"",UPPER(LEFT(C60,1))&amp;LOWER(MID(C60,2,30))&amp;" "&amp;LOWER(LEFT(B60,1))&amp;MID(B60,2,200))</f>
        <v/>
      </c>
      <c r="E60" s="4" t="n"/>
      <c r="F60" s="4" t="n"/>
      <c r="G60" s="4" t="n"/>
      <c r="H60" s="4" t="n"/>
      <c r="I60" s="4" t="n"/>
      <c r="J60" s="4" t="n"/>
      <c r="K60" s="5">
        <f>_xlfn.TEXTJOIN(CHAR(10),TRUE,IF(E60="","","• "&amp;E60),IF(F60="","","• "&amp;F60),IF(G60="","","• "&amp;G60),IF(H60="","","• "&amp;H60),IF(I60="","","• "&amp;I60),IF(J60="","","• "&amp;J60))</f>
        <v/>
      </c>
      <c r="L60" s="4" t="n"/>
      <c r="M60" s="19" t="n"/>
      <c r="N60" s="19" t="n"/>
      <c r="O60" s="30">
        <f>IF(OR(M60="",N60=""),"",INDEX(RiskGrid,6-VALUE(LEFT(M60,1)),VALUE(LEFT(N60,1))))</f>
        <v/>
      </c>
      <c r="P60" s="30">
        <f>IF(O60="","",IF(O60&gt;=BandVH,"Very High",IF(O60&gt;=BandHigh,"High",IF(O60&gt;=BandMed,"Medium","Low"))))</f>
        <v/>
      </c>
      <c r="Q60" s="4" t="n"/>
      <c r="R60" s="19" t="n"/>
      <c r="S60" s="4" t="n"/>
      <c r="T60" s="19" t="n"/>
      <c r="U60" s="4" t="n"/>
      <c r="V60" s="19" t="n"/>
      <c r="W60" s="4" t="n"/>
      <c r="X60" s="19" t="n"/>
      <c r="Y60" s="4" t="n"/>
      <c r="Z60" s="19" t="n"/>
      <c r="AA60" s="4" t="n"/>
      <c r="AB60" s="19" t="n"/>
      <c r="AC60" s="5">
        <f>_xlfn.TEXTJOIN(CHAR(10),TRUE,IF(Q60="","","• "&amp;Q60&amp;IF(R60="Yes","  [IPL]","")),IF(S60="","","• "&amp;S60&amp;IF(T60="Yes","  [IPL]","")),IF(U60="","","• "&amp;U60&amp;IF(V60="Yes","  [IPL]","")),IF(W60="","","• "&amp;W60&amp;IF(X60="Yes","  [IPL]","")),IF(Y60="","","• "&amp;Y60&amp;IF(Z60="Yes","  [IPL]","")),IF(AA60="","","• "&amp;AA60&amp;IF(AB60="Yes","  [IPL]","")))</f>
        <v/>
      </c>
      <c r="AD60" s="30">
        <f>IF(AC60="","",COUNTIF(Q60:AB60,"Yes"))</f>
        <v/>
      </c>
      <c r="AE60" s="19" t="n"/>
      <c r="AF60" s="19" t="n"/>
      <c r="AG60" s="30">
        <f>IF(OR(AE60="",AF60=""),"",INDEX(RiskGrid,6-VALUE(LEFT(AE60,1)),VALUE(LEFT(AF60,1))))</f>
        <v/>
      </c>
      <c r="AH60" s="30">
        <f>IF(AG60="","",IF(AG60&gt;=BandVH,"Very High",IF(AG60&gt;=BandHigh,"High",IF(AG60&gt;=BandMed,"Medium","Low"))))</f>
        <v/>
      </c>
      <c r="AI60" s="4" t="n"/>
      <c r="AJ60" s="4" t="n"/>
    </row>
    <row r="61">
      <c r="A61" s="30">
        <f>IF(B61="","",COUNTIF(B$14:B61,"?*"))</f>
        <v/>
      </c>
      <c r="B61" s="4" t="n"/>
      <c r="C61" s="19" t="n"/>
      <c r="D61" s="5">
        <f>IF(OR(B61="",C61=""),"",UPPER(LEFT(C61,1))&amp;LOWER(MID(C61,2,30))&amp;" "&amp;LOWER(LEFT(B61,1))&amp;MID(B61,2,200))</f>
        <v/>
      </c>
      <c r="E61" s="4" t="n"/>
      <c r="F61" s="4" t="n"/>
      <c r="G61" s="4" t="n"/>
      <c r="H61" s="4" t="n"/>
      <c r="I61" s="4" t="n"/>
      <c r="J61" s="4" t="n"/>
      <c r="K61" s="5">
        <f>_xlfn.TEXTJOIN(CHAR(10),TRUE,IF(E61="","","• "&amp;E61),IF(F61="","","• "&amp;F61),IF(G61="","","• "&amp;G61),IF(H61="","","• "&amp;H61),IF(I61="","","• "&amp;I61),IF(J61="","","• "&amp;J61))</f>
        <v/>
      </c>
      <c r="L61" s="4" t="n"/>
      <c r="M61" s="19" t="n"/>
      <c r="N61" s="19" t="n"/>
      <c r="O61" s="30">
        <f>IF(OR(M61="",N61=""),"",INDEX(RiskGrid,6-VALUE(LEFT(M61,1)),VALUE(LEFT(N61,1))))</f>
        <v/>
      </c>
      <c r="P61" s="30">
        <f>IF(O61="","",IF(O61&gt;=BandVH,"Very High",IF(O61&gt;=BandHigh,"High",IF(O61&gt;=BandMed,"Medium","Low"))))</f>
        <v/>
      </c>
      <c r="Q61" s="4" t="n"/>
      <c r="R61" s="19" t="n"/>
      <c r="S61" s="4" t="n"/>
      <c r="T61" s="19" t="n"/>
      <c r="U61" s="4" t="n"/>
      <c r="V61" s="19" t="n"/>
      <c r="W61" s="4" t="n"/>
      <c r="X61" s="19" t="n"/>
      <c r="Y61" s="4" t="n"/>
      <c r="Z61" s="19" t="n"/>
      <c r="AA61" s="4" t="n"/>
      <c r="AB61" s="19" t="n"/>
      <c r="AC61" s="5">
        <f>_xlfn.TEXTJOIN(CHAR(10),TRUE,IF(Q61="","","• "&amp;Q61&amp;IF(R61="Yes","  [IPL]","")),IF(S61="","","• "&amp;S61&amp;IF(T61="Yes","  [IPL]","")),IF(U61="","","• "&amp;U61&amp;IF(V61="Yes","  [IPL]","")),IF(W61="","","• "&amp;W61&amp;IF(X61="Yes","  [IPL]","")),IF(Y61="","","• "&amp;Y61&amp;IF(Z61="Yes","  [IPL]","")),IF(AA61="","","• "&amp;AA61&amp;IF(AB61="Yes","  [IPL]","")))</f>
        <v/>
      </c>
      <c r="AD61" s="30">
        <f>IF(AC61="","",COUNTIF(Q61:AB61,"Yes"))</f>
        <v/>
      </c>
      <c r="AE61" s="19" t="n"/>
      <c r="AF61" s="19" t="n"/>
      <c r="AG61" s="30">
        <f>IF(OR(AE61="",AF61=""),"",INDEX(RiskGrid,6-VALUE(LEFT(AE61,1)),VALUE(LEFT(AF61,1))))</f>
        <v/>
      </c>
      <c r="AH61" s="30">
        <f>IF(AG61="","",IF(AG61&gt;=BandVH,"Very High",IF(AG61&gt;=BandHigh,"High",IF(AG61&gt;=BandMed,"Medium","Low"))))</f>
        <v/>
      </c>
      <c r="AI61" s="4" t="n"/>
      <c r="AJ61" s="4" t="n"/>
    </row>
    <row r="62">
      <c r="A62" s="30">
        <f>IF(B62="","",COUNTIF(B$14:B62,"?*"))</f>
        <v/>
      </c>
      <c r="B62" s="4" t="n"/>
      <c r="C62" s="19" t="n"/>
      <c r="D62" s="5">
        <f>IF(OR(B62="",C62=""),"",UPPER(LEFT(C62,1))&amp;LOWER(MID(C62,2,30))&amp;" "&amp;LOWER(LEFT(B62,1))&amp;MID(B62,2,200))</f>
        <v/>
      </c>
      <c r="E62" s="4" t="n"/>
      <c r="F62" s="4" t="n"/>
      <c r="G62" s="4" t="n"/>
      <c r="H62" s="4" t="n"/>
      <c r="I62" s="4" t="n"/>
      <c r="J62" s="4" t="n"/>
      <c r="K62" s="5">
        <f>_xlfn.TEXTJOIN(CHAR(10),TRUE,IF(E62="","","• "&amp;E62),IF(F62="","","• "&amp;F62),IF(G62="","","• "&amp;G62),IF(H62="","","• "&amp;H62),IF(I62="","","• "&amp;I62),IF(J62="","","• "&amp;J62))</f>
        <v/>
      </c>
      <c r="L62" s="4" t="n"/>
      <c r="M62" s="19" t="n"/>
      <c r="N62" s="19" t="n"/>
      <c r="O62" s="30">
        <f>IF(OR(M62="",N62=""),"",INDEX(RiskGrid,6-VALUE(LEFT(M62,1)),VALUE(LEFT(N62,1))))</f>
        <v/>
      </c>
      <c r="P62" s="30">
        <f>IF(O62="","",IF(O62&gt;=BandVH,"Very High",IF(O62&gt;=BandHigh,"High",IF(O62&gt;=BandMed,"Medium","Low"))))</f>
        <v/>
      </c>
      <c r="Q62" s="4" t="n"/>
      <c r="R62" s="19" t="n"/>
      <c r="S62" s="4" t="n"/>
      <c r="T62" s="19" t="n"/>
      <c r="U62" s="4" t="n"/>
      <c r="V62" s="19" t="n"/>
      <c r="W62" s="4" t="n"/>
      <c r="X62" s="19" t="n"/>
      <c r="Y62" s="4" t="n"/>
      <c r="Z62" s="19" t="n"/>
      <c r="AA62" s="4" t="n"/>
      <c r="AB62" s="19" t="n"/>
      <c r="AC62" s="5">
        <f>_xlfn.TEXTJOIN(CHAR(10),TRUE,IF(Q62="","","• "&amp;Q62&amp;IF(R62="Yes","  [IPL]","")),IF(S62="","","• "&amp;S62&amp;IF(T62="Yes","  [IPL]","")),IF(U62="","","• "&amp;U62&amp;IF(V62="Yes","  [IPL]","")),IF(W62="","","• "&amp;W62&amp;IF(X62="Yes","  [IPL]","")),IF(Y62="","","• "&amp;Y62&amp;IF(Z62="Yes","  [IPL]","")),IF(AA62="","","• "&amp;AA62&amp;IF(AB62="Yes","  [IPL]","")))</f>
        <v/>
      </c>
      <c r="AD62" s="30">
        <f>IF(AC62="","",COUNTIF(Q62:AB62,"Yes"))</f>
        <v/>
      </c>
      <c r="AE62" s="19" t="n"/>
      <c r="AF62" s="19" t="n"/>
      <c r="AG62" s="30">
        <f>IF(OR(AE62="",AF62=""),"",INDEX(RiskGrid,6-VALUE(LEFT(AE62,1)),VALUE(LEFT(AF62,1))))</f>
        <v/>
      </c>
      <c r="AH62" s="30">
        <f>IF(AG62="","",IF(AG62&gt;=BandVH,"Very High",IF(AG62&gt;=BandHigh,"High",IF(AG62&gt;=BandMed,"Medium","Low"))))</f>
        <v/>
      </c>
      <c r="AI62" s="4" t="n"/>
      <c r="AJ62" s="4" t="n"/>
    </row>
    <row r="63">
      <c r="A63" s="30">
        <f>IF(B63="","",COUNTIF(B$14:B63,"?*"))</f>
        <v/>
      </c>
      <c r="B63" s="4" t="n"/>
      <c r="C63" s="19" t="n"/>
      <c r="D63" s="5">
        <f>IF(OR(B63="",C63=""),"",UPPER(LEFT(C63,1))&amp;LOWER(MID(C63,2,30))&amp;" "&amp;LOWER(LEFT(B63,1))&amp;MID(B63,2,200))</f>
        <v/>
      </c>
      <c r="E63" s="4" t="n"/>
      <c r="F63" s="4" t="n"/>
      <c r="G63" s="4" t="n"/>
      <c r="H63" s="4" t="n"/>
      <c r="I63" s="4" t="n"/>
      <c r="J63" s="4" t="n"/>
      <c r="K63" s="5">
        <f>_xlfn.TEXTJOIN(CHAR(10),TRUE,IF(E63="","","• "&amp;E63),IF(F63="","","• "&amp;F63),IF(G63="","","• "&amp;G63),IF(H63="","","• "&amp;H63),IF(I63="","","• "&amp;I63),IF(J63="","","• "&amp;J63))</f>
        <v/>
      </c>
      <c r="L63" s="4" t="n"/>
      <c r="M63" s="19" t="n"/>
      <c r="N63" s="19" t="n"/>
      <c r="O63" s="30">
        <f>IF(OR(M63="",N63=""),"",INDEX(RiskGrid,6-VALUE(LEFT(M63,1)),VALUE(LEFT(N63,1))))</f>
        <v/>
      </c>
      <c r="P63" s="30">
        <f>IF(O63="","",IF(O63&gt;=BandVH,"Very High",IF(O63&gt;=BandHigh,"High",IF(O63&gt;=BandMed,"Medium","Low"))))</f>
        <v/>
      </c>
      <c r="Q63" s="4" t="n"/>
      <c r="R63" s="19" t="n"/>
      <c r="S63" s="4" t="n"/>
      <c r="T63" s="19" t="n"/>
      <c r="U63" s="4" t="n"/>
      <c r="V63" s="19" t="n"/>
      <c r="W63" s="4" t="n"/>
      <c r="X63" s="19" t="n"/>
      <c r="Y63" s="4" t="n"/>
      <c r="Z63" s="19" t="n"/>
      <c r="AA63" s="4" t="n"/>
      <c r="AB63" s="19" t="n"/>
      <c r="AC63" s="5">
        <f>_xlfn.TEXTJOIN(CHAR(10),TRUE,IF(Q63="","","• "&amp;Q63&amp;IF(R63="Yes","  [IPL]","")),IF(S63="","","• "&amp;S63&amp;IF(T63="Yes","  [IPL]","")),IF(U63="","","• "&amp;U63&amp;IF(V63="Yes","  [IPL]","")),IF(W63="","","• "&amp;W63&amp;IF(X63="Yes","  [IPL]","")),IF(Y63="","","• "&amp;Y63&amp;IF(Z63="Yes","  [IPL]","")),IF(AA63="","","• "&amp;AA63&amp;IF(AB63="Yes","  [IPL]","")))</f>
        <v/>
      </c>
      <c r="AD63" s="30">
        <f>IF(AC63="","",COUNTIF(Q63:AB63,"Yes"))</f>
        <v/>
      </c>
      <c r="AE63" s="19" t="n"/>
      <c r="AF63" s="19" t="n"/>
      <c r="AG63" s="30">
        <f>IF(OR(AE63="",AF63=""),"",INDEX(RiskGrid,6-VALUE(LEFT(AE63,1)),VALUE(LEFT(AF63,1))))</f>
        <v/>
      </c>
      <c r="AH63" s="30">
        <f>IF(AG63="","",IF(AG63&gt;=BandVH,"Very High",IF(AG63&gt;=BandHigh,"High",IF(AG63&gt;=BandMed,"Medium","Low"))))</f>
        <v/>
      </c>
      <c r="AI63" s="4" t="n"/>
      <c r="AJ63" s="4" t="n"/>
    </row>
    <row r="64">
      <c r="A64" s="30">
        <f>IF(B64="","",COUNTIF(B$14:B64,"?*"))</f>
        <v/>
      </c>
      <c r="B64" s="4" t="n"/>
      <c r="C64" s="19" t="n"/>
      <c r="D64" s="5">
        <f>IF(OR(B64="",C64=""),"",UPPER(LEFT(C64,1))&amp;LOWER(MID(C64,2,30))&amp;" "&amp;LOWER(LEFT(B64,1))&amp;MID(B64,2,200))</f>
        <v/>
      </c>
      <c r="E64" s="4" t="n"/>
      <c r="F64" s="4" t="n"/>
      <c r="G64" s="4" t="n"/>
      <c r="H64" s="4" t="n"/>
      <c r="I64" s="4" t="n"/>
      <c r="J64" s="4" t="n"/>
      <c r="K64" s="5">
        <f>_xlfn.TEXTJOIN(CHAR(10),TRUE,IF(E64="","","• "&amp;E64),IF(F64="","","• "&amp;F64),IF(G64="","","• "&amp;G64),IF(H64="","","• "&amp;H64),IF(I64="","","• "&amp;I64),IF(J64="","","• "&amp;J64))</f>
        <v/>
      </c>
      <c r="L64" s="4" t="n"/>
      <c r="M64" s="19" t="n"/>
      <c r="N64" s="19" t="n"/>
      <c r="O64" s="30">
        <f>IF(OR(M64="",N64=""),"",INDEX(RiskGrid,6-VALUE(LEFT(M64,1)),VALUE(LEFT(N64,1))))</f>
        <v/>
      </c>
      <c r="P64" s="30">
        <f>IF(O64="","",IF(O64&gt;=BandVH,"Very High",IF(O64&gt;=BandHigh,"High",IF(O64&gt;=BandMed,"Medium","Low"))))</f>
        <v/>
      </c>
      <c r="Q64" s="4" t="n"/>
      <c r="R64" s="19" t="n"/>
      <c r="S64" s="4" t="n"/>
      <c r="T64" s="19" t="n"/>
      <c r="U64" s="4" t="n"/>
      <c r="V64" s="19" t="n"/>
      <c r="W64" s="4" t="n"/>
      <c r="X64" s="19" t="n"/>
      <c r="Y64" s="4" t="n"/>
      <c r="Z64" s="19" t="n"/>
      <c r="AA64" s="4" t="n"/>
      <c r="AB64" s="19" t="n"/>
      <c r="AC64" s="5">
        <f>_xlfn.TEXTJOIN(CHAR(10),TRUE,IF(Q64="","","• "&amp;Q64&amp;IF(R64="Yes","  [IPL]","")),IF(S64="","","• "&amp;S64&amp;IF(T64="Yes","  [IPL]","")),IF(U64="","","• "&amp;U64&amp;IF(V64="Yes","  [IPL]","")),IF(W64="","","• "&amp;W64&amp;IF(X64="Yes","  [IPL]","")),IF(Y64="","","• "&amp;Y64&amp;IF(Z64="Yes","  [IPL]","")),IF(AA64="","","• "&amp;AA64&amp;IF(AB64="Yes","  [IPL]","")))</f>
        <v/>
      </c>
      <c r="AD64" s="30">
        <f>IF(AC64="","",COUNTIF(Q64:AB64,"Yes"))</f>
        <v/>
      </c>
      <c r="AE64" s="19" t="n"/>
      <c r="AF64" s="19" t="n"/>
      <c r="AG64" s="30">
        <f>IF(OR(AE64="",AF64=""),"",INDEX(RiskGrid,6-VALUE(LEFT(AE64,1)),VALUE(LEFT(AF64,1))))</f>
        <v/>
      </c>
      <c r="AH64" s="30">
        <f>IF(AG64="","",IF(AG64&gt;=BandVH,"Very High",IF(AG64&gt;=BandHigh,"High",IF(AG64&gt;=BandMed,"Medium","Low"))))</f>
        <v/>
      </c>
      <c r="AI64" s="4" t="n"/>
      <c r="AJ64" s="4" t="n"/>
    </row>
    <row r="65">
      <c r="A65" s="30">
        <f>IF(B65="","",COUNTIF(B$14:B65,"?*"))</f>
        <v/>
      </c>
      <c r="B65" s="4" t="n"/>
      <c r="C65" s="19" t="n"/>
      <c r="D65" s="5">
        <f>IF(OR(B65="",C65=""),"",UPPER(LEFT(C65,1))&amp;LOWER(MID(C65,2,30))&amp;" "&amp;LOWER(LEFT(B65,1))&amp;MID(B65,2,200))</f>
        <v/>
      </c>
      <c r="E65" s="4" t="n"/>
      <c r="F65" s="4" t="n"/>
      <c r="G65" s="4" t="n"/>
      <c r="H65" s="4" t="n"/>
      <c r="I65" s="4" t="n"/>
      <c r="J65" s="4" t="n"/>
      <c r="K65" s="5">
        <f>_xlfn.TEXTJOIN(CHAR(10),TRUE,IF(E65="","","• "&amp;E65),IF(F65="","","• "&amp;F65),IF(G65="","","• "&amp;G65),IF(H65="","","• "&amp;H65),IF(I65="","","• "&amp;I65),IF(J65="","","• "&amp;J65))</f>
        <v/>
      </c>
      <c r="L65" s="4" t="n"/>
      <c r="M65" s="19" t="n"/>
      <c r="N65" s="19" t="n"/>
      <c r="O65" s="30">
        <f>IF(OR(M65="",N65=""),"",INDEX(RiskGrid,6-VALUE(LEFT(M65,1)),VALUE(LEFT(N65,1))))</f>
        <v/>
      </c>
      <c r="P65" s="30">
        <f>IF(O65="","",IF(O65&gt;=BandVH,"Very High",IF(O65&gt;=BandHigh,"High",IF(O65&gt;=BandMed,"Medium","Low"))))</f>
        <v/>
      </c>
      <c r="Q65" s="4" t="n"/>
      <c r="R65" s="19" t="n"/>
      <c r="S65" s="4" t="n"/>
      <c r="T65" s="19" t="n"/>
      <c r="U65" s="4" t="n"/>
      <c r="V65" s="19" t="n"/>
      <c r="W65" s="4" t="n"/>
      <c r="X65" s="19" t="n"/>
      <c r="Y65" s="4" t="n"/>
      <c r="Z65" s="19" t="n"/>
      <c r="AA65" s="4" t="n"/>
      <c r="AB65" s="19" t="n"/>
      <c r="AC65" s="5">
        <f>_xlfn.TEXTJOIN(CHAR(10),TRUE,IF(Q65="","","• "&amp;Q65&amp;IF(R65="Yes","  [IPL]","")),IF(S65="","","• "&amp;S65&amp;IF(T65="Yes","  [IPL]","")),IF(U65="","","• "&amp;U65&amp;IF(V65="Yes","  [IPL]","")),IF(W65="","","• "&amp;W65&amp;IF(X65="Yes","  [IPL]","")),IF(Y65="","","• "&amp;Y65&amp;IF(Z65="Yes","  [IPL]","")),IF(AA65="","","• "&amp;AA65&amp;IF(AB65="Yes","  [IPL]","")))</f>
        <v/>
      </c>
      <c r="AD65" s="30">
        <f>IF(AC65="","",COUNTIF(Q65:AB65,"Yes"))</f>
        <v/>
      </c>
      <c r="AE65" s="19" t="n"/>
      <c r="AF65" s="19" t="n"/>
      <c r="AG65" s="30">
        <f>IF(OR(AE65="",AF65=""),"",INDEX(RiskGrid,6-VALUE(LEFT(AE65,1)),VALUE(LEFT(AF65,1))))</f>
        <v/>
      </c>
      <c r="AH65" s="30">
        <f>IF(AG65="","",IF(AG65&gt;=BandVH,"Very High",IF(AG65&gt;=BandHigh,"High",IF(AG65&gt;=BandMed,"Medium","Low"))))</f>
        <v/>
      </c>
      <c r="AI65" s="4" t="n"/>
      <c r="AJ65" s="4" t="n"/>
    </row>
    <row r="66">
      <c r="A66" s="30">
        <f>IF(B66="","",COUNTIF(B$14:B66,"?*"))</f>
        <v/>
      </c>
      <c r="B66" s="4" t="n"/>
      <c r="C66" s="19" t="n"/>
      <c r="D66" s="5">
        <f>IF(OR(B66="",C66=""),"",UPPER(LEFT(C66,1))&amp;LOWER(MID(C66,2,30))&amp;" "&amp;LOWER(LEFT(B66,1))&amp;MID(B66,2,200))</f>
        <v/>
      </c>
      <c r="E66" s="4" t="n"/>
      <c r="F66" s="4" t="n"/>
      <c r="G66" s="4" t="n"/>
      <c r="H66" s="4" t="n"/>
      <c r="I66" s="4" t="n"/>
      <c r="J66" s="4" t="n"/>
      <c r="K66" s="5">
        <f>_xlfn.TEXTJOIN(CHAR(10),TRUE,IF(E66="","","• "&amp;E66),IF(F66="","","• "&amp;F66),IF(G66="","","• "&amp;G66),IF(H66="","","• "&amp;H66),IF(I66="","","• "&amp;I66),IF(J66="","","• "&amp;J66))</f>
        <v/>
      </c>
      <c r="L66" s="4" t="n"/>
      <c r="M66" s="19" t="n"/>
      <c r="N66" s="19" t="n"/>
      <c r="O66" s="30">
        <f>IF(OR(M66="",N66=""),"",INDEX(RiskGrid,6-VALUE(LEFT(M66,1)),VALUE(LEFT(N66,1))))</f>
        <v/>
      </c>
      <c r="P66" s="30">
        <f>IF(O66="","",IF(O66&gt;=BandVH,"Very High",IF(O66&gt;=BandHigh,"High",IF(O66&gt;=BandMed,"Medium","Low"))))</f>
        <v/>
      </c>
      <c r="Q66" s="4" t="n"/>
      <c r="R66" s="19" t="n"/>
      <c r="S66" s="4" t="n"/>
      <c r="T66" s="19" t="n"/>
      <c r="U66" s="4" t="n"/>
      <c r="V66" s="19" t="n"/>
      <c r="W66" s="4" t="n"/>
      <c r="X66" s="19" t="n"/>
      <c r="Y66" s="4" t="n"/>
      <c r="Z66" s="19" t="n"/>
      <c r="AA66" s="4" t="n"/>
      <c r="AB66" s="19" t="n"/>
      <c r="AC66" s="5">
        <f>_xlfn.TEXTJOIN(CHAR(10),TRUE,IF(Q66="","","• "&amp;Q66&amp;IF(R66="Yes","  [IPL]","")),IF(S66="","","• "&amp;S66&amp;IF(T66="Yes","  [IPL]","")),IF(U66="","","• "&amp;U66&amp;IF(V66="Yes","  [IPL]","")),IF(W66="","","• "&amp;W66&amp;IF(X66="Yes","  [IPL]","")),IF(Y66="","","• "&amp;Y66&amp;IF(Z66="Yes","  [IPL]","")),IF(AA66="","","• "&amp;AA66&amp;IF(AB66="Yes","  [IPL]","")))</f>
        <v/>
      </c>
      <c r="AD66" s="30">
        <f>IF(AC66="","",COUNTIF(Q66:AB66,"Yes"))</f>
        <v/>
      </c>
      <c r="AE66" s="19" t="n"/>
      <c r="AF66" s="19" t="n"/>
      <c r="AG66" s="30">
        <f>IF(OR(AE66="",AF66=""),"",INDEX(RiskGrid,6-VALUE(LEFT(AE66,1)),VALUE(LEFT(AF66,1))))</f>
        <v/>
      </c>
      <c r="AH66" s="30">
        <f>IF(AG66="","",IF(AG66&gt;=BandVH,"Very High",IF(AG66&gt;=BandHigh,"High",IF(AG66&gt;=BandMed,"Medium","Low"))))</f>
        <v/>
      </c>
      <c r="AI66" s="4" t="n"/>
      <c r="AJ66" s="4" t="n"/>
    </row>
    <row r="67">
      <c r="A67" s="30">
        <f>IF(B67="","",COUNTIF(B$14:B67,"?*"))</f>
        <v/>
      </c>
      <c r="B67" s="4" t="n"/>
      <c r="C67" s="19" t="n"/>
      <c r="D67" s="5">
        <f>IF(OR(B67="",C67=""),"",UPPER(LEFT(C67,1))&amp;LOWER(MID(C67,2,30))&amp;" "&amp;LOWER(LEFT(B67,1))&amp;MID(B67,2,200))</f>
        <v/>
      </c>
      <c r="E67" s="4" t="n"/>
      <c r="F67" s="4" t="n"/>
      <c r="G67" s="4" t="n"/>
      <c r="H67" s="4" t="n"/>
      <c r="I67" s="4" t="n"/>
      <c r="J67" s="4" t="n"/>
      <c r="K67" s="5">
        <f>_xlfn.TEXTJOIN(CHAR(10),TRUE,IF(E67="","","• "&amp;E67),IF(F67="","","• "&amp;F67),IF(G67="","","• "&amp;G67),IF(H67="","","• "&amp;H67),IF(I67="","","• "&amp;I67),IF(J67="","","• "&amp;J67))</f>
        <v/>
      </c>
      <c r="L67" s="4" t="n"/>
      <c r="M67" s="19" t="n"/>
      <c r="N67" s="19" t="n"/>
      <c r="O67" s="30">
        <f>IF(OR(M67="",N67=""),"",INDEX(RiskGrid,6-VALUE(LEFT(M67,1)),VALUE(LEFT(N67,1))))</f>
        <v/>
      </c>
      <c r="P67" s="30">
        <f>IF(O67="","",IF(O67&gt;=BandVH,"Very High",IF(O67&gt;=BandHigh,"High",IF(O67&gt;=BandMed,"Medium","Low"))))</f>
        <v/>
      </c>
      <c r="Q67" s="4" t="n"/>
      <c r="R67" s="19" t="n"/>
      <c r="S67" s="4" t="n"/>
      <c r="T67" s="19" t="n"/>
      <c r="U67" s="4" t="n"/>
      <c r="V67" s="19" t="n"/>
      <c r="W67" s="4" t="n"/>
      <c r="X67" s="19" t="n"/>
      <c r="Y67" s="4" t="n"/>
      <c r="Z67" s="19" t="n"/>
      <c r="AA67" s="4" t="n"/>
      <c r="AB67" s="19" t="n"/>
      <c r="AC67" s="5">
        <f>_xlfn.TEXTJOIN(CHAR(10),TRUE,IF(Q67="","","• "&amp;Q67&amp;IF(R67="Yes","  [IPL]","")),IF(S67="","","• "&amp;S67&amp;IF(T67="Yes","  [IPL]","")),IF(U67="","","• "&amp;U67&amp;IF(V67="Yes","  [IPL]","")),IF(W67="","","• "&amp;W67&amp;IF(X67="Yes","  [IPL]","")),IF(Y67="","","• "&amp;Y67&amp;IF(Z67="Yes","  [IPL]","")),IF(AA67="","","• "&amp;AA67&amp;IF(AB67="Yes","  [IPL]","")))</f>
        <v/>
      </c>
      <c r="AD67" s="30">
        <f>IF(AC67="","",COUNTIF(Q67:AB67,"Yes"))</f>
        <v/>
      </c>
      <c r="AE67" s="19" t="n"/>
      <c r="AF67" s="19" t="n"/>
      <c r="AG67" s="30">
        <f>IF(OR(AE67="",AF67=""),"",INDEX(RiskGrid,6-VALUE(LEFT(AE67,1)),VALUE(LEFT(AF67,1))))</f>
        <v/>
      </c>
      <c r="AH67" s="30">
        <f>IF(AG67="","",IF(AG67&gt;=BandVH,"Very High",IF(AG67&gt;=BandHigh,"High",IF(AG67&gt;=BandMed,"Medium","Low"))))</f>
        <v/>
      </c>
      <c r="AI67" s="4" t="n"/>
      <c r="AJ67" s="4" t="n"/>
    </row>
    <row r="68">
      <c r="A68" s="30">
        <f>IF(B68="","",COUNTIF(B$14:B68,"?*"))</f>
        <v/>
      </c>
      <c r="B68" s="4" t="n"/>
      <c r="C68" s="19" t="n"/>
      <c r="D68" s="5">
        <f>IF(OR(B68="",C68=""),"",UPPER(LEFT(C68,1))&amp;LOWER(MID(C68,2,30))&amp;" "&amp;LOWER(LEFT(B68,1))&amp;MID(B68,2,200))</f>
        <v/>
      </c>
      <c r="E68" s="4" t="n"/>
      <c r="F68" s="4" t="n"/>
      <c r="G68" s="4" t="n"/>
      <c r="H68" s="4" t="n"/>
      <c r="I68" s="4" t="n"/>
      <c r="J68" s="4" t="n"/>
      <c r="K68" s="5">
        <f>_xlfn.TEXTJOIN(CHAR(10),TRUE,IF(E68="","","• "&amp;E68),IF(F68="","","• "&amp;F68),IF(G68="","","• "&amp;G68),IF(H68="","","• "&amp;H68),IF(I68="","","• "&amp;I68),IF(J68="","","• "&amp;J68))</f>
        <v/>
      </c>
      <c r="L68" s="4" t="n"/>
      <c r="M68" s="19" t="n"/>
      <c r="N68" s="19" t="n"/>
      <c r="O68" s="30">
        <f>IF(OR(M68="",N68=""),"",INDEX(RiskGrid,6-VALUE(LEFT(M68,1)),VALUE(LEFT(N68,1))))</f>
        <v/>
      </c>
      <c r="P68" s="30">
        <f>IF(O68="","",IF(O68&gt;=BandVH,"Very High",IF(O68&gt;=BandHigh,"High",IF(O68&gt;=BandMed,"Medium","Low"))))</f>
        <v/>
      </c>
      <c r="Q68" s="4" t="n"/>
      <c r="R68" s="19" t="n"/>
      <c r="S68" s="4" t="n"/>
      <c r="T68" s="19" t="n"/>
      <c r="U68" s="4" t="n"/>
      <c r="V68" s="19" t="n"/>
      <c r="W68" s="4" t="n"/>
      <c r="X68" s="19" t="n"/>
      <c r="Y68" s="4" t="n"/>
      <c r="Z68" s="19" t="n"/>
      <c r="AA68" s="4" t="n"/>
      <c r="AB68" s="19" t="n"/>
      <c r="AC68" s="5">
        <f>_xlfn.TEXTJOIN(CHAR(10),TRUE,IF(Q68="","","• "&amp;Q68&amp;IF(R68="Yes","  [IPL]","")),IF(S68="","","• "&amp;S68&amp;IF(T68="Yes","  [IPL]","")),IF(U68="","","• "&amp;U68&amp;IF(V68="Yes","  [IPL]","")),IF(W68="","","• "&amp;W68&amp;IF(X68="Yes","  [IPL]","")),IF(Y68="","","• "&amp;Y68&amp;IF(Z68="Yes","  [IPL]","")),IF(AA68="","","• "&amp;AA68&amp;IF(AB68="Yes","  [IPL]","")))</f>
        <v/>
      </c>
      <c r="AD68" s="30">
        <f>IF(AC68="","",COUNTIF(Q68:AB68,"Yes"))</f>
        <v/>
      </c>
      <c r="AE68" s="19" t="n"/>
      <c r="AF68" s="19" t="n"/>
      <c r="AG68" s="30">
        <f>IF(OR(AE68="",AF68=""),"",INDEX(RiskGrid,6-VALUE(LEFT(AE68,1)),VALUE(LEFT(AF68,1))))</f>
        <v/>
      </c>
      <c r="AH68" s="30">
        <f>IF(AG68="","",IF(AG68&gt;=BandVH,"Very High",IF(AG68&gt;=BandHigh,"High",IF(AG68&gt;=BandMed,"Medium","Low"))))</f>
        <v/>
      </c>
      <c r="AI68" s="4" t="n"/>
      <c r="AJ68" s="4" t="n"/>
    </row>
    <row r="69">
      <c r="A69" s="30">
        <f>IF(B69="","",COUNTIF(B$14:B69,"?*"))</f>
        <v/>
      </c>
      <c r="B69" s="4" t="n"/>
      <c r="C69" s="19" t="n"/>
      <c r="D69" s="5">
        <f>IF(OR(B69="",C69=""),"",UPPER(LEFT(C69,1))&amp;LOWER(MID(C69,2,30))&amp;" "&amp;LOWER(LEFT(B69,1))&amp;MID(B69,2,200))</f>
        <v/>
      </c>
      <c r="E69" s="4" t="n"/>
      <c r="F69" s="4" t="n"/>
      <c r="G69" s="4" t="n"/>
      <c r="H69" s="4" t="n"/>
      <c r="I69" s="4" t="n"/>
      <c r="J69" s="4" t="n"/>
      <c r="K69" s="5">
        <f>_xlfn.TEXTJOIN(CHAR(10),TRUE,IF(E69="","","• "&amp;E69),IF(F69="","","• "&amp;F69),IF(G69="","","• "&amp;G69),IF(H69="","","• "&amp;H69),IF(I69="","","• "&amp;I69),IF(J69="","","• "&amp;J69))</f>
        <v/>
      </c>
      <c r="L69" s="4" t="n"/>
      <c r="M69" s="19" t="n"/>
      <c r="N69" s="19" t="n"/>
      <c r="O69" s="30">
        <f>IF(OR(M69="",N69=""),"",INDEX(RiskGrid,6-VALUE(LEFT(M69,1)),VALUE(LEFT(N69,1))))</f>
        <v/>
      </c>
      <c r="P69" s="30">
        <f>IF(O69="","",IF(O69&gt;=BandVH,"Very High",IF(O69&gt;=BandHigh,"High",IF(O69&gt;=BandMed,"Medium","Low"))))</f>
        <v/>
      </c>
      <c r="Q69" s="4" t="n"/>
      <c r="R69" s="19" t="n"/>
      <c r="S69" s="4" t="n"/>
      <c r="T69" s="19" t="n"/>
      <c r="U69" s="4" t="n"/>
      <c r="V69" s="19" t="n"/>
      <c r="W69" s="4" t="n"/>
      <c r="X69" s="19" t="n"/>
      <c r="Y69" s="4" t="n"/>
      <c r="Z69" s="19" t="n"/>
      <c r="AA69" s="4" t="n"/>
      <c r="AB69" s="19" t="n"/>
      <c r="AC69" s="5">
        <f>_xlfn.TEXTJOIN(CHAR(10),TRUE,IF(Q69="","","• "&amp;Q69&amp;IF(R69="Yes","  [IPL]","")),IF(S69="","","• "&amp;S69&amp;IF(T69="Yes","  [IPL]","")),IF(U69="","","• "&amp;U69&amp;IF(V69="Yes","  [IPL]","")),IF(W69="","","• "&amp;W69&amp;IF(X69="Yes","  [IPL]","")),IF(Y69="","","• "&amp;Y69&amp;IF(Z69="Yes","  [IPL]","")),IF(AA69="","","• "&amp;AA69&amp;IF(AB69="Yes","  [IPL]","")))</f>
        <v/>
      </c>
      <c r="AD69" s="30">
        <f>IF(AC69="","",COUNTIF(Q69:AB69,"Yes"))</f>
        <v/>
      </c>
      <c r="AE69" s="19" t="n"/>
      <c r="AF69" s="19" t="n"/>
      <c r="AG69" s="30">
        <f>IF(OR(AE69="",AF69=""),"",INDEX(RiskGrid,6-VALUE(LEFT(AE69,1)),VALUE(LEFT(AF69,1))))</f>
        <v/>
      </c>
      <c r="AH69" s="30">
        <f>IF(AG69="","",IF(AG69&gt;=BandVH,"Very High",IF(AG69&gt;=BandHigh,"High",IF(AG69&gt;=BandMed,"Medium","Low"))))</f>
        <v/>
      </c>
      <c r="AI69" s="4" t="n"/>
      <c r="AJ69" s="4" t="n"/>
    </row>
    <row r="70">
      <c r="A70" s="30">
        <f>IF(B70="","",COUNTIF(B$14:B70,"?*"))</f>
        <v/>
      </c>
      <c r="B70" s="4" t="n"/>
      <c r="C70" s="19" t="n"/>
      <c r="D70" s="5">
        <f>IF(OR(B70="",C70=""),"",UPPER(LEFT(C70,1))&amp;LOWER(MID(C70,2,30))&amp;" "&amp;LOWER(LEFT(B70,1))&amp;MID(B70,2,200))</f>
        <v/>
      </c>
      <c r="E70" s="4" t="n"/>
      <c r="F70" s="4" t="n"/>
      <c r="G70" s="4" t="n"/>
      <c r="H70" s="4" t="n"/>
      <c r="I70" s="4" t="n"/>
      <c r="J70" s="4" t="n"/>
      <c r="K70" s="5">
        <f>_xlfn.TEXTJOIN(CHAR(10),TRUE,IF(E70="","","• "&amp;E70),IF(F70="","","• "&amp;F70),IF(G70="","","• "&amp;G70),IF(H70="","","• "&amp;H70),IF(I70="","","• "&amp;I70),IF(J70="","","• "&amp;J70))</f>
        <v/>
      </c>
      <c r="L70" s="4" t="n"/>
      <c r="M70" s="19" t="n"/>
      <c r="N70" s="19" t="n"/>
      <c r="O70" s="30">
        <f>IF(OR(M70="",N70=""),"",INDEX(RiskGrid,6-VALUE(LEFT(M70,1)),VALUE(LEFT(N70,1))))</f>
        <v/>
      </c>
      <c r="P70" s="30">
        <f>IF(O70="","",IF(O70&gt;=BandVH,"Very High",IF(O70&gt;=BandHigh,"High",IF(O70&gt;=BandMed,"Medium","Low"))))</f>
        <v/>
      </c>
      <c r="Q70" s="4" t="n"/>
      <c r="R70" s="19" t="n"/>
      <c r="S70" s="4" t="n"/>
      <c r="T70" s="19" t="n"/>
      <c r="U70" s="4" t="n"/>
      <c r="V70" s="19" t="n"/>
      <c r="W70" s="4" t="n"/>
      <c r="X70" s="19" t="n"/>
      <c r="Y70" s="4" t="n"/>
      <c r="Z70" s="19" t="n"/>
      <c r="AA70" s="4" t="n"/>
      <c r="AB70" s="19" t="n"/>
      <c r="AC70" s="5">
        <f>_xlfn.TEXTJOIN(CHAR(10),TRUE,IF(Q70="","","• "&amp;Q70&amp;IF(R70="Yes","  [IPL]","")),IF(S70="","","• "&amp;S70&amp;IF(T70="Yes","  [IPL]","")),IF(U70="","","• "&amp;U70&amp;IF(V70="Yes","  [IPL]","")),IF(W70="","","• "&amp;W70&amp;IF(X70="Yes","  [IPL]","")),IF(Y70="","","• "&amp;Y70&amp;IF(Z70="Yes","  [IPL]","")),IF(AA70="","","• "&amp;AA70&amp;IF(AB70="Yes","  [IPL]","")))</f>
        <v/>
      </c>
      <c r="AD70" s="30">
        <f>IF(AC70="","",COUNTIF(Q70:AB70,"Yes"))</f>
        <v/>
      </c>
      <c r="AE70" s="19" t="n"/>
      <c r="AF70" s="19" t="n"/>
      <c r="AG70" s="30">
        <f>IF(OR(AE70="",AF70=""),"",INDEX(RiskGrid,6-VALUE(LEFT(AE70,1)),VALUE(LEFT(AF70,1))))</f>
        <v/>
      </c>
      <c r="AH70" s="30">
        <f>IF(AG70="","",IF(AG70&gt;=BandVH,"Very High",IF(AG70&gt;=BandHigh,"High",IF(AG70&gt;=BandMed,"Medium","Low"))))</f>
        <v/>
      </c>
      <c r="AI70" s="4" t="n"/>
      <c r="AJ70" s="4" t="n"/>
    </row>
    <row r="71">
      <c r="A71" s="30">
        <f>IF(B71="","",COUNTIF(B$14:B71,"?*"))</f>
        <v/>
      </c>
      <c r="B71" s="4" t="n"/>
      <c r="C71" s="19" t="n"/>
      <c r="D71" s="5">
        <f>IF(OR(B71="",C71=""),"",UPPER(LEFT(C71,1))&amp;LOWER(MID(C71,2,30))&amp;" "&amp;LOWER(LEFT(B71,1))&amp;MID(B71,2,200))</f>
        <v/>
      </c>
      <c r="E71" s="4" t="n"/>
      <c r="F71" s="4" t="n"/>
      <c r="G71" s="4" t="n"/>
      <c r="H71" s="4" t="n"/>
      <c r="I71" s="4" t="n"/>
      <c r="J71" s="4" t="n"/>
      <c r="K71" s="5">
        <f>_xlfn.TEXTJOIN(CHAR(10),TRUE,IF(E71="","","• "&amp;E71),IF(F71="","","• "&amp;F71),IF(G71="","","• "&amp;G71),IF(H71="","","• "&amp;H71),IF(I71="","","• "&amp;I71),IF(J71="","","• "&amp;J71))</f>
        <v/>
      </c>
      <c r="L71" s="4" t="n"/>
      <c r="M71" s="19" t="n"/>
      <c r="N71" s="19" t="n"/>
      <c r="O71" s="30">
        <f>IF(OR(M71="",N71=""),"",INDEX(RiskGrid,6-VALUE(LEFT(M71,1)),VALUE(LEFT(N71,1))))</f>
        <v/>
      </c>
      <c r="P71" s="30">
        <f>IF(O71="","",IF(O71&gt;=BandVH,"Very High",IF(O71&gt;=BandHigh,"High",IF(O71&gt;=BandMed,"Medium","Low"))))</f>
        <v/>
      </c>
      <c r="Q71" s="4" t="n"/>
      <c r="R71" s="19" t="n"/>
      <c r="S71" s="4" t="n"/>
      <c r="T71" s="19" t="n"/>
      <c r="U71" s="4" t="n"/>
      <c r="V71" s="19" t="n"/>
      <c r="W71" s="4" t="n"/>
      <c r="X71" s="19" t="n"/>
      <c r="Y71" s="4" t="n"/>
      <c r="Z71" s="19" t="n"/>
      <c r="AA71" s="4" t="n"/>
      <c r="AB71" s="19" t="n"/>
      <c r="AC71" s="5">
        <f>_xlfn.TEXTJOIN(CHAR(10),TRUE,IF(Q71="","","• "&amp;Q71&amp;IF(R71="Yes","  [IPL]","")),IF(S71="","","• "&amp;S71&amp;IF(T71="Yes","  [IPL]","")),IF(U71="","","• "&amp;U71&amp;IF(V71="Yes","  [IPL]","")),IF(W71="","","• "&amp;W71&amp;IF(X71="Yes","  [IPL]","")),IF(Y71="","","• "&amp;Y71&amp;IF(Z71="Yes","  [IPL]","")),IF(AA71="","","• "&amp;AA71&amp;IF(AB71="Yes","  [IPL]","")))</f>
        <v/>
      </c>
      <c r="AD71" s="30">
        <f>IF(AC71="","",COUNTIF(Q71:AB71,"Yes"))</f>
        <v/>
      </c>
      <c r="AE71" s="19" t="n"/>
      <c r="AF71" s="19" t="n"/>
      <c r="AG71" s="30">
        <f>IF(OR(AE71="",AF71=""),"",INDEX(RiskGrid,6-VALUE(LEFT(AE71,1)),VALUE(LEFT(AF71,1))))</f>
        <v/>
      </c>
      <c r="AH71" s="30">
        <f>IF(AG71="","",IF(AG71&gt;=BandVH,"Very High",IF(AG71&gt;=BandHigh,"High",IF(AG71&gt;=BandMed,"Medium","Low"))))</f>
        <v/>
      </c>
      <c r="AI71" s="4" t="n"/>
      <c r="AJ71" s="4" t="n"/>
    </row>
    <row r="72">
      <c r="A72" s="30">
        <f>IF(B72="","",COUNTIF(B$14:B72,"?*"))</f>
        <v/>
      </c>
      <c r="B72" s="4" t="n"/>
      <c r="C72" s="19" t="n"/>
      <c r="D72" s="5">
        <f>IF(OR(B72="",C72=""),"",UPPER(LEFT(C72,1))&amp;LOWER(MID(C72,2,30))&amp;" "&amp;LOWER(LEFT(B72,1))&amp;MID(B72,2,200))</f>
        <v/>
      </c>
      <c r="E72" s="4" t="n"/>
      <c r="F72" s="4" t="n"/>
      <c r="G72" s="4" t="n"/>
      <c r="H72" s="4" t="n"/>
      <c r="I72" s="4" t="n"/>
      <c r="J72" s="4" t="n"/>
      <c r="K72" s="5">
        <f>_xlfn.TEXTJOIN(CHAR(10),TRUE,IF(E72="","","• "&amp;E72),IF(F72="","","• "&amp;F72),IF(G72="","","• "&amp;G72),IF(H72="","","• "&amp;H72),IF(I72="","","• "&amp;I72),IF(J72="","","• "&amp;J72))</f>
        <v/>
      </c>
      <c r="L72" s="4" t="n"/>
      <c r="M72" s="19" t="n"/>
      <c r="N72" s="19" t="n"/>
      <c r="O72" s="30">
        <f>IF(OR(M72="",N72=""),"",INDEX(RiskGrid,6-VALUE(LEFT(M72,1)),VALUE(LEFT(N72,1))))</f>
        <v/>
      </c>
      <c r="P72" s="30">
        <f>IF(O72="","",IF(O72&gt;=BandVH,"Very High",IF(O72&gt;=BandHigh,"High",IF(O72&gt;=BandMed,"Medium","Low"))))</f>
        <v/>
      </c>
      <c r="Q72" s="4" t="n"/>
      <c r="R72" s="19" t="n"/>
      <c r="S72" s="4" t="n"/>
      <c r="T72" s="19" t="n"/>
      <c r="U72" s="4" t="n"/>
      <c r="V72" s="19" t="n"/>
      <c r="W72" s="4" t="n"/>
      <c r="X72" s="19" t="n"/>
      <c r="Y72" s="4" t="n"/>
      <c r="Z72" s="19" t="n"/>
      <c r="AA72" s="4" t="n"/>
      <c r="AB72" s="19" t="n"/>
      <c r="AC72" s="5">
        <f>_xlfn.TEXTJOIN(CHAR(10),TRUE,IF(Q72="","","• "&amp;Q72&amp;IF(R72="Yes","  [IPL]","")),IF(S72="","","• "&amp;S72&amp;IF(T72="Yes","  [IPL]","")),IF(U72="","","• "&amp;U72&amp;IF(V72="Yes","  [IPL]","")),IF(W72="","","• "&amp;W72&amp;IF(X72="Yes","  [IPL]","")),IF(Y72="","","• "&amp;Y72&amp;IF(Z72="Yes","  [IPL]","")),IF(AA72="","","• "&amp;AA72&amp;IF(AB72="Yes","  [IPL]","")))</f>
        <v/>
      </c>
      <c r="AD72" s="30">
        <f>IF(AC72="","",COUNTIF(Q72:AB72,"Yes"))</f>
        <v/>
      </c>
      <c r="AE72" s="19" t="n"/>
      <c r="AF72" s="19" t="n"/>
      <c r="AG72" s="30">
        <f>IF(OR(AE72="",AF72=""),"",INDEX(RiskGrid,6-VALUE(LEFT(AE72,1)),VALUE(LEFT(AF72,1))))</f>
        <v/>
      </c>
      <c r="AH72" s="30">
        <f>IF(AG72="","",IF(AG72&gt;=BandVH,"Very High",IF(AG72&gt;=BandHigh,"High",IF(AG72&gt;=BandMed,"Medium","Low"))))</f>
        <v/>
      </c>
      <c r="AI72" s="4" t="n"/>
      <c r="AJ72" s="4" t="n"/>
    </row>
    <row r="73">
      <c r="A73" s="30">
        <f>IF(B73="","",COUNTIF(B$14:B73,"?*"))</f>
        <v/>
      </c>
      <c r="B73" s="4" t="n"/>
      <c r="C73" s="19" t="n"/>
      <c r="D73" s="5">
        <f>IF(OR(B73="",C73=""),"",UPPER(LEFT(C73,1))&amp;LOWER(MID(C73,2,30))&amp;" "&amp;LOWER(LEFT(B73,1))&amp;MID(B73,2,200))</f>
        <v/>
      </c>
      <c r="E73" s="4" t="n"/>
      <c r="F73" s="4" t="n"/>
      <c r="G73" s="4" t="n"/>
      <c r="H73" s="4" t="n"/>
      <c r="I73" s="4" t="n"/>
      <c r="J73" s="4" t="n"/>
      <c r="K73" s="5">
        <f>_xlfn.TEXTJOIN(CHAR(10),TRUE,IF(E73="","","• "&amp;E73),IF(F73="","","• "&amp;F73),IF(G73="","","• "&amp;G73),IF(H73="","","• "&amp;H73),IF(I73="","","• "&amp;I73),IF(J73="","","• "&amp;J73))</f>
        <v/>
      </c>
      <c r="L73" s="4" t="n"/>
      <c r="M73" s="19" t="n"/>
      <c r="N73" s="19" t="n"/>
      <c r="O73" s="30">
        <f>IF(OR(M73="",N73=""),"",INDEX(RiskGrid,6-VALUE(LEFT(M73,1)),VALUE(LEFT(N73,1))))</f>
        <v/>
      </c>
      <c r="P73" s="30">
        <f>IF(O73="","",IF(O73&gt;=BandVH,"Very High",IF(O73&gt;=BandHigh,"High",IF(O73&gt;=BandMed,"Medium","Low"))))</f>
        <v/>
      </c>
      <c r="Q73" s="4" t="n"/>
      <c r="R73" s="19" t="n"/>
      <c r="S73" s="4" t="n"/>
      <c r="T73" s="19" t="n"/>
      <c r="U73" s="4" t="n"/>
      <c r="V73" s="19" t="n"/>
      <c r="W73" s="4" t="n"/>
      <c r="X73" s="19" t="n"/>
      <c r="Y73" s="4" t="n"/>
      <c r="Z73" s="19" t="n"/>
      <c r="AA73" s="4" t="n"/>
      <c r="AB73" s="19" t="n"/>
      <c r="AC73" s="5">
        <f>_xlfn.TEXTJOIN(CHAR(10),TRUE,IF(Q73="","","• "&amp;Q73&amp;IF(R73="Yes","  [IPL]","")),IF(S73="","","• "&amp;S73&amp;IF(T73="Yes","  [IPL]","")),IF(U73="","","• "&amp;U73&amp;IF(V73="Yes","  [IPL]","")),IF(W73="","","• "&amp;W73&amp;IF(X73="Yes","  [IPL]","")),IF(Y73="","","• "&amp;Y73&amp;IF(Z73="Yes","  [IPL]","")),IF(AA73="","","• "&amp;AA73&amp;IF(AB73="Yes","  [IPL]","")))</f>
        <v/>
      </c>
      <c r="AD73" s="30">
        <f>IF(AC73="","",COUNTIF(Q73:AB73,"Yes"))</f>
        <v/>
      </c>
      <c r="AE73" s="19" t="n"/>
      <c r="AF73" s="19" t="n"/>
      <c r="AG73" s="30">
        <f>IF(OR(AE73="",AF73=""),"",INDEX(RiskGrid,6-VALUE(LEFT(AE73,1)),VALUE(LEFT(AF73,1))))</f>
        <v/>
      </c>
      <c r="AH73" s="30">
        <f>IF(AG73="","",IF(AG73&gt;=BandVH,"Very High",IF(AG73&gt;=BandHigh,"High",IF(AG73&gt;=BandMed,"Medium","Low"))))</f>
        <v/>
      </c>
      <c r="AI73" s="4" t="n"/>
      <c r="AJ73" s="4" t="n"/>
    </row>
    <row r="74">
      <c r="A74" s="30">
        <f>IF(B74="","",COUNTIF(B$14:B74,"?*"))</f>
        <v/>
      </c>
      <c r="B74" s="4" t="n"/>
      <c r="C74" s="19" t="n"/>
      <c r="D74" s="5">
        <f>IF(OR(B74="",C74=""),"",UPPER(LEFT(C74,1))&amp;LOWER(MID(C74,2,30))&amp;" "&amp;LOWER(LEFT(B74,1))&amp;MID(B74,2,200))</f>
        <v/>
      </c>
      <c r="E74" s="4" t="n"/>
      <c r="F74" s="4" t="n"/>
      <c r="G74" s="4" t="n"/>
      <c r="H74" s="4" t="n"/>
      <c r="I74" s="4" t="n"/>
      <c r="J74" s="4" t="n"/>
      <c r="K74" s="5">
        <f>_xlfn.TEXTJOIN(CHAR(10),TRUE,IF(E74="","","• "&amp;E74),IF(F74="","","• "&amp;F74),IF(G74="","","• "&amp;G74),IF(H74="","","• "&amp;H74),IF(I74="","","• "&amp;I74),IF(J74="","","• "&amp;J74))</f>
        <v/>
      </c>
      <c r="L74" s="4" t="n"/>
      <c r="M74" s="19" t="n"/>
      <c r="N74" s="19" t="n"/>
      <c r="O74" s="30">
        <f>IF(OR(M74="",N74=""),"",INDEX(RiskGrid,6-VALUE(LEFT(M74,1)),VALUE(LEFT(N74,1))))</f>
        <v/>
      </c>
      <c r="P74" s="30">
        <f>IF(O74="","",IF(O74&gt;=BandVH,"Very High",IF(O74&gt;=BandHigh,"High",IF(O74&gt;=BandMed,"Medium","Low"))))</f>
        <v/>
      </c>
      <c r="Q74" s="4" t="n"/>
      <c r="R74" s="19" t="n"/>
      <c r="S74" s="4" t="n"/>
      <c r="T74" s="19" t="n"/>
      <c r="U74" s="4" t="n"/>
      <c r="V74" s="19" t="n"/>
      <c r="W74" s="4" t="n"/>
      <c r="X74" s="19" t="n"/>
      <c r="Y74" s="4" t="n"/>
      <c r="Z74" s="19" t="n"/>
      <c r="AA74" s="4" t="n"/>
      <c r="AB74" s="19" t="n"/>
      <c r="AC74" s="5">
        <f>_xlfn.TEXTJOIN(CHAR(10),TRUE,IF(Q74="","","• "&amp;Q74&amp;IF(R74="Yes","  [IPL]","")),IF(S74="","","• "&amp;S74&amp;IF(T74="Yes","  [IPL]","")),IF(U74="","","• "&amp;U74&amp;IF(V74="Yes","  [IPL]","")),IF(W74="","","• "&amp;W74&amp;IF(X74="Yes","  [IPL]","")),IF(Y74="","","• "&amp;Y74&amp;IF(Z74="Yes","  [IPL]","")),IF(AA74="","","• "&amp;AA74&amp;IF(AB74="Yes","  [IPL]","")))</f>
        <v/>
      </c>
      <c r="AD74" s="30">
        <f>IF(AC74="","",COUNTIF(Q74:AB74,"Yes"))</f>
        <v/>
      </c>
      <c r="AE74" s="19" t="n"/>
      <c r="AF74" s="19" t="n"/>
      <c r="AG74" s="30">
        <f>IF(OR(AE74="",AF74=""),"",INDEX(RiskGrid,6-VALUE(LEFT(AE74,1)),VALUE(LEFT(AF74,1))))</f>
        <v/>
      </c>
      <c r="AH74" s="30">
        <f>IF(AG74="","",IF(AG74&gt;=BandVH,"Very High",IF(AG74&gt;=BandHigh,"High",IF(AG74&gt;=BandMed,"Medium","Low"))))</f>
        <v/>
      </c>
      <c r="AI74" s="4" t="n"/>
      <c r="AJ74" s="4" t="n"/>
    </row>
    <row r="75">
      <c r="A75" s="30">
        <f>IF(B75="","",COUNTIF(B$14:B75,"?*"))</f>
        <v/>
      </c>
      <c r="B75" s="4" t="n"/>
      <c r="C75" s="19" t="n"/>
      <c r="D75" s="5">
        <f>IF(OR(B75="",C75=""),"",UPPER(LEFT(C75,1))&amp;LOWER(MID(C75,2,30))&amp;" "&amp;LOWER(LEFT(B75,1))&amp;MID(B75,2,200))</f>
        <v/>
      </c>
      <c r="E75" s="4" t="n"/>
      <c r="F75" s="4" t="n"/>
      <c r="G75" s="4" t="n"/>
      <c r="H75" s="4" t="n"/>
      <c r="I75" s="4" t="n"/>
      <c r="J75" s="4" t="n"/>
      <c r="K75" s="5">
        <f>_xlfn.TEXTJOIN(CHAR(10),TRUE,IF(E75="","","• "&amp;E75),IF(F75="","","• "&amp;F75),IF(G75="","","• "&amp;G75),IF(H75="","","• "&amp;H75),IF(I75="","","• "&amp;I75),IF(J75="","","• "&amp;J75))</f>
        <v/>
      </c>
      <c r="L75" s="4" t="n"/>
      <c r="M75" s="19" t="n"/>
      <c r="N75" s="19" t="n"/>
      <c r="O75" s="30">
        <f>IF(OR(M75="",N75=""),"",INDEX(RiskGrid,6-VALUE(LEFT(M75,1)),VALUE(LEFT(N75,1))))</f>
        <v/>
      </c>
      <c r="P75" s="30">
        <f>IF(O75="","",IF(O75&gt;=BandVH,"Very High",IF(O75&gt;=BandHigh,"High",IF(O75&gt;=BandMed,"Medium","Low"))))</f>
        <v/>
      </c>
      <c r="Q75" s="4" t="n"/>
      <c r="R75" s="19" t="n"/>
      <c r="S75" s="4" t="n"/>
      <c r="T75" s="19" t="n"/>
      <c r="U75" s="4" t="n"/>
      <c r="V75" s="19" t="n"/>
      <c r="W75" s="4" t="n"/>
      <c r="X75" s="19" t="n"/>
      <c r="Y75" s="4" t="n"/>
      <c r="Z75" s="19" t="n"/>
      <c r="AA75" s="4" t="n"/>
      <c r="AB75" s="19" t="n"/>
      <c r="AC75" s="5">
        <f>_xlfn.TEXTJOIN(CHAR(10),TRUE,IF(Q75="","","• "&amp;Q75&amp;IF(R75="Yes","  [IPL]","")),IF(S75="","","• "&amp;S75&amp;IF(T75="Yes","  [IPL]","")),IF(U75="","","• "&amp;U75&amp;IF(V75="Yes","  [IPL]","")),IF(W75="","","• "&amp;W75&amp;IF(X75="Yes","  [IPL]","")),IF(Y75="","","• "&amp;Y75&amp;IF(Z75="Yes","  [IPL]","")),IF(AA75="","","• "&amp;AA75&amp;IF(AB75="Yes","  [IPL]","")))</f>
        <v/>
      </c>
      <c r="AD75" s="30">
        <f>IF(AC75="","",COUNTIF(Q75:AB75,"Yes"))</f>
        <v/>
      </c>
      <c r="AE75" s="19" t="n"/>
      <c r="AF75" s="19" t="n"/>
      <c r="AG75" s="30">
        <f>IF(OR(AE75="",AF75=""),"",INDEX(RiskGrid,6-VALUE(LEFT(AE75,1)),VALUE(LEFT(AF75,1))))</f>
        <v/>
      </c>
      <c r="AH75" s="30">
        <f>IF(AG75="","",IF(AG75&gt;=BandVH,"Very High",IF(AG75&gt;=BandHigh,"High",IF(AG75&gt;=BandMed,"Medium","Low"))))</f>
        <v/>
      </c>
      <c r="AI75" s="4" t="n"/>
      <c r="AJ75" s="4" t="n"/>
    </row>
    <row r="76">
      <c r="A76" s="30">
        <f>IF(B76="","",COUNTIF(B$14:B76,"?*"))</f>
        <v/>
      </c>
      <c r="B76" s="4" t="n"/>
      <c r="C76" s="19" t="n"/>
      <c r="D76" s="5">
        <f>IF(OR(B76="",C76=""),"",UPPER(LEFT(C76,1))&amp;LOWER(MID(C76,2,30))&amp;" "&amp;LOWER(LEFT(B76,1))&amp;MID(B76,2,200))</f>
        <v/>
      </c>
      <c r="E76" s="4" t="n"/>
      <c r="F76" s="4" t="n"/>
      <c r="G76" s="4" t="n"/>
      <c r="H76" s="4" t="n"/>
      <c r="I76" s="4" t="n"/>
      <c r="J76" s="4" t="n"/>
      <c r="K76" s="5">
        <f>_xlfn.TEXTJOIN(CHAR(10),TRUE,IF(E76="","","• "&amp;E76),IF(F76="","","• "&amp;F76),IF(G76="","","• "&amp;G76),IF(H76="","","• "&amp;H76),IF(I76="","","• "&amp;I76),IF(J76="","","• "&amp;J76))</f>
        <v/>
      </c>
      <c r="L76" s="4" t="n"/>
      <c r="M76" s="19" t="n"/>
      <c r="N76" s="19" t="n"/>
      <c r="O76" s="30">
        <f>IF(OR(M76="",N76=""),"",INDEX(RiskGrid,6-VALUE(LEFT(M76,1)),VALUE(LEFT(N76,1))))</f>
        <v/>
      </c>
      <c r="P76" s="30">
        <f>IF(O76="","",IF(O76&gt;=BandVH,"Very High",IF(O76&gt;=BandHigh,"High",IF(O76&gt;=BandMed,"Medium","Low"))))</f>
        <v/>
      </c>
      <c r="Q76" s="4" t="n"/>
      <c r="R76" s="19" t="n"/>
      <c r="S76" s="4" t="n"/>
      <c r="T76" s="19" t="n"/>
      <c r="U76" s="4" t="n"/>
      <c r="V76" s="19" t="n"/>
      <c r="W76" s="4" t="n"/>
      <c r="X76" s="19" t="n"/>
      <c r="Y76" s="4" t="n"/>
      <c r="Z76" s="19" t="n"/>
      <c r="AA76" s="4" t="n"/>
      <c r="AB76" s="19" t="n"/>
      <c r="AC76" s="5">
        <f>_xlfn.TEXTJOIN(CHAR(10),TRUE,IF(Q76="","","• "&amp;Q76&amp;IF(R76="Yes","  [IPL]","")),IF(S76="","","• "&amp;S76&amp;IF(T76="Yes","  [IPL]","")),IF(U76="","","• "&amp;U76&amp;IF(V76="Yes","  [IPL]","")),IF(W76="","","• "&amp;W76&amp;IF(X76="Yes","  [IPL]","")),IF(Y76="","","• "&amp;Y76&amp;IF(Z76="Yes","  [IPL]","")),IF(AA76="","","• "&amp;AA76&amp;IF(AB76="Yes","  [IPL]","")))</f>
        <v/>
      </c>
      <c r="AD76" s="30">
        <f>IF(AC76="","",COUNTIF(Q76:AB76,"Yes"))</f>
        <v/>
      </c>
      <c r="AE76" s="19" t="n"/>
      <c r="AF76" s="19" t="n"/>
      <c r="AG76" s="30">
        <f>IF(OR(AE76="",AF76=""),"",INDEX(RiskGrid,6-VALUE(LEFT(AE76,1)),VALUE(LEFT(AF76,1))))</f>
        <v/>
      </c>
      <c r="AH76" s="30">
        <f>IF(AG76="","",IF(AG76&gt;=BandVH,"Very High",IF(AG76&gt;=BandHigh,"High",IF(AG76&gt;=BandMed,"Medium","Low"))))</f>
        <v/>
      </c>
      <c r="AI76" s="4" t="n"/>
      <c r="AJ76" s="4" t="n"/>
    </row>
    <row r="77">
      <c r="A77" s="30">
        <f>IF(B77="","",COUNTIF(B$14:B77,"?*"))</f>
        <v/>
      </c>
      <c r="B77" s="4" t="n"/>
      <c r="C77" s="19" t="n"/>
      <c r="D77" s="5">
        <f>IF(OR(B77="",C77=""),"",UPPER(LEFT(C77,1))&amp;LOWER(MID(C77,2,30))&amp;" "&amp;LOWER(LEFT(B77,1))&amp;MID(B77,2,200))</f>
        <v/>
      </c>
      <c r="E77" s="4" t="n"/>
      <c r="F77" s="4" t="n"/>
      <c r="G77" s="4" t="n"/>
      <c r="H77" s="4" t="n"/>
      <c r="I77" s="4" t="n"/>
      <c r="J77" s="4" t="n"/>
      <c r="K77" s="5">
        <f>_xlfn.TEXTJOIN(CHAR(10),TRUE,IF(E77="","","• "&amp;E77),IF(F77="","","• "&amp;F77),IF(G77="","","• "&amp;G77),IF(H77="","","• "&amp;H77),IF(I77="","","• "&amp;I77),IF(J77="","","• "&amp;J77))</f>
        <v/>
      </c>
      <c r="L77" s="4" t="n"/>
      <c r="M77" s="19" t="n"/>
      <c r="N77" s="19" t="n"/>
      <c r="O77" s="30">
        <f>IF(OR(M77="",N77=""),"",INDEX(RiskGrid,6-VALUE(LEFT(M77,1)),VALUE(LEFT(N77,1))))</f>
        <v/>
      </c>
      <c r="P77" s="30">
        <f>IF(O77="","",IF(O77&gt;=BandVH,"Very High",IF(O77&gt;=BandHigh,"High",IF(O77&gt;=BandMed,"Medium","Low"))))</f>
        <v/>
      </c>
      <c r="Q77" s="4" t="n"/>
      <c r="R77" s="19" t="n"/>
      <c r="S77" s="4" t="n"/>
      <c r="T77" s="19" t="n"/>
      <c r="U77" s="4" t="n"/>
      <c r="V77" s="19" t="n"/>
      <c r="W77" s="4" t="n"/>
      <c r="X77" s="19" t="n"/>
      <c r="Y77" s="4" t="n"/>
      <c r="Z77" s="19" t="n"/>
      <c r="AA77" s="4" t="n"/>
      <c r="AB77" s="19" t="n"/>
      <c r="AC77" s="5">
        <f>_xlfn.TEXTJOIN(CHAR(10),TRUE,IF(Q77="","","• "&amp;Q77&amp;IF(R77="Yes","  [IPL]","")),IF(S77="","","• "&amp;S77&amp;IF(T77="Yes","  [IPL]","")),IF(U77="","","• "&amp;U77&amp;IF(V77="Yes","  [IPL]","")),IF(W77="","","• "&amp;W77&amp;IF(X77="Yes","  [IPL]","")),IF(Y77="","","• "&amp;Y77&amp;IF(Z77="Yes","  [IPL]","")),IF(AA77="","","• "&amp;AA77&amp;IF(AB77="Yes","  [IPL]","")))</f>
        <v/>
      </c>
      <c r="AD77" s="30">
        <f>IF(AC77="","",COUNTIF(Q77:AB77,"Yes"))</f>
        <v/>
      </c>
      <c r="AE77" s="19" t="n"/>
      <c r="AF77" s="19" t="n"/>
      <c r="AG77" s="30">
        <f>IF(OR(AE77="",AF77=""),"",INDEX(RiskGrid,6-VALUE(LEFT(AE77,1)),VALUE(LEFT(AF77,1))))</f>
        <v/>
      </c>
      <c r="AH77" s="30">
        <f>IF(AG77="","",IF(AG77&gt;=BandVH,"Very High",IF(AG77&gt;=BandHigh,"High",IF(AG77&gt;=BandMed,"Medium","Low"))))</f>
        <v/>
      </c>
      <c r="AI77" s="4" t="n"/>
      <c r="AJ77" s="4" t="n"/>
    </row>
    <row r="78">
      <c r="A78" s="30">
        <f>IF(B78="","",COUNTIF(B$14:B78,"?*"))</f>
        <v/>
      </c>
      <c r="B78" s="4" t="n"/>
      <c r="C78" s="19" t="n"/>
      <c r="D78" s="5">
        <f>IF(OR(B78="",C78=""),"",UPPER(LEFT(C78,1))&amp;LOWER(MID(C78,2,30))&amp;" "&amp;LOWER(LEFT(B78,1))&amp;MID(B78,2,200))</f>
        <v/>
      </c>
      <c r="E78" s="4" t="n"/>
      <c r="F78" s="4" t="n"/>
      <c r="G78" s="4" t="n"/>
      <c r="H78" s="4" t="n"/>
      <c r="I78" s="4" t="n"/>
      <c r="J78" s="4" t="n"/>
      <c r="K78" s="5">
        <f>_xlfn.TEXTJOIN(CHAR(10),TRUE,IF(E78="","","• "&amp;E78),IF(F78="","","• "&amp;F78),IF(G78="","","• "&amp;G78),IF(H78="","","• "&amp;H78),IF(I78="","","• "&amp;I78),IF(J78="","","• "&amp;J78))</f>
        <v/>
      </c>
      <c r="L78" s="4" t="n"/>
      <c r="M78" s="19" t="n"/>
      <c r="N78" s="19" t="n"/>
      <c r="O78" s="30">
        <f>IF(OR(M78="",N78=""),"",INDEX(RiskGrid,6-VALUE(LEFT(M78,1)),VALUE(LEFT(N78,1))))</f>
        <v/>
      </c>
      <c r="P78" s="30">
        <f>IF(O78="","",IF(O78&gt;=BandVH,"Very High",IF(O78&gt;=BandHigh,"High",IF(O78&gt;=BandMed,"Medium","Low"))))</f>
        <v/>
      </c>
      <c r="Q78" s="4" t="n"/>
      <c r="R78" s="19" t="n"/>
      <c r="S78" s="4" t="n"/>
      <c r="T78" s="19" t="n"/>
      <c r="U78" s="4" t="n"/>
      <c r="V78" s="19" t="n"/>
      <c r="W78" s="4" t="n"/>
      <c r="X78" s="19" t="n"/>
      <c r="Y78" s="4" t="n"/>
      <c r="Z78" s="19" t="n"/>
      <c r="AA78" s="4" t="n"/>
      <c r="AB78" s="19" t="n"/>
      <c r="AC78" s="5">
        <f>_xlfn.TEXTJOIN(CHAR(10),TRUE,IF(Q78="","","• "&amp;Q78&amp;IF(R78="Yes","  [IPL]","")),IF(S78="","","• "&amp;S78&amp;IF(T78="Yes","  [IPL]","")),IF(U78="","","• "&amp;U78&amp;IF(V78="Yes","  [IPL]","")),IF(W78="","","• "&amp;W78&amp;IF(X78="Yes","  [IPL]","")),IF(Y78="","","• "&amp;Y78&amp;IF(Z78="Yes","  [IPL]","")),IF(AA78="","","• "&amp;AA78&amp;IF(AB78="Yes","  [IPL]","")))</f>
        <v/>
      </c>
      <c r="AD78" s="30">
        <f>IF(AC78="","",COUNTIF(Q78:AB78,"Yes"))</f>
        <v/>
      </c>
      <c r="AE78" s="19" t="n"/>
      <c r="AF78" s="19" t="n"/>
      <c r="AG78" s="30">
        <f>IF(OR(AE78="",AF78=""),"",INDEX(RiskGrid,6-VALUE(LEFT(AE78,1)),VALUE(LEFT(AF78,1))))</f>
        <v/>
      </c>
      <c r="AH78" s="30">
        <f>IF(AG78="","",IF(AG78&gt;=BandVH,"Very High",IF(AG78&gt;=BandHigh,"High",IF(AG78&gt;=BandMed,"Medium","Low"))))</f>
        <v/>
      </c>
      <c r="AI78" s="4" t="n"/>
      <c r="AJ78" s="4" t="n"/>
    </row>
    <row r="79">
      <c r="A79" s="30">
        <f>IF(B79="","",COUNTIF(B$14:B79,"?*"))</f>
        <v/>
      </c>
      <c r="B79" s="4" t="n"/>
      <c r="C79" s="19" t="n"/>
      <c r="D79" s="5">
        <f>IF(OR(B79="",C79=""),"",UPPER(LEFT(C79,1))&amp;LOWER(MID(C79,2,30))&amp;" "&amp;LOWER(LEFT(B79,1))&amp;MID(B79,2,200))</f>
        <v/>
      </c>
      <c r="E79" s="4" t="n"/>
      <c r="F79" s="4" t="n"/>
      <c r="G79" s="4" t="n"/>
      <c r="H79" s="4" t="n"/>
      <c r="I79" s="4" t="n"/>
      <c r="J79" s="4" t="n"/>
      <c r="K79" s="5">
        <f>_xlfn.TEXTJOIN(CHAR(10),TRUE,IF(E79="","","• "&amp;E79),IF(F79="","","• "&amp;F79),IF(G79="","","• "&amp;G79),IF(H79="","","• "&amp;H79),IF(I79="","","• "&amp;I79),IF(J79="","","• "&amp;J79))</f>
        <v/>
      </c>
      <c r="L79" s="4" t="n"/>
      <c r="M79" s="19" t="n"/>
      <c r="N79" s="19" t="n"/>
      <c r="O79" s="30">
        <f>IF(OR(M79="",N79=""),"",INDEX(RiskGrid,6-VALUE(LEFT(M79,1)),VALUE(LEFT(N79,1))))</f>
        <v/>
      </c>
      <c r="P79" s="30">
        <f>IF(O79="","",IF(O79&gt;=BandVH,"Very High",IF(O79&gt;=BandHigh,"High",IF(O79&gt;=BandMed,"Medium","Low"))))</f>
        <v/>
      </c>
      <c r="Q79" s="4" t="n"/>
      <c r="R79" s="19" t="n"/>
      <c r="S79" s="4" t="n"/>
      <c r="T79" s="19" t="n"/>
      <c r="U79" s="4" t="n"/>
      <c r="V79" s="19" t="n"/>
      <c r="W79" s="4" t="n"/>
      <c r="X79" s="19" t="n"/>
      <c r="Y79" s="4" t="n"/>
      <c r="Z79" s="19" t="n"/>
      <c r="AA79" s="4" t="n"/>
      <c r="AB79" s="19" t="n"/>
      <c r="AC79" s="5">
        <f>_xlfn.TEXTJOIN(CHAR(10),TRUE,IF(Q79="","","• "&amp;Q79&amp;IF(R79="Yes","  [IPL]","")),IF(S79="","","• "&amp;S79&amp;IF(T79="Yes","  [IPL]","")),IF(U79="","","• "&amp;U79&amp;IF(V79="Yes","  [IPL]","")),IF(W79="","","• "&amp;W79&amp;IF(X79="Yes","  [IPL]","")),IF(Y79="","","• "&amp;Y79&amp;IF(Z79="Yes","  [IPL]","")),IF(AA79="","","• "&amp;AA79&amp;IF(AB79="Yes","  [IPL]","")))</f>
        <v/>
      </c>
      <c r="AD79" s="30">
        <f>IF(AC79="","",COUNTIF(Q79:AB79,"Yes"))</f>
        <v/>
      </c>
      <c r="AE79" s="19" t="n"/>
      <c r="AF79" s="19" t="n"/>
      <c r="AG79" s="30">
        <f>IF(OR(AE79="",AF79=""),"",INDEX(RiskGrid,6-VALUE(LEFT(AE79,1)),VALUE(LEFT(AF79,1))))</f>
        <v/>
      </c>
      <c r="AH79" s="30">
        <f>IF(AG79="","",IF(AG79&gt;=BandVH,"Very High",IF(AG79&gt;=BandHigh,"High",IF(AG79&gt;=BandMed,"Medium","Low"))))</f>
        <v/>
      </c>
      <c r="AI79" s="4" t="n"/>
      <c r="AJ79" s="4" t="n"/>
    </row>
    <row r="80">
      <c r="A80" s="30">
        <f>IF(B80="","",COUNTIF(B$14:B80,"?*"))</f>
        <v/>
      </c>
      <c r="B80" s="4" t="n"/>
      <c r="C80" s="19" t="n"/>
      <c r="D80" s="5">
        <f>IF(OR(B80="",C80=""),"",UPPER(LEFT(C80,1))&amp;LOWER(MID(C80,2,30))&amp;" "&amp;LOWER(LEFT(B80,1))&amp;MID(B80,2,200))</f>
        <v/>
      </c>
      <c r="E80" s="4" t="n"/>
      <c r="F80" s="4" t="n"/>
      <c r="G80" s="4" t="n"/>
      <c r="H80" s="4" t="n"/>
      <c r="I80" s="4" t="n"/>
      <c r="J80" s="4" t="n"/>
      <c r="K80" s="5">
        <f>_xlfn.TEXTJOIN(CHAR(10),TRUE,IF(E80="","","• "&amp;E80),IF(F80="","","• "&amp;F80),IF(G80="","","• "&amp;G80),IF(H80="","","• "&amp;H80),IF(I80="","","• "&amp;I80),IF(J80="","","• "&amp;J80))</f>
        <v/>
      </c>
      <c r="L80" s="4" t="n"/>
      <c r="M80" s="19" t="n"/>
      <c r="N80" s="19" t="n"/>
      <c r="O80" s="30">
        <f>IF(OR(M80="",N80=""),"",INDEX(RiskGrid,6-VALUE(LEFT(M80,1)),VALUE(LEFT(N80,1))))</f>
        <v/>
      </c>
      <c r="P80" s="30">
        <f>IF(O80="","",IF(O80&gt;=BandVH,"Very High",IF(O80&gt;=BandHigh,"High",IF(O80&gt;=BandMed,"Medium","Low"))))</f>
        <v/>
      </c>
      <c r="Q80" s="4" t="n"/>
      <c r="R80" s="19" t="n"/>
      <c r="S80" s="4" t="n"/>
      <c r="T80" s="19" t="n"/>
      <c r="U80" s="4" t="n"/>
      <c r="V80" s="19" t="n"/>
      <c r="W80" s="4" t="n"/>
      <c r="X80" s="19" t="n"/>
      <c r="Y80" s="4" t="n"/>
      <c r="Z80" s="19" t="n"/>
      <c r="AA80" s="4" t="n"/>
      <c r="AB80" s="19" t="n"/>
      <c r="AC80" s="5">
        <f>_xlfn.TEXTJOIN(CHAR(10),TRUE,IF(Q80="","","• "&amp;Q80&amp;IF(R80="Yes","  [IPL]","")),IF(S80="","","• "&amp;S80&amp;IF(T80="Yes","  [IPL]","")),IF(U80="","","• "&amp;U80&amp;IF(V80="Yes","  [IPL]","")),IF(W80="","","• "&amp;W80&amp;IF(X80="Yes","  [IPL]","")),IF(Y80="","","• "&amp;Y80&amp;IF(Z80="Yes","  [IPL]","")),IF(AA80="","","• "&amp;AA80&amp;IF(AB80="Yes","  [IPL]","")))</f>
        <v/>
      </c>
      <c r="AD80" s="30">
        <f>IF(AC80="","",COUNTIF(Q80:AB80,"Yes"))</f>
        <v/>
      </c>
      <c r="AE80" s="19" t="n"/>
      <c r="AF80" s="19" t="n"/>
      <c r="AG80" s="30">
        <f>IF(OR(AE80="",AF80=""),"",INDEX(RiskGrid,6-VALUE(LEFT(AE80,1)),VALUE(LEFT(AF80,1))))</f>
        <v/>
      </c>
      <c r="AH80" s="30">
        <f>IF(AG80="","",IF(AG80&gt;=BandVH,"Very High",IF(AG80&gt;=BandHigh,"High",IF(AG80&gt;=BandMed,"Medium","Low"))))</f>
        <v/>
      </c>
      <c r="AI80" s="4" t="n"/>
      <c r="AJ80" s="4" t="n"/>
    </row>
    <row r="81">
      <c r="A81" s="30">
        <f>IF(B81="","",COUNTIF(B$14:B81,"?*"))</f>
        <v/>
      </c>
      <c r="B81" s="4" t="n"/>
      <c r="C81" s="19" t="n"/>
      <c r="D81" s="5">
        <f>IF(OR(B81="",C81=""),"",UPPER(LEFT(C81,1))&amp;LOWER(MID(C81,2,30))&amp;" "&amp;LOWER(LEFT(B81,1))&amp;MID(B81,2,200))</f>
        <v/>
      </c>
      <c r="E81" s="4" t="n"/>
      <c r="F81" s="4" t="n"/>
      <c r="G81" s="4" t="n"/>
      <c r="H81" s="4" t="n"/>
      <c r="I81" s="4" t="n"/>
      <c r="J81" s="4" t="n"/>
      <c r="K81" s="5">
        <f>_xlfn.TEXTJOIN(CHAR(10),TRUE,IF(E81="","","• "&amp;E81),IF(F81="","","• "&amp;F81),IF(G81="","","• "&amp;G81),IF(H81="","","• "&amp;H81),IF(I81="","","• "&amp;I81),IF(J81="","","• "&amp;J81))</f>
        <v/>
      </c>
      <c r="L81" s="4" t="n"/>
      <c r="M81" s="19" t="n"/>
      <c r="N81" s="19" t="n"/>
      <c r="O81" s="30">
        <f>IF(OR(M81="",N81=""),"",INDEX(RiskGrid,6-VALUE(LEFT(M81,1)),VALUE(LEFT(N81,1))))</f>
        <v/>
      </c>
      <c r="P81" s="30">
        <f>IF(O81="","",IF(O81&gt;=BandVH,"Very High",IF(O81&gt;=BandHigh,"High",IF(O81&gt;=BandMed,"Medium","Low"))))</f>
        <v/>
      </c>
      <c r="Q81" s="4" t="n"/>
      <c r="R81" s="19" t="n"/>
      <c r="S81" s="4" t="n"/>
      <c r="T81" s="19" t="n"/>
      <c r="U81" s="4" t="n"/>
      <c r="V81" s="19" t="n"/>
      <c r="W81" s="4" t="n"/>
      <c r="X81" s="19" t="n"/>
      <c r="Y81" s="4" t="n"/>
      <c r="Z81" s="19" t="n"/>
      <c r="AA81" s="4" t="n"/>
      <c r="AB81" s="19" t="n"/>
      <c r="AC81" s="5">
        <f>_xlfn.TEXTJOIN(CHAR(10),TRUE,IF(Q81="","","• "&amp;Q81&amp;IF(R81="Yes","  [IPL]","")),IF(S81="","","• "&amp;S81&amp;IF(T81="Yes","  [IPL]","")),IF(U81="","","• "&amp;U81&amp;IF(V81="Yes","  [IPL]","")),IF(W81="","","• "&amp;W81&amp;IF(X81="Yes","  [IPL]","")),IF(Y81="","","• "&amp;Y81&amp;IF(Z81="Yes","  [IPL]","")),IF(AA81="","","• "&amp;AA81&amp;IF(AB81="Yes","  [IPL]","")))</f>
        <v/>
      </c>
      <c r="AD81" s="30">
        <f>IF(AC81="","",COUNTIF(Q81:AB81,"Yes"))</f>
        <v/>
      </c>
      <c r="AE81" s="19" t="n"/>
      <c r="AF81" s="19" t="n"/>
      <c r="AG81" s="30">
        <f>IF(OR(AE81="",AF81=""),"",INDEX(RiskGrid,6-VALUE(LEFT(AE81,1)),VALUE(LEFT(AF81,1))))</f>
        <v/>
      </c>
      <c r="AH81" s="30">
        <f>IF(AG81="","",IF(AG81&gt;=BandVH,"Very High",IF(AG81&gt;=BandHigh,"High",IF(AG81&gt;=BandMed,"Medium","Low"))))</f>
        <v/>
      </c>
      <c r="AI81" s="4" t="n"/>
      <c r="AJ81" s="4" t="n"/>
    </row>
    <row r="82">
      <c r="A82" s="30">
        <f>IF(B82="","",COUNTIF(B$14:B82,"?*"))</f>
        <v/>
      </c>
      <c r="B82" s="4" t="n"/>
      <c r="C82" s="19" t="n"/>
      <c r="D82" s="5">
        <f>IF(OR(B82="",C82=""),"",UPPER(LEFT(C82,1))&amp;LOWER(MID(C82,2,30))&amp;" "&amp;LOWER(LEFT(B82,1))&amp;MID(B82,2,200))</f>
        <v/>
      </c>
      <c r="E82" s="4" t="n"/>
      <c r="F82" s="4" t="n"/>
      <c r="G82" s="4" t="n"/>
      <c r="H82" s="4" t="n"/>
      <c r="I82" s="4" t="n"/>
      <c r="J82" s="4" t="n"/>
      <c r="K82" s="5">
        <f>_xlfn.TEXTJOIN(CHAR(10),TRUE,IF(E82="","","• "&amp;E82),IF(F82="","","• "&amp;F82),IF(G82="","","• "&amp;G82),IF(H82="","","• "&amp;H82),IF(I82="","","• "&amp;I82),IF(J82="","","• "&amp;J82))</f>
        <v/>
      </c>
      <c r="L82" s="4" t="n"/>
      <c r="M82" s="19" t="n"/>
      <c r="N82" s="19" t="n"/>
      <c r="O82" s="30">
        <f>IF(OR(M82="",N82=""),"",INDEX(RiskGrid,6-VALUE(LEFT(M82,1)),VALUE(LEFT(N82,1))))</f>
        <v/>
      </c>
      <c r="P82" s="30">
        <f>IF(O82="","",IF(O82&gt;=BandVH,"Very High",IF(O82&gt;=BandHigh,"High",IF(O82&gt;=BandMed,"Medium","Low"))))</f>
        <v/>
      </c>
      <c r="Q82" s="4" t="n"/>
      <c r="R82" s="19" t="n"/>
      <c r="S82" s="4" t="n"/>
      <c r="T82" s="19" t="n"/>
      <c r="U82" s="4" t="n"/>
      <c r="V82" s="19" t="n"/>
      <c r="W82" s="4" t="n"/>
      <c r="X82" s="19" t="n"/>
      <c r="Y82" s="4" t="n"/>
      <c r="Z82" s="19" t="n"/>
      <c r="AA82" s="4" t="n"/>
      <c r="AB82" s="19" t="n"/>
      <c r="AC82" s="5">
        <f>_xlfn.TEXTJOIN(CHAR(10),TRUE,IF(Q82="","","• "&amp;Q82&amp;IF(R82="Yes","  [IPL]","")),IF(S82="","","• "&amp;S82&amp;IF(T82="Yes","  [IPL]","")),IF(U82="","","• "&amp;U82&amp;IF(V82="Yes","  [IPL]","")),IF(W82="","","• "&amp;W82&amp;IF(X82="Yes","  [IPL]","")),IF(Y82="","","• "&amp;Y82&amp;IF(Z82="Yes","  [IPL]","")),IF(AA82="","","• "&amp;AA82&amp;IF(AB82="Yes","  [IPL]","")))</f>
        <v/>
      </c>
      <c r="AD82" s="30">
        <f>IF(AC82="","",COUNTIF(Q82:AB82,"Yes"))</f>
        <v/>
      </c>
      <c r="AE82" s="19" t="n"/>
      <c r="AF82" s="19" t="n"/>
      <c r="AG82" s="30">
        <f>IF(OR(AE82="",AF82=""),"",INDEX(RiskGrid,6-VALUE(LEFT(AE82,1)),VALUE(LEFT(AF82,1))))</f>
        <v/>
      </c>
      <c r="AH82" s="30">
        <f>IF(AG82="","",IF(AG82&gt;=BandVH,"Very High",IF(AG82&gt;=BandHigh,"High",IF(AG82&gt;=BandMed,"Medium","Low"))))</f>
        <v/>
      </c>
      <c r="AI82" s="4" t="n"/>
      <c r="AJ82" s="4" t="n"/>
    </row>
    <row r="83">
      <c r="A83" s="30">
        <f>IF(B83="","",COUNTIF(B$14:B83,"?*"))</f>
        <v/>
      </c>
      <c r="B83" s="4" t="n"/>
      <c r="C83" s="19" t="n"/>
      <c r="D83" s="5">
        <f>IF(OR(B83="",C83=""),"",UPPER(LEFT(C83,1))&amp;LOWER(MID(C83,2,30))&amp;" "&amp;LOWER(LEFT(B83,1))&amp;MID(B83,2,200))</f>
        <v/>
      </c>
      <c r="E83" s="4" t="n"/>
      <c r="F83" s="4" t="n"/>
      <c r="G83" s="4" t="n"/>
      <c r="H83" s="4" t="n"/>
      <c r="I83" s="4" t="n"/>
      <c r="J83" s="4" t="n"/>
      <c r="K83" s="5">
        <f>_xlfn.TEXTJOIN(CHAR(10),TRUE,IF(E83="","","• "&amp;E83),IF(F83="","","• "&amp;F83),IF(G83="","","• "&amp;G83),IF(H83="","","• "&amp;H83),IF(I83="","","• "&amp;I83),IF(J83="","","• "&amp;J83))</f>
        <v/>
      </c>
      <c r="L83" s="4" t="n"/>
      <c r="M83" s="19" t="n"/>
      <c r="N83" s="19" t="n"/>
      <c r="O83" s="30">
        <f>IF(OR(M83="",N83=""),"",INDEX(RiskGrid,6-VALUE(LEFT(M83,1)),VALUE(LEFT(N83,1))))</f>
        <v/>
      </c>
      <c r="P83" s="30">
        <f>IF(O83="","",IF(O83&gt;=BandVH,"Very High",IF(O83&gt;=BandHigh,"High",IF(O83&gt;=BandMed,"Medium","Low"))))</f>
        <v/>
      </c>
      <c r="Q83" s="4" t="n"/>
      <c r="R83" s="19" t="n"/>
      <c r="S83" s="4" t="n"/>
      <c r="T83" s="19" t="n"/>
      <c r="U83" s="4" t="n"/>
      <c r="V83" s="19" t="n"/>
      <c r="W83" s="4" t="n"/>
      <c r="X83" s="19" t="n"/>
      <c r="Y83" s="4" t="n"/>
      <c r="Z83" s="19" t="n"/>
      <c r="AA83" s="4" t="n"/>
      <c r="AB83" s="19" t="n"/>
      <c r="AC83" s="5">
        <f>_xlfn.TEXTJOIN(CHAR(10),TRUE,IF(Q83="","","• "&amp;Q83&amp;IF(R83="Yes","  [IPL]","")),IF(S83="","","• "&amp;S83&amp;IF(T83="Yes","  [IPL]","")),IF(U83="","","• "&amp;U83&amp;IF(V83="Yes","  [IPL]","")),IF(W83="","","• "&amp;W83&amp;IF(X83="Yes","  [IPL]","")),IF(Y83="","","• "&amp;Y83&amp;IF(Z83="Yes","  [IPL]","")),IF(AA83="","","• "&amp;AA83&amp;IF(AB83="Yes","  [IPL]","")))</f>
        <v/>
      </c>
      <c r="AD83" s="30">
        <f>IF(AC83="","",COUNTIF(Q83:AB83,"Yes"))</f>
        <v/>
      </c>
      <c r="AE83" s="19" t="n"/>
      <c r="AF83" s="19" t="n"/>
      <c r="AG83" s="30">
        <f>IF(OR(AE83="",AF83=""),"",INDEX(RiskGrid,6-VALUE(LEFT(AE83,1)),VALUE(LEFT(AF83,1))))</f>
        <v/>
      </c>
      <c r="AH83" s="30">
        <f>IF(AG83="","",IF(AG83&gt;=BandVH,"Very High",IF(AG83&gt;=BandHigh,"High",IF(AG83&gt;=BandMed,"Medium","Low"))))</f>
        <v/>
      </c>
      <c r="AI83" s="4" t="n"/>
      <c r="AJ83" s="4" t="n"/>
    </row>
    <row r="84">
      <c r="A84" s="30">
        <f>IF(B84="","",COUNTIF(B$14:B84,"?*"))</f>
        <v/>
      </c>
      <c r="B84" s="4" t="n"/>
      <c r="C84" s="19" t="n"/>
      <c r="D84" s="5">
        <f>IF(OR(B84="",C84=""),"",UPPER(LEFT(C84,1))&amp;LOWER(MID(C84,2,30))&amp;" "&amp;LOWER(LEFT(B84,1))&amp;MID(B84,2,200))</f>
        <v/>
      </c>
      <c r="E84" s="4" t="n"/>
      <c r="F84" s="4" t="n"/>
      <c r="G84" s="4" t="n"/>
      <c r="H84" s="4" t="n"/>
      <c r="I84" s="4" t="n"/>
      <c r="J84" s="4" t="n"/>
      <c r="K84" s="5">
        <f>_xlfn.TEXTJOIN(CHAR(10),TRUE,IF(E84="","","• "&amp;E84),IF(F84="","","• "&amp;F84),IF(G84="","","• "&amp;G84),IF(H84="","","• "&amp;H84),IF(I84="","","• "&amp;I84),IF(J84="","","• "&amp;J84))</f>
        <v/>
      </c>
      <c r="L84" s="4" t="n"/>
      <c r="M84" s="19" t="n"/>
      <c r="N84" s="19" t="n"/>
      <c r="O84" s="30">
        <f>IF(OR(M84="",N84=""),"",INDEX(RiskGrid,6-VALUE(LEFT(M84,1)),VALUE(LEFT(N84,1))))</f>
        <v/>
      </c>
      <c r="P84" s="30">
        <f>IF(O84="","",IF(O84&gt;=BandVH,"Very High",IF(O84&gt;=BandHigh,"High",IF(O84&gt;=BandMed,"Medium","Low"))))</f>
        <v/>
      </c>
      <c r="Q84" s="4" t="n"/>
      <c r="R84" s="19" t="n"/>
      <c r="S84" s="4" t="n"/>
      <c r="T84" s="19" t="n"/>
      <c r="U84" s="4" t="n"/>
      <c r="V84" s="19" t="n"/>
      <c r="W84" s="4" t="n"/>
      <c r="X84" s="19" t="n"/>
      <c r="Y84" s="4" t="n"/>
      <c r="Z84" s="19" t="n"/>
      <c r="AA84" s="4" t="n"/>
      <c r="AB84" s="19" t="n"/>
      <c r="AC84" s="5">
        <f>_xlfn.TEXTJOIN(CHAR(10),TRUE,IF(Q84="","","• "&amp;Q84&amp;IF(R84="Yes","  [IPL]","")),IF(S84="","","• "&amp;S84&amp;IF(T84="Yes","  [IPL]","")),IF(U84="","","• "&amp;U84&amp;IF(V84="Yes","  [IPL]","")),IF(W84="","","• "&amp;W84&amp;IF(X84="Yes","  [IPL]","")),IF(Y84="","","• "&amp;Y84&amp;IF(Z84="Yes","  [IPL]","")),IF(AA84="","","• "&amp;AA84&amp;IF(AB84="Yes","  [IPL]","")))</f>
        <v/>
      </c>
      <c r="AD84" s="30">
        <f>IF(AC84="","",COUNTIF(Q84:AB84,"Yes"))</f>
        <v/>
      </c>
      <c r="AE84" s="19" t="n"/>
      <c r="AF84" s="19" t="n"/>
      <c r="AG84" s="30">
        <f>IF(OR(AE84="",AF84=""),"",INDEX(RiskGrid,6-VALUE(LEFT(AE84,1)),VALUE(LEFT(AF84,1))))</f>
        <v/>
      </c>
      <c r="AH84" s="30">
        <f>IF(AG84="","",IF(AG84&gt;=BandVH,"Very High",IF(AG84&gt;=BandHigh,"High",IF(AG84&gt;=BandMed,"Medium","Low"))))</f>
        <v/>
      </c>
      <c r="AI84" s="4" t="n"/>
      <c r="AJ84" s="4" t="n"/>
    </row>
    <row r="85">
      <c r="A85" s="30">
        <f>IF(B85="","",COUNTIF(B$14:B85,"?*"))</f>
        <v/>
      </c>
      <c r="B85" s="4" t="n"/>
      <c r="C85" s="19" t="n"/>
      <c r="D85" s="5">
        <f>IF(OR(B85="",C85=""),"",UPPER(LEFT(C85,1))&amp;LOWER(MID(C85,2,30))&amp;" "&amp;LOWER(LEFT(B85,1))&amp;MID(B85,2,200))</f>
        <v/>
      </c>
      <c r="E85" s="4" t="n"/>
      <c r="F85" s="4" t="n"/>
      <c r="G85" s="4" t="n"/>
      <c r="H85" s="4" t="n"/>
      <c r="I85" s="4" t="n"/>
      <c r="J85" s="4" t="n"/>
      <c r="K85" s="5">
        <f>_xlfn.TEXTJOIN(CHAR(10),TRUE,IF(E85="","","• "&amp;E85),IF(F85="","","• "&amp;F85),IF(G85="","","• "&amp;G85),IF(H85="","","• "&amp;H85),IF(I85="","","• "&amp;I85),IF(J85="","","• "&amp;J85))</f>
        <v/>
      </c>
      <c r="L85" s="4" t="n"/>
      <c r="M85" s="19" t="n"/>
      <c r="N85" s="19" t="n"/>
      <c r="O85" s="30">
        <f>IF(OR(M85="",N85=""),"",INDEX(RiskGrid,6-VALUE(LEFT(M85,1)),VALUE(LEFT(N85,1))))</f>
        <v/>
      </c>
      <c r="P85" s="30">
        <f>IF(O85="","",IF(O85&gt;=BandVH,"Very High",IF(O85&gt;=BandHigh,"High",IF(O85&gt;=BandMed,"Medium","Low"))))</f>
        <v/>
      </c>
      <c r="Q85" s="4" t="n"/>
      <c r="R85" s="19" t="n"/>
      <c r="S85" s="4" t="n"/>
      <c r="T85" s="19" t="n"/>
      <c r="U85" s="4" t="n"/>
      <c r="V85" s="19" t="n"/>
      <c r="W85" s="4" t="n"/>
      <c r="X85" s="19" t="n"/>
      <c r="Y85" s="4" t="n"/>
      <c r="Z85" s="19" t="n"/>
      <c r="AA85" s="4" t="n"/>
      <c r="AB85" s="19" t="n"/>
      <c r="AC85" s="5">
        <f>_xlfn.TEXTJOIN(CHAR(10),TRUE,IF(Q85="","","• "&amp;Q85&amp;IF(R85="Yes","  [IPL]","")),IF(S85="","","• "&amp;S85&amp;IF(T85="Yes","  [IPL]","")),IF(U85="","","• "&amp;U85&amp;IF(V85="Yes","  [IPL]","")),IF(W85="","","• "&amp;W85&amp;IF(X85="Yes","  [IPL]","")),IF(Y85="","","• "&amp;Y85&amp;IF(Z85="Yes","  [IPL]","")),IF(AA85="","","• "&amp;AA85&amp;IF(AB85="Yes","  [IPL]","")))</f>
        <v/>
      </c>
      <c r="AD85" s="30">
        <f>IF(AC85="","",COUNTIF(Q85:AB85,"Yes"))</f>
        <v/>
      </c>
      <c r="AE85" s="19" t="n"/>
      <c r="AF85" s="19" t="n"/>
      <c r="AG85" s="30">
        <f>IF(OR(AE85="",AF85=""),"",INDEX(RiskGrid,6-VALUE(LEFT(AE85,1)),VALUE(LEFT(AF85,1))))</f>
        <v/>
      </c>
      <c r="AH85" s="30">
        <f>IF(AG85="","",IF(AG85&gt;=BandVH,"Very High",IF(AG85&gt;=BandHigh,"High",IF(AG85&gt;=BandMed,"Medium","Low"))))</f>
        <v/>
      </c>
      <c r="AI85" s="4" t="n"/>
      <c r="AJ85" s="4" t="n"/>
    </row>
    <row r="86">
      <c r="A86" s="30">
        <f>IF(B86="","",COUNTIF(B$14:B86,"?*"))</f>
        <v/>
      </c>
      <c r="B86" s="4" t="n"/>
      <c r="C86" s="19" t="n"/>
      <c r="D86" s="5">
        <f>IF(OR(B86="",C86=""),"",UPPER(LEFT(C86,1))&amp;LOWER(MID(C86,2,30))&amp;" "&amp;LOWER(LEFT(B86,1))&amp;MID(B86,2,200))</f>
        <v/>
      </c>
      <c r="E86" s="4" t="n"/>
      <c r="F86" s="4" t="n"/>
      <c r="G86" s="4" t="n"/>
      <c r="H86" s="4" t="n"/>
      <c r="I86" s="4" t="n"/>
      <c r="J86" s="4" t="n"/>
      <c r="K86" s="5">
        <f>_xlfn.TEXTJOIN(CHAR(10),TRUE,IF(E86="","","• "&amp;E86),IF(F86="","","• "&amp;F86),IF(G86="","","• "&amp;G86),IF(H86="","","• "&amp;H86),IF(I86="","","• "&amp;I86),IF(J86="","","• "&amp;J86))</f>
        <v/>
      </c>
      <c r="L86" s="4" t="n"/>
      <c r="M86" s="19" t="n"/>
      <c r="N86" s="19" t="n"/>
      <c r="O86" s="30">
        <f>IF(OR(M86="",N86=""),"",INDEX(RiskGrid,6-VALUE(LEFT(M86,1)),VALUE(LEFT(N86,1))))</f>
        <v/>
      </c>
      <c r="P86" s="30">
        <f>IF(O86="","",IF(O86&gt;=BandVH,"Very High",IF(O86&gt;=BandHigh,"High",IF(O86&gt;=BandMed,"Medium","Low"))))</f>
        <v/>
      </c>
      <c r="Q86" s="4" t="n"/>
      <c r="R86" s="19" t="n"/>
      <c r="S86" s="4" t="n"/>
      <c r="T86" s="19" t="n"/>
      <c r="U86" s="4" t="n"/>
      <c r="V86" s="19" t="n"/>
      <c r="W86" s="4" t="n"/>
      <c r="X86" s="19" t="n"/>
      <c r="Y86" s="4" t="n"/>
      <c r="Z86" s="19" t="n"/>
      <c r="AA86" s="4" t="n"/>
      <c r="AB86" s="19" t="n"/>
      <c r="AC86" s="5">
        <f>_xlfn.TEXTJOIN(CHAR(10),TRUE,IF(Q86="","","• "&amp;Q86&amp;IF(R86="Yes","  [IPL]","")),IF(S86="","","• "&amp;S86&amp;IF(T86="Yes","  [IPL]","")),IF(U86="","","• "&amp;U86&amp;IF(V86="Yes","  [IPL]","")),IF(W86="","","• "&amp;W86&amp;IF(X86="Yes","  [IPL]","")),IF(Y86="","","• "&amp;Y86&amp;IF(Z86="Yes","  [IPL]","")),IF(AA86="","","• "&amp;AA86&amp;IF(AB86="Yes","  [IPL]","")))</f>
        <v/>
      </c>
      <c r="AD86" s="30">
        <f>IF(AC86="","",COUNTIF(Q86:AB86,"Yes"))</f>
        <v/>
      </c>
      <c r="AE86" s="19" t="n"/>
      <c r="AF86" s="19" t="n"/>
      <c r="AG86" s="30">
        <f>IF(OR(AE86="",AF86=""),"",INDEX(RiskGrid,6-VALUE(LEFT(AE86,1)),VALUE(LEFT(AF86,1))))</f>
        <v/>
      </c>
      <c r="AH86" s="30">
        <f>IF(AG86="","",IF(AG86&gt;=BandVH,"Very High",IF(AG86&gt;=BandHigh,"High",IF(AG86&gt;=BandMed,"Medium","Low"))))</f>
        <v/>
      </c>
      <c r="AI86" s="4" t="n"/>
      <c r="AJ86" s="4" t="n"/>
    </row>
    <row r="87">
      <c r="A87" s="30">
        <f>IF(B87="","",COUNTIF(B$14:B87,"?*"))</f>
        <v/>
      </c>
      <c r="B87" s="4" t="n"/>
      <c r="C87" s="19" t="n"/>
      <c r="D87" s="5">
        <f>IF(OR(B87="",C87=""),"",UPPER(LEFT(C87,1))&amp;LOWER(MID(C87,2,30))&amp;" "&amp;LOWER(LEFT(B87,1))&amp;MID(B87,2,200))</f>
        <v/>
      </c>
      <c r="E87" s="4" t="n"/>
      <c r="F87" s="4" t="n"/>
      <c r="G87" s="4" t="n"/>
      <c r="H87" s="4" t="n"/>
      <c r="I87" s="4" t="n"/>
      <c r="J87" s="4" t="n"/>
      <c r="K87" s="5">
        <f>_xlfn.TEXTJOIN(CHAR(10),TRUE,IF(E87="","","• "&amp;E87),IF(F87="","","• "&amp;F87),IF(G87="","","• "&amp;G87),IF(H87="","","• "&amp;H87),IF(I87="","","• "&amp;I87),IF(J87="","","• "&amp;J87))</f>
        <v/>
      </c>
      <c r="L87" s="4" t="n"/>
      <c r="M87" s="19" t="n"/>
      <c r="N87" s="19" t="n"/>
      <c r="O87" s="30">
        <f>IF(OR(M87="",N87=""),"",INDEX(RiskGrid,6-VALUE(LEFT(M87,1)),VALUE(LEFT(N87,1))))</f>
        <v/>
      </c>
      <c r="P87" s="30">
        <f>IF(O87="","",IF(O87&gt;=BandVH,"Very High",IF(O87&gt;=BandHigh,"High",IF(O87&gt;=BandMed,"Medium","Low"))))</f>
        <v/>
      </c>
      <c r="Q87" s="4" t="n"/>
      <c r="R87" s="19" t="n"/>
      <c r="S87" s="4" t="n"/>
      <c r="T87" s="19" t="n"/>
      <c r="U87" s="4" t="n"/>
      <c r="V87" s="19" t="n"/>
      <c r="W87" s="4" t="n"/>
      <c r="X87" s="19" t="n"/>
      <c r="Y87" s="4" t="n"/>
      <c r="Z87" s="19" t="n"/>
      <c r="AA87" s="4" t="n"/>
      <c r="AB87" s="19" t="n"/>
      <c r="AC87" s="5">
        <f>_xlfn.TEXTJOIN(CHAR(10),TRUE,IF(Q87="","","• "&amp;Q87&amp;IF(R87="Yes","  [IPL]","")),IF(S87="","","• "&amp;S87&amp;IF(T87="Yes","  [IPL]","")),IF(U87="","","• "&amp;U87&amp;IF(V87="Yes","  [IPL]","")),IF(W87="","","• "&amp;W87&amp;IF(X87="Yes","  [IPL]","")),IF(Y87="","","• "&amp;Y87&amp;IF(Z87="Yes","  [IPL]","")),IF(AA87="","","• "&amp;AA87&amp;IF(AB87="Yes","  [IPL]","")))</f>
        <v/>
      </c>
      <c r="AD87" s="30">
        <f>IF(AC87="","",COUNTIF(Q87:AB87,"Yes"))</f>
        <v/>
      </c>
      <c r="AE87" s="19" t="n"/>
      <c r="AF87" s="19" t="n"/>
      <c r="AG87" s="30">
        <f>IF(OR(AE87="",AF87=""),"",INDEX(RiskGrid,6-VALUE(LEFT(AE87,1)),VALUE(LEFT(AF87,1))))</f>
        <v/>
      </c>
      <c r="AH87" s="30">
        <f>IF(AG87="","",IF(AG87&gt;=BandVH,"Very High",IF(AG87&gt;=BandHigh,"High",IF(AG87&gt;=BandMed,"Medium","Low"))))</f>
        <v/>
      </c>
      <c r="AI87" s="4" t="n"/>
      <c r="AJ87" s="4" t="n"/>
    </row>
    <row r="88">
      <c r="A88" s="30">
        <f>IF(B88="","",COUNTIF(B$14:B88,"?*"))</f>
        <v/>
      </c>
      <c r="B88" s="4" t="n"/>
      <c r="C88" s="19" t="n"/>
      <c r="D88" s="5">
        <f>IF(OR(B88="",C88=""),"",UPPER(LEFT(C88,1))&amp;LOWER(MID(C88,2,30))&amp;" "&amp;LOWER(LEFT(B88,1))&amp;MID(B88,2,200))</f>
        <v/>
      </c>
      <c r="E88" s="4" t="n"/>
      <c r="F88" s="4" t="n"/>
      <c r="G88" s="4" t="n"/>
      <c r="H88" s="4" t="n"/>
      <c r="I88" s="4" t="n"/>
      <c r="J88" s="4" t="n"/>
      <c r="K88" s="5">
        <f>_xlfn.TEXTJOIN(CHAR(10),TRUE,IF(E88="","","• "&amp;E88),IF(F88="","","• "&amp;F88),IF(G88="","","• "&amp;G88),IF(H88="","","• "&amp;H88),IF(I88="","","• "&amp;I88),IF(J88="","","• "&amp;J88))</f>
        <v/>
      </c>
      <c r="L88" s="4" t="n"/>
      <c r="M88" s="19" t="n"/>
      <c r="N88" s="19" t="n"/>
      <c r="O88" s="30">
        <f>IF(OR(M88="",N88=""),"",INDEX(RiskGrid,6-VALUE(LEFT(M88,1)),VALUE(LEFT(N88,1))))</f>
        <v/>
      </c>
      <c r="P88" s="30">
        <f>IF(O88="","",IF(O88&gt;=BandVH,"Very High",IF(O88&gt;=BandHigh,"High",IF(O88&gt;=BandMed,"Medium","Low"))))</f>
        <v/>
      </c>
      <c r="Q88" s="4" t="n"/>
      <c r="R88" s="19" t="n"/>
      <c r="S88" s="4" t="n"/>
      <c r="T88" s="19" t="n"/>
      <c r="U88" s="4" t="n"/>
      <c r="V88" s="19" t="n"/>
      <c r="W88" s="4" t="n"/>
      <c r="X88" s="19" t="n"/>
      <c r="Y88" s="4" t="n"/>
      <c r="Z88" s="19" t="n"/>
      <c r="AA88" s="4" t="n"/>
      <c r="AB88" s="19" t="n"/>
      <c r="AC88" s="5">
        <f>_xlfn.TEXTJOIN(CHAR(10),TRUE,IF(Q88="","","• "&amp;Q88&amp;IF(R88="Yes","  [IPL]","")),IF(S88="","","• "&amp;S88&amp;IF(T88="Yes","  [IPL]","")),IF(U88="","","• "&amp;U88&amp;IF(V88="Yes","  [IPL]","")),IF(W88="","","• "&amp;W88&amp;IF(X88="Yes","  [IPL]","")),IF(Y88="","","• "&amp;Y88&amp;IF(Z88="Yes","  [IPL]","")),IF(AA88="","","• "&amp;AA88&amp;IF(AB88="Yes","  [IPL]","")))</f>
        <v/>
      </c>
      <c r="AD88" s="30">
        <f>IF(AC88="","",COUNTIF(Q88:AB88,"Yes"))</f>
        <v/>
      </c>
      <c r="AE88" s="19" t="n"/>
      <c r="AF88" s="19" t="n"/>
      <c r="AG88" s="30">
        <f>IF(OR(AE88="",AF88=""),"",INDEX(RiskGrid,6-VALUE(LEFT(AE88,1)),VALUE(LEFT(AF88,1))))</f>
        <v/>
      </c>
      <c r="AH88" s="30">
        <f>IF(AG88="","",IF(AG88&gt;=BandVH,"Very High",IF(AG88&gt;=BandHigh,"High",IF(AG88&gt;=BandMed,"Medium","Low"))))</f>
        <v/>
      </c>
      <c r="AI88" s="4" t="n"/>
      <c r="AJ88" s="4" t="n"/>
    </row>
    <row r="89">
      <c r="A89" s="30">
        <f>IF(B89="","",COUNTIF(B$14:B89,"?*"))</f>
        <v/>
      </c>
      <c r="B89" s="4" t="n"/>
      <c r="C89" s="19" t="n"/>
      <c r="D89" s="5">
        <f>IF(OR(B89="",C89=""),"",UPPER(LEFT(C89,1))&amp;LOWER(MID(C89,2,30))&amp;" "&amp;LOWER(LEFT(B89,1))&amp;MID(B89,2,200))</f>
        <v/>
      </c>
      <c r="E89" s="4" t="n"/>
      <c r="F89" s="4" t="n"/>
      <c r="G89" s="4" t="n"/>
      <c r="H89" s="4" t="n"/>
      <c r="I89" s="4" t="n"/>
      <c r="J89" s="4" t="n"/>
      <c r="K89" s="5">
        <f>_xlfn.TEXTJOIN(CHAR(10),TRUE,IF(E89="","","• "&amp;E89),IF(F89="","","• "&amp;F89),IF(G89="","","• "&amp;G89),IF(H89="","","• "&amp;H89),IF(I89="","","• "&amp;I89),IF(J89="","","• "&amp;J89))</f>
        <v/>
      </c>
      <c r="L89" s="4" t="n"/>
      <c r="M89" s="19" t="n"/>
      <c r="N89" s="19" t="n"/>
      <c r="O89" s="30">
        <f>IF(OR(M89="",N89=""),"",INDEX(RiskGrid,6-VALUE(LEFT(M89,1)),VALUE(LEFT(N89,1))))</f>
        <v/>
      </c>
      <c r="P89" s="30">
        <f>IF(O89="","",IF(O89&gt;=BandVH,"Very High",IF(O89&gt;=BandHigh,"High",IF(O89&gt;=BandMed,"Medium","Low"))))</f>
        <v/>
      </c>
      <c r="Q89" s="4" t="n"/>
      <c r="R89" s="19" t="n"/>
      <c r="S89" s="4" t="n"/>
      <c r="T89" s="19" t="n"/>
      <c r="U89" s="4" t="n"/>
      <c r="V89" s="19" t="n"/>
      <c r="W89" s="4" t="n"/>
      <c r="X89" s="19" t="n"/>
      <c r="Y89" s="4" t="n"/>
      <c r="Z89" s="19" t="n"/>
      <c r="AA89" s="4" t="n"/>
      <c r="AB89" s="19" t="n"/>
      <c r="AC89" s="5">
        <f>_xlfn.TEXTJOIN(CHAR(10),TRUE,IF(Q89="","","• "&amp;Q89&amp;IF(R89="Yes","  [IPL]","")),IF(S89="","","• "&amp;S89&amp;IF(T89="Yes","  [IPL]","")),IF(U89="","","• "&amp;U89&amp;IF(V89="Yes","  [IPL]","")),IF(W89="","","• "&amp;W89&amp;IF(X89="Yes","  [IPL]","")),IF(Y89="","","• "&amp;Y89&amp;IF(Z89="Yes","  [IPL]","")),IF(AA89="","","• "&amp;AA89&amp;IF(AB89="Yes","  [IPL]","")))</f>
        <v/>
      </c>
      <c r="AD89" s="30">
        <f>IF(AC89="","",COUNTIF(Q89:AB89,"Yes"))</f>
        <v/>
      </c>
      <c r="AE89" s="19" t="n"/>
      <c r="AF89" s="19" t="n"/>
      <c r="AG89" s="30">
        <f>IF(OR(AE89="",AF89=""),"",INDEX(RiskGrid,6-VALUE(LEFT(AE89,1)),VALUE(LEFT(AF89,1))))</f>
        <v/>
      </c>
      <c r="AH89" s="30">
        <f>IF(AG89="","",IF(AG89&gt;=BandVH,"Very High",IF(AG89&gt;=BandHigh,"High",IF(AG89&gt;=BandMed,"Medium","Low"))))</f>
        <v/>
      </c>
      <c r="AI89" s="4" t="n"/>
      <c r="AJ89" s="4" t="n"/>
    </row>
    <row r="90">
      <c r="A90" s="30">
        <f>IF(B90="","",COUNTIF(B$14:B90,"?*"))</f>
        <v/>
      </c>
      <c r="B90" s="4" t="n"/>
      <c r="C90" s="19" t="n"/>
      <c r="D90" s="5">
        <f>IF(OR(B90="",C90=""),"",UPPER(LEFT(C90,1))&amp;LOWER(MID(C90,2,30))&amp;" "&amp;LOWER(LEFT(B90,1))&amp;MID(B90,2,200))</f>
        <v/>
      </c>
      <c r="E90" s="4" t="n"/>
      <c r="F90" s="4" t="n"/>
      <c r="G90" s="4" t="n"/>
      <c r="H90" s="4" t="n"/>
      <c r="I90" s="4" t="n"/>
      <c r="J90" s="4" t="n"/>
      <c r="K90" s="5">
        <f>_xlfn.TEXTJOIN(CHAR(10),TRUE,IF(E90="","","• "&amp;E90),IF(F90="","","• "&amp;F90),IF(G90="","","• "&amp;G90),IF(H90="","","• "&amp;H90),IF(I90="","","• "&amp;I90),IF(J90="","","• "&amp;J90))</f>
        <v/>
      </c>
      <c r="L90" s="4" t="n"/>
      <c r="M90" s="19" t="n"/>
      <c r="N90" s="19" t="n"/>
      <c r="O90" s="30">
        <f>IF(OR(M90="",N90=""),"",INDEX(RiskGrid,6-VALUE(LEFT(M90,1)),VALUE(LEFT(N90,1))))</f>
        <v/>
      </c>
      <c r="P90" s="30">
        <f>IF(O90="","",IF(O90&gt;=BandVH,"Very High",IF(O90&gt;=BandHigh,"High",IF(O90&gt;=BandMed,"Medium","Low"))))</f>
        <v/>
      </c>
      <c r="Q90" s="4" t="n"/>
      <c r="R90" s="19" t="n"/>
      <c r="S90" s="4" t="n"/>
      <c r="T90" s="19" t="n"/>
      <c r="U90" s="4" t="n"/>
      <c r="V90" s="19" t="n"/>
      <c r="W90" s="4" t="n"/>
      <c r="X90" s="19" t="n"/>
      <c r="Y90" s="4" t="n"/>
      <c r="Z90" s="19" t="n"/>
      <c r="AA90" s="4" t="n"/>
      <c r="AB90" s="19" t="n"/>
      <c r="AC90" s="5">
        <f>_xlfn.TEXTJOIN(CHAR(10),TRUE,IF(Q90="","","• "&amp;Q90&amp;IF(R90="Yes","  [IPL]","")),IF(S90="","","• "&amp;S90&amp;IF(T90="Yes","  [IPL]","")),IF(U90="","","• "&amp;U90&amp;IF(V90="Yes","  [IPL]","")),IF(W90="","","• "&amp;W90&amp;IF(X90="Yes","  [IPL]","")),IF(Y90="","","• "&amp;Y90&amp;IF(Z90="Yes","  [IPL]","")),IF(AA90="","","• "&amp;AA90&amp;IF(AB90="Yes","  [IPL]","")))</f>
        <v/>
      </c>
      <c r="AD90" s="30">
        <f>IF(AC90="","",COUNTIF(Q90:AB90,"Yes"))</f>
        <v/>
      </c>
      <c r="AE90" s="19" t="n"/>
      <c r="AF90" s="19" t="n"/>
      <c r="AG90" s="30">
        <f>IF(OR(AE90="",AF90=""),"",INDEX(RiskGrid,6-VALUE(LEFT(AE90,1)),VALUE(LEFT(AF90,1))))</f>
        <v/>
      </c>
      <c r="AH90" s="30">
        <f>IF(AG90="","",IF(AG90&gt;=BandVH,"Very High",IF(AG90&gt;=BandHigh,"High",IF(AG90&gt;=BandMed,"Medium","Low"))))</f>
        <v/>
      </c>
      <c r="AI90" s="4" t="n"/>
      <c r="AJ90" s="4" t="n"/>
    </row>
    <row r="91">
      <c r="A91" s="30">
        <f>IF(B91="","",COUNTIF(B$14:B91,"?*"))</f>
        <v/>
      </c>
      <c r="B91" s="4" t="n"/>
      <c r="C91" s="19" t="n"/>
      <c r="D91" s="5">
        <f>IF(OR(B91="",C91=""),"",UPPER(LEFT(C91,1))&amp;LOWER(MID(C91,2,30))&amp;" "&amp;LOWER(LEFT(B91,1))&amp;MID(B91,2,200))</f>
        <v/>
      </c>
      <c r="E91" s="4" t="n"/>
      <c r="F91" s="4" t="n"/>
      <c r="G91" s="4" t="n"/>
      <c r="H91" s="4" t="n"/>
      <c r="I91" s="4" t="n"/>
      <c r="J91" s="4" t="n"/>
      <c r="K91" s="5">
        <f>_xlfn.TEXTJOIN(CHAR(10),TRUE,IF(E91="","","• "&amp;E91),IF(F91="","","• "&amp;F91),IF(G91="","","• "&amp;G91),IF(H91="","","• "&amp;H91),IF(I91="","","• "&amp;I91),IF(J91="","","• "&amp;J91))</f>
        <v/>
      </c>
      <c r="L91" s="4" t="n"/>
      <c r="M91" s="19" t="n"/>
      <c r="N91" s="19" t="n"/>
      <c r="O91" s="30">
        <f>IF(OR(M91="",N91=""),"",INDEX(RiskGrid,6-VALUE(LEFT(M91,1)),VALUE(LEFT(N91,1))))</f>
        <v/>
      </c>
      <c r="P91" s="30">
        <f>IF(O91="","",IF(O91&gt;=BandVH,"Very High",IF(O91&gt;=BandHigh,"High",IF(O91&gt;=BandMed,"Medium","Low"))))</f>
        <v/>
      </c>
      <c r="Q91" s="4" t="n"/>
      <c r="R91" s="19" t="n"/>
      <c r="S91" s="4" t="n"/>
      <c r="T91" s="19" t="n"/>
      <c r="U91" s="4" t="n"/>
      <c r="V91" s="19" t="n"/>
      <c r="W91" s="4" t="n"/>
      <c r="X91" s="19" t="n"/>
      <c r="Y91" s="4" t="n"/>
      <c r="Z91" s="19" t="n"/>
      <c r="AA91" s="4" t="n"/>
      <c r="AB91" s="19" t="n"/>
      <c r="AC91" s="5">
        <f>_xlfn.TEXTJOIN(CHAR(10),TRUE,IF(Q91="","","• "&amp;Q91&amp;IF(R91="Yes","  [IPL]","")),IF(S91="","","• "&amp;S91&amp;IF(T91="Yes","  [IPL]","")),IF(U91="","","• "&amp;U91&amp;IF(V91="Yes","  [IPL]","")),IF(W91="","","• "&amp;W91&amp;IF(X91="Yes","  [IPL]","")),IF(Y91="","","• "&amp;Y91&amp;IF(Z91="Yes","  [IPL]","")),IF(AA91="","","• "&amp;AA91&amp;IF(AB91="Yes","  [IPL]","")))</f>
        <v/>
      </c>
      <c r="AD91" s="30">
        <f>IF(AC91="","",COUNTIF(Q91:AB91,"Yes"))</f>
        <v/>
      </c>
      <c r="AE91" s="19" t="n"/>
      <c r="AF91" s="19" t="n"/>
      <c r="AG91" s="30">
        <f>IF(OR(AE91="",AF91=""),"",INDEX(RiskGrid,6-VALUE(LEFT(AE91,1)),VALUE(LEFT(AF91,1))))</f>
        <v/>
      </c>
      <c r="AH91" s="30">
        <f>IF(AG91="","",IF(AG91&gt;=BandVH,"Very High",IF(AG91&gt;=BandHigh,"High",IF(AG91&gt;=BandMed,"Medium","Low"))))</f>
        <v/>
      </c>
      <c r="AI91" s="4" t="n"/>
      <c r="AJ91" s="4" t="n"/>
    </row>
    <row r="92">
      <c r="A92" s="30">
        <f>IF(B92="","",COUNTIF(B$14:B92,"?*"))</f>
        <v/>
      </c>
      <c r="B92" s="4" t="n"/>
      <c r="C92" s="19" t="n"/>
      <c r="D92" s="5">
        <f>IF(OR(B92="",C92=""),"",UPPER(LEFT(C92,1))&amp;LOWER(MID(C92,2,30))&amp;" "&amp;LOWER(LEFT(B92,1))&amp;MID(B92,2,200))</f>
        <v/>
      </c>
      <c r="E92" s="4" t="n"/>
      <c r="F92" s="4" t="n"/>
      <c r="G92" s="4" t="n"/>
      <c r="H92" s="4" t="n"/>
      <c r="I92" s="4" t="n"/>
      <c r="J92" s="4" t="n"/>
      <c r="K92" s="5">
        <f>_xlfn.TEXTJOIN(CHAR(10),TRUE,IF(E92="","","• "&amp;E92),IF(F92="","","• "&amp;F92),IF(G92="","","• "&amp;G92),IF(H92="","","• "&amp;H92),IF(I92="","","• "&amp;I92),IF(J92="","","• "&amp;J92))</f>
        <v/>
      </c>
      <c r="L92" s="4" t="n"/>
      <c r="M92" s="19" t="n"/>
      <c r="N92" s="19" t="n"/>
      <c r="O92" s="30">
        <f>IF(OR(M92="",N92=""),"",INDEX(RiskGrid,6-VALUE(LEFT(M92,1)),VALUE(LEFT(N92,1))))</f>
        <v/>
      </c>
      <c r="P92" s="30">
        <f>IF(O92="","",IF(O92&gt;=BandVH,"Very High",IF(O92&gt;=BandHigh,"High",IF(O92&gt;=BandMed,"Medium","Low"))))</f>
        <v/>
      </c>
      <c r="Q92" s="4" t="n"/>
      <c r="R92" s="19" t="n"/>
      <c r="S92" s="4" t="n"/>
      <c r="T92" s="19" t="n"/>
      <c r="U92" s="4" t="n"/>
      <c r="V92" s="19" t="n"/>
      <c r="W92" s="4" t="n"/>
      <c r="X92" s="19" t="n"/>
      <c r="Y92" s="4" t="n"/>
      <c r="Z92" s="19" t="n"/>
      <c r="AA92" s="4" t="n"/>
      <c r="AB92" s="19" t="n"/>
      <c r="AC92" s="5">
        <f>_xlfn.TEXTJOIN(CHAR(10),TRUE,IF(Q92="","","• "&amp;Q92&amp;IF(R92="Yes","  [IPL]","")),IF(S92="","","• "&amp;S92&amp;IF(T92="Yes","  [IPL]","")),IF(U92="","","• "&amp;U92&amp;IF(V92="Yes","  [IPL]","")),IF(W92="","","• "&amp;W92&amp;IF(X92="Yes","  [IPL]","")),IF(Y92="","","• "&amp;Y92&amp;IF(Z92="Yes","  [IPL]","")),IF(AA92="","","• "&amp;AA92&amp;IF(AB92="Yes","  [IPL]","")))</f>
        <v/>
      </c>
      <c r="AD92" s="30">
        <f>IF(AC92="","",COUNTIF(Q92:AB92,"Yes"))</f>
        <v/>
      </c>
      <c r="AE92" s="19" t="n"/>
      <c r="AF92" s="19" t="n"/>
      <c r="AG92" s="30">
        <f>IF(OR(AE92="",AF92=""),"",INDEX(RiskGrid,6-VALUE(LEFT(AE92,1)),VALUE(LEFT(AF92,1))))</f>
        <v/>
      </c>
      <c r="AH92" s="30">
        <f>IF(AG92="","",IF(AG92&gt;=BandVH,"Very High",IF(AG92&gt;=BandHigh,"High",IF(AG92&gt;=BandMed,"Medium","Low"))))</f>
        <v/>
      </c>
      <c r="AI92" s="4" t="n"/>
      <c r="AJ92" s="4" t="n"/>
    </row>
    <row r="93">
      <c r="A93" s="30">
        <f>IF(B93="","",COUNTIF(B$14:B93,"?*"))</f>
        <v/>
      </c>
      <c r="B93" s="4" t="n"/>
      <c r="C93" s="19" t="n"/>
      <c r="D93" s="5">
        <f>IF(OR(B93="",C93=""),"",UPPER(LEFT(C93,1))&amp;LOWER(MID(C93,2,30))&amp;" "&amp;LOWER(LEFT(B93,1))&amp;MID(B93,2,200))</f>
        <v/>
      </c>
      <c r="E93" s="4" t="n"/>
      <c r="F93" s="4" t="n"/>
      <c r="G93" s="4" t="n"/>
      <c r="H93" s="4" t="n"/>
      <c r="I93" s="4" t="n"/>
      <c r="J93" s="4" t="n"/>
      <c r="K93" s="5">
        <f>_xlfn.TEXTJOIN(CHAR(10),TRUE,IF(E93="","","• "&amp;E93),IF(F93="","","• "&amp;F93),IF(G93="","","• "&amp;G93),IF(H93="","","• "&amp;H93),IF(I93="","","• "&amp;I93),IF(J93="","","• "&amp;J93))</f>
        <v/>
      </c>
      <c r="L93" s="4" t="n"/>
      <c r="M93" s="19" t="n"/>
      <c r="N93" s="19" t="n"/>
      <c r="O93" s="30">
        <f>IF(OR(M93="",N93=""),"",INDEX(RiskGrid,6-VALUE(LEFT(M93,1)),VALUE(LEFT(N93,1))))</f>
        <v/>
      </c>
      <c r="P93" s="30">
        <f>IF(O93="","",IF(O93&gt;=BandVH,"Very High",IF(O93&gt;=BandHigh,"High",IF(O93&gt;=BandMed,"Medium","Low"))))</f>
        <v/>
      </c>
      <c r="Q93" s="4" t="n"/>
      <c r="R93" s="19" t="n"/>
      <c r="S93" s="4" t="n"/>
      <c r="T93" s="19" t="n"/>
      <c r="U93" s="4" t="n"/>
      <c r="V93" s="19" t="n"/>
      <c r="W93" s="4" t="n"/>
      <c r="X93" s="19" t="n"/>
      <c r="Y93" s="4" t="n"/>
      <c r="Z93" s="19" t="n"/>
      <c r="AA93" s="4" t="n"/>
      <c r="AB93" s="19" t="n"/>
      <c r="AC93" s="5">
        <f>_xlfn.TEXTJOIN(CHAR(10),TRUE,IF(Q93="","","• "&amp;Q93&amp;IF(R93="Yes","  [IPL]","")),IF(S93="","","• "&amp;S93&amp;IF(T93="Yes","  [IPL]","")),IF(U93="","","• "&amp;U93&amp;IF(V93="Yes","  [IPL]","")),IF(W93="","","• "&amp;W93&amp;IF(X93="Yes","  [IPL]","")),IF(Y93="","","• "&amp;Y93&amp;IF(Z93="Yes","  [IPL]","")),IF(AA93="","","• "&amp;AA93&amp;IF(AB93="Yes","  [IPL]","")))</f>
        <v/>
      </c>
      <c r="AD93" s="30">
        <f>IF(AC93="","",COUNTIF(Q93:AB93,"Yes"))</f>
        <v/>
      </c>
      <c r="AE93" s="19" t="n"/>
      <c r="AF93" s="19" t="n"/>
      <c r="AG93" s="30">
        <f>IF(OR(AE93="",AF93=""),"",INDEX(RiskGrid,6-VALUE(LEFT(AE93,1)),VALUE(LEFT(AF93,1))))</f>
        <v/>
      </c>
      <c r="AH93" s="30">
        <f>IF(AG93="","",IF(AG93&gt;=BandVH,"Very High",IF(AG93&gt;=BandHigh,"High",IF(AG93&gt;=BandMed,"Medium","Low"))))</f>
        <v/>
      </c>
      <c r="AI93" s="4" t="n"/>
      <c r="AJ93" s="4" t="n"/>
    </row>
    <row r="94">
      <c r="A94" s="30">
        <f>IF(B94="","",COUNTIF(B$14:B94,"?*"))</f>
        <v/>
      </c>
      <c r="B94" s="4" t="n"/>
      <c r="C94" s="19" t="n"/>
      <c r="D94" s="5">
        <f>IF(OR(B94="",C94=""),"",UPPER(LEFT(C94,1))&amp;LOWER(MID(C94,2,30))&amp;" "&amp;LOWER(LEFT(B94,1))&amp;MID(B94,2,200))</f>
        <v/>
      </c>
      <c r="E94" s="4" t="n"/>
      <c r="F94" s="4" t="n"/>
      <c r="G94" s="4" t="n"/>
      <c r="H94" s="4" t="n"/>
      <c r="I94" s="4" t="n"/>
      <c r="J94" s="4" t="n"/>
      <c r="K94" s="5">
        <f>_xlfn.TEXTJOIN(CHAR(10),TRUE,IF(E94="","","• "&amp;E94),IF(F94="","","• "&amp;F94),IF(G94="","","• "&amp;G94),IF(H94="","","• "&amp;H94),IF(I94="","","• "&amp;I94),IF(J94="","","• "&amp;J94))</f>
        <v/>
      </c>
      <c r="L94" s="4" t="n"/>
      <c r="M94" s="19" t="n"/>
      <c r="N94" s="19" t="n"/>
      <c r="O94" s="30">
        <f>IF(OR(M94="",N94=""),"",INDEX(RiskGrid,6-VALUE(LEFT(M94,1)),VALUE(LEFT(N94,1))))</f>
        <v/>
      </c>
      <c r="P94" s="30">
        <f>IF(O94="","",IF(O94&gt;=BandVH,"Very High",IF(O94&gt;=BandHigh,"High",IF(O94&gt;=BandMed,"Medium","Low"))))</f>
        <v/>
      </c>
      <c r="Q94" s="4" t="n"/>
      <c r="R94" s="19" t="n"/>
      <c r="S94" s="4" t="n"/>
      <c r="T94" s="19" t="n"/>
      <c r="U94" s="4" t="n"/>
      <c r="V94" s="19" t="n"/>
      <c r="W94" s="4" t="n"/>
      <c r="X94" s="19" t="n"/>
      <c r="Y94" s="4" t="n"/>
      <c r="Z94" s="19" t="n"/>
      <c r="AA94" s="4" t="n"/>
      <c r="AB94" s="19" t="n"/>
      <c r="AC94" s="5">
        <f>_xlfn.TEXTJOIN(CHAR(10),TRUE,IF(Q94="","","• "&amp;Q94&amp;IF(R94="Yes","  [IPL]","")),IF(S94="","","• "&amp;S94&amp;IF(T94="Yes","  [IPL]","")),IF(U94="","","• "&amp;U94&amp;IF(V94="Yes","  [IPL]","")),IF(W94="","","• "&amp;W94&amp;IF(X94="Yes","  [IPL]","")),IF(Y94="","","• "&amp;Y94&amp;IF(Z94="Yes","  [IPL]","")),IF(AA94="","","• "&amp;AA94&amp;IF(AB94="Yes","  [IPL]","")))</f>
        <v/>
      </c>
      <c r="AD94" s="30">
        <f>IF(AC94="","",COUNTIF(Q94:AB94,"Yes"))</f>
        <v/>
      </c>
      <c r="AE94" s="19" t="n"/>
      <c r="AF94" s="19" t="n"/>
      <c r="AG94" s="30">
        <f>IF(OR(AE94="",AF94=""),"",INDEX(RiskGrid,6-VALUE(LEFT(AE94,1)),VALUE(LEFT(AF94,1))))</f>
        <v/>
      </c>
      <c r="AH94" s="30">
        <f>IF(AG94="","",IF(AG94&gt;=BandVH,"Very High",IF(AG94&gt;=BandHigh,"High",IF(AG94&gt;=BandMed,"Medium","Low"))))</f>
        <v/>
      </c>
      <c r="AI94" s="4" t="n"/>
      <c r="AJ94" s="4" t="n"/>
    </row>
    <row r="95">
      <c r="A95" s="30">
        <f>IF(B95="","",COUNTIF(B$14:B95,"?*"))</f>
        <v/>
      </c>
      <c r="B95" s="4" t="n"/>
      <c r="C95" s="19" t="n"/>
      <c r="D95" s="5">
        <f>IF(OR(B95="",C95=""),"",UPPER(LEFT(C95,1))&amp;LOWER(MID(C95,2,30))&amp;" "&amp;LOWER(LEFT(B95,1))&amp;MID(B95,2,200))</f>
        <v/>
      </c>
      <c r="E95" s="4" t="n"/>
      <c r="F95" s="4" t="n"/>
      <c r="G95" s="4" t="n"/>
      <c r="H95" s="4" t="n"/>
      <c r="I95" s="4" t="n"/>
      <c r="J95" s="4" t="n"/>
      <c r="K95" s="5">
        <f>_xlfn.TEXTJOIN(CHAR(10),TRUE,IF(E95="","","• "&amp;E95),IF(F95="","","• "&amp;F95),IF(G95="","","• "&amp;G95),IF(H95="","","• "&amp;H95),IF(I95="","","• "&amp;I95),IF(J95="","","• "&amp;J95))</f>
        <v/>
      </c>
      <c r="L95" s="4" t="n"/>
      <c r="M95" s="19" t="n"/>
      <c r="N95" s="19" t="n"/>
      <c r="O95" s="30">
        <f>IF(OR(M95="",N95=""),"",INDEX(RiskGrid,6-VALUE(LEFT(M95,1)),VALUE(LEFT(N95,1))))</f>
        <v/>
      </c>
      <c r="P95" s="30">
        <f>IF(O95="","",IF(O95&gt;=BandVH,"Very High",IF(O95&gt;=BandHigh,"High",IF(O95&gt;=BandMed,"Medium","Low"))))</f>
        <v/>
      </c>
      <c r="Q95" s="4" t="n"/>
      <c r="R95" s="19" t="n"/>
      <c r="S95" s="4" t="n"/>
      <c r="T95" s="19" t="n"/>
      <c r="U95" s="4" t="n"/>
      <c r="V95" s="19" t="n"/>
      <c r="W95" s="4" t="n"/>
      <c r="X95" s="19" t="n"/>
      <c r="Y95" s="4" t="n"/>
      <c r="Z95" s="19" t="n"/>
      <c r="AA95" s="4" t="n"/>
      <c r="AB95" s="19" t="n"/>
      <c r="AC95" s="5">
        <f>_xlfn.TEXTJOIN(CHAR(10),TRUE,IF(Q95="","","• "&amp;Q95&amp;IF(R95="Yes","  [IPL]","")),IF(S95="","","• "&amp;S95&amp;IF(T95="Yes","  [IPL]","")),IF(U95="","","• "&amp;U95&amp;IF(V95="Yes","  [IPL]","")),IF(W95="","","• "&amp;W95&amp;IF(X95="Yes","  [IPL]","")),IF(Y95="","","• "&amp;Y95&amp;IF(Z95="Yes","  [IPL]","")),IF(AA95="","","• "&amp;AA95&amp;IF(AB95="Yes","  [IPL]","")))</f>
        <v/>
      </c>
      <c r="AD95" s="30">
        <f>IF(AC95="","",COUNTIF(Q95:AB95,"Yes"))</f>
        <v/>
      </c>
      <c r="AE95" s="19" t="n"/>
      <c r="AF95" s="19" t="n"/>
      <c r="AG95" s="30">
        <f>IF(OR(AE95="",AF95=""),"",INDEX(RiskGrid,6-VALUE(LEFT(AE95,1)),VALUE(LEFT(AF95,1))))</f>
        <v/>
      </c>
      <c r="AH95" s="30">
        <f>IF(AG95="","",IF(AG95&gt;=BandVH,"Very High",IF(AG95&gt;=BandHigh,"High",IF(AG95&gt;=BandMed,"Medium","Low"))))</f>
        <v/>
      </c>
      <c r="AI95" s="4" t="n"/>
      <c r="AJ95" s="4" t="n"/>
    </row>
    <row r="96">
      <c r="A96" s="30">
        <f>IF(B96="","",COUNTIF(B$14:B96,"?*"))</f>
        <v/>
      </c>
      <c r="B96" s="4" t="n"/>
      <c r="C96" s="19" t="n"/>
      <c r="D96" s="5">
        <f>IF(OR(B96="",C96=""),"",UPPER(LEFT(C96,1))&amp;LOWER(MID(C96,2,30))&amp;" "&amp;LOWER(LEFT(B96,1))&amp;MID(B96,2,200))</f>
        <v/>
      </c>
      <c r="E96" s="4" t="n"/>
      <c r="F96" s="4" t="n"/>
      <c r="G96" s="4" t="n"/>
      <c r="H96" s="4" t="n"/>
      <c r="I96" s="4" t="n"/>
      <c r="J96" s="4" t="n"/>
      <c r="K96" s="5">
        <f>_xlfn.TEXTJOIN(CHAR(10),TRUE,IF(E96="","","• "&amp;E96),IF(F96="","","• "&amp;F96),IF(G96="","","• "&amp;G96),IF(H96="","","• "&amp;H96),IF(I96="","","• "&amp;I96),IF(J96="","","• "&amp;J96))</f>
        <v/>
      </c>
      <c r="L96" s="4" t="n"/>
      <c r="M96" s="19" t="n"/>
      <c r="N96" s="19" t="n"/>
      <c r="O96" s="30">
        <f>IF(OR(M96="",N96=""),"",INDEX(RiskGrid,6-VALUE(LEFT(M96,1)),VALUE(LEFT(N96,1))))</f>
        <v/>
      </c>
      <c r="P96" s="30">
        <f>IF(O96="","",IF(O96&gt;=BandVH,"Very High",IF(O96&gt;=BandHigh,"High",IF(O96&gt;=BandMed,"Medium","Low"))))</f>
        <v/>
      </c>
      <c r="Q96" s="4" t="n"/>
      <c r="R96" s="19" t="n"/>
      <c r="S96" s="4" t="n"/>
      <c r="T96" s="19" t="n"/>
      <c r="U96" s="4" t="n"/>
      <c r="V96" s="19" t="n"/>
      <c r="W96" s="4" t="n"/>
      <c r="X96" s="19" t="n"/>
      <c r="Y96" s="4" t="n"/>
      <c r="Z96" s="19" t="n"/>
      <c r="AA96" s="4" t="n"/>
      <c r="AB96" s="19" t="n"/>
      <c r="AC96" s="5">
        <f>_xlfn.TEXTJOIN(CHAR(10),TRUE,IF(Q96="","","• "&amp;Q96&amp;IF(R96="Yes","  [IPL]","")),IF(S96="","","• "&amp;S96&amp;IF(T96="Yes","  [IPL]","")),IF(U96="","","• "&amp;U96&amp;IF(V96="Yes","  [IPL]","")),IF(W96="","","• "&amp;W96&amp;IF(X96="Yes","  [IPL]","")),IF(Y96="","","• "&amp;Y96&amp;IF(Z96="Yes","  [IPL]","")),IF(AA96="","","• "&amp;AA96&amp;IF(AB96="Yes","  [IPL]","")))</f>
        <v/>
      </c>
      <c r="AD96" s="30">
        <f>IF(AC96="","",COUNTIF(Q96:AB96,"Yes"))</f>
        <v/>
      </c>
      <c r="AE96" s="19" t="n"/>
      <c r="AF96" s="19" t="n"/>
      <c r="AG96" s="30">
        <f>IF(OR(AE96="",AF96=""),"",INDEX(RiskGrid,6-VALUE(LEFT(AE96,1)),VALUE(LEFT(AF96,1))))</f>
        <v/>
      </c>
      <c r="AH96" s="30">
        <f>IF(AG96="","",IF(AG96&gt;=BandVH,"Very High",IF(AG96&gt;=BandHigh,"High",IF(AG96&gt;=BandMed,"Medium","Low"))))</f>
        <v/>
      </c>
      <c r="AI96" s="4" t="n"/>
      <c r="AJ96" s="4" t="n"/>
    </row>
    <row r="97">
      <c r="A97" s="30">
        <f>IF(B97="","",COUNTIF(B$14:B97,"?*"))</f>
        <v/>
      </c>
      <c r="B97" s="4" t="n"/>
      <c r="C97" s="19" t="n"/>
      <c r="D97" s="5">
        <f>IF(OR(B97="",C97=""),"",UPPER(LEFT(C97,1))&amp;LOWER(MID(C97,2,30))&amp;" "&amp;LOWER(LEFT(B97,1))&amp;MID(B97,2,200))</f>
        <v/>
      </c>
      <c r="E97" s="4" t="n"/>
      <c r="F97" s="4" t="n"/>
      <c r="G97" s="4" t="n"/>
      <c r="H97" s="4" t="n"/>
      <c r="I97" s="4" t="n"/>
      <c r="J97" s="4" t="n"/>
      <c r="K97" s="5">
        <f>_xlfn.TEXTJOIN(CHAR(10),TRUE,IF(E97="","","• "&amp;E97),IF(F97="","","• "&amp;F97),IF(G97="","","• "&amp;G97),IF(H97="","","• "&amp;H97),IF(I97="","","• "&amp;I97),IF(J97="","","• "&amp;J97))</f>
        <v/>
      </c>
      <c r="L97" s="4" t="n"/>
      <c r="M97" s="19" t="n"/>
      <c r="N97" s="19" t="n"/>
      <c r="O97" s="30">
        <f>IF(OR(M97="",N97=""),"",INDEX(RiskGrid,6-VALUE(LEFT(M97,1)),VALUE(LEFT(N97,1))))</f>
        <v/>
      </c>
      <c r="P97" s="30">
        <f>IF(O97="","",IF(O97&gt;=BandVH,"Very High",IF(O97&gt;=BandHigh,"High",IF(O97&gt;=BandMed,"Medium","Low"))))</f>
        <v/>
      </c>
      <c r="Q97" s="4" t="n"/>
      <c r="R97" s="19" t="n"/>
      <c r="S97" s="4" t="n"/>
      <c r="T97" s="19" t="n"/>
      <c r="U97" s="4" t="n"/>
      <c r="V97" s="19" t="n"/>
      <c r="W97" s="4" t="n"/>
      <c r="X97" s="19" t="n"/>
      <c r="Y97" s="4" t="n"/>
      <c r="Z97" s="19" t="n"/>
      <c r="AA97" s="4" t="n"/>
      <c r="AB97" s="19" t="n"/>
      <c r="AC97" s="5">
        <f>_xlfn.TEXTJOIN(CHAR(10),TRUE,IF(Q97="","","• "&amp;Q97&amp;IF(R97="Yes","  [IPL]","")),IF(S97="","","• "&amp;S97&amp;IF(T97="Yes","  [IPL]","")),IF(U97="","","• "&amp;U97&amp;IF(V97="Yes","  [IPL]","")),IF(W97="","","• "&amp;W97&amp;IF(X97="Yes","  [IPL]","")),IF(Y97="","","• "&amp;Y97&amp;IF(Z97="Yes","  [IPL]","")),IF(AA97="","","• "&amp;AA97&amp;IF(AB97="Yes","  [IPL]","")))</f>
        <v/>
      </c>
      <c r="AD97" s="30">
        <f>IF(AC97="","",COUNTIF(Q97:AB97,"Yes"))</f>
        <v/>
      </c>
      <c r="AE97" s="19" t="n"/>
      <c r="AF97" s="19" t="n"/>
      <c r="AG97" s="30">
        <f>IF(OR(AE97="",AF97=""),"",INDEX(RiskGrid,6-VALUE(LEFT(AE97,1)),VALUE(LEFT(AF97,1))))</f>
        <v/>
      </c>
      <c r="AH97" s="30">
        <f>IF(AG97="","",IF(AG97&gt;=BandVH,"Very High",IF(AG97&gt;=BandHigh,"High",IF(AG97&gt;=BandMed,"Medium","Low"))))</f>
        <v/>
      </c>
      <c r="AI97" s="4" t="n"/>
      <c r="AJ97" s="4" t="n"/>
    </row>
    <row r="98">
      <c r="A98" s="30">
        <f>IF(B98="","",COUNTIF(B$14:B98,"?*"))</f>
        <v/>
      </c>
      <c r="B98" s="4" t="n"/>
      <c r="C98" s="19" t="n"/>
      <c r="D98" s="5">
        <f>IF(OR(B98="",C98=""),"",UPPER(LEFT(C98,1))&amp;LOWER(MID(C98,2,30))&amp;" "&amp;LOWER(LEFT(B98,1))&amp;MID(B98,2,200))</f>
        <v/>
      </c>
      <c r="E98" s="4" t="n"/>
      <c r="F98" s="4" t="n"/>
      <c r="G98" s="4" t="n"/>
      <c r="H98" s="4" t="n"/>
      <c r="I98" s="4" t="n"/>
      <c r="J98" s="4" t="n"/>
      <c r="K98" s="5">
        <f>_xlfn.TEXTJOIN(CHAR(10),TRUE,IF(E98="","","• "&amp;E98),IF(F98="","","• "&amp;F98),IF(G98="","","• "&amp;G98),IF(H98="","","• "&amp;H98),IF(I98="","","• "&amp;I98),IF(J98="","","• "&amp;J98))</f>
        <v/>
      </c>
      <c r="L98" s="4" t="n"/>
      <c r="M98" s="19" t="n"/>
      <c r="N98" s="19" t="n"/>
      <c r="O98" s="30">
        <f>IF(OR(M98="",N98=""),"",INDEX(RiskGrid,6-VALUE(LEFT(M98,1)),VALUE(LEFT(N98,1))))</f>
        <v/>
      </c>
      <c r="P98" s="30">
        <f>IF(O98="","",IF(O98&gt;=BandVH,"Very High",IF(O98&gt;=BandHigh,"High",IF(O98&gt;=BandMed,"Medium","Low"))))</f>
        <v/>
      </c>
      <c r="Q98" s="4" t="n"/>
      <c r="R98" s="19" t="n"/>
      <c r="S98" s="4" t="n"/>
      <c r="T98" s="19" t="n"/>
      <c r="U98" s="4" t="n"/>
      <c r="V98" s="19" t="n"/>
      <c r="W98" s="4" t="n"/>
      <c r="X98" s="19" t="n"/>
      <c r="Y98" s="4" t="n"/>
      <c r="Z98" s="19" t="n"/>
      <c r="AA98" s="4" t="n"/>
      <c r="AB98" s="19" t="n"/>
      <c r="AC98" s="5">
        <f>_xlfn.TEXTJOIN(CHAR(10),TRUE,IF(Q98="","","• "&amp;Q98&amp;IF(R98="Yes","  [IPL]","")),IF(S98="","","• "&amp;S98&amp;IF(T98="Yes","  [IPL]","")),IF(U98="","","• "&amp;U98&amp;IF(V98="Yes","  [IPL]","")),IF(W98="","","• "&amp;W98&amp;IF(X98="Yes","  [IPL]","")),IF(Y98="","","• "&amp;Y98&amp;IF(Z98="Yes","  [IPL]","")),IF(AA98="","","• "&amp;AA98&amp;IF(AB98="Yes","  [IPL]","")))</f>
        <v/>
      </c>
      <c r="AD98" s="30">
        <f>IF(AC98="","",COUNTIF(Q98:AB98,"Yes"))</f>
        <v/>
      </c>
      <c r="AE98" s="19" t="n"/>
      <c r="AF98" s="19" t="n"/>
      <c r="AG98" s="30">
        <f>IF(OR(AE98="",AF98=""),"",INDEX(RiskGrid,6-VALUE(LEFT(AE98,1)),VALUE(LEFT(AF98,1))))</f>
        <v/>
      </c>
      <c r="AH98" s="30">
        <f>IF(AG98="","",IF(AG98&gt;=BandVH,"Very High",IF(AG98&gt;=BandHigh,"High",IF(AG98&gt;=BandMed,"Medium","Low"))))</f>
        <v/>
      </c>
      <c r="AI98" s="4" t="n"/>
      <c r="AJ98" s="4" t="n"/>
    </row>
    <row r="99">
      <c r="A99" s="30">
        <f>IF(B99="","",COUNTIF(B$14:B99,"?*"))</f>
        <v/>
      </c>
      <c r="B99" s="4" t="n"/>
      <c r="C99" s="19" t="n"/>
      <c r="D99" s="5">
        <f>IF(OR(B99="",C99=""),"",UPPER(LEFT(C99,1))&amp;LOWER(MID(C99,2,30))&amp;" "&amp;LOWER(LEFT(B99,1))&amp;MID(B99,2,200))</f>
        <v/>
      </c>
      <c r="E99" s="4" t="n"/>
      <c r="F99" s="4" t="n"/>
      <c r="G99" s="4" t="n"/>
      <c r="H99" s="4" t="n"/>
      <c r="I99" s="4" t="n"/>
      <c r="J99" s="4" t="n"/>
      <c r="K99" s="5">
        <f>_xlfn.TEXTJOIN(CHAR(10),TRUE,IF(E99="","","• "&amp;E99),IF(F99="","","• "&amp;F99),IF(G99="","","• "&amp;G99),IF(H99="","","• "&amp;H99),IF(I99="","","• "&amp;I99),IF(J99="","","• "&amp;J99))</f>
        <v/>
      </c>
      <c r="L99" s="4" t="n"/>
      <c r="M99" s="19" t="n"/>
      <c r="N99" s="19" t="n"/>
      <c r="O99" s="30">
        <f>IF(OR(M99="",N99=""),"",INDEX(RiskGrid,6-VALUE(LEFT(M99,1)),VALUE(LEFT(N99,1))))</f>
        <v/>
      </c>
      <c r="P99" s="30">
        <f>IF(O99="","",IF(O99&gt;=BandVH,"Very High",IF(O99&gt;=BandHigh,"High",IF(O99&gt;=BandMed,"Medium","Low"))))</f>
        <v/>
      </c>
      <c r="Q99" s="4" t="n"/>
      <c r="R99" s="19" t="n"/>
      <c r="S99" s="4" t="n"/>
      <c r="T99" s="19" t="n"/>
      <c r="U99" s="4" t="n"/>
      <c r="V99" s="19" t="n"/>
      <c r="W99" s="4" t="n"/>
      <c r="X99" s="19" t="n"/>
      <c r="Y99" s="4" t="n"/>
      <c r="Z99" s="19" t="n"/>
      <c r="AA99" s="4" t="n"/>
      <c r="AB99" s="19" t="n"/>
      <c r="AC99" s="5">
        <f>_xlfn.TEXTJOIN(CHAR(10),TRUE,IF(Q99="","","• "&amp;Q99&amp;IF(R99="Yes","  [IPL]","")),IF(S99="","","• "&amp;S99&amp;IF(T99="Yes","  [IPL]","")),IF(U99="","","• "&amp;U99&amp;IF(V99="Yes","  [IPL]","")),IF(W99="","","• "&amp;W99&amp;IF(X99="Yes","  [IPL]","")),IF(Y99="","","• "&amp;Y99&amp;IF(Z99="Yes","  [IPL]","")),IF(AA99="","","• "&amp;AA99&amp;IF(AB99="Yes","  [IPL]","")))</f>
        <v/>
      </c>
      <c r="AD99" s="30">
        <f>IF(AC99="","",COUNTIF(Q99:AB99,"Yes"))</f>
        <v/>
      </c>
      <c r="AE99" s="19" t="n"/>
      <c r="AF99" s="19" t="n"/>
      <c r="AG99" s="30">
        <f>IF(OR(AE99="",AF99=""),"",INDEX(RiskGrid,6-VALUE(LEFT(AE99,1)),VALUE(LEFT(AF99,1))))</f>
        <v/>
      </c>
      <c r="AH99" s="30">
        <f>IF(AG99="","",IF(AG99&gt;=BandVH,"Very High",IF(AG99&gt;=BandHigh,"High",IF(AG99&gt;=BandMed,"Medium","Low"))))</f>
        <v/>
      </c>
      <c r="AI99" s="4" t="n"/>
      <c r="AJ99" s="4" t="n"/>
    </row>
    <row r="100">
      <c r="A100" s="30">
        <f>IF(B100="","",COUNTIF(B$14:B100,"?*"))</f>
        <v/>
      </c>
      <c r="B100" s="4" t="n"/>
      <c r="C100" s="19" t="n"/>
      <c r="D100" s="5">
        <f>IF(OR(B100="",C100=""),"",UPPER(LEFT(C100,1))&amp;LOWER(MID(C100,2,30))&amp;" "&amp;LOWER(LEFT(B100,1))&amp;MID(B100,2,200))</f>
        <v/>
      </c>
      <c r="E100" s="4" t="n"/>
      <c r="F100" s="4" t="n"/>
      <c r="G100" s="4" t="n"/>
      <c r="H100" s="4" t="n"/>
      <c r="I100" s="4" t="n"/>
      <c r="J100" s="4" t="n"/>
      <c r="K100" s="5">
        <f>_xlfn.TEXTJOIN(CHAR(10),TRUE,IF(E100="","","• "&amp;E100),IF(F100="","","• "&amp;F100),IF(G100="","","• "&amp;G100),IF(H100="","","• "&amp;H100),IF(I100="","","• "&amp;I100),IF(J100="","","• "&amp;J100))</f>
        <v/>
      </c>
      <c r="L100" s="4" t="n"/>
      <c r="M100" s="19" t="n"/>
      <c r="N100" s="19" t="n"/>
      <c r="O100" s="30">
        <f>IF(OR(M100="",N100=""),"",INDEX(RiskGrid,6-VALUE(LEFT(M100,1)),VALUE(LEFT(N100,1))))</f>
        <v/>
      </c>
      <c r="P100" s="30">
        <f>IF(O100="","",IF(O100&gt;=BandVH,"Very High",IF(O100&gt;=BandHigh,"High",IF(O100&gt;=BandMed,"Medium","Low"))))</f>
        <v/>
      </c>
      <c r="Q100" s="4" t="n"/>
      <c r="R100" s="19" t="n"/>
      <c r="S100" s="4" t="n"/>
      <c r="T100" s="19" t="n"/>
      <c r="U100" s="4" t="n"/>
      <c r="V100" s="19" t="n"/>
      <c r="W100" s="4" t="n"/>
      <c r="X100" s="19" t="n"/>
      <c r="Y100" s="4" t="n"/>
      <c r="Z100" s="19" t="n"/>
      <c r="AA100" s="4" t="n"/>
      <c r="AB100" s="19" t="n"/>
      <c r="AC100" s="5">
        <f>_xlfn.TEXTJOIN(CHAR(10),TRUE,IF(Q100="","","• "&amp;Q100&amp;IF(R100="Yes","  [IPL]","")),IF(S100="","","• "&amp;S100&amp;IF(T100="Yes","  [IPL]","")),IF(U100="","","• "&amp;U100&amp;IF(V100="Yes","  [IPL]","")),IF(W100="","","• "&amp;W100&amp;IF(X100="Yes","  [IPL]","")),IF(Y100="","","• "&amp;Y100&amp;IF(Z100="Yes","  [IPL]","")),IF(AA100="","","• "&amp;AA100&amp;IF(AB100="Yes","  [IPL]","")))</f>
        <v/>
      </c>
      <c r="AD100" s="30">
        <f>IF(AC100="","",COUNTIF(Q100:AB100,"Yes"))</f>
        <v/>
      </c>
      <c r="AE100" s="19" t="n"/>
      <c r="AF100" s="19" t="n"/>
      <c r="AG100" s="30">
        <f>IF(OR(AE100="",AF100=""),"",INDEX(RiskGrid,6-VALUE(LEFT(AE100,1)),VALUE(LEFT(AF100,1))))</f>
        <v/>
      </c>
      <c r="AH100" s="30">
        <f>IF(AG100="","",IF(AG100&gt;=BandVH,"Very High",IF(AG100&gt;=BandHigh,"High",IF(AG100&gt;=BandMed,"Medium","Low"))))</f>
        <v/>
      </c>
      <c r="AI100" s="4" t="n"/>
      <c r="AJ100" s="4" t="n"/>
    </row>
    <row r="101">
      <c r="A101" s="30">
        <f>IF(B101="","",COUNTIF(B$14:B101,"?*"))</f>
        <v/>
      </c>
      <c r="B101" s="4" t="n"/>
      <c r="C101" s="19" t="n"/>
      <c r="D101" s="5">
        <f>IF(OR(B101="",C101=""),"",UPPER(LEFT(C101,1))&amp;LOWER(MID(C101,2,30))&amp;" "&amp;LOWER(LEFT(B101,1))&amp;MID(B101,2,200))</f>
        <v/>
      </c>
      <c r="E101" s="4" t="n"/>
      <c r="F101" s="4" t="n"/>
      <c r="G101" s="4" t="n"/>
      <c r="H101" s="4" t="n"/>
      <c r="I101" s="4" t="n"/>
      <c r="J101" s="4" t="n"/>
      <c r="K101" s="5">
        <f>_xlfn.TEXTJOIN(CHAR(10),TRUE,IF(E101="","","• "&amp;E101),IF(F101="","","• "&amp;F101),IF(G101="","","• "&amp;G101),IF(H101="","","• "&amp;H101),IF(I101="","","• "&amp;I101),IF(J101="","","• "&amp;J101))</f>
        <v/>
      </c>
      <c r="L101" s="4" t="n"/>
      <c r="M101" s="19" t="n"/>
      <c r="N101" s="19" t="n"/>
      <c r="O101" s="30">
        <f>IF(OR(M101="",N101=""),"",INDEX(RiskGrid,6-VALUE(LEFT(M101,1)),VALUE(LEFT(N101,1))))</f>
        <v/>
      </c>
      <c r="P101" s="30">
        <f>IF(O101="","",IF(O101&gt;=BandVH,"Very High",IF(O101&gt;=BandHigh,"High",IF(O101&gt;=BandMed,"Medium","Low"))))</f>
        <v/>
      </c>
      <c r="Q101" s="4" t="n"/>
      <c r="R101" s="19" t="n"/>
      <c r="S101" s="4" t="n"/>
      <c r="T101" s="19" t="n"/>
      <c r="U101" s="4" t="n"/>
      <c r="V101" s="19" t="n"/>
      <c r="W101" s="4" t="n"/>
      <c r="X101" s="19" t="n"/>
      <c r="Y101" s="4" t="n"/>
      <c r="Z101" s="19" t="n"/>
      <c r="AA101" s="4" t="n"/>
      <c r="AB101" s="19" t="n"/>
      <c r="AC101" s="5">
        <f>_xlfn.TEXTJOIN(CHAR(10),TRUE,IF(Q101="","","• "&amp;Q101&amp;IF(R101="Yes","  [IPL]","")),IF(S101="","","• "&amp;S101&amp;IF(T101="Yes","  [IPL]","")),IF(U101="","","• "&amp;U101&amp;IF(V101="Yes","  [IPL]","")),IF(W101="","","• "&amp;W101&amp;IF(X101="Yes","  [IPL]","")),IF(Y101="","","• "&amp;Y101&amp;IF(Z101="Yes","  [IPL]","")),IF(AA101="","","• "&amp;AA101&amp;IF(AB101="Yes","  [IPL]","")))</f>
        <v/>
      </c>
      <c r="AD101" s="30">
        <f>IF(AC101="","",COUNTIF(Q101:AB101,"Yes"))</f>
        <v/>
      </c>
      <c r="AE101" s="19" t="n"/>
      <c r="AF101" s="19" t="n"/>
      <c r="AG101" s="30">
        <f>IF(OR(AE101="",AF101=""),"",INDEX(RiskGrid,6-VALUE(LEFT(AE101,1)),VALUE(LEFT(AF101,1))))</f>
        <v/>
      </c>
      <c r="AH101" s="30">
        <f>IF(AG101="","",IF(AG101&gt;=BandVH,"Very High",IF(AG101&gt;=BandHigh,"High",IF(AG101&gt;=BandMed,"Medium","Low"))))</f>
        <v/>
      </c>
      <c r="AI101" s="4" t="n"/>
      <c r="AJ101" s="4" t="n"/>
    </row>
    <row r="102">
      <c r="A102" s="30">
        <f>IF(B102="","",COUNTIF(B$14:B102,"?*"))</f>
        <v/>
      </c>
      <c r="B102" s="4" t="n"/>
      <c r="C102" s="19" t="n"/>
      <c r="D102" s="5">
        <f>IF(OR(B102="",C102=""),"",UPPER(LEFT(C102,1))&amp;LOWER(MID(C102,2,30))&amp;" "&amp;LOWER(LEFT(B102,1))&amp;MID(B102,2,200))</f>
        <v/>
      </c>
      <c r="E102" s="4" t="n"/>
      <c r="F102" s="4" t="n"/>
      <c r="G102" s="4" t="n"/>
      <c r="H102" s="4" t="n"/>
      <c r="I102" s="4" t="n"/>
      <c r="J102" s="4" t="n"/>
      <c r="K102" s="5">
        <f>_xlfn.TEXTJOIN(CHAR(10),TRUE,IF(E102="","","• "&amp;E102),IF(F102="","","• "&amp;F102),IF(G102="","","• "&amp;G102),IF(H102="","","• "&amp;H102),IF(I102="","","• "&amp;I102),IF(J102="","","• "&amp;J102))</f>
        <v/>
      </c>
      <c r="L102" s="4" t="n"/>
      <c r="M102" s="19" t="n"/>
      <c r="N102" s="19" t="n"/>
      <c r="O102" s="30">
        <f>IF(OR(M102="",N102=""),"",INDEX(RiskGrid,6-VALUE(LEFT(M102,1)),VALUE(LEFT(N102,1))))</f>
        <v/>
      </c>
      <c r="P102" s="30">
        <f>IF(O102="","",IF(O102&gt;=BandVH,"Very High",IF(O102&gt;=BandHigh,"High",IF(O102&gt;=BandMed,"Medium","Low"))))</f>
        <v/>
      </c>
      <c r="Q102" s="4" t="n"/>
      <c r="R102" s="19" t="n"/>
      <c r="S102" s="4" t="n"/>
      <c r="T102" s="19" t="n"/>
      <c r="U102" s="4" t="n"/>
      <c r="V102" s="19" t="n"/>
      <c r="W102" s="4" t="n"/>
      <c r="X102" s="19" t="n"/>
      <c r="Y102" s="4" t="n"/>
      <c r="Z102" s="19" t="n"/>
      <c r="AA102" s="4" t="n"/>
      <c r="AB102" s="19" t="n"/>
      <c r="AC102" s="5">
        <f>_xlfn.TEXTJOIN(CHAR(10),TRUE,IF(Q102="","","• "&amp;Q102&amp;IF(R102="Yes","  [IPL]","")),IF(S102="","","• "&amp;S102&amp;IF(T102="Yes","  [IPL]","")),IF(U102="","","• "&amp;U102&amp;IF(V102="Yes","  [IPL]","")),IF(W102="","","• "&amp;W102&amp;IF(X102="Yes","  [IPL]","")),IF(Y102="","","• "&amp;Y102&amp;IF(Z102="Yes","  [IPL]","")),IF(AA102="","","• "&amp;AA102&amp;IF(AB102="Yes","  [IPL]","")))</f>
        <v/>
      </c>
      <c r="AD102" s="30">
        <f>IF(AC102="","",COUNTIF(Q102:AB102,"Yes"))</f>
        <v/>
      </c>
      <c r="AE102" s="19" t="n"/>
      <c r="AF102" s="19" t="n"/>
      <c r="AG102" s="30">
        <f>IF(OR(AE102="",AF102=""),"",INDEX(RiskGrid,6-VALUE(LEFT(AE102,1)),VALUE(LEFT(AF102,1))))</f>
        <v/>
      </c>
      <c r="AH102" s="30">
        <f>IF(AG102="","",IF(AG102&gt;=BandVH,"Very High",IF(AG102&gt;=BandHigh,"High",IF(AG102&gt;=BandMed,"Medium","Low"))))</f>
        <v/>
      </c>
      <c r="AI102" s="4" t="n"/>
      <c r="AJ102" s="4" t="n"/>
    </row>
    <row r="103">
      <c r="A103" s="30">
        <f>IF(B103="","",COUNTIF(B$14:B103,"?*"))</f>
        <v/>
      </c>
      <c r="B103" s="4" t="n"/>
      <c r="C103" s="19" t="n"/>
      <c r="D103" s="5">
        <f>IF(OR(B103="",C103=""),"",UPPER(LEFT(C103,1))&amp;LOWER(MID(C103,2,30))&amp;" "&amp;LOWER(LEFT(B103,1))&amp;MID(B103,2,200))</f>
        <v/>
      </c>
      <c r="E103" s="4" t="n"/>
      <c r="F103" s="4" t="n"/>
      <c r="G103" s="4" t="n"/>
      <c r="H103" s="4" t="n"/>
      <c r="I103" s="4" t="n"/>
      <c r="J103" s="4" t="n"/>
      <c r="K103" s="5">
        <f>_xlfn.TEXTJOIN(CHAR(10),TRUE,IF(E103="","","• "&amp;E103),IF(F103="","","• "&amp;F103),IF(G103="","","• "&amp;G103),IF(H103="","","• "&amp;H103),IF(I103="","","• "&amp;I103),IF(J103="","","• "&amp;J103))</f>
        <v/>
      </c>
      <c r="L103" s="4" t="n"/>
      <c r="M103" s="19" t="n"/>
      <c r="N103" s="19" t="n"/>
      <c r="O103" s="30">
        <f>IF(OR(M103="",N103=""),"",INDEX(RiskGrid,6-VALUE(LEFT(M103,1)),VALUE(LEFT(N103,1))))</f>
        <v/>
      </c>
      <c r="P103" s="30">
        <f>IF(O103="","",IF(O103&gt;=BandVH,"Very High",IF(O103&gt;=BandHigh,"High",IF(O103&gt;=BandMed,"Medium","Low"))))</f>
        <v/>
      </c>
      <c r="Q103" s="4" t="n"/>
      <c r="R103" s="19" t="n"/>
      <c r="S103" s="4" t="n"/>
      <c r="T103" s="19" t="n"/>
      <c r="U103" s="4" t="n"/>
      <c r="V103" s="19" t="n"/>
      <c r="W103" s="4" t="n"/>
      <c r="X103" s="19" t="n"/>
      <c r="Y103" s="4" t="n"/>
      <c r="Z103" s="19" t="n"/>
      <c r="AA103" s="4" t="n"/>
      <c r="AB103" s="19" t="n"/>
      <c r="AC103" s="5">
        <f>_xlfn.TEXTJOIN(CHAR(10),TRUE,IF(Q103="","","• "&amp;Q103&amp;IF(R103="Yes","  [IPL]","")),IF(S103="","","• "&amp;S103&amp;IF(T103="Yes","  [IPL]","")),IF(U103="","","• "&amp;U103&amp;IF(V103="Yes","  [IPL]","")),IF(W103="","","• "&amp;W103&amp;IF(X103="Yes","  [IPL]","")),IF(Y103="","","• "&amp;Y103&amp;IF(Z103="Yes","  [IPL]","")),IF(AA103="","","• "&amp;AA103&amp;IF(AB103="Yes","  [IPL]","")))</f>
        <v/>
      </c>
      <c r="AD103" s="30">
        <f>IF(AC103="","",COUNTIF(Q103:AB103,"Yes"))</f>
        <v/>
      </c>
      <c r="AE103" s="19" t="n"/>
      <c r="AF103" s="19" t="n"/>
      <c r="AG103" s="30">
        <f>IF(OR(AE103="",AF103=""),"",INDEX(RiskGrid,6-VALUE(LEFT(AE103,1)),VALUE(LEFT(AF103,1))))</f>
        <v/>
      </c>
      <c r="AH103" s="30">
        <f>IF(AG103="","",IF(AG103&gt;=BandVH,"Very High",IF(AG103&gt;=BandHigh,"High",IF(AG103&gt;=BandMed,"Medium","Low"))))</f>
        <v/>
      </c>
      <c r="AI103" s="4" t="n"/>
      <c r="AJ103" s="4" t="n"/>
    </row>
    <row r="104">
      <c r="A104" s="30">
        <f>IF(B104="","",COUNTIF(B$14:B104,"?*"))</f>
        <v/>
      </c>
      <c r="B104" s="4" t="n"/>
      <c r="C104" s="19" t="n"/>
      <c r="D104" s="5">
        <f>IF(OR(B104="",C104=""),"",UPPER(LEFT(C104,1))&amp;LOWER(MID(C104,2,30))&amp;" "&amp;LOWER(LEFT(B104,1))&amp;MID(B104,2,200))</f>
        <v/>
      </c>
      <c r="E104" s="4" t="n"/>
      <c r="F104" s="4" t="n"/>
      <c r="G104" s="4" t="n"/>
      <c r="H104" s="4" t="n"/>
      <c r="I104" s="4" t="n"/>
      <c r="J104" s="4" t="n"/>
      <c r="K104" s="5">
        <f>_xlfn.TEXTJOIN(CHAR(10),TRUE,IF(E104="","","• "&amp;E104),IF(F104="","","• "&amp;F104),IF(G104="","","• "&amp;G104),IF(H104="","","• "&amp;H104),IF(I104="","","• "&amp;I104),IF(J104="","","• "&amp;J104))</f>
        <v/>
      </c>
      <c r="L104" s="4" t="n"/>
      <c r="M104" s="19" t="n"/>
      <c r="N104" s="19" t="n"/>
      <c r="O104" s="30">
        <f>IF(OR(M104="",N104=""),"",INDEX(RiskGrid,6-VALUE(LEFT(M104,1)),VALUE(LEFT(N104,1))))</f>
        <v/>
      </c>
      <c r="P104" s="30">
        <f>IF(O104="","",IF(O104&gt;=BandVH,"Very High",IF(O104&gt;=BandHigh,"High",IF(O104&gt;=BandMed,"Medium","Low"))))</f>
        <v/>
      </c>
      <c r="Q104" s="4" t="n"/>
      <c r="R104" s="19" t="n"/>
      <c r="S104" s="4" t="n"/>
      <c r="T104" s="19" t="n"/>
      <c r="U104" s="4" t="n"/>
      <c r="V104" s="19" t="n"/>
      <c r="W104" s="4" t="n"/>
      <c r="X104" s="19" t="n"/>
      <c r="Y104" s="4" t="n"/>
      <c r="Z104" s="19" t="n"/>
      <c r="AA104" s="4" t="n"/>
      <c r="AB104" s="19" t="n"/>
      <c r="AC104" s="5">
        <f>_xlfn.TEXTJOIN(CHAR(10),TRUE,IF(Q104="","","• "&amp;Q104&amp;IF(R104="Yes","  [IPL]","")),IF(S104="","","• "&amp;S104&amp;IF(T104="Yes","  [IPL]","")),IF(U104="","","• "&amp;U104&amp;IF(V104="Yes","  [IPL]","")),IF(W104="","","• "&amp;W104&amp;IF(X104="Yes","  [IPL]","")),IF(Y104="","","• "&amp;Y104&amp;IF(Z104="Yes","  [IPL]","")),IF(AA104="","","• "&amp;AA104&amp;IF(AB104="Yes","  [IPL]","")))</f>
        <v/>
      </c>
      <c r="AD104" s="30">
        <f>IF(AC104="","",COUNTIF(Q104:AB104,"Yes"))</f>
        <v/>
      </c>
      <c r="AE104" s="19" t="n"/>
      <c r="AF104" s="19" t="n"/>
      <c r="AG104" s="30">
        <f>IF(OR(AE104="",AF104=""),"",INDEX(RiskGrid,6-VALUE(LEFT(AE104,1)),VALUE(LEFT(AF104,1))))</f>
        <v/>
      </c>
      <c r="AH104" s="30">
        <f>IF(AG104="","",IF(AG104&gt;=BandVH,"Very High",IF(AG104&gt;=BandHigh,"High",IF(AG104&gt;=BandMed,"Medium","Low"))))</f>
        <v/>
      </c>
      <c r="AI104" s="4" t="n"/>
      <c r="AJ104" s="4" t="n"/>
    </row>
    <row r="105">
      <c r="A105" s="30">
        <f>IF(B105="","",COUNTIF(B$14:B105,"?*"))</f>
        <v/>
      </c>
      <c r="B105" s="4" t="n"/>
      <c r="C105" s="19" t="n"/>
      <c r="D105" s="5">
        <f>IF(OR(B105="",C105=""),"",UPPER(LEFT(C105,1))&amp;LOWER(MID(C105,2,30))&amp;" "&amp;LOWER(LEFT(B105,1))&amp;MID(B105,2,200))</f>
        <v/>
      </c>
      <c r="E105" s="4" t="n"/>
      <c r="F105" s="4" t="n"/>
      <c r="G105" s="4" t="n"/>
      <c r="H105" s="4" t="n"/>
      <c r="I105" s="4" t="n"/>
      <c r="J105" s="4" t="n"/>
      <c r="K105" s="5">
        <f>_xlfn.TEXTJOIN(CHAR(10),TRUE,IF(E105="","","• "&amp;E105),IF(F105="","","• "&amp;F105),IF(G105="","","• "&amp;G105),IF(H105="","","• "&amp;H105),IF(I105="","","• "&amp;I105),IF(J105="","","• "&amp;J105))</f>
        <v/>
      </c>
      <c r="L105" s="4" t="n"/>
      <c r="M105" s="19" t="n"/>
      <c r="N105" s="19" t="n"/>
      <c r="O105" s="30">
        <f>IF(OR(M105="",N105=""),"",INDEX(RiskGrid,6-VALUE(LEFT(M105,1)),VALUE(LEFT(N105,1))))</f>
        <v/>
      </c>
      <c r="P105" s="30">
        <f>IF(O105="","",IF(O105&gt;=BandVH,"Very High",IF(O105&gt;=BandHigh,"High",IF(O105&gt;=BandMed,"Medium","Low"))))</f>
        <v/>
      </c>
      <c r="Q105" s="4" t="n"/>
      <c r="R105" s="19" t="n"/>
      <c r="S105" s="4" t="n"/>
      <c r="T105" s="19" t="n"/>
      <c r="U105" s="4" t="n"/>
      <c r="V105" s="19" t="n"/>
      <c r="W105" s="4" t="n"/>
      <c r="X105" s="19" t="n"/>
      <c r="Y105" s="4" t="n"/>
      <c r="Z105" s="19" t="n"/>
      <c r="AA105" s="4" t="n"/>
      <c r="AB105" s="19" t="n"/>
      <c r="AC105" s="5">
        <f>_xlfn.TEXTJOIN(CHAR(10),TRUE,IF(Q105="","","• "&amp;Q105&amp;IF(R105="Yes","  [IPL]","")),IF(S105="","","• "&amp;S105&amp;IF(T105="Yes","  [IPL]","")),IF(U105="","","• "&amp;U105&amp;IF(V105="Yes","  [IPL]","")),IF(W105="","","• "&amp;W105&amp;IF(X105="Yes","  [IPL]","")),IF(Y105="","","• "&amp;Y105&amp;IF(Z105="Yes","  [IPL]","")),IF(AA105="","","• "&amp;AA105&amp;IF(AB105="Yes","  [IPL]","")))</f>
        <v/>
      </c>
      <c r="AD105" s="30">
        <f>IF(AC105="","",COUNTIF(Q105:AB105,"Yes"))</f>
        <v/>
      </c>
      <c r="AE105" s="19" t="n"/>
      <c r="AF105" s="19" t="n"/>
      <c r="AG105" s="30">
        <f>IF(OR(AE105="",AF105=""),"",INDEX(RiskGrid,6-VALUE(LEFT(AE105,1)),VALUE(LEFT(AF105,1))))</f>
        <v/>
      </c>
      <c r="AH105" s="30">
        <f>IF(AG105="","",IF(AG105&gt;=BandVH,"Very High",IF(AG105&gt;=BandHigh,"High",IF(AG105&gt;=BandMed,"Medium","Low"))))</f>
        <v/>
      </c>
      <c r="AI105" s="4" t="n"/>
      <c r="AJ105" s="4" t="n"/>
    </row>
    <row r="106">
      <c r="A106" s="30">
        <f>IF(B106="","",COUNTIF(B$14:B106,"?*"))</f>
        <v/>
      </c>
      <c r="B106" s="4" t="n"/>
      <c r="C106" s="19" t="n"/>
      <c r="D106" s="5">
        <f>IF(OR(B106="",C106=""),"",UPPER(LEFT(C106,1))&amp;LOWER(MID(C106,2,30))&amp;" "&amp;LOWER(LEFT(B106,1))&amp;MID(B106,2,200))</f>
        <v/>
      </c>
      <c r="E106" s="4" t="n"/>
      <c r="F106" s="4" t="n"/>
      <c r="G106" s="4" t="n"/>
      <c r="H106" s="4" t="n"/>
      <c r="I106" s="4" t="n"/>
      <c r="J106" s="4" t="n"/>
      <c r="K106" s="5">
        <f>_xlfn.TEXTJOIN(CHAR(10),TRUE,IF(E106="","","• "&amp;E106),IF(F106="","","• "&amp;F106),IF(G106="","","• "&amp;G106),IF(H106="","","• "&amp;H106),IF(I106="","","• "&amp;I106),IF(J106="","","• "&amp;J106))</f>
        <v/>
      </c>
      <c r="L106" s="4" t="n"/>
      <c r="M106" s="19" t="n"/>
      <c r="N106" s="19" t="n"/>
      <c r="O106" s="30">
        <f>IF(OR(M106="",N106=""),"",INDEX(RiskGrid,6-VALUE(LEFT(M106,1)),VALUE(LEFT(N106,1))))</f>
        <v/>
      </c>
      <c r="P106" s="30">
        <f>IF(O106="","",IF(O106&gt;=BandVH,"Very High",IF(O106&gt;=BandHigh,"High",IF(O106&gt;=BandMed,"Medium","Low"))))</f>
        <v/>
      </c>
      <c r="Q106" s="4" t="n"/>
      <c r="R106" s="19" t="n"/>
      <c r="S106" s="4" t="n"/>
      <c r="T106" s="19" t="n"/>
      <c r="U106" s="4" t="n"/>
      <c r="V106" s="19" t="n"/>
      <c r="W106" s="4" t="n"/>
      <c r="X106" s="19" t="n"/>
      <c r="Y106" s="4" t="n"/>
      <c r="Z106" s="19" t="n"/>
      <c r="AA106" s="4" t="n"/>
      <c r="AB106" s="19" t="n"/>
      <c r="AC106" s="5">
        <f>_xlfn.TEXTJOIN(CHAR(10),TRUE,IF(Q106="","","• "&amp;Q106&amp;IF(R106="Yes","  [IPL]","")),IF(S106="","","• "&amp;S106&amp;IF(T106="Yes","  [IPL]","")),IF(U106="","","• "&amp;U106&amp;IF(V106="Yes","  [IPL]","")),IF(W106="","","• "&amp;W106&amp;IF(X106="Yes","  [IPL]","")),IF(Y106="","","• "&amp;Y106&amp;IF(Z106="Yes","  [IPL]","")),IF(AA106="","","• "&amp;AA106&amp;IF(AB106="Yes","  [IPL]","")))</f>
        <v/>
      </c>
      <c r="AD106" s="30">
        <f>IF(AC106="","",COUNTIF(Q106:AB106,"Yes"))</f>
        <v/>
      </c>
      <c r="AE106" s="19" t="n"/>
      <c r="AF106" s="19" t="n"/>
      <c r="AG106" s="30">
        <f>IF(OR(AE106="",AF106=""),"",INDEX(RiskGrid,6-VALUE(LEFT(AE106,1)),VALUE(LEFT(AF106,1))))</f>
        <v/>
      </c>
      <c r="AH106" s="30">
        <f>IF(AG106="","",IF(AG106&gt;=BandVH,"Very High",IF(AG106&gt;=BandHigh,"High",IF(AG106&gt;=BandMed,"Medium","Low"))))</f>
        <v/>
      </c>
      <c r="AI106" s="4" t="n"/>
      <c r="AJ106" s="4" t="n"/>
    </row>
    <row r="107">
      <c r="A107" s="30">
        <f>IF(B107="","",COUNTIF(B$14:B107,"?*"))</f>
        <v/>
      </c>
      <c r="B107" s="4" t="n"/>
      <c r="C107" s="19" t="n"/>
      <c r="D107" s="5">
        <f>IF(OR(B107="",C107=""),"",UPPER(LEFT(C107,1))&amp;LOWER(MID(C107,2,30))&amp;" "&amp;LOWER(LEFT(B107,1))&amp;MID(B107,2,200))</f>
        <v/>
      </c>
      <c r="E107" s="4" t="n"/>
      <c r="F107" s="4" t="n"/>
      <c r="G107" s="4" t="n"/>
      <c r="H107" s="4" t="n"/>
      <c r="I107" s="4" t="n"/>
      <c r="J107" s="4" t="n"/>
      <c r="K107" s="5">
        <f>_xlfn.TEXTJOIN(CHAR(10),TRUE,IF(E107="","","• "&amp;E107),IF(F107="","","• "&amp;F107),IF(G107="","","• "&amp;G107),IF(H107="","","• "&amp;H107),IF(I107="","","• "&amp;I107),IF(J107="","","• "&amp;J107))</f>
        <v/>
      </c>
      <c r="L107" s="4" t="n"/>
      <c r="M107" s="19" t="n"/>
      <c r="N107" s="19" t="n"/>
      <c r="O107" s="30">
        <f>IF(OR(M107="",N107=""),"",INDEX(RiskGrid,6-VALUE(LEFT(M107,1)),VALUE(LEFT(N107,1))))</f>
        <v/>
      </c>
      <c r="P107" s="30">
        <f>IF(O107="","",IF(O107&gt;=BandVH,"Very High",IF(O107&gt;=BandHigh,"High",IF(O107&gt;=BandMed,"Medium","Low"))))</f>
        <v/>
      </c>
      <c r="Q107" s="4" t="n"/>
      <c r="R107" s="19" t="n"/>
      <c r="S107" s="4" t="n"/>
      <c r="T107" s="19" t="n"/>
      <c r="U107" s="4" t="n"/>
      <c r="V107" s="19" t="n"/>
      <c r="W107" s="4" t="n"/>
      <c r="X107" s="19" t="n"/>
      <c r="Y107" s="4" t="n"/>
      <c r="Z107" s="19" t="n"/>
      <c r="AA107" s="4" t="n"/>
      <c r="AB107" s="19" t="n"/>
      <c r="AC107" s="5">
        <f>_xlfn.TEXTJOIN(CHAR(10),TRUE,IF(Q107="","","• "&amp;Q107&amp;IF(R107="Yes","  [IPL]","")),IF(S107="","","• "&amp;S107&amp;IF(T107="Yes","  [IPL]","")),IF(U107="","","• "&amp;U107&amp;IF(V107="Yes","  [IPL]","")),IF(W107="","","• "&amp;W107&amp;IF(X107="Yes","  [IPL]","")),IF(Y107="","","• "&amp;Y107&amp;IF(Z107="Yes","  [IPL]","")),IF(AA107="","","• "&amp;AA107&amp;IF(AB107="Yes","  [IPL]","")))</f>
        <v/>
      </c>
      <c r="AD107" s="30">
        <f>IF(AC107="","",COUNTIF(Q107:AB107,"Yes"))</f>
        <v/>
      </c>
      <c r="AE107" s="19" t="n"/>
      <c r="AF107" s="19" t="n"/>
      <c r="AG107" s="30">
        <f>IF(OR(AE107="",AF107=""),"",INDEX(RiskGrid,6-VALUE(LEFT(AE107,1)),VALUE(LEFT(AF107,1))))</f>
        <v/>
      </c>
      <c r="AH107" s="30">
        <f>IF(AG107="","",IF(AG107&gt;=BandVH,"Very High",IF(AG107&gt;=BandHigh,"High",IF(AG107&gt;=BandMed,"Medium","Low"))))</f>
        <v/>
      </c>
      <c r="AI107" s="4" t="n"/>
      <c r="AJ107" s="4" t="n"/>
    </row>
    <row r="108">
      <c r="A108" s="30">
        <f>IF(B108="","",COUNTIF(B$14:B108,"?*"))</f>
        <v/>
      </c>
      <c r="B108" s="4" t="n"/>
      <c r="C108" s="19" t="n"/>
      <c r="D108" s="5">
        <f>IF(OR(B108="",C108=""),"",UPPER(LEFT(C108,1))&amp;LOWER(MID(C108,2,30))&amp;" "&amp;LOWER(LEFT(B108,1))&amp;MID(B108,2,200))</f>
        <v/>
      </c>
      <c r="E108" s="4" t="n"/>
      <c r="F108" s="4" t="n"/>
      <c r="G108" s="4" t="n"/>
      <c r="H108" s="4" t="n"/>
      <c r="I108" s="4" t="n"/>
      <c r="J108" s="4" t="n"/>
      <c r="K108" s="5">
        <f>_xlfn.TEXTJOIN(CHAR(10),TRUE,IF(E108="","","• "&amp;E108),IF(F108="","","• "&amp;F108),IF(G108="","","• "&amp;G108),IF(H108="","","• "&amp;H108),IF(I108="","","• "&amp;I108),IF(J108="","","• "&amp;J108))</f>
        <v/>
      </c>
      <c r="L108" s="4" t="n"/>
      <c r="M108" s="19" t="n"/>
      <c r="N108" s="19" t="n"/>
      <c r="O108" s="30">
        <f>IF(OR(M108="",N108=""),"",INDEX(RiskGrid,6-VALUE(LEFT(M108,1)),VALUE(LEFT(N108,1))))</f>
        <v/>
      </c>
      <c r="P108" s="30">
        <f>IF(O108="","",IF(O108&gt;=BandVH,"Very High",IF(O108&gt;=BandHigh,"High",IF(O108&gt;=BandMed,"Medium","Low"))))</f>
        <v/>
      </c>
      <c r="Q108" s="4" t="n"/>
      <c r="R108" s="19" t="n"/>
      <c r="S108" s="4" t="n"/>
      <c r="T108" s="19" t="n"/>
      <c r="U108" s="4" t="n"/>
      <c r="V108" s="19" t="n"/>
      <c r="W108" s="4" t="n"/>
      <c r="X108" s="19" t="n"/>
      <c r="Y108" s="4" t="n"/>
      <c r="Z108" s="19" t="n"/>
      <c r="AA108" s="4" t="n"/>
      <c r="AB108" s="19" t="n"/>
      <c r="AC108" s="5">
        <f>_xlfn.TEXTJOIN(CHAR(10),TRUE,IF(Q108="","","• "&amp;Q108&amp;IF(R108="Yes","  [IPL]","")),IF(S108="","","• "&amp;S108&amp;IF(T108="Yes","  [IPL]","")),IF(U108="","","• "&amp;U108&amp;IF(V108="Yes","  [IPL]","")),IF(W108="","","• "&amp;W108&amp;IF(X108="Yes","  [IPL]","")),IF(Y108="","","• "&amp;Y108&amp;IF(Z108="Yes","  [IPL]","")),IF(AA108="","","• "&amp;AA108&amp;IF(AB108="Yes","  [IPL]","")))</f>
        <v/>
      </c>
      <c r="AD108" s="30">
        <f>IF(AC108="","",COUNTIF(Q108:AB108,"Yes"))</f>
        <v/>
      </c>
      <c r="AE108" s="19" t="n"/>
      <c r="AF108" s="19" t="n"/>
      <c r="AG108" s="30">
        <f>IF(OR(AE108="",AF108=""),"",INDEX(RiskGrid,6-VALUE(LEFT(AE108,1)),VALUE(LEFT(AF108,1))))</f>
        <v/>
      </c>
      <c r="AH108" s="30">
        <f>IF(AG108="","",IF(AG108&gt;=BandVH,"Very High",IF(AG108&gt;=BandHigh,"High",IF(AG108&gt;=BandMed,"Medium","Low"))))</f>
        <v/>
      </c>
      <c r="AI108" s="4" t="n"/>
      <c r="AJ108" s="4" t="n"/>
    </row>
    <row r="109">
      <c r="A109" s="30">
        <f>IF(B109="","",COUNTIF(B$14:B109,"?*"))</f>
        <v/>
      </c>
      <c r="B109" s="4" t="n"/>
      <c r="C109" s="19" t="n"/>
      <c r="D109" s="5">
        <f>IF(OR(B109="",C109=""),"",UPPER(LEFT(C109,1))&amp;LOWER(MID(C109,2,30))&amp;" "&amp;LOWER(LEFT(B109,1))&amp;MID(B109,2,200))</f>
        <v/>
      </c>
      <c r="E109" s="4" t="n"/>
      <c r="F109" s="4" t="n"/>
      <c r="G109" s="4" t="n"/>
      <c r="H109" s="4" t="n"/>
      <c r="I109" s="4" t="n"/>
      <c r="J109" s="4" t="n"/>
      <c r="K109" s="5">
        <f>_xlfn.TEXTJOIN(CHAR(10),TRUE,IF(E109="","","• "&amp;E109),IF(F109="","","• "&amp;F109),IF(G109="","","• "&amp;G109),IF(H109="","","• "&amp;H109),IF(I109="","","• "&amp;I109),IF(J109="","","• "&amp;J109))</f>
        <v/>
      </c>
      <c r="L109" s="4" t="n"/>
      <c r="M109" s="19" t="n"/>
      <c r="N109" s="19" t="n"/>
      <c r="O109" s="30">
        <f>IF(OR(M109="",N109=""),"",INDEX(RiskGrid,6-VALUE(LEFT(M109,1)),VALUE(LEFT(N109,1))))</f>
        <v/>
      </c>
      <c r="P109" s="30">
        <f>IF(O109="","",IF(O109&gt;=BandVH,"Very High",IF(O109&gt;=BandHigh,"High",IF(O109&gt;=BandMed,"Medium","Low"))))</f>
        <v/>
      </c>
      <c r="Q109" s="4" t="n"/>
      <c r="R109" s="19" t="n"/>
      <c r="S109" s="4" t="n"/>
      <c r="T109" s="19" t="n"/>
      <c r="U109" s="4" t="n"/>
      <c r="V109" s="19" t="n"/>
      <c r="W109" s="4" t="n"/>
      <c r="X109" s="19" t="n"/>
      <c r="Y109" s="4" t="n"/>
      <c r="Z109" s="19" t="n"/>
      <c r="AA109" s="4" t="n"/>
      <c r="AB109" s="19" t="n"/>
      <c r="AC109" s="5">
        <f>_xlfn.TEXTJOIN(CHAR(10),TRUE,IF(Q109="","","• "&amp;Q109&amp;IF(R109="Yes","  [IPL]","")),IF(S109="","","• "&amp;S109&amp;IF(T109="Yes","  [IPL]","")),IF(U109="","","• "&amp;U109&amp;IF(V109="Yes","  [IPL]","")),IF(W109="","","• "&amp;W109&amp;IF(X109="Yes","  [IPL]","")),IF(Y109="","","• "&amp;Y109&amp;IF(Z109="Yes","  [IPL]","")),IF(AA109="","","• "&amp;AA109&amp;IF(AB109="Yes","  [IPL]","")))</f>
        <v/>
      </c>
      <c r="AD109" s="30">
        <f>IF(AC109="","",COUNTIF(Q109:AB109,"Yes"))</f>
        <v/>
      </c>
      <c r="AE109" s="19" t="n"/>
      <c r="AF109" s="19" t="n"/>
      <c r="AG109" s="30">
        <f>IF(OR(AE109="",AF109=""),"",INDEX(RiskGrid,6-VALUE(LEFT(AE109,1)),VALUE(LEFT(AF109,1))))</f>
        <v/>
      </c>
      <c r="AH109" s="30">
        <f>IF(AG109="","",IF(AG109&gt;=BandVH,"Very High",IF(AG109&gt;=BandHigh,"High",IF(AG109&gt;=BandMed,"Medium","Low"))))</f>
        <v/>
      </c>
      <c r="AI109" s="4" t="n"/>
      <c r="AJ109" s="4" t="n"/>
    </row>
    <row r="110">
      <c r="A110" s="30">
        <f>IF(B110="","",COUNTIF(B$14:B110,"?*"))</f>
        <v/>
      </c>
      <c r="B110" s="4" t="n"/>
      <c r="C110" s="19" t="n"/>
      <c r="D110" s="5">
        <f>IF(OR(B110="",C110=""),"",UPPER(LEFT(C110,1))&amp;LOWER(MID(C110,2,30))&amp;" "&amp;LOWER(LEFT(B110,1))&amp;MID(B110,2,200))</f>
        <v/>
      </c>
      <c r="E110" s="4" t="n"/>
      <c r="F110" s="4" t="n"/>
      <c r="G110" s="4" t="n"/>
      <c r="H110" s="4" t="n"/>
      <c r="I110" s="4" t="n"/>
      <c r="J110" s="4" t="n"/>
      <c r="K110" s="5">
        <f>_xlfn.TEXTJOIN(CHAR(10),TRUE,IF(E110="","","• "&amp;E110),IF(F110="","","• "&amp;F110),IF(G110="","","• "&amp;G110),IF(H110="","","• "&amp;H110),IF(I110="","","• "&amp;I110),IF(J110="","","• "&amp;J110))</f>
        <v/>
      </c>
      <c r="L110" s="4" t="n"/>
      <c r="M110" s="19" t="n"/>
      <c r="N110" s="19" t="n"/>
      <c r="O110" s="30">
        <f>IF(OR(M110="",N110=""),"",INDEX(RiskGrid,6-VALUE(LEFT(M110,1)),VALUE(LEFT(N110,1))))</f>
        <v/>
      </c>
      <c r="P110" s="30">
        <f>IF(O110="","",IF(O110&gt;=BandVH,"Very High",IF(O110&gt;=BandHigh,"High",IF(O110&gt;=BandMed,"Medium","Low"))))</f>
        <v/>
      </c>
      <c r="Q110" s="4" t="n"/>
      <c r="R110" s="19" t="n"/>
      <c r="S110" s="4" t="n"/>
      <c r="T110" s="19" t="n"/>
      <c r="U110" s="4" t="n"/>
      <c r="V110" s="19" t="n"/>
      <c r="W110" s="4" t="n"/>
      <c r="X110" s="19" t="n"/>
      <c r="Y110" s="4" t="n"/>
      <c r="Z110" s="19" t="n"/>
      <c r="AA110" s="4" t="n"/>
      <c r="AB110" s="19" t="n"/>
      <c r="AC110" s="5">
        <f>_xlfn.TEXTJOIN(CHAR(10),TRUE,IF(Q110="","","• "&amp;Q110&amp;IF(R110="Yes","  [IPL]","")),IF(S110="","","• "&amp;S110&amp;IF(T110="Yes","  [IPL]","")),IF(U110="","","• "&amp;U110&amp;IF(V110="Yes","  [IPL]","")),IF(W110="","","• "&amp;W110&amp;IF(X110="Yes","  [IPL]","")),IF(Y110="","","• "&amp;Y110&amp;IF(Z110="Yes","  [IPL]","")),IF(AA110="","","• "&amp;AA110&amp;IF(AB110="Yes","  [IPL]","")))</f>
        <v/>
      </c>
      <c r="AD110" s="30">
        <f>IF(AC110="","",COUNTIF(Q110:AB110,"Yes"))</f>
        <v/>
      </c>
      <c r="AE110" s="19" t="n"/>
      <c r="AF110" s="19" t="n"/>
      <c r="AG110" s="30">
        <f>IF(OR(AE110="",AF110=""),"",INDEX(RiskGrid,6-VALUE(LEFT(AE110,1)),VALUE(LEFT(AF110,1))))</f>
        <v/>
      </c>
      <c r="AH110" s="30">
        <f>IF(AG110="","",IF(AG110&gt;=BandVH,"Very High",IF(AG110&gt;=BandHigh,"High",IF(AG110&gt;=BandMed,"Medium","Low"))))</f>
        <v/>
      </c>
      <c r="AI110" s="4" t="n"/>
      <c r="AJ110" s="4" t="n"/>
    </row>
    <row r="111">
      <c r="A111" s="30">
        <f>IF(B111="","",COUNTIF(B$14:B111,"?*"))</f>
        <v/>
      </c>
      <c r="B111" s="4" t="n"/>
      <c r="C111" s="19" t="n"/>
      <c r="D111" s="5">
        <f>IF(OR(B111="",C111=""),"",UPPER(LEFT(C111,1))&amp;LOWER(MID(C111,2,30))&amp;" "&amp;LOWER(LEFT(B111,1))&amp;MID(B111,2,200))</f>
        <v/>
      </c>
      <c r="E111" s="4" t="n"/>
      <c r="F111" s="4" t="n"/>
      <c r="G111" s="4" t="n"/>
      <c r="H111" s="4" t="n"/>
      <c r="I111" s="4" t="n"/>
      <c r="J111" s="4" t="n"/>
      <c r="K111" s="5">
        <f>_xlfn.TEXTJOIN(CHAR(10),TRUE,IF(E111="","","• "&amp;E111),IF(F111="","","• "&amp;F111),IF(G111="","","• "&amp;G111),IF(H111="","","• "&amp;H111),IF(I111="","","• "&amp;I111),IF(J111="","","• "&amp;J111))</f>
        <v/>
      </c>
      <c r="L111" s="4" t="n"/>
      <c r="M111" s="19" t="n"/>
      <c r="N111" s="19" t="n"/>
      <c r="O111" s="30">
        <f>IF(OR(M111="",N111=""),"",INDEX(RiskGrid,6-VALUE(LEFT(M111,1)),VALUE(LEFT(N111,1))))</f>
        <v/>
      </c>
      <c r="P111" s="30">
        <f>IF(O111="","",IF(O111&gt;=BandVH,"Very High",IF(O111&gt;=BandHigh,"High",IF(O111&gt;=BandMed,"Medium","Low"))))</f>
        <v/>
      </c>
      <c r="Q111" s="4" t="n"/>
      <c r="R111" s="19" t="n"/>
      <c r="S111" s="4" t="n"/>
      <c r="T111" s="19" t="n"/>
      <c r="U111" s="4" t="n"/>
      <c r="V111" s="19" t="n"/>
      <c r="W111" s="4" t="n"/>
      <c r="X111" s="19" t="n"/>
      <c r="Y111" s="4" t="n"/>
      <c r="Z111" s="19" t="n"/>
      <c r="AA111" s="4" t="n"/>
      <c r="AB111" s="19" t="n"/>
      <c r="AC111" s="5">
        <f>_xlfn.TEXTJOIN(CHAR(10),TRUE,IF(Q111="","","• "&amp;Q111&amp;IF(R111="Yes","  [IPL]","")),IF(S111="","","• "&amp;S111&amp;IF(T111="Yes","  [IPL]","")),IF(U111="","","• "&amp;U111&amp;IF(V111="Yes","  [IPL]","")),IF(W111="","","• "&amp;W111&amp;IF(X111="Yes","  [IPL]","")),IF(Y111="","","• "&amp;Y111&amp;IF(Z111="Yes","  [IPL]","")),IF(AA111="","","• "&amp;AA111&amp;IF(AB111="Yes","  [IPL]","")))</f>
        <v/>
      </c>
      <c r="AD111" s="30">
        <f>IF(AC111="","",COUNTIF(Q111:AB111,"Yes"))</f>
        <v/>
      </c>
      <c r="AE111" s="19" t="n"/>
      <c r="AF111" s="19" t="n"/>
      <c r="AG111" s="30">
        <f>IF(OR(AE111="",AF111=""),"",INDEX(RiskGrid,6-VALUE(LEFT(AE111,1)),VALUE(LEFT(AF111,1))))</f>
        <v/>
      </c>
      <c r="AH111" s="30">
        <f>IF(AG111="","",IF(AG111&gt;=BandVH,"Very High",IF(AG111&gt;=BandHigh,"High",IF(AG111&gt;=BandMed,"Medium","Low"))))</f>
        <v/>
      </c>
      <c r="AI111" s="4" t="n"/>
      <c r="AJ111" s="4" t="n"/>
    </row>
    <row r="112">
      <c r="A112" s="30">
        <f>IF(B112="","",COUNTIF(B$14:B112,"?*"))</f>
        <v/>
      </c>
      <c r="B112" s="4" t="n"/>
      <c r="C112" s="19" t="n"/>
      <c r="D112" s="5">
        <f>IF(OR(B112="",C112=""),"",UPPER(LEFT(C112,1))&amp;LOWER(MID(C112,2,30))&amp;" "&amp;LOWER(LEFT(B112,1))&amp;MID(B112,2,200))</f>
        <v/>
      </c>
      <c r="E112" s="4" t="n"/>
      <c r="F112" s="4" t="n"/>
      <c r="G112" s="4" t="n"/>
      <c r="H112" s="4" t="n"/>
      <c r="I112" s="4" t="n"/>
      <c r="J112" s="4" t="n"/>
      <c r="K112" s="5">
        <f>_xlfn.TEXTJOIN(CHAR(10),TRUE,IF(E112="","","• "&amp;E112),IF(F112="","","• "&amp;F112),IF(G112="","","• "&amp;G112),IF(H112="","","• "&amp;H112),IF(I112="","","• "&amp;I112),IF(J112="","","• "&amp;J112))</f>
        <v/>
      </c>
      <c r="L112" s="4" t="n"/>
      <c r="M112" s="19" t="n"/>
      <c r="N112" s="19" t="n"/>
      <c r="O112" s="30">
        <f>IF(OR(M112="",N112=""),"",INDEX(RiskGrid,6-VALUE(LEFT(M112,1)),VALUE(LEFT(N112,1))))</f>
        <v/>
      </c>
      <c r="P112" s="30">
        <f>IF(O112="","",IF(O112&gt;=BandVH,"Very High",IF(O112&gt;=BandHigh,"High",IF(O112&gt;=BandMed,"Medium","Low"))))</f>
        <v/>
      </c>
      <c r="Q112" s="4" t="n"/>
      <c r="R112" s="19" t="n"/>
      <c r="S112" s="4" t="n"/>
      <c r="T112" s="19" t="n"/>
      <c r="U112" s="4" t="n"/>
      <c r="V112" s="19" t="n"/>
      <c r="W112" s="4" t="n"/>
      <c r="X112" s="19" t="n"/>
      <c r="Y112" s="4" t="n"/>
      <c r="Z112" s="19" t="n"/>
      <c r="AA112" s="4" t="n"/>
      <c r="AB112" s="19" t="n"/>
      <c r="AC112" s="5">
        <f>_xlfn.TEXTJOIN(CHAR(10),TRUE,IF(Q112="","","• "&amp;Q112&amp;IF(R112="Yes","  [IPL]","")),IF(S112="","","• "&amp;S112&amp;IF(T112="Yes","  [IPL]","")),IF(U112="","","• "&amp;U112&amp;IF(V112="Yes","  [IPL]","")),IF(W112="","","• "&amp;W112&amp;IF(X112="Yes","  [IPL]","")),IF(Y112="","","• "&amp;Y112&amp;IF(Z112="Yes","  [IPL]","")),IF(AA112="","","• "&amp;AA112&amp;IF(AB112="Yes","  [IPL]","")))</f>
        <v/>
      </c>
      <c r="AD112" s="30">
        <f>IF(AC112="","",COUNTIF(Q112:AB112,"Yes"))</f>
        <v/>
      </c>
      <c r="AE112" s="19" t="n"/>
      <c r="AF112" s="19" t="n"/>
      <c r="AG112" s="30">
        <f>IF(OR(AE112="",AF112=""),"",INDEX(RiskGrid,6-VALUE(LEFT(AE112,1)),VALUE(LEFT(AF112,1))))</f>
        <v/>
      </c>
      <c r="AH112" s="30">
        <f>IF(AG112="","",IF(AG112&gt;=BandVH,"Very High",IF(AG112&gt;=BandHigh,"High",IF(AG112&gt;=BandMed,"Medium","Low"))))</f>
        <v/>
      </c>
      <c r="AI112" s="4" t="n"/>
      <c r="AJ112" s="4" t="n"/>
    </row>
    <row r="113">
      <c r="A113" s="30">
        <f>IF(B113="","",COUNTIF(B$14:B113,"?*"))</f>
        <v/>
      </c>
      <c r="B113" s="4" t="n"/>
      <c r="C113" s="19" t="n"/>
      <c r="D113" s="5">
        <f>IF(OR(B113="",C113=""),"",UPPER(LEFT(C113,1))&amp;LOWER(MID(C113,2,30))&amp;" "&amp;LOWER(LEFT(B113,1))&amp;MID(B113,2,200))</f>
        <v/>
      </c>
      <c r="E113" s="4" t="n"/>
      <c r="F113" s="4" t="n"/>
      <c r="G113" s="4" t="n"/>
      <c r="H113" s="4" t="n"/>
      <c r="I113" s="4" t="n"/>
      <c r="J113" s="4" t="n"/>
      <c r="K113" s="5">
        <f>_xlfn.TEXTJOIN(CHAR(10),TRUE,IF(E113="","","• "&amp;E113),IF(F113="","","• "&amp;F113),IF(G113="","","• "&amp;G113),IF(H113="","","• "&amp;H113),IF(I113="","","• "&amp;I113),IF(J113="","","• "&amp;J113))</f>
        <v/>
      </c>
      <c r="L113" s="4" t="n"/>
      <c r="M113" s="19" t="n"/>
      <c r="N113" s="19" t="n"/>
      <c r="O113" s="30">
        <f>IF(OR(M113="",N113=""),"",INDEX(RiskGrid,6-VALUE(LEFT(M113,1)),VALUE(LEFT(N113,1))))</f>
        <v/>
      </c>
      <c r="P113" s="30">
        <f>IF(O113="","",IF(O113&gt;=BandVH,"Very High",IF(O113&gt;=BandHigh,"High",IF(O113&gt;=BandMed,"Medium","Low"))))</f>
        <v/>
      </c>
      <c r="Q113" s="4" t="n"/>
      <c r="R113" s="19" t="n"/>
      <c r="S113" s="4" t="n"/>
      <c r="T113" s="19" t="n"/>
      <c r="U113" s="4" t="n"/>
      <c r="V113" s="19" t="n"/>
      <c r="W113" s="4" t="n"/>
      <c r="X113" s="19" t="n"/>
      <c r="Y113" s="4" t="n"/>
      <c r="Z113" s="19" t="n"/>
      <c r="AA113" s="4" t="n"/>
      <c r="AB113" s="19" t="n"/>
      <c r="AC113" s="5">
        <f>_xlfn.TEXTJOIN(CHAR(10),TRUE,IF(Q113="","","• "&amp;Q113&amp;IF(R113="Yes","  [IPL]","")),IF(S113="","","• "&amp;S113&amp;IF(T113="Yes","  [IPL]","")),IF(U113="","","• "&amp;U113&amp;IF(V113="Yes","  [IPL]","")),IF(W113="","","• "&amp;W113&amp;IF(X113="Yes","  [IPL]","")),IF(Y113="","","• "&amp;Y113&amp;IF(Z113="Yes","  [IPL]","")),IF(AA113="","","• "&amp;AA113&amp;IF(AB113="Yes","  [IPL]","")))</f>
        <v/>
      </c>
      <c r="AD113" s="30">
        <f>IF(AC113="","",COUNTIF(Q113:AB113,"Yes"))</f>
        <v/>
      </c>
      <c r="AE113" s="19" t="n"/>
      <c r="AF113" s="19" t="n"/>
      <c r="AG113" s="30">
        <f>IF(OR(AE113="",AF113=""),"",INDEX(RiskGrid,6-VALUE(LEFT(AE113,1)),VALUE(LEFT(AF113,1))))</f>
        <v/>
      </c>
      <c r="AH113" s="30">
        <f>IF(AG113="","",IF(AG113&gt;=BandVH,"Very High",IF(AG113&gt;=BandHigh,"High",IF(AG113&gt;=BandMed,"Medium","Low"))))</f>
        <v/>
      </c>
      <c r="AI113" s="4" t="n"/>
      <c r="AJ113" s="4" t="n"/>
    </row>
  </sheetData>
  <mergeCells count="24">
    <mergeCell ref="A3:C3"/>
    <mergeCell ref="AC12:AD12"/>
    <mergeCell ref="D7:L7"/>
    <mergeCell ref="N3:O3"/>
    <mergeCell ref="A5:C5"/>
    <mergeCell ref="A8:C8"/>
    <mergeCell ref="D4:L4"/>
    <mergeCell ref="D3:L3"/>
    <mergeCell ref="D9:L9"/>
    <mergeCell ref="A4:C4"/>
    <mergeCell ref="D8:L8"/>
    <mergeCell ref="K12:L12"/>
    <mergeCell ref="D5:L5"/>
    <mergeCell ref="A9:C9"/>
    <mergeCell ref="AE12:AH12"/>
    <mergeCell ref="E12:J12"/>
    <mergeCell ref="Q12:AB12"/>
    <mergeCell ref="AI12:AJ12"/>
    <mergeCell ref="A11:L11"/>
    <mergeCell ref="A12:D12"/>
    <mergeCell ref="A6:C6"/>
    <mergeCell ref="M12:P12"/>
    <mergeCell ref="A7:C7"/>
    <mergeCell ref="D6:L6"/>
  </mergeCells>
  <conditionalFormatting sqref="O14:P113">
    <cfRule type="expression" priority="1" dxfId="0">
      <formula>$P14="Very High"</formula>
    </cfRule>
    <cfRule type="expression" priority="3" dxfId="1">
      <formula>$P14="High"</formula>
    </cfRule>
    <cfRule type="expression" priority="5" dxfId="2">
      <formula>$P14="Medium"</formula>
    </cfRule>
    <cfRule type="expression" priority="7" dxfId="3">
      <formula>$P14="Low"</formula>
    </cfRule>
  </conditionalFormatting>
  <conditionalFormatting sqref="AG14:AH113">
    <cfRule type="expression" priority="2" dxfId="0">
      <formula>$AH14="Very High"</formula>
    </cfRule>
    <cfRule type="expression" priority="4" dxfId="1">
      <formula>$AH14="High"</formula>
    </cfRule>
    <cfRule type="expression" priority="6" dxfId="2">
      <formula>$AH14="Medium"</formula>
    </cfRule>
    <cfRule type="expression" priority="8" dxfId="3">
      <formula>$AH14="Low"</formula>
    </cfRule>
  </conditionalFormatting>
  <dataValidations count="9">
    <dataValidation sqref="D3" showDropDown="0" showInputMessage="1" showErrorMessage="1" allowBlank="1" promptTitle="Select" prompt="Choose the node studied on this sheet" type="list">
      <formula1>=NodeList</formula1>
    </dataValidation>
    <dataValidation sqref="B14:B113" showDropDown="0" showInputMessage="1" showErrorMessage="1" allowBlank="1" promptTitle="Select" prompt="Parameter (from Lists)" type="list">
      <formula1>=ParamList</formula1>
    </dataValidation>
    <dataValidation sqref="C14:C113" showDropDown="0" showInputMessage="1" showErrorMessage="1" allowBlank="1" promptTitle="Select" prompt="Guidewords valid for this parameter" type="list">
      <formula1>=OFFSET(GWStart,MATCH($B14,GWParam,0)-1,0,COUNTIF(GWParam,$B14),1)</formula1>
    </dataValidation>
    <dataValidation sqref="E14:J113" showDropDown="0" showInputMessage="1" showErrorMessage="1" allowBlank="1" errorTitle="Not in list" error="Entry is not in the list – it will be accepted as free text." promptTitle="Select" prompt="Pick a cause for this deviation, or type your own." type="list" errorStyle="information">
      <formula1>=OFFSET(CauseStart,MATCH($B14&amp;"|"&amp;$C14,CauseKey,0)-1,0,MAX(1,COUNTIF(CauseKey,$B14&amp;"|"&amp;$C14)),1)</formula1>
    </dataValidation>
    <dataValidation sqref="M14:M113" showDropDown="0" showInputMessage="0" showErrorMessage="1" allowBlank="1" type="list">
      <formula1>=SevList</formula1>
    </dataValidation>
    <dataValidation sqref="N14:N113" showDropDown="0" showInputMessage="0" showErrorMessage="1" allowBlank="1" type="list">
      <formula1>=LikList</formula1>
    </dataValidation>
    <dataValidation sqref="AE14:AE113" showDropDown="0" showInputMessage="0" showErrorMessage="1" allowBlank="1" type="list">
      <formula1>=SevList</formula1>
    </dataValidation>
    <dataValidation sqref="AF14:AF113" showDropDown="0" showInputMessage="0" showErrorMessage="1" allowBlank="1" type="list">
      <formula1>=LikList</formula1>
    </dataValidation>
    <dataValidation sqref="R14:R113 T14:T113 V14:V113 X14:X113 Z14:Z113 AB14:AB113" showDropDown="0" showInputMessage="1" showErrorMessage="0" allowBlank="1" promptTitle="IPL?" prompt="Is this safeguard an Independent Protection Layer?" type="list">
      <formula1>=IPLList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AJ113"/>
  <sheetViews>
    <sheetView workbookViewId="0">
      <pane xSplit="4" ySplit="13" topLeftCell="E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4" customWidth="1" min="4" max="4"/>
    <col outlineLevel="1" width="26" customWidth="1" min="5" max="10"/>
    <col width="48" customWidth="1" min="11" max="11"/>
    <col width="42" customWidth="1" min="12" max="12"/>
    <col width="13" customWidth="1" min="13" max="13"/>
    <col width="13" customWidth="1" min="14" max="14"/>
    <col width="7" customWidth="1" min="15" max="15"/>
    <col width="10" customWidth="1" min="16" max="16"/>
    <col outlineLevel="1" width="28" customWidth="1" min="17" max="28"/>
    <col width="48" customWidth="1" min="29" max="29"/>
    <col width="7" customWidth="1" min="30" max="30"/>
    <col width="13" customWidth="1" min="31" max="31"/>
    <col width="13" customWidth="1" min="32" max="32"/>
    <col width="7" customWidth="1" min="33" max="33"/>
    <col width="10" customWidth="1" min="34" max="34"/>
    <col width="36" customWidth="1" min="35" max="35"/>
    <col width="14" customWidth="1" min="36" max="36"/>
  </cols>
  <sheetData>
    <row r="1">
      <c r="A1" s="24" t="inlineStr">
        <is>
          <t>HAZOP WORKSHEET</t>
        </is>
      </c>
      <c r="E1" s="25">
        <f>Cover!B7</f>
        <v/>
      </c>
    </row>
    <row r="3">
      <c r="A3" s="26" t="inlineStr">
        <is>
          <t>Select node ▸</t>
        </is>
      </c>
      <c r="B3" s="8" t="n"/>
      <c r="C3" s="9" t="n"/>
      <c r="D3" s="27" t="n"/>
      <c r="E3" s="8" t="n"/>
      <c r="F3" s="8" t="n"/>
      <c r="G3" s="8" t="n"/>
      <c r="H3" s="8" t="n"/>
      <c r="I3" s="8" t="n"/>
      <c r="J3" s="8" t="n"/>
      <c r="K3" s="8" t="n"/>
      <c r="L3" s="9" t="n"/>
      <c r="M3" s="26" t="inlineStr">
        <is>
          <t>Session date</t>
        </is>
      </c>
      <c r="N3" s="13" t="n"/>
      <c r="O3" s="9" t="n"/>
      <c r="P3" s="26" t="inlineStr">
        <is>
          <t>Revision</t>
        </is>
      </c>
      <c r="Q3" s="4" t="n"/>
    </row>
    <row r="4" ht="16" customHeight="1">
      <c r="A4" s="10" t="inlineStr">
        <is>
          <t>Node title</t>
        </is>
      </c>
      <c r="B4" s="8" t="n"/>
      <c r="C4" s="9" t="n"/>
      <c r="D4" s="6">
        <f>IF($D$3="","",IFERROR(INDEX(Nodes!$B$5:$B$34,MATCH($D$3,Nodes!$C$5:$C$34,0))&amp;"",""))</f>
        <v/>
      </c>
      <c r="E4" s="8" t="n"/>
      <c r="F4" s="8" t="n"/>
      <c r="G4" s="8" t="n"/>
      <c r="H4" s="8" t="n"/>
      <c r="I4" s="8" t="n"/>
      <c r="J4" s="8" t="n"/>
      <c r="K4" s="8" t="n"/>
      <c r="L4" s="9" t="n"/>
    </row>
    <row r="5" ht="16" customHeight="1">
      <c r="A5" s="10" t="inlineStr">
        <is>
          <t>P&amp;IDs / drawings</t>
        </is>
      </c>
      <c r="B5" s="8" t="n"/>
      <c r="C5" s="9" t="n"/>
      <c r="D5" s="6">
        <f>IF($D$3="","",IFERROR(INDEX(Nodes!$D$5:$D$34,MATCH($D$3,Nodes!$C$5:$C$34,0))&amp;"",""))</f>
        <v/>
      </c>
      <c r="E5" s="8" t="n"/>
      <c r="F5" s="8" t="n"/>
      <c r="G5" s="8" t="n"/>
      <c r="H5" s="8" t="n"/>
      <c r="I5" s="8" t="n"/>
      <c r="J5" s="8" t="n"/>
      <c r="K5" s="8" t="n"/>
      <c r="L5" s="9" t="n"/>
    </row>
    <row r="6" ht="30" customHeight="1">
      <c r="A6" s="10" t="inlineStr">
        <is>
          <t>Battery limits</t>
        </is>
      </c>
      <c r="B6" s="8" t="n"/>
      <c r="C6" s="9" t="n"/>
      <c r="D6" s="6">
        <f>IF($D$3="","",IFERROR(INDEX(Nodes!$E$5:$E$34,MATCH($D$3,Nodes!$C$5:$C$34,0))&amp;"",""))</f>
        <v/>
      </c>
      <c r="E6" s="8" t="n"/>
      <c r="F6" s="8" t="n"/>
      <c r="G6" s="8" t="n"/>
      <c r="H6" s="8" t="n"/>
      <c r="I6" s="8" t="n"/>
      <c r="J6" s="8" t="n"/>
      <c r="K6" s="8" t="n"/>
      <c r="L6" s="9" t="n"/>
    </row>
    <row r="7" ht="30" customHeight="1">
      <c r="A7" s="10" t="inlineStr">
        <is>
          <t>Functional description / design intent</t>
        </is>
      </c>
      <c r="B7" s="8" t="n"/>
      <c r="C7" s="9" t="n"/>
      <c r="D7" s="6">
        <f>IF($D$3="","",IFERROR(INDEX(Nodes!$F$5:$F$34,MATCH($D$3,Nodes!$C$5:$C$34,0))&amp;"",""))</f>
        <v/>
      </c>
      <c r="E7" s="8" t="n"/>
      <c r="F7" s="8" t="n"/>
      <c r="G7" s="8" t="n"/>
      <c r="H7" s="8" t="n"/>
      <c r="I7" s="8" t="n"/>
      <c r="J7" s="8" t="n"/>
      <c r="K7" s="8" t="n"/>
      <c r="L7" s="9" t="n"/>
    </row>
    <row r="8" ht="16" customHeight="1">
      <c r="A8" s="10" t="inlineStr">
        <is>
          <t>Design parameters</t>
        </is>
      </c>
      <c r="B8" s="8" t="n"/>
      <c r="C8" s="9" t="n"/>
      <c r="D8" s="6">
        <f>IF($D$3="","",IFERROR(INDEX(Nodes!$G$5:$G$34,MATCH($D$3,Nodes!$C$5:$C$34,0))&amp;"",""))</f>
        <v/>
      </c>
      <c r="E8" s="8" t="n"/>
      <c r="F8" s="8" t="n"/>
      <c r="G8" s="8" t="n"/>
      <c r="H8" s="8" t="n"/>
      <c r="I8" s="8" t="n"/>
      <c r="J8" s="8" t="n"/>
      <c r="K8" s="8" t="n"/>
      <c r="L8" s="9" t="n"/>
    </row>
    <row r="9" ht="16" customHeight="1">
      <c r="A9" s="10" t="inlineStr">
        <is>
          <t>Operating parameters</t>
        </is>
      </c>
      <c r="B9" s="8" t="n"/>
      <c r="C9" s="9" t="n"/>
      <c r="D9" s="6">
        <f>IF($D$3="","",IFERROR(INDEX(Nodes!$H$5:$H$34,MATCH($D$3,Nodes!$C$5:$C$34,0))&amp;"",""))</f>
        <v/>
      </c>
      <c r="E9" s="8" t="n"/>
      <c r="F9" s="8" t="n"/>
      <c r="G9" s="8" t="n"/>
      <c r="H9" s="8" t="n"/>
      <c r="I9" s="8" t="n"/>
      <c r="J9" s="8" t="n"/>
      <c r="K9" s="8" t="n"/>
      <c r="L9" s="9" t="n"/>
    </row>
    <row r="11">
      <c r="A11" s="2" t="inlineStr">
        <is>
          <t>ONE ROW PER DEVIATION. Choose Parameter + Guideword, then pick up to 6 causes in Cause 1–6 (or type your own) – they are listed line by line in 'Potential causes'. Enter up to 6 safeguards, each marked IPL Yes/No – listed in 'Safeguards'. Use the [–] buttons above the columns to collapse the pick columns.</t>
        </is>
      </c>
    </row>
    <row r="12">
      <c r="A12" s="7" t="inlineStr">
        <is>
          <t>DEVIATION</t>
        </is>
      </c>
      <c r="B12" s="8" t="n"/>
      <c r="C12" s="8" t="n"/>
      <c r="D12" s="9" t="n"/>
      <c r="E12" s="7" t="inlineStr">
        <is>
          <t>CAUSE PICK-LIST</t>
        </is>
      </c>
      <c r="F12" s="8" t="n"/>
      <c r="G12" s="8" t="n"/>
      <c r="H12" s="8" t="n"/>
      <c r="I12" s="8" t="n"/>
      <c r="J12" s="9" t="n"/>
      <c r="K12" s="7" t="inlineStr">
        <is>
          <t>CAUSES &amp; CONSEQUENCES</t>
        </is>
      </c>
      <c r="L12" s="9" t="n"/>
      <c r="M12" s="7" t="inlineStr">
        <is>
          <t>RISK BEFORE SAFEGUARDS</t>
        </is>
      </c>
      <c r="N12" s="8" t="n"/>
      <c r="O12" s="8" t="n"/>
      <c r="P12" s="9" t="n"/>
      <c r="Q12" s="7" t="inlineStr">
        <is>
          <t>SAFEGUARD ENTRY (mark each IPL Yes / No)</t>
        </is>
      </c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9" t="n"/>
      <c r="AC12" s="7" t="inlineStr">
        <is>
          <t>SAFEGUARDS</t>
        </is>
      </c>
      <c r="AD12" s="9" t="n"/>
      <c r="AE12" s="7" t="inlineStr">
        <is>
          <t>RISK AFTER SAFEGUARDS</t>
        </is>
      </c>
      <c r="AF12" s="8" t="n"/>
      <c r="AG12" s="8" t="n"/>
      <c r="AH12" s="9" t="n"/>
      <c r="AI12" s="7" t="inlineStr">
        <is>
          <t>RECOMMENDATIONS</t>
        </is>
      </c>
      <c r="AJ12" s="9" t="n"/>
    </row>
    <row r="13" ht="30" customHeight="1">
      <c r="A13" s="7" t="inlineStr">
        <is>
          <t>Dev. No.</t>
        </is>
      </c>
      <c r="B13" s="7" t="inlineStr">
        <is>
          <t>Parameter</t>
        </is>
      </c>
      <c r="C13" s="7" t="inlineStr">
        <is>
          <t>Guideword</t>
        </is>
      </c>
      <c r="D13" s="7" t="inlineStr">
        <is>
          <t>Deviation</t>
        </is>
      </c>
      <c r="E13" s="29" t="inlineStr">
        <is>
          <t>Cause 1</t>
        </is>
      </c>
      <c r="F13" s="29" t="inlineStr">
        <is>
          <t>Cause 2</t>
        </is>
      </c>
      <c r="G13" s="29" t="inlineStr">
        <is>
          <t>Cause 3</t>
        </is>
      </c>
      <c r="H13" s="29" t="inlineStr">
        <is>
          <t>Cause 4</t>
        </is>
      </c>
      <c r="I13" s="29" t="inlineStr">
        <is>
          <t>Cause 5</t>
        </is>
      </c>
      <c r="J13" s="29" t="inlineStr">
        <is>
          <t>Cause 6</t>
        </is>
      </c>
      <c r="K13" s="7" t="inlineStr">
        <is>
          <t>Potential causes</t>
        </is>
      </c>
      <c r="L13" s="7" t="inlineStr">
        <is>
          <t>Consequences</t>
        </is>
      </c>
      <c r="M13" s="7" t="inlineStr">
        <is>
          <t>Severity (S)</t>
        </is>
      </c>
      <c r="N13" s="7" t="inlineStr">
        <is>
          <t>Likelihood (L)</t>
        </is>
      </c>
      <c r="O13" s="7" t="inlineStr">
        <is>
          <t>Risk score</t>
        </is>
      </c>
      <c r="P13" s="7" t="inlineStr">
        <is>
          <t>Risk rank</t>
        </is>
      </c>
      <c r="Q13" s="29" t="inlineStr">
        <is>
          <t>Safeguard 1</t>
        </is>
      </c>
      <c r="R13" s="29" t="inlineStr">
        <is>
          <t>IPL? 1</t>
        </is>
      </c>
      <c r="S13" s="29" t="inlineStr">
        <is>
          <t>Safeguard 2</t>
        </is>
      </c>
      <c r="T13" s="29" t="inlineStr">
        <is>
          <t>IPL? 2</t>
        </is>
      </c>
      <c r="U13" s="29" t="inlineStr">
        <is>
          <t>Safeguard 3</t>
        </is>
      </c>
      <c r="V13" s="29" t="inlineStr">
        <is>
          <t>IPL? 3</t>
        </is>
      </c>
      <c r="W13" s="29" t="inlineStr">
        <is>
          <t>Safeguard 4</t>
        </is>
      </c>
      <c r="X13" s="29" t="inlineStr">
        <is>
          <t>IPL? 4</t>
        </is>
      </c>
      <c r="Y13" s="29" t="inlineStr">
        <is>
          <t>Safeguard 5</t>
        </is>
      </c>
      <c r="Z13" s="29" t="inlineStr">
        <is>
          <t>IPL? 5</t>
        </is>
      </c>
      <c r="AA13" s="29" t="inlineStr">
        <is>
          <t>Safeguard 6</t>
        </is>
      </c>
      <c r="AB13" s="29" t="inlineStr">
        <is>
          <t>IPL? 6</t>
        </is>
      </c>
      <c r="AC13" s="7" t="inlineStr">
        <is>
          <t>Safeguards</t>
        </is>
      </c>
      <c r="AD13" s="7" t="inlineStr">
        <is>
          <t>No. of IPLs</t>
        </is>
      </c>
      <c r="AE13" s="7" t="inlineStr">
        <is>
          <t>Severity (S)</t>
        </is>
      </c>
      <c r="AF13" s="7" t="inlineStr">
        <is>
          <t>Likelihood (L)</t>
        </is>
      </c>
      <c r="AG13" s="7" t="inlineStr">
        <is>
          <t>Risk score</t>
        </is>
      </c>
      <c r="AH13" s="7" t="inlineStr">
        <is>
          <t>Risk rank</t>
        </is>
      </c>
      <c r="AI13" s="7" t="inlineStr">
        <is>
          <t>Recommendations / actions</t>
        </is>
      </c>
      <c r="AJ13" s="7" t="inlineStr">
        <is>
          <t>Action by</t>
        </is>
      </c>
    </row>
    <row r="14">
      <c r="A14" s="30">
        <f>IF(B14="","",COUNTIF(B$14:B14,"?*"))</f>
        <v/>
      </c>
      <c r="B14" s="4" t="n"/>
      <c r="C14" s="19" t="n"/>
      <c r="D14" s="5">
        <f>IF(OR(B14="",C14=""),"",UPPER(LEFT(C14,1))&amp;LOWER(MID(C14,2,30))&amp;" "&amp;LOWER(LEFT(B14,1))&amp;MID(B14,2,200))</f>
        <v/>
      </c>
      <c r="E14" s="4" t="n"/>
      <c r="F14" s="4" t="n"/>
      <c r="G14" s="4" t="n"/>
      <c r="H14" s="4" t="n"/>
      <c r="I14" s="4" t="n"/>
      <c r="J14" s="4" t="n"/>
      <c r="K14" s="5">
        <f>_xlfn.TEXTJOIN(CHAR(10),TRUE,IF(E14="","","• "&amp;E14),IF(F14="","","• "&amp;F14),IF(G14="","","• "&amp;G14),IF(H14="","","• "&amp;H14),IF(I14="","","• "&amp;I14),IF(J14="","","• "&amp;J14))</f>
        <v/>
      </c>
      <c r="L14" s="4" t="n"/>
      <c r="M14" s="19" t="n"/>
      <c r="N14" s="19" t="n"/>
      <c r="O14" s="30">
        <f>IF(OR(M14="",N14=""),"",INDEX(RiskGrid,6-VALUE(LEFT(M14,1)),VALUE(LEFT(N14,1))))</f>
        <v/>
      </c>
      <c r="P14" s="30">
        <f>IF(O14="","",IF(O14&gt;=BandVH,"Very High",IF(O14&gt;=BandHigh,"High",IF(O14&gt;=BandMed,"Medium","Low"))))</f>
        <v/>
      </c>
      <c r="Q14" s="4" t="n"/>
      <c r="R14" s="19" t="n"/>
      <c r="S14" s="4" t="n"/>
      <c r="T14" s="19" t="n"/>
      <c r="U14" s="4" t="n"/>
      <c r="V14" s="19" t="n"/>
      <c r="W14" s="4" t="n"/>
      <c r="X14" s="19" t="n"/>
      <c r="Y14" s="4" t="n"/>
      <c r="Z14" s="19" t="n"/>
      <c r="AA14" s="4" t="n"/>
      <c r="AB14" s="19" t="n"/>
      <c r="AC14" s="5">
        <f>_xlfn.TEXTJOIN(CHAR(10),TRUE,IF(Q14="","","• "&amp;Q14&amp;IF(R14="Yes","  [IPL]","")),IF(S14="","","• "&amp;S14&amp;IF(T14="Yes","  [IPL]","")),IF(U14="","","• "&amp;U14&amp;IF(V14="Yes","  [IPL]","")),IF(W14="","","• "&amp;W14&amp;IF(X14="Yes","  [IPL]","")),IF(Y14="","","• "&amp;Y14&amp;IF(Z14="Yes","  [IPL]","")),IF(AA14="","","• "&amp;AA14&amp;IF(AB14="Yes","  [IPL]","")))</f>
        <v/>
      </c>
      <c r="AD14" s="30">
        <f>IF(AC14="","",COUNTIF(Q14:AB14,"Yes"))</f>
        <v/>
      </c>
      <c r="AE14" s="19" t="n"/>
      <c r="AF14" s="19" t="n"/>
      <c r="AG14" s="30">
        <f>IF(OR(AE14="",AF14=""),"",INDEX(RiskGrid,6-VALUE(LEFT(AE14,1)),VALUE(LEFT(AF14,1))))</f>
        <v/>
      </c>
      <c r="AH14" s="30">
        <f>IF(AG14="","",IF(AG14&gt;=BandVH,"Very High",IF(AG14&gt;=BandHigh,"High",IF(AG14&gt;=BandMed,"Medium","Low"))))</f>
        <v/>
      </c>
      <c r="AI14" s="4" t="n"/>
      <c r="AJ14" s="4" t="n"/>
    </row>
    <row r="15">
      <c r="A15" s="30">
        <f>IF(B15="","",COUNTIF(B$14:B15,"?*"))</f>
        <v/>
      </c>
      <c r="B15" s="4" t="n"/>
      <c r="C15" s="19" t="n"/>
      <c r="D15" s="5">
        <f>IF(OR(B15="",C15=""),"",UPPER(LEFT(C15,1))&amp;LOWER(MID(C15,2,30))&amp;" "&amp;LOWER(LEFT(B15,1))&amp;MID(B15,2,200))</f>
        <v/>
      </c>
      <c r="E15" s="4" t="n"/>
      <c r="F15" s="4" t="n"/>
      <c r="G15" s="4" t="n"/>
      <c r="H15" s="4" t="n"/>
      <c r="I15" s="4" t="n"/>
      <c r="J15" s="4" t="n"/>
      <c r="K15" s="5">
        <f>_xlfn.TEXTJOIN(CHAR(10),TRUE,IF(E15="","","• "&amp;E15),IF(F15="","","• "&amp;F15),IF(G15="","","• "&amp;G15),IF(H15="","","• "&amp;H15),IF(I15="","","• "&amp;I15),IF(J15="","","• "&amp;J15))</f>
        <v/>
      </c>
      <c r="L15" s="4" t="n"/>
      <c r="M15" s="19" t="n"/>
      <c r="N15" s="19" t="n"/>
      <c r="O15" s="30">
        <f>IF(OR(M15="",N15=""),"",INDEX(RiskGrid,6-VALUE(LEFT(M15,1)),VALUE(LEFT(N15,1))))</f>
        <v/>
      </c>
      <c r="P15" s="30">
        <f>IF(O15="","",IF(O15&gt;=BandVH,"Very High",IF(O15&gt;=BandHigh,"High",IF(O15&gt;=BandMed,"Medium","Low"))))</f>
        <v/>
      </c>
      <c r="Q15" s="4" t="n"/>
      <c r="R15" s="19" t="n"/>
      <c r="S15" s="4" t="n"/>
      <c r="T15" s="19" t="n"/>
      <c r="U15" s="4" t="n"/>
      <c r="V15" s="19" t="n"/>
      <c r="W15" s="4" t="n"/>
      <c r="X15" s="19" t="n"/>
      <c r="Y15" s="4" t="n"/>
      <c r="Z15" s="19" t="n"/>
      <c r="AA15" s="4" t="n"/>
      <c r="AB15" s="19" t="n"/>
      <c r="AC15" s="5">
        <f>_xlfn.TEXTJOIN(CHAR(10),TRUE,IF(Q15="","","• "&amp;Q15&amp;IF(R15="Yes","  [IPL]","")),IF(S15="","","• "&amp;S15&amp;IF(T15="Yes","  [IPL]","")),IF(U15="","","• "&amp;U15&amp;IF(V15="Yes","  [IPL]","")),IF(W15="","","• "&amp;W15&amp;IF(X15="Yes","  [IPL]","")),IF(Y15="","","• "&amp;Y15&amp;IF(Z15="Yes","  [IPL]","")),IF(AA15="","","• "&amp;AA15&amp;IF(AB15="Yes","  [IPL]","")))</f>
        <v/>
      </c>
      <c r="AD15" s="30">
        <f>IF(AC15="","",COUNTIF(Q15:AB15,"Yes"))</f>
        <v/>
      </c>
      <c r="AE15" s="19" t="n"/>
      <c r="AF15" s="19" t="n"/>
      <c r="AG15" s="30">
        <f>IF(OR(AE15="",AF15=""),"",INDEX(RiskGrid,6-VALUE(LEFT(AE15,1)),VALUE(LEFT(AF15,1))))</f>
        <v/>
      </c>
      <c r="AH15" s="30">
        <f>IF(AG15="","",IF(AG15&gt;=BandVH,"Very High",IF(AG15&gt;=BandHigh,"High",IF(AG15&gt;=BandMed,"Medium","Low"))))</f>
        <v/>
      </c>
      <c r="AI15" s="4" t="n"/>
      <c r="AJ15" s="4" t="n"/>
    </row>
    <row r="16">
      <c r="A16" s="30">
        <f>IF(B16="","",COUNTIF(B$14:B16,"?*"))</f>
        <v/>
      </c>
      <c r="B16" s="4" t="n"/>
      <c r="C16" s="19" t="n"/>
      <c r="D16" s="5">
        <f>IF(OR(B16="",C16=""),"",UPPER(LEFT(C16,1))&amp;LOWER(MID(C16,2,30))&amp;" "&amp;LOWER(LEFT(B16,1))&amp;MID(B16,2,200))</f>
        <v/>
      </c>
      <c r="E16" s="4" t="n"/>
      <c r="F16" s="4" t="n"/>
      <c r="G16" s="4" t="n"/>
      <c r="H16" s="4" t="n"/>
      <c r="I16" s="4" t="n"/>
      <c r="J16" s="4" t="n"/>
      <c r="K16" s="5">
        <f>_xlfn.TEXTJOIN(CHAR(10),TRUE,IF(E16="","","• "&amp;E16),IF(F16="","","• "&amp;F16),IF(G16="","","• "&amp;G16),IF(H16="","","• "&amp;H16),IF(I16="","","• "&amp;I16),IF(J16="","","• "&amp;J16))</f>
        <v/>
      </c>
      <c r="L16" s="4" t="n"/>
      <c r="M16" s="19" t="n"/>
      <c r="N16" s="19" t="n"/>
      <c r="O16" s="30">
        <f>IF(OR(M16="",N16=""),"",INDEX(RiskGrid,6-VALUE(LEFT(M16,1)),VALUE(LEFT(N16,1))))</f>
        <v/>
      </c>
      <c r="P16" s="30">
        <f>IF(O16="","",IF(O16&gt;=BandVH,"Very High",IF(O16&gt;=BandHigh,"High",IF(O16&gt;=BandMed,"Medium","Low"))))</f>
        <v/>
      </c>
      <c r="Q16" s="4" t="n"/>
      <c r="R16" s="19" t="n"/>
      <c r="S16" s="4" t="n"/>
      <c r="T16" s="19" t="n"/>
      <c r="U16" s="4" t="n"/>
      <c r="V16" s="19" t="n"/>
      <c r="W16" s="4" t="n"/>
      <c r="X16" s="19" t="n"/>
      <c r="Y16" s="4" t="n"/>
      <c r="Z16" s="19" t="n"/>
      <c r="AA16" s="4" t="n"/>
      <c r="AB16" s="19" t="n"/>
      <c r="AC16" s="5">
        <f>_xlfn.TEXTJOIN(CHAR(10),TRUE,IF(Q16="","","• "&amp;Q16&amp;IF(R16="Yes","  [IPL]","")),IF(S16="","","• "&amp;S16&amp;IF(T16="Yes","  [IPL]","")),IF(U16="","","• "&amp;U16&amp;IF(V16="Yes","  [IPL]","")),IF(W16="","","• "&amp;W16&amp;IF(X16="Yes","  [IPL]","")),IF(Y16="","","• "&amp;Y16&amp;IF(Z16="Yes","  [IPL]","")),IF(AA16="","","• "&amp;AA16&amp;IF(AB16="Yes","  [IPL]","")))</f>
        <v/>
      </c>
      <c r="AD16" s="30">
        <f>IF(AC16="","",COUNTIF(Q16:AB16,"Yes"))</f>
        <v/>
      </c>
      <c r="AE16" s="19" t="n"/>
      <c r="AF16" s="19" t="n"/>
      <c r="AG16" s="30">
        <f>IF(OR(AE16="",AF16=""),"",INDEX(RiskGrid,6-VALUE(LEFT(AE16,1)),VALUE(LEFT(AF16,1))))</f>
        <v/>
      </c>
      <c r="AH16" s="30">
        <f>IF(AG16="","",IF(AG16&gt;=BandVH,"Very High",IF(AG16&gt;=BandHigh,"High",IF(AG16&gt;=BandMed,"Medium","Low"))))</f>
        <v/>
      </c>
      <c r="AI16" s="4" t="n"/>
      <c r="AJ16" s="4" t="n"/>
    </row>
    <row r="17">
      <c r="A17" s="30">
        <f>IF(B17="","",COUNTIF(B$14:B17,"?*"))</f>
        <v/>
      </c>
      <c r="B17" s="4" t="n"/>
      <c r="C17" s="19" t="n"/>
      <c r="D17" s="5">
        <f>IF(OR(B17="",C17=""),"",UPPER(LEFT(C17,1))&amp;LOWER(MID(C17,2,30))&amp;" "&amp;LOWER(LEFT(B17,1))&amp;MID(B17,2,200))</f>
        <v/>
      </c>
      <c r="E17" s="4" t="n"/>
      <c r="F17" s="4" t="n"/>
      <c r="G17" s="4" t="n"/>
      <c r="H17" s="4" t="n"/>
      <c r="I17" s="4" t="n"/>
      <c r="J17" s="4" t="n"/>
      <c r="K17" s="5">
        <f>_xlfn.TEXTJOIN(CHAR(10),TRUE,IF(E17="","","• "&amp;E17),IF(F17="","","• "&amp;F17),IF(G17="","","• "&amp;G17),IF(H17="","","• "&amp;H17),IF(I17="","","• "&amp;I17),IF(J17="","","• "&amp;J17))</f>
        <v/>
      </c>
      <c r="L17" s="4" t="n"/>
      <c r="M17" s="19" t="n"/>
      <c r="N17" s="19" t="n"/>
      <c r="O17" s="30">
        <f>IF(OR(M17="",N17=""),"",INDEX(RiskGrid,6-VALUE(LEFT(M17,1)),VALUE(LEFT(N17,1))))</f>
        <v/>
      </c>
      <c r="P17" s="30">
        <f>IF(O17="","",IF(O17&gt;=BandVH,"Very High",IF(O17&gt;=BandHigh,"High",IF(O17&gt;=BandMed,"Medium","Low"))))</f>
        <v/>
      </c>
      <c r="Q17" s="4" t="n"/>
      <c r="R17" s="19" t="n"/>
      <c r="S17" s="4" t="n"/>
      <c r="T17" s="19" t="n"/>
      <c r="U17" s="4" t="n"/>
      <c r="V17" s="19" t="n"/>
      <c r="W17" s="4" t="n"/>
      <c r="X17" s="19" t="n"/>
      <c r="Y17" s="4" t="n"/>
      <c r="Z17" s="19" t="n"/>
      <c r="AA17" s="4" t="n"/>
      <c r="AB17" s="19" t="n"/>
      <c r="AC17" s="5">
        <f>_xlfn.TEXTJOIN(CHAR(10),TRUE,IF(Q17="","","• "&amp;Q17&amp;IF(R17="Yes","  [IPL]","")),IF(S17="","","• "&amp;S17&amp;IF(T17="Yes","  [IPL]","")),IF(U17="","","• "&amp;U17&amp;IF(V17="Yes","  [IPL]","")),IF(W17="","","• "&amp;W17&amp;IF(X17="Yes","  [IPL]","")),IF(Y17="","","• "&amp;Y17&amp;IF(Z17="Yes","  [IPL]","")),IF(AA17="","","• "&amp;AA17&amp;IF(AB17="Yes","  [IPL]","")))</f>
        <v/>
      </c>
      <c r="AD17" s="30">
        <f>IF(AC17="","",COUNTIF(Q17:AB17,"Yes"))</f>
        <v/>
      </c>
      <c r="AE17" s="19" t="n"/>
      <c r="AF17" s="19" t="n"/>
      <c r="AG17" s="30">
        <f>IF(OR(AE17="",AF17=""),"",INDEX(RiskGrid,6-VALUE(LEFT(AE17,1)),VALUE(LEFT(AF17,1))))</f>
        <v/>
      </c>
      <c r="AH17" s="30">
        <f>IF(AG17="","",IF(AG17&gt;=BandVH,"Very High",IF(AG17&gt;=BandHigh,"High",IF(AG17&gt;=BandMed,"Medium","Low"))))</f>
        <v/>
      </c>
      <c r="AI17" s="4" t="n"/>
      <c r="AJ17" s="4" t="n"/>
    </row>
    <row r="18">
      <c r="A18" s="30">
        <f>IF(B18="","",COUNTIF(B$14:B18,"?*"))</f>
        <v/>
      </c>
      <c r="B18" s="4" t="n"/>
      <c r="C18" s="19" t="n"/>
      <c r="D18" s="5">
        <f>IF(OR(B18="",C18=""),"",UPPER(LEFT(C18,1))&amp;LOWER(MID(C18,2,30))&amp;" "&amp;LOWER(LEFT(B18,1))&amp;MID(B18,2,200))</f>
        <v/>
      </c>
      <c r="E18" s="4" t="n"/>
      <c r="F18" s="4" t="n"/>
      <c r="G18" s="4" t="n"/>
      <c r="H18" s="4" t="n"/>
      <c r="I18" s="4" t="n"/>
      <c r="J18" s="4" t="n"/>
      <c r="K18" s="5">
        <f>_xlfn.TEXTJOIN(CHAR(10),TRUE,IF(E18="","","• "&amp;E18),IF(F18="","","• "&amp;F18),IF(G18="","","• "&amp;G18),IF(H18="","","• "&amp;H18),IF(I18="","","• "&amp;I18),IF(J18="","","• "&amp;J18))</f>
        <v/>
      </c>
      <c r="L18" s="4" t="n"/>
      <c r="M18" s="19" t="n"/>
      <c r="N18" s="19" t="n"/>
      <c r="O18" s="30">
        <f>IF(OR(M18="",N18=""),"",INDEX(RiskGrid,6-VALUE(LEFT(M18,1)),VALUE(LEFT(N18,1))))</f>
        <v/>
      </c>
      <c r="P18" s="30">
        <f>IF(O18="","",IF(O18&gt;=BandVH,"Very High",IF(O18&gt;=BandHigh,"High",IF(O18&gt;=BandMed,"Medium","Low"))))</f>
        <v/>
      </c>
      <c r="Q18" s="4" t="n"/>
      <c r="R18" s="19" t="n"/>
      <c r="S18" s="4" t="n"/>
      <c r="T18" s="19" t="n"/>
      <c r="U18" s="4" t="n"/>
      <c r="V18" s="19" t="n"/>
      <c r="W18" s="4" t="n"/>
      <c r="X18" s="19" t="n"/>
      <c r="Y18" s="4" t="n"/>
      <c r="Z18" s="19" t="n"/>
      <c r="AA18" s="4" t="n"/>
      <c r="AB18" s="19" t="n"/>
      <c r="AC18" s="5">
        <f>_xlfn.TEXTJOIN(CHAR(10),TRUE,IF(Q18="","","• "&amp;Q18&amp;IF(R18="Yes","  [IPL]","")),IF(S18="","","• "&amp;S18&amp;IF(T18="Yes","  [IPL]","")),IF(U18="","","• "&amp;U18&amp;IF(V18="Yes","  [IPL]","")),IF(W18="","","• "&amp;W18&amp;IF(X18="Yes","  [IPL]","")),IF(Y18="","","• "&amp;Y18&amp;IF(Z18="Yes","  [IPL]","")),IF(AA18="","","• "&amp;AA18&amp;IF(AB18="Yes","  [IPL]","")))</f>
        <v/>
      </c>
      <c r="AD18" s="30">
        <f>IF(AC18="","",COUNTIF(Q18:AB18,"Yes"))</f>
        <v/>
      </c>
      <c r="AE18" s="19" t="n"/>
      <c r="AF18" s="19" t="n"/>
      <c r="AG18" s="30">
        <f>IF(OR(AE18="",AF18=""),"",INDEX(RiskGrid,6-VALUE(LEFT(AE18,1)),VALUE(LEFT(AF18,1))))</f>
        <v/>
      </c>
      <c r="AH18" s="30">
        <f>IF(AG18="","",IF(AG18&gt;=BandVH,"Very High",IF(AG18&gt;=BandHigh,"High",IF(AG18&gt;=BandMed,"Medium","Low"))))</f>
        <v/>
      </c>
      <c r="AI18" s="4" t="n"/>
      <c r="AJ18" s="4" t="n"/>
    </row>
    <row r="19">
      <c r="A19" s="30">
        <f>IF(B19="","",COUNTIF(B$14:B19,"?*"))</f>
        <v/>
      </c>
      <c r="B19" s="4" t="n"/>
      <c r="C19" s="19" t="n"/>
      <c r="D19" s="5">
        <f>IF(OR(B19="",C19=""),"",UPPER(LEFT(C19,1))&amp;LOWER(MID(C19,2,30))&amp;" "&amp;LOWER(LEFT(B19,1))&amp;MID(B19,2,200))</f>
        <v/>
      </c>
      <c r="E19" s="4" t="n"/>
      <c r="F19" s="4" t="n"/>
      <c r="G19" s="4" t="n"/>
      <c r="H19" s="4" t="n"/>
      <c r="I19" s="4" t="n"/>
      <c r="J19" s="4" t="n"/>
      <c r="K19" s="5">
        <f>_xlfn.TEXTJOIN(CHAR(10),TRUE,IF(E19="","","• "&amp;E19),IF(F19="","","• "&amp;F19),IF(G19="","","• "&amp;G19),IF(H19="","","• "&amp;H19),IF(I19="","","• "&amp;I19),IF(J19="","","• "&amp;J19))</f>
        <v/>
      </c>
      <c r="L19" s="4" t="n"/>
      <c r="M19" s="19" t="n"/>
      <c r="N19" s="19" t="n"/>
      <c r="O19" s="30">
        <f>IF(OR(M19="",N19=""),"",INDEX(RiskGrid,6-VALUE(LEFT(M19,1)),VALUE(LEFT(N19,1))))</f>
        <v/>
      </c>
      <c r="P19" s="30">
        <f>IF(O19="","",IF(O19&gt;=BandVH,"Very High",IF(O19&gt;=BandHigh,"High",IF(O19&gt;=BandMed,"Medium","Low"))))</f>
        <v/>
      </c>
      <c r="Q19" s="4" t="n"/>
      <c r="R19" s="19" t="n"/>
      <c r="S19" s="4" t="n"/>
      <c r="T19" s="19" t="n"/>
      <c r="U19" s="4" t="n"/>
      <c r="V19" s="19" t="n"/>
      <c r="W19" s="4" t="n"/>
      <c r="X19" s="19" t="n"/>
      <c r="Y19" s="4" t="n"/>
      <c r="Z19" s="19" t="n"/>
      <c r="AA19" s="4" t="n"/>
      <c r="AB19" s="19" t="n"/>
      <c r="AC19" s="5">
        <f>_xlfn.TEXTJOIN(CHAR(10),TRUE,IF(Q19="","","• "&amp;Q19&amp;IF(R19="Yes","  [IPL]","")),IF(S19="","","• "&amp;S19&amp;IF(T19="Yes","  [IPL]","")),IF(U19="","","• "&amp;U19&amp;IF(V19="Yes","  [IPL]","")),IF(W19="","","• "&amp;W19&amp;IF(X19="Yes","  [IPL]","")),IF(Y19="","","• "&amp;Y19&amp;IF(Z19="Yes","  [IPL]","")),IF(AA19="","","• "&amp;AA19&amp;IF(AB19="Yes","  [IPL]","")))</f>
        <v/>
      </c>
      <c r="AD19" s="30">
        <f>IF(AC19="","",COUNTIF(Q19:AB19,"Yes"))</f>
        <v/>
      </c>
      <c r="AE19" s="19" t="n"/>
      <c r="AF19" s="19" t="n"/>
      <c r="AG19" s="30">
        <f>IF(OR(AE19="",AF19=""),"",INDEX(RiskGrid,6-VALUE(LEFT(AE19,1)),VALUE(LEFT(AF19,1))))</f>
        <v/>
      </c>
      <c r="AH19" s="30">
        <f>IF(AG19="","",IF(AG19&gt;=BandVH,"Very High",IF(AG19&gt;=BandHigh,"High",IF(AG19&gt;=BandMed,"Medium","Low"))))</f>
        <v/>
      </c>
      <c r="AI19" s="4" t="n"/>
      <c r="AJ19" s="4" t="n"/>
    </row>
    <row r="20">
      <c r="A20" s="30">
        <f>IF(B20="","",COUNTIF(B$14:B20,"?*"))</f>
        <v/>
      </c>
      <c r="B20" s="4" t="n"/>
      <c r="C20" s="19" t="n"/>
      <c r="D20" s="5">
        <f>IF(OR(B20="",C20=""),"",UPPER(LEFT(C20,1))&amp;LOWER(MID(C20,2,30))&amp;" "&amp;LOWER(LEFT(B20,1))&amp;MID(B20,2,200))</f>
        <v/>
      </c>
      <c r="E20" s="4" t="n"/>
      <c r="F20" s="4" t="n"/>
      <c r="G20" s="4" t="n"/>
      <c r="H20" s="4" t="n"/>
      <c r="I20" s="4" t="n"/>
      <c r="J20" s="4" t="n"/>
      <c r="K20" s="5">
        <f>_xlfn.TEXTJOIN(CHAR(10),TRUE,IF(E20="","","• "&amp;E20),IF(F20="","","• "&amp;F20),IF(G20="","","• "&amp;G20),IF(H20="","","• "&amp;H20),IF(I20="","","• "&amp;I20),IF(J20="","","• "&amp;J20))</f>
        <v/>
      </c>
      <c r="L20" s="4" t="n"/>
      <c r="M20" s="19" t="n"/>
      <c r="N20" s="19" t="n"/>
      <c r="O20" s="30">
        <f>IF(OR(M20="",N20=""),"",INDEX(RiskGrid,6-VALUE(LEFT(M20,1)),VALUE(LEFT(N20,1))))</f>
        <v/>
      </c>
      <c r="P20" s="30">
        <f>IF(O20="","",IF(O20&gt;=BandVH,"Very High",IF(O20&gt;=BandHigh,"High",IF(O20&gt;=BandMed,"Medium","Low"))))</f>
        <v/>
      </c>
      <c r="Q20" s="4" t="n"/>
      <c r="R20" s="19" t="n"/>
      <c r="S20" s="4" t="n"/>
      <c r="T20" s="19" t="n"/>
      <c r="U20" s="4" t="n"/>
      <c r="V20" s="19" t="n"/>
      <c r="W20" s="4" t="n"/>
      <c r="X20" s="19" t="n"/>
      <c r="Y20" s="4" t="n"/>
      <c r="Z20" s="19" t="n"/>
      <c r="AA20" s="4" t="n"/>
      <c r="AB20" s="19" t="n"/>
      <c r="AC20" s="5">
        <f>_xlfn.TEXTJOIN(CHAR(10),TRUE,IF(Q20="","","• "&amp;Q20&amp;IF(R20="Yes","  [IPL]","")),IF(S20="","","• "&amp;S20&amp;IF(T20="Yes","  [IPL]","")),IF(U20="","","• "&amp;U20&amp;IF(V20="Yes","  [IPL]","")),IF(W20="","","• "&amp;W20&amp;IF(X20="Yes","  [IPL]","")),IF(Y20="","","• "&amp;Y20&amp;IF(Z20="Yes","  [IPL]","")),IF(AA20="","","• "&amp;AA20&amp;IF(AB20="Yes","  [IPL]","")))</f>
        <v/>
      </c>
      <c r="AD20" s="30">
        <f>IF(AC20="","",COUNTIF(Q20:AB20,"Yes"))</f>
        <v/>
      </c>
      <c r="AE20" s="19" t="n"/>
      <c r="AF20" s="19" t="n"/>
      <c r="AG20" s="30">
        <f>IF(OR(AE20="",AF20=""),"",INDEX(RiskGrid,6-VALUE(LEFT(AE20,1)),VALUE(LEFT(AF20,1))))</f>
        <v/>
      </c>
      <c r="AH20" s="30">
        <f>IF(AG20="","",IF(AG20&gt;=BandVH,"Very High",IF(AG20&gt;=BandHigh,"High",IF(AG20&gt;=BandMed,"Medium","Low"))))</f>
        <v/>
      </c>
      <c r="AI20" s="4" t="n"/>
      <c r="AJ20" s="4" t="n"/>
    </row>
    <row r="21">
      <c r="A21" s="30">
        <f>IF(B21="","",COUNTIF(B$14:B21,"?*"))</f>
        <v/>
      </c>
      <c r="B21" s="4" t="n"/>
      <c r="C21" s="19" t="n"/>
      <c r="D21" s="5">
        <f>IF(OR(B21="",C21=""),"",UPPER(LEFT(C21,1))&amp;LOWER(MID(C21,2,30))&amp;" "&amp;LOWER(LEFT(B21,1))&amp;MID(B21,2,200))</f>
        <v/>
      </c>
      <c r="E21" s="4" t="n"/>
      <c r="F21" s="4" t="n"/>
      <c r="G21" s="4" t="n"/>
      <c r="H21" s="4" t="n"/>
      <c r="I21" s="4" t="n"/>
      <c r="J21" s="4" t="n"/>
      <c r="K21" s="5">
        <f>_xlfn.TEXTJOIN(CHAR(10),TRUE,IF(E21="","","• "&amp;E21),IF(F21="","","• "&amp;F21),IF(G21="","","• "&amp;G21),IF(H21="","","• "&amp;H21),IF(I21="","","• "&amp;I21),IF(J21="","","• "&amp;J21))</f>
        <v/>
      </c>
      <c r="L21" s="4" t="n"/>
      <c r="M21" s="19" t="n"/>
      <c r="N21" s="19" t="n"/>
      <c r="O21" s="30">
        <f>IF(OR(M21="",N21=""),"",INDEX(RiskGrid,6-VALUE(LEFT(M21,1)),VALUE(LEFT(N21,1))))</f>
        <v/>
      </c>
      <c r="P21" s="30">
        <f>IF(O21="","",IF(O21&gt;=BandVH,"Very High",IF(O21&gt;=BandHigh,"High",IF(O21&gt;=BandMed,"Medium","Low"))))</f>
        <v/>
      </c>
      <c r="Q21" s="4" t="n"/>
      <c r="R21" s="19" t="n"/>
      <c r="S21" s="4" t="n"/>
      <c r="T21" s="19" t="n"/>
      <c r="U21" s="4" t="n"/>
      <c r="V21" s="19" t="n"/>
      <c r="W21" s="4" t="n"/>
      <c r="X21" s="19" t="n"/>
      <c r="Y21" s="4" t="n"/>
      <c r="Z21" s="19" t="n"/>
      <c r="AA21" s="4" t="n"/>
      <c r="AB21" s="19" t="n"/>
      <c r="AC21" s="5">
        <f>_xlfn.TEXTJOIN(CHAR(10),TRUE,IF(Q21="","","• "&amp;Q21&amp;IF(R21="Yes","  [IPL]","")),IF(S21="","","• "&amp;S21&amp;IF(T21="Yes","  [IPL]","")),IF(U21="","","• "&amp;U21&amp;IF(V21="Yes","  [IPL]","")),IF(W21="","","• "&amp;W21&amp;IF(X21="Yes","  [IPL]","")),IF(Y21="","","• "&amp;Y21&amp;IF(Z21="Yes","  [IPL]","")),IF(AA21="","","• "&amp;AA21&amp;IF(AB21="Yes","  [IPL]","")))</f>
        <v/>
      </c>
      <c r="AD21" s="30">
        <f>IF(AC21="","",COUNTIF(Q21:AB21,"Yes"))</f>
        <v/>
      </c>
      <c r="AE21" s="19" t="n"/>
      <c r="AF21" s="19" t="n"/>
      <c r="AG21" s="30">
        <f>IF(OR(AE21="",AF21=""),"",INDEX(RiskGrid,6-VALUE(LEFT(AE21,1)),VALUE(LEFT(AF21,1))))</f>
        <v/>
      </c>
      <c r="AH21" s="30">
        <f>IF(AG21="","",IF(AG21&gt;=BandVH,"Very High",IF(AG21&gt;=BandHigh,"High",IF(AG21&gt;=BandMed,"Medium","Low"))))</f>
        <v/>
      </c>
      <c r="AI21" s="4" t="n"/>
      <c r="AJ21" s="4" t="n"/>
    </row>
    <row r="22">
      <c r="A22" s="30">
        <f>IF(B22="","",COUNTIF(B$14:B22,"?*"))</f>
        <v/>
      </c>
      <c r="B22" s="4" t="n"/>
      <c r="C22" s="19" t="n"/>
      <c r="D22" s="5">
        <f>IF(OR(B22="",C22=""),"",UPPER(LEFT(C22,1))&amp;LOWER(MID(C22,2,30))&amp;" "&amp;LOWER(LEFT(B22,1))&amp;MID(B22,2,200))</f>
        <v/>
      </c>
      <c r="E22" s="4" t="n"/>
      <c r="F22" s="4" t="n"/>
      <c r="G22" s="4" t="n"/>
      <c r="H22" s="4" t="n"/>
      <c r="I22" s="4" t="n"/>
      <c r="J22" s="4" t="n"/>
      <c r="K22" s="5">
        <f>_xlfn.TEXTJOIN(CHAR(10),TRUE,IF(E22="","","• "&amp;E22),IF(F22="","","• "&amp;F22),IF(G22="","","• "&amp;G22),IF(H22="","","• "&amp;H22),IF(I22="","","• "&amp;I22),IF(J22="","","• "&amp;J22))</f>
        <v/>
      </c>
      <c r="L22" s="4" t="n"/>
      <c r="M22" s="19" t="n"/>
      <c r="N22" s="19" t="n"/>
      <c r="O22" s="30">
        <f>IF(OR(M22="",N22=""),"",INDEX(RiskGrid,6-VALUE(LEFT(M22,1)),VALUE(LEFT(N22,1))))</f>
        <v/>
      </c>
      <c r="P22" s="30">
        <f>IF(O22="","",IF(O22&gt;=BandVH,"Very High",IF(O22&gt;=BandHigh,"High",IF(O22&gt;=BandMed,"Medium","Low"))))</f>
        <v/>
      </c>
      <c r="Q22" s="4" t="n"/>
      <c r="R22" s="19" t="n"/>
      <c r="S22" s="4" t="n"/>
      <c r="T22" s="19" t="n"/>
      <c r="U22" s="4" t="n"/>
      <c r="V22" s="19" t="n"/>
      <c r="W22" s="4" t="n"/>
      <c r="X22" s="19" t="n"/>
      <c r="Y22" s="4" t="n"/>
      <c r="Z22" s="19" t="n"/>
      <c r="AA22" s="4" t="n"/>
      <c r="AB22" s="19" t="n"/>
      <c r="AC22" s="5">
        <f>_xlfn.TEXTJOIN(CHAR(10),TRUE,IF(Q22="","","• "&amp;Q22&amp;IF(R22="Yes","  [IPL]","")),IF(S22="","","• "&amp;S22&amp;IF(T22="Yes","  [IPL]","")),IF(U22="","","• "&amp;U22&amp;IF(V22="Yes","  [IPL]","")),IF(W22="","","• "&amp;W22&amp;IF(X22="Yes","  [IPL]","")),IF(Y22="","","• "&amp;Y22&amp;IF(Z22="Yes","  [IPL]","")),IF(AA22="","","• "&amp;AA22&amp;IF(AB22="Yes","  [IPL]","")))</f>
        <v/>
      </c>
      <c r="AD22" s="30">
        <f>IF(AC22="","",COUNTIF(Q22:AB22,"Yes"))</f>
        <v/>
      </c>
      <c r="AE22" s="19" t="n"/>
      <c r="AF22" s="19" t="n"/>
      <c r="AG22" s="30">
        <f>IF(OR(AE22="",AF22=""),"",INDEX(RiskGrid,6-VALUE(LEFT(AE22,1)),VALUE(LEFT(AF22,1))))</f>
        <v/>
      </c>
      <c r="AH22" s="30">
        <f>IF(AG22="","",IF(AG22&gt;=BandVH,"Very High",IF(AG22&gt;=BandHigh,"High",IF(AG22&gt;=BandMed,"Medium","Low"))))</f>
        <v/>
      </c>
      <c r="AI22" s="4" t="n"/>
      <c r="AJ22" s="4" t="n"/>
    </row>
    <row r="23">
      <c r="A23" s="30">
        <f>IF(B23="","",COUNTIF(B$14:B23,"?*"))</f>
        <v/>
      </c>
      <c r="B23" s="4" t="n"/>
      <c r="C23" s="19" t="n"/>
      <c r="D23" s="5">
        <f>IF(OR(B23="",C23=""),"",UPPER(LEFT(C23,1))&amp;LOWER(MID(C23,2,30))&amp;" "&amp;LOWER(LEFT(B23,1))&amp;MID(B23,2,200))</f>
        <v/>
      </c>
      <c r="E23" s="4" t="n"/>
      <c r="F23" s="4" t="n"/>
      <c r="G23" s="4" t="n"/>
      <c r="H23" s="4" t="n"/>
      <c r="I23" s="4" t="n"/>
      <c r="J23" s="4" t="n"/>
      <c r="K23" s="5">
        <f>_xlfn.TEXTJOIN(CHAR(10),TRUE,IF(E23="","","• "&amp;E23),IF(F23="","","• "&amp;F23),IF(G23="","","• "&amp;G23),IF(H23="","","• "&amp;H23),IF(I23="","","• "&amp;I23),IF(J23="","","• "&amp;J23))</f>
        <v/>
      </c>
      <c r="L23" s="4" t="n"/>
      <c r="M23" s="19" t="n"/>
      <c r="N23" s="19" t="n"/>
      <c r="O23" s="30">
        <f>IF(OR(M23="",N23=""),"",INDEX(RiskGrid,6-VALUE(LEFT(M23,1)),VALUE(LEFT(N23,1))))</f>
        <v/>
      </c>
      <c r="P23" s="30">
        <f>IF(O23="","",IF(O23&gt;=BandVH,"Very High",IF(O23&gt;=BandHigh,"High",IF(O23&gt;=BandMed,"Medium","Low"))))</f>
        <v/>
      </c>
      <c r="Q23" s="4" t="n"/>
      <c r="R23" s="19" t="n"/>
      <c r="S23" s="4" t="n"/>
      <c r="T23" s="19" t="n"/>
      <c r="U23" s="4" t="n"/>
      <c r="V23" s="19" t="n"/>
      <c r="W23" s="4" t="n"/>
      <c r="X23" s="19" t="n"/>
      <c r="Y23" s="4" t="n"/>
      <c r="Z23" s="19" t="n"/>
      <c r="AA23" s="4" t="n"/>
      <c r="AB23" s="19" t="n"/>
      <c r="AC23" s="5">
        <f>_xlfn.TEXTJOIN(CHAR(10),TRUE,IF(Q23="","","• "&amp;Q23&amp;IF(R23="Yes","  [IPL]","")),IF(S23="","","• "&amp;S23&amp;IF(T23="Yes","  [IPL]","")),IF(U23="","","• "&amp;U23&amp;IF(V23="Yes","  [IPL]","")),IF(W23="","","• "&amp;W23&amp;IF(X23="Yes","  [IPL]","")),IF(Y23="","","• "&amp;Y23&amp;IF(Z23="Yes","  [IPL]","")),IF(AA23="","","• "&amp;AA23&amp;IF(AB23="Yes","  [IPL]","")))</f>
        <v/>
      </c>
      <c r="AD23" s="30">
        <f>IF(AC23="","",COUNTIF(Q23:AB23,"Yes"))</f>
        <v/>
      </c>
      <c r="AE23" s="19" t="n"/>
      <c r="AF23" s="19" t="n"/>
      <c r="AG23" s="30">
        <f>IF(OR(AE23="",AF23=""),"",INDEX(RiskGrid,6-VALUE(LEFT(AE23,1)),VALUE(LEFT(AF23,1))))</f>
        <v/>
      </c>
      <c r="AH23" s="30">
        <f>IF(AG23="","",IF(AG23&gt;=BandVH,"Very High",IF(AG23&gt;=BandHigh,"High",IF(AG23&gt;=BandMed,"Medium","Low"))))</f>
        <v/>
      </c>
      <c r="AI23" s="4" t="n"/>
      <c r="AJ23" s="4" t="n"/>
    </row>
    <row r="24">
      <c r="A24" s="30">
        <f>IF(B24="","",COUNTIF(B$14:B24,"?*"))</f>
        <v/>
      </c>
      <c r="B24" s="4" t="n"/>
      <c r="C24" s="19" t="n"/>
      <c r="D24" s="5">
        <f>IF(OR(B24="",C24=""),"",UPPER(LEFT(C24,1))&amp;LOWER(MID(C24,2,30))&amp;" "&amp;LOWER(LEFT(B24,1))&amp;MID(B24,2,200))</f>
        <v/>
      </c>
      <c r="E24" s="4" t="n"/>
      <c r="F24" s="4" t="n"/>
      <c r="G24" s="4" t="n"/>
      <c r="H24" s="4" t="n"/>
      <c r="I24" s="4" t="n"/>
      <c r="J24" s="4" t="n"/>
      <c r="K24" s="5">
        <f>_xlfn.TEXTJOIN(CHAR(10),TRUE,IF(E24="","","• "&amp;E24),IF(F24="","","• "&amp;F24),IF(G24="","","• "&amp;G24),IF(H24="","","• "&amp;H24),IF(I24="","","• "&amp;I24),IF(J24="","","• "&amp;J24))</f>
        <v/>
      </c>
      <c r="L24" s="4" t="n"/>
      <c r="M24" s="19" t="n"/>
      <c r="N24" s="19" t="n"/>
      <c r="O24" s="30">
        <f>IF(OR(M24="",N24=""),"",INDEX(RiskGrid,6-VALUE(LEFT(M24,1)),VALUE(LEFT(N24,1))))</f>
        <v/>
      </c>
      <c r="P24" s="30">
        <f>IF(O24="","",IF(O24&gt;=BandVH,"Very High",IF(O24&gt;=BandHigh,"High",IF(O24&gt;=BandMed,"Medium","Low"))))</f>
        <v/>
      </c>
      <c r="Q24" s="4" t="n"/>
      <c r="R24" s="19" t="n"/>
      <c r="S24" s="4" t="n"/>
      <c r="T24" s="19" t="n"/>
      <c r="U24" s="4" t="n"/>
      <c r="V24" s="19" t="n"/>
      <c r="W24" s="4" t="n"/>
      <c r="X24" s="19" t="n"/>
      <c r="Y24" s="4" t="n"/>
      <c r="Z24" s="19" t="n"/>
      <c r="AA24" s="4" t="n"/>
      <c r="AB24" s="19" t="n"/>
      <c r="AC24" s="5">
        <f>_xlfn.TEXTJOIN(CHAR(10),TRUE,IF(Q24="","","• "&amp;Q24&amp;IF(R24="Yes","  [IPL]","")),IF(S24="","","• "&amp;S24&amp;IF(T24="Yes","  [IPL]","")),IF(U24="","","• "&amp;U24&amp;IF(V24="Yes","  [IPL]","")),IF(W24="","","• "&amp;W24&amp;IF(X24="Yes","  [IPL]","")),IF(Y24="","","• "&amp;Y24&amp;IF(Z24="Yes","  [IPL]","")),IF(AA24="","","• "&amp;AA24&amp;IF(AB24="Yes","  [IPL]","")))</f>
        <v/>
      </c>
      <c r="AD24" s="30">
        <f>IF(AC24="","",COUNTIF(Q24:AB24,"Yes"))</f>
        <v/>
      </c>
      <c r="AE24" s="19" t="n"/>
      <c r="AF24" s="19" t="n"/>
      <c r="AG24" s="30">
        <f>IF(OR(AE24="",AF24=""),"",INDEX(RiskGrid,6-VALUE(LEFT(AE24,1)),VALUE(LEFT(AF24,1))))</f>
        <v/>
      </c>
      <c r="AH24" s="30">
        <f>IF(AG24="","",IF(AG24&gt;=BandVH,"Very High",IF(AG24&gt;=BandHigh,"High",IF(AG24&gt;=BandMed,"Medium","Low"))))</f>
        <v/>
      </c>
      <c r="AI24" s="4" t="n"/>
      <c r="AJ24" s="4" t="n"/>
    </row>
    <row r="25">
      <c r="A25" s="30">
        <f>IF(B25="","",COUNTIF(B$14:B25,"?*"))</f>
        <v/>
      </c>
      <c r="B25" s="4" t="n"/>
      <c r="C25" s="19" t="n"/>
      <c r="D25" s="5">
        <f>IF(OR(B25="",C25=""),"",UPPER(LEFT(C25,1))&amp;LOWER(MID(C25,2,30))&amp;" "&amp;LOWER(LEFT(B25,1))&amp;MID(B25,2,200))</f>
        <v/>
      </c>
      <c r="E25" s="4" t="n"/>
      <c r="F25" s="4" t="n"/>
      <c r="G25" s="4" t="n"/>
      <c r="H25" s="4" t="n"/>
      <c r="I25" s="4" t="n"/>
      <c r="J25" s="4" t="n"/>
      <c r="K25" s="5">
        <f>_xlfn.TEXTJOIN(CHAR(10),TRUE,IF(E25="","","• "&amp;E25),IF(F25="","","• "&amp;F25),IF(G25="","","• "&amp;G25),IF(H25="","","• "&amp;H25),IF(I25="","","• "&amp;I25),IF(J25="","","• "&amp;J25))</f>
        <v/>
      </c>
      <c r="L25" s="4" t="n"/>
      <c r="M25" s="19" t="n"/>
      <c r="N25" s="19" t="n"/>
      <c r="O25" s="30">
        <f>IF(OR(M25="",N25=""),"",INDEX(RiskGrid,6-VALUE(LEFT(M25,1)),VALUE(LEFT(N25,1))))</f>
        <v/>
      </c>
      <c r="P25" s="30">
        <f>IF(O25="","",IF(O25&gt;=BandVH,"Very High",IF(O25&gt;=BandHigh,"High",IF(O25&gt;=BandMed,"Medium","Low"))))</f>
        <v/>
      </c>
      <c r="Q25" s="4" t="n"/>
      <c r="R25" s="19" t="n"/>
      <c r="S25" s="4" t="n"/>
      <c r="T25" s="19" t="n"/>
      <c r="U25" s="4" t="n"/>
      <c r="V25" s="19" t="n"/>
      <c r="W25" s="4" t="n"/>
      <c r="X25" s="19" t="n"/>
      <c r="Y25" s="4" t="n"/>
      <c r="Z25" s="19" t="n"/>
      <c r="AA25" s="4" t="n"/>
      <c r="AB25" s="19" t="n"/>
      <c r="AC25" s="5">
        <f>_xlfn.TEXTJOIN(CHAR(10),TRUE,IF(Q25="","","• "&amp;Q25&amp;IF(R25="Yes","  [IPL]","")),IF(S25="","","• "&amp;S25&amp;IF(T25="Yes","  [IPL]","")),IF(U25="","","• "&amp;U25&amp;IF(V25="Yes","  [IPL]","")),IF(W25="","","• "&amp;W25&amp;IF(X25="Yes","  [IPL]","")),IF(Y25="","","• "&amp;Y25&amp;IF(Z25="Yes","  [IPL]","")),IF(AA25="","","• "&amp;AA25&amp;IF(AB25="Yes","  [IPL]","")))</f>
        <v/>
      </c>
      <c r="AD25" s="30">
        <f>IF(AC25="","",COUNTIF(Q25:AB25,"Yes"))</f>
        <v/>
      </c>
      <c r="AE25" s="19" t="n"/>
      <c r="AF25" s="19" t="n"/>
      <c r="AG25" s="30">
        <f>IF(OR(AE25="",AF25=""),"",INDEX(RiskGrid,6-VALUE(LEFT(AE25,1)),VALUE(LEFT(AF25,1))))</f>
        <v/>
      </c>
      <c r="AH25" s="30">
        <f>IF(AG25="","",IF(AG25&gt;=BandVH,"Very High",IF(AG25&gt;=BandHigh,"High",IF(AG25&gt;=BandMed,"Medium","Low"))))</f>
        <v/>
      </c>
      <c r="AI25" s="4" t="n"/>
      <c r="AJ25" s="4" t="n"/>
    </row>
    <row r="26">
      <c r="A26" s="30">
        <f>IF(B26="","",COUNTIF(B$14:B26,"?*"))</f>
        <v/>
      </c>
      <c r="B26" s="4" t="n"/>
      <c r="C26" s="19" t="n"/>
      <c r="D26" s="5">
        <f>IF(OR(B26="",C26=""),"",UPPER(LEFT(C26,1))&amp;LOWER(MID(C26,2,30))&amp;" "&amp;LOWER(LEFT(B26,1))&amp;MID(B26,2,200))</f>
        <v/>
      </c>
      <c r="E26" s="4" t="n"/>
      <c r="F26" s="4" t="n"/>
      <c r="G26" s="4" t="n"/>
      <c r="H26" s="4" t="n"/>
      <c r="I26" s="4" t="n"/>
      <c r="J26" s="4" t="n"/>
      <c r="K26" s="5">
        <f>_xlfn.TEXTJOIN(CHAR(10),TRUE,IF(E26="","","• "&amp;E26),IF(F26="","","• "&amp;F26),IF(G26="","","• "&amp;G26),IF(H26="","","• "&amp;H26),IF(I26="","","• "&amp;I26),IF(J26="","","• "&amp;J26))</f>
        <v/>
      </c>
      <c r="L26" s="4" t="n"/>
      <c r="M26" s="19" t="n"/>
      <c r="N26" s="19" t="n"/>
      <c r="O26" s="30">
        <f>IF(OR(M26="",N26=""),"",INDEX(RiskGrid,6-VALUE(LEFT(M26,1)),VALUE(LEFT(N26,1))))</f>
        <v/>
      </c>
      <c r="P26" s="30">
        <f>IF(O26="","",IF(O26&gt;=BandVH,"Very High",IF(O26&gt;=BandHigh,"High",IF(O26&gt;=BandMed,"Medium","Low"))))</f>
        <v/>
      </c>
      <c r="Q26" s="4" t="n"/>
      <c r="R26" s="19" t="n"/>
      <c r="S26" s="4" t="n"/>
      <c r="T26" s="19" t="n"/>
      <c r="U26" s="4" t="n"/>
      <c r="V26" s="19" t="n"/>
      <c r="W26" s="4" t="n"/>
      <c r="X26" s="19" t="n"/>
      <c r="Y26" s="4" t="n"/>
      <c r="Z26" s="19" t="n"/>
      <c r="AA26" s="4" t="n"/>
      <c r="AB26" s="19" t="n"/>
      <c r="AC26" s="5">
        <f>_xlfn.TEXTJOIN(CHAR(10),TRUE,IF(Q26="","","• "&amp;Q26&amp;IF(R26="Yes","  [IPL]","")),IF(S26="","","• "&amp;S26&amp;IF(T26="Yes","  [IPL]","")),IF(U26="","","• "&amp;U26&amp;IF(V26="Yes","  [IPL]","")),IF(W26="","","• "&amp;W26&amp;IF(X26="Yes","  [IPL]","")),IF(Y26="","","• "&amp;Y26&amp;IF(Z26="Yes","  [IPL]","")),IF(AA26="","","• "&amp;AA26&amp;IF(AB26="Yes","  [IPL]","")))</f>
        <v/>
      </c>
      <c r="AD26" s="30">
        <f>IF(AC26="","",COUNTIF(Q26:AB26,"Yes"))</f>
        <v/>
      </c>
      <c r="AE26" s="19" t="n"/>
      <c r="AF26" s="19" t="n"/>
      <c r="AG26" s="30">
        <f>IF(OR(AE26="",AF26=""),"",INDEX(RiskGrid,6-VALUE(LEFT(AE26,1)),VALUE(LEFT(AF26,1))))</f>
        <v/>
      </c>
      <c r="AH26" s="30">
        <f>IF(AG26="","",IF(AG26&gt;=BandVH,"Very High",IF(AG26&gt;=BandHigh,"High",IF(AG26&gt;=BandMed,"Medium","Low"))))</f>
        <v/>
      </c>
      <c r="AI26" s="4" t="n"/>
      <c r="AJ26" s="4" t="n"/>
    </row>
    <row r="27">
      <c r="A27" s="30">
        <f>IF(B27="","",COUNTIF(B$14:B27,"?*"))</f>
        <v/>
      </c>
      <c r="B27" s="4" t="n"/>
      <c r="C27" s="19" t="n"/>
      <c r="D27" s="5">
        <f>IF(OR(B27="",C27=""),"",UPPER(LEFT(C27,1))&amp;LOWER(MID(C27,2,30))&amp;" "&amp;LOWER(LEFT(B27,1))&amp;MID(B27,2,200))</f>
        <v/>
      </c>
      <c r="E27" s="4" t="n"/>
      <c r="F27" s="4" t="n"/>
      <c r="G27" s="4" t="n"/>
      <c r="H27" s="4" t="n"/>
      <c r="I27" s="4" t="n"/>
      <c r="J27" s="4" t="n"/>
      <c r="K27" s="5">
        <f>_xlfn.TEXTJOIN(CHAR(10),TRUE,IF(E27="","","• "&amp;E27),IF(F27="","","• "&amp;F27),IF(G27="","","• "&amp;G27),IF(H27="","","• "&amp;H27),IF(I27="","","• "&amp;I27),IF(J27="","","• "&amp;J27))</f>
        <v/>
      </c>
      <c r="L27" s="4" t="n"/>
      <c r="M27" s="19" t="n"/>
      <c r="N27" s="19" t="n"/>
      <c r="O27" s="30">
        <f>IF(OR(M27="",N27=""),"",INDEX(RiskGrid,6-VALUE(LEFT(M27,1)),VALUE(LEFT(N27,1))))</f>
        <v/>
      </c>
      <c r="P27" s="30">
        <f>IF(O27="","",IF(O27&gt;=BandVH,"Very High",IF(O27&gt;=BandHigh,"High",IF(O27&gt;=BandMed,"Medium","Low"))))</f>
        <v/>
      </c>
      <c r="Q27" s="4" t="n"/>
      <c r="R27" s="19" t="n"/>
      <c r="S27" s="4" t="n"/>
      <c r="T27" s="19" t="n"/>
      <c r="U27" s="4" t="n"/>
      <c r="V27" s="19" t="n"/>
      <c r="W27" s="4" t="n"/>
      <c r="X27" s="19" t="n"/>
      <c r="Y27" s="4" t="n"/>
      <c r="Z27" s="19" t="n"/>
      <c r="AA27" s="4" t="n"/>
      <c r="AB27" s="19" t="n"/>
      <c r="AC27" s="5">
        <f>_xlfn.TEXTJOIN(CHAR(10),TRUE,IF(Q27="","","• "&amp;Q27&amp;IF(R27="Yes","  [IPL]","")),IF(S27="","","• "&amp;S27&amp;IF(T27="Yes","  [IPL]","")),IF(U27="","","• "&amp;U27&amp;IF(V27="Yes","  [IPL]","")),IF(W27="","","• "&amp;W27&amp;IF(X27="Yes","  [IPL]","")),IF(Y27="","","• "&amp;Y27&amp;IF(Z27="Yes","  [IPL]","")),IF(AA27="","","• "&amp;AA27&amp;IF(AB27="Yes","  [IPL]","")))</f>
        <v/>
      </c>
      <c r="AD27" s="30">
        <f>IF(AC27="","",COUNTIF(Q27:AB27,"Yes"))</f>
        <v/>
      </c>
      <c r="AE27" s="19" t="n"/>
      <c r="AF27" s="19" t="n"/>
      <c r="AG27" s="30">
        <f>IF(OR(AE27="",AF27=""),"",INDEX(RiskGrid,6-VALUE(LEFT(AE27,1)),VALUE(LEFT(AF27,1))))</f>
        <v/>
      </c>
      <c r="AH27" s="30">
        <f>IF(AG27="","",IF(AG27&gt;=BandVH,"Very High",IF(AG27&gt;=BandHigh,"High",IF(AG27&gt;=BandMed,"Medium","Low"))))</f>
        <v/>
      </c>
      <c r="AI27" s="4" t="n"/>
      <c r="AJ27" s="4" t="n"/>
    </row>
    <row r="28">
      <c r="A28" s="30">
        <f>IF(B28="","",COUNTIF(B$14:B28,"?*"))</f>
        <v/>
      </c>
      <c r="B28" s="4" t="n"/>
      <c r="C28" s="19" t="n"/>
      <c r="D28" s="5">
        <f>IF(OR(B28="",C28=""),"",UPPER(LEFT(C28,1))&amp;LOWER(MID(C28,2,30))&amp;" "&amp;LOWER(LEFT(B28,1))&amp;MID(B28,2,200))</f>
        <v/>
      </c>
      <c r="E28" s="4" t="n"/>
      <c r="F28" s="4" t="n"/>
      <c r="G28" s="4" t="n"/>
      <c r="H28" s="4" t="n"/>
      <c r="I28" s="4" t="n"/>
      <c r="J28" s="4" t="n"/>
      <c r="K28" s="5">
        <f>_xlfn.TEXTJOIN(CHAR(10),TRUE,IF(E28="","","• "&amp;E28),IF(F28="","","• "&amp;F28),IF(G28="","","• "&amp;G28),IF(H28="","","• "&amp;H28),IF(I28="","","• "&amp;I28),IF(J28="","","• "&amp;J28))</f>
        <v/>
      </c>
      <c r="L28" s="4" t="n"/>
      <c r="M28" s="19" t="n"/>
      <c r="N28" s="19" t="n"/>
      <c r="O28" s="30">
        <f>IF(OR(M28="",N28=""),"",INDEX(RiskGrid,6-VALUE(LEFT(M28,1)),VALUE(LEFT(N28,1))))</f>
        <v/>
      </c>
      <c r="P28" s="30">
        <f>IF(O28="","",IF(O28&gt;=BandVH,"Very High",IF(O28&gt;=BandHigh,"High",IF(O28&gt;=BandMed,"Medium","Low"))))</f>
        <v/>
      </c>
      <c r="Q28" s="4" t="n"/>
      <c r="R28" s="19" t="n"/>
      <c r="S28" s="4" t="n"/>
      <c r="T28" s="19" t="n"/>
      <c r="U28" s="4" t="n"/>
      <c r="V28" s="19" t="n"/>
      <c r="W28" s="4" t="n"/>
      <c r="X28" s="19" t="n"/>
      <c r="Y28" s="4" t="n"/>
      <c r="Z28" s="19" t="n"/>
      <c r="AA28" s="4" t="n"/>
      <c r="AB28" s="19" t="n"/>
      <c r="AC28" s="5">
        <f>_xlfn.TEXTJOIN(CHAR(10),TRUE,IF(Q28="","","• "&amp;Q28&amp;IF(R28="Yes","  [IPL]","")),IF(S28="","","• "&amp;S28&amp;IF(T28="Yes","  [IPL]","")),IF(U28="","","• "&amp;U28&amp;IF(V28="Yes","  [IPL]","")),IF(W28="","","• "&amp;W28&amp;IF(X28="Yes","  [IPL]","")),IF(Y28="","","• "&amp;Y28&amp;IF(Z28="Yes","  [IPL]","")),IF(AA28="","","• "&amp;AA28&amp;IF(AB28="Yes","  [IPL]","")))</f>
        <v/>
      </c>
      <c r="AD28" s="30">
        <f>IF(AC28="","",COUNTIF(Q28:AB28,"Yes"))</f>
        <v/>
      </c>
      <c r="AE28" s="19" t="n"/>
      <c r="AF28" s="19" t="n"/>
      <c r="AG28" s="30">
        <f>IF(OR(AE28="",AF28=""),"",INDEX(RiskGrid,6-VALUE(LEFT(AE28,1)),VALUE(LEFT(AF28,1))))</f>
        <v/>
      </c>
      <c r="AH28" s="30">
        <f>IF(AG28="","",IF(AG28&gt;=BandVH,"Very High",IF(AG28&gt;=BandHigh,"High",IF(AG28&gt;=BandMed,"Medium","Low"))))</f>
        <v/>
      </c>
      <c r="AI28" s="4" t="n"/>
      <c r="AJ28" s="4" t="n"/>
    </row>
    <row r="29">
      <c r="A29" s="30">
        <f>IF(B29="","",COUNTIF(B$14:B29,"?*"))</f>
        <v/>
      </c>
      <c r="B29" s="4" t="n"/>
      <c r="C29" s="19" t="n"/>
      <c r="D29" s="5">
        <f>IF(OR(B29="",C29=""),"",UPPER(LEFT(C29,1))&amp;LOWER(MID(C29,2,30))&amp;" "&amp;LOWER(LEFT(B29,1))&amp;MID(B29,2,200))</f>
        <v/>
      </c>
      <c r="E29" s="4" t="n"/>
      <c r="F29" s="4" t="n"/>
      <c r="G29" s="4" t="n"/>
      <c r="H29" s="4" t="n"/>
      <c r="I29" s="4" t="n"/>
      <c r="J29" s="4" t="n"/>
      <c r="K29" s="5">
        <f>_xlfn.TEXTJOIN(CHAR(10),TRUE,IF(E29="","","• "&amp;E29),IF(F29="","","• "&amp;F29),IF(G29="","","• "&amp;G29),IF(H29="","","• "&amp;H29),IF(I29="","","• "&amp;I29),IF(J29="","","• "&amp;J29))</f>
        <v/>
      </c>
      <c r="L29" s="4" t="n"/>
      <c r="M29" s="19" t="n"/>
      <c r="N29" s="19" t="n"/>
      <c r="O29" s="30">
        <f>IF(OR(M29="",N29=""),"",INDEX(RiskGrid,6-VALUE(LEFT(M29,1)),VALUE(LEFT(N29,1))))</f>
        <v/>
      </c>
      <c r="P29" s="30">
        <f>IF(O29="","",IF(O29&gt;=BandVH,"Very High",IF(O29&gt;=BandHigh,"High",IF(O29&gt;=BandMed,"Medium","Low"))))</f>
        <v/>
      </c>
      <c r="Q29" s="4" t="n"/>
      <c r="R29" s="19" t="n"/>
      <c r="S29" s="4" t="n"/>
      <c r="T29" s="19" t="n"/>
      <c r="U29" s="4" t="n"/>
      <c r="V29" s="19" t="n"/>
      <c r="W29" s="4" t="n"/>
      <c r="X29" s="19" t="n"/>
      <c r="Y29" s="4" t="n"/>
      <c r="Z29" s="19" t="n"/>
      <c r="AA29" s="4" t="n"/>
      <c r="AB29" s="19" t="n"/>
      <c r="AC29" s="5">
        <f>_xlfn.TEXTJOIN(CHAR(10),TRUE,IF(Q29="","","• "&amp;Q29&amp;IF(R29="Yes","  [IPL]","")),IF(S29="","","• "&amp;S29&amp;IF(T29="Yes","  [IPL]","")),IF(U29="","","• "&amp;U29&amp;IF(V29="Yes","  [IPL]","")),IF(W29="","","• "&amp;W29&amp;IF(X29="Yes","  [IPL]","")),IF(Y29="","","• "&amp;Y29&amp;IF(Z29="Yes","  [IPL]","")),IF(AA29="","","• "&amp;AA29&amp;IF(AB29="Yes","  [IPL]","")))</f>
        <v/>
      </c>
      <c r="AD29" s="30">
        <f>IF(AC29="","",COUNTIF(Q29:AB29,"Yes"))</f>
        <v/>
      </c>
      <c r="AE29" s="19" t="n"/>
      <c r="AF29" s="19" t="n"/>
      <c r="AG29" s="30">
        <f>IF(OR(AE29="",AF29=""),"",INDEX(RiskGrid,6-VALUE(LEFT(AE29,1)),VALUE(LEFT(AF29,1))))</f>
        <v/>
      </c>
      <c r="AH29" s="30">
        <f>IF(AG29="","",IF(AG29&gt;=BandVH,"Very High",IF(AG29&gt;=BandHigh,"High",IF(AG29&gt;=BandMed,"Medium","Low"))))</f>
        <v/>
      </c>
      <c r="AI29" s="4" t="n"/>
      <c r="AJ29" s="4" t="n"/>
    </row>
    <row r="30">
      <c r="A30" s="30">
        <f>IF(B30="","",COUNTIF(B$14:B30,"?*"))</f>
        <v/>
      </c>
      <c r="B30" s="4" t="n"/>
      <c r="C30" s="19" t="n"/>
      <c r="D30" s="5">
        <f>IF(OR(B30="",C30=""),"",UPPER(LEFT(C30,1))&amp;LOWER(MID(C30,2,30))&amp;" "&amp;LOWER(LEFT(B30,1))&amp;MID(B30,2,200))</f>
        <v/>
      </c>
      <c r="E30" s="4" t="n"/>
      <c r="F30" s="4" t="n"/>
      <c r="G30" s="4" t="n"/>
      <c r="H30" s="4" t="n"/>
      <c r="I30" s="4" t="n"/>
      <c r="J30" s="4" t="n"/>
      <c r="K30" s="5">
        <f>_xlfn.TEXTJOIN(CHAR(10),TRUE,IF(E30="","","• "&amp;E30),IF(F30="","","• "&amp;F30),IF(G30="","","• "&amp;G30),IF(H30="","","• "&amp;H30),IF(I30="","","• "&amp;I30),IF(J30="","","• "&amp;J30))</f>
        <v/>
      </c>
      <c r="L30" s="4" t="n"/>
      <c r="M30" s="19" t="n"/>
      <c r="N30" s="19" t="n"/>
      <c r="O30" s="30">
        <f>IF(OR(M30="",N30=""),"",INDEX(RiskGrid,6-VALUE(LEFT(M30,1)),VALUE(LEFT(N30,1))))</f>
        <v/>
      </c>
      <c r="P30" s="30">
        <f>IF(O30="","",IF(O30&gt;=BandVH,"Very High",IF(O30&gt;=BandHigh,"High",IF(O30&gt;=BandMed,"Medium","Low"))))</f>
        <v/>
      </c>
      <c r="Q30" s="4" t="n"/>
      <c r="R30" s="19" t="n"/>
      <c r="S30" s="4" t="n"/>
      <c r="T30" s="19" t="n"/>
      <c r="U30" s="4" t="n"/>
      <c r="V30" s="19" t="n"/>
      <c r="W30" s="4" t="n"/>
      <c r="X30" s="19" t="n"/>
      <c r="Y30" s="4" t="n"/>
      <c r="Z30" s="19" t="n"/>
      <c r="AA30" s="4" t="n"/>
      <c r="AB30" s="19" t="n"/>
      <c r="AC30" s="5">
        <f>_xlfn.TEXTJOIN(CHAR(10),TRUE,IF(Q30="","","• "&amp;Q30&amp;IF(R30="Yes","  [IPL]","")),IF(S30="","","• "&amp;S30&amp;IF(T30="Yes","  [IPL]","")),IF(U30="","","• "&amp;U30&amp;IF(V30="Yes","  [IPL]","")),IF(W30="","","• "&amp;W30&amp;IF(X30="Yes","  [IPL]","")),IF(Y30="","","• "&amp;Y30&amp;IF(Z30="Yes","  [IPL]","")),IF(AA30="","","• "&amp;AA30&amp;IF(AB30="Yes","  [IPL]","")))</f>
        <v/>
      </c>
      <c r="AD30" s="30">
        <f>IF(AC30="","",COUNTIF(Q30:AB30,"Yes"))</f>
        <v/>
      </c>
      <c r="AE30" s="19" t="n"/>
      <c r="AF30" s="19" t="n"/>
      <c r="AG30" s="30">
        <f>IF(OR(AE30="",AF30=""),"",INDEX(RiskGrid,6-VALUE(LEFT(AE30,1)),VALUE(LEFT(AF30,1))))</f>
        <v/>
      </c>
      <c r="AH30" s="30">
        <f>IF(AG30="","",IF(AG30&gt;=BandVH,"Very High",IF(AG30&gt;=BandHigh,"High",IF(AG30&gt;=BandMed,"Medium","Low"))))</f>
        <v/>
      </c>
      <c r="AI30" s="4" t="n"/>
      <c r="AJ30" s="4" t="n"/>
    </row>
    <row r="31">
      <c r="A31" s="30">
        <f>IF(B31="","",COUNTIF(B$14:B31,"?*"))</f>
        <v/>
      </c>
      <c r="B31" s="4" t="n"/>
      <c r="C31" s="19" t="n"/>
      <c r="D31" s="5">
        <f>IF(OR(B31="",C31=""),"",UPPER(LEFT(C31,1))&amp;LOWER(MID(C31,2,30))&amp;" "&amp;LOWER(LEFT(B31,1))&amp;MID(B31,2,200))</f>
        <v/>
      </c>
      <c r="E31" s="4" t="n"/>
      <c r="F31" s="4" t="n"/>
      <c r="G31" s="4" t="n"/>
      <c r="H31" s="4" t="n"/>
      <c r="I31" s="4" t="n"/>
      <c r="J31" s="4" t="n"/>
      <c r="K31" s="5">
        <f>_xlfn.TEXTJOIN(CHAR(10),TRUE,IF(E31="","","• "&amp;E31),IF(F31="","","• "&amp;F31),IF(G31="","","• "&amp;G31),IF(H31="","","• "&amp;H31),IF(I31="","","• "&amp;I31),IF(J31="","","• "&amp;J31))</f>
        <v/>
      </c>
      <c r="L31" s="4" t="n"/>
      <c r="M31" s="19" t="n"/>
      <c r="N31" s="19" t="n"/>
      <c r="O31" s="30">
        <f>IF(OR(M31="",N31=""),"",INDEX(RiskGrid,6-VALUE(LEFT(M31,1)),VALUE(LEFT(N31,1))))</f>
        <v/>
      </c>
      <c r="P31" s="30">
        <f>IF(O31="","",IF(O31&gt;=BandVH,"Very High",IF(O31&gt;=BandHigh,"High",IF(O31&gt;=BandMed,"Medium","Low"))))</f>
        <v/>
      </c>
      <c r="Q31" s="4" t="n"/>
      <c r="R31" s="19" t="n"/>
      <c r="S31" s="4" t="n"/>
      <c r="T31" s="19" t="n"/>
      <c r="U31" s="4" t="n"/>
      <c r="V31" s="19" t="n"/>
      <c r="W31" s="4" t="n"/>
      <c r="X31" s="19" t="n"/>
      <c r="Y31" s="4" t="n"/>
      <c r="Z31" s="19" t="n"/>
      <c r="AA31" s="4" t="n"/>
      <c r="AB31" s="19" t="n"/>
      <c r="AC31" s="5">
        <f>_xlfn.TEXTJOIN(CHAR(10),TRUE,IF(Q31="","","• "&amp;Q31&amp;IF(R31="Yes","  [IPL]","")),IF(S31="","","• "&amp;S31&amp;IF(T31="Yes","  [IPL]","")),IF(U31="","","• "&amp;U31&amp;IF(V31="Yes","  [IPL]","")),IF(W31="","","• "&amp;W31&amp;IF(X31="Yes","  [IPL]","")),IF(Y31="","","• "&amp;Y31&amp;IF(Z31="Yes","  [IPL]","")),IF(AA31="","","• "&amp;AA31&amp;IF(AB31="Yes","  [IPL]","")))</f>
        <v/>
      </c>
      <c r="AD31" s="30">
        <f>IF(AC31="","",COUNTIF(Q31:AB31,"Yes"))</f>
        <v/>
      </c>
      <c r="AE31" s="19" t="n"/>
      <c r="AF31" s="19" t="n"/>
      <c r="AG31" s="30">
        <f>IF(OR(AE31="",AF31=""),"",INDEX(RiskGrid,6-VALUE(LEFT(AE31,1)),VALUE(LEFT(AF31,1))))</f>
        <v/>
      </c>
      <c r="AH31" s="30">
        <f>IF(AG31="","",IF(AG31&gt;=BandVH,"Very High",IF(AG31&gt;=BandHigh,"High",IF(AG31&gt;=BandMed,"Medium","Low"))))</f>
        <v/>
      </c>
      <c r="AI31" s="4" t="n"/>
      <c r="AJ31" s="4" t="n"/>
    </row>
    <row r="32">
      <c r="A32" s="30">
        <f>IF(B32="","",COUNTIF(B$14:B32,"?*"))</f>
        <v/>
      </c>
      <c r="B32" s="4" t="n"/>
      <c r="C32" s="19" t="n"/>
      <c r="D32" s="5">
        <f>IF(OR(B32="",C32=""),"",UPPER(LEFT(C32,1))&amp;LOWER(MID(C32,2,30))&amp;" "&amp;LOWER(LEFT(B32,1))&amp;MID(B32,2,200))</f>
        <v/>
      </c>
      <c r="E32" s="4" t="n"/>
      <c r="F32" s="4" t="n"/>
      <c r="G32" s="4" t="n"/>
      <c r="H32" s="4" t="n"/>
      <c r="I32" s="4" t="n"/>
      <c r="J32" s="4" t="n"/>
      <c r="K32" s="5">
        <f>_xlfn.TEXTJOIN(CHAR(10),TRUE,IF(E32="","","• "&amp;E32),IF(F32="","","• "&amp;F32),IF(G32="","","• "&amp;G32),IF(H32="","","• "&amp;H32),IF(I32="","","• "&amp;I32),IF(J32="","","• "&amp;J32))</f>
        <v/>
      </c>
      <c r="L32" s="4" t="n"/>
      <c r="M32" s="19" t="n"/>
      <c r="N32" s="19" t="n"/>
      <c r="O32" s="30">
        <f>IF(OR(M32="",N32=""),"",INDEX(RiskGrid,6-VALUE(LEFT(M32,1)),VALUE(LEFT(N32,1))))</f>
        <v/>
      </c>
      <c r="P32" s="30">
        <f>IF(O32="","",IF(O32&gt;=BandVH,"Very High",IF(O32&gt;=BandHigh,"High",IF(O32&gt;=BandMed,"Medium","Low"))))</f>
        <v/>
      </c>
      <c r="Q32" s="4" t="n"/>
      <c r="R32" s="19" t="n"/>
      <c r="S32" s="4" t="n"/>
      <c r="T32" s="19" t="n"/>
      <c r="U32" s="4" t="n"/>
      <c r="V32" s="19" t="n"/>
      <c r="W32" s="4" t="n"/>
      <c r="X32" s="19" t="n"/>
      <c r="Y32" s="4" t="n"/>
      <c r="Z32" s="19" t="n"/>
      <c r="AA32" s="4" t="n"/>
      <c r="AB32" s="19" t="n"/>
      <c r="AC32" s="5">
        <f>_xlfn.TEXTJOIN(CHAR(10),TRUE,IF(Q32="","","• "&amp;Q32&amp;IF(R32="Yes","  [IPL]","")),IF(S32="","","• "&amp;S32&amp;IF(T32="Yes","  [IPL]","")),IF(U32="","","• "&amp;U32&amp;IF(V32="Yes","  [IPL]","")),IF(W32="","","• "&amp;W32&amp;IF(X32="Yes","  [IPL]","")),IF(Y32="","","• "&amp;Y32&amp;IF(Z32="Yes","  [IPL]","")),IF(AA32="","","• "&amp;AA32&amp;IF(AB32="Yes","  [IPL]","")))</f>
        <v/>
      </c>
      <c r="AD32" s="30">
        <f>IF(AC32="","",COUNTIF(Q32:AB32,"Yes"))</f>
        <v/>
      </c>
      <c r="AE32" s="19" t="n"/>
      <c r="AF32" s="19" t="n"/>
      <c r="AG32" s="30">
        <f>IF(OR(AE32="",AF32=""),"",INDEX(RiskGrid,6-VALUE(LEFT(AE32,1)),VALUE(LEFT(AF32,1))))</f>
        <v/>
      </c>
      <c r="AH32" s="30">
        <f>IF(AG32="","",IF(AG32&gt;=BandVH,"Very High",IF(AG32&gt;=BandHigh,"High",IF(AG32&gt;=BandMed,"Medium","Low"))))</f>
        <v/>
      </c>
      <c r="AI32" s="4" t="n"/>
      <c r="AJ32" s="4" t="n"/>
    </row>
    <row r="33">
      <c r="A33" s="30">
        <f>IF(B33="","",COUNTIF(B$14:B33,"?*"))</f>
        <v/>
      </c>
      <c r="B33" s="4" t="n"/>
      <c r="C33" s="19" t="n"/>
      <c r="D33" s="5">
        <f>IF(OR(B33="",C33=""),"",UPPER(LEFT(C33,1))&amp;LOWER(MID(C33,2,30))&amp;" "&amp;LOWER(LEFT(B33,1))&amp;MID(B33,2,200))</f>
        <v/>
      </c>
      <c r="E33" s="4" t="n"/>
      <c r="F33" s="4" t="n"/>
      <c r="G33" s="4" t="n"/>
      <c r="H33" s="4" t="n"/>
      <c r="I33" s="4" t="n"/>
      <c r="J33" s="4" t="n"/>
      <c r="K33" s="5">
        <f>_xlfn.TEXTJOIN(CHAR(10),TRUE,IF(E33="","","• "&amp;E33),IF(F33="","","• "&amp;F33),IF(G33="","","• "&amp;G33),IF(H33="","","• "&amp;H33),IF(I33="","","• "&amp;I33),IF(J33="","","• "&amp;J33))</f>
        <v/>
      </c>
      <c r="L33" s="4" t="n"/>
      <c r="M33" s="19" t="n"/>
      <c r="N33" s="19" t="n"/>
      <c r="O33" s="30">
        <f>IF(OR(M33="",N33=""),"",INDEX(RiskGrid,6-VALUE(LEFT(M33,1)),VALUE(LEFT(N33,1))))</f>
        <v/>
      </c>
      <c r="P33" s="30">
        <f>IF(O33="","",IF(O33&gt;=BandVH,"Very High",IF(O33&gt;=BandHigh,"High",IF(O33&gt;=BandMed,"Medium","Low"))))</f>
        <v/>
      </c>
      <c r="Q33" s="4" t="n"/>
      <c r="R33" s="19" t="n"/>
      <c r="S33" s="4" t="n"/>
      <c r="T33" s="19" t="n"/>
      <c r="U33" s="4" t="n"/>
      <c r="V33" s="19" t="n"/>
      <c r="W33" s="4" t="n"/>
      <c r="X33" s="19" t="n"/>
      <c r="Y33" s="4" t="n"/>
      <c r="Z33" s="19" t="n"/>
      <c r="AA33" s="4" t="n"/>
      <c r="AB33" s="19" t="n"/>
      <c r="AC33" s="5">
        <f>_xlfn.TEXTJOIN(CHAR(10),TRUE,IF(Q33="","","• "&amp;Q33&amp;IF(R33="Yes","  [IPL]","")),IF(S33="","","• "&amp;S33&amp;IF(T33="Yes","  [IPL]","")),IF(U33="","","• "&amp;U33&amp;IF(V33="Yes","  [IPL]","")),IF(W33="","","• "&amp;W33&amp;IF(X33="Yes","  [IPL]","")),IF(Y33="","","• "&amp;Y33&amp;IF(Z33="Yes","  [IPL]","")),IF(AA33="","","• "&amp;AA33&amp;IF(AB33="Yes","  [IPL]","")))</f>
        <v/>
      </c>
      <c r="AD33" s="30">
        <f>IF(AC33="","",COUNTIF(Q33:AB33,"Yes"))</f>
        <v/>
      </c>
      <c r="AE33" s="19" t="n"/>
      <c r="AF33" s="19" t="n"/>
      <c r="AG33" s="30">
        <f>IF(OR(AE33="",AF33=""),"",INDEX(RiskGrid,6-VALUE(LEFT(AE33,1)),VALUE(LEFT(AF33,1))))</f>
        <v/>
      </c>
      <c r="AH33" s="30">
        <f>IF(AG33="","",IF(AG33&gt;=BandVH,"Very High",IF(AG33&gt;=BandHigh,"High",IF(AG33&gt;=BandMed,"Medium","Low"))))</f>
        <v/>
      </c>
      <c r="AI33" s="4" t="n"/>
      <c r="AJ33" s="4" t="n"/>
    </row>
    <row r="34">
      <c r="A34" s="30">
        <f>IF(B34="","",COUNTIF(B$14:B34,"?*"))</f>
        <v/>
      </c>
      <c r="B34" s="4" t="n"/>
      <c r="C34" s="19" t="n"/>
      <c r="D34" s="5">
        <f>IF(OR(B34="",C34=""),"",UPPER(LEFT(C34,1))&amp;LOWER(MID(C34,2,30))&amp;" "&amp;LOWER(LEFT(B34,1))&amp;MID(B34,2,200))</f>
        <v/>
      </c>
      <c r="E34" s="4" t="n"/>
      <c r="F34" s="4" t="n"/>
      <c r="G34" s="4" t="n"/>
      <c r="H34" s="4" t="n"/>
      <c r="I34" s="4" t="n"/>
      <c r="J34" s="4" t="n"/>
      <c r="K34" s="5">
        <f>_xlfn.TEXTJOIN(CHAR(10),TRUE,IF(E34="","","• "&amp;E34),IF(F34="","","• "&amp;F34),IF(G34="","","• "&amp;G34),IF(H34="","","• "&amp;H34),IF(I34="","","• "&amp;I34),IF(J34="","","• "&amp;J34))</f>
        <v/>
      </c>
      <c r="L34" s="4" t="n"/>
      <c r="M34" s="19" t="n"/>
      <c r="N34" s="19" t="n"/>
      <c r="O34" s="30">
        <f>IF(OR(M34="",N34=""),"",INDEX(RiskGrid,6-VALUE(LEFT(M34,1)),VALUE(LEFT(N34,1))))</f>
        <v/>
      </c>
      <c r="P34" s="30">
        <f>IF(O34="","",IF(O34&gt;=BandVH,"Very High",IF(O34&gt;=BandHigh,"High",IF(O34&gt;=BandMed,"Medium","Low"))))</f>
        <v/>
      </c>
      <c r="Q34" s="4" t="n"/>
      <c r="R34" s="19" t="n"/>
      <c r="S34" s="4" t="n"/>
      <c r="T34" s="19" t="n"/>
      <c r="U34" s="4" t="n"/>
      <c r="V34" s="19" t="n"/>
      <c r="W34" s="4" t="n"/>
      <c r="X34" s="19" t="n"/>
      <c r="Y34" s="4" t="n"/>
      <c r="Z34" s="19" t="n"/>
      <c r="AA34" s="4" t="n"/>
      <c r="AB34" s="19" t="n"/>
      <c r="AC34" s="5">
        <f>_xlfn.TEXTJOIN(CHAR(10),TRUE,IF(Q34="","","• "&amp;Q34&amp;IF(R34="Yes","  [IPL]","")),IF(S34="","","• "&amp;S34&amp;IF(T34="Yes","  [IPL]","")),IF(U34="","","• "&amp;U34&amp;IF(V34="Yes","  [IPL]","")),IF(W34="","","• "&amp;W34&amp;IF(X34="Yes","  [IPL]","")),IF(Y34="","","• "&amp;Y34&amp;IF(Z34="Yes","  [IPL]","")),IF(AA34="","","• "&amp;AA34&amp;IF(AB34="Yes","  [IPL]","")))</f>
        <v/>
      </c>
      <c r="AD34" s="30">
        <f>IF(AC34="","",COUNTIF(Q34:AB34,"Yes"))</f>
        <v/>
      </c>
      <c r="AE34" s="19" t="n"/>
      <c r="AF34" s="19" t="n"/>
      <c r="AG34" s="30">
        <f>IF(OR(AE34="",AF34=""),"",INDEX(RiskGrid,6-VALUE(LEFT(AE34,1)),VALUE(LEFT(AF34,1))))</f>
        <v/>
      </c>
      <c r="AH34" s="30">
        <f>IF(AG34="","",IF(AG34&gt;=BandVH,"Very High",IF(AG34&gt;=BandHigh,"High",IF(AG34&gt;=BandMed,"Medium","Low"))))</f>
        <v/>
      </c>
      <c r="AI34" s="4" t="n"/>
      <c r="AJ34" s="4" t="n"/>
    </row>
    <row r="35">
      <c r="A35" s="30">
        <f>IF(B35="","",COUNTIF(B$14:B35,"?*"))</f>
        <v/>
      </c>
      <c r="B35" s="4" t="n"/>
      <c r="C35" s="19" t="n"/>
      <c r="D35" s="5">
        <f>IF(OR(B35="",C35=""),"",UPPER(LEFT(C35,1))&amp;LOWER(MID(C35,2,30))&amp;" "&amp;LOWER(LEFT(B35,1))&amp;MID(B35,2,200))</f>
        <v/>
      </c>
      <c r="E35" s="4" t="n"/>
      <c r="F35" s="4" t="n"/>
      <c r="G35" s="4" t="n"/>
      <c r="H35" s="4" t="n"/>
      <c r="I35" s="4" t="n"/>
      <c r="J35" s="4" t="n"/>
      <c r="K35" s="5">
        <f>_xlfn.TEXTJOIN(CHAR(10),TRUE,IF(E35="","","• "&amp;E35),IF(F35="","","• "&amp;F35),IF(G35="","","• "&amp;G35),IF(H35="","","• "&amp;H35),IF(I35="","","• "&amp;I35),IF(J35="","","• "&amp;J35))</f>
        <v/>
      </c>
      <c r="L35" s="4" t="n"/>
      <c r="M35" s="19" t="n"/>
      <c r="N35" s="19" t="n"/>
      <c r="O35" s="30">
        <f>IF(OR(M35="",N35=""),"",INDEX(RiskGrid,6-VALUE(LEFT(M35,1)),VALUE(LEFT(N35,1))))</f>
        <v/>
      </c>
      <c r="P35" s="30">
        <f>IF(O35="","",IF(O35&gt;=BandVH,"Very High",IF(O35&gt;=BandHigh,"High",IF(O35&gt;=BandMed,"Medium","Low"))))</f>
        <v/>
      </c>
      <c r="Q35" s="4" t="n"/>
      <c r="R35" s="19" t="n"/>
      <c r="S35" s="4" t="n"/>
      <c r="T35" s="19" t="n"/>
      <c r="U35" s="4" t="n"/>
      <c r="V35" s="19" t="n"/>
      <c r="W35" s="4" t="n"/>
      <c r="X35" s="19" t="n"/>
      <c r="Y35" s="4" t="n"/>
      <c r="Z35" s="19" t="n"/>
      <c r="AA35" s="4" t="n"/>
      <c r="AB35" s="19" t="n"/>
      <c r="AC35" s="5">
        <f>_xlfn.TEXTJOIN(CHAR(10),TRUE,IF(Q35="","","• "&amp;Q35&amp;IF(R35="Yes","  [IPL]","")),IF(S35="","","• "&amp;S35&amp;IF(T35="Yes","  [IPL]","")),IF(U35="","","• "&amp;U35&amp;IF(V35="Yes","  [IPL]","")),IF(W35="","","• "&amp;W35&amp;IF(X35="Yes","  [IPL]","")),IF(Y35="","","• "&amp;Y35&amp;IF(Z35="Yes","  [IPL]","")),IF(AA35="","","• "&amp;AA35&amp;IF(AB35="Yes","  [IPL]","")))</f>
        <v/>
      </c>
      <c r="AD35" s="30">
        <f>IF(AC35="","",COUNTIF(Q35:AB35,"Yes"))</f>
        <v/>
      </c>
      <c r="AE35" s="19" t="n"/>
      <c r="AF35" s="19" t="n"/>
      <c r="AG35" s="30">
        <f>IF(OR(AE35="",AF35=""),"",INDEX(RiskGrid,6-VALUE(LEFT(AE35,1)),VALUE(LEFT(AF35,1))))</f>
        <v/>
      </c>
      <c r="AH35" s="30">
        <f>IF(AG35="","",IF(AG35&gt;=BandVH,"Very High",IF(AG35&gt;=BandHigh,"High",IF(AG35&gt;=BandMed,"Medium","Low"))))</f>
        <v/>
      </c>
      <c r="AI35" s="4" t="n"/>
      <c r="AJ35" s="4" t="n"/>
    </row>
    <row r="36">
      <c r="A36" s="30">
        <f>IF(B36="","",COUNTIF(B$14:B36,"?*"))</f>
        <v/>
      </c>
      <c r="B36" s="4" t="n"/>
      <c r="C36" s="19" t="n"/>
      <c r="D36" s="5">
        <f>IF(OR(B36="",C36=""),"",UPPER(LEFT(C36,1))&amp;LOWER(MID(C36,2,30))&amp;" "&amp;LOWER(LEFT(B36,1))&amp;MID(B36,2,200))</f>
        <v/>
      </c>
      <c r="E36" s="4" t="n"/>
      <c r="F36" s="4" t="n"/>
      <c r="G36" s="4" t="n"/>
      <c r="H36" s="4" t="n"/>
      <c r="I36" s="4" t="n"/>
      <c r="J36" s="4" t="n"/>
      <c r="K36" s="5">
        <f>_xlfn.TEXTJOIN(CHAR(10),TRUE,IF(E36="","","• "&amp;E36),IF(F36="","","• "&amp;F36),IF(G36="","","• "&amp;G36),IF(H36="","","• "&amp;H36),IF(I36="","","• "&amp;I36),IF(J36="","","• "&amp;J36))</f>
        <v/>
      </c>
      <c r="L36" s="4" t="n"/>
      <c r="M36" s="19" t="n"/>
      <c r="N36" s="19" t="n"/>
      <c r="O36" s="30">
        <f>IF(OR(M36="",N36=""),"",INDEX(RiskGrid,6-VALUE(LEFT(M36,1)),VALUE(LEFT(N36,1))))</f>
        <v/>
      </c>
      <c r="P36" s="30">
        <f>IF(O36="","",IF(O36&gt;=BandVH,"Very High",IF(O36&gt;=BandHigh,"High",IF(O36&gt;=BandMed,"Medium","Low"))))</f>
        <v/>
      </c>
      <c r="Q36" s="4" t="n"/>
      <c r="R36" s="19" t="n"/>
      <c r="S36" s="4" t="n"/>
      <c r="T36" s="19" t="n"/>
      <c r="U36" s="4" t="n"/>
      <c r="V36" s="19" t="n"/>
      <c r="W36" s="4" t="n"/>
      <c r="X36" s="19" t="n"/>
      <c r="Y36" s="4" t="n"/>
      <c r="Z36" s="19" t="n"/>
      <c r="AA36" s="4" t="n"/>
      <c r="AB36" s="19" t="n"/>
      <c r="AC36" s="5">
        <f>_xlfn.TEXTJOIN(CHAR(10),TRUE,IF(Q36="","","• "&amp;Q36&amp;IF(R36="Yes","  [IPL]","")),IF(S36="","","• "&amp;S36&amp;IF(T36="Yes","  [IPL]","")),IF(U36="","","• "&amp;U36&amp;IF(V36="Yes","  [IPL]","")),IF(W36="","","• "&amp;W36&amp;IF(X36="Yes","  [IPL]","")),IF(Y36="","","• "&amp;Y36&amp;IF(Z36="Yes","  [IPL]","")),IF(AA36="","","• "&amp;AA36&amp;IF(AB36="Yes","  [IPL]","")))</f>
        <v/>
      </c>
      <c r="AD36" s="30">
        <f>IF(AC36="","",COUNTIF(Q36:AB36,"Yes"))</f>
        <v/>
      </c>
      <c r="AE36" s="19" t="n"/>
      <c r="AF36" s="19" t="n"/>
      <c r="AG36" s="30">
        <f>IF(OR(AE36="",AF36=""),"",INDEX(RiskGrid,6-VALUE(LEFT(AE36,1)),VALUE(LEFT(AF36,1))))</f>
        <v/>
      </c>
      <c r="AH36" s="30">
        <f>IF(AG36="","",IF(AG36&gt;=BandVH,"Very High",IF(AG36&gt;=BandHigh,"High",IF(AG36&gt;=BandMed,"Medium","Low"))))</f>
        <v/>
      </c>
      <c r="AI36" s="4" t="n"/>
      <c r="AJ36" s="4" t="n"/>
    </row>
    <row r="37">
      <c r="A37" s="30">
        <f>IF(B37="","",COUNTIF(B$14:B37,"?*"))</f>
        <v/>
      </c>
      <c r="B37" s="4" t="n"/>
      <c r="C37" s="19" t="n"/>
      <c r="D37" s="5">
        <f>IF(OR(B37="",C37=""),"",UPPER(LEFT(C37,1))&amp;LOWER(MID(C37,2,30))&amp;" "&amp;LOWER(LEFT(B37,1))&amp;MID(B37,2,200))</f>
        <v/>
      </c>
      <c r="E37" s="4" t="n"/>
      <c r="F37" s="4" t="n"/>
      <c r="G37" s="4" t="n"/>
      <c r="H37" s="4" t="n"/>
      <c r="I37" s="4" t="n"/>
      <c r="J37" s="4" t="n"/>
      <c r="K37" s="5">
        <f>_xlfn.TEXTJOIN(CHAR(10),TRUE,IF(E37="","","• "&amp;E37),IF(F37="","","• "&amp;F37),IF(G37="","","• "&amp;G37),IF(H37="","","• "&amp;H37),IF(I37="","","• "&amp;I37),IF(J37="","","• "&amp;J37))</f>
        <v/>
      </c>
      <c r="L37" s="4" t="n"/>
      <c r="M37" s="19" t="n"/>
      <c r="N37" s="19" t="n"/>
      <c r="O37" s="30">
        <f>IF(OR(M37="",N37=""),"",INDEX(RiskGrid,6-VALUE(LEFT(M37,1)),VALUE(LEFT(N37,1))))</f>
        <v/>
      </c>
      <c r="P37" s="30">
        <f>IF(O37="","",IF(O37&gt;=BandVH,"Very High",IF(O37&gt;=BandHigh,"High",IF(O37&gt;=BandMed,"Medium","Low"))))</f>
        <v/>
      </c>
      <c r="Q37" s="4" t="n"/>
      <c r="R37" s="19" t="n"/>
      <c r="S37" s="4" t="n"/>
      <c r="T37" s="19" t="n"/>
      <c r="U37" s="4" t="n"/>
      <c r="V37" s="19" t="n"/>
      <c r="W37" s="4" t="n"/>
      <c r="X37" s="19" t="n"/>
      <c r="Y37" s="4" t="n"/>
      <c r="Z37" s="19" t="n"/>
      <c r="AA37" s="4" t="n"/>
      <c r="AB37" s="19" t="n"/>
      <c r="AC37" s="5">
        <f>_xlfn.TEXTJOIN(CHAR(10),TRUE,IF(Q37="","","• "&amp;Q37&amp;IF(R37="Yes","  [IPL]","")),IF(S37="","","• "&amp;S37&amp;IF(T37="Yes","  [IPL]","")),IF(U37="","","• "&amp;U37&amp;IF(V37="Yes","  [IPL]","")),IF(W37="","","• "&amp;W37&amp;IF(X37="Yes","  [IPL]","")),IF(Y37="","","• "&amp;Y37&amp;IF(Z37="Yes","  [IPL]","")),IF(AA37="","","• "&amp;AA37&amp;IF(AB37="Yes","  [IPL]","")))</f>
        <v/>
      </c>
      <c r="AD37" s="30">
        <f>IF(AC37="","",COUNTIF(Q37:AB37,"Yes"))</f>
        <v/>
      </c>
      <c r="AE37" s="19" t="n"/>
      <c r="AF37" s="19" t="n"/>
      <c r="AG37" s="30">
        <f>IF(OR(AE37="",AF37=""),"",INDEX(RiskGrid,6-VALUE(LEFT(AE37,1)),VALUE(LEFT(AF37,1))))</f>
        <v/>
      </c>
      <c r="AH37" s="30">
        <f>IF(AG37="","",IF(AG37&gt;=BandVH,"Very High",IF(AG37&gt;=BandHigh,"High",IF(AG37&gt;=BandMed,"Medium","Low"))))</f>
        <v/>
      </c>
      <c r="AI37" s="4" t="n"/>
      <c r="AJ37" s="4" t="n"/>
    </row>
    <row r="38">
      <c r="A38" s="30">
        <f>IF(B38="","",COUNTIF(B$14:B38,"?*"))</f>
        <v/>
      </c>
      <c r="B38" s="4" t="n"/>
      <c r="C38" s="19" t="n"/>
      <c r="D38" s="5">
        <f>IF(OR(B38="",C38=""),"",UPPER(LEFT(C38,1))&amp;LOWER(MID(C38,2,30))&amp;" "&amp;LOWER(LEFT(B38,1))&amp;MID(B38,2,200))</f>
        <v/>
      </c>
      <c r="E38" s="4" t="n"/>
      <c r="F38" s="4" t="n"/>
      <c r="G38" s="4" t="n"/>
      <c r="H38" s="4" t="n"/>
      <c r="I38" s="4" t="n"/>
      <c r="J38" s="4" t="n"/>
      <c r="K38" s="5">
        <f>_xlfn.TEXTJOIN(CHAR(10),TRUE,IF(E38="","","• "&amp;E38),IF(F38="","","• "&amp;F38),IF(G38="","","• "&amp;G38),IF(H38="","","• "&amp;H38),IF(I38="","","• "&amp;I38),IF(J38="","","• "&amp;J38))</f>
        <v/>
      </c>
      <c r="L38" s="4" t="n"/>
      <c r="M38" s="19" t="n"/>
      <c r="N38" s="19" t="n"/>
      <c r="O38" s="30">
        <f>IF(OR(M38="",N38=""),"",INDEX(RiskGrid,6-VALUE(LEFT(M38,1)),VALUE(LEFT(N38,1))))</f>
        <v/>
      </c>
      <c r="P38" s="30">
        <f>IF(O38="","",IF(O38&gt;=BandVH,"Very High",IF(O38&gt;=BandHigh,"High",IF(O38&gt;=BandMed,"Medium","Low"))))</f>
        <v/>
      </c>
      <c r="Q38" s="4" t="n"/>
      <c r="R38" s="19" t="n"/>
      <c r="S38" s="4" t="n"/>
      <c r="T38" s="19" t="n"/>
      <c r="U38" s="4" t="n"/>
      <c r="V38" s="19" t="n"/>
      <c r="W38" s="4" t="n"/>
      <c r="X38" s="19" t="n"/>
      <c r="Y38" s="4" t="n"/>
      <c r="Z38" s="19" t="n"/>
      <c r="AA38" s="4" t="n"/>
      <c r="AB38" s="19" t="n"/>
      <c r="AC38" s="5">
        <f>_xlfn.TEXTJOIN(CHAR(10),TRUE,IF(Q38="","","• "&amp;Q38&amp;IF(R38="Yes","  [IPL]","")),IF(S38="","","• "&amp;S38&amp;IF(T38="Yes","  [IPL]","")),IF(U38="","","• "&amp;U38&amp;IF(V38="Yes","  [IPL]","")),IF(W38="","","• "&amp;W38&amp;IF(X38="Yes","  [IPL]","")),IF(Y38="","","• "&amp;Y38&amp;IF(Z38="Yes","  [IPL]","")),IF(AA38="","","• "&amp;AA38&amp;IF(AB38="Yes","  [IPL]","")))</f>
        <v/>
      </c>
      <c r="AD38" s="30">
        <f>IF(AC38="","",COUNTIF(Q38:AB38,"Yes"))</f>
        <v/>
      </c>
      <c r="AE38" s="19" t="n"/>
      <c r="AF38" s="19" t="n"/>
      <c r="AG38" s="30">
        <f>IF(OR(AE38="",AF38=""),"",INDEX(RiskGrid,6-VALUE(LEFT(AE38,1)),VALUE(LEFT(AF38,1))))</f>
        <v/>
      </c>
      <c r="AH38" s="30">
        <f>IF(AG38="","",IF(AG38&gt;=BandVH,"Very High",IF(AG38&gt;=BandHigh,"High",IF(AG38&gt;=BandMed,"Medium","Low"))))</f>
        <v/>
      </c>
      <c r="AI38" s="4" t="n"/>
      <c r="AJ38" s="4" t="n"/>
    </row>
    <row r="39">
      <c r="A39" s="30">
        <f>IF(B39="","",COUNTIF(B$14:B39,"?*"))</f>
        <v/>
      </c>
      <c r="B39" s="4" t="n"/>
      <c r="C39" s="19" t="n"/>
      <c r="D39" s="5">
        <f>IF(OR(B39="",C39=""),"",UPPER(LEFT(C39,1))&amp;LOWER(MID(C39,2,30))&amp;" "&amp;LOWER(LEFT(B39,1))&amp;MID(B39,2,200))</f>
        <v/>
      </c>
      <c r="E39" s="4" t="n"/>
      <c r="F39" s="4" t="n"/>
      <c r="G39" s="4" t="n"/>
      <c r="H39" s="4" t="n"/>
      <c r="I39" s="4" t="n"/>
      <c r="J39" s="4" t="n"/>
      <c r="K39" s="5">
        <f>_xlfn.TEXTJOIN(CHAR(10),TRUE,IF(E39="","","• "&amp;E39),IF(F39="","","• "&amp;F39),IF(G39="","","• "&amp;G39),IF(H39="","","• "&amp;H39),IF(I39="","","• "&amp;I39),IF(J39="","","• "&amp;J39))</f>
        <v/>
      </c>
      <c r="L39" s="4" t="n"/>
      <c r="M39" s="19" t="n"/>
      <c r="N39" s="19" t="n"/>
      <c r="O39" s="30">
        <f>IF(OR(M39="",N39=""),"",INDEX(RiskGrid,6-VALUE(LEFT(M39,1)),VALUE(LEFT(N39,1))))</f>
        <v/>
      </c>
      <c r="P39" s="30">
        <f>IF(O39="","",IF(O39&gt;=BandVH,"Very High",IF(O39&gt;=BandHigh,"High",IF(O39&gt;=BandMed,"Medium","Low"))))</f>
        <v/>
      </c>
      <c r="Q39" s="4" t="n"/>
      <c r="R39" s="19" t="n"/>
      <c r="S39" s="4" t="n"/>
      <c r="T39" s="19" t="n"/>
      <c r="U39" s="4" t="n"/>
      <c r="V39" s="19" t="n"/>
      <c r="W39" s="4" t="n"/>
      <c r="X39" s="19" t="n"/>
      <c r="Y39" s="4" t="n"/>
      <c r="Z39" s="19" t="n"/>
      <c r="AA39" s="4" t="n"/>
      <c r="AB39" s="19" t="n"/>
      <c r="AC39" s="5">
        <f>_xlfn.TEXTJOIN(CHAR(10),TRUE,IF(Q39="","","• "&amp;Q39&amp;IF(R39="Yes","  [IPL]","")),IF(S39="","","• "&amp;S39&amp;IF(T39="Yes","  [IPL]","")),IF(U39="","","• "&amp;U39&amp;IF(V39="Yes","  [IPL]","")),IF(W39="","","• "&amp;W39&amp;IF(X39="Yes","  [IPL]","")),IF(Y39="","","• "&amp;Y39&amp;IF(Z39="Yes","  [IPL]","")),IF(AA39="","","• "&amp;AA39&amp;IF(AB39="Yes","  [IPL]","")))</f>
        <v/>
      </c>
      <c r="AD39" s="30">
        <f>IF(AC39="","",COUNTIF(Q39:AB39,"Yes"))</f>
        <v/>
      </c>
      <c r="AE39" s="19" t="n"/>
      <c r="AF39" s="19" t="n"/>
      <c r="AG39" s="30">
        <f>IF(OR(AE39="",AF39=""),"",INDEX(RiskGrid,6-VALUE(LEFT(AE39,1)),VALUE(LEFT(AF39,1))))</f>
        <v/>
      </c>
      <c r="AH39" s="30">
        <f>IF(AG39="","",IF(AG39&gt;=BandVH,"Very High",IF(AG39&gt;=BandHigh,"High",IF(AG39&gt;=BandMed,"Medium","Low"))))</f>
        <v/>
      </c>
      <c r="AI39" s="4" t="n"/>
      <c r="AJ39" s="4" t="n"/>
    </row>
    <row r="40">
      <c r="A40" s="30">
        <f>IF(B40="","",COUNTIF(B$14:B40,"?*"))</f>
        <v/>
      </c>
      <c r="B40" s="4" t="n"/>
      <c r="C40" s="19" t="n"/>
      <c r="D40" s="5">
        <f>IF(OR(B40="",C40=""),"",UPPER(LEFT(C40,1))&amp;LOWER(MID(C40,2,30))&amp;" "&amp;LOWER(LEFT(B40,1))&amp;MID(B40,2,200))</f>
        <v/>
      </c>
      <c r="E40" s="4" t="n"/>
      <c r="F40" s="4" t="n"/>
      <c r="G40" s="4" t="n"/>
      <c r="H40" s="4" t="n"/>
      <c r="I40" s="4" t="n"/>
      <c r="J40" s="4" t="n"/>
      <c r="K40" s="5">
        <f>_xlfn.TEXTJOIN(CHAR(10),TRUE,IF(E40="","","• "&amp;E40),IF(F40="","","• "&amp;F40),IF(G40="","","• "&amp;G40),IF(H40="","","• "&amp;H40),IF(I40="","","• "&amp;I40),IF(J40="","","• "&amp;J40))</f>
        <v/>
      </c>
      <c r="L40" s="4" t="n"/>
      <c r="M40" s="19" t="n"/>
      <c r="N40" s="19" t="n"/>
      <c r="O40" s="30">
        <f>IF(OR(M40="",N40=""),"",INDEX(RiskGrid,6-VALUE(LEFT(M40,1)),VALUE(LEFT(N40,1))))</f>
        <v/>
      </c>
      <c r="P40" s="30">
        <f>IF(O40="","",IF(O40&gt;=BandVH,"Very High",IF(O40&gt;=BandHigh,"High",IF(O40&gt;=BandMed,"Medium","Low"))))</f>
        <v/>
      </c>
      <c r="Q40" s="4" t="n"/>
      <c r="R40" s="19" t="n"/>
      <c r="S40" s="4" t="n"/>
      <c r="T40" s="19" t="n"/>
      <c r="U40" s="4" t="n"/>
      <c r="V40" s="19" t="n"/>
      <c r="W40" s="4" t="n"/>
      <c r="X40" s="19" t="n"/>
      <c r="Y40" s="4" t="n"/>
      <c r="Z40" s="19" t="n"/>
      <c r="AA40" s="4" t="n"/>
      <c r="AB40" s="19" t="n"/>
      <c r="AC40" s="5">
        <f>_xlfn.TEXTJOIN(CHAR(10),TRUE,IF(Q40="","","• "&amp;Q40&amp;IF(R40="Yes","  [IPL]","")),IF(S40="","","• "&amp;S40&amp;IF(T40="Yes","  [IPL]","")),IF(U40="","","• "&amp;U40&amp;IF(V40="Yes","  [IPL]","")),IF(W40="","","• "&amp;W40&amp;IF(X40="Yes","  [IPL]","")),IF(Y40="","","• "&amp;Y40&amp;IF(Z40="Yes","  [IPL]","")),IF(AA40="","","• "&amp;AA40&amp;IF(AB40="Yes","  [IPL]","")))</f>
        <v/>
      </c>
      <c r="AD40" s="30">
        <f>IF(AC40="","",COUNTIF(Q40:AB40,"Yes"))</f>
        <v/>
      </c>
      <c r="AE40" s="19" t="n"/>
      <c r="AF40" s="19" t="n"/>
      <c r="AG40" s="30">
        <f>IF(OR(AE40="",AF40=""),"",INDEX(RiskGrid,6-VALUE(LEFT(AE40,1)),VALUE(LEFT(AF40,1))))</f>
        <v/>
      </c>
      <c r="AH40" s="30">
        <f>IF(AG40="","",IF(AG40&gt;=BandVH,"Very High",IF(AG40&gt;=BandHigh,"High",IF(AG40&gt;=BandMed,"Medium","Low"))))</f>
        <v/>
      </c>
      <c r="AI40" s="4" t="n"/>
      <c r="AJ40" s="4" t="n"/>
    </row>
    <row r="41">
      <c r="A41" s="30">
        <f>IF(B41="","",COUNTIF(B$14:B41,"?*"))</f>
        <v/>
      </c>
      <c r="B41" s="4" t="n"/>
      <c r="C41" s="19" t="n"/>
      <c r="D41" s="5">
        <f>IF(OR(B41="",C41=""),"",UPPER(LEFT(C41,1))&amp;LOWER(MID(C41,2,30))&amp;" "&amp;LOWER(LEFT(B41,1))&amp;MID(B41,2,200))</f>
        <v/>
      </c>
      <c r="E41" s="4" t="n"/>
      <c r="F41" s="4" t="n"/>
      <c r="G41" s="4" t="n"/>
      <c r="H41" s="4" t="n"/>
      <c r="I41" s="4" t="n"/>
      <c r="J41" s="4" t="n"/>
      <c r="K41" s="5">
        <f>_xlfn.TEXTJOIN(CHAR(10),TRUE,IF(E41="","","• "&amp;E41),IF(F41="","","• "&amp;F41),IF(G41="","","• "&amp;G41),IF(H41="","","• "&amp;H41),IF(I41="","","• "&amp;I41),IF(J41="","","• "&amp;J41))</f>
        <v/>
      </c>
      <c r="L41" s="4" t="n"/>
      <c r="M41" s="19" t="n"/>
      <c r="N41" s="19" t="n"/>
      <c r="O41" s="30">
        <f>IF(OR(M41="",N41=""),"",INDEX(RiskGrid,6-VALUE(LEFT(M41,1)),VALUE(LEFT(N41,1))))</f>
        <v/>
      </c>
      <c r="P41" s="30">
        <f>IF(O41="","",IF(O41&gt;=BandVH,"Very High",IF(O41&gt;=BandHigh,"High",IF(O41&gt;=BandMed,"Medium","Low"))))</f>
        <v/>
      </c>
      <c r="Q41" s="4" t="n"/>
      <c r="R41" s="19" t="n"/>
      <c r="S41" s="4" t="n"/>
      <c r="T41" s="19" t="n"/>
      <c r="U41" s="4" t="n"/>
      <c r="V41" s="19" t="n"/>
      <c r="W41" s="4" t="n"/>
      <c r="X41" s="19" t="n"/>
      <c r="Y41" s="4" t="n"/>
      <c r="Z41" s="19" t="n"/>
      <c r="AA41" s="4" t="n"/>
      <c r="AB41" s="19" t="n"/>
      <c r="AC41" s="5">
        <f>_xlfn.TEXTJOIN(CHAR(10),TRUE,IF(Q41="","","• "&amp;Q41&amp;IF(R41="Yes","  [IPL]","")),IF(S41="","","• "&amp;S41&amp;IF(T41="Yes","  [IPL]","")),IF(U41="","","• "&amp;U41&amp;IF(V41="Yes","  [IPL]","")),IF(W41="","","• "&amp;W41&amp;IF(X41="Yes","  [IPL]","")),IF(Y41="","","• "&amp;Y41&amp;IF(Z41="Yes","  [IPL]","")),IF(AA41="","","• "&amp;AA41&amp;IF(AB41="Yes","  [IPL]","")))</f>
        <v/>
      </c>
      <c r="AD41" s="30">
        <f>IF(AC41="","",COUNTIF(Q41:AB41,"Yes"))</f>
        <v/>
      </c>
      <c r="AE41" s="19" t="n"/>
      <c r="AF41" s="19" t="n"/>
      <c r="AG41" s="30">
        <f>IF(OR(AE41="",AF41=""),"",INDEX(RiskGrid,6-VALUE(LEFT(AE41,1)),VALUE(LEFT(AF41,1))))</f>
        <v/>
      </c>
      <c r="AH41" s="30">
        <f>IF(AG41="","",IF(AG41&gt;=BandVH,"Very High",IF(AG41&gt;=BandHigh,"High",IF(AG41&gt;=BandMed,"Medium","Low"))))</f>
        <v/>
      </c>
      <c r="AI41" s="4" t="n"/>
      <c r="AJ41" s="4" t="n"/>
    </row>
    <row r="42">
      <c r="A42" s="30">
        <f>IF(B42="","",COUNTIF(B$14:B42,"?*"))</f>
        <v/>
      </c>
      <c r="B42" s="4" t="n"/>
      <c r="C42" s="19" t="n"/>
      <c r="D42" s="5">
        <f>IF(OR(B42="",C42=""),"",UPPER(LEFT(C42,1))&amp;LOWER(MID(C42,2,30))&amp;" "&amp;LOWER(LEFT(B42,1))&amp;MID(B42,2,200))</f>
        <v/>
      </c>
      <c r="E42" s="4" t="n"/>
      <c r="F42" s="4" t="n"/>
      <c r="G42" s="4" t="n"/>
      <c r="H42" s="4" t="n"/>
      <c r="I42" s="4" t="n"/>
      <c r="J42" s="4" t="n"/>
      <c r="K42" s="5">
        <f>_xlfn.TEXTJOIN(CHAR(10),TRUE,IF(E42="","","• "&amp;E42),IF(F42="","","• "&amp;F42),IF(G42="","","• "&amp;G42),IF(H42="","","• "&amp;H42),IF(I42="","","• "&amp;I42),IF(J42="","","• "&amp;J42))</f>
        <v/>
      </c>
      <c r="L42" s="4" t="n"/>
      <c r="M42" s="19" t="n"/>
      <c r="N42" s="19" t="n"/>
      <c r="O42" s="30">
        <f>IF(OR(M42="",N42=""),"",INDEX(RiskGrid,6-VALUE(LEFT(M42,1)),VALUE(LEFT(N42,1))))</f>
        <v/>
      </c>
      <c r="P42" s="30">
        <f>IF(O42="","",IF(O42&gt;=BandVH,"Very High",IF(O42&gt;=BandHigh,"High",IF(O42&gt;=BandMed,"Medium","Low"))))</f>
        <v/>
      </c>
      <c r="Q42" s="4" t="n"/>
      <c r="R42" s="19" t="n"/>
      <c r="S42" s="4" t="n"/>
      <c r="T42" s="19" t="n"/>
      <c r="U42" s="4" t="n"/>
      <c r="V42" s="19" t="n"/>
      <c r="W42" s="4" t="n"/>
      <c r="X42" s="19" t="n"/>
      <c r="Y42" s="4" t="n"/>
      <c r="Z42" s="19" t="n"/>
      <c r="AA42" s="4" t="n"/>
      <c r="AB42" s="19" t="n"/>
      <c r="AC42" s="5">
        <f>_xlfn.TEXTJOIN(CHAR(10),TRUE,IF(Q42="","","• "&amp;Q42&amp;IF(R42="Yes","  [IPL]","")),IF(S42="","","• "&amp;S42&amp;IF(T42="Yes","  [IPL]","")),IF(U42="","","• "&amp;U42&amp;IF(V42="Yes","  [IPL]","")),IF(W42="","","• "&amp;W42&amp;IF(X42="Yes","  [IPL]","")),IF(Y42="","","• "&amp;Y42&amp;IF(Z42="Yes","  [IPL]","")),IF(AA42="","","• "&amp;AA42&amp;IF(AB42="Yes","  [IPL]","")))</f>
        <v/>
      </c>
      <c r="AD42" s="30">
        <f>IF(AC42="","",COUNTIF(Q42:AB42,"Yes"))</f>
        <v/>
      </c>
      <c r="AE42" s="19" t="n"/>
      <c r="AF42" s="19" t="n"/>
      <c r="AG42" s="30">
        <f>IF(OR(AE42="",AF42=""),"",INDEX(RiskGrid,6-VALUE(LEFT(AE42,1)),VALUE(LEFT(AF42,1))))</f>
        <v/>
      </c>
      <c r="AH42" s="30">
        <f>IF(AG42="","",IF(AG42&gt;=BandVH,"Very High",IF(AG42&gt;=BandHigh,"High",IF(AG42&gt;=BandMed,"Medium","Low"))))</f>
        <v/>
      </c>
      <c r="AI42" s="4" t="n"/>
      <c r="AJ42" s="4" t="n"/>
    </row>
    <row r="43">
      <c r="A43" s="30">
        <f>IF(B43="","",COUNTIF(B$14:B43,"?*"))</f>
        <v/>
      </c>
      <c r="B43" s="4" t="n"/>
      <c r="C43" s="19" t="n"/>
      <c r="D43" s="5">
        <f>IF(OR(B43="",C43=""),"",UPPER(LEFT(C43,1))&amp;LOWER(MID(C43,2,30))&amp;" "&amp;LOWER(LEFT(B43,1))&amp;MID(B43,2,200))</f>
        <v/>
      </c>
      <c r="E43" s="4" t="n"/>
      <c r="F43" s="4" t="n"/>
      <c r="G43" s="4" t="n"/>
      <c r="H43" s="4" t="n"/>
      <c r="I43" s="4" t="n"/>
      <c r="J43" s="4" t="n"/>
      <c r="K43" s="5">
        <f>_xlfn.TEXTJOIN(CHAR(10),TRUE,IF(E43="","","• "&amp;E43),IF(F43="","","• "&amp;F43),IF(G43="","","• "&amp;G43),IF(H43="","","• "&amp;H43),IF(I43="","","• "&amp;I43),IF(J43="","","• "&amp;J43))</f>
        <v/>
      </c>
      <c r="L43" s="4" t="n"/>
      <c r="M43" s="19" t="n"/>
      <c r="N43" s="19" t="n"/>
      <c r="O43" s="30">
        <f>IF(OR(M43="",N43=""),"",INDEX(RiskGrid,6-VALUE(LEFT(M43,1)),VALUE(LEFT(N43,1))))</f>
        <v/>
      </c>
      <c r="P43" s="30">
        <f>IF(O43="","",IF(O43&gt;=BandVH,"Very High",IF(O43&gt;=BandHigh,"High",IF(O43&gt;=BandMed,"Medium","Low"))))</f>
        <v/>
      </c>
      <c r="Q43" s="4" t="n"/>
      <c r="R43" s="19" t="n"/>
      <c r="S43" s="4" t="n"/>
      <c r="T43" s="19" t="n"/>
      <c r="U43" s="4" t="n"/>
      <c r="V43" s="19" t="n"/>
      <c r="W43" s="4" t="n"/>
      <c r="X43" s="19" t="n"/>
      <c r="Y43" s="4" t="n"/>
      <c r="Z43" s="19" t="n"/>
      <c r="AA43" s="4" t="n"/>
      <c r="AB43" s="19" t="n"/>
      <c r="AC43" s="5">
        <f>_xlfn.TEXTJOIN(CHAR(10),TRUE,IF(Q43="","","• "&amp;Q43&amp;IF(R43="Yes","  [IPL]","")),IF(S43="","","• "&amp;S43&amp;IF(T43="Yes","  [IPL]","")),IF(U43="","","• "&amp;U43&amp;IF(V43="Yes","  [IPL]","")),IF(W43="","","• "&amp;W43&amp;IF(X43="Yes","  [IPL]","")),IF(Y43="","","• "&amp;Y43&amp;IF(Z43="Yes","  [IPL]","")),IF(AA43="","","• "&amp;AA43&amp;IF(AB43="Yes","  [IPL]","")))</f>
        <v/>
      </c>
      <c r="AD43" s="30">
        <f>IF(AC43="","",COUNTIF(Q43:AB43,"Yes"))</f>
        <v/>
      </c>
      <c r="AE43" s="19" t="n"/>
      <c r="AF43" s="19" t="n"/>
      <c r="AG43" s="30">
        <f>IF(OR(AE43="",AF43=""),"",INDEX(RiskGrid,6-VALUE(LEFT(AE43,1)),VALUE(LEFT(AF43,1))))</f>
        <v/>
      </c>
      <c r="AH43" s="30">
        <f>IF(AG43="","",IF(AG43&gt;=BandVH,"Very High",IF(AG43&gt;=BandHigh,"High",IF(AG43&gt;=BandMed,"Medium","Low"))))</f>
        <v/>
      </c>
      <c r="AI43" s="4" t="n"/>
      <c r="AJ43" s="4" t="n"/>
    </row>
    <row r="44">
      <c r="A44" s="30">
        <f>IF(B44="","",COUNTIF(B$14:B44,"?*"))</f>
        <v/>
      </c>
      <c r="B44" s="4" t="n"/>
      <c r="C44" s="19" t="n"/>
      <c r="D44" s="5">
        <f>IF(OR(B44="",C44=""),"",UPPER(LEFT(C44,1))&amp;LOWER(MID(C44,2,30))&amp;" "&amp;LOWER(LEFT(B44,1))&amp;MID(B44,2,200))</f>
        <v/>
      </c>
      <c r="E44" s="4" t="n"/>
      <c r="F44" s="4" t="n"/>
      <c r="G44" s="4" t="n"/>
      <c r="H44" s="4" t="n"/>
      <c r="I44" s="4" t="n"/>
      <c r="J44" s="4" t="n"/>
      <c r="K44" s="5">
        <f>_xlfn.TEXTJOIN(CHAR(10),TRUE,IF(E44="","","• "&amp;E44),IF(F44="","","• "&amp;F44),IF(G44="","","• "&amp;G44),IF(H44="","","• "&amp;H44),IF(I44="","","• "&amp;I44),IF(J44="","","• "&amp;J44))</f>
        <v/>
      </c>
      <c r="L44" s="4" t="n"/>
      <c r="M44" s="19" t="n"/>
      <c r="N44" s="19" t="n"/>
      <c r="O44" s="30">
        <f>IF(OR(M44="",N44=""),"",INDEX(RiskGrid,6-VALUE(LEFT(M44,1)),VALUE(LEFT(N44,1))))</f>
        <v/>
      </c>
      <c r="P44" s="30">
        <f>IF(O44="","",IF(O44&gt;=BandVH,"Very High",IF(O44&gt;=BandHigh,"High",IF(O44&gt;=BandMed,"Medium","Low"))))</f>
        <v/>
      </c>
      <c r="Q44" s="4" t="n"/>
      <c r="R44" s="19" t="n"/>
      <c r="S44" s="4" t="n"/>
      <c r="T44" s="19" t="n"/>
      <c r="U44" s="4" t="n"/>
      <c r="V44" s="19" t="n"/>
      <c r="W44" s="4" t="n"/>
      <c r="X44" s="19" t="n"/>
      <c r="Y44" s="4" t="n"/>
      <c r="Z44" s="19" t="n"/>
      <c r="AA44" s="4" t="n"/>
      <c r="AB44" s="19" t="n"/>
      <c r="AC44" s="5">
        <f>_xlfn.TEXTJOIN(CHAR(10),TRUE,IF(Q44="","","• "&amp;Q44&amp;IF(R44="Yes","  [IPL]","")),IF(S44="","","• "&amp;S44&amp;IF(T44="Yes","  [IPL]","")),IF(U44="","","• "&amp;U44&amp;IF(V44="Yes","  [IPL]","")),IF(W44="","","• "&amp;W44&amp;IF(X44="Yes","  [IPL]","")),IF(Y44="","","• "&amp;Y44&amp;IF(Z44="Yes","  [IPL]","")),IF(AA44="","","• "&amp;AA44&amp;IF(AB44="Yes","  [IPL]","")))</f>
        <v/>
      </c>
      <c r="AD44" s="30">
        <f>IF(AC44="","",COUNTIF(Q44:AB44,"Yes"))</f>
        <v/>
      </c>
      <c r="AE44" s="19" t="n"/>
      <c r="AF44" s="19" t="n"/>
      <c r="AG44" s="30">
        <f>IF(OR(AE44="",AF44=""),"",INDEX(RiskGrid,6-VALUE(LEFT(AE44,1)),VALUE(LEFT(AF44,1))))</f>
        <v/>
      </c>
      <c r="AH44" s="30">
        <f>IF(AG44="","",IF(AG44&gt;=BandVH,"Very High",IF(AG44&gt;=BandHigh,"High",IF(AG44&gt;=BandMed,"Medium","Low"))))</f>
        <v/>
      </c>
      <c r="AI44" s="4" t="n"/>
      <c r="AJ44" s="4" t="n"/>
    </row>
    <row r="45">
      <c r="A45" s="30">
        <f>IF(B45="","",COUNTIF(B$14:B45,"?*"))</f>
        <v/>
      </c>
      <c r="B45" s="4" t="n"/>
      <c r="C45" s="19" t="n"/>
      <c r="D45" s="5">
        <f>IF(OR(B45="",C45=""),"",UPPER(LEFT(C45,1))&amp;LOWER(MID(C45,2,30))&amp;" "&amp;LOWER(LEFT(B45,1))&amp;MID(B45,2,200))</f>
        <v/>
      </c>
      <c r="E45" s="4" t="n"/>
      <c r="F45" s="4" t="n"/>
      <c r="G45" s="4" t="n"/>
      <c r="H45" s="4" t="n"/>
      <c r="I45" s="4" t="n"/>
      <c r="J45" s="4" t="n"/>
      <c r="K45" s="5">
        <f>_xlfn.TEXTJOIN(CHAR(10),TRUE,IF(E45="","","• "&amp;E45),IF(F45="","","• "&amp;F45),IF(G45="","","• "&amp;G45),IF(H45="","","• "&amp;H45),IF(I45="","","• "&amp;I45),IF(J45="","","• "&amp;J45))</f>
        <v/>
      </c>
      <c r="L45" s="4" t="n"/>
      <c r="M45" s="19" t="n"/>
      <c r="N45" s="19" t="n"/>
      <c r="O45" s="30">
        <f>IF(OR(M45="",N45=""),"",INDEX(RiskGrid,6-VALUE(LEFT(M45,1)),VALUE(LEFT(N45,1))))</f>
        <v/>
      </c>
      <c r="P45" s="30">
        <f>IF(O45="","",IF(O45&gt;=BandVH,"Very High",IF(O45&gt;=BandHigh,"High",IF(O45&gt;=BandMed,"Medium","Low"))))</f>
        <v/>
      </c>
      <c r="Q45" s="4" t="n"/>
      <c r="R45" s="19" t="n"/>
      <c r="S45" s="4" t="n"/>
      <c r="T45" s="19" t="n"/>
      <c r="U45" s="4" t="n"/>
      <c r="V45" s="19" t="n"/>
      <c r="W45" s="4" t="n"/>
      <c r="X45" s="19" t="n"/>
      <c r="Y45" s="4" t="n"/>
      <c r="Z45" s="19" t="n"/>
      <c r="AA45" s="4" t="n"/>
      <c r="AB45" s="19" t="n"/>
      <c r="AC45" s="5">
        <f>_xlfn.TEXTJOIN(CHAR(10),TRUE,IF(Q45="","","• "&amp;Q45&amp;IF(R45="Yes","  [IPL]","")),IF(S45="","","• "&amp;S45&amp;IF(T45="Yes","  [IPL]","")),IF(U45="","","• "&amp;U45&amp;IF(V45="Yes","  [IPL]","")),IF(W45="","","• "&amp;W45&amp;IF(X45="Yes","  [IPL]","")),IF(Y45="","","• "&amp;Y45&amp;IF(Z45="Yes","  [IPL]","")),IF(AA45="","","• "&amp;AA45&amp;IF(AB45="Yes","  [IPL]","")))</f>
        <v/>
      </c>
      <c r="AD45" s="30">
        <f>IF(AC45="","",COUNTIF(Q45:AB45,"Yes"))</f>
        <v/>
      </c>
      <c r="AE45" s="19" t="n"/>
      <c r="AF45" s="19" t="n"/>
      <c r="AG45" s="30">
        <f>IF(OR(AE45="",AF45=""),"",INDEX(RiskGrid,6-VALUE(LEFT(AE45,1)),VALUE(LEFT(AF45,1))))</f>
        <v/>
      </c>
      <c r="AH45" s="30">
        <f>IF(AG45="","",IF(AG45&gt;=BandVH,"Very High",IF(AG45&gt;=BandHigh,"High",IF(AG45&gt;=BandMed,"Medium","Low"))))</f>
        <v/>
      </c>
      <c r="AI45" s="4" t="n"/>
      <c r="AJ45" s="4" t="n"/>
    </row>
    <row r="46">
      <c r="A46" s="30">
        <f>IF(B46="","",COUNTIF(B$14:B46,"?*"))</f>
        <v/>
      </c>
      <c r="B46" s="4" t="n"/>
      <c r="C46" s="19" t="n"/>
      <c r="D46" s="5">
        <f>IF(OR(B46="",C46=""),"",UPPER(LEFT(C46,1))&amp;LOWER(MID(C46,2,30))&amp;" "&amp;LOWER(LEFT(B46,1))&amp;MID(B46,2,200))</f>
        <v/>
      </c>
      <c r="E46" s="4" t="n"/>
      <c r="F46" s="4" t="n"/>
      <c r="G46" s="4" t="n"/>
      <c r="H46" s="4" t="n"/>
      <c r="I46" s="4" t="n"/>
      <c r="J46" s="4" t="n"/>
      <c r="K46" s="5">
        <f>_xlfn.TEXTJOIN(CHAR(10),TRUE,IF(E46="","","• "&amp;E46),IF(F46="","","• "&amp;F46),IF(G46="","","• "&amp;G46),IF(H46="","","• "&amp;H46),IF(I46="","","• "&amp;I46),IF(J46="","","• "&amp;J46))</f>
        <v/>
      </c>
      <c r="L46" s="4" t="n"/>
      <c r="M46" s="19" t="n"/>
      <c r="N46" s="19" t="n"/>
      <c r="O46" s="30">
        <f>IF(OR(M46="",N46=""),"",INDEX(RiskGrid,6-VALUE(LEFT(M46,1)),VALUE(LEFT(N46,1))))</f>
        <v/>
      </c>
      <c r="P46" s="30">
        <f>IF(O46="","",IF(O46&gt;=BandVH,"Very High",IF(O46&gt;=BandHigh,"High",IF(O46&gt;=BandMed,"Medium","Low"))))</f>
        <v/>
      </c>
      <c r="Q46" s="4" t="n"/>
      <c r="R46" s="19" t="n"/>
      <c r="S46" s="4" t="n"/>
      <c r="T46" s="19" t="n"/>
      <c r="U46" s="4" t="n"/>
      <c r="V46" s="19" t="n"/>
      <c r="W46" s="4" t="n"/>
      <c r="X46" s="19" t="n"/>
      <c r="Y46" s="4" t="n"/>
      <c r="Z46" s="19" t="n"/>
      <c r="AA46" s="4" t="n"/>
      <c r="AB46" s="19" t="n"/>
      <c r="AC46" s="5">
        <f>_xlfn.TEXTJOIN(CHAR(10),TRUE,IF(Q46="","","• "&amp;Q46&amp;IF(R46="Yes","  [IPL]","")),IF(S46="","","• "&amp;S46&amp;IF(T46="Yes","  [IPL]","")),IF(U46="","","• "&amp;U46&amp;IF(V46="Yes","  [IPL]","")),IF(W46="","","• "&amp;W46&amp;IF(X46="Yes","  [IPL]","")),IF(Y46="","","• "&amp;Y46&amp;IF(Z46="Yes","  [IPL]","")),IF(AA46="","","• "&amp;AA46&amp;IF(AB46="Yes","  [IPL]","")))</f>
        <v/>
      </c>
      <c r="AD46" s="30">
        <f>IF(AC46="","",COUNTIF(Q46:AB46,"Yes"))</f>
        <v/>
      </c>
      <c r="AE46" s="19" t="n"/>
      <c r="AF46" s="19" t="n"/>
      <c r="AG46" s="30">
        <f>IF(OR(AE46="",AF46=""),"",INDEX(RiskGrid,6-VALUE(LEFT(AE46,1)),VALUE(LEFT(AF46,1))))</f>
        <v/>
      </c>
      <c r="AH46" s="30">
        <f>IF(AG46="","",IF(AG46&gt;=BandVH,"Very High",IF(AG46&gt;=BandHigh,"High",IF(AG46&gt;=BandMed,"Medium","Low"))))</f>
        <v/>
      </c>
      <c r="AI46" s="4" t="n"/>
      <c r="AJ46" s="4" t="n"/>
    </row>
    <row r="47">
      <c r="A47" s="30">
        <f>IF(B47="","",COUNTIF(B$14:B47,"?*"))</f>
        <v/>
      </c>
      <c r="B47" s="4" t="n"/>
      <c r="C47" s="19" t="n"/>
      <c r="D47" s="5">
        <f>IF(OR(B47="",C47=""),"",UPPER(LEFT(C47,1))&amp;LOWER(MID(C47,2,30))&amp;" "&amp;LOWER(LEFT(B47,1))&amp;MID(B47,2,200))</f>
        <v/>
      </c>
      <c r="E47" s="4" t="n"/>
      <c r="F47" s="4" t="n"/>
      <c r="G47" s="4" t="n"/>
      <c r="H47" s="4" t="n"/>
      <c r="I47" s="4" t="n"/>
      <c r="J47" s="4" t="n"/>
      <c r="K47" s="5">
        <f>_xlfn.TEXTJOIN(CHAR(10),TRUE,IF(E47="","","• "&amp;E47),IF(F47="","","• "&amp;F47),IF(G47="","","• "&amp;G47),IF(H47="","","• "&amp;H47),IF(I47="","","• "&amp;I47),IF(J47="","","• "&amp;J47))</f>
        <v/>
      </c>
      <c r="L47" s="4" t="n"/>
      <c r="M47" s="19" t="n"/>
      <c r="N47" s="19" t="n"/>
      <c r="O47" s="30">
        <f>IF(OR(M47="",N47=""),"",INDEX(RiskGrid,6-VALUE(LEFT(M47,1)),VALUE(LEFT(N47,1))))</f>
        <v/>
      </c>
      <c r="P47" s="30">
        <f>IF(O47="","",IF(O47&gt;=BandVH,"Very High",IF(O47&gt;=BandHigh,"High",IF(O47&gt;=BandMed,"Medium","Low"))))</f>
        <v/>
      </c>
      <c r="Q47" s="4" t="n"/>
      <c r="R47" s="19" t="n"/>
      <c r="S47" s="4" t="n"/>
      <c r="T47" s="19" t="n"/>
      <c r="U47" s="4" t="n"/>
      <c r="V47" s="19" t="n"/>
      <c r="W47" s="4" t="n"/>
      <c r="X47" s="19" t="n"/>
      <c r="Y47" s="4" t="n"/>
      <c r="Z47" s="19" t="n"/>
      <c r="AA47" s="4" t="n"/>
      <c r="AB47" s="19" t="n"/>
      <c r="AC47" s="5">
        <f>_xlfn.TEXTJOIN(CHAR(10),TRUE,IF(Q47="","","• "&amp;Q47&amp;IF(R47="Yes","  [IPL]","")),IF(S47="","","• "&amp;S47&amp;IF(T47="Yes","  [IPL]","")),IF(U47="","","• "&amp;U47&amp;IF(V47="Yes","  [IPL]","")),IF(W47="","","• "&amp;W47&amp;IF(X47="Yes","  [IPL]","")),IF(Y47="","","• "&amp;Y47&amp;IF(Z47="Yes","  [IPL]","")),IF(AA47="","","• "&amp;AA47&amp;IF(AB47="Yes","  [IPL]","")))</f>
        <v/>
      </c>
      <c r="AD47" s="30">
        <f>IF(AC47="","",COUNTIF(Q47:AB47,"Yes"))</f>
        <v/>
      </c>
      <c r="AE47" s="19" t="n"/>
      <c r="AF47" s="19" t="n"/>
      <c r="AG47" s="30">
        <f>IF(OR(AE47="",AF47=""),"",INDEX(RiskGrid,6-VALUE(LEFT(AE47,1)),VALUE(LEFT(AF47,1))))</f>
        <v/>
      </c>
      <c r="AH47" s="30">
        <f>IF(AG47="","",IF(AG47&gt;=BandVH,"Very High",IF(AG47&gt;=BandHigh,"High",IF(AG47&gt;=BandMed,"Medium","Low"))))</f>
        <v/>
      </c>
      <c r="AI47" s="4" t="n"/>
      <c r="AJ47" s="4" t="n"/>
    </row>
    <row r="48">
      <c r="A48" s="30">
        <f>IF(B48="","",COUNTIF(B$14:B48,"?*"))</f>
        <v/>
      </c>
      <c r="B48" s="4" t="n"/>
      <c r="C48" s="19" t="n"/>
      <c r="D48" s="5">
        <f>IF(OR(B48="",C48=""),"",UPPER(LEFT(C48,1))&amp;LOWER(MID(C48,2,30))&amp;" "&amp;LOWER(LEFT(B48,1))&amp;MID(B48,2,200))</f>
        <v/>
      </c>
      <c r="E48" s="4" t="n"/>
      <c r="F48" s="4" t="n"/>
      <c r="G48" s="4" t="n"/>
      <c r="H48" s="4" t="n"/>
      <c r="I48" s="4" t="n"/>
      <c r="J48" s="4" t="n"/>
      <c r="K48" s="5">
        <f>_xlfn.TEXTJOIN(CHAR(10),TRUE,IF(E48="","","• "&amp;E48),IF(F48="","","• "&amp;F48),IF(G48="","","• "&amp;G48),IF(H48="","","• "&amp;H48),IF(I48="","","• "&amp;I48),IF(J48="","","• "&amp;J48))</f>
        <v/>
      </c>
      <c r="L48" s="4" t="n"/>
      <c r="M48" s="19" t="n"/>
      <c r="N48" s="19" t="n"/>
      <c r="O48" s="30">
        <f>IF(OR(M48="",N48=""),"",INDEX(RiskGrid,6-VALUE(LEFT(M48,1)),VALUE(LEFT(N48,1))))</f>
        <v/>
      </c>
      <c r="P48" s="30">
        <f>IF(O48="","",IF(O48&gt;=BandVH,"Very High",IF(O48&gt;=BandHigh,"High",IF(O48&gt;=BandMed,"Medium","Low"))))</f>
        <v/>
      </c>
      <c r="Q48" s="4" t="n"/>
      <c r="R48" s="19" t="n"/>
      <c r="S48" s="4" t="n"/>
      <c r="T48" s="19" t="n"/>
      <c r="U48" s="4" t="n"/>
      <c r="V48" s="19" t="n"/>
      <c r="W48" s="4" t="n"/>
      <c r="X48" s="19" t="n"/>
      <c r="Y48" s="4" t="n"/>
      <c r="Z48" s="19" t="n"/>
      <c r="AA48" s="4" t="n"/>
      <c r="AB48" s="19" t="n"/>
      <c r="AC48" s="5">
        <f>_xlfn.TEXTJOIN(CHAR(10),TRUE,IF(Q48="","","• "&amp;Q48&amp;IF(R48="Yes","  [IPL]","")),IF(S48="","","• "&amp;S48&amp;IF(T48="Yes","  [IPL]","")),IF(U48="","","• "&amp;U48&amp;IF(V48="Yes","  [IPL]","")),IF(W48="","","• "&amp;W48&amp;IF(X48="Yes","  [IPL]","")),IF(Y48="","","• "&amp;Y48&amp;IF(Z48="Yes","  [IPL]","")),IF(AA48="","","• "&amp;AA48&amp;IF(AB48="Yes","  [IPL]","")))</f>
        <v/>
      </c>
      <c r="AD48" s="30">
        <f>IF(AC48="","",COUNTIF(Q48:AB48,"Yes"))</f>
        <v/>
      </c>
      <c r="AE48" s="19" t="n"/>
      <c r="AF48" s="19" t="n"/>
      <c r="AG48" s="30">
        <f>IF(OR(AE48="",AF48=""),"",INDEX(RiskGrid,6-VALUE(LEFT(AE48,1)),VALUE(LEFT(AF48,1))))</f>
        <v/>
      </c>
      <c r="AH48" s="30">
        <f>IF(AG48="","",IF(AG48&gt;=BandVH,"Very High",IF(AG48&gt;=BandHigh,"High",IF(AG48&gt;=BandMed,"Medium","Low"))))</f>
        <v/>
      </c>
      <c r="AI48" s="4" t="n"/>
      <c r="AJ48" s="4" t="n"/>
    </row>
    <row r="49">
      <c r="A49" s="30">
        <f>IF(B49="","",COUNTIF(B$14:B49,"?*"))</f>
        <v/>
      </c>
      <c r="B49" s="4" t="n"/>
      <c r="C49" s="19" t="n"/>
      <c r="D49" s="5">
        <f>IF(OR(B49="",C49=""),"",UPPER(LEFT(C49,1))&amp;LOWER(MID(C49,2,30))&amp;" "&amp;LOWER(LEFT(B49,1))&amp;MID(B49,2,200))</f>
        <v/>
      </c>
      <c r="E49" s="4" t="n"/>
      <c r="F49" s="4" t="n"/>
      <c r="G49" s="4" t="n"/>
      <c r="H49" s="4" t="n"/>
      <c r="I49" s="4" t="n"/>
      <c r="J49" s="4" t="n"/>
      <c r="K49" s="5">
        <f>_xlfn.TEXTJOIN(CHAR(10),TRUE,IF(E49="","","• "&amp;E49),IF(F49="","","• "&amp;F49),IF(G49="","","• "&amp;G49),IF(H49="","","• "&amp;H49),IF(I49="","","• "&amp;I49),IF(J49="","","• "&amp;J49))</f>
        <v/>
      </c>
      <c r="L49" s="4" t="n"/>
      <c r="M49" s="19" t="n"/>
      <c r="N49" s="19" t="n"/>
      <c r="O49" s="30">
        <f>IF(OR(M49="",N49=""),"",INDEX(RiskGrid,6-VALUE(LEFT(M49,1)),VALUE(LEFT(N49,1))))</f>
        <v/>
      </c>
      <c r="P49" s="30">
        <f>IF(O49="","",IF(O49&gt;=BandVH,"Very High",IF(O49&gt;=BandHigh,"High",IF(O49&gt;=BandMed,"Medium","Low"))))</f>
        <v/>
      </c>
      <c r="Q49" s="4" t="n"/>
      <c r="R49" s="19" t="n"/>
      <c r="S49" s="4" t="n"/>
      <c r="T49" s="19" t="n"/>
      <c r="U49" s="4" t="n"/>
      <c r="V49" s="19" t="n"/>
      <c r="W49" s="4" t="n"/>
      <c r="X49" s="19" t="n"/>
      <c r="Y49" s="4" t="n"/>
      <c r="Z49" s="19" t="n"/>
      <c r="AA49" s="4" t="n"/>
      <c r="AB49" s="19" t="n"/>
      <c r="AC49" s="5">
        <f>_xlfn.TEXTJOIN(CHAR(10),TRUE,IF(Q49="","","• "&amp;Q49&amp;IF(R49="Yes","  [IPL]","")),IF(S49="","","• "&amp;S49&amp;IF(T49="Yes","  [IPL]","")),IF(U49="","","• "&amp;U49&amp;IF(V49="Yes","  [IPL]","")),IF(W49="","","• "&amp;W49&amp;IF(X49="Yes","  [IPL]","")),IF(Y49="","","• "&amp;Y49&amp;IF(Z49="Yes","  [IPL]","")),IF(AA49="","","• "&amp;AA49&amp;IF(AB49="Yes","  [IPL]","")))</f>
        <v/>
      </c>
      <c r="AD49" s="30">
        <f>IF(AC49="","",COUNTIF(Q49:AB49,"Yes"))</f>
        <v/>
      </c>
      <c r="AE49" s="19" t="n"/>
      <c r="AF49" s="19" t="n"/>
      <c r="AG49" s="30">
        <f>IF(OR(AE49="",AF49=""),"",INDEX(RiskGrid,6-VALUE(LEFT(AE49,1)),VALUE(LEFT(AF49,1))))</f>
        <v/>
      </c>
      <c r="AH49" s="30">
        <f>IF(AG49="","",IF(AG49&gt;=BandVH,"Very High",IF(AG49&gt;=BandHigh,"High",IF(AG49&gt;=BandMed,"Medium","Low"))))</f>
        <v/>
      </c>
      <c r="AI49" s="4" t="n"/>
      <c r="AJ49" s="4" t="n"/>
    </row>
    <row r="50">
      <c r="A50" s="30">
        <f>IF(B50="","",COUNTIF(B$14:B50,"?*"))</f>
        <v/>
      </c>
      <c r="B50" s="4" t="n"/>
      <c r="C50" s="19" t="n"/>
      <c r="D50" s="5">
        <f>IF(OR(B50="",C50=""),"",UPPER(LEFT(C50,1))&amp;LOWER(MID(C50,2,30))&amp;" "&amp;LOWER(LEFT(B50,1))&amp;MID(B50,2,200))</f>
        <v/>
      </c>
      <c r="E50" s="4" t="n"/>
      <c r="F50" s="4" t="n"/>
      <c r="G50" s="4" t="n"/>
      <c r="H50" s="4" t="n"/>
      <c r="I50" s="4" t="n"/>
      <c r="J50" s="4" t="n"/>
      <c r="K50" s="5">
        <f>_xlfn.TEXTJOIN(CHAR(10),TRUE,IF(E50="","","• "&amp;E50),IF(F50="","","• "&amp;F50),IF(G50="","","• "&amp;G50),IF(H50="","","• "&amp;H50),IF(I50="","","• "&amp;I50),IF(J50="","","• "&amp;J50))</f>
        <v/>
      </c>
      <c r="L50" s="4" t="n"/>
      <c r="M50" s="19" t="n"/>
      <c r="N50" s="19" t="n"/>
      <c r="O50" s="30">
        <f>IF(OR(M50="",N50=""),"",INDEX(RiskGrid,6-VALUE(LEFT(M50,1)),VALUE(LEFT(N50,1))))</f>
        <v/>
      </c>
      <c r="P50" s="30">
        <f>IF(O50="","",IF(O50&gt;=BandVH,"Very High",IF(O50&gt;=BandHigh,"High",IF(O50&gt;=BandMed,"Medium","Low"))))</f>
        <v/>
      </c>
      <c r="Q50" s="4" t="n"/>
      <c r="R50" s="19" t="n"/>
      <c r="S50" s="4" t="n"/>
      <c r="T50" s="19" t="n"/>
      <c r="U50" s="4" t="n"/>
      <c r="V50" s="19" t="n"/>
      <c r="W50" s="4" t="n"/>
      <c r="X50" s="19" t="n"/>
      <c r="Y50" s="4" t="n"/>
      <c r="Z50" s="19" t="n"/>
      <c r="AA50" s="4" t="n"/>
      <c r="AB50" s="19" t="n"/>
      <c r="AC50" s="5">
        <f>_xlfn.TEXTJOIN(CHAR(10),TRUE,IF(Q50="","","• "&amp;Q50&amp;IF(R50="Yes","  [IPL]","")),IF(S50="","","• "&amp;S50&amp;IF(T50="Yes","  [IPL]","")),IF(U50="","","• "&amp;U50&amp;IF(V50="Yes","  [IPL]","")),IF(W50="","","• "&amp;W50&amp;IF(X50="Yes","  [IPL]","")),IF(Y50="","","• "&amp;Y50&amp;IF(Z50="Yes","  [IPL]","")),IF(AA50="","","• "&amp;AA50&amp;IF(AB50="Yes","  [IPL]","")))</f>
        <v/>
      </c>
      <c r="AD50" s="30">
        <f>IF(AC50="","",COUNTIF(Q50:AB50,"Yes"))</f>
        <v/>
      </c>
      <c r="AE50" s="19" t="n"/>
      <c r="AF50" s="19" t="n"/>
      <c r="AG50" s="30">
        <f>IF(OR(AE50="",AF50=""),"",INDEX(RiskGrid,6-VALUE(LEFT(AE50,1)),VALUE(LEFT(AF50,1))))</f>
        <v/>
      </c>
      <c r="AH50" s="30">
        <f>IF(AG50="","",IF(AG50&gt;=BandVH,"Very High",IF(AG50&gt;=BandHigh,"High",IF(AG50&gt;=BandMed,"Medium","Low"))))</f>
        <v/>
      </c>
      <c r="AI50" s="4" t="n"/>
      <c r="AJ50" s="4" t="n"/>
    </row>
    <row r="51">
      <c r="A51" s="30">
        <f>IF(B51="","",COUNTIF(B$14:B51,"?*"))</f>
        <v/>
      </c>
      <c r="B51" s="4" t="n"/>
      <c r="C51" s="19" t="n"/>
      <c r="D51" s="5">
        <f>IF(OR(B51="",C51=""),"",UPPER(LEFT(C51,1))&amp;LOWER(MID(C51,2,30))&amp;" "&amp;LOWER(LEFT(B51,1))&amp;MID(B51,2,200))</f>
        <v/>
      </c>
      <c r="E51" s="4" t="n"/>
      <c r="F51" s="4" t="n"/>
      <c r="G51" s="4" t="n"/>
      <c r="H51" s="4" t="n"/>
      <c r="I51" s="4" t="n"/>
      <c r="J51" s="4" t="n"/>
      <c r="K51" s="5">
        <f>_xlfn.TEXTJOIN(CHAR(10),TRUE,IF(E51="","","• "&amp;E51),IF(F51="","","• "&amp;F51),IF(G51="","","• "&amp;G51),IF(H51="","","• "&amp;H51),IF(I51="","","• "&amp;I51),IF(J51="","","• "&amp;J51))</f>
        <v/>
      </c>
      <c r="L51" s="4" t="n"/>
      <c r="M51" s="19" t="n"/>
      <c r="N51" s="19" t="n"/>
      <c r="O51" s="30">
        <f>IF(OR(M51="",N51=""),"",INDEX(RiskGrid,6-VALUE(LEFT(M51,1)),VALUE(LEFT(N51,1))))</f>
        <v/>
      </c>
      <c r="P51" s="30">
        <f>IF(O51="","",IF(O51&gt;=BandVH,"Very High",IF(O51&gt;=BandHigh,"High",IF(O51&gt;=BandMed,"Medium","Low"))))</f>
        <v/>
      </c>
      <c r="Q51" s="4" t="n"/>
      <c r="R51" s="19" t="n"/>
      <c r="S51" s="4" t="n"/>
      <c r="T51" s="19" t="n"/>
      <c r="U51" s="4" t="n"/>
      <c r="V51" s="19" t="n"/>
      <c r="W51" s="4" t="n"/>
      <c r="X51" s="19" t="n"/>
      <c r="Y51" s="4" t="n"/>
      <c r="Z51" s="19" t="n"/>
      <c r="AA51" s="4" t="n"/>
      <c r="AB51" s="19" t="n"/>
      <c r="AC51" s="5">
        <f>_xlfn.TEXTJOIN(CHAR(10),TRUE,IF(Q51="","","• "&amp;Q51&amp;IF(R51="Yes","  [IPL]","")),IF(S51="","","• "&amp;S51&amp;IF(T51="Yes","  [IPL]","")),IF(U51="","","• "&amp;U51&amp;IF(V51="Yes","  [IPL]","")),IF(W51="","","• "&amp;W51&amp;IF(X51="Yes","  [IPL]","")),IF(Y51="","","• "&amp;Y51&amp;IF(Z51="Yes","  [IPL]","")),IF(AA51="","","• "&amp;AA51&amp;IF(AB51="Yes","  [IPL]","")))</f>
        <v/>
      </c>
      <c r="AD51" s="30">
        <f>IF(AC51="","",COUNTIF(Q51:AB51,"Yes"))</f>
        <v/>
      </c>
      <c r="AE51" s="19" t="n"/>
      <c r="AF51" s="19" t="n"/>
      <c r="AG51" s="30">
        <f>IF(OR(AE51="",AF51=""),"",INDEX(RiskGrid,6-VALUE(LEFT(AE51,1)),VALUE(LEFT(AF51,1))))</f>
        <v/>
      </c>
      <c r="AH51" s="30">
        <f>IF(AG51="","",IF(AG51&gt;=BandVH,"Very High",IF(AG51&gt;=BandHigh,"High",IF(AG51&gt;=BandMed,"Medium","Low"))))</f>
        <v/>
      </c>
      <c r="AI51" s="4" t="n"/>
      <c r="AJ51" s="4" t="n"/>
    </row>
    <row r="52">
      <c r="A52" s="30">
        <f>IF(B52="","",COUNTIF(B$14:B52,"?*"))</f>
        <v/>
      </c>
      <c r="B52" s="4" t="n"/>
      <c r="C52" s="19" t="n"/>
      <c r="D52" s="5">
        <f>IF(OR(B52="",C52=""),"",UPPER(LEFT(C52,1))&amp;LOWER(MID(C52,2,30))&amp;" "&amp;LOWER(LEFT(B52,1))&amp;MID(B52,2,200))</f>
        <v/>
      </c>
      <c r="E52" s="4" t="n"/>
      <c r="F52" s="4" t="n"/>
      <c r="G52" s="4" t="n"/>
      <c r="H52" s="4" t="n"/>
      <c r="I52" s="4" t="n"/>
      <c r="J52" s="4" t="n"/>
      <c r="K52" s="5">
        <f>_xlfn.TEXTJOIN(CHAR(10),TRUE,IF(E52="","","• "&amp;E52),IF(F52="","","• "&amp;F52),IF(G52="","","• "&amp;G52),IF(H52="","","• "&amp;H52),IF(I52="","","• "&amp;I52),IF(J52="","","• "&amp;J52))</f>
        <v/>
      </c>
      <c r="L52" s="4" t="n"/>
      <c r="M52" s="19" t="n"/>
      <c r="N52" s="19" t="n"/>
      <c r="O52" s="30">
        <f>IF(OR(M52="",N52=""),"",INDEX(RiskGrid,6-VALUE(LEFT(M52,1)),VALUE(LEFT(N52,1))))</f>
        <v/>
      </c>
      <c r="P52" s="30">
        <f>IF(O52="","",IF(O52&gt;=BandVH,"Very High",IF(O52&gt;=BandHigh,"High",IF(O52&gt;=BandMed,"Medium","Low"))))</f>
        <v/>
      </c>
      <c r="Q52" s="4" t="n"/>
      <c r="R52" s="19" t="n"/>
      <c r="S52" s="4" t="n"/>
      <c r="T52" s="19" t="n"/>
      <c r="U52" s="4" t="n"/>
      <c r="V52" s="19" t="n"/>
      <c r="W52" s="4" t="n"/>
      <c r="X52" s="19" t="n"/>
      <c r="Y52" s="4" t="n"/>
      <c r="Z52" s="19" t="n"/>
      <c r="AA52" s="4" t="n"/>
      <c r="AB52" s="19" t="n"/>
      <c r="AC52" s="5">
        <f>_xlfn.TEXTJOIN(CHAR(10),TRUE,IF(Q52="","","• "&amp;Q52&amp;IF(R52="Yes","  [IPL]","")),IF(S52="","","• "&amp;S52&amp;IF(T52="Yes","  [IPL]","")),IF(U52="","","• "&amp;U52&amp;IF(V52="Yes","  [IPL]","")),IF(W52="","","• "&amp;W52&amp;IF(X52="Yes","  [IPL]","")),IF(Y52="","","• "&amp;Y52&amp;IF(Z52="Yes","  [IPL]","")),IF(AA52="","","• "&amp;AA52&amp;IF(AB52="Yes","  [IPL]","")))</f>
        <v/>
      </c>
      <c r="AD52" s="30">
        <f>IF(AC52="","",COUNTIF(Q52:AB52,"Yes"))</f>
        <v/>
      </c>
      <c r="AE52" s="19" t="n"/>
      <c r="AF52" s="19" t="n"/>
      <c r="AG52" s="30">
        <f>IF(OR(AE52="",AF52=""),"",INDEX(RiskGrid,6-VALUE(LEFT(AE52,1)),VALUE(LEFT(AF52,1))))</f>
        <v/>
      </c>
      <c r="AH52" s="30">
        <f>IF(AG52="","",IF(AG52&gt;=BandVH,"Very High",IF(AG52&gt;=BandHigh,"High",IF(AG52&gt;=BandMed,"Medium","Low"))))</f>
        <v/>
      </c>
      <c r="AI52" s="4" t="n"/>
      <c r="AJ52" s="4" t="n"/>
    </row>
    <row r="53">
      <c r="A53" s="30">
        <f>IF(B53="","",COUNTIF(B$14:B53,"?*"))</f>
        <v/>
      </c>
      <c r="B53" s="4" t="n"/>
      <c r="C53" s="19" t="n"/>
      <c r="D53" s="5">
        <f>IF(OR(B53="",C53=""),"",UPPER(LEFT(C53,1))&amp;LOWER(MID(C53,2,30))&amp;" "&amp;LOWER(LEFT(B53,1))&amp;MID(B53,2,200))</f>
        <v/>
      </c>
      <c r="E53" s="4" t="n"/>
      <c r="F53" s="4" t="n"/>
      <c r="G53" s="4" t="n"/>
      <c r="H53" s="4" t="n"/>
      <c r="I53" s="4" t="n"/>
      <c r="J53" s="4" t="n"/>
      <c r="K53" s="5">
        <f>_xlfn.TEXTJOIN(CHAR(10),TRUE,IF(E53="","","• "&amp;E53),IF(F53="","","• "&amp;F53),IF(G53="","","• "&amp;G53),IF(H53="","","• "&amp;H53),IF(I53="","","• "&amp;I53),IF(J53="","","• "&amp;J53))</f>
        <v/>
      </c>
      <c r="L53" s="4" t="n"/>
      <c r="M53" s="19" t="n"/>
      <c r="N53" s="19" t="n"/>
      <c r="O53" s="30">
        <f>IF(OR(M53="",N53=""),"",INDEX(RiskGrid,6-VALUE(LEFT(M53,1)),VALUE(LEFT(N53,1))))</f>
        <v/>
      </c>
      <c r="P53" s="30">
        <f>IF(O53="","",IF(O53&gt;=BandVH,"Very High",IF(O53&gt;=BandHigh,"High",IF(O53&gt;=BandMed,"Medium","Low"))))</f>
        <v/>
      </c>
      <c r="Q53" s="4" t="n"/>
      <c r="R53" s="19" t="n"/>
      <c r="S53" s="4" t="n"/>
      <c r="T53" s="19" t="n"/>
      <c r="U53" s="4" t="n"/>
      <c r="V53" s="19" t="n"/>
      <c r="W53" s="4" t="n"/>
      <c r="X53" s="19" t="n"/>
      <c r="Y53" s="4" t="n"/>
      <c r="Z53" s="19" t="n"/>
      <c r="AA53" s="4" t="n"/>
      <c r="AB53" s="19" t="n"/>
      <c r="AC53" s="5">
        <f>_xlfn.TEXTJOIN(CHAR(10),TRUE,IF(Q53="","","• "&amp;Q53&amp;IF(R53="Yes","  [IPL]","")),IF(S53="","","• "&amp;S53&amp;IF(T53="Yes","  [IPL]","")),IF(U53="","","• "&amp;U53&amp;IF(V53="Yes","  [IPL]","")),IF(W53="","","• "&amp;W53&amp;IF(X53="Yes","  [IPL]","")),IF(Y53="","","• "&amp;Y53&amp;IF(Z53="Yes","  [IPL]","")),IF(AA53="","","• "&amp;AA53&amp;IF(AB53="Yes","  [IPL]","")))</f>
        <v/>
      </c>
      <c r="AD53" s="30">
        <f>IF(AC53="","",COUNTIF(Q53:AB53,"Yes"))</f>
        <v/>
      </c>
      <c r="AE53" s="19" t="n"/>
      <c r="AF53" s="19" t="n"/>
      <c r="AG53" s="30">
        <f>IF(OR(AE53="",AF53=""),"",INDEX(RiskGrid,6-VALUE(LEFT(AE53,1)),VALUE(LEFT(AF53,1))))</f>
        <v/>
      </c>
      <c r="AH53" s="30">
        <f>IF(AG53="","",IF(AG53&gt;=BandVH,"Very High",IF(AG53&gt;=BandHigh,"High",IF(AG53&gt;=BandMed,"Medium","Low"))))</f>
        <v/>
      </c>
      <c r="AI53" s="4" t="n"/>
      <c r="AJ53" s="4" t="n"/>
    </row>
    <row r="54">
      <c r="A54" s="30">
        <f>IF(B54="","",COUNTIF(B$14:B54,"?*"))</f>
        <v/>
      </c>
      <c r="B54" s="4" t="n"/>
      <c r="C54" s="19" t="n"/>
      <c r="D54" s="5">
        <f>IF(OR(B54="",C54=""),"",UPPER(LEFT(C54,1))&amp;LOWER(MID(C54,2,30))&amp;" "&amp;LOWER(LEFT(B54,1))&amp;MID(B54,2,200))</f>
        <v/>
      </c>
      <c r="E54" s="4" t="n"/>
      <c r="F54" s="4" t="n"/>
      <c r="G54" s="4" t="n"/>
      <c r="H54" s="4" t="n"/>
      <c r="I54" s="4" t="n"/>
      <c r="J54" s="4" t="n"/>
      <c r="K54" s="5">
        <f>_xlfn.TEXTJOIN(CHAR(10),TRUE,IF(E54="","","• "&amp;E54),IF(F54="","","• "&amp;F54),IF(G54="","","• "&amp;G54),IF(H54="","","• "&amp;H54),IF(I54="","","• "&amp;I54),IF(J54="","","• "&amp;J54))</f>
        <v/>
      </c>
      <c r="L54" s="4" t="n"/>
      <c r="M54" s="19" t="n"/>
      <c r="N54" s="19" t="n"/>
      <c r="O54" s="30">
        <f>IF(OR(M54="",N54=""),"",INDEX(RiskGrid,6-VALUE(LEFT(M54,1)),VALUE(LEFT(N54,1))))</f>
        <v/>
      </c>
      <c r="P54" s="30">
        <f>IF(O54="","",IF(O54&gt;=BandVH,"Very High",IF(O54&gt;=BandHigh,"High",IF(O54&gt;=BandMed,"Medium","Low"))))</f>
        <v/>
      </c>
      <c r="Q54" s="4" t="n"/>
      <c r="R54" s="19" t="n"/>
      <c r="S54" s="4" t="n"/>
      <c r="T54" s="19" t="n"/>
      <c r="U54" s="4" t="n"/>
      <c r="V54" s="19" t="n"/>
      <c r="W54" s="4" t="n"/>
      <c r="X54" s="19" t="n"/>
      <c r="Y54" s="4" t="n"/>
      <c r="Z54" s="19" t="n"/>
      <c r="AA54" s="4" t="n"/>
      <c r="AB54" s="19" t="n"/>
      <c r="AC54" s="5">
        <f>_xlfn.TEXTJOIN(CHAR(10),TRUE,IF(Q54="","","• "&amp;Q54&amp;IF(R54="Yes","  [IPL]","")),IF(S54="","","• "&amp;S54&amp;IF(T54="Yes","  [IPL]","")),IF(U54="","","• "&amp;U54&amp;IF(V54="Yes","  [IPL]","")),IF(W54="","","• "&amp;W54&amp;IF(X54="Yes","  [IPL]","")),IF(Y54="","","• "&amp;Y54&amp;IF(Z54="Yes","  [IPL]","")),IF(AA54="","","• "&amp;AA54&amp;IF(AB54="Yes","  [IPL]","")))</f>
        <v/>
      </c>
      <c r="AD54" s="30">
        <f>IF(AC54="","",COUNTIF(Q54:AB54,"Yes"))</f>
        <v/>
      </c>
      <c r="AE54" s="19" t="n"/>
      <c r="AF54" s="19" t="n"/>
      <c r="AG54" s="30">
        <f>IF(OR(AE54="",AF54=""),"",INDEX(RiskGrid,6-VALUE(LEFT(AE54,1)),VALUE(LEFT(AF54,1))))</f>
        <v/>
      </c>
      <c r="AH54" s="30">
        <f>IF(AG54="","",IF(AG54&gt;=BandVH,"Very High",IF(AG54&gt;=BandHigh,"High",IF(AG54&gt;=BandMed,"Medium","Low"))))</f>
        <v/>
      </c>
      <c r="AI54" s="4" t="n"/>
      <c r="AJ54" s="4" t="n"/>
    </row>
    <row r="55">
      <c r="A55" s="30">
        <f>IF(B55="","",COUNTIF(B$14:B55,"?*"))</f>
        <v/>
      </c>
      <c r="B55" s="4" t="n"/>
      <c r="C55" s="19" t="n"/>
      <c r="D55" s="5">
        <f>IF(OR(B55="",C55=""),"",UPPER(LEFT(C55,1))&amp;LOWER(MID(C55,2,30))&amp;" "&amp;LOWER(LEFT(B55,1))&amp;MID(B55,2,200))</f>
        <v/>
      </c>
      <c r="E55" s="4" t="n"/>
      <c r="F55" s="4" t="n"/>
      <c r="G55" s="4" t="n"/>
      <c r="H55" s="4" t="n"/>
      <c r="I55" s="4" t="n"/>
      <c r="J55" s="4" t="n"/>
      <c r="K55" s="5">
        <f>_xlfn.TEXTJOIN(CHAR(10),TRUE,IF(E55="","","• "&amp;E55),IF(F55="","","• "&amp;F55),IF(G55="","","• "&amp;G55),IF(H55="","","• "&amp;H55),IF(I55="","","• "&amp;I55),IF(J55="","","• "&amp;J55))</f>
        <v/>
      </c>
      <c r="L55" s="4" t="n"/>
      <c r="M55" s="19" t="n"/>
      <c r="N55" s="19" t="n"/>
      <c r="O55" s="30">
        <f>IF(OR(M55="",N55=""),"",INDEX(RiskGrid,6-VALUE(LEFT(M55,1)),VALUE(LEFT(N55,1))))</f>
        <v/>
      </c>
      <c r="P55" s="30">
        <f>IF(O55="","",IF(O55&gt;=BandVH,"Very High",IF(O55&gt;=BandHigh,"High",IF(O55&gt;=BandMed,"Medium","Low"))))</f>
        <v/>
      </c>
      <c r="Q55" s="4" t="n"/>
      <c r="R55" s="19" t="n"/>
      <c r="S55" s="4" t="n"/>
      <c r="T55" s="19" t="n"/>
      <c r="U55" s="4" t="n"/>
      <c r="V55" s="19" t="n"/>
      <c r="W55" s="4" t="n"/>
      <c r="X55" s="19" t="n"/>
      <c r="Y55" s="4" t="n"/>
      <c r="Z55" s="19" t="n"/>
      <c r="AA55" s="4" t="n"/>
      <c r="AB55" s="19" t="n"/>
      <c r="AC55" s="5">
        <f>_xlfn.TEXTJOIN(CHAR(10),TRUE,IF(Q55="","","• "&amp;Q55&amp;IF(R55="Yes","  [IPL]","")),IF(S55="","","• "&amp;S55&amp;IF(T55="Yes","  [IPL]","")),IF(U55="","","• "&amp;U55&amp;IF(V55="Yes","  [IPL]","")),IF(W55="","","• "&amp;W55&amp;IF(X55="Yes","  [IPL]","")),IF(Y55="","","• "&amp;Y55&amp;IF(Z55="Yes","  [IPL]","")),IF(AA55="","","• "&amp;AA55&amp;IF(AB55="Yes","  [IPL]","")))</f>
        <v/>
      </c>
      <c r="AD55" s="30">
        <f>IF(AC55="","",COUNTIF(Q55:AB55,"Yes"))</f>
        <v/>
      </c>
      <c r="AE55" s="19" t="n"/>
      <c r="AF55" s="19" t="n"/>
      <c r="AG55" s="30">
        <f>IF(OR(AE55="",AF55=""),"",INDEX(RiskGrid,6-VALUE(LEFT(AE55,1)),VALUE(LEFT(AF55,1))))</f>
        <v/>
      </c>
      <c r="AH55" s="30">
        <f>IF(AG55="","",IF(AG55&gt;=BandVH,"Very High",IF(AG55&gt;=BandHigh,"High",IF(AG55&gt;=BandMed,"Medium","Low"))))</f>
        <v/>
      </c>
      <c r="AI55" s="4" t="n"/>
      <c r="AJ55" s="4" t="n"/>
    </row>
    <row r="56">
      <c r="A56" s="30">
        <f>IF(B56="","",COUNTIF(B$14:B56,"?*"))</f>
        <v/>
      </c>
      <c r="B56" s="4" t="n"/>
      <c r="C56" s="19" t="n"/>
      <c r="D56" s="5">
        <f>IF(OR(B56="",C56=""),"",UPPER(LEFT(C56,1))&amp;LOWER(MID(C56,2,30))&amp;" "&amp;LOWER(LEFT(B56,1))&amp;MID(B56,2,200))</f>
        <v/>
      </c>
      <c r="E56" s="4" t="n"/>
      <c r="F56" s="4" t="n"/>
      <c r="G56" s="4" t="n"/>
      <c r="H56" s="4" t="n"/>
      <c r="I56" s="4" t="n"/>
      <c r="J56" s="4" t="n"/>
      <c r="K56" s="5">
        <f>_xlfn.TEXTJOIN(CHAR(10),TRUE,IF(E56="","","• "&amp;E56),IF(F56="","","• "&amp;F56),IF(G56="","","• "&amp;G56),IF(H56="","","• "&amp;H56),IF(I56="","","• "&amp;I56),IF(J56="","","• "&amp;J56))</f>
        <v/>
      </c>
      <c r="L56" s="4" t="n"/>
      <c r="M56" s="19" t="n"/>
      <c r="N56" s="19" t="n"/>
      <c r="O56" s="30">
        <f>IF(OR(M56="",N56=""),"",INDEX(RiskGrid,6-VALUE(LEFT(M56,1)),VALUE(LEFT(N56,1))))</f>
        <v/>
      </c>
      <c r="P56" s="30">
        <f>IF(O56="","",IF(O56&gt;=BandVH,"Very High",IF(O56&gt;=BandHigh,"High",IF(O56&gt;=BandMed,"Medium","Low"))))</f>
        <v/>
      </c>
      <c r="Q56" s="4" t="n"/>
      <c r="R56" s="19" t="n"/>
      <c r="S56" s="4" t="n"/>
      <c r="T56" s="19" t="n"/>
      <c r="U56" s="4" t="n"/>
      <c r="V56" s="19" t="n"/>
      <c r="W56" s="4" t="n"/>
      <c r="X56" s="19" t="n"/>
      <c r="Y56" s="4" t="n"/>
      <c r="Z56" s="19" t="n"/>
      <c r="AA56" s="4" t="n"/>
      <c r="AB56" s="19" t="n"/>
      <c r="AC56" s="5">
        <f>_xlfn.TEXTJOIN(CHAR(10),TRUE,IF(Q56="","","• "&amp;Q56&amp;IF(R56="Yes","  [IPL]","")),IF(S56="","","• "&amp;S56&amp;IF(T56="Yes","  [IPL]","")),IF(U56="","","• "&amp;U56&amp;IF(V56="Yes","  [IPL]","")),IF(W56="","","• "&amp;W56&amp;IF(X56="Yes","  [IPL]","")),IF(Y56="","","• "&amp;Y56&amp;IF(Z56="Yes","  [IPL]","")),IF(AA56="","","• "&amp;AA56&amp;IF(AB56="Yes","  [IPL]","")))</f>
        <v/>
      </c>
      <c r="AD56" s="30">
        <f>IF(AC56="","",COUNTIF(Q56:AB56,"Yes"))</f>
        <v/>
      </c>
      <c r="AE56" s="19" t="n"/>
      <c r="AF56" s="19" t="n"/>
      <c r="AG56" s="30">
        <f>IF(OR(AE56="",AF56=""),"",INDEX(RiskGrid,6-VALUE(LEFT(AE56,1)),VALUE(LEFT(AF56,1))))</f>
        <v/>
      </c>
      <c r="AH56" s="30">
        <f>IF(AG56="","",IF(AG56&gt;=BandVH,"Very High",IF(AG56&gt;=BandHigh,"High",IF(AG56&gt;=BandMed,"Medium","Low"))))</f>
        <v/>
      </c>
      <c r="AI56" s="4" t="n"/>
      <c r="AJ56" s="4" t="n"/>
    </row>
    <row r="57">
      <c r="A57" s="30">
        <f>IF(B57="","",COUNTIF(B$14:B57,"?*"))</f>
        <v/>
      </c>
      <c r="B57" s="4" t="n"/>
      <c r="C57" s="19" t="n"/>
      <c r="D57" s="5">
        <f>IF(OR(B57="",C57=""),"",UPPER(LEFT(C57,1))&amp;LOWER(MID(C57,2,30))&amp;" "&amp;LOWER(LEFT(B57,1))&amp;MID(B57,2,200))</f>
        <v/>
      </c>
      <c r="E57" s="4" t="n"/>
      <c r="F57" s="4" t="n"/>
      <c r="G57" s="4" t="n"/>
      <c r="H57" s="4" t="n"/>
      <c r="I57" s="4" t="n"/>
      <c r="J57" s="4" t="n"/>
      <c r="K57" s="5">
        <f>_xlfn.TEXTJOIN(CHAR(10),TRUE,IF(E57="","","• "&amp;E57),IF(F57="","","• "&amp;F57),IF(G57="","","• "&amp;G57),IF(H57="","","• "&amp;H57),IF(I57="","","• "&amp;I57),IF(J57="","","• "&amp;J57))</f>
        <v/>
      </c>
      <c r="L57" s="4" t="n"/>
      <c r="M57" s="19" t="n"/>
      <c r="N57" s="19" t="n"/>
      <c r="O57" s="30">
        <f>IF(OR(M57="",N57=""),"",INDEX(RiskGrid,6-VALUE(LEFT(M57,1)),VALUE(LEFT(N57,1))))</f>
        <v/>
      </c>
      <c r="P57" s="30">
        <f>IF(O57="","",IF(O57&gt;=BandVH,"Very High",IF(O57&gt;=BandHigh,"High",IF(O57&gt;=BandMed,"Medium","Low"))))</f>
        <v/>
      </c>
      <c r="Q57" s="4" t="n"/>
      <c r="R57" s="19" t="n"/>
      <c r="S57" s="4" t="n"/>
      <c r="T57" s="19" t="n"/>
      <c r="U57" s="4" t="n"/>
      <c r="V57" s="19" t="n"/>
      <c r="W57" s="4" t="n"/>
      <c r="X57" s="19" t="n"/>
      <c r="Y57" s="4" t="n"/>
      <c r="Z57" s="19" t="n"/>
      <c r="AA57" s="4" t="n"/>
      <c r="AB57" s="19" t="n"/>
      <c r="AC57" s="5">
        <f>_xlfn.TEXTJOIN(CHAR(10),TRUE,IF(Q57="","","• "&amp;Q57&amp;IF(R57="Yes","  [IPL]","")),IF(S57="","","• "&amp;S57&amp;IF(T57="Yes","  [IPL]","")),IF(U57="","","• "&amp;U57&amp;IF(V57="Yes","  [IPL]","")),IF(W57="","","• "&amp;W57&amp;IF(X57="Yes","  [IPL]","")),IF(Y57="","","• "&amp;Y57&amp;IF(Z57="Yes","  [IPL]","")),IF(AA57="","","• "&amp;AA57&amp;IF(AB57="Yes","  [IPL]","")))</f>
        <v/>
      </c>
      <c r="AD57" s="30">
        <f>IF(AC57="","",COUNTIF(Q57:AB57,"Yes"))</f>
        <v/>
      </c>
      <c r="AE57" s="19" t="n"/>
      <c r="AF57" s="19" t="n"/>
      <c r="AG57" s="30">
        <f>IF(OR(AE57="",AF57=""),"",INDEX(RiskGrid,6-VALUE(LEFT(AE57,1)),VALUE(LEFT(AF57,1))))</f>
        <v/>
      </c>
      <c r="AH57" s="30">
        <f>IF(AG57="","",IF(AG57&gt;=BandVH,"Very High",IF(AG57&gt;=BandHigh,"High",IF(AG57&gt;=BandMed,"Medium","Low"))))</f>
        <v/>
      </c>
      <c r="AI57" s="4" t="n"/>
      <c r="AJ57" s="4" t="n"/>
    </row>
    <row r="58">
      <c r="A58" s="30">
        <f>IF(B58="","",COUNTIF(B$14:B58,"?*"))</f>
        <v/>
      </c>
      <c r="B58" s="4" t="n"/>
      <c r="C58" s="19" t="n"/>
      <c r="D58" s="5">
        <f>IF(OR(B58="",C58=""),"",UPPER(LEFT(C58,1))&amp;LOWER(MID(C58,2,30))&amp;" "&amp;LOWER(LEFT(B58,1))&amp;MID(B58,2,200))</f>
        <v/>
      </c>
      <c r="E58" s="4" t="n"/>
      <c r="F58" s="4" t="n"/>
      <c r="G58" s="4" t="n"/>
      <c r="H58" s="4" t="n"/>
      <c r="I58" s="4" t="n"/>
      <c r="J58" s="4" t="n"/>
      <c r="K58" s="5">
        <f>_xlfn.TEXTJOIN(CHAR(10),TRUE,IF(E58="","","• "&amp;E58),IF(F58="","","• "&amp;F58),IF(G58="","","• "&amp;G58),IF(H58="","","• "&amp;H58),IF(I58="","","• "&amp;I58),IF(J58="","","• "&amp;J58))</f>
        <v/>
      </c>
      <c r="L58" s="4" t="n"/>
      <c r="M58" s="19" t="n"/>
      <c r="N58" s="19" t="n"/>
      <c r="O58" s="30">
        <f>IF(OR(M58="",N58=""),"",INDEX(RiskGrid,6-VALUE(LEFT(M58,1)),VALUE(LEFT(N58,1))))</f>
        <v/>
      </c>
      <c r="P58" s="30">
        <f>IF(O58="","",IF(O58&gt;=BandVH,"Very High",IF(O58&gt;=BandHigh,"High",IF(O58&gt;=BandMed,"Medium","Low"))))</f>
        <v/>
      </c>
      <c r="Q58" s="4" t="n"/>
      <c r="R58" s="19" t="n"/>
      <c r="S58" s="4" t="n"/>
      <c r="T58" s="19" t="n"/>
      <c r="U58" s="4" t="n"/>
      <c r="V58" s="19" t="n"/>
      <c r="W58" s="4" t="n"/>
      <c r="X58" s="19" t="n"/>
      <c r="Y58" s="4" t="n"/>
      <c r="Z58" s="19" t="n"/>
      <c r="AA58" s="4" t="n"/>
      <c r="AB58" s="19" t="n"/>
      <c r="AC58" s="5">
        <f>_xlfn.TEXTJOIN(CHAR(10),TRUE,IF(Q58="","","• "&amp;Q58&amp;IF(R58="Yes","  [IPL]","")),IF(S58="","","• "&amp;S58&amp;IF(T58="Yes","  [IPL]","")),IF(U58="","","• "&amp;U58&amp;IF(V58="Yes","  [IPL]","")),IF(W58="","","• "&amp;W58&amp;IF(X58="Yes","  [IPL]","")),IF(Y58="","","• "&amp;Y58&amp;IF(Z58="Yes","  [IPL]","")),IF(AA58="","","• "&amp;AA58&amp;IF(AB58="Yes","  [IPL]","")))</f>
        <v/>
      </c>
      <c r="AD58" s="30">
        <f>IF(AC58="","",COUNTIF(Q58:AB58,"Yes"))</f>
        <v/>
      </c>
      <c r="AE58" s="19" t="n"/>
      <c r="AF58" s="19" t="n"/>
      <c r="AG58" s="30">
        <f>IF(OR(AE58="",AF58=""),"",INDEX(RiskGrid,6-VALUE(LEFT(AE58,1)),VALUE(LEFT(AF58,1))))</f>
        <v/>
      </c>
      <c r="AH58" s="30">
        <f>IF(AG58="","",IF(AG58&gt;=BandVH,"Very High",IF(AG58&gt;=BandHigh,"High",IF(AG58&gt;=BandMed,"Medium","Low"))))</f>
        <v/>
      </c>
      <c r="AI58" s="4" t="n"/>
      <c r="AJ58" s="4" t="n"/>
    </row>
    <row r="59">
      <c r="A59" s="30">
        <f>IF(B59="","",COUNTIF(B$14:B59,"?*"))</f>
        <v/>
      </c>
      <c r="B59" s="4" t="n"/>
      <c r="C59" s="19" t="n"/>
      <c r="D59" s="5">
        <f>IF(OR(B59="",C59=""),"",UPPER(LEFT(C59,1))&amp;LOWER(MID(C59,2,30))&amp;" "&amp;LOWER(LEFT(B59,1))&amp;MID(B59,2,200))</f>
        <v/>
      </c>
      <c r="E59" s="4" t="n"/>
      <c r="F59" s="4" t="n"/>
      <c r="G59" s="4" t="n"/>
      <c r="H59" s="4" t="n"/>
      <c r="I59" s="4" t="n"/>
      <c r="J59" s="4" t="n"/>
      <c r="K59" s="5">
        <f>_xlfn.TEXTJOIN(CHAR(10),TRUE,IF(E59="","","• "&amp;E59),IF(F59="","","• "&amp;F59),IF(G59="","","• "&amp;G59),IF(H59="","","• "&amp;H59),IF(I59="","","• "&amp;I59),IF(J59="","","• "&amp;J59))</f>
        <v/>
      </c>
      <c r="L59" s="4" t="n"/>
      <c r="M59" s="19" t="n"/>
      <c r="N59" s="19" t="n"/>
      <c r="O59" s="30">
        <f>IF(OR(M59="",N59=""),"",INDEX(RiskGrid,6-VALUE(LEFT(M59,1)),VALUE(LEFT(N59,1))))</f>
        <v/>
      </c>
      <c r="P59" s="30">
        <f>IF(O59="","",IF(O59&gt;=BandVH,"Very High",IF(O59&gt;=BandHigh,"High",IF(O59&gt;=BandMed,"Medium","Low"))))</f>
        <v/>
      </c>
      <c r="Q59" s="4" t="n"/>
      <c r="R59" s="19" t="n"/>
      <c r="S59" s="4" t="n"/>
      <c r="T59" s="19" t="n"/>
      <c r="U59" s="4" t="n"/>
      <c r="V59" s="19" t="n"/>
      <c r="W59" s="4" t="n"/>
      <c r="X59" s="19" t="n"/>
      <c r="Y59" s="4" t="n"/>
      <c r="Z59" s="19" t="n"/>
      <c r="AA59" s="4" t="n"/>
      <c r="AB59" s="19" t="n"/>
      <c r="AC59" s="5">
        <f>_xlfn.TEXTJOIN(CHAR(10),TRUE,IF(Q59="","","• "&amp;Q59&amp;IF(R59="Yes","  [IPL]","")),IF(S59="","","• "&amp;S59&amp;IF(T59="Yes","  [IPL]","")),IF(U59="","","• "&amp;U59&amp;IF(V59="Yes","  [IPL]","")),IF(W59="","","• "&amp;W59&amp;IF(X59="Yes","  [IPL]","")),IF(Y59="","","• "&amp;Y59&amp;IF(Z59="Yes","  [IPL]","")),IF(AA59="","","• "&amp;AA59&amp;IF(AB59="Yes","  [IPL]","")))</f>
        <v/>
      </c>
      <c r="AD59" s="30">
        <f>IF(AC59="","",COUNTIF(Q59:AB59,"Yes"))</f>
        <v/>
      </c>
      <c r="AE59" s="19" t="n"/>
      <c r="AF59" s="19" t="n"/>
      <c r="AG59" s="30">
        <f>IF(OR(AE59="",AF59=""),"",INDEX(RiskGrid,6-VALUE(LEFT(AE59,1)),VALUE(LEFT(AF59,1))))</f>
        <v/>
      </c>
      <c r="AH59" s="30">
        <f>IF(AG59="","",IF(AG59&gt;=BandVH,"Very High",IF(AG59&gt;=BandHigh,"High",IF(AG59&gt;=BandMed,"Medium","Low"))))</f>
        <v/>
      </c>
      <c r="AI59" s="4" t="n"/>
      <c r="AJ59" s="4" t="n"/>
    </row>
    <row r="60">
      <c r="A60" s="30">
        <f>IF(B60="","",COUNTIF(B$14:B60,"?*"))</f>
        <v/>
      </c>
      <c r="B60" s="4" t="n"/>
      <c r="C60" s="19" t="n"/>
      <c r="D60" s="5">
        <f>IF(OR(B60="",C60=""),"",UPPER(LEFT(C60,1))&amp;LOWER(MID(C60,2,30))&amp;" "&amp;LOWER(LEFT(B60,1))&amp;MID(B60,2,200))</f>
        <v/>
      </c>
      <c r="E60" s="4" t="n"/>
      <c r="F60" s="4" t="n"/>
      <c r="G60" s="4" t="n"/>
      <c r="H60" s="4" t="n"/>
      <c r="I60" s="4" t="n"/>
      <c r="J60" s="4" t="n"/>
      <c r="K60" s="5">
        <f>_xlfn.TEXTJOIN(CHAR(10),TRUE,IF(E60="","","• "&amp;E60),IF(F60="","","• "&amp;F60),IF(G60="","","• "&amp;G60),IF(H60="","","• "&amp;H60),IF(I60="","","• "&amp;I60),IF(J60="","","• "&amp;J60))</f>
        <v/>
      </c>
      <c r="L60" s="4" t="n"/>
      <c r="M60" s="19" t="n"/>
      <c r="N60" s="19" t="n"/>
      <c r="O60" s="30">
        <f>IF(OR(M60="",N60=""),"",INDEX(RiskGrid,6-VALUE(LEFT(M60,1)),VALUE(LEFT(N60,1))))</f>
        <v/>
      </c>
      <c r="P60" s="30">
        <f>IF(O60="","",IF(O60&gt;=BandVH,"Very High",IF(O60&gt;=BandHigh,"High",IF(O60&gt;=BandMed,"Medium","Low"))))</f>
        <v/>
      </c>
      <c r="Q60" s="4" t="n"/>
      <c r="R60" s="19" t="n"/>
      <c r="S60" s="4" t="n"/>
      <c r="T60" s="19" t="n"/>
      <c r="U60" s="4" t="n"/>
      <c r="V60" s="19" t="n"/>
      <c r="W60" s="4" t="n"/>
      <c r="X60" s="19" t="n"/>
      <c r="Y60" s="4" t="n"/>
      <c r="Z60" s="19" t="n"/>
      <c r="AA60" s="4" t="n"/>
      <c r="AB60" s="19" t="n"/>
      <c r="AC60" s="5">
        <f>_xlfn.TEXTJOIN(CHAR(10),TRUE,IF(Q60="","","• "&amp;Q60&amp;IF(R60="Yes","  [IPL]","")),IF(S60="","","• "&amp;S60&amp;IF(T60="Yes","  [IPL]","")),IF(U60="","","• "&amp;U60&amp;IF(V60="Yes","  [IPL]","")),IF(W60="","","• "&amp;W60&amp;IF(X60="Yes","  [IPL]","")),IF(Y60="","","• "&amp;Y60&amp;IF(Z60="Yes","  [IPL]","")),IF(AA60="","","• "&amp;AA60&amp;IF(AB60="Yes","  [IPL]","")))</f>
        <v/>
      </c>
      <c r="AD60" s="30">
        <f>IF(AC60="","",COUNTIF(Q60:AB60,"Yes"))</f>
        <v/>
      </c>
      <c r="AE60" s="19" t="n"/>
      <c r="AF60" s="19" t="n"/>
      <c r="AG60" s="30">
        <f>IF(OR(AE60="",AF60=""),"",INDEX(RiskGrid,6-VALUE(LEFT(AE60,1)),VALUE(LEFT(AF60,1))))</f>
        <v/>
      </c>
      <c r="AH60" s="30">
        <f>IF(AG60="","",IF(AG60&gt;=BandVH,"Very High",IF(AG60&gt;=BandHigh,"High",IF(AG60&gt;=BandMed,"Medium","Low"))))</f>
        <v/>
      </c>
      <c r="AI60" s="4" t="n"/>
      <c r="AJ60" s="4" t="n"/>
    </row>
    <row r="61">
      <c r="A61" s="30">
        <f>IF(B61="","",COUNTIF(B$14:B61,"?*"))</f>
        <v/>
      </c>
      <c r="B61" s="4" t="n"/>
      <c r="C61" s="19" t="n"/>
      <c r="D61" s="5">
        <f>IF(OR(B61="",C61=""),"",UPPER(LEFT(C61,1))&amp;LOWER(MID(C61,2,30))&amp;" "&amp;LOWER(LEFT(B61,1))&amp;MID(B61,2,200))</f>
        <v/>
      </c>
      <c r="E61" s="4" t="n"/>
      <c r="F61" s="4" t="n"/>
      <c r="G61" s="4" t="n"/>
      <c r="H61" s="4" t="n"/>
      <c r="I61" s="4" t="n"/>
      <c r="J61" s="4" t="n"/>
      <c r="K61" s="5">
        <f>_xlfn.TEXTJOIN(CHAR(10),TRUE,IF(E61="","","• "&amp;E61),IF(F61="","","• "&amp;F61),IF(G61="","","• "&amp;G61),IF(H61="","","• "&amp;H61),IF(I61="","","• "&amp;I61),IF(J61="","","• "&amp;J61))</f>
        <v/>
      </c>
      <c r="L61" s="4" t="n"/>
      <c r="M61" s="19" t="n"/>
      <c r="N61" s="19" t="n"/>
      <c r="O61" s="30">
        <f>IF(OR(M61="",N61=""),"",INDEX(RiskGrid,6-VALUE(LEFT(M61,1)),VALUE(LEFT(N61,1))))</f>
        <v/>
      </c>
      <c r="P61" s="30">
        <f>IF(O61="","",IF(O61&gt;=BandVH,"Very High",IF(O61&gt;=BandHigh,"High",IF(O61&gt;=BandMed,"Medium","Low"))))</f>
        <v/>
      </c>
      <c r="Q61" s="4" t="n"/>
      <c r="R61" s="19" t="n"/>
      <c r="S61" s="4" t="n"/>
      <c r="T61" s="19" t="n"/>
      <c r="U61" s="4" t="n"/>
      <c r="V61" s="19" t="n"/>
      <c r="W61" s="4" t="n"/>
      <c r="X61" s="19" t="n"/>
      <c r="Y61" s="4" t="n"/>
      <c r="Z61" s="19" t="n"/>
      <c r="AA61" s="4" t="n"/>
      <c r="AB61" s="19" t="n"/>
      <c r="AC61" s="5">
        <f>_xlfn.TEXTJOIN(CHAR(10),TRUE,IF(Q61="","","• "&amp;Q61&amp;IF(R61="Yes","  [IPL]","")),IF(S61="","","• "&amp;S61&amp;IF(T61="Yes","  [IPL]","")),IF(U61="","","• "&amp;U61&amp;IF(V61="Yes","  [IPL]","")),IF(W61="","","• "&amp;W61&amp;IF(X61="Yes","  [IPL]","")),IF(Y61="","","• "&amp;Y61&amp;IF(Z61="Yes","  [IPL]","")),IF(AA61="","","• "&amp;AA61&amp;IF(AB61="Yes","  [IPL]","")))</f>
        <v/>
      </c>
      <c r="AD61" s="30">
        <f>IF(AC61="","",COUNTIF(Q61:AB61,"Yes"))</f>
        <v/>
      </c>
      <c r="AE61" s="19" t="n"/>
      <c r="AF61" s="19" t="n"/>
      <c r="AG61" s="30">
        <f>IF(OR(AE61="",AF61=""),"",INDEX(RiskGrid,6-VALUE(LEFT(AE61,1)),VALUE(LEFT(AF61,1))))</f>
        <v/>
      </c>
      <c r="AH61" s="30">
        <f>IF(AG61="","",IF(AG61&gt;=BandVH,"Very High",IF(AG61&gt;=BandHigh,"High",IF(AG61&gt;=BandMed,"Medium","Low"))))</f>
        <v/>
      </c>
      <c r="AI61" s="4" t="n"/>
      <c r="AJ61" s="4" t="n"/>
    </row>
    <row r="62">
      <c r="A62" s="30">
        <f>IF(B62="","",COUNTIF(B$14:B62,"?*"))</f>
        <v/>
      </c>
      <c r="B62" s="4" t="n"/>
      <c r="C62" s="19" t="n"/>
      <c r="D62" s="5">
        <f>IF(OR(B62="",C62=""),"",UPPER(LEFT(C62,1))&amp;LOWER(MID(C62,2,30))&amp;" "&amp;LOWER(LEFT(B62,1))&amp;MID(B62,2,200))</f>
        <v/>
      </c>
      <c r="E62" s="4" t="n"/>
      <c r="F62" s="4" t="n"/>
      <c r="G62" s="4" t="n"/>
      <c r="H62" s="4" t="n"/>
      <c r="I62" s="4" t="n"/>
      <c r="J62" s="4" t="n"/>
      <c r="K62" s="5">
        <f>_xlfn.TEXTJOIN(CHAR(10),TRUE,IF(E62="","","• "&amp;E62),IF(F62="","","• "&amp;F62),IF(G62="","","• "&amp;G62),IF(H62="","","• "&amp;H62),IF(I62="","","• "&amp;I62),IF(J62="","","• "&amp;J62))</f>
        <v/>
      </c>
      <c r="L62" s="4" t="n"/>
      <c r="M62" s="19" t="n"/>
      <c r="N62" s="19" t="n"/>
      <c r="O62" s="30">
        <f>IF(OR(M62="",N62=""),"",INDEX(RiskGrid,6-VALUE(LEFT(M62,1)),VALUE(LEFT(N62,1))))</f>
        <v/>
      </c>
      <c r="P62" s="30">
        <f>IF(O62="","",IF(O62&gt;=BandVH,"Very High",IF(O62&gt;=BandHigh,"High",IF(O62&gt;=BandMed,"Medium","Low"))))</f>
        <v/>
      </c>
      <c r="Q62" s="4" t="n"/>
      <c r="R62" s="19" t="n"/>
      <c r="S62" s="4" t="n"/>
      <c r="T62" s="19" t="n"/>
      <c r="U62" s="4" t="n"/>
      <c r="V62" s="19" t="n"/>
      <c r="W62" s="4" t="n"/>
      <c r="X62" s="19" t="n"/>
      <c r="Y62" s="4" t="n"/>
      <c r="Z62" s="19" t="n"/>
      <c r="AA62" s="4" t="n"/>
      <c r="AB62" s="19" t="n"/>
      <c r="AC62" s="5">
        <f>_xlfn.TEXTJOIN(CHAR(10),TRUE,IF(Q62="","","• "&amp;Q62&amp;IF(R62="Yes","  [IPL]","")),IF(S62="","","• "&amp;S62&amp;IF(T62="Yes","  [IPL]","")),IF(U62="","","• "&amp;U62&amp;IF(V62="Yes","  [IPL]","")),IF(W62="","","• "&amp;W62&amp;IF(X62="Yes","  [IPL]","")),IF(Y62="","","• "&amp;Y62&amp;IF(Z62="Yes","  [IPL]","")),IF(AA62="","","• "&amp;AA62&amp;IF(AB62="Yes","  [IPL]","")))</f>
        <v/>
      </c>
      <c r="AD62" s="30">
        <f>IF(AC62="","",COUNTIF(Q62:AB62,"Yes"))</f>
        <v/>
      </c>
      <c r="AE62" s="19" t="n"/>
      <c r="AF62" s="19" t="n"/>
      <c r="AG62" s="30">
        <f>IF(OR(AE62="",AF62=""),"",INDEX(RiskGrid,6-VALUE(LEFT(AE62,1)),VALUE(LEFT(AF62,1))))</f>
        <v/>
      </c>
      <c r="AH62" s="30">
        <f>IF(AG62="","",IF(AG62&gt;=BandVH,"Very High",IF(AG62&gt;=BandHigh,"High",IF(AG62&gt;=BandMed,"Medium","Low"))))</f>
        <v/>
      </c>
      <c r="AI62" s="4" t="n"/>
      <c r="AJ62" s="4" t="n"/>
    </row>
    <row r="63">
      <c r="A63" s="30">
        <f>IF(B63="","",COUNTIF(B$14:B63,"?*"))</f>
        <v/>
      </c>
      <c r="B63" s="4" t="n"/>
      <c r="C63" s="19" t="n"/>
      <c r="D63" s="5">
        <f>IF(OR(B63="",C63=""),"",UPPER(LEFT(C63,1))&amp;LOWER(MID(C63,2,30))&amp;" "&amp;LOWER(LEFT(B63,1))&amp;MID(B63,2,200))</f>
        <v/>
      </c>
      <c r="E63" s="4" t="n"/>
      <c r="F63" s="4" t="n"/>
      <c r="G63" s="4" t="n"/>
      <c r="H63" s="4" t="n"/>
      <c r="I63" s="4" t="n"/>
      <c r="J63" s="4" t="n"/>
      <c r="K63" s="5">
        <f>_xlfn.TEXTJOIN(CHAR(10),TRUE,IF(E63="","","• "&amp;E63),IF(F63="","","• "&amp;F63),IF(G63="","","• "&amp;G63),IF(H63="","","• "&amp;H63),IF(I63="","","• "&amp;I63),IF(J63="","","• "&amp;J63))</f>
        <v/>
      </c>
      <c r="L63" s="4" t="n"/>
      <c r="M63" s="19" t="n"/>
      <c r="N63" s="19" t="n"/>
      <c r="O63" s="30">
        <f>IF(OR(M63="",N63=""),"",INDEX(RiskGrid,6-VALUE(LEFT(M63,1)),VALUE(LEFT(N63,1))))</f>
        <v/>
      </c>
      <c r="P63" s="30">
        <f>IF(O63="","",IF(O63&gt;=BandVH,"Very High",IF(O63&gt;=BandHigh,"High",IF(O63&gt;=BandMed,"Medium","Low"))))</f>
        <v/>
      </c>
      <c r="Q63" s="4" t="n"/>
      <c r="R63" s="19" t="n"/>
      <c r="S63" s="4" t="n"/>
      <c r="T63" s="19" t="n"/>
      <c r="U63" s="4" t="n"/>
      <c r="V63" s="19" t="n"/>
      <c r="W63" s="4" t="n"/>
      <c r="X63" s="19" t="n"/>
      <c r="Y63" s="4" t="n"/>
      <c r="Z63" s="19" t="n"/>
      <c r="AA63" s="4" t="n"/>
      <c r="AB63" s="19" t="n"/>
      <c r="AC63" s="5">
        <f>_xlfn.TEXTJOIN(CHAR(10),TRUE,IF(Q63="","","• "&amp;Q63&amp;IF(R63="Yes","  [IPL]","")),IF(S63="","","• "&amp;S63&amp;IF(T63="Yes","  [IPL]","")),IF(U63="","","• "&amp;U63&amp;IF(V63="Yes","  [IPL]","")),IF(W63="","","• "&amp;W63&amp;IF(X63="Yes","  [IPL]","")),IF(Y63="","","• "&amp;Y63&amp;IF(Z63="Yes","  [IPL]","")),IF(AA63="","","• "&amp;AA63&amp;IF(AB63="Yes","  [IPL]","")))</f>
        <v/>
      </c>
      <c r="AD63" s="30">
        <f>IF(AC63="","",COUNTIF(Q63:AB63,"Yes"))</f>
        <v/>
      </c>
      <c r="AE63" s="19" t="n"/>
      <c r="AF63" s="19" t="n"/>
      <c r="AG63" s="30">
        <f>IF(OR(AE63="",AF63=""),"",INDEX(RiskGrid,6-VALUE(LEFT(AE63,1)),VALUE(LEFT(AF63,1))))</f>
        <v/>
      </c>
      <c r="AH63" s="30">
        <f>IF(AG63="","",IF(AG63&gt;=BandVH,"Very High",IF(AG63&gt;=BandHigh,"High",IF(AG63&gt;=BandMed,"Medium","Low"))))</f>
        <v/>
      </c>
      <c r="AI63" s="4" t="n"/>
      <c r="AJ63" s="4" t="n"/>
    </row>
    <row r="64">
      <c r="A64" s="30">
        <f>IF(B64="","",COUNTIF(B$14:B64,"?*"))</f>
        <v/>
      </c>
      <c r="B64" s="4" t="n"/>
      <c r="C64" s="19" t="n"/>
      <c r="D64" s="5">
        <f>IF(OR(B64="",C64=""),"",UPPER(LEFT(C64,1))&amp;LOWER(MID(C64,2,30))&amp;" "&amp;LOWER(LEFT(B64,1))&amp;MID(B64,2,200))</f>
        <v/>
      </c>
      <c r="E64" s="4" t="n"/>
      <c r="F64" s="4" t="n"/>
      <c r="G64" s="4" t="n"/>
      <c r="H64" s="4" t="n"/>
      <c r="I64" s="4" t="n"/>
      <c r="J64" s="4" t="n"/>
      <c r="K64" s="5">
        <f>_xlfn.TEXTJOIN(CHAR(10),TRUE,IF(E64="","","• "&amp;E64),IF(F64="","","• "&amp;F64),IF(G64="","","• "&amp;G64),IF(H64="","","• "&amp;H64),IF(I64="","","• "&amp;I64),IF(J64="","","• "&amp;J64))</f>
        <v/>
      </c>
      <c r="L64" s="4" t="n"/>
      <c r="M64" s="19" t="n"/>
      <c r="N64" s="19" t="n"/>
      <c r="O64" s="30">
        <f>IF(OR(M64="",N64=""),"",INDEX(RiskGrid,6-VALUE(LEFT(M64,1)),VALUE(LEFT(N64,1))))</f>
        <v/>
      </c>
      <c r="P64" s="30">
        <f>IF(O64="","",IF(O64&gt;=BandVH,"Very High",IF(O64&gt;=BandHigh,"High",IF(O64&gt;=BandMed,"Medium","Low"))))</f>
        <v/>
      </c>
      <c r="Q64" s="4" t="n"/>
      <c r="R64" s="19" t="n"/>
      <c r="S64" s="4" t="n"/>
      <c r="T64" s="19" t="n"/>
      <c r="U64" s="4" t="n"/>
      <c r="V64" s="19" t="n"/>
      <c r="W64" s="4" t="n"/>
      <c r="X64" s="19" t="n"/>
      <c r="Y64" s="4" t="n"/>
      <c r="Z64" s="19" t="n"/>
      <c r="AA64" s="4" t="n"/>
      <c r="AB64" s="19" t="n"/>
      <c r="AC64" s="5">
        <f>_xlfn.TEXTJOIN(CHAR(10),TRUE,IF(Q64="","","• "&amp;Q64&amp;IF(R64="Yes","  [IPL]","")),IF(S64="","","• "&amp;S64&amp;IF(T64="Yes","  [IPL]","")),IF(U64="","","• "&amp;U64&amp;IF(V64="Yes","  [IPL]","")),IF(W64="","","• "&amp;W64&amp;IF(X64="Yes","  [IPL]","")),IF(Y64="","","• "&amp;Y64&amp;IF(Z64="Yes","  [IPL]","")),IF(AA64="","","• "&amp;AA64&amp;IF(AB64="Yes","  [IPL]","")))</f>
        <v/>
      </c>
      <c r="AD64" s="30">
        <f>IF(AC64="","",COUNTIF(Q64:AB64,"Yes"))</f>
        <v/>
      </c>
      <c r="AE64" s="19" t="n"/>
      <c r="AF64" s="19" t="n"/>
      <c r="AG64" s="30">
        <f>IF(OR(AE64="",AF64=""),"",INDEX(RiskGrid,6-VALUE(LEFT(AE64,1)),VALUE(LEFT(AF64,1))))</f>
        <v/>
      </c>
      <c r="AH64" s="30">
        <f>IF(AG64="","",IF(AG64&gt;=BandVH,"Very High",IF(AG64&gt;=BandHigh,"High",IF(AG64&gt;=BandMed,"Medium","Low"))))</f>
        <v/>
      </c>
      <c r="AI64" s="4" t="n"/>
      <c r="AJ64" s="4" t="n"/>
    </row>
    <row r="65">
      <c r="A65" s="30">
        <f>IF(B65="","",COUNTIF(B$14:B65,"?*"))</f>
        <v/>
      </c>
      <c r="B65" s="4" t="n"/>
      <c r="C65" s="19" t="n"/>
      <c r="D65" s="5">
        <f>IF(OR(B65="",C65=""),"",UPPER(LEFT(C65,1))&amp;LOWER(MID(C65,2,30))&amp;" "&amp;LOWER(LEFT(B65,1))&amp;MID(B65,2,200))</f>
        <v/>
      </c>
      <c r="E65" s="4" t="n"/>
      <c r="F65" s="4" t="n"/>
      <c r="G65" s="4" t="n"/>
      <c r="H65" s="4" t="n"/>
      <c r="I65" s="4" t="n"/>
      <c r="J65" s="4" t="n"/>
      <c r="K65" s="5">
        <f>_xlfn.TEXTJOIN(CHAR(10),TRUE,IF(E65="","","• "&amp;E65),IF(F65="","","• "&amp;F65),IF(G65="","","• "&amp;G65),IF(H65="","","• "&amp;H65),IF(I65="","","• "&amp;I65),IF(J65="","","• "&amp;J65))</f>
        <v/>
      </c>
      <c r="L65" s="4" t="n"/>
      <c r="M65" s="19" t="n"/>
      <c r="N65" s="19" t="n"/>
      <c r="O65" s="30">
        <f>IF(OR(M65="",N65=""),"",INDEX(RiskGrid,6-VALUE(LEFT(M65,1)),VALUE(LEFT(N65,1))))</f>
        <v/>
      </c>
      <c r="P65" s="30">
        <f>IF(O65="","",IF(O65&gt;=BandVH,"Very High",IF(O65&gt;=BandHigh,"High",IF(O65&gt;=BandMed,"Medium","Low"))))</f>
        <v/>
      </c>
      <c r="Q65" s="4" t="n"/>
      <c r="R65" s="19" t="n"/>
      <c r="S65" s="4" t="n"/>
      <c r="T65" s="19" t="n"/>
      <c r="U65" s="4" t="n"/>
      <c r="V65" s="19" t="n"/>
      <c r="W65" s="4" t="n"/>
      <c r="X65" s="19" t="n"/>
      <c r="Y65" s="4" t="n"/>
      <c r="Z65" s="19" t="n"/>
      <c r="AA65" s="4" t="n"/>
      <c r="AB65" s="19" t="n"/>
      <c r="AC65" s="5">
        <f>_xlfn.TEXTJOIN(CHAR(10),TRUE,IF(Q65="","","• "&amp;Q65&amp;IF(R65="Yes","  [IPL]","")),IF(S65="","","• "&amp;S65&amp;IF(T65="Yes","  [IPL]","")),IF(U65="","","• "&amp;U65&amp;IF(V65="Yes","  [IPL]","")),IF(W65="","","• "&amp;W65&amp;IF(X65="Yes","  [IPL]","")),IF(Y65="","","• "&amp;Y65&amp;IF(Z65="Yes","  [IPL]","")),IF(AA65="","","• "&amp;AA65&amp;IF(AB65="Yes","  [IPL]","")))</f>
        <v/>
      </c>
      <c r="AD65" s="30">
        <f>IF(AC65="","",COUNTIF(Q65:AB65,"Yes"))</f>
        <v/>
      </c>
      <c r="AE65" s="19" t="n"/>
      <c r="AF65" s="19" t="n"/>
      <c r="AG65" s="30">
        <f>IF(OR(AE65="",AF65=""),"",INDEX(RiskGrid,6-VALUE(LEFT(AE65,1)),VALUE(LEFT(AF65,1))))</f>
        <v/>
      </c>
      <c r="AH65" s="30">
        <f>IF(AG65="","",IF(AG65&gt;=BandVH,"Very High",IF(AG65&gt;=BandHigh,"High",IF(AG65&gt;=BandMed,"Medium","Low"))))</f>
        <v/>
      </c>
      <c r="AI65" s="4" t="n"/>
      <c r="AJ65" s="4" t="n"/>
    </row>
    <row r="66">
      <c r="A66" s="30">
        <f>IF(B66="","",COUNTIF(B$14:B66,"?*"))</f>
        <v/>
      </c>
      <c r="B66" s="4" t="n"/>
      <c r="C66" s="19" t="n"/>
      <c r="D66" s="5">
        <f>IF(OR(B66="",C66=""),"",UPPER(LEFT(C66,1))&amp;LOWER(MID(C66,2,30))&amp;" "&amp;LOWER(LEFT(B66,1))&amp;MID(B66,2,200))</f>
        <v/>
      </c>
      <c r="E66" s="4" t="n"/>
      <c r="F66" s="4" t="n"/>
      <c r="G66" s="4" t="n"/>
      <c r="H66" s="4" t="n"/>
      <c r="I66" s="4" t="n"/>
      <c r="J66" s="4" t="n"/>
      <c r="K66" s="5">
        <f>_xlfn.TEXTJOIN(CHAR(10),TRUE,IF(E66="","","• "&amp;E66),IF(F66="","","• "&amp;F66),IF(G66="","","• "&amp;G66),IF(H66="","","• "&amp;H66),IF(I66="","","• "&amp;I66),IF(J66="","","• "&amp;J66))</f>
        <v/>
      </c>
      <c r="L66" s="4" t="n"/>
      <c r="M66" s="19" t="n"/>
      <c r="N66" s="19" t="n"/>
      <c r="O66" s="30">
        <f>IF(OR(M66="",N66=""),"",INDEX(RiskGrid,6-VALUE(LEFT(M66,1)),VALUE(LEFT(N66,1))))</f>
        <v/>
      </c>
      <c r="P66" s="30">
        <f>IF(O66="","",IF(O66&gt;=BandVH,"Very High",IF(O66&gt;=BandHigh,"High",IF(O66&gt;=BandMed,"Medium","Low"))))</f>
        <v/>
      </c>
      <c r="Q66" s="4" t="n"/>
      <c r="R66" s="19" t="n"/>
      <c r="S66" s="4" t="n"/>
      <c r="T66" s="19" t="n"/>
      <c r="U66" s="4" t="n"/>
      <c r="V66" s="19" t="n"/>
      <c r="W66" s="4" t="n"/>
      <c r="X66" s="19" t="n"/>
      <c r="Y66" s="4" t="n"/>
      <c r="Z66" s="19" t="n"/>
      <c r="AA66" s="4" t="n"/>
      <c r="AB66" s="19" t="n"/>
      <c r="AC66" s="5">
        <f>_xlfn.TEXTJOIN(CHAR(10),TRUE,IF(Q66="","","• "&amp;Q66&amp;IF(R66="Yes","  [IPL]","")),IF(S66="","","• "&amp;S66&amp;IF(T66="Yes","  [IPL]","")),IF(U66="","","• "&amp;U66&amp;IF(V66="Yes","  [IPL]","")),IF(W66="","","• "&amp;W66&amp;IF(X66="Yes","  [IPL]","")),IF(Y66="","","• "&amp;Y66&amp;IF(Z66="Yes","  [IPL]","")),IF(AA66="","","• "&amp;AA66&amp;IF(AB66="Yes","  [IPL]","")))</f>
        <v/>
      </c>
      <c r="AD66" s="30">
        <f>IF(AC66="","",COUNTIF(Q66:AB66,"Yes"))</f>
        <v/>
      </c>
      <c r="AE66" s="19" t="n"/>
      <c r="AF66" s="19" t="n"/>
      <c r="AG66" s="30">
        <f>IF(OR(AE66="",AF66=""),"",INDEX(RiskGrid,6-VALUE(LEFT(AE66,1)),VALUE(LEFT(AF66,1))))</f>
        <v/>
      </c>
      <c r="AH66" s="30">
        <f>IF(AG66="","",IF(AG66&gt;=BandVH,"Very High",IF(AG66&gt;=BandHigh,"High",IF(AG66&gt;=BandMed,"Medium","Low"))))</f>
        <v/>
      </c>
      <c r="AI66" s="4" t="n"/>
      <c r="AJ66" s="4" t="n"/>
    </row>
    <row r="67">
      <c r="A67" s="30">
        <f>IF(B67="","",COUNTIF(B$14:B67,"?*"))</f>
        <v/>
      </c>
      <c r="B67" s="4" t="n"/>
      <c r="C67" s="19" t="n"/>
      <c r="D67" s="5">
        <f>IF(OR(B67="",C67=""),"",UPPER(LEFT(C67,1))&amp;LOWER(MID(C67,2,30))&amp;" "&amp;LOWER(LEFT(B67,1))&amp;MID(B67,2,200))</f>
        <v/>
      </c>
      <c r="E67" s="4" t="n"/>
      <c r="F67" s="4" t="n"/>
      <c r="G67" s="4" t="n"/>
      <c r="H67" s="4" t="n"/>
      <c r="I67" s="4" t="n"/>
      <c r="J67" s="4" t="n"/>
      <c r="K67" s="5">
        <f>_xlfn.TEXTJOIN(CHAR(10),TRUE,IF(E67="","","• "&amp;E67),IF(F67="","","• "&amp;F67),IF(G67="","","• "&amp;G67),IF(H67="","","• "&amp;H67),IF(I67="","","• "&amp;I67),IF(J67="","","• "&amp;J67))</f>
        <v/>
      </c>
      <c r="L67" s="4" t="n"/>
      <c r="M67" s="19" t="n"/>
      <c r="N67" s="19" t="n"/>
      <c r="O67" s="30">
        <f>IF(OR(M67="",N67=""),"",INDEX(RiskGrid,6-VALUE(LEFT(M67,1)),VALUE(LEFT(N67,1))))</f>
        <v/>
      </c>
      <c r="P67" s="30">
        <f>IF(O67="","",IF(O67&gt;=BandVH,"Very High",IF(O67&gt;=BandHigh,"High",IF(O67&gt;=BandMed,"Medium","Low"))))</f>
        <v/>
      </c>
      <c r="Q67" s="4" t="n"/>
      <c r="R67" s="19" t="n"/>
      <c r="S67" s="4" t="n"/>
      <c r="T67" s="19" t="n"/>
      <c r="U67" s="4" t="n"/>
      <c r="V67" s="19" t="n"/>
      <c r="W67" s="4" t="n"/>
      <c r="X67" s="19" t="n"/>
      <c r="Y67" s="4" t="n"/>
      <c r="Z67" s="19" t="n"/>
      <c r="AA67" s="4" t="n"/>
      <c r="AB67" s="19" t="n"/>
      <c r="AC67" s="5">
        <f>_xlfn.TEXTJOIN(CHAR(10),TRUE,IF(Q67="","","• "&amp;Q67&amp;IF(R67="Yes","  [IPL]","")),IF(S67="","","• "&amp;S67&amp;IF(T67="Yes","  [IPL]","")),IF(U67="","","• "&amp;U67&amp;IF(V67="Yes","  [IPL]","")),IF(W67="","","• "&amp;W67&amp;IF(X67="Yes","  [IPL]","")),IF(Y67="","","• "&amp;Y67&amp;IF(Z67="Yes","  [IPL]","")),IF(AA67="","","• "&amp;AA67&amp;IF(AB67="Yes","  [IPL]","")))</f>
        <v/>
      </c>
      <c r="AD67" s="30">
        <f>IF(AC67="","",COUNTIF(Q67:AB67,"Yes"))</f>
        <v/>
      </c>
      <c r="AE67" s="19" t="n"/>
      <c r="AF67" s="19" t="n"/>
      <c r="AG67" s="30">
        <f>IF(OR(AE67="",AF67=""),"",INDEX(RiskGrid,6-VALUE(LEFT(AE67,1)),VALUE(LEFT(AF67,1))))</f>
        <v/>
      </c>
      <c r="AH67" s="30">
        <f>IF(AG67="","",IF(AG67&gt;=BandVH,"Very High",IF(AG67&gt;=BandHigh,"High",IF(AG67&gt;=BandMed,"Medium","Low"))))</f>
        <v/>
      </c>
      <c r="AI67" s="4" t="n"/>
      <c r="AJ67" s="4" t="n"/>
    </row>
    <row r="68">
      <c r="A68" s="30">
        <f>IF(B68="","",COUNTIF(B$14:B68,"?*"))</f>
        <v/>
      </c>
      <c r="B68" s="4" t="n"/>
      <c r="C68" s="19" t="n"/>
      <c r="D68" s="5">
        <f>IF(OR(B68="",C68=""),"",UPPER(LEFT(C68,1))&amp;LOWER(MID(C68,2,30))&amp;" "&amp;LOWER(LEFT(B68,1))&amp;MID(B68,2,200))</f>
        <v/>
      </c>
      <c r="E68" s="4" t="n"/>
      <c r="F68" s="4" t="n"/>
      <c r="G68" s="4" t="n"/>
      <c r="H68" s="4" t="n"/>
      <c r="I68" s="4" t="n"/>
      <c r="J68" s="4" t="n"/>
      <c r="K68" s="5">
        <f>_xlfn.TEXTJOIN(CHAR(10),TRUE,IF(E68="","","• "&amp;E68),IF(F68="","","• "&amp;F68),IF(G68="","","• "&amp;G68),IF(H68="","","• "&amp;H68),IF(I68="","","• "&amp;I68),IF(J68="","","• "&amp;J68))</f>
        <v/>
      </c>
      <c r="L68" s="4" t="n"/>
      <c r="M68" s="19" t="n"/>
      <c r="N68" s="19" t="n"/>
      <c r="O68" s="30">
        <f>IF(OR(M68="",N68=""),"",INDEX(RiskGrid,6-VALUE(LEFT(M68,1)),VALUE(LEFT(N68,1))))</f>
        <v/>
      </c>
      <c r="P68" s="30">
        <f>IF(O68="","",IF(O68&gt;=BandVH,"Very High",IF(O68&gt;=BandHigh,"High",IF(O68&gt;=BandMed,"Medium","Low"))))</f>
        <v/>
      </c>
      <c r="Q68" s="4" t="n"/>
      <c r="R68" s="19" t="n"/>
      <c r="S68" s="4" t="n"/>
      <c r="T68" s="19" t="n"/>
      <c r="U68" s="4" t="n"/>
      <c r="V68" s="19" t="n"/>
      <c r="W68" s="4" t="n"/>
      <c r="X68" s="19" t="n"/>
      <c r="Y68" s="4" t="n"/>
      <c r="Z68" s="19" t="n"/>
      <c r="AA68" s="4" t="n"/>
      <c r="AB68" s="19" t="n"/>
      <c r="AC68" s="5">
        <f>_xlfn.TEXTJOIN(CHAR(10),TRUE,IF(Q68="","","• "&amp;Q68&amp;IF(R68="Yes","  [IPL]","")),IF(S68="","","• "&amp;S68&amp;IF(T68="Yes","  [IPL]","")),IF(U68="","","• "&amp;U68&amp;IF(V68="Yes","  [IPL]","")),IF(W68="","","• "&amp;W68&amp;IF(X68="Yes","  [IPL]","")),IF(Y68="","","• "&amp;Y68&amp;IF(Z68="Yes","  [IPL]","")),IF(AA68="","","• "&amp;AA68&amp;IF(AB68="Yes","  [IPL]","")))</f>
        <v/>
      </c>
      <c r="AD68" s="30">
        <f>IF(AC68="","",COUNTIF(Q68:AB68,"Yes"))</f>
        <v/>
      </c>
      <c r="AE68" s="19" t="n"/>
      <c r="AF68" s="19" t="n"/>
      <c r="AG68" s="30">
        <f>IF(OR(AE68="",AF68=""),"",INDEX(RiskGrid,6-VALUE(LEFT(AE68,1)),VALUE(LEFT(AF68,1))))</f>
        <v/>
      </c>
      <c r="AH68" s="30">
        <f>IF(AG68="","",IF(AG68&gt;=BandVH,"Very High",IF(AG68&gt;=BandHigh,"High",IF(AG68&gt;=BandMed,"Medium","Low"))))</f>
        <v/>
      </c>
      <c r="AI68" s="4" t="n"/>
      <c r="AJ68" s="4" t="n"/>
    </row>
    <row r="69">
      <c r="A69" s="30">
        <f>IF(B69="","",COUNTIF(B$14:B69,"?*"))</f>
        <v/>
      </c>
      <c r="B69" s="4" t="n"/>
      <c r="C69" s="19" t="n"/>
      <c r="D69" s="5">
        <f>IF(OR(B69="",C69=""),"",UPPER(LEFT(C69,1))&amp;LOWER(MID(C69,2,30))&amp;" "&amp;LOWER(LEFT(B69,1))&amp;MID(B69,2,200))</f>
        <v/>
      </c>
      <c r="E69" s="4" t="n"/>
      <c r="F69" s="4" t="n"/>
      <c r="G69" s="4" t="n"/>
      <c r="H69" s="4" t="n"/>
      <c r="I69" s="4" t="n"/>
      <c r="J69" s="4" t="n"/>
      <c r="K69" s="5">
        <f>_xlfn.TEXTJOIN(CHAR(10),TRUE,IF(E69="","","• "&amp;E69),IF(F69="","","• "&amp;F69),IF(G69="","","• "&amp;G69),IF(H69="","","• "&amp;H69),IF(I69="","","• "&amp;I69),IF(J69="","","• "&amp;J69))</f>
        <v/>
      </c>
      <c r="L69" s="4" t="n"/>
      <c r="M69" s="19" t="n"/>
      <c r="N69" s="19" t="n"/>
      <c r="O69" s="30">
        <f>IF(OR(M69="",N69=""),"",INDEX(RiskGrid,6-VALUE(LEFT(M69,1)),VALUE(LEFT(N69,1))))</f>
        <v/>
      </c>
      <c r="P69" s="30">
        <f>IF(O69="","",IF(O69&gt;=BandVH,"Very High",IF(O69&gt;=BandHigh,"High",IF(O69&gt;=BandMed,"Medium","Low"))))</f>
        <v/>
      </c>
      <c r="Q69" s="4" t="n"/>
      <c r="R69" s="19" t="n"/>
      <c r="S69" s="4" t="n"/>
      <c r="T69" s="19" t="n"/>
      <c r="U69" s="4" t="n"/>
      <c r="V69" s="19" t="n"/>
      <c r="W69" s="4" t="n"/>
      <c r="X69" s="19" t="n"/>
      <c r="Y69" s="4" t="n"/>
      <c r="Z69" s="19" t="n"/>
      <c r="AA69" s="4" t="n"/>
      <c r="AB69" s="19" t="n"/>
      <c r="AC69" s="5">
        <f>_xlfn.TEXTJOIN(CHAR(10),TRUE,IF(Q69="","","• "&amp;Q69&amp;IF(R69="Yes","  [IPL]","")),IF(S69="","","• "&amp;S69&amp;IF(T69="Yes","  [IPL]","")),IF(U69="","","• "&amp;U69&amp;IF(V69="Yes","  [IPL]","")),IF(W69="","","• "&amp;W69&amp;IF(X69="Yes","  [IPL]","")),IF(Y69="","","• "&amp;Y69&amp;IF(Z69="Yes","  [IPL]","")),IF(AA69="","","• "&amp;AA69&amp;IF(AB69="Yes","  [IPL]","")))</f>
        <v/>
      </c>
      <c r="AD69" s="30">
        <f>IF(AC69="","",COUNTIF(Q69:AB69,"Yes"))</f>
        <v/>
      </c>
      <c r="AE69" s="19" t="n"/>
      <c r="AF69" s="19" t="n"/>
      <c r="AG69" s="30">
        <f>IF(OR(AE69="",AF69=""),"",INDEX(RiskGrid,6-VALUE(LEFT(AE69,1)),VALUE(LEFT(AF69,1))))</f>
        <v/>
      </c>
      <c r="AH69" s="30">
        <f>IF(AG69="","",IF(AG69&gt;=BandVH,"Very High",IF(AG69&gt;=BandHigh,"High",IF(AG69&gt;=BandMed,"Medium","Low"))))</f>
        <v/>
      </c>
      <c r="AI69" s="4" t="n"/>
      <c r="AJ69" s="4" t="n"/>
    </row>
    <row r="70">
      <c r="A70" s="30">
        <f>IF(B70="","",COUNTIF(B$14:B70,"?*"))</f>
        <v/>
      </c>
      <c r="B70" s="4" t="n"/>
      <c r="C70" s="19" t="n"/>
      <c r="D70" s="5">
        <f>IF(OR(B70="",C70=""),"",UPPER(LEFT(C70,1))&amp;LOWER(MID(C70,2,30))&amp;" "&amp;LOWER(LEFT(B70,1))&amp;MID(B70,2,200))</f>
        <v/>
      </c>
      <c r="E70" s="4" t="n"/>
      <c r="F70" s="4" t="n"/>
      <c r="G70" s="4" t="n"/>
      <c r="H70" s="4" t="n"/>
      <c r="I70" s="4" t="n"/>
      <c r="J70" s="4" t="n"/>
      <c r="K70" s="5">
        <f>_xlfn.TEXTJOIN(CHAR(10),TRUE,IF(E70="","","• "&amp;E70),IF(F70="","","• "&amp;F70),IF(G70="","","• "&amp;G70),IF(H70="","","• "&amp;H70),IF(I70="","","• "&amp;I70),IF(J70="","","• "&amp;J70))</f>
        <v/>
      </c>
      <c r="L70" s="4" t="n"/>
      <c r="M70" s="19" t="n"/>
      <c r="N70" s="19" t="n"/>
      <c r="O70" s="30">
        <f>IF(OR(M70="",N70=""),"",INDEX(RiskGrid,6-VALUE(LEFT(M70,1)),VALUE(LEFT(N70,1))))</f>
        <v/>
      </c>
      <c r="P70" s="30">
        <f>IF(O70="","",IF(O70&gt;=BandVH,"Very High",IF(O70&gt;=BandHigh,"High",IF(O70&gt;=BandMed,"Medium","Low"))))</f>
        <v/>
      </c>
      <c r="Q70" s="4" t="n"/>
      <c r="R70" s="19" t="n"/>
      <c r="S70" s="4" t="n"/>
      <c r="T70" s="19" t="n"/>
      <c r="U70" s="4" t="n"/>
      <c r="V70" s="19" t="n"/>
      <c r="W70" s="4" t="n"/>
      <c r="X70" s="19" t="n"/>
      <c r="Y70" s="4" t="n"/>
      <c r="Z70" s="19" t="n"/>
      <c r="AA70" s="4" t="n"/>
      <c r="AB70" s="19" t="n"/>
      <c r="AC70" s="5">
        <f>_xlfn.TEXTJOIN(CHAR(10),TRUE,IF(Q70="","","• "&amp;Q70&amp;IF(R70="Yes","  [IPL]","")),IF(S70="","","• "&amp;S70&amp;IF(T70="Yes","  [IPL]","")),IF(U70="","","• "&amp;U70&amp;IF(V70="Yes","  [IPL]","")),IF(W70="","","• "&amp;W70&amp;IF(X70="Yes","  [IPL]","")),IF(Y70="","","• "&amp;Y70&amp;IF(Z70="Yes","  [IPL]","")),IF(AA70="","","• "&amp;AA70&amp;IF(AB70="Yes","  [IPL]","")))</f>
        <v/>
      </c>
      <c r="AD70" s="30">
        <f>IF(AC70="","",COUNTIF(Q70:AB70,"Yes"))</f>
        <v/>
      </c>
      <c r="AE70" s="19" t="n"/>
      <c r="AF70" s="19" t="n"/>
      <c r="AG70" s="30">
        <f>IF(OR(AE70="",AF70=""),"",INDEX(RiskGrid,6-VALUE(LEFT(AE70,1)),VALUE(LEFT(AF70,1))))</f>
        <v/>
      </c>
      <c r="AH70" s="30">
        <f>IF(AG70="","",IF(AG70&gt;=BandVH,"Very High",IF(AG70&gt;=BandHigh,"High",IF(AG70&gt;=BandMed,"Medium","Low"))))</f>
        <v/>
      </c>
      <c r="AI70" s="4" t="n"/>
      <c r="AJ70" s="4" t="n"/>
    </row>
    <row r="71">
      <c r="A71" s="30">
        <f>IF(B71="","",COUNTIF(B$14:B71,"?*"))</f>
        <v/>
      </c>
      <c r="B71" s="4" t="n"/>
      <c r="C71" s="19" t="n"/>
      <c r="D71" s="5">
        <f>IF(OR(B71="",C71=""),"",UPPER(LEFT(C71,1))&amp;LOWER(MID(C71,2,30))&amp;" "&amp;LOWER(LEFT(B71,1))&amp;MID(B71,2,200))</f>
        <v/>
      </c>
      <c r="E71" s="4" t="n"/>
      <c r="F71" s="4" t="n"/>
      <c r="G71" s="4" t="n"/>
      <c r="H71" s="4" t="n"/>
      <c r="I71" s="4" t="n"/>
      <c r="J71" s="4" t="n"/>
      <c r="K71" s="5">
        <f>_xlfn.TEXTJOIN(CHAR(10),TRUE,IF(E71="","","• "&amp;E71),IF(F71="","","• "&amp;F71),IF(G71="","","• "&amp;G71),IF(H71="","","• "&amp;H71),IF(I71="","","• "&amp;I71),IF(J71="","","• "&amp;J71))</f>
        <v/>
      </c>
      <c r="L71" s="4" t="n"/>
      <c r="M71" s="19" t="n"/>
      <c r="N71" s="19" t="n"/>
      <c r="O71" s="30">
        <f>IF(OR(M71="",N71=""),"",INDEX(RiskGrid,6-VALUE(LEFT(M71,1)),VALUE(LEFT(N71,1))))</f>
        <v/>
      </c>
      <c r="P71" s="30">
        <f>IF(O71="","",IF(O71&gt;=BandVH,"Very High",IF(O71&gt;=BandHigh,"High",IF(O71&gt;=BandMed,"Medium","Low"))))</f>
        <v/>
      </c>
      <c r="Q71" s="4" t="n"/>
      <c r="R71" s="19" t="n"/>
      <c r="S71" s="4" t="n"/>
      <c r="T71" s="19" t="n"/>
      <c r="U71" s="4" t="n"/>
      <c r="V71" s="19" t="n"/>
      <c r="W71" s="4" t="n"/>
      <c r="X71" s="19" t="n"/>
      <c r="Y71" s="4" t="n"/>
      <c r="Z71" s="19" t="n"/>
      <c r="AA71" s="4" t="n"/>
      <c r="AB71" s="19" t="n"/>
      <c r="AC71" s="5">
        <f>_xlfn.TEXTJOIN(CHAR(10),TRUE,IF(Q71="","","• "&amp;Q71&amp;IF(R71="Yes","  [IPL]","")),IF(S71="","","• "&amp;S71&amp;IF(T71="Yes","  [IPL]","")),IF(U71="","","• "&amp;U71&amp;IF(V71="Yes","  [IPL]","")),IF(W71="","","• "&amp;W71&amp;IF(X71="Yes","  [IPL]","")),IF(Y71="","","• "&amp;Y71&amp;IF(Z71="Yes","  [IPL]","")),IF(AA71="","","• "&amp;AA71&amp;IF(AB71="Yes","  [IPL]","")))</f>
        <v/>
      </c>
      <c r="AD71" s="30">
        <f>IF(AC71="","",COUNTIF(Q71:AB71,"Yes"))</f>
        <v/>
      </c>
      <c r="AE71" s="19" t="n"/>
      <c r="AF71" s="19" t="n"/>
      <c r="AG71" s="30">
        <f>IF(OR(AE71="",AF71=""),"",INDEX(RiskGrid,6-VALUE(LEFT(AE71,1)),VALUE(LEFT(AF71,1))))</f>
        <v/>
      </c>
      <c r="AH71" s="30">
        <f>IF(AG71="","",IF(AG71&gt;=BandVH,"Very High",IF(AG71&gt;=BandHigh,"High",IF(AG71&gt;=BandMed,"Medium","Low"))))</f>
        <v/>
      </c>
      <c r="AI71" s="4" t="n"/>
      <c r="AJ71" s="4" t="n"/>
    </row>
    <row r="72">
      <c r="A72" s="30">
        <f>IF(B72="","",COUNTIF(B$14:B72,"?*"))</f>
        <v/>
      </c>
      <c r="B72" s="4" t="n"/>
      <c r="C72" s="19" t="n"/>
      <c r="D72" s="5">
        <f>IF(OR(B72="",C72=""),"",UPPER(LEFT(C72,1))&amp;LOWER(MID(C72,2,30))&amp;" "&amp;LOWER(LEFT(B72,1))&amp;MID(B72,2,200))</f>
        <v/>
      </c>
      <c r="E72" s="4" t="n"/>
      <c r="F72" s="4" t="n"/>
      <c r="G72" s="4" t="n"/>
      <c r="H72" s="4" t="n"/>
      <c r="I72" s="4" t="n"/>
      <c r="J72" s="4" t="n"/>
      <c r="K72" s="5">
        <f>_xlfn.TEXTJOIN(CHAR(10),TRUE,IF(E72="","","• "&amp;E72),IF(F72="","","• "&amp;F72),IF(G72="","","• "&amp;G72),IF(H72="","","• "&amp;H72),IF(I72="","","• "&amp;I72),IF(J72="","","• "&amp;J72))</f>
        <v/>
      </c>
      <c r="L72" s="4" t="n"/>
      <c r="M72" s="19" t="n"/>
      <c r="N72" s="19" t="n"/>
      <c r="O72" s="30">
        <f>IF(OR(M72="",N72=""),"",INDEX(RiskGrid,6-VALUE(LEFT(M72,1)),VALUE(LEFT(N72,1))))</f>
        <v/>
      </c>
      <c r="P72" s="30">
        <f>IF(O72="","",IF(O72&gt;=BandVH,"Very High",IF(O72&gt;=BandHigh,"High",IF(O72&gt;=BandMed,"Medium","Low"))))</f>
        <v/>
      </c>
      <c r="Q72" s="4" t="n"/>
      <c r="R72" s="19" t="n"/>
      <c r="S72" s="4" t="n"/>
      <c r="T72" s="19" t="n"/>
      <c r="U72" s="4" t="n"/>
      <c r="V72" s="19" t="n"/>
      <c r="W72" s="4" t="n"/>
      <c r="X72" s="19" t="n"/>
      <c r="Y72" s="4" t="n"/>
      <c r="Z72" s="19" t="n"/>
      <c r="AA72" s="4" t="n"/>
      <c r="AB72" s="19" t="n"/>
      <c r="AC72" s="5">
        <f>_xlfn.TEXTJOIN(CHAR(10),TRUE,IF(Q72="","","• "&amp;Q72&amp;IF(R72="Yes","  [IPL]","")),IF(S72="","","• "&amp;S72&amp;IF(T72="Yes","  [IPL]","")),IF(U72="","","• "&amp;U72&amp;IF(V72="Yes","  [IPL]","")),IF(W72="","","• "&amp;W72&amp;IF(X72="Yes","  [IPL]","")),IF(Y72="","","• "&amp;Y72&amp;IF(Z72="Yes","  [IPL]","")),IF(AA72="","","• "&amp;AA72&amp;IF(AB72="Yes","  [IPL]","")))</f>
        <v/>
      </c>
      <c r="AD72" s="30">
        <f>IF(AC72="","",COUNTIF(Q72:AB72,"Yes"))</f>
        <v/>
      </c>
      <c r="AE72" s="19" t="n"/>
      <c r="AF72" s="19" t="n"/>
      <c r="AG72" s="30">
        <f>IF(OR(AE72="",AF72=""),"",INDEX(RiskGrid,6-VALUE(LEFT(AE72,1)),VALUE(LEFT(AF72,1))))</f>
        <v/>
      </c>
      <c r="AH72" s="30">
        <f>IF(AG72="","",IF(AG72&gt;=BandVH,"Very High",IF(AG72&gt;=BandHigh,"High",IF(AG72&gt;=BandMed,"Medium","Low"))))</f>
        <v/>
      </c>
      <c r="AI72" s="4" t="n"/>
      <c r="AJ72" s="4" t="n"/>
    </row>
    <row r="73">
      <c r="A73" s="30">
        <f>IF(B73="","",COUNTIF(B$14:B73,"?*"))</f>
        <v/>
      </c>
      <c r="B73" s="4" t="n"/>
      <c r="C73" s="19" t="n"/>
      <c r="D73" s="5">
        <f>IF(OR(B73="",C73=""),"",UPPER(LEFT(C73,1))&amp;LOWER(MID(C73,2,30))&amp;" "&amp;LOWER(LEFT(B73,1))&amp;MID(B73,2,200))</f>
        <v/>
      </c>
      <c r="E73" s="4" t="n"/>
      <c r="F73" s="4" t="n"/>
      <c r="G73" s="4" t="n"/>
      <c r="H73" s="4" t="n"/>
      <c r="I73" s="4" t="n"/>
      <c r="J73" s="4" t="n"/>
      <c r="K73" s="5">
        <f>_xlfn.TEXTJOIN(CHAR(10),TRUE,IF(E73="","","• "&amp;E73),IF(F73="","","• "&amp;F73),IF(G73="","","• "&amp;G73),IF(H73="","","• "&amp;H73),IF(I73="","","• "&amp;I73),IF(J73="","","• "&amp;J73))</f>
        <v/>
      </c>
      <c r="L73" s="4" t="n"/>
      <c r="M73" s="19" t="n"/>
      <c r="N73" s="19" t="n"/>
      <c r="O73" s="30">
        <f>IF(OR(M73="",N73=""),"",INDEX(RiskGrid,6-VALUE(LEFT(M73,1)),VALUE(LEFT(N73,1))))</f>
        <v/>
      </c>
      <c r="P73" s="30">
        <f>IF(O73="","",IF(O73&gt;=BandVH,"Very High",IF(O73&gt;=BandHigh,"High",IF(O73&gt;=BandMed,"Medium","Low"))))</f>
        <v/>
      </c>
      <c r="Q73" s="4" t="n"/>
      <c r="R73" s="19" t="n"/>
      <c r="S73" s="4" t="n"/>
      <c r="T73" s="19" t="n"/>
      <c r="U73" s="4" t="n"/>
      <c r="V73" s="19" t="n"/>
      <c r="W73" s="4" t="n"/>
      <c r="X73" s="19" t="n"/>
      <c r="Y73" s="4" t="n"/>
      <c r="Z73" s="19" t="n"/>
      <c r="AA73" s="4" t="n"/>
      <c r="AB73" s="19" t="n"/>
      <c r="AC73" s="5">
        <f>_xlfn.TEXTJOIN(CHAR(10),TRUE,IF(Q73="","","• "&amp;Q73&amp;IF(R73="Yes","  [IPL]","")),IF(S73="","","• "&amp;S73&amp;IF(T73="Yes","  [IPL]","")),IF(U73="","","• "&amp;U73&amp;IF(V73="Yes","  [IPL]","")),IF(W73="","","• "&amp;W73&amp;IF(X73="Yes","  [IPL]","")),IF(Y73="","","• "&amp;Y73&amp;IF(Z73="Yes","  [IPL]","")),IF(AA73="","","• "&amp;AA73&amp;IF(AB73="Yes","  [IPL]","")))</f>
        <v/>
      </c>
      <c r="AD73" s="30">
        <f>IF(AC73="","",COUNTIF(Q73:AB73,"Yes"))</f>
        <v/>
      </c>
      <c r="AE73" s="19" t="n"/>
      <c r="AF73" s="19" t="n"/>
      <c r="AG73" s="30">
        <f>IF(OR(AE73="",AF73=""),"",INDEX(RiskGrid,6-VALUE(LEFT(AE73,1)),VALUE(LEFT(AF73,1))))</f>
        <v/>
      </c>
      <c r="AH73" s="30">
        <f>IF(AG73="","",IF(AG73&gt;=BandVH,"Very High",IF(AG73&gt;=BandHigh,"High",IF(AG73&gt;=BandMed,"Medium","Low"))))</f>
        <v/>
      </c>
      <c r="AI73" s="4" t="n"/>
      <c r="AJ73" s="4" t="n"/>
    </row>
    <row r="74">
      <c r="A74" s="30">
        <f>IF(B74="","",COUNTIF(B$14:B74,"?*"))</f>
        <v/>
      </c>
      <c r="B74" s="4" t="n"/>
      <c r="C74" s="19" t="n"/>
      <c r="D74" s="5">
        <f>IF(OR(B74="",C74=""),"",UPPER(LEFT(C74,1))&amp;LOWER(MID(C74,2,30))&amp;" "&amp;LOWER(LEFT(B74,1))&amp;MID(B74,2,200))</f>
        <v/>
      </c>
      <c r="E74" s="4" t="n"/>
      <c r="F74" s="4" t="n"/>
      <c r="G74" s="4" t="n"/>
      <c r="H74" s="4" t="n"/>
      <c r="I74" s="4" t="n"/>
      <c r="J74" s="4" t="n"/>
      <c r="K74" s="5">
        <f>_xlfn.TEXTJOIN(CHAR(10),TRUE,IF(E74="","","• "&amp;E74),IF(F74="","","• "&amp;F74),IF(G74="","","• "&amp;G74),IF(H74="","","• "&amp;H74),IF(I74="","","• "&amp;I74),IF(J74="","","• "&amp;J74))</f>
        <v/>
      </c>
      <c r="L74" s="4" t="n"/>
      <c r="M74" s="19" t="n"/>
      <c r="N74" s="19" t="n"/>
      <c r="O74" s="30">
        <f>IF(OR(M74="",N74=""),"",INDEX(RiskGrid,6-VALUE(LEFT(M74,1)),VALUE(LEFT(N74,1))))</f>
        <v/>
      </c>
      <c r="P74" s="30">
        <f>IF(O74="","",IF(O74&gt;=BandVH,"Very High",IF(O74&gt;=BandHigh,"High",IF(O74&gt;=BandMed,"Medium","Low"))))</f>
        <v/>
      </c>
      <c r="Q74" s="4" t="n"/>
      <c r="R74" s="19" t="n"/>
      <c r="S74" s="4" t="n"/>
      <c r="T74" s="19" t="n"/>
      <c r="U74" s="4" t="n"/>
      <c r="V74" s="19" t="n"/>
      <c r="W74" s="4" t="n"/>
      <c r="X74" s="19" t="n"/>
      <c r="Y74" s="4" t="n"/>
      <c r="Z74" s="19" t="n"/>
      <c r="AA74" s="4" t="n"/>
      <c r="AB74" s="19" t="n"/>
      <c r="AC74" s="5">
        <f>_xlfn.TEXTJOIN(CHAR(10),TRUE,IF(Q74="","","• "&amp;Q74&amp;IF(R74="Yes","  [IPL]","")),IF(S74="","","• "&amp;S74&amp;IF(T74="Yes","  [IPL]","")),IF(U74="","","• "&amp;U74&amp;IF(V74="Yes","  [IPL]","")),IF(W74="","","• "&amp;W74&amp;IF(X74="Yes","  [IPL]","")),IF(Y74="","","• "&amp;Y74&amp;IF(Z74="Yes","  [IPL]","")),IF(AA74="","","• "&amp;AA74&amp;IF(AB74="Yes","  [IPL]","")))</f>
        <v/>
      </c>
      <c r="AD74" s="30">
        <f>IF(AC74="","",COUNTIF(Q74:AB74,"Yes"))</f>
        <v/>
      </c>
      <c r="AE74" s="19" t="n"/>
      <c r="AF74" s="19" t="n"/>
      <c r="AG74" s="30">
        <f>IF(OR(AE74="",AF74=""),"",INDEX(RiskGrid,6-VALUE(LEFT(AE74,1)),VALUE(LEFT(AF74,1))))</f>
        <v/>
      </c>
      <c r="AH74" s="30">
        <f>IF(AG74="","",IF(AG74&gt;=BandVH,"Very High",IF(AG74&gt;=BandHigh,"High",IF(AG74&gt;=BandMed,"Medium","Low"))))</f>
        <v/>
      </c>
      <c r="AI74" s="4" t="n"/>
      <c r="AJ74" s="4" t="n"/>
    </row>
    <row r="75">
      <c r="A75" s="30">
        <f>IF(B75="","",COUNTIF(B$14:B75,"?*"))</f>
        <v/>
      </c>
      <c r="B75" s="4" t="n"/>
      <c r="C75" s="19" t="n"/>
      <c r="D75" s="5">
        <f>IF(OR(B75="",C75=""),"",UPPER(LEFT(C75,1))&amp;LOWER(MID(C75,2,30))&amp;" "&amp;LOWER(LEFT(B75,1))&amp;MID(B75,2,200))</f>
        <v/>
      </c>
      <c r="E75" s="4" t="n"/>
      <c r="F75" s="4" t="n"/>
      <c r="G75" s="4" t="n"/>
      <c r="H75" s="4" t="n"/>
      <c r="I75" s="4" t="n"/>
      <c r="J75" s="4" t="n"/>
      <c r="K75" s="5">
        <f>_xlfn.TEXTJOIN(CHAR(10),TRUE,IF(E75="","","• "&amp;E75),IF(F75="","","• "&amp;F75),IF(G75="","","• "&amp;G75),IF(H75="","","• "&amp;H75),IF(I75="","","• "&amp;I75),IF(J75="","","• "&amp;J75))</f>
        <v/>
      </c>
      <c r="L75" s="4" t="n"/>
      <c r="M75" s="19" t="n"/>
      <c r="N75" s="19" t="n"/>
      <c r="O75" s="30">
        <f>IF(OR(M75="",N75=""),"",INDEX(RiskGrid,6-VALUE(LEFT(M75,1)),VALUE(LEFT(N75,1))))</f>
        <v/>
      </c>
      <c r="P75" s="30">
        <f>IF(O75="","",IF(O75&gt;=BandVH,"Very High",IF(O75&gt;=BandHigh,"High",IF(O75&gt;=BandMed,"Medium","Low"))))</f>
        <v/>
      </c>
      <c r="Q75" s="4" t="n"/>
      <c r="R75" s="19" t="n"/>
      <c r="S75" s="4" t="n"/>
      <c r="T75" s="19" t="n"/>
      <c r="U75" s="4" t="n"/>
      <c r="V75" s="19" t="n"/>
      <c r="W75" s="4" t="n"/>
      <c r="X75" s="19" t="n"/>
      <c r="Y75" s="4" t="n"/>
      <c r="Z75" s="19" t="n"/>
      <c r="AA75" s="4" t="n"/>
      <c r="AB75" s="19" t="n"/>
      <c r="AC75" s="5">
        <f>_xlfn.TEXTJOIN(CHAR(10),TRUE,IF(Q75="","","• "&amp;Q75&amp;IF(R75="Yes","  [IPL]","")),IF(S75="","","• "&amp;S75&amp;IF(T75="Yes","  [IPL]","")),IF(U75="","","• "&amp;U75&amp;IF(V75="Yes","  [IPL]","")),IF(W75="","","• "&amp;W75&amp;IF(X75="Yes","  [IPL]","")),IF(Y75="","","• "&amp;Y75&amp;IF(Z75="Yes","  [IPL]","")),IF(AA75="","","• "&amp;AA75&amp;IF(AB75="Yes","  [IPL]","")))</f>
        <v/>
      </c>
      <c r="AD75" s="30">
        <f>IF(AC75="","",COUNTIF(Q75:AB75,"Yes"))</f>
        <v/>
      </c>
      <c r="AE75" s="19" t="n"/>
      <c r="AF75" s="19" t="n"/>
      <c r="AG75" s="30">
        <f>IF(OR(AE75="",AF75=""),"",INDEX(RiskGrid,6-VALUE(LEFT(AE75,1)),VALUE(LEFT(AF75,1))))</f>
        <v/>
      </c>
      <c r="AH75" s="30">
        <f>IF(AG75="","",IF(AG75&gt;=BandVH,"Very High",IF(AG75&gt;=BandHigh,"High",IF(AG75&gt;=BandMed,"Medium","Low"))))</f>
        <v/>
      </c>
      <c r="AI75" s="4" t="n"/>
      <c r="AJ75" s="4" t="n"/>
    </row>
    <row r="76">
      <c r="A76" s="30">
        <f>IF(B76="","",COUNTIF(B$14:B76,"?*"))</f>
        <v/>
      </c>
      <c r="B76" s="4" t="n"/>
      <c r="C76" s="19" t="n"/>
      <c r="D76" s="5">
        <f>IF(OR(B76="",C76=""),"",UPPER(LEFT(C76,1))&amp;LOWER(MID(C76,2,30))&amp;" "&amp;LOWER(LEFT(B76,1))&amp;MID(B76,2,200))</f>
        <v/>
      </c>
      <c r="E76" s="4" t="n"/>
      <c r="F76" s="4" t="n"/>
      <c r="G76" s="4" t="n"/>
      <c r="H76" s="4" t="n"/>
      <c r="I76" s="4" t="n"/>
      <c r="J76" s="4" t="n"/>
      <c r="K76" s="5">
        <f>_xlfn.TEXTJOIN(CHAR(10),TRUE,IF(E76="","","• "&amp;E76),IF(F76="","","• "&amp;F76),IF(G76="","","• "&amp;G76),IF(H76="","","• "&amp;H76),IF(I76="","","• "&amp;I76),IF(J76="","","• "&amp;J76))</f>
        <v/>
      </c>
      <c r="L76" s="4" t="n"/>
      <c r="M76" s="19" t="n"/>
      <c r="N76" s="19" t="n"/>
      <c r="O76" s="30">
        <f>IF(OR(M76="",N76=""),"",INDEX(RiskGrid,6-VALUE(LEFT(M76,1)),VALUE(LEFT(N76,1))))</f>
        <v/>
      </c>
      <c r="P76" s="30">
        <f>IF(O76="","",IF(O76&gt;=BandVH,"Very High",IF(O76&gt;=BandHigh,"High",IF(O76&gt;=BandMed,"Medium","Low"))))</f>
        <v/>
      </c>
      <c r="Q76" s="4" t="n"/>
      <c r="R76" s="19" t="n"/>
      <c r="S76" s="4" t="n"/>
      <c r="T76" s="19" t="n"/>
      <c r="U76" s="4" t="n"/>
      <c r="V76" s="19" t="n"/>
      <c r="W76" s="4" t="n"/>
      <c r="X76" s="19" t="n"/>
      <c r="Y76" s="4" t="n"/>
      <c r="Z76" s="19" t="n"/>
      <c r="AA76" s="4" t="n"/>
      <c r="AB76" s="19" t="n"/>
      <c r="AC76" s="5">
        <f>_xlfn.TEXTJOIN(CHAR(10),TRUE,IF(Q76="","","• "&amp;Q76&amp;IF(R76="Yes","  [IPL]","")),IF(S76="","","• "&amp;S76&amp;IF(T76="Yes","  [IPL]","")),IF(U76="","","• "&amp;U76&amp;IF(V76="Yes","  [IPL]","")),IF(W76="","","• "&amp;W76&amp;IF(X76="Yes","  [IPL]","")),IF(Y76="","","• "&amp;Y76&amp;IF(Z76="Yes","  [IPL]","")),IF(AA76="","","• "&amp;AA76&amp;IF(AB76="Yes","  [IPL]","")))</f>
        <v/>
      </c>
      <c r="AD76" s="30">
        <f>IF(AC76="","",COUNTIF(Q76:AB76,"Yes"))</f>
        <v/>
      </c>
      <c r="AE76" s="19" t="n"/>
      <c r="AF76" s="19" t="n"/>
      <c r="AG76" s="30">
        <f>IF(OR(AE76="",AF76=""),"",INDEX(RiskGrid,6-VALUE(LEFT(AE76,1)),VALUE(LEFT(AF76,1))))</f>
        <v/>
      </c>
      <c r="AH76" s="30">
        <f>IF(AG76="","",IF(AG76&gt;=BandVH,"Very High",IF(AG76&gt;=BandHigh,"High",IF(AG76&gt;=BandMed,"Medium","Low"))))</f>
        <v/>
      </c>
      <c r="AI76" s="4" t="n"/>
      <c r="AJ76" s="4" t="n"/>
    </row>
    <row r="77">
      <c r="A77" s="30">
        <f>IF(B77="","",COUNTIF(B$14:B77,"?*"))</f>
        <v/>
      </c>
      <c r="B77" s="4" t="n"/>
      <c r="C77" s="19" t="n"/>
      <c r="D77" s="5">
        <f>IF(OR(B77="",C77=""),"",UPPER(LEFT(C77,1))&amp;LOWER(MID(C77,2,30))&amp;" "&amp;LOWER(LEFT(B77,1))&amp;MID(B77,2,200))</f>
        <v/>
      </c>
      <c r="E77" s="4" t="n"/>
      <c r="F77" s="4" t="n"/>
      <c r="G77" s="4" t="n"/>
      <c r="H77" s="4" t="n"/>
      <c r="I77" s="4" t="n"/>
      <c r="J77" s="4" t="n"/>
      <c r="K77" s="5">
        <f>_xlfn.TEXTJOIN(CHAR(10),TRUE,IF(E77="","","• "&amp;E77),IF(F77="","","• "&amp;F77),IF(G77="","","• "&amp;G77),IF(H77="","","• "&amp;H77),IF(I77="","","• "&amp;I77),IF(J77="","","• "&amp;J77))</f>
        <v/>
      </c>
      <c r="L77" s="4" t="n"/>
      <c r="M77" s="19" t="n"/>
      <c r="N77" s="19" t="n"/>
      <c r="O77" s="30">
        <f>IF(OR(M77="",N77=""),"",INDEX(RiskGrid,6-VALUE(LEFT(M77,1)),VALUE(LEFT(N77,1))))</f>
        <v/>
      </c>
      <c r="P77" s="30">
        <f>IF(O77="","",IF(O77&gt;=BandVH,"Very High",IF(O77&gt;=BandHigh,"High",IF(O77&gt;=BandMed,"Medium","Low"))))</f>
        <v/>
      </c>
      <c r="Q77" s="4" t="n"/>
      <c r="R77" s="19" t="n"/>
      <c r="S77" s="4" t="n"/>
      <c r="T77" s="19" t="n"/>
      <c r="U77" s="4" t="n"/>
      <c r="V77" s="19" t="n"/>
      <c r="W77" s="4" t="n"/>
      <c r="X77" s="19" t="n"/>
      <c r="Y77" s="4" t="n"/>
      <c r="Z77" s="19" t="n"/>
      <c r="AA77" s="4" t="n"/>
      <c r="AB77" s="19" t="n"/>
      <c r="AC77" s="5">
        <f>_xlfn.TEXTJOIN(CHAR(10),TRUE,IF(Q77="","","• "&amp;Q77&amp;IF(R77="Yes","  [IPL]","")),IF(S77="","","• "&amp;S77&amp;IF(T77="Yes","  [IPL]","")),IF(U77="","","• "&amp;U77&amp;IF(V77="Yes","  [IPL]","")),IF(W77="","","• "&amp;W77&amp;IF(X77="Yes","  [IPL]","")),IF(Y77="","","• "&amp;Y77&amp;IF(Z77="Yes","  [IPL]","")),IF(AA77="","","• "&amp;AA77&amp;IF(AB77="Yes","  [IPL]","")))</f>
        <v/>
      </c>
      <c r="AD77" s="30">
        <f>IF(AC77="","",COUNTIF(Q77:AB77,"Yes"))</f>
        <v/>
      </c>
      <c r="AE77" s="19" t="n"/>
      <c r="AF77" s="19" t="n"/>
      <c r="AG77" s="30">
        <f>IF(OR(AE77="",AF77=""),"",INDEX(RiskGrid,6-VALUE(LEFT(AE77,1)),VALUE(LEFT(AF77,1))))</f>
        <v/>
      </c>
      <c r="AH77" s="30">
        <f>IF(AG77="","",IF(AG77&gt;=BandVH,"Very High",IF(AG77&gt;=BandHigh,"High",IF(AG77&gt;=BandMed,"Medium","Low"))))</f>
        <v/>
      </c>
      <c r="AI77" s="4" t="n"/>
      <c r="AJ77" s="4" t="n"/>
    </row>
    <row r="78">
      <c r="A78" s="30">
        <f>IF(B78="","",COUNTIF(B$14:B78,"?*"))</f>
        <v/>
      </c>
      <c r="B78" s="4" t="n"/>
      <c r="C78" s="19" t="n"/>
      <c r="D78" s="5">
        <f>IF(OR(B78="",C78=""),"",UPPER(LEFT(C78,1))&amp;LOWER(MID(C78,2,30))&amp;" "&amp;LOWER(LEFT(B78,1))&amp;MID(B78,2,200))</f>
        <v/>
      </c>
      <c r="E78" s="4" t="n"/>
      <c r="F78" s="4" t="n"/>
      <c r="G78" s="4" t="n"/>
      <c r="H78" s="4" t="n"/>
      <c r="I78" s="4" t="n"/>
      <c r="J78" s="4" t="n"/>
      <c r="K78" s="5">
        <f>_xlfn.TEXTJOIN(CHAR(10),TRUE,IF(E78="","","• "&amp;E78),IF(F78="","","• "&amp;F78),IF(G78="","","• "&amp;G78),IF(H78="","","• "&amp;H78),IF(I78="","","• "&amp;I78),IF(J78="","","• "&amp;J78))</f>
        <v/>
      </c>
      <c r="L78" s="4" t="n"/>
      <c r="M78" s="19" t="n"/>
      <c r="N78" s="19" t="n"/>
      <c r="O78" s="30">
        <f>IF(OR(M78="",N78=""),"",INDEX(RiskGrid,6-VALUE(LEFT(M78,1)),VALUE(LEFT(N78,1))))</f>
        <v/>
      </c>
      <c r="P78" s="30">
        <f>IF(O78="","",IF(O78&gt;=BandVH,"Very High",IF(O78&gt;=BandHigh,"High",IF(O78&gt;=BandMed,"Medium","Low"))))</f>
        <v/>
      </c>
      <c r="Q78" s="4" t="n"/>
      <c r="R78" s="19" t="n"/>
      <c r="S78" s="4" t="n"/>
      <c r="T78" s="19" t="n"/>
      <c r="U78" s="4" t="n"/>
      <c r="V78" s="19" t="n"/>
      <c r="W78" s="4" t="n"/>
      <c r="X78" s="19" t="n"/>
      <c r="Y78" s="4" t="n"/>
      <c r="Z78" s="19" t="n"/>
      <c r="AA78" s="4" t="n"/>
      <c r="AB78" s="19" t="n"/>
      <c r="AC78" s="5">
        <f>_xlfn.TEXTJOIN(CHAR(10),TRUE,IF(Q78="","","• "&amp;Q78&amp;IF(R78="Yes","  [IPL]","")),IF(S78="","","• "&amp;S78&amp;IF(T78="Yes","  [IPL]","")),IF(U78="","","• "&amp;U78&amp;IF(V78="Yes","  [IPL]","")),IF(W78="","","• "&amp;W78&amp;IF(X78="Yes","  [IPL]","")),IF(Y78="","","• "&amp;Y78&amp;IF(Z78="Yes","  [IPL]","")),IF(AA78="","","• "&amp;AA78&amp;IF(AB78="Yes","  [IPL]","")))</f>
        <v/>
      </c>
      <c r="AD78" s="30">
        <f>IF(AC78="","",COUNTIF(Q78:AB78,"Yes"))</f>
        <v/>
      </c>
      <c r="AE78" s="19" t="n"/>
      <c r="AF78" s="19" t="n"/>
      <c r="AG78" s="30">
        <f>IF(OR(AE78="",AF78=""),"",INDEX(RiskGrid,6-VALUE(LEFT(AE78,1)),VALUE(LEFT(AF78,1))))</f>
        <v/>
      </c>
      <c r="AH78" s="30">
        <f>IF(AG78="","",IF(AG78&gt;=BandVH,"Very High",IF(AG78&gt;=BandHigh,"High",IF(AG78&gt;=BandMed,"Medium","Low"))))</f>
        <v/>
      </c>
      <c r="AI78" s="4" t="n"/>
      <c r="AJ78" s="4" t="n"/>
    </row>
    <row r="79">
      <c r="A79" s="30">
        <f>IF(B79="","",COUNTIF(B$14:B79,"?*"))</f>
        <v/>
      </c>
      <c r="B79" s="4" t="n"/>
      <c r="C79" s="19" t="n"/>
      <c r="D79" s="5">
        <f>IF(OR(B79="",C79=""),"",UPPER(LEFT(C79,1))&amp;LOWER(MID(C79,2,30))&amp;" "&amp;LOWER(LEFT(B79,1))&amp;MID(B79,2,200))</f>
        <v/>
      </c>
      <c r="E79" s="4" t="n"/>
      <c r="F79" s="4" t="n"/>
      <c r="G79" s="4" t="n"/>
      <c r="H79" s="4" t="n"/>
      <c r="I79" s="4" t="n"/>
      <c r="J79" s="4" t="n"/>
      <c r="K79" s="5">
        <f>_xlfn.TEXTJOIN(CHAR(10),TRUE,IF(E79="","","• "&amp;E79),IF(F79="","","• "&amp;F79),IF(G79="","","• "&amp;G79),IF(H79="","","• "&amp;H79),IF(I79="","","• "&amp;I79),IF(J79="","","• "&amp;J79))</f>
        <v/>
      </c>
      <c r="L79" s="4" t="n"/>
      <c r="M79" s="19" t="n"/>
      <c r="N79" s="19" t="n"/>
      <c r="O79" s="30">
        <f>IF(OR(M79="",N79=""),"",INDEX(RiskGrid,6-VALUE(LEFT(M79,1)),VALUE(LEFT(N79,1))))</f>
        <v/>
      </c>
      <c r="P79" s="30">
        <f>IF(O79="","",IF(O79&gt;=BandVH,"Very High",IF(O79&gt;=BandHigh,"High",IF(O79&gt;=BandMed,"Medium","Low"))))</f>
        <v/>
      </c>
      <c r="Q79" s="4" t="n"/>
      <c r="R79" s="19" t="n"/>
      <c r="S79" s="4" t="n"/>
      <c r="T79" s="19" t="n"/>
      <c r="U79" s="4" t="n"/>
      <c r="V79" s="19" t="n"/>
      <c r="W79" s="4" t="n"/>
      <c r="X79" s="19" t="n"/>
      <c r="Y79" s="4" t="n"/>
      <c r="Z79" s="19" t="n"/>
      <c r="AA79" s="4" t="n"/>
      <c r="AB79" s="19" t="n"/>
      <c r="AC79" s="5">
        <f>_xlfn.TEXTJOIN(CHAR(10),TRUE,IF(Q79="","","• "&amp;Q79&amp;IF(R79="Yes","  [IPL]","")),IF(S79="","","• "&amp;S79&amp;IF(T79="Yes","  [IPL]","")),IF(U79="","","• "&amp;U79&amp;IF(V79="Yes","  [IPL]","")),IF(W79="","","• "&amp;W79&amp;IF(X79="Yes","  [IPL]","")),IF(Y79="","","• "&amp;Y79&amp;IF(Z79="Yes","  [IPL]","")),IF(AA79="","","• "&amp;AA79&amp;IF(AB79="Yes","  [IPL]","")))</f>
        <v/>
      </c>
      <c r="AD79" s="30">
        <f>IF(AC79="","",COUNTIF(Q79:AB79,"Yes"))</f>
        <v/>
      </c>
      <c r="AE79" s="19" t="n"/>
      <c r="AF79" s="19" t="n"/>
      <c r="AG79" s="30">
        <f>IF(OR(AE79="",AF79=""),"",INDEX(RiskGrid,6-VALUE(LEFT(AE79,1)),VALUE(LEFT(AF79,1))))</f>
        <v/>
      </c>
      <c r="AH79" s="30">
        <f>IF(AG79="","",IF(AG79&gt;=BandVH,"Very High",IF(AG79&gt;=BandHigh,"High",IF(AG79&gt;=BandMed,"Medium","Low"))))</f>
        <v/>
      </c>
      <c r="AI79" s="4" t="n"/>
      <c r="AJ79" s="4" t="n"/>
    </row>
    <row r="80">
      <c r="A80" s="30">
        <f>IF(B80="","",COUNTIF(B$14:B80,"?*"))</f>
        <v/>
      </c>
      <c r="B80" s="4" t="n"/>
      <c r="C80" s="19" t="n"/>
      <c r="D80" s="5">
        <f>IF(OR(B80="",C80=""),"",UPPER(LEFT(C80,1))&amp;LOWER(MID(C80,2,30))&amp;" "&amp;LOWER(LEFT(B80,1))&amp;MID(B80,2,200))</f>
        <v/>
      </c>
      <c r="E80" s="4" t="n"/>
      <c r="F80" s="4" t="n"/>
      <c r="G80" s="4" t="n"/>
      <c r="H80" s="4" t="n"/>
      <c r="I80" s="4" t="n"/>
      <c r="J80" s="4" t="n"/>
      <c r="K80" s="5">
        <f>_xlfn.TEXTJOIN(CHAR(10),TRUE,IF(E80="","","• "&amp;E80),IF(F80="","","• "&amp;F80),IF(G80="","","• "&amp;G80),IF(H80="","","• "&amp;H80),IF(I80="","","• "&amp;I80),IF(J80="","","• "&amp;J80))</f>
        <v/>
      </c>
      <c r="L80" s="4" t="n"/>
      <c r="M80" s="19" t="n"/>
      <c r="N80" s="19" t="n"/>
      <c r="O80" s="30">
        <f>IF(OR(M80="",N80=""),"",INDEX(RiskGrid,6-VALUE(LEFT(M80,1)),VALUE(LEFT(N80,1))))</f>
        <v/>
      </c>
      <c r="P80" s="30">
        <f>IF(O80="","",IF(O80&gt;=BandVH,"Very High",IF(O80&gt;=BandHigh,"High",IF(O80&gt;=BandMed,"Medium","Low"))))</f>
        <v/>
      </c>
      <c r="Q80" s="4" t="n"/>
      <c r="R80" s="19" t="n"/>
      <c r="S80" s="4" t="n"/>
      <c r="T80" s="19" t="n"/>
      <c r="U80" s="4" t="n"/>
      <c r="V80" s="19" t="n"/>
      <c r="W80" s="4" t="n"/>
      <c r="X80" s="19" t="n"/>
      <c r="Y80" s="4" t="n"/>
      <c r="Z80" s="19" t="n"/>
      <c r="AA80" s="4" t="n"/>
      <c r="AB80" s="19" t="n"/>
      <c r="AC80" s="5">
        <f>_xlfn.TEXTJOIN(CHAR(10),TRUE,IF(Q80="","","• "&amp;Q80&amp;IF(R80="Yes","  [IPL]","")),IF(S80="","","• "&amp;S80&amp;IF(T80="Yes","  [IPL]","")),IF(U80="","","• "&amp;U80&amp;IF(V80="Yes","  [IPL]","")),IF(W80="","","• "&amp;W80&amp;IF(X80="Yes","  [IPL]","")),IF(Y80="","","• "&amp;Y80&amp;IF(Z80="Yes","  [IPL]","")),IF(AA80="","","• "&amp;AA80&amp;IF(AB80="Yes","  [IPL]","")))</f>
        <v/>
      </c>
      <c r="AD80" s="30">
        <f>IF(AC80="","",COUNTIF(Q80:AB80,"Yes"))</f>
        <v/>
      </c>
      <c r="AE80" s="19" t="n"/>
      <c r="AF80" s="19" t="n"/>
      <c r="AG80" s="30">
        <f>IF(OR(AE80="",AF80=""),"",INDEX(RiskGrid,6-VALUE(LEFT(AE80,1)),VALUE(LEFT(AF80,1))))</f>
        <v/>
      </c>
      <c r="AH80" s="30">
        <f>IF(AG80="","",IF(AG80&gt;=BandVH,"Very High",IF(AG80&gt;=BandHigh,"High",IF(AG80&gt;=BandMed,"Medium","Low"))))</f>
        <v/>
      </c>
      <c r="AI80" s="4" t="n"/>
      <c r="AJ80" s="4" t="n"/>
    </row>
    <row r="81">
      <c r="A81" s="30">
        <f>IF(B81="","",COUNTIF(B$14:B81,"?*"))</f>
        <v/>
      </c>
      <c r="B81" s="4" t="n"/>
      <c r="C81" s="19" t="n"/>
      <c r="D81" s="5">
        <f>IF(OR(B81="",C81=""),"",UPPER(LEFT(C81,1))&amp;LOWER(MID(C81,2,30))&amp;" "&amp;LOWER(LEFT(B81,1))&amp;MID(B81,2,200))</f>
        <v/>
      </c>
      <c r="E81" s="4" t="n"/>
      <c r="F81" s="4" t="n"/>
      <c r="G81" s="4" t="n"/>
      <c r="H81" s="4" t="n"/>
      <c r="I81" s="4" t="n"/>
      <c r="J81" s="4" t="n"/>
      <c r="K81" s="5">
        <f>_xlfn.TEXTJOIN(CHAR(10),TRUE,IF(E81="","","• "&amp;E81),IF(F81="","","• "&amp;F81),IF(G81="","","• "&amp;G81),IF(H81="","","• "&amp;H81),IF(I81="","","• "&amp;I81),IF(J81="","","• "&amp;J81))</f>
        <v/>
      </c>
      <c r="L81" s="4" t="n"/>
      <c r="M81" s="19" t="n"/>
      <c r="N81" s="19" t="n"/>
      <c r="O81" s="30">
        <f>IF(OR(M81="",N81=""),"",INDEX(RiskGrid,6-VALUE(LEFT(M81,1)),VALUE(LEFT(N81,1))))</f>
        <v/>
      </c>
      <c r="P81" s="30">
        <f>IF(O81="","",IF(O81&gt;=BandVH,"Very High",IF(O81&gt;=BandHigh,"High",IF(O81&gt;=BandMed,"Medium","Low"))))</f>
        <v/>
      </c>
      <c r="Q81" s="4" t="n"/>
      <c r="R81" s="19" t="n"/>
      <c r="S81" s="4" t="n"/>
      <c r="T81" s="19" t="n"/>
      <c r="U81" s="4" t="n"/>
      <c r="V81" s="19" t="n"/>
      <c r="W81" s="4" t="n"/>
      <c r="X81" s="19" t="n"/>
      <c r="Y81" s="4" t="n"/>
      <c r="Z81" s="19" t="n"/>
      <c r="AA81" s="4" t="n"/>
      <c r="AB81" s="19" t="n"/>
      <c r="AC81" s="5">
        <f>_xlfn.TEXTJOIN(CHAR(10),TRUE,IF(Q81="","","• "&amp;Q81&amp;IF(R81="Yes","  [IPL]","")),IF(S81="","","• "&amp;S81&amp;IF(T81="Yes","  [IPL]","")),IF(U81="","","• "&amp;U81&amp;IF(V81="Yes","  [IPL]","")),IF(W81="","","• "&amp;W81&amp;IF(X81="Yes","  [IPL]","")),IF(Y81="","","• "&amp;Y81&amp;IF(Z81="Yes","  [IPL]","")),IF(AA81="","","• "&amp;AA81&amp;IF(AB81="Yes","  [IPL]","")))</f>
        <v/>
      </c>
      <c r="AD81" s="30">
        <f>IF(AC81="","",COUNTIF(Q81:AB81,"Yes"))</f>
        <v/>
      </c>
      <c r="AE81" s="19" t="n"/>
      <c r="AF81" s="19" t="n"/>
      <c r="AG81" s="30">
        <f>IF(OR(AE81="",AF81=""),"",INDEX(RiskGrid,6-VALUE(LEFT(AE81,1)),VALUE(LEFT(AF81,1))))</f>
        <v/>
      </c>
      <c r="AH81" s="30">
        <f>IF(AG81="","",IF(AG81&gt;=BandVH,"Very High",IF(AG81&gt;=BandHigh,"High",IF(AG81&gt;=BandMed,"Medium","Low"))))</f>
        <v/>
      </c>
      <c r="AI81" s="4" t="n"/>
      <c r="AJ81" s="4" t="n"/>
    </row>
    <row r="82">
      <c r="A82" s="30">
        <f>IF(B82="","",COUNTIF(B$14:B82,"?*"))</f>
        <v/>
      </c>
      <c r="B82" s="4" t="n"/>
      <c r="C82" s="19" t="n"/>
      <c r="D82" s="5">
        <f>IF(OR(B82="",C82=""),"",UPPER(LEFT(C82,1))&amp;LOWER(MID(C82,2,30))&amp;" "&amp;LOWER(LEFT(B82,1))&amp;MID(B82,2,200))</f>
        <v/>
      </c>
      <c r="E82" s="4" t="n"/>
      <c r="F82" s="4" t="n"/>
      <c r="G82" s="4" t="n"/>
      <c r="H82" s="4" t="n"/>
      <c r="I82" s="4" t="n"/>
      <c r="J82" s="4" t="n"/>
      <c r="K82" s="5">
        <f>_xlfn.TEXTJOIN(CHAR(10),TRUE,IF(E82="","","• "&amp;E82),IF(F82="","","• "&amp;F82),IF(G82="","","• "&amp;G82),IF(H82="","","• "&amp;H82),IF(I82="","","• "&amp;I82),IF(J82="","","• "&amp;J82))</f>
        <v/>
      </c>
      <c r="L82" s="4" t="n"/>
      <c r="M82" s="19" t="n"/>
      <c r="N82" s="19" t="n"/>
      <c r="O82" s="30">
        <f>IF(OR(M82="",N82=""),"",INDEX(RiskGrid,6-VALUE(LEFT(M82,1)),VALUE(LEFT(N82,1))))</f>
        <v/>
      </c>
      <c r="P82" s="30">
        <f>IF(O82="","",IF(O82&gt;=BandVH,"Very High",IF(O82&gt;=BandHigh,"High",IF(O82&gt;=BandMed,"Medium","Low"))))</f>
        <v/>
      </c>
      <c r="Q82" s="4" t="n"/>
      <c r="R82" s="19" t="n"/>
      <c r="S82" s="4" t="n"/>
      <c r="T82" s="19" t="n"/>
      <c r="U82" s="4" t="n"/>
      <c r="V82" s="19" t="n"/>
      <c r="W82" s="4" t="n"/>
      <c r="X82" s="19" t="n"/>
      <c r="Y82" s="4" t="n"/>
      <c r="Z82" s="19" t="n"/>
      <c r="AA82" s="4" t="n"/>
      <c r="AB82" s="19" t="n"/>
      <c r="AC82" s="5">
        <f>_xlfn.TEXTJOIN(CHAR(10),TRUE,IF(Q82="","","• "&amp;Q82&amp;IF(R82="Yes","  [IPL]","")),IF(S82="","","• "&amp;S82&amp;IF(T82="Yes","  [IPL]","")),IF(U82="","","• "&amp;U82&amp;IF(V82="Yes","  [IPL]","")),IF(W82="","","• "&amp;W82&amp;IF(X82="Yes","  [IPL]","")),IF(Y82="","","• "&amp;Y82&amp;IF(Z82="Yes","  [IPL]","")),IF(AA82="","","• "&amp;AA82&amp;IF(AB82="Yes","  [IPL]","")))</f>
        <v/>
      </c>
      <c r="AD82" s="30">
        <f>IF(AC82="","",COUNTIF(Q82:AB82,"Yes"))</f>
        <v/>
      </c>
      <c r="AE82" s="19" t="n"/>
      <c r="AF82" s="19" t="n"/>
      <c r="AG82" s="30">
        <f>IF(OR(AE82="",AF82=""),"",INDEX(RiskGrid,6-VALUE(LEFT(AE82,1)),VALUE(LEFT(AF82,1))))</f>
        <v/>
      </c>
      <c r="AH82" s="30">
        <f>IF(AG82="","",IF(AG82&gt;=BandVH,"Very High",IF(AG82&gt;=BandHigh,"High",IF(AG82&gt;=BandMed,"Medium","Low"))))</f>
        <v/>
      </c>
      <c r="AI82" s="4" t="n"/>
      <c r="AJ82" s="4" t="n"/>
    </row>
    <row r="83">
      <c r="A83" s="30">
        <f>IF(B83="","",COUNTIF(B$14:B83,"?*"))</f>
        <v/>
      </c>
      <c r="B83" s="4" t="n"/>
      <c r="C83" s="19" t="n"/>
      <c r="D83" s="5">
        <f>IF(OR(B83="",C83=""),"",UPPER(LEFT(C83,1))&amp;LOWER(MID(C83,2,30))&amp;" "&amp;LOWER(LEFT(B83,1))&amp;MID(B83,2,200))</f>
        <v/>
      </c>
      <c r="E83" s="4" t="n"/>
      <c r="F83" s="4" t="n"/>
      <c r="G83" s="4" t="n"/>
      <c r="H83" s="4" t="n"/>
      <c r="I83" s="4" t="n"/>
      <c r="J83" s="4" t="n"/>
      <c r="K83" s="5">
        <f>_xlfn.TEXTJOIN(CHAR(10),TRUE,IF(E83="","","• "&amp;E83),IF(F83="","","• "&amp;F83),IF(G83="","","• "&amp;G83),IF(H83="","","• "&amp;H83),IF(I83="","","• "&amp;I83),IF(J83="","","• "&amp;J83))</f>
        <v/>
      </c>
      <c r="L83" s="4" t="n"/>
      <c r="M83" s="19" t="n"/>
      <c r="N83" s="19" t="n"/>
      <c r="O83" s="30">
        <f>IF(OR(M83="",N83=""),"",INDEX(RiskGrid,6-VALUE(LEFT(M83,1)),VALUE(LEFT(N83,1))))</f>
        <v/>
      </c>
      <c r="P83" s="30">
        <f>IF(O83="","",IF(O83&gt;=BandVH,"Very High",IF(O83&gt;=BandHigh,"High",IF(O83&gt;=BandMed,"Medium","Low"))))</f>
        <v/>
      </c>
      <c r="Q83" s="4" t="n"/>
      <c r="R83" s="19" t="n"/>
      <c r="S83" s="4" t="n"/>
      <c r="T83" s="19" t="n"/>
      <c r="U83" s="4" t="n"/>
      <c r="V83" s="19" t="n"/>
      <c r="W83" s="4" t="n"/>
      <c r="X83" s="19" t="n"/>
      <c r="Y83" s="4" t="n"/>
      <c r="Z83" s="19" t="n"/>
      <c r="AA83" s="4" t="n"/>
      <c r="AB83" s="19" t="n"/>
      <c r="AC83" s="5">
        <f>_xlfn.TEXTJOIN(CHAR(10),TRUE,IF(Q83="","","• "&amp;Q83&amp;IF(R83="Yes","  [IPL]","")),IF(S83="","","• "&amp;S83&amp;IF(T83="Yes","  [IPL]","")),IF(U83="","","• "&amp;U83&amp;IF(V83="Yes","  [IPL]","")),IF(W83="","","• "&amp;W83&amp;IF(X83="Yes","  [IPL]","")),IF(Y83="","","• "&amp;Y83&amp;IF(Z83="Yes","  [IPL]","")),IF(AA83="","","• "&amp;AA83&amp;IF(AB83="Yes","  [IPL]","")))</f>
        <v/>
      </c>
      <c r="AD83" s="30">
        <f>IF(AC83="","",COUNTIF(Q83:AB83,"Yes"))</f>
        <v/>
      </c>
      <c r="AE83" s="19" t="n"/>
      <c r="AF83" s="19" t="n"/>
      <c r="AG83" s="30">
        <f>IF(OR(AE83="",AF83=""),"",INDEX(RiskGrid,6-VALUE(LEFT(AE83,1)),VALUE(LEFT(AF83,1))))</f>
        <v/>
      </c>
      <c r="AH83" s="30">
        <f>IF(AG83="","",IF(AG83&gt;=BandVH,"Very High",IF(AG83&gt;=BandHigh,"High",IF(AG83&gt;=BandMed,"Medium","Low"))))</f>
        <v/>
      </c>
      <c r="AI83" s="4" t="n"/>
      <c r="AJ83" s="4" t="n"/>
    </row>
    <row r="84">
      <c r="A84" s="30">
        <f>IF(B84="","",COUNTIF(B$14:B84,"?*"))</f>
        <v/>
      </c>
      <c r="B84" s="4" t="n"/>
      <c r="C84" s="19" t="n"/>
      <c r="D84" s="5">
        <f>IF(OR(B84="",C84=""),"",UPPER(LEFT(C84,1))&amp;LOWER(MID(C84,2,30))&amp;" "&amp;LOWER(LEFT(B84,1))&amp;MID(B84,2,200))</f>
        <v/>
      </c>
      <c r="E84" s="4" t="n"/>
      <c r="F84" s="4" t="n"/>
      <c r="G84" s="4" t="n"/>
      <c r="H84" s="4" t="n"/>
      <c r="I84" s="4" t="n"/>
      <c r="J84" s="4" t="n"/>
      <c r="K84" s="5">
        <f>_xlfn.TEXTJOIN(CHAR(10),TRUE,IF(E84="","","• "&amp;E84),IF(F84="","","• "&amp;F84),IF(G84="","","• "&amp;G84),IF(H84="","","• "&amp;H84),IF(I84="","","• "&amp;I84),IF(J84="","","• "&amp;J84))</f>
        <v/>
      </c>
      <c r="L84" s="4" t="n"/>
      <c r="M84" s="19" t="n"/>
      <c r="N84" s="19" t="n"/>
      <c r="O84" s="30">
        <f>IF(OR(M84="",N84=""),"",INDEX(RiskGrid,6-VALUE(LEFT(M84,1)),VALUE(LEFT(N84,1))))</f>
        <v/>
      </c>
      <c r="P84" s="30">
        <f>IF(O84="","",IF(O84&gt;=BandVH,"Very High",IF(O84&gt;=BandHigh,"High",IF(O84&gt;=BandMed,"Medium","Low"))))</f>
        <v/>
      </c>
      <c r="Q84" s="4" t="n"/>
      <c r="R84" s="19" t="n"/>
      <c r="S84" s="4" t="n"/>
      <c r="T84" s="19" t="n"/>
      <c r="U84" s="4" t="n"/>
      <c r="V84" s="19" t="n"/>
      <c r="W84" s="4" t="n"/>
      <c r="X84" s="19" t="n"/>
      <c r="Y84" s="4" t="n"/>
      <c r="Z84" s="19" t="n"/>
      <c r="AA84" s="4" t="n"/>
      <c r="AB84" s="19" t="n"/>
      <c r="AC84" s="5">
        <f>_xlfn.TEXTJOIN(CHAR(10),TRUE,IF(Q84="","","• "&amp;Q84&amp;IF(R84="Yes","  [IPL]","")),IF(S84="","","• "&amp;S84&amp;IF(T84="Yes","  [IPL]","")),IF(U84="","","• "&amp;U84&amp;IF(V84="Yes","  [IPL]","")),IF(W84="","","• "&amp;W84&amp;IF(X84="Yes","  [IPL]","")),IF(Y84="","","• "&amp;Y84&amp;IF(Z84="Yes","  [IPL]","")),IF(AA84="","","• "&amp;AA84&amp;IF(AB84="Yes","  [IPL]","")))</f>
        <v/>
      </c>
      <c r="AD84" s="30">
        <f>IF(AC84="","",COUNTIF(Q84:AB84,"Yes"))</f>
        <v/>
      </c>
      <c r="AE84" s="19" t="n"/>
      <c r="AF84" s="19" t="n"/>
      <c r="AG84" s="30">
        <f>IF(OR(AE84="",AF84=""),"",INDEX(RiskGrid,6-VALUE(LEFT(AE84,1)),VALUE(LEFT(AF84,1))))</f>
        <v/>
      </c>
      <c r="AH84" s="30">
        <f>IF(AG84="","",IF(AG84&gt;=BandVH,"Very High",IF(AG84&gt;=BandHigh,"High",IF(AG84&gt;=BandMed,"Medium","Low"))))</f>
        <v/>
      </c>
      <c r="AI84" s="4" t="n"/>
      <c r="AJ84" s="4" t="n"/>
    </row>
    <row r="85">
      <c r="A85" s="30">
        <f>IF(B85="","",COUNTIF(B$14:B85,"?*"))</f>
        <v/>
      </c>
      <c r="B85" s="4" t="n"/>
      <c r="C85" s="19" t="n"/>
      <c r="D85" s="5">
        <f>IF(OR(B85="",C85=""),"",UPPER(LEFT(C85,1))&amp;LOWER(MID(C85,2,30))&amp;" "&amp;LOWER(LEFT(B85,1))&amp;MID(B85,2,200))</f>
        <v/>
      </c>
      <c r="E85" s="4" t="n"/>
      <c r="F85" s="4" t="n"/>
      <c r="G85" s="4" t="n"/>
      <c r="H85" s="4" t="n"/>
      <c r="I85" s="4" t="n"/>
      <c r="J85" s="4" t="n"/>
      <c r="K85" s="5">
        <f>_xlfn.TEXTJOIN(CHAR(10),TRUE,IF(E85="","","• "&amp;E85),IF(F85="","","• "&amp;F85),IF(G85="","","• "&amp;G85),IF(H85="","","• "&amp;H85),IF(I85="","","• "&amp;I85),IF(J85="","","• "&amp;J85))</f>
        <v/>
      </c>
      <c r="L85" s="4" t="n"/>
      <c r="M85" s="19" t="n"/>
      <c r="N85" s="19" t="n"/>
      <c r="O85" s="30">
        <f>IF(OR(M85="",N85=""),"",INDEX(RiskGrid,6-VALUE(LEFT(M85,1)),VALUE(LEFT(N85,1))))</f>
        <v/>
      </c>
      <c r="P85" s="30">
        <f>IF(O85="","",IF(O85&gt;=BandVH,"Very High",IF(O85&gt;=BandHigh,"High",IF(O85&gt;=BandMed,"Medium","Low"))))</f>
        <v/>
      </c>
      <c r="Q85" s="4" t="n"/>
      <c r="R85" s="19" t="n"/>
      <c r="S85" s="4" t="n"/>
      <c r="T85" s="19" t="n"/>
      <c r="U85" s="4" t="n"/>
      <c r="V85" s="19" t="n"/>
      <c r="W85" s="4" t="n"/>
      <c r="X85" s="19" t="n"/>
      <c r="Y85" s="4" t="n"/>
      <c r="Z85" s="19" t="n"/>
      <c r="AA85" s="4" t="n"/>
      <c r="AB85" s="19" t="n"/>
      <c r="AC85" s="5">
        <f>_xlfn.TEXTJOIN(CHAR(10),TRUE,IF(Q85="","","• "&amp;Q85&amp;IF(R85="Yes","  [IPL]","")),IF(S85="","","• "&amp;S85&amp;IF(T85="Yes","  [IPL]","")),IF(U85="","","• "&amp;U85&amp;IF(V85="Yes","  [IPL]","")),IF(W85="","","• "&amp;W85&amp;IF(X85="Yes","  [IPL]","")),IF(Y85="","","• "&amp;Y85&amp;IF(Z85="Yes","  [IPL]","")),IF(AA85="","","• "&amp;AA85&amp;IF(AB85="Yes","  [IPL]","")))</f>
        <v/>
      </c>
      <c r="AD85" s="30">
        <f>IF(AC85="","",COUNTIF(Q85:AB85,"Yes"))</f>
        <v/>
      </c>
      <c r="AE85" s="19" t="n"/>
      <c r="AF85" s="19" t="n"/>
      <c r="AG85" s="30">
        <f>IF(OR(AE85="",AF85=""),"",INDEX(RiskGrid,6-VALUE(LEFT(AE85,1)),VALUE(LEFT(AF85,1))))</f>
        <v/>
      </c>
      <c r="AH85" s="30">
        <f>IF(AG85="","",IF(AG85&gt;=BandVH,"Very High",IF(AG85&gt;=BandHigh,"High",IF(AG85&gt;=BandMed,"Medium","Low"))))</f>
        <v/>
      </c>
      <c r="AI85" s="4" t="n"/>
      <c r="AJ85" s="4" t="n"/>
    </row>
    <row r="86">
      <c r="A86" s="30">
        <f>IF(B86="","",COUNTIF(B$14:B86,"?*"))</f>
        <v/>
      </c>
      <c r="B86" s="4" t="n"/>
      <c r="C86" s="19" t="n"/>
      <c r="D86" s="5">
        <f>IF(OR(B86="",C86=""),"",UPPER(LEFT(C86,1))&amp;LOWER(MID(C86,2,30))&amp;" "&amp;LOWER(LEFT(B86,1))&amp;MID(B86,2,200))</f>
        <v/>
      </c>
      <c r="E86" s="4" t="n"/>
      <c r="F86" s="4" t="n"/>
      <c r="G86" s="4" t="n"/>
      <c r="H86" s="4" t="n"/>
      <c r="I86" s="4" t="n"/>
      <c r="J86" s="4" t="n"/>
      <c r="K86" s="5">
        <f>_xlfn.TEXTJOIN(CHAR(10),TRUE,IF(E86="","","• "&amp;E86),IF(F86="","","• "&amp;F86),IF(G86="","","• "&amp;G86),IF(H86="","","• "&amp;H86),IF(I86="","","• "&amp;I86),IF(J86="","","• "&amp;J86))</f>
        <v/>
      </c>
      <c r="L86" s="4" t="n"/>
      <c r="M86" s="19" t="n"/>
      <c r="N86" s="19" t="n"/>
      <c r="O86" s="30">
        <f>IF(OR(M86="",N86=""),"",INDEX(RiskGrid,6-VALUE(LEFT(M86,1)),VALUE(LEFT(N86,1))))</f>
        <v/>
      </c>
      <c r="P86" s="30">
        <f>IF(O86="","",IF(O86&gt;=BandVH,"Very High",IF(O86&gt;=BandHigh,"High",IF(O86&gt;=BandMed,"Medium","Low"))))</f>
        <v/>
      </c>
      <c r="Q86" s="4" t="n"/>
      <c r="R86" s="19" t="n"/>
      <c r="S86" s="4" t="n"/>
      <c r="T86" s="19" t="n"/>
      <c r="U86" s="4" t="n"/>
      <c r="V86" s="19" t="n"/>
      <c r="W86" s="4" t="n"/>
      <c r="X86" s="19" t="n"/>
      <c r="Y86" s="4" t="n"/>
      <c r="Z86" s="19" t="n"/>
      <c r="AA86" s="4" t="n"/>
      <c r="AB86" s="19" t="n"/>
      <c r="AC86" s="5">
        <f>_xlfn.TEXTJOIN(CHAR(10),TRUE,IF(Q86="","","• "&amp;Q86&amp;IF(R86="Yes","  [IPL]","")),IF(S86="","","• "&amp;S86&amp;IF(T86="Yes","  [IPL]","")),IF(U86="","","• "&amp;U86&amp;IF(V86="Yes","  [IPL]","")),IF(W86="","","• "&amp;W86&amp;IF(X86="Yes","  [IPL]","")),IF(Y86="","","• "&amp;Y86&amp;IF(Z86="Yes","  [IPL]","")),IF(AA86="","","• "&amp;AA86&amp;IF(AB86="Yes","  [IPL]","")))</f>
        <v/>
      </c>
      <c r="AD86" s="30">
        <f>IF(AC86="","",COUNTIF(Q86:AB86,"Yes"))</f>
        <v/>
      </c>
      <c r="AE86" s="19" t="n"/>
      <c r="AF86" s="19" t="n"/>
      <c r="AG86" s="30">
        <f>IF(OR(AE86="",AF86=""),"",INDEX(RiskGrid,6-VALUE(LEFT(AE86,1)),VALUE(LEFT(AF86,1))))</f>
        <v/>
      </c>
      <c r="AH86" s="30">
        <f>IF(AG86="","",IF(AG86&gt;=BandVH,"Very High",IF(AG86&gt;=BandHigh,"High",IF(AG86&gt;=BandMed,"Medium","Low"))))</f>
        <v/>
      </c>
      <c r="AI86" s="4" t="n"/>
      <c r="AJ86" s="4" t="n"/>
    </row>
    <row r="87">
      <c r="A87" s="30">
        <f>IF(B87="","",COUNTIF(B$14:B87,"?*"))</f>
        <v/>
      </c>
      <c r="B87" s="4" t="n"/>
      <c r="C87" s="19" t="n"/>
      <c r="D87" s="5">
        <f>IF(OR(B87="",C87=""),"",UPPER(LEFT(C87,1))&amp;LOWER(MID(C87,2,30))&amp;" "&amp;LOWER(LEFT(B87,1))&amp;MID(B87,2,200))</f>
        <v/>
      </c>
      <c r="E87" s="4" t="n"/>
      <c r="F87" s="4" t="n"/>
      <c r="G87" s="4" t="n"/>
      <c r="H87" s="4" t="n"/>
      <c r="I87" s="4" t="n"/>
      <c r="J87" s="4" t="n"/>
      <c r="K87" s="5">
        <f>_xlfn.TEXTJOIN(CHAR(10),TRUE,IF(E87="","","• "&amp;E87),IF(F87="","","• "&amp;F87),IF(G87="","","• "&amp;G87),IF(H87="","","• "&amp;H87),IF(I87="","","• "&amp;I87),IF(J87="","","• "&amp;J87))</f>
        <v/>
      </c>
      <c r="L87" s="4" t="n"/>
      <c r="M87" s="19" t="n"/>
      <c r="N87" s="19" t="n"/>
      <c r="O87" s="30">
        <f>IF(OR(M87="",N87=""),"",INDEX(RiskGrid,6-VALUE(LEFT(M87,1)),VALUE(LEFT(N87,1))))</f>
        <v/>
      </c>
      <c r="P87" s="30">
        <f>IF(O87="","",IF(O87&gt;=BandVH,"Very High",IF(O87&gt;=BandHigh,"High",IF(O87&gt;=BandMed,"Medium","Low"))))</f>
        <v/>
      </c>
      <c r="Q87" s="4" t="n"/>
      <c r="R87" s="19" t="n"/>
      <c r="S87" s="4" t="n"/>
      <c r="T87" s="19" t="n"/>
      <c r="U87" s="4" t="n"/>
      <c r="V87" s="19" t="n"/>
      <c r="W87" s="4" t="n"/>
      <c r="X87" s="19" t="n"/>
      <c r="Y87" s="4" t="n"/>
      <c r="Z87" s="19" t="n"/>
      <c r="AA87" s="4" t="n"/>
      <c r="AB87" s="19" t="n"/>
      <c r="AC87" s="5">
        <f>_xlfn.TEXTJOIN(CHAR(10),TRUE,IF(Q87="","","• "&amp;Q87&amp;IF(R87="Yes","  [IPL]","")),IF(S87="","","• "&amp;S87&amp;IF(T87="Yes","  [IPL]","")),IF(U87="","","• "&amp;U87&amp;IF(V87="Yes","  [IPL]","")),IF(W87="","","• "&amp;W87&amp;IF(X87="Yes","  [IPL]","")),IF(Y87="","","• "&amp;Y87&amp;IF(Z87="Yes","  [IPL]","")),IF(AA87="","","• "&amp;AA87&amp;IF(AB87="Yes","  [IPL]","")))</f>
        <v/>
      </c>
      <c r="AD87" s="30">
        <f>IF(AC87="","",COUNTIF(Q87:AB87,"Yes"))</f>
        <v/>
      </c>
      <c r="AE87" s="19" t="n"/>
      <c r="AF87" s="19" t="n"/>
      <c r="AG87" s="30">
        <f>IF(OR(AE87="",AF87=""),"",INDEX(RiskGrid,6-VALUE(LEFT(AE87,1)),VALUE(LEFT(AF87,1))))</f>
        <v/>
      </c>
      <c r="AH87" s="30">
        <f>IF(AG87="","",IF(AG87&gt;=BandVH,"Very High",IF(AG87&gt;=BandHigh,"High",IF(AG87&gt;=BandMed,"Medium","Low"))))</f>
        <v/>
      </c>
      <c r="AI87" s="4" t="n"/>
      <c r="AJ87" s="4" t="n"/>
    </row>
    <row r="88">
      <c r="A88" s="30">
        <f>IF(B88="","",COUNTIF(B$14:B88,"?*"))</f>
        <v/>
      </c>
      <c r="B88" s="4" t="n"/>
      <c r="C88" s="19" t="n"/>
      <c r="D88" s="5">
        <f>IF(OR(B88="",C88=""),"",UPPER(LEFT(C88,1))&amp;LOWER(MID(C88,2,30))&amp;" "&amp;LOWER(LEFT(B88,1))&amp;MID(B88,2,200))</f>
        <v/>
      </c>
      <c r="E88" s="4" t="n"/>
      <c r="F88" s="4" t="n"/>
      <c r="G88" s="4" t="n"/>
      <c r="H88" s="4" t="n"/>
      <c r="I88" s="4" t="n"/>
      <c r="J88" s="4" t="n"/>
      <c r="K88" s="5">
        <f>_xlfn.TEXTJOIN(CHAR(10),TRUE,IF(E88="","","• "&amp;E88),IF(F88="","","• "&amp;F88),IF(G88="","","• "&amp;G88),IF(H88="","","• "&amp;H88),IF(I88="","","• "&amp;I88),IF(J88="","","• "&amp;J88))</f>
        <v/>
      </c>
      <c r="L88" s="4" t="n"/>
      <c r="M88" s="19" t="n"/>
      <c r="N88" s="19" t="n"/>
      <c r="O88" s="30">
        <f>IF(OR(M88="",N88=""),"",INDEX(RiskGrid,6-VALUE(LEFT(M88,1)),VALUE(LEFT(N88,1))))</f>
        <v/>
      </c>
      <c r="P88" s="30">
        <f>IF(O88="","",IF(O88&gt;=BandVH,"Very High",IF(O88&gt;=BandHigh,"High",IF(O88&gt;=BandMed,"Medium","Low"))))</f>
        <v/>
      </c>
      <c r="Q88" s="4" t="n"/>
      <c r="R88" s="19" t="n"/>
      <c r="S88" s="4" t="n"/>
      <c r="T88" s="19" t="n"/>
      <c r="U88" s="4" t="n"/>
      <c r="V88" s="19" t="n"/>
      <c r="W88" s="4" t="n"/>
      <c r="X88" s="19" t="n"/>
      <c r="Y88" s="4" t="n"/>
      <c r="Z88" s="19" t="n"/>
      <c r="AA88" s="4" t="n"/>
      <c r="AB88" s="19" t="n"/>
      <c r="AC88" s="5">
        <f>_xlfn.TEXTJOIN(CHAR(10),TRUE,IF(Q88="","","• "&amp;Q88&amp;IF(R88="Yes","  [IPL]","")),IF(S88="","","• "&amp;S88&amp;IF(T88="Yes","  [IPL]","")),IF(U88="","","• "&amp;U88&amp;IF(V88="Yes","  [IPL]","")),IF(W88="","","• "&amp;W88&amp;IF(X88="Yes","  [IPL]","")),IF(Y88="","","• "&amp;Y88&amp;IF(Z88="Yes","  [IPL]","")),IF(AA88="","","• "&amp;AA88&amp;IF(AB88="Yes","  [IPL]","")))</f>
        <v/>
      </c>
      <c r="AD88" s="30">
        <f>IF(AC88="","",COUNTIF(Q88:AB88,"Yes"))</f>
        <v/>
      </c>
      <c r="AE88" s="19" t="n"/>
      <c r="AF88" s="19" t="n"/>
      <c r="AG88" s="30">
        <f>IF(OR(AE88="",AF88=""),"",INDEX(RiskGrid,6-VALUE(LEFT(AE88,1)),VALUE(LEFT(AF88,1))))</f>
        <v/>
      </c>
      <c r="AH88" s="30">
        <f>IF(AG88="","",IF(AG88&gt;=BandVH,"Very High",IF(AG88&gt;=BandHigh,"High",IF(AG88&gt;=BandMed,"Medium","Low"))))</f>
        <v/>
      </c>
      <c r="AI88" s="4" t="n"/>
      <c r="AJ88" s="4" t="n"/>
    </row>
    <row r="89">
      <c r="A89" s="30">
        <f>IF(B89="","",COUNTIF(B$14:B89,"?*"))</f>
        <v/>
      </c>
      <c r="B89" s="4" t="n"/>
      <c r="C89" s="19" t="n"/>
      <c r="D89" s="5">
        <f>IF(OR(B89="",C89=""),"",UPPER(LEFT(C89,1))&amp;LOWER(MID(C89,2,30))&amp;" "&amp;LOWER(LEFT(B89,1))&amp;MID(B89,2,200))</f>
        <v/>
      </c>
      <c r="E89" s="4" t="n"/>
      <c r="F89" s="4" t="n"/>
      <c r="G89" s="4" t="n"/>
      <c r="H89" s="4" t="n"/>
      <c r="I89" s="4" t="n"/>
      <c r="J89" s="4" t="n"/>
      <c r="K89" s="5">
        <f>_xlfn.TEXTJOIN(CHAR(10),TRUE,IF(E89="","","• "&amp;E89),IF(F89="","","• "&amp;F89),IF(G89="","","• "&amp;G89),IF(H89="","","• "&amp;H89),IF(I89="","","• "&amp;I89),IF(J89="","","• "&amp;J89))</f>
        <v/>
      </c>
      <c r="L89" s="4" t="n"/>
      <c r="M89" s="19" t="n"/>
      <c r="N89" s="19" t="n"/>
      <c r="O89" s="30">
        <f>IF(OR(M89="",N89=""),"",INDEX(RiskGrid,6-VALUE(LEFT(M89,1)),VALUE(LEFT(N89,1))))</f>
        <v/>
      </c>
      <c r="P89" s="30">
        <f>IF(O89="","",IF(O89&gt;=BandVH,"Very High",IF(O89&gt;=BandHigh,"High",IF(O89&gt;=BandMed,"Medium","Low"))))</f>
        <v/>
      </c>
      <c r="Q89" s="4" t="n"/>
      <c r="R89" s="19" t="n"/>
      <c r="S89" s="4" t="n"/>
      <c r="T89" s="19" t="n"/>
      <c r="U89" s="4" t="n"/>
      <c r="V89" s="19" t="n"/>
      <c r="W89" s="4" t="n"/>
      <c r="X89" s="19" t="n"/>
      <c r="Y89" s="4" t="n"/>
      <c r="Z89" s="19" t="n"/>
      <c r="AA89" s="4" t="n"/>
      <c r="AB89" s="19" t="n"/>
      <c r="AC89" s="5">
        <f>_xlfn.TEXTJOIN(CHAR(10),TRUE,IF(Q89="","","• "&amp;Q89&amp;IF(R89="Yes","  [IPL]","")),IF(S89="","","• "&amp;S89&amp;IF(T89="Yes","  [IPL]","")),IF(U89="","","• "&amp;U89&amp;IF(V89="Yes","  [IPL]","")),IF(W89="","","• "&amp;W89&amp;IF(X89="Yes","  [IPL]","")),IF(Y89="","","• "&amp;Y89&amp;IF(Z89="Yes","  [IPL]","")),IF(AA89="","","• "&amp;AA89&amp;IF(AB89="Yes","  [IPL]","")))</f>
        <v/>
      </c>
      <c r="AD89" s="30">
        <f>IF(AC89="","",COUNTIF(Q89:AB89,"Yes"))</f>
        <v/>
      </c>
      <c r="AE89" s="19" t="n"/>
      <c r="AF89" s="19" t="n"/>
      <c r="AG89" s="30">
        <f>IF(OR(AE89="",AF89=""),"",INDEX(RiskGrid,6-VALUE(LEFT(AE89,1)),VALUE(LEFT(AF89,1))))</f>
        <v/>
      </c>
      <c r="AH89" s="30">
        <f>IF(AG89="","",IF(AG89&gt;=BandVH,"Very High",IF(AG89&gt;=BandHigh,"High",IF(AG89&gt;=BandMed,"Medium","Low"))))</f>
        <v/>
      </c>
      <c r="AI89" s="4" t="n"/>
      <c r="AJ89" s="4" t="n"/>
    </row>
    <row r="90">
      <c r="A90" s="30">
        <f>IF(B90="","",COUNTIF(B$14:B90,"?*"))</f>
        <v/>
      </c>
      <c r="B90" s="4" t="n"/>
      <c r="C90" s="19" t="n"/>
      <c r="D90" s="5">
        <f>IF(OR(B90="",C90=""),"",UPPER(LEFT(C90,1))&amp;LOWER(MID(C90,2,30))&amp;" "&amp;LOWER(LEFT(B90,1))&amp;MID(B90,2,200))</f>
        <v/>
      </c>
      <c r="E90" s="4" t="n"/>
      <c r="F90" s="4" t="n"/>
      <c r="G90" s="4" t="n"/>
      <c r="H90" s="4" t="n"/>
      <c r="I90" s="4" t="n"/>
      <c r="J90" s="4" t="n"/>
      <c r="K90" s="5">
        <f>_xlfn.TEXTJOIN(CHAR(10),TRUE,IF(E90="","","• "&amp;E90),IF(F90="","","• "&amp;F90),IF(G90="","","• "&amp;G90),IF(H90="","","• "&amp;H90),IF(I90="","","• "&amp;I90),IF(J90="","","• "&amp;J90))</f>
        <v/>
      </c>
      <c r="L90" s="4" t="n"/>
      <c r="M90" s="19" t="n"/>
      <c r="N90" s="19" t="n"/>
      <c r="O90" s="30">
        <f>IF(OR(M90="",N90=""),"",INDEX(RiskGrid,6-VALUE(LEFT(M90,1)),VALUE(LEFT(N90,1))))</f>
        <v/>
      </c>
      <c r="P90" s="30">
        <f>IF(O90="","",IF(O90&gt;=BandVH,"Very High",IF(O90&gt;=BandHigh,"High",IF(O90&gt;=BandMed,"Medium","Low"))))</f>
        <v/>
      </c>
      <c r="Q90" s="4" t="n"/>
      <c r="R90" s="19" t="n"/>
      <c r="S90" s="4" t="n"/>
      <c r="T90" s="19" t="n"/>
      <c r="U90" s="4" t="n"/>
      <c r="V90" s="19" t="n"/>
      <c r="W90" s="4" t="n"/>
      <c r="X90" s="19" t="n"/>
      <c r="Y90" s="4" t="n"/>
      <c r="Z90" s="19" t="n"/>
      <c r="AA90" s="4" t="n"/>
      <c r="AB90" s="19" t="n"/>
      <c r="AC90" s="5">
        <f>_xlfn.TEXTJOIN(CHAR(10),TRUE,IF(Q90="","","• "&amp;Q90&amp;IF(R90="Yes","  [IPL]","")),IF(S90="","","• "&amp;S90&amp;IF(T90="Yes","  [IPL]","")),IF(U90="","","• "&amp;U90&amp;IF(V90="Yes","  [IPL]","")),IF(W90="","","• "&amp;W90&amp;IF(X90="Yes","  [IPL]","")),IF(Y90="","","• "&amp;Y90&amp;IF(Z90="Yes","  [IPL]","")),IF(AA90="","","• "&amp;AA90&amp;IF(AB90="Yes","  [IPL]","")))</f>
        <v/>
      </c>
      <c r="AD90" s="30">
        <f>IF(AC90="","",COUNTIF(Q90:AB90,"Yes"))</f>
        <v/>
      </c>
      <c r="AE90" s="19" t="n"/>
      <c r="AF90" s="19" t="n"/>
      <c r="AG90" s="30">
        <f>IF(OR(AE90="",AF90=""),"",INDEX(RiskGrid,6-VALUE(LEFT(AE90,1)),VALUE(LEFT(AF90,1))))</f>
        <v/>
      </c>
      <c r="AH90" s="30">
        <f>IF(AG90="","",IF(AG90&gt;=BandVH,"Very High",IF(AG90&gt;=BandHigh,"High",IF(AG90&gt;=BandMed,"Medium","Low"))))</f>
        <v/>
      </c>
      <c r="AI90" s="4" t="n"/>
      <c r="AJ90" s="4" t="n"/>
    </row>
    <row r="91">
      <c r="A91" s="30">
        <f>IF(B91="","",COUNTIF(B$14:B91,"?*"))</f>
        <v/>
      </c>
      <c r="B91" s="4" t="n"/>
      <c r="C91" s="19" t="n"/>
      <c r="D91" s="5">
        <f>IF(OR(B91="",C91=""),"",UPPER(LEFT(C91,1))&amp;LOWER(MID(C91,2,30))&amp;" "&amp;LOWER(LEFT(B91,1))&amp;MID(B91,2,200))</f>
        <v/>
      </c>
      <c r="E91" s="4" t="n"/>
      <c r="F91" s="4" t="n"/>
      <c r="G91" s="4" t="n"/>
      <c r="H91" s="4" t="n"/>
      <c r="I91" s="4" t="n"/>
      <c r="J91" s="4" t="n"/>
      <c r="K91" s="5">
        <f>_xlfn.TEXTJOIN(CHAR(10),TRUE,IF(E91="","","• "&amp;E91),IF(F91="","","• "&amp;F91),IF(G91="","","• "&amp;G91),IF(H91="","","• "&amp;H91),IF(I91="","","• "&amp;I91),IF(J91="","","• "&amp;J91))</f>
        <v/>
      </c>
      <c r="L91" s="4" t="n"/>
      <c r="M91" s="19" t="n"/>
      <c r="N91" s="19" t="n"/>
      <c r="O91" s="30">
        <f>IF(OR(M91="",N91=""),"",INDEX(RiskGrid,6-VALUE(LEFT(M91,1)),VALUE(LEFT(N91,1))))</f>
        <v/>
      </c>
      <c r="P91" s="30">
        <f>IF(O91="","",IF(O91&gt;=BandVH,"Very High",IF(O91&gt;=BandHigh,"High",IF(O91&gt;=BandMed,"Medium","Low"))))</f>
        <v/>
      </c>
      <c r="Q91" s="4" t="n"/>
      <c r="R91" s="19" t="n"/>
      <c r="S91" s="4" t="n"/>
      <c r="T91" s="19" t="n"/>
      <c r="U91" s="4" t="n"/>
      <c r="V91" s="19" t="n"/>
      <c r="W91" s="4" t="n"/>
      <c r="X91" s="19" t="n"/>
      <c r="Y91" s="4" t="n"/>
      <c r="Z91" s="19" t="n"/>
      <c r="AA91" s="4" t="n"/>
      <c r="AB91" s="19" t="n"/>
      <c r="AC91" s="5">
        <f>_xlfn.TEXTJOIN(CHAR(10),TRUE,IF(Q91="","","• "&amp;Q91&amp;IF(R91="Yes","  [IPL]","")),IF(S91="","","• "&amp;S91&amp;IF(T91="Yes","  [IPL]","")),IF(U91="","","• "&amp;U91&amp;IF(V91="Yes","  [IPL]","")),IF(W91="","","• "&amp;W91&amp;IF(X91="Yes","  [IPL]","")),IF(Y91="","","• "&amp;Y91&amp;IF(Z91="Yes","  [IPL]","")),IF(AA91="","","• "&amp;AA91&amp;IF(AB91="Yes","  [IPL]","")))</f>
        <v/>
      </c>
      <c r="AD91" s="30">
        <f>IF(AC91="","",COUNTIF(Q91:AB91,"Yes"))</f>
        <v/>
      </c>
      <c r="AE91" s="19" t="n"/>
      <c r="AF91" s="19" t="n"/>
      <c r="AG91" s="30">
        <f>IF(OR(AE91="",AF91=""),"",INDEX(RiskGrid,6-VALUE(LEFT(AE91,1)),VALUE(LEFT(AF91,1))))</f>
        <v/>
      </c>
      <c r="AH91" s="30">
        <f>IF(AG91="","",IF(AG91&gt;=BandVH,"Very High",IF(AG91&gt;=BandHigh,"High",IF(AG91&gt;=BandMed,"Medium","Low"))))</f>
        <v/>
      </c>
      <c r="AI91" s="4" t="n"/>
      <c r="AJ91" s="4" t="n"/>
    </row>
    <row r="92">
      <c r="A92" s="30">
        <f>IF(B92="","",COUNTIF(B$14:B92,"?*"))</f>
        <v/>
      </c>
      <c r="B92" s="4" t="n"/>
      <c r="C92" s="19" t="n"/>
      <c r="D92" s="5">
        <f>IF(OR(B92="",C92=""),"",UPPER(LEFT(C92,1))&amp;LOWER(MID(C92,2,30))&amp;" "&amp;LOWER(LEFT(B92,1))&amp;MID(B92,2,200))</f>
        <v/>
      </c>
      <c r="E92" s="4" t="n"/>
      <c r="F92" s="4" t="n"/>
      <c r="G92" s="4" t="n"/>
      <c r="H92" s="4" t="n"/>
      <c r="I92" s="4" t="n"/>
      <c r="J92" s="4" t="n"/>
      <c r="K92" s="5">
        <f>_xlfn.TEXTJOIN(CHAR(10),TRUE,IF(E92="","","• "&amp;E92),IF(F92="","","• "&amp;F92),IF(G92="","","• "&amp;G92),IF(H92="","","• "&amp;H92),IF(I92="","","• "&amp;I92),IF(J92="","","• "&amp;J92))</f>
        <v/>
      </c>
      <c r="L92" s="4" t="n"/>
      <c r="M92" s="19" t="n"/>
      <c r="N92" s="19" t="n"/>
      <c r="O92" s="30">
        <f>IF(OR(M92="",N92=""),"",INDEX(RiskGrid,6-VALUE(LEFT(M92,1)),VALUE(LEFT(N92,1))))</f>
        <v/>
      </c>
      <c r="P92" s="30">
        <f>IF(O92="","",IF(O92&gt;=BandVH,"Very High",IF(O92&gt;=BandHigh,"High",IF(O92&gt;=BandMed,"Medium","Low"))))</f>
        <v/>
      </c>
      <c r="Q92" s="4" t="n"/>
      <c r="R92" s="19" t="n"/>
      <c r="S92" s="4" t="n"/>
      <c r="T92" s="19" t="n"/>
      <c r="U92" s="4" t="n"/>
      <c r="V92" s="19" t="n"/>
      <c r="W92" s="4" t="n"/>
      <c r="X92" s="19" t="n"/>
      <c r="Y92" s="4" t="n"/>
      <c r="Z92" s="19" t="n"/>
      <c r="AA92" s="4" t="n"/>
      <c r="AB92" s="19" t="n"/>
      <c r="AC92" s="5">
        <f>_xlfn.TEXTJOIN(CHAR(10),TRUE,IF(Q92="","","• "&amp;Q92&amp;IF(R92="Yes","  [IPL]","")),IF(S92="","","• "&amp;S92&amp;IF(T92="Yes","  [IPL]","")),IF(U92="","","• "&amp;U92&amp;IF(V92="Yes","  [IPL]","")),IF(W92="","","• "&amp;W92&amp;IF(X92="Yes","  [IPL]","")),IF(Y92="","","• "&amp;Y92&amp;IF(Z92="Yes","  [IPL]","")),IF(AA92="","","• "&amp;AA92&amp;IF(AB92="Yes","  [IPL]","")))</f>
        <v/>
      </c>
      <c r="AD92" s="30">
        <f>IF(AC92="","",COUNTIF(Q92:AB92,"Yes"))</f>
        <v/>
      </c>
      <c r="AE92" s="19" t="n"/>
      <c r="AF92" s="19" t="n"/>
      <c r="AG92" s="30">
        <f>IF(OR(AE92="",AF92=""),"",INDEX(RiskGrid,6-VALUE(LEFT(AE92,1)),VALUE(LEFT(AF92,1))))</f>
        <v/>
      </c>
      <c r="AH92" s="30">
        <f>IF(AG92="","",IF(AG92&gt;=BandVH,"Very High",IF(AG92&gt;=BandHigh,"High",IF(AG92&gt;=BandMed,"Medium","Low"))))</f>
        <v/>
      </c>
      <c r="AI92" s="4" t="n"/>
      <c r="AJ92" s="4" t="n"/>
    </row>
    <row r="93">
      <c r="A93" s="30">
        <f>IF(B93="","",COUNTIF(B$14:B93,"?*"))</f>
        <v/>
      </c>
      <c r="B93" s="4" t="n"/>
      <c r="C93" s="19" t="n"/>
      <c r="D93" s="5">
        <f>IF(OR(B93="",C93=""),"",UPPER(LEFT(C93,1))&amp;LOWER(MID(C93,2,30))&amp;" "&amp;LOWER(LEFT(B93,1))&amp;MID(B93,2,200))</f>
        <v/>
      </c>
      <c r="E93" s="4" t="n"/>
      <c r="F93" s="4" t="n"/>
      <c r="G93" s="4" t="n"/>
      <c r="H93" s="4" t="n"/>
      <c r="I93" s="4" t="n"/>
      <c r="J93" s="4" t="n"/>
      <c r="K93" s="5">
        <f>_xlfn.TEXTJOIN(CHAR(10),TRUE,IF(E93="","","• "&amp;E93),IF(F93="","","• "&amp;F93),IF(G93="","","• "&amp;G93),IF(H93="","","• "&amp;H93),IF(I93="","","• "&amp;I93),IF(J93="","","• "&amp;J93))</f>
        <v/>
      </c>
      <c r="L93" s="4" t="n"/>
      <c r="M93" s="19" t="n"/>
      <c r="N93" s="19" t="n"/>
      <c r="O93" s="30">
        <f>IF(OR(M93="",N93=""),"",INDEX(RiskGrid,6-VALUE(LEFT(M93,1)),VALUE(LEFT(N93,1))))</f>
        <v/>
      </c>
      <c r="P93" s="30">
        <f>IF(O93="","",IF(O93&gt;=BandVH,"Very High",IF(O93&gt;=BandHigh,"High",IF(O93&gt;=BandMed,"Medium","Low"))))</f>
        <v/>
      </c>
      <c r="Q93" s="4" t="n"/>
      <c r="R93" s="19" t="n"/>
      <c r="S93" s="4" t="n"/>
      <c r="T93" s="19" t="n"/>
      <c r="U93" s="4" t="n"/>
      <c r="V93" s="19" t="n"/>
      <c r="W93" s="4" t="n"/>
      <c r="X93" s="19" t="n"/>
      <c r="Y93" s="4" t="n"/>
      <c r="Z93" s="19" t="n"/>
      <c r="AA93" s="4" t="n"/>
      <c r="AB93" s="19" t="n"/>
      <c r="AC93" s="5">
        <f>_xlfn.TEXTJOIN(CHAR(10),TRUE,IF(Q93="","","• "&amp;Q93&amp;IF(R93="Yes","  [IPL]","")),IF(S93="","","• "&amp;S93&amp;IF(T93="Yes","  [IPL]","")),IF(U93="","","• "&amp;U93&amp;IF(V93="Yes","  [IPL]","")),IF(W93="","","• "&amp;W93&amp;IF(X93="Yes","  [IPL]","")),IF(Y93="","","• "&amp;Y93&amp;IF(Z93="Yes","  [IPL]","")),IF(AA93="","","• "&amp;AA93&amp;IF(AB93="Yes","  [IPL]","")))</f>
        <v/>
      </c>
      <c r="AD93" s="30">
        <f>IF(AC93="","",COUNTIF(Q93:AB93,"Yes"))</f>
        <v/>
      </c>
      <c r="AE93" s="19" t="n"/>
      <c r="AF93" s="19" t="n"/>
      <c r="AG93" s="30">
        <f>IF(OR(AE93="",AF93=""),"",INDEX(RiskGrid,6-VALUE(LEFT(AE93,1)),VALUE(LEFT(AF93,1))))</f>
        <v/>
      </c>
      <c r="AH93" s="30">
        <f>IF(AG93="","",IF(AG93&gt;=BandVH,"Very High",IF(AG93&gt;=BandHigh,"High",IF(AG93&gt;=BandMed,"Medium","Low"))))</f>
        <v/>
      </c>
      <c r="AI93" s="4" t="n"/>
      <c r="AJ93" s="4" t="n"/>
    </row>
    <row r="94">
      <c r="A94" s="30">
        <f>IF(B94="","",COUNTIF(B$14:B94,"?*"))</f>
        <v/>
      </c>
      <c r="B94" s="4" t="n"/>
      <c r="C94" s="19" t="n"/>
      <c r="D94" s="5">
        <f>IF(OR(B94="",C94=""),"",UPPER(LEFT(C94,1))&amp;LOWER(MID(C94,2,30))&amp;" "&amp;LOWER(LEFT(B94,1))&amp;MID(B94,2,200))</f>
        <v/>
      </c>
      <c r="E94" s="4" t="n"/>
      <c r="F94" s="4" t="n"/>
      <c r="G94" s="4" t="n"/>
      <c r="H94" s="4" t="n"/>
      <c r="I94" s="4" t="n"/>
      <c r="J94" s="4" t="n"/>
      <c r="K94" s="5">
        <f>_xlfn.TEXTJOIN(CHAR(10),TRUE,IF(E94="","","• "&amp;E94),IF(F94="","","• "&amp;F94),IF(G94="","","• "&amp;G94),IF(H94="","","• "&amp;H94),IF(I94="","","• "&amp;I94),IF(J94="","","• "&amp;J94))</f>
        <v/>
      </c>
      <c r="L94" s="4" t="n"/>
      <c r="M94" s="19" t="n"/>
      <c r="N94" s="19" t="n"/>
      <c r="O94" s="30">
        <f>IF(OR(M94="",N94=""),"",INDEX(RiskGrid,6-VALUE(LEFT(M94,1)),VALUE(LEFT(N94,1))))</f>
        <v/>
      </c>
      <c r="P94" s="30">
        <f>IF(O94="","",IF(O94&gt;=BandVH,"Very High",IF(O94&gt;=BandHigh,"High",IF(O94&gt;=BandMed,"Medium","Low"))))</f>
        <v/>
      </c>
      <c r="Q94" s="4" t="n"/>
      <c r="R94" s="19" t="n"/>
      <c r="S94" s="4" t="n"/>
      <c r="T94" s="19" t="n"/>
      <c r="U94" s="4" t="n"/>
      <c r="V94" s="19" t="n"/>
      <c r="W94" s="4" t="n"/>
      <c r="X94" s="19" t="n"/>
      <c r="Y94" s="4" t="n"/>
      <c r="Z94" s="19" t="n"/>
      <c r="AA94" s="4" t="n"/>
      <c r="AB94" s="19" t="n"/>
      <c r="AC94" s="5">
        <f>_xlfn.TEXTJOIN(CHAR(10),TRUE,IF(Q94="","","• "&amp;Q94&amp;IF(R94="Yes","  [IPL]","")),IF(S94="","","• "&amp;S94&amp;IF(T94="Yes","  [IPL]","")),IF(U94="","","• "&amp;U94&amp;IF(V94="Yes","  [IPL]","")),IF(W94="","","• "&amp;W94&amp;IF(X94="Yes","  [IPL]","")),IF(Y94="","","• "&amp;Y94&amp;IF(Z94="Yes","  [IPL]","")),IF(AA94="","","• "&amp;AA94&amp;IF(AB94="Yes","  [IPL]","")))</f>
        <v/>
      </c>
      <c r="AD94" s="30">
        <f>IF(AC94="","",COUNTIF(Q94:AB94,"Yes"))</f>
        <v/>
      </c>
      <c r="AE94" s="19" t="n"/>
      <c r="AF94" s="19" t="n"/>
      <c r="AG94" s="30">
        <f>IF(OR(AE94="",AF94=""),"",INDEX(RiskGrid,6-VALUE(LEFT(AE94,1)),VALUE(LEFT(AF94,1))))</f>
        <v/>
      </c>
      <c r="AH94" s="30">
        <f>IF(AG94="","",IF(AG94&gt;=BandVH,"Very High",IF(AG94&gt;=BandHigh,"High",IF(AG94&gt;=BandMed,"Medium","Low"))))</f>
        <v/>
      </c>
      <c r="AI94" s="4" t="n"/>
      <c r="AJ94" s="4" t="n"/>
    </row>
    <row r="95">
      <c r="A95" s="30">
        <f>IF(B95="","",COUNTIF(B$14:B95,"?*"))</f>
        <v/>
      </c>
      <c r="B95" s="4" t="n"/>
      <c r="C95" s="19" t="n"/>
      <c r="D95" s="5">
        <f>IF(OR(B95="",C95=""),"",UPPER(LEFT(C95,1))&amp;LOWER(MID(C95,2,30))&amp;" "&amp;LOWER(LEFT(B95,1))&amp;MID(B95,2,200))</f>
        <v/>
      </c>
      <c r="E95" s="4" t="n"/>
      <c r="F95" s="4" t="n"/>
      <c r="G95" s="4" t="n"/>
      <c r="H95" s="4" t="n"/>
      <c r="I95" s="4" t="n"/>
      <c r="J95" s="4" t="n"/>
      <c r="K95" s="5">
        <f>_xlfn.TEXTJOIN(CHAR(10),TRUE,IF(E95="","","• "&amp;E95),IF(F95="","","• "&amp;F95),IF(G95="","","• "&amp;G95),IF(H95="","","• "&amp;H95),IF(I95="","","• "&amp;I95),IF(J95="","","• "&amp;J95))</f>
        <v/>
      </c>
      <c r="L95" s="4" t="n"/>
      <c r="M95" s="19" t="n"/>
      <c r="N95" s="19" t="n"/>
      <c r="O95" s="30">
        <f>IF(OR(M95="",N95=""),"",INDEX(RiskGrid,6-VALUE(LEFT(M95,1)),VALUE(LEFT(N95,1))))</f>
        <v/>
      </c>
      <c r="P95" s="30">
        <f>IF(O95="","",IF(O95&gt;=BandVH,"Very High",IF(O95&gt;=BandHigh,"High",IF(O95&gt;=BandMed,"Medium","Low"))))</f>
        <v/>
      </c>
      <c r="Q95" s="4" t="n"/>
      <c r="R95" s="19" t="n"/>
      <c r="S95" s="4" t="n"/>
      <c r="T95" s="19" t="n"/>
      <c r="U95" s="4" t="n"/>
      <c r="V95" s="19" t="n"/>
      <c r="W95" s="4" t="n"/>
      <c r="X95" s="19" t="n"/>
      <c r="Y95" s="4" t="n"/>
      <c r="Z95" s="19" t="n"/>
      <c r="AA95" s="4" t="n"/>
      <c r="AB95" s="19" t="n"/>
      <c r="AC95" s="5">
        <f>_xlfn.TEXTJOIN(CHAR(10),TRUE,IF(Q95="","","• "&amp;Q95&amp;IF(R95="Yes","  [IPL]","")),IF(S95="","","• "&amp;S95&amp;IF(T95="Yes","  [IPL]","")),IF(U95="","","• "&amp;U95&amp;IF(V95="Yes","  [IPL]","")),IF(W95="","","• "&amp;W95&amp;IF(X95="Yes","  [IPL]","")),IF(Y95="","","• "&amp;Y95&amp;IF(Z95="Yes","  [IPL]","")),IF(AA95="","","• "&amp;AA95&amp;IF(AB95="Yes","  [IPL]","")))</f>
        <v/>
      </c>
      <c r="AD95" s="30">
        <f>IF(AC95="","",COUNTIF(Q95:AB95,"Yes"))</f>
        <v/>
      </c>
      <c r="AE95" s="19" t="n"/>
      <c r="AF95" s="19" t="n"/>
      <c r="AG95" s="30">
        <f>IF(OR(AE95="",AF95=""),"",INDEX(RiskGrid,6-VALUE(LEFT(AE95,1)),VALUE(LEFT(AF95,1))))</f>
        <v/>
      </c>
      <c r="AH95" s="30">
        <f>IF(AG95="","",IF(AG95&gt;=BandVH,"Very High",IF(AG95&gt;=BandHigh,"High",IF(AG95&gt;=BandMed,"Medium","Low"))))</f>
        <v/>
      </c>
      <c r="AI95" s="4" t="n"/>
      <c r="AJ95" s="4" t="n"/>
    </row>
    <row r="96">
      <c r="A96" s="30">
        <f>IF(B96="","",COUNTIF(B$14:B96,"?*"))</f>
        <v/>
      </c>
      <c r="B96" s="4" t="n"/>
      <c r="C96" s="19" t="n"/>
      <c r="D96" s="5">
        <f>IF(OR(B96="",C96=""),"",UPPER(LEFT(C96,1))&amp;LOWER(MID(C96,2,30))&amp;" "&amp;LOWER(LEFT(B96,1))&amp;MID(B96,2,200))</f>
        <v/>
      </c>
      <c r="E96" s="4" t="n"/>
      <c r="F96" s="4" t="n"/>
      <c r="G96" s="4" t="n"/>
      <c r="H96" s="4" t="n"/>
      <c r="I96" s="4" t="n"/>
      <c r="J96" s="4" t="n"/>
      <c r="K96" s="5">
        <f>_xlfn.TEXTJOIN(CHAR(10),TRUE,IF(E96="","","• "&amp;E96),IF(F96="","","• "&amp;F96),IF(G96="","","• "&amp;G96),IF(H96="","","• "&amp;H96),IF(I96="","","• "&amp;I96),IF(J96="","","• "&amp;J96))</f>
        <v/>
      </c>
      <c r="L96" s="4" t="n"/>
      <c r="M96" s="19" t="n"/>
      <c r="N96" s="19" t="n"/>
      <c r="O96" s="30">
        <f>IF(OR(M96="",N96=""),"",INDEX(RiskGrid,6-VALUE(LEFT(M96,1)),VALUE(LEFT(N96,1))))</f>
        <v/>
      </c>
      <c r="P96" s="30">
        <f>IF(O96="","",IF(O96&gt;=BandVH,"Very High",IF(O96&gt;=BandHigh,"High",IF(O96&gt;=BandMed,"Medium","Low"))))</f>
        <v/>
      </c>
      <c r="Q96" s="4" t="n"/>
      <c r="R96" s="19" t="n"/>
      <c r="S96" s="4" t="n"/>
      <c r="T96" s="19" t="n"/>
      <c r="U96" s="4" t="n"/>
      <c r="V96" s="19" t="n"/>
      <c r="W96" s="4" t="n"/>
      <c r="X96" s="19" t="n"/>
      <c r="Y96" s="4" t="n"/>
      <c r="Z96" s="19" t="n"/>
      <c r="AA96" s="4" t="n"/>
      <c r="AB96" s="19" t="n"/>
      <c r="AC96" s="5">
        <f>_xlfn.TEXTJOIN(CHAR(10),TRUE,IF(Q96="","","• "&amp;Q96&amp;IF(R96="Yes","  [IPL]","")),IF(S96="","","• "&amp;S96&amp;IF(T96="Yes","  [IPL]","")),IF(U96="","","• "&amp;U96&amp;IF(V96="Yes","  [IPL]","")),IF(W96="","","• "&amp;W96&amp;IF(X96="Yes","  [IPL]","")),IF(Y96="","","• "&amp;Y96&amp;IF(Z96="Yes","  [IPL]","")),IF(AA96="","","• "&amp;AA96&amp;IF(AB96="Yes","  [IPL]","")))</f>
        <v/>
      </c>
      <c r="AD96" s="30">
        <f>IF(AC96="","",COUNTIF(Q96:AB96,"Yes"))</f>
        <v/>
      </c>
      <c r="AE96" s="19" t="n"/>
      <c r="AF96" s="19" t="n"/>
      <c r="AG96" s="30">
        <f>IF(OR(AE96="",AF96=""),"",INDEX(RiskGrid,6-VALUE(LEFT(AE96,1)),VALUE(LEFT(AF96,1))))</f>
        <v/>
      </c>
      <c r="AH96" s="30">
        <f>IF(AG96="","",IF(AG96&gt;=BandVH,"Very High",IF(AG96&gt;=BandHigh,"High",IF(AG96&gt;=BandMed,"Medium","Low"))))</f>
        <v/>
      </c>
      <c r="AI96" s="4" t="n"/>
      <c r="AJ96" s="4" t="n"/>
    </row>
    <row r="97">
      <c r="A97" s="30">
        <f>IF(B97="","",COUNTIF(B$14:B97,"?*"))</f>
        <v/>
      </c>
      <c r="B97" s="4" t="n"/>
      <c r="C97" s="19" t="n"/>
      <c r="D97" s="5">
        <f>IF(OR(B97="",C97=""),"",UPPER(LEFT(C97,1))&amp;LOWER(MID(C97,2,30))&amp;" "&amp;LOWER(LEFT(B97,1))&amp;MID(B97,2,200))</f>
        <v/>
      </c>
      <c r="E97" s="4" t="n"/>
      <c r="F97" s="4" t="n"/>
      <c r="G97" s="4" t="n"/>
      <c r="H97" s="4" t="n"/>
      <c r="I97" s="4" t="n"/>
      <c r="J97" s="4" t="n"/>
      <c r="K97" s="5">
        <f>_xlfn.TEXTJOIN(CHAR(10),TRUE,IF(E97="","","• "&amp;E97),IF(F97="","","• "&amp;F97),IF(G97="","","• "&amp;G97),IF(H97="","","• "&amp;H97),IF(I97="","","• "&amp;I97),IF(J97="","","• "&amp;J97))</f>
        <v/>
      </c>
      <c r="L97" s="4" t="n"/>
      <c r="M97" s="19" t="n"/>
      <c r="N97" s="19" t="n"/>
      <c r="O97" s="30">
        <f>IF(OR(M97="",N97=""),"",INDEX(RiskGrid,6-VALUE(LEFT(M97,1)),VALUE(LEFT(N97,1))))</f>
        <v/>
      </c>
      <c r="P97" s="30">
        <f>IF(O97="","",IF(O97&gt;=BandVH,"Very High",IF(O97&gt;=BandHigh,"High",IF(O97&gt;=BandMed,"Medium","Low"))))</f>
        <v/>
      </c>
      <c r="Q97" s="4" t="n"/>
      <c r="R97" s="19" t="n"/>
      <c r="S97" s="4" t="n"/>
      <c r="T97" s="19" t="n"/>
      <c r="U97" s="4" t="n"/>
      <c r="V97" s="19" t="n"/>
      <c r="W97" s="4" t="n"/>
      <c r="X97" s="19" t="n"/>
      <c r="Y97" s="4" t="n"/>
      <c r="Z97" s="19" t="n"/>
      <c r="AA97" s="4" t="n"/>
      <c r="AB97" s="19" t="n"/>
      <c r="AC97" s="5">
        <f>_xlfn.TEXTJOIN(CHAR(10),TRUE,IF(Q97="","","• "&amp;Q97&amp;IF(R97="Yes","  [IPL]","")),IF(S97="","","• "&amp;S97&amp;IF(T97="Yes","  [IPL]","")),IF(U97="","","• "&amp;U97&amp;IF(V97="Yes","  [IPL]","")),IF(W97="","","• "&amp;W97&amp;IF(X97="Yes","  [IPL]","")),IF(Y97="","","• "&amp;Y97&amp;IF(Z97="Yes","  [IPL]","")),IF(AA97="","","• "&amp;AA97&amp;IF(AB97="Yes","  [IPL]","")))</f>
        <v/>
      </c>
      <c r="AD97" s="30">
        <f>IF(AC97="","",COUNTIF(Q97:AB97,"Yes"))</f>
        <v/>
      </c>
      <c r="AE97" s="19" t="n"/>
      <c r="AF97" s="19" t="n"/>
      <c r="AG97" s="30">
        <f>IF(OR(AE97="",AF97=""),"",INDEX(RiskGrid,6-VALUE(LEFT(AE97,1)),VALUE(LEFT(AF97,1))))</f>
        <v/>
      </c>
      <c r="AH97" s="30">
        <f>IF(AG97="","",IF(AG97&gt;=BandVH,"Very High",IF(AG97&gt;=BandHigh,"High",IF(AG97&gt;=BandMed,"Medium","Low"))))</f>
        <v/>
      </c>
      <c r="AI97" s="4" t="n"/>
      <c r="AJ97" s="4" t="n"/>
    </row>
    <row r="98">
      <c r="A98" s="30">
        <f>IF(B98="","",COUNTIF(B$14:B98,"?*"))</f>
        <v/>
      </c>
      <c r="B98" s="4" t="n"/>
      <c r="C98" s="19" t="n"/>
      <c r="D98" s="5">
        <f>IF(OR(B98="",C98=""),"",UPPER(LEFT(C98,1))&amp;LOWER(MID(C98,2,30))&amp;" "&amp;LOWER(LEFT(B98,1))&amp;MID(B98,2,200))</f>
        <v/>
      </c>
      <c r="E98" s="4" t="n"/>
      <c r="F98" s="4" t="n"/>
      <c r="G98" s="4" t="n"/>
      <c r="H98" s="4" t="n"/>
      <c r="I98" s="4" t="n"/>
      <c r="J98" s="4" t="n"/>
      <c r="K98" s="5">
        <f>_xlfn.TEXTJOIN(CHAR(10),TRUE,IF(E98="","","• "&amp;E98),IF(F98="","","• "&amp;F98),IF(G98="","","• "&amp;G98),IF(H98="","","• "&amp;H98),IF(I98="","","• "&amp;I98),IF(J98="","","• "&amp;J98))</f>
        <v/>
      </c>
      <c r="L98" s="4" t="n"/>
      <c r="M98" s="19" t="n"/>
      <c r="N98" s="19" t="n"/>
      <c r="O98" s="30">
        <f>IF(OR(M98="",N98=""),"",INDEX(RiskGrid,6-VALUE(LEFT(M98,1)),VALUE(LEFT(N98,1))))</f>
        <v/>
      </c>
      <c r="P98" s="30">
        <f>IF(O98="","",IF(O98&gt;=BandVH,"Very High",IF(O98&gt;=BandHigh,"High",IF(O98&gt;=BandMed,"Medium","Low"))))</f>
        <v/>
      </c>
      <c r="Q98" s="4" t="n"/>
      <c r="R98" s="19" t="n"/>
      <c r="S98" s="4" t="n"/>
      <c r="T98" s="19" t="n"/>
      <c r="U98" s="4" t="n"/>
      <c r="V98" s="19" t="n"/>
      <c r="W98" s="4" t="n"/>
      <c r="X98" s="19" t="n"/>
      <c r="Y98" s="4" t="n"/>
      <c r="Z98" s="19" t="n"/>
      <c r="AA98" s="4" t="n"/>
      <c r="AB98" s="19" t="n"/>
      <c r="AC98" s="5">
        <f>_xlfn.TEXTJOIN(CHAR(10),TRUE,IF(Q98="","","• "&amp;Q98&amp;IF(R98="Yes","  [IPL]","")),IF(S98="","","• "&amp;S98&amp;IF(T98="Yes","  [IPL]","")),IF(U98="","","• "&amp;U98&amp;IF(V98="Yes","  [IPL]","")),IF(W98="","","• "&amp;W98&amp;IF(X98="Yes","  [IPL]","")),IF(Y98="","","• "&amp;Y98&amp;IF(Z98="Yes","  [IPL]","")),IF(AA98="","","• "&amp;AA98&amp;IF(AB98="Yes","  [IPL]","")))</f>
        <v/>
      </c>
      <c r="AD98" s="30">
        <f>IF(AC98="","",COUNTIF(Q98:AB98,"Yes"))</f>
        <v/>
      </c>
      <c r="AE98" s="19" t="n"/>
      <c r="AF98" s="19" t="n"/>
      <c r="AG98" s="30">
        <f>IF(OR(AE98="",AF98=""),"",INDEX(RiskGrid,6-VALUE(LEFT(AE98,1)),VALUE(LEFT(AF98,1))))</f>
        <v/>
      </c>
      <c r="AH98" s="30">
        <f>IF(AG98="","",IF(AG98&gt;=BandVH,"Very High",IF(AG98&gt;=BandHigh,"High",IF(AG98&gt;=BandMed,"Medium","Low"))))</f>
        <v/>
      </c>
      <c r="AI98" s="4" t="n"/>
      <c r="AJ98" s="4" t="n"/>
    </row>
    <row r="99">
      <c r="A99" s="30">
        <f>IF(B99="","",COUNTIF(B$14:B99,"?*"))</f>
        <v/>
      </c>
      <c r="B99" s="4" t="n"/>
      <c r="C99" s="19" t="n"/>
      <c r="D99" s="5">
        <f>IF(OR(B99="",C99=""),"",UPPER(LEFT(C99,1))&amp;LOWER(MID(C99,2,30))&amp;" "&amp;LOWER(LEFT(B99,1))&amp;MID(B99,2,200))</f>
        <v/>
      </c>
      <c r="E99" s="4" t="n"/>
      <c r="F99" s="4" t="n"/>
      <c r="G99" s="4" t="n"/>
      <c r="H99" s="4" t="n"/>
      <c r="I99" s="4" t="n"/>
      <c r="J99" s="4" t="n"/>
      <c r="K99" s="5">
        <f>_xlfn.TEXTJOIN(CHAR(10),TRUE,IF(E99="","","• "&amp;E99),IF(F99="","","• "&amp;F99),IF(G99="","","• "&amp;G99),IF(H99="","","• "&amp;H99),IF(I99="","","• "&amp;I99),IF(J99="","","• "&amp;J99))</f>
        <v/>
      </c>
      <c r="L99" s="4" t="n"/>
      <c r="M99" s="19" t="n"/>
      <c r="N99" s="19" t="n"/>
      <c r="O99" s="30">
        <f>IF(OR(M99="",N99=""),"",INDEX(RiskGrid,6-VALUE(LEFT(M99,1)),VALUE(LEFT(N99,1))))</f>
        <v/>
      </c>
      <c r="P99" s="30">
        <f>IF(O99="","",IF(O99&gt;=BandVH,"Very High",IF(O99&gt;=BandHigh,"High",IF(O99&gt;=BandMed,"Medium","Low"))))</f>
        <v/>
      </c>
      <c r="Q99" s="4" t="n"/>
      <c r="R99" s="19" t="n"/>
      <c r="S99" s="4" t="n"/>
      <c r="T99" s="19" t="n"/>
      <c r="U99" s="4" t="n"/>
      <c r="V99" s="19" t="n"/>
      <c r="W99" s="4" t="n"/>
      <c r="X99" s="19" t="n"/>
      <c r="Y99" s="4" t="n"/>
      <c r="Z99" s="19" t="n"/>
      <c r="AA99" s="4" t="n"/>
      <c r="AB99" s="19" t="n"/>
      <c r="AC99" s="5">
        <f>_xlfn.TEXTJOIN(CHAR(10),TRUE,IF(Q99="","","• "&amp;Q99&amp;IF(R99="Yes","  [IPL]","")),IF(S99="","","• "&amp;S99&amp;IF(T99="Yes","  [IPL]","")),IF(U99="","","• "&amp;U99&amp;IF(V99="Yes","  [IPL]","")),IF(W99="","","• "&amp;W99&amp;IF(X99="Yes","  [IPL]","")),IF(Y99="","","• "&amp;Y99&amp;IF(Z99="Yes","  [IPL]","")),IF(AA99="","","• "&amp;AA99&amp;IF(AB99="Yes","  [IPL]","")))</f>
        <v/>
      </c>
      <c r="AD99" s="30">
        <f>IF(AC99="","",COUNTIF(Q99:AB99,"Yes"))</f>
        <v/>
      </c>
      <c r="AE99" s="19" t="n"/>
      <c r="AF99" s="19" t="n"/>
      <c r="AG99" s="30">
        <f>IF(OR(AE99="",AF99=""),"",INDEX(RiskGrid,6-VALUE(LEFT(AE99,1)),VALUE(LEFT(AF99,1))))</f>
        <v/>
      </c>
      <c r="AH99" s="30">
        <f>IF(AG99="","",IF(AG99&gt;=BandVH,"Very High",IF(AG99&gt;=BandHigh,"High",IF(AG99&gt;=BandMed,"Medium","Low"))))</f>
        <v/>
      </c>
      <c r="AI99" s="4" t="n"/>
      <c r="AJ99" s="4" t="n"/>
    </row>
    <row r="100">
      <c r="A100" s="30">
        <f>IF(B100="","",COUNTIF(B$14:B100,"?*"))</f>
        <v/>
      </c>
      <c r="B100" s="4" t="n"/>
      <c r="C100" s="19" t="n"/>
      <c r="D100" s="5">
        <f>IF(OR(B100="",C100=""),"",UPPER(LEFT(C100,1))&amp;LOWER(MID(C100,2,30))&amp;" "&amp;LOWER(LEFT(B100,1))&amp;MID(B100,2,200))</f>
        <v/>
      </c>
      <c r="E100" s="4" t="n"/>
      <c r="F100" s="4" t="n"/>
      <c r="G100" s="4" t="n"/>
      <c r="H100" s="4" t="n"/>
      <c r="I100" s="4" t="n"/>
      <c r="J100" s="4" t="n"/>
      <c r="K100" s="5">
        <f>_xlfn.TEXTJOIN(CHAR(10),TRUE,IF(E100="","","• "&amp;E100),IF(F100="","","• "&amp;F100),IF(G100="","","• "&amp;G100),IF(H100="","","• "&amp;H100),IF(I100="","","• "&amp;I100),IF(J100="","","• "&amp;J100))</f>
        <v/>
      </c>
      <c r="L100" s="4" t="n"/>
      <c r="M100" s="19" t="n"/>
      <c r="N100" s="19" t="n"/>
      <c r="O100" s="30">
        <f>IF(OR(M100="",N100=""),"",INDEX(RiskGrid,6-VALUE(LEFT(M100,1)),VALUE(LEFT(N100,1))))</f>
        <v/>
      </c>
      <c r="P100" s="30">
        <f>IF(O100="","",IF(O100&gt;=BandVH,"Very High",IF(O100&gt;=BandHigh,"High",IF(O100&gt;=BandMed,"Medium","Low"))))</f>
        <v/>
      </c>
      <c r="Q100" s="4" t="n"/>
      <c r="R100" s="19" t="n"/>
      <c r="S100" s="4" t="n"/>
      <c r="T100" s="19" t="n"/>
      <c r="U100" s="4" t="n"/>
      <c r="V100" s="19" t="n"/>
      <c r="W100" s="4" t="n"/>
      <c r="X100" s="19" t="n"/>
      <c r="Y100" s="4" t="n"/>
      <c r="Z100" s="19" t="n"/>
      <c r="AA100" s="4" t="n"/>
      <c r="AB100" s="19" t="n"/>
      <c r="AC100" s="5">
        <f>_xlfn.TEXTJOIN(CHAR(10),TRUE,IF(Q100="","","• "&amp;Q100&amp;IF(R100="Yes","  [IPL]","")),IF(S100="","","• "&amp;S100&amp;IF(T100="Yes","  [IPL]","")),IF(U100="","","• "&amp;U100&amp;IF(V100="Yes","  [IPL]","")),IF(W100="","","• "&amp;W100&amp;IF(X100="Yes","  [IPL]","")),IF(Y100="","","• "&amp;Y100&amp;IF(Z100="Yes","  [IPL]","")),IF(AA100="","","• "&amp;AA100&amp;IF(AB100="Yes","  [IPL]","")))</f>
        <v/>
      </c>
      <c r="AD100" s="30">
        <f>IF(AC100="","",COUNTIF(Q100:AB100,"Yes"))</f>
        <v/>
      </c>
      <c r="AE100" s="19" t="n"/>
      <c r="AF100" s="19" t="n"/>
      <c r="AG100" s="30">
        <f>IF(OR(AE100="",AF100=""),"",INDEX(RiskGrid,6-VALUE(LEFT(AE100,1)),VALUE(LEFT(AF100,1))))</f>
        <v/>
      </c>
      <c r="AH100" s="30">
        <f>IF(AG100="","",IF(AG100&gt;=BandVH,"Very High",IF(AG100&gt;=BandHigh,"High",IF(AG100&gt;=BandMed,"Medium","Low"))))</f>
        <v/>
      </c>
      <c r="AI100" s="4" t="n"/>
      <c r="AJ100" s="4" t="n"/>
    </row>
    <row r="101">
      <c r="A101" s="30">
        <f>IF(B101="","",COUNTIF(B$14:B101,"?*"))</f>
        <v/>
      </c>
      <c r="B101" s="4" t="n"/>
      <c r="C101" s="19" t="n"/>
      <c r="D101" s="5">
        <f>IF(OR(B101="",C101=""),"",UPPER(LEFT(C101,1))&amp;LOWER(MID(C101,2,30))&amp;" "&amp;LOWER(LEFT(B101,1))&amp;MID(B101,2,200))</f>
        <v/>
      </c>
      <c r="E101" s="4" t="n"/>
      <c r="F101" s="4" t="n"/>
      <c r="G101" s="4" t="n"/>
      <c r="H101" s="4" t="n"/>
      <c r="I101" s="4" t="n"/>
      <c r="J101" s="4" t="n"/>
      <c r="K101" s="5">
        <f>_xlfn.TEXTJOIN(CHAR(10),TRUE,IF(E101="","","• "&amp;E101),IF(F101="","","• "&amp;F101),IF(G101="","","• "&amp;G101),IF(H101="","","• "&amp;H101),IF(I101="","","• "&amp;I101),IF(J101="","","• "&amp;J101))</f>
        <v/>
      </c>
      <c r="L101" s="4" t="n"/>
      <c r="M101" s="19" t="n"/>
      <c r="N101" s="19" t="n"/>
      <c r="O101" s="30">
        <f>IF(OR(M101="",N101=""),"",INDEX(RiskGrid,6-VALUE(LEFT(M101,1)),VALUE(LEFT(N101,1))))</f>
        <v/>
      </c>
      <c r="P101" s="30">
        <f>IF(O101="","",IF(O101&gt;=BandVH,"Very High",IF(O101&gt;=BandHigh,"High",IF(O101&gt;=BandMed,"Medium","Low"))))</f>
        <v/>
      </c>
      <c r="Q101" s="4" t="n"/>
      <c r="R101" s="19" t="n"/>
      <c r="S101" s="4" t="n"/>
      <c r="T101" s="19" t="n"/>
      <c r="U101" s="4" t="n"/>
      <c r="V101" s="19" t="n"/>
      <c r="W101" s="4" t="n"/>
      <c r="X101" s="19" t="n"/>
      <c r="Y101" s="4" t="n"/>
      <c r="Z101" s="19" t="n"/>
      <c r="AA101" s="4" t="n"/>
      <c r="AB101" s="19" t="n"/>
      <c r="AC101" s="5">
        <f>_xlfn.TEXTJOIN(CHAR(10),TRUE,IF(Q101="","","• "&amp;Q101&amp;IF(R101="Yes","  [IPL]","")),IF(S101="","","• "&amp;S101&amp;IF(T101="Yes","  [IPL]","")),IF(U101="","","• "&amp;U101&amp;IF(V101="Yes","  [IPL]","")),IF(W101="","","• "&amp;W101&amp;IF(X101="Yes","  [IPL]","")),IF(Y101="","","• "&amp;Y101&amp;IF(Z101="Yes","  [IPL]","")),IF(AA101="","","• "&amp;AA101&amp;IF(AB101="Yes","  [IPL]","")))</f>
        <v/>
      </c>
      <c r="AD101" s="30">
        <f>IF(AC101="","",COUNTIF(Q101:AB101,"Yes"))</f>
        <v/>
      </c>
      <c r="AE101" s="19" t="n"/>
      <c r="AF101" s="19" t="n"/>
      <c r="AG101" s="30">
        <f>IF(OR(AE101="",AF101=""),"",INDEX(RiskGrid,6-VALUE(LEFT(AE101,1)),VALUE(LEFT(AF101,1))))</f>
        <v/>
      </c>
      <c r="AH101" s="30">
        <f>IF(AG101="","",IF(AG101&gt;=BandVH,"Very High",IF(AG101&gt;=BandHigh,"High",IF(AG101&gt;=BandMed,"Medium","Low"))))</f>
        <v/>
      </c>
      <c r="AI101" s="4" t="n"/>
      <c r="AJ101" s="4" t="n"/>
    </row>
    <row r="102">
      <c r="A102" s="30">
        <f>IF(B102="","",COUNTIF(B$14:B102,"?*"))</f>
        <v/>
      </c>
      <c r="B102" s="4" t="n"/>
      <c r="C102" s="19" t="n"/>
      <c r="D102" s="5">
        <f>IF(OR(B102="",C102=""),"",UPPER(LEFT(C102,1))&amp;LOWER(MID(C102,2,30))&amp;" "&amp;LOWER(LEFT(B102,1))&amp;MID(B102,2,200))</f>
        <v/>
      </c>
      <c r="E102" s="4" t="n"/>
      <c r="F102" s="4" t="n"/>
      <c r="G102" s="4" t="n"/>
      <c r="H102" s="4" t="n"/>
      <c r="I102" s="4" t="n"/>
      <c r="J102" s="4" t="n"/>
      <c r="K102" s="5">
        <f>_xlfn.TEXTJOIN(CHAR(10),TRUE,IF(E102="","","• "&amp;E102),IF(F102="","","• "&amp;F102),IF(G102="","","• "&amp;G102),IF(H102="","","• "&amp;H102),IF(I102="","","• "&amp;I102),IF(J102="","","• "&amp;J102))</f>
        <v/>
      </c>
      <c r="L102" s="4" t="n"/>
      <c r="M102" s="19" t="n"/>
      <c r="N102" s="19" t="n"/>
      <c r="O102" s="30">
        <f>IF(OR(M102="",N102=""),"",INDEX(RiskGrid,6-VALUE(LEFT(M102,1)),VALUE(LEFT(N102,1))))</f>
        <v/>
      </c>
      <c r="P102" s="30">
        <f>IF(O102="","",IF(O102&gt;=BandVH,"Very High",IF(O102&gt;=BandHigh,"High",IF(O102&gt;=BandMed,"Medium","Low"))))</f>
        <v/>
      </c>
      <c r="Q102" s="4" t="n"/>
      <c r="R102" s="19" t="n"/>
      <c r="S102" s="4" t="n"/>
      <c r="T102" s="19" t="n"/>
      <c r="U102" s="4" t="n"/>
      <c r="V102" s="19" t="n"/>
      <c r="W102" s="4" t="n"/>
      <c r="X102" s="19" t="n"/>
      <c r="Y102" s="4" t="n"/>
      <c r="Z102" s="19" t="n"/>
      <c r="AA102" s="4" t="n"/>
      <c r="AB102" s="19" t="n"/>
      <c r="AC102" s="5">
        <f>_xlfn.TEXTJOIN(CHAR(10),TRUE,IF(Q102="","","• "&amp;Q102&amp;IF(R102="Yes","  [IPL]","")),IF(S102="","","• "&amp;S102&amp;IF(T102="Yes","  [IPL]","")),IF(U102="","","• "&amp;U102&amp;IF(V102="Yes","  [IPL]","")),IF(W102="","","• "&amp;W102&amp;IF(X102="Yes","  [IPL]","")),IF(Y102="","","• "&amp;Y102&amp;IF(Z102="Yes","  [IPL]","")),IF(AA102="","","• "&amp;AA102&amp;IF(AB102="Yes","  [IPL]","")))</f>
        <v/>
      </c>
      <c r="AD102" s="30">
        <f>IF(AC102="","",COUNTIF(Q102:AB102,"Yes"))</f>
        <v/>
      </c>
      <c r="AE102" s="19" t="n"/>
      <c r="AF102" s="19" t="n"/>
      <c r="AG102" s="30">
        <f>IF(OR(AE102="",AF102=""),"",INDEX(RiskGrid,6-VALUE(LEFT(AE102,1)),VALUE(LEFT(AF102,1))))</f>
        <v/>
      </c>
      <c r="AH102" s="30">
        <f>IF(AG102="","",IF(AG102&gt;=BandVH,"Very High",IF(AG102&gt;=BandHigh,"High",IF(AG102&gt;=BandMed,"Medium","Low"))))</f>
        <v/>
      </c>
      <c r="AI102" s="4" t="n"/>
      <c r="AJ102" s="4" t="n"/>
    </row>
    <row r="103">
      <c r="A103" s="30">
        <f>IF(B103="","",COUNTIF(B$14:B103,"?*"))</f>
        <v/>
      </c>
      <c r="B103" s="4" t="n"/>
      <c r="C103" s="19" t="n"/>
      <c r="D103" s="5">
        <f>IF(OR(B103="",C103=""),"",UPPER(LEFT(C103,1))&amp;LOWER(MID(C103,2,30))&amp;" "&amp;LOWER(LEFT(B103,1))&amp;MID(B103,2,200))</f>
        <v/>
      </c>
      <c r="E103" s="4" t="n"/>
      <c r="F103" s="4" t="n"/>
      <c r="G103" s="4" t="n"/>
      <c r="H103" s="4" t="n"/>
      <c r="I103" s="4" t="n"/>
      <c r="J103" s="4" t="n"/>
      <c r="K103" s="5">
        <f>_xlfn.TEXTJOIN(CHAR(10),TRUE,IF(E103="","","• "&amp;E103),IF(F103="","","• "&amp;F103),IF(G103="","","• "&amp;G103),IF(H103="","","• "&amp;H103),IF(I103="","","• "&amp;I103),IF(J103="","","• "&amp;J103))</f>
        <v/>
      </c>
      <c r="L103" s="4" t="n"/>
      <c r="M103" s="19" t="n"/>
      <c r="N103" s="19" t="n"/>
      <c r="O103" s="30">
        <f>IF(OR(M103="",N103=""),"",INDEX(RiskGrid,6-VALUE(LEFT(M103,1)),VALUE(LEFT(N103,1))))</f>
        <v/>
      </c>
      <c r="P103" s="30">
        <f>IF(O103="","",IF(O103&gt;=BandVH,"Very High",IF(O103&gt;=BandHigh,"High",IF(O103&gt;=BandMed,"Medium","Low"))))</f>
        <v/>
      </c>
      <c r="Q103" s="4" t="n"/>
      <c r="R103" s="19" t="n"/>
      <c r="S103" s="4" t="n"/>
      <c r="T103" s="19" t="n"/>
      <c r="U103" s="4" t="n"/>
      <c r="V103" s="19" t="n"/>
      <c r="W103" s="4" t="n"/>
      <c r="X103" s="19" t="n"/>
      <c r="Y103" s="4" t="n"/>
      <c r="Z103" s="19" t="n"/>
      <c r="AA103" s="4" t="n"/>
      <c r="AB103" s="19" t="n"/>
      <c r="AC103" s="5">
        <f>_xlfn.TEXTJOIN(CHAR(10),TRUE,IF(Q103="","","• "&amp;Q103&amp;IF(R103="Yes","  [IPL]","")),IF(S103="","","• "&amp;S103&amp;IF(T103="Yes","  [IPL]","")),IF(U103="","","• "&amp;U103&amp;IF(V103="Yes","  [IPL]","")),IF(W103="","","• "&amp;W103&amp;IF(X103="Yes","  [IPL]","")),IF(Y103="","","• "&amp;Y103&amp;IF(Z103="Yes","  [IPL]","")),IF(AA103="","","• "&amp;AA103&amp;IF(AB103="Yes","  [IPL]","")))</f>
        <v/>
      </c>
      <c r="AD103" s="30">
        <f>IF(AC103="","",COUNTIF(Q103:AB103,"Yes"))</f>
        <v/>
      </c>
      <c r="AE103" s="19" t="n"/>
      <c r="AF103" s="19" t="n"/>
      <c r="AG103" s="30">
        <f>IF(OR(AE103="",AF103=""),"",INDEX(RiskGrid,6-VALUE(LEFT(AE103,1)),VALUE(LEFT(AF103,1))))</f>
        <v/>
      </c>
      <c r="AH103" s="30">
        <f>IF(AG103="","",IF(AG103&gt;=BandVH,"Very High",IF(AG103&gt;=BandHigh,"High",IF(AG103&gt;=BandMed,"Medium","Low"))))</f>
        <v/>
      </c>
      <c r="AI103" s="4" t="n"/>
      <c r="AJ103" s="4" t="n"/>
    </row>
    <row r="104">
      <c r="A104" s="30">
        <f>IF(B104="","",COUNTIF(B$14:B104,"?*"))</f>
        <v/>
      </c>
      <c r="B104" s="4" t="n"/>
      <c r="C104" s="19" t="n"/>
      <c r="D104" s="5">
        <f>IF(OR(B104="",C104=""),"",UPPER(LEFT(C104,1))&amp;LOWER(MID(C104,2,30))&amp;" "&amp;LOWER(LEFT(B104,1))&amp;MID(B104,2,200))</f>
        <v/>
      </c>
      <c r="E104" s="4" t="n"/>
      <c r="F104" s="4" t="n"/>
      <c r="G104" s="4" t="n"/>
      <c r="H104" s="4" t="n"/>
      <c r="I104" s="4" t="n"/>
      <c r="J104" s="4" t="n"/>
      <c r="K104" s="5">
        <f>_xlfn.TEXTJOIN(CHAR(10),TRUE,IF(E104="","","• "&amp;E104),IF(F104="","","• "&amp;F104),IF(G104="","","• "&amp;G104),IF(H104="","","• "&amp;H104),IF(I104="","","• "&amp;I104),IF(J104="","","• "&amp;J104))</f>
        <v/>
      </c>
      <c r="L104" s="4" t="n"/>
      <c r="M104" s="19" t="n"/>
      <c r="N104" s="19" t="n"/>
      <c r="O104" s="30">
        <f>IF(OR(M104="",N104=""),"",INDEX(RiskGrid,6-VALUE(LEFT(M104,1)),VALUE(LEFT(N104,1))))</f>
        <v/>
      </c>
      <c r="P104" s="30">
        <f>IF(O104="","",IF(O104&gt;=BandVH,"Very High",IF(O104&gt;=BandHigh,"High",IF(O104&gt;=BandMed,"Medium","Low"))))</f>
        <v/>
      </c>
      <c r="Q104" s="4" t="n"/>
      <c r="R104" s="19" t="n"/>
      <c r="S104" s="4" t="n"/>
      <c r="T104" s="19" t="n"/>
      <c r="U104" s="4" t="n"/>
      <c r="V104" s="19" t="n"/>
      <c r="W104" s="4" t="n"/>
      <c r="X104" s="19" t="n"/>
      <c r="Y104" s="4" t="n"/>
      <c r="Z104" s="19" t="n"/>
      <c r="AA104" s="4" t="n"/>
      <c r="AB104" s="19" t="n"/>
      <c r="AC104" s="5">
        <f>_xlfn.TEXTJOIN(CHAR(10),TRUE,IF(Q104="","","• "&amp;Q104&amp;IF(R104="Yes","  [IPL]","")),IF(S104="","","• "&amp;S104&amp;IF(T104="Yes","  [IPL]","")),IF(U104="","","• "&amp;U104&amp;IF(V104="Yes","  [IPL]","")),IF(W104="","","• "&amp;W104&amp;IF(X104="Yes","  [IPL]","")),IF(Y104="","","• "&amp;Y104&amp;IF(Z104="Yes","  [IPL]","")),IF(AA104="","","• "&amp;AA104&amp;IF(AB104="Yes","  [IPL]","")))</f>
        <v/>
      </c>
      <c r="AD104" s="30">
        <f>IF(AC104="","",COUNTIF(Q104:AB104,"Yes"))</f>
        <v/>
      </c>
      <c r="AE104" s="19" t="n"/>
      <c r="AF104" s="19" t="n"/>
      <c r="AG104" s="30">
        <f>IF(OR(AE104="",AF104=""),"",INDEX(RiskGrid,6-VALUE(LEFT(AE104,1)),VALUE(LEFT(AF104,1))))</f>
        <v/>
      </c>
      <c r="AH104" s="30">
        <f>IF(AG104="","",IF(AG104&gt;=BandVH,"Very High",IF(AG104&gt;=BandHigh,"High",IF(AG104&gt;=BandMed,"Medium","Low"))))</f>
        <v/>
      </c>
      <c r="AI104" s="4" t="n"/>
      <c r="AJ104" s="4" t="n"/>
    </row>
    <row r="105">
      <c r="A105" s="30">
        <f>IF(B105="","",COUNTIF(B$14:B105,"?*"))</f>
        <v/>
      </c>
      <c r="B105" s="4" t="n"/>
      <c r="C105" s="19" t="n"/>
      <c r="D105" s="5">
        <f>IF(OR(B105="",C105=""),"",UPPER(LEFT(C105,1))&amp;LOWER(MID(C105,2,30))&amp;" "&amp;LOWER(LEFT(B105,1))&amp;MID(B105,2,200))</f>
        <v/>
      </c>
      <c r="E105" s="4" t="n"/>
      <c r="F105" s="4" t="n"/>
      <c r="G105" s="4" t="n"/>
      <c r="H105" s="4" t="n"/>
      <c r="I105" s="4" t="n"/>
      <c r="J105" s="4" t="n"/>
      <c r="K105" s="5">
        <f>_xlfn.TEXTJOIN(CHAR(10),TRUE,IF(E105="","","• "&amp;E105),IF(F105="","","• "&amp;F105),IF(G105="","","• "&amp;G105),IF(H105="","","• "&amp;H105),IF(I105="","","• "&amp;I105),IF(J105="","","• "&amp;J105))</f>
        <v/>
      </c>
      <c r="L105" s="4" t="n"/>
      <c r="M105" s="19" t="n"/>
      <c r="N105" s="19" t="n"/>
      <c r="O105" s="30">
        <f>IF(OR(M105="",N105=""),"",INDEX(RiskGrid,6-VALUE(LEFT(M105,1)),VALUE(LEFT(N105,1))))</f>
        <v/>
      </c>
      <c r="P105" s="30">
        <f>IF(O105="","",IF(O105&gt;=BandVH,"Very High",IF(O105&gt;=BandHigh,"High",IF(O105&gt;=BandMed,"Medium","Low"))))</f>
        <v/>
      </c>
      <c r="Q105" s="4" t="n"/>
      <c r="R105" s="19" t="n"/>
      <c r="S105" s="4" t="n"/>
      <c r="T105" s="19" t="n"/>
      <c r="U105" s="4" t="n"/>
      <c r="V105" s="19" t="n"/>
      <c r="W105" s="4" t="n"/>
      <c r="X105" s="19" t="n"/>
      <c r="Y105" s="4" t="n"/>
      <c r="Z105" s="19" t="n"/>
      <c r="AA105" s="4" t="n"/>
      <c r="AB105" s="19" t="n"/>
      <c r="AC105" s="5">
        <f>_xlfn.TEXTJOIN(CHAR(10),TRUE,IF(Q105="","","• "&amp;Q105&amp;IF(R105="Yes","  [IPL]","")),IF(S105="","","• "&amp;S105&amp;IF(T105="Yes","  [IPL]","")),IF(U105="","","• "&amp;U105&amp;IF(V105="Yes","  [IPL]","")),IF(W105="","","• "&amp;W105&amp;IF(X105="Yes","  [IPL]","")),IF(Y105="","","• "&amp;Y105&amp;IF(Z105="Yes","  [IPL]","")),IF(AA105="","","• "&amp;AA105&amp;IF(AB105="Yes","  [IPL]","")))</f>
        <v/>
      </c>
      <c r="AD105" s="30">
        <f>IF(AC105="","",COUNTIF(Q105:AB105,"Yes"))</f>
        <v/>
      </c>
      <c r="AE105" s="19" t="n"/>
      <c r="AF105" s="19" t="n"/>
      <c r="AG105" s="30">
        <f>IF(OR(AE105="",AF105=""),"",INDEX(RiskGrid,6-VALUE(LEFT(AE105,1)),VALUE(LEFT(AF105,1))))</f>
        <v/>
      </c>
      <c r="AH105" s="30">
        <f>IF(AG105="","",IF(AG105&gt;=BandVH,"Very High",IF(AG105&gt;=BandHigh,"High",IF(AG105&gt;=BandMed,"Medium","Low"))))</f>
        <v/>
      </c>
      <c r="AI105" s="4" t="n"/>
      <c r="AJ105" s="4" t="n"/>
    </row>
    <row r="106">
      <c r="A106" s="30">
        <f>IF(B106="","",COUNTIF(B$14:B106,"?*"))</f>
        <v/>
      </c>
      <c r="B106" s="4" t="n"/>
      <c r="C106" s="19" t="n"/>
      <c r="D106" s="5">
        <f>IF(OR(B106="",C106=""),"",UPPER(LEFT(C106,1))&amp;LOWER(MID(C106,2,30))&amp;" "&amp;LOWER(LEFT(B106,1))&amp;MID(B106,2,200))</f>
        <v/>
      </c>
      <c r="E106" s="4" t="n"/>
      <c r="F106" s="4" t="n"/>
      <c r="G106" s="4" t="n"/>
      <c r="H106" s="4" t="n"/>
      <c r="I106" s="4" t="n"/>
      <c r="J106" s="4" t="n"/>
      <c r="K106" s="5">
        <f>_xlfn.TEXTJOIN(CHAR(10),TRUE,IF(E106="","","• "&amp;E106),IF(F106="","","• "&amp;F106),IF(G106="","","• "&amp;G106),IF(H106="","","• "&amp;H106),IF(I106="","","• "&amp;I106),IF(J106="","","• "&amp;J106))</f>
        <v/>
      </c>
      <c r="L106" s="4" t="n"/>
      <c r="M106" s="19" t="n"/>
      <c r="N106" s="19" t="n"/>
      <c r="O106" s="30">
        <f>IF(OR(M106="",N106=""),"",INDEX(RiskGrid,6-VALUE(LEFT(M106,1)),VALUE(LEFT(N106,1))))</f>
        <v/>
      </c>
      <c r="P106" s="30">
        <f>IF(O106="","",IF(O106&gt;=BandVH,"Very High",IF(O106&gt;=BandHigh,"High",IF(O106&gt;=BandMed,"Medium","Low"))))</f>
        <v/>
      </c>
      <c r="Q106" s="4" t="n"/>
      <c r="R106" s="19" t="n"/>
      <c r="S106" s="4" t="n"/>
      <c r="T106" s="19" t="n"/>
      <c r="U106" s="4" t="n"/>
      <c r="V106" s="19" t="n"/>
      <c r="W106" s="4" t="n"/>
      <c r="X106" s="19" t="n"/>
      <c r="Y106" s="4" t="n"/>
      <c r="Z106" s="19" t="n"/>
      <c r="AA106" s="4" t="n"/>
      <c r="AB106" s="19" t="n"/>
      <c r="AC106" s="5">
        <f>_xlfn.TEXTJOIN(CHAR(10),TRUE,IF(Q106="","","• "&amp;Q106&amp;IF(R106="Yes","  [IPL]","")),IF(S106="","","• "&amp;S106&amp;IF(T106="Yes","  [IPL]","")),IF(U106="","","• "&amp;U106&amp;IF(V106="Yes","  [IPL]","")),IF(W106="","","• "&amp;W106&amp;IF(X106="Yes","  [IPL]","")),IF(Y106="","","• "&amp;Y106&amp;IF(Z106="Yes","  [IPL]","")),IF(AA106="","","• "&amp;AA106&amp;IF(AB106="Yes","  [IPL]","")))</f>
        <v/>
      </c>
      <c r="AD106" s="30">
        <f>IF(AC106="","",COUNTIF(Q106:AB106,"Yes"))</f>
        <v/>
      </c>
      <c r="AE106" s="19" t="n"/>
      <c r="AF106" s="19" t="n"/>
      <c r="AG106" s="30">
        <f>IF(OR(AE106="",AF106=""),"",INDEX(RiskGrid,6-VALUE(LEFT(AE106,1)),VALUE(LEFT(AF106,1))))</f>
        <v/>
      </c>
      <c r="AH106" s="30">
        <f>IF(AG106="","",IF(AG106&gt;=BandVH,"Very High",IF(AG106&gt;=BandHigh,"High",IF(AG106&gt;=BandMed,"Medium","Low"))))</f>
        <v/>
      </c>
      <c r="AI106" s="4" t="n"/>
      <c r="AJ106" s="4" t="n"/>
    </row>
    <row r="107">
      <c r="A107" s="30">
        <f>IF(B107="","",COUNTIF(B$14:B107,"?*"))</f>
        <v/>
      </c>
      <c r="B107" s="4" t="n"/>
      <c r="C107" s="19" t="n"/>
      <c r="D107" s="5">
        <f>IF(OR(B107="",C107=""),"",UPPER(LEFT(C107,1))&amp;LOWER(MID(C107,2,30))&amp;" "&amp;LOWER(LEFT(B107,1))&amp;MID(B107,2,200))</f>
        <v/>
      </c>
      <c r="E107" s="4" t="n"/>
      <c r="F107" s="4" t="n"/>
      <c r="G107" s="4" t="n"/>
      <c r="H107" s="4" t="n"/>
      <c r="I107" s="4" t="n"/>
      <c r="J107" s="4" t="n"/>
      <c r="K107" s="5">
        <f>_xlfn.TEXTJOIN(CHAR(10),TRUE,IF(E107="","","• "&amp;E107),IF(F107="","","• "&amp;F107),IF(G107="","","• "&amp;G107),IF(H107="","","• "&amp;H107),IF(I107="","","• "&amp;I107),IF(J107="","","• "&amp;J107))</f>
        <v/>
      </c>
      <c r="L107" s="4" t="n"/>
      <c r="M107" s="19" t="n"/>
      <c r="N107" s="19" t="n"/>
      <c r="O107" s="30">
        <f>IF(OR(M107="",N107=""),"",INDEX(RiskGrid,6-VALUE(LEFT(M107,1)),VALUE(LEFT(N107,1))))</f>
        <v/>
      </c>
      <c r="P107" s="30">
        <f>IF(O107="","",IF(O107&gt;=BandVH,"Very High",IF(O107&gt;=BandHigh,"High",IF(O107&gt;=BandMed,"Medium","Low"))))</f>
        <v/>
      </c>
      <c r="Q107" s="4" t="n"/>
      <c r="R107" s="19" t="n"/>
      <c r="S107" s="4" t="n"/>
      <c r="T107" s="19" t="n"/>
      <c r="U107" s="4" t="n"/>
      <c r="V107" s="19" t="n"/>
      <c r="W107" s="4" t="n"/>
      <c r="X107" s="19" t="n"/>
      <c r="Y107" s="4" t="n"/>
      <c r="Z107" s="19" t="n"/>
      <c r="AA107" s="4" t="n"/>
      <c r="AB107" s="19" t="n"/>
      <c r="AC107" s="5">
        <f>_xlfn.TEXTJOIN(CHAR(10),TRUE,IF(Q107="","","• "&amp;Q107&amp;IF(R107="Yes","  [IPL]","")),IF(S107="","","• "&amp;S107&amp;IF(T107="Yes","  [IPL]","")),IF(U107="","","• "&amp;U107&amp;IF(V107="Yes","  [IPL]","")),IF(W107="","","• "&amp;W107&amp;IF(X107="Yes","  [IPL]","")),IF(Y107="","","• "&amp;Y107&amp;IF(Z107="Yes","  [IPL]","")),IF(AA107="","","• "&amp;AA107&amp;IF(AB107="Yes","  [IPL]","")))</f>
        <v/>
      </c>
      <c r="AD107" s="30">
        <f>IF(AC107="","",COUNTIF(Q107:AB107,"Yes"))</f>
        <v/>
      </c>
      <c r="AE107" s="19" t="n"/>
      <c r="AF107" s="19" t="n"/>
      <c r="AG107" s="30">
        <f>IF(OR(AE107="",AF107=""),"",INDEX(RiskGrid,6-VALUE(LEFT(AE107,1)),VALUE(LEFT(AF107,1))))</f>
        <v/>
      </c>
      <c r="AH107" s="30">
        <f>IF(AG107="","",IF(AG107&gt;=BandVH,"Very High",IF(AG107&gt;=BandHigh,"High",IF(AG107&gt;=BandMed,"Medium","Low"))))</f>
        <v/>
      </c>
      <c r="AI107" s="4" t="n"/>
      <c r="AJ107" s="4" t="n"/>
    </row>
    <row r="108">
      <c r="A108" s="30">
        <f>IF(B108="","",COUNTIF(B$14:B108,"?*"))</f>
        <v/>
      </c>
      <c r="B108" s="4" t="n"/>
      <c r="C108" s="19" t="n"/>
      <c r="D108" s="5">
        <f>IF(OR(B108="",C108=""),"",UPPER(LEFT(C108,1))&amp;LOWER(MID(C108,2,30))&amp;" "&amp;LOWER(LEFT(B108,1))&amp;MID(B108,2,200))</f>
        <v/>
      </c>
      <c r="E108" s="4" t="n"/>
      <c r="F108" s="4" t="n"/>
      <c r="G108" s="4" t="n"/>
      <c r="H108" s="4" t="n"/>
      <c r="I108" s="4" t="n"/>
      <c r="J108" s="4" t="n"/>
      <c r="K108" s="5">
        <f>_xlfn.TEXTJOIN(CHAR(10),TRUE,IF(E108="","","• "&amp;E108),IF(F108="","","• "&amp;F108),IF(G108="","","• "&amp;G108),IF(H108="","","• "&amp;H108),IF(I108="","","• "&amp;I108),IF(J108="","","• "&amp;J108))</f>
        <v/>
      </c>
      <c r="L108" s="4" t="n"/>
      <c r="M108" s="19" t="n"/>
      <c r="N108" s="19" t="n"/>
      <c r="O108" s="30">
        <f>IF(OR(M108="",N108=""),"",INDEX(RiskGrid,6-VALUE(LEFT(M108,1)),VALUE(LEFT(N108,1))))</f>
        <v/>
      </c>
      <c r="P108" s="30">
        <f>IF(O108="","",IF(O108&gt;=BandVH,"Very High",IF(O108&gt;=BandHigh,"High",IF(O108&gt;=BandMed,"Medium","Low"))))</f>
        <v/>
      </c>
      <c r="Q108" s="4" t="n"/>
      <c r="R108" s="19" t="n"/>
      <c r="S108" s="4" t="n"/>
      <c r="T108" s="19" t="n"/>
      <c r="U108" s="4" t="n"/>
      <c r="V108" s="19" t="n"/>
      <c r="W108" s="4" t="n"/>
      <c r="X108" s="19" t="n"/>
      <c r="Y108" s="4" t="n"/>
      <c r="Z108" s="19" t="n"/>
      <c r="AA108" s="4" t="n"/>
      <c r="AB108" s="19" t="n"/>
      <c r="AC108" s="5">
        <f>_xlfn.TEXTJOIN(CHAR(10),TRUE,IF(Q108="","","• "&amp;Q108&amp;IF(R108="Yes","  [IPL]","")),IF(S108="","","• "&amp;S108&amp;IF(T108="Yes","  [IPL]","")),IF(U108="","","• "&amp;U108&amp;IF(V108="Yes","  [IPL]","")),IF(W108="","","• "&amp;W108&amp;IF(X108="Yes","  [IPL]","")),IF(Y108="","","• "&amp;Y108&amp;IF(Z108="Yes","  [IPL]","")),IF(AA108="","","• "&amp;AA108&amp;IF(AB108="Yes","  [IPL]","")))</f>
        <v/>
      </c>
      <c r="AD108" s="30">
        <f>IF(AC108="","",COUNTIF(Q108:AB108,"Yes"))</f>
        <v/>
      </c>
      <c r="AE108" s="19" t="n"/>
      <c r="AF108" s="19" t="n"/>
      <c r="AG108" s="30">
        <f>IF(OR(AE108="",AF108=""),"",INDEX(RiskGrid,6-VALUE(LEFT(AE108,1)),VALUE(LEFT(AF108,1))))</f>
        <v/>
      </c>
      <c r="AH108" s="30">
        <f>IF(AG108="","",IF(AG108&gt;=BandVH,"Very High",IF(AG108&gt;=BandHigh,"High",IF(AG108&gt;=BandMed,"Medium","Low"))))</f>
        <v/>
      </c>
      <c r="AI108" s="4" t="n"/>
      <c r="AJ108" s="4" t="n"/>
    </row>
    <row r="109">
      <c r="A109" s="30">
        <f>IF(B109="","",COUNTIF(B$14:B109,"?*"))</f>
        <v/>
      </c>
      <c r="B109" s="4" t="n"/>
      <c r="C109" s="19" t="n"/>
      <c r="D109" s="5">
        <f>IF(OR(B109="",C109=""),"",UPPER(LEFT(C109,1))&amp;LOWER(MID(C109,2,30))&amp;" "&amp;LOWER(LEFT(B109,1))&amp;MID(B109,2,200))</f>
        <v/>
      </c>
      <c r="E109" s="4" t="n"/>
      <c r="F109" s="4" t="n"/>
      <c r="G109" s="4" t="n"/>
      <c r="H109" s="4" t="n"/>
      <c r="I109" s="4" t="n"/>
      <c r="J109" s="4" t="n"/>
      <c r="K109" s="5">
        <f>_xlfn.TEXTJOIN(CHAR(10),TRUE,IF(E109="","","• "&amp;E109),IF(F109="","","• "&amp;F109),IF(G109="","","• "&amp;G109),IF(H109="","","• "&amp;H109),IF(I109="","","• "&amp;I109),IF(J109="","","• "&amp;J109))</f>
        <v/>
      </c>
      <c r="L109" s="4" t="n"/>
      <c r="M109" s="19" t="n"/>
      <c r="N109" s="19" t="n"/>
      <c r="O109" s="30">
        <f>IF(OR(M109="",N109=""),"",INDEX(RiskGrid,6-VALUE(LEFT(M109,1)),VALUE(LEFT(N109,1))))</f>
        <v/>
      </c>
      <c r="P109" s="30">
        <f>IF(O109="","",IF(O109&gt;=BandVH,"Very High",IF(O109&gt;=BandHigh,"High",IF(O109&gt;=BandMed,"Medium","Low"))))</f>
        <v/>
      </c>
      <c r="Q109" s="4" t="n"/>
      <c r="R109" s="19" t="n"/>
      <c r="S109" s="4" t="n"/>
      <c r="T109" s="19" t="n"/>
      <c r="U109" s="4" t="n"/>
      <c r="V109" s="19" t="n"/>
      <c r="W109" s="4" t="n"/>
      <c r="X109" s="19" t="n"/>
      <c r="Y109" s="4" t="n"/>
      <c r="Z109" s="19" t="n"/>
      <c r="AA109" s="4" t="n"/>
      <c r="AB109" s="19" t="n"/>
      <c r="AC109" s="5">
        <f>_xlfn.TEXTJOIN(CHAR(10),TRUE,IF(Q109="","","• "&amp;Q109&amp;IF(R109="Yes","  [IPL]","")),IF(S109="","","• "&amp;S109&amp;IF(T109="Yes","  [IPL]","")),IF(U109="","","• "&amp;U109&amp;IF(V109="Yes","  [IPL]","")),IF(W109="","","• "&amp;W109&amp;IF(X109="Yes","  [IPL]","")),IF(Y109="","","• "&amp;Y109&amp;IF(Z109="Yes","  [IPL]","")),IF(AA109="","","• "&amp;AA109&amp;IF(AB109="Yes","  [IPL]","")))</f>
        <v/>
      </c>
      <c r="AD109" s="30">
        <f>IF(AC109="","",COUNTIF(Q109:AB109,"Yes"))</f>
        <v/>
      </c>
      <c r="AE109" s="19" t="n"/>
      <c r="AF109" s="19" t="n"/>
      <c r="AG109" s="30">
        <f>IF(OR(AE109="",AF109=""),"",INDEX(RiskGrid,6-VALUE(LEFT(AE109,1)),VALUE(LEFT(AF109,1))))</f>
        <v/>
      </c>
      <c r="AH109" s="30">
        <f>IF(AG109="","",IF(AG109&gt;=BandVH,"Very High",IF(AG109&gt;=BandHigh,"High",IF(AG109&gt;=BandMed,"Medium","Low"))))</f>
        <v/>
      </c>
      <c r="AI109" s="4" t="n"/>
      <c r="AJ109" s="4" t="n"/>
    </row>
    <row r="110">
      <c r="A110" s="30">
        <f>IF(B110="","",COUNTIF(B$14:B110,"?*"))</f>
        <v/>
      </c>
      <c r="B110" s="4" t="n"/>
      <c r="C110" s="19" t="n"/>
      <c r="D110" s="5">
        <f>IF(OR(B110="",C110=""),"",UPPER(LEFT(C110,1))&amp;LOWER(MID(C110,2,30))&amp;" "&amp;LOWER(LEFT(B110,1))&amp;MID(B110,2,200))</f>
        <v/>
      </c>
      <c r="E110" s="4" t="n"/>
      <c r="F110" s="4" t="n"/>
      <c r="G110" s="4" t="n"/>
      <c r="H110" s="4" t="n"/>
      <c r="I110" s="4" t="n"/>
      <c r="J110" s="4" t="n"/>
      <c r="K110" s="5">
        <f>_xlfn.TEXTJOIN(CHAR(10),TRUE,IF(E110="","","• "&amp;E110),IF(F110="","","• "&amp;F110),IF(G110="","","• "&amp;G110),IF(H110="","","• "&amp;H110),IF(I110="","","• "&amp;I110),IF(J110="","","• "&amp;J110))</f>
        <v/>
      </c>
      <c r="L110" s="4" t="n"/>
      <c r="M110" s="19" t="n"/>
      <c r="N110" s="19" t="n"/>
      <c r="O110" s="30">
        <f>IF(OR(M110="",N110=""),"",INDEX(RiskGrid,6-VALUE(LEFT(M110,1)),VALUE(LEFT(N110,1))))</f>
        <v/>
      </c>
      <c r="P110" s="30">
        <f>IF(O110="","",IF(O110&gt;=BandVH,"Very High",IF(O110&gt;=BandHigh,"High",IF(O110&gt;=BandMed,"Medium","Low"))))</f>
        <v/>
      </c>
      <c r="Q110" s="4" t="n"/>
      <c r="R110" s="19" t="n"/>
      <c r="S110" s="4" t="n"/>
      <c r="T110" s="19" t="n"/>
      <c r="U110" s="4" t="n"/>
      <c r="V110" s="19" t="n"/>
      <c r="W110" s="4" t="n"/>
      <c r="X110" s="19" t="n"/>
      <c r="Y110" s="4" t="n"/>
      <c r="Z110" s="19" t="n"/>
      <c r="AA110" s="4" t="n"/>
      <c r="AB110" s="19" t="n"/>
      <c r="AC110" s="5">
        <f>_xlfn.TEXTJOIN(CHAR(10),TRUE,IF(Q110="","","• "&amp;Q110&amp;IF(R110="Yes","  [IPL]","")),IF(S110="","","• "&amp;S110&amp;IF(T110="Yes","  [IPL]","")),IF(U110="","","• "&amp;U110&amp;IF(V110="Yes","  [IPL]","")),IF(W110="","","• "&amp;W110&amp;IF(X110="Yes","  [IPL]","")),IF(Y110="","","• "&amp;Y110&amp;IF(Z110="Yes","  [IPL]","")),IF(AA110="","","• "&amp;AA110&amp;IF(AB110="Yes","  [IPL]","")))</f>
        <v/>
      </c>
      <c r="AD110" s="30">
        <f>IF(AC110="","",COUNTIF(Q110:AB110,"Yes"))</f>
        <v/>
      </c>
      <c r="AE110" s="19" t="n"/>
      <c r="AF110" s="19" t="n"/>
      <c r="AG110" s="30">
        <f>IF(OR(AE110="",AF110=""),"",INDEX(RiskGrid,6-VALUE(LEFT(AE110,1)),VALUE(LEFT(AF110,1))))</f>
        <v/>
      </c>
      <c r="AH110" s="30">
        <f>IF(AG110="","",IF(AG110&gt;=BandVH,"Very High",IF(AG110&gt;=BandHigh,"High",IF(AG110&gt;=BandMed,"Medium","Low"))))</f>
        <v/>
      </c>
      <c r="AI110" s="4" t="n"/>
      <c r="AJ110" s="4" t="n"/>
    </row>
    <row r="111">
      <c r="A111" s="30">
        <f>IF(B111="","",COUNTIF(B$14:B111,"?*"))</f>
        <v/>
      </c>
      <c r="B111" s="4" t="n"/>
      <c r="C111" s="19" t="n"/>
      <c r="D111" s="5">
        <f>IF(OR(B111="",C111=""),"",UPPER(LEFT(C111,1))&amp;LOWER(MID(C111,2,30))&amp;" "&amp;LOWER(LEFT(B111,1))&amp;MID(B111,2,200))</f>
        <v/>
      </c>
      <c r="E111" s="4" t="n"/>
      <c r="F111" s="4" t="n"/>
      <c r="G111" s="4" t="n"/>
      <c r="H111" s="4" t="n"/>
      <c r="I111" s="4" t="n"/>
      <c r="J111" s="4" t="n"/>
      <c r="K111" s="5">
        <f>_xlfn.TEXTJOIN(CHAR(10),TRUE,IF(E111="","","• "&amp;E111),IF(F111="","","• "&amp;F111),IF(G111="","","• "&amp;G111),IF(H111="","","• "&amp;H111),IF(I111="","","• "&amp;I111),IF(J111="","","• "&amp;J111))</f>
        <v/>
      </c>
      <c r="L111" s="4" t="n"/>
      <c r="M111" s="19" t="n"/>
      <c r="N111" s="19" t="n"/>
      <c r="O111" s="30">
        <f>IF(OR(M111="",N111=""),"",INDEX(RiskGrid,6-VALUE(LEFT(M111,1)),VALUE(LEFT(N111,1))))</f>
        <v/>
      </c>
      <c r="P111" s="30">
        <f>IF(O111="","",IF(O111&gt;=BandVH,"Very High",IF(O111&gt;=BandHigh,"High",IF(O111&gt;=BandMed,"Medium","Low"))))</f>
        <v/>
      </c>
      <c r="Q111" s="4" t="n"/>
      <c r="R111" s="19" t="n"/>
      <c r="S111" s="4" t="n"/>
      <c r="T111" s="19" t="n"/>
      <c r="U111" s="4" t="n"/>
      <c r="V111" s="19" t="n"/>
      <c r="W111" s="4" t="n"/>
      <c r="X111" s="19" t="n"/>
      <c r="Y111" s="4" t="n"/>
      <c r="Z111" s="19" t="n"/>
      <c r="AA111" s="4" t="n"/>
      <c r="AB111" s="19" t="n"/>
      <c r="AC111" s="5">
        <f>_xlfn.TEXTJOIN(CHAR(10),TRUE,IF(Q111="","","• "&amp;Q111&amp;IF(R111="Yes","  [IPL]","")),IF(S111="","","• "&amp;S111&amp;IF(T111="Yes","  [IPL]","")),IF(U111="","","• "&amp;U111&amp;IF(V111="Yes","  [IPL]","")),IF(W111="","","• "&amp;W111&amp;IF(X111="Yes","  [IPL]","")),IF(Y111="","","• "&amp;Y111&amp;IF(Z111="Yes","  [IPL]","")),IF(AA111="","","• "&amp;AA111&amp;IF(AB111="Yes","  [IPL]","")))</f>
        <v/>
      </c>
      <c r="AD111" s="30">
        <f>IF(AC111="","",COUNTIF(Q111:AB111,"Yes"))</f>
        <v/>
      </c>
      <c r="AE111" s="19" t="n"/>
      <c r="AF111" s="19" t="n"/>
      <c r="AG111" s="30">
        <f>IF(OR(AE111="",AF111=""),"",INDEX(RiskGrid,6-VALUE(LEFT(AE111,1)),VALUE(LEFT(AF111,1))))</f>
        <v/>
      </c>
      <c r="AH111" s="30">
        <f>IF(AG111="","",IF(AG111&gt;=BandVH,"Very High",IF(AG111&gt;=BandHigh,"High",IF(AG111&gt;=BandMed,"Medium","Low"))))</f>
        <v/>
      </c>
      <c r="AI111" s="4" t="n"/>
      <c r="AJ111" s="4" t="n"/>
    </row>
    <row r="112">
      <c r="A112" s="30">
        <f>IF(B112="","",COUNTIF(B$14:B112,"?*"))</f>
        <v/>
      </c>
      <c r="B112" s="4" t="n"/>
      <c r="C112" s="19" t="n"/>
      <c r="D112" s="5">
        <f>IF(OR(B112="",C112=""),"",UPPER(LEFT(C112,1))&amp;LOWER(MID(C112,2,30))&amp;" "&amp;LOWER(LEFT(B112,1))&amp;MID(B112,2,200))</f>
        <v/>
      </c>
      <c r="E112" s="4" t="n"/>
      <c r="F112" s="4" t="n"/>
      <c r="G112" s="4" t="n"/>
      <c r="H112" s="4" t="n"/>
      <c r="I112" s="4" t="n"/>
      <c r="J112" s="4" t="n"/>
      <c r="K112" s="5">
        <f>_xlfn.TEXTJOIN(CHAR(10),TRUE,IF(E112="","","• "&amp;E112),IF(F112="","","• "&amp;F112),IF(G112="","","• "&amp;G112),IF(H112="","","• "&amp;H112),IF(I112="","","• "&amp;I112),IF(J112="","","• "&amp;J112))</f>
        <v/>
      </c>
      <c r="L112" s="4" t="n"/>
      <c r="M112" s="19" t="n"/>
      <c r="N112" s="19" t="n"/>
      <c r="O112" s="30">
        <f>IF(OR(M112="",N112=""),"",INDEX(RiskGrid,6-VALUE(LEFT(M112,1)),VALUE(LEFT(N112,1))))</f>
        <v/>
      </c>
      <c r="P112" s="30">
        <f>IF(O112="","",IF(O112&gt;=BandVH,"Very High",IF(O112&gt;=BandHigh,"High",IF(O112&gt;=BandMed,"Medium","Low"))))</f>
        <v/>
      </c>
      <c r="Q112" s="4" t="n"/>
      <c r="R112" s="19" t="n"/>
      <c r="S112" s="4" t="n"/>
      <c r="T112" s="19" t="n"/>
      <c r="U112" s="4" t="n"/>
      <c r="V112" s="19" t="n"/>
      <c r="W112" s="4" t="n"/>
      <c r="X112" s="19" t="n"/>
      <c r="Y112" s="4" t="n"/>
      <c r="Z112" s="19" t="n"/>
      <c r="AA112" s="4" t="n"/>
      <c r="AB112" s="19" t="n"/>
      <c r="AC112" s="5">
        <f>_xlfn.TEXTJOIN(CHAR(10),TRUE,IF(Q112="","","• "&amp;Q112&amp;IF(R112="Yes","  [IPL]","")),IF(S112="","","• "&amp;S112&amp;IF(T112="Yes","  [IPL]","")),IF(U112="","","• "&amp;U112&amp;IF(V112="Yes","  [IPL]","")),IF(W112="","","• "&amp;W112&amp;IF(X112="Yes","  [IPL]","")),IF(Y112="","","• "&amp;Y112&amp;IF(Z112="Yes","  [IPL]","")),IF(AA112="","","• "&amp;AA112&amp;IF(AB112="Yes","  [IPL]","")))</f>
        <v/>
      </c>
      <c r="AD112" s="30">
        <f>IF(AC112="","",COUNTIF(Q112:AB112,"Yes"))</f>
        <v/>
      </c>
      <c r="AE112" s="19" t="n"/>
      <c r="AF112" s="19" t="n"/>
      <c r="AG112" s="30">
        <f>IF(OR(AE112="",AF112=""),"",INDEX(RiskGrid,6-VALUE(LEFT(AE112,1)),VALUE(LEFT(AF112,1))))</f>
        <v/>
      </c>
      <c r="AH112" s="30">
        <f>IF(AG112="","",IF(AG112&gt;=BandVH,"Very High",IF(AG112&gt;=BandHigh,"High",IF(AG112&gt;=BandMed,"Medium","Low"))))</f>
        <v/>
      </c>
      <c r="AI112" s="4" t="n"/>
      <c r="AJ112" s="4" t="n"/>
    </row>
    <row r="113">
      <c r="A113" s="30">
        <f>IF(B113="","",COUNTIF(B$14:B113,"?*"))</f>
        <v/>
      </c>
      <c r="B113" s="4" t="n"/>
      <c r="C113" s="19" t="n"/>
      <c r="D113" s="5">
        <f>IF(OR(B113="",C113=""),"",UPPER(LEFT(C113,1))&amp;LOWER(MID(C113,2,30))&amp;" "&amp;LOWER(LEFT(B113,1))&amp;MID(B113,2,200))</f>
        <v/>
      </c>
      <c r="E113" s="4" t="n"/>
      <c r="F113" s="4" t="n"/>
      <c r="G113" s="4" t="n"/>
      <c r="H113" s="4" t="n"/>
      <c r="I113" s="4" t="n"/>
      <c r="J113" s="4" t="n"/>
      <c r="K113" s="5">
        <f>_xlfn.TEXTJOIN(CHAR(10),TRUE,IF(E113="","","• "&amp;E113),IF(F113="","","• "&amp;F113),IF(G113="","","• "&amp;G113),IF(H113="","","• "&amp;H113),IF(I113="","","• "&amp;I113),IF(J113="","","• "&amp;J113))</f>
        <v/>
      </c>
      <c r="L113" s="4" t="n"/>
      <c r="M113" s="19" t="n"/>
      <c r="N113" s="19" t="n"/>
      <c r="O113" s="30">
        <f>IF(OR(M113="",N113=""),"",INDEX(RiskGrid,6-VALUE(LEFT(M113,1)),VALUE(LEFT(N113,1))))</f>
        <v/>
      </c>
      <c r="P113" s="30">
        <f>IF(O113="","",IF(O113&gt;=BandVH,"Very High",IF(O113&gt;=BandHigh,"High",IF(O113&gt;=BandMed,"Medium","Low"))))</f>
        <v/>
      </c>
      <c r="Q113" s="4" t="n"/>
      <c r="R113" s="19" t="n"/>
      <c r="S113" s="4" t="n"/>
      <c r="T113" s="19" t="n"/>
      <c r="U113" s="4" t="n"/>
      <c r="V113" s="19" t="n"/>
      <c r="W113" s="4" t="n"/>
      <c r="X113" s="19" t="n"/>
      <c r="Y113" s="4" t="n"/>
      <c r="Z113" s="19" t="n"/>
      <c r="AA113" s="4" t="n"/>
      <c r="AB113" s="19" t="n"/>
      <c r="AC113" s="5">
        <f>_xlfn.TEXTJOIN(CHAR(10),TRUE,IF(Q113="","","• "&amp;Q113&amp;IF(R113="Yes","  [IPL]","")),IF(S113="","","• "&amp;S113&amp;IF(T113="Yes","  [IPL]","")),IF(U113="","","• "&amp;U113&amp;IF(V113="Yes","  [IPL]","")),IF(W113="","","• "&amp;W113&amp;IF(X113="Yes","  [IPL]","")),IF(Y113="","","• "&amp;Y113&amp;IF(Z113="Yes","  [IPL]","")),IF(AA113="","","• "&amp;AA113&amp;IF(AB113="Yes","  [IPL]","")))</f>
        <v/>
      </c>
      <c r="AD113" s="30">
        <f>IF(AC113="","",COUNTIF(Q113:AB113,"Yes"))</f>
        <v/>
      </c>
      <c r="AE113" s="19" t="n"/>
      <c r="AF113" s="19" t="n"/>
      <c r="AG113" s="30">
        <f>IF(OR(AE113="",AF113=""),"",INDEX(RiskGrid,6-VALUE(LEFT(AE113,1)),VALUE(LEFT(AF113,1))))</f>
        <v/>
      </c>
      <c r="AH113" s="30">
        <f>IF(AG113="","",IF(AG113&gt;=BandVH,"Very High",IF(AG113&gt;=BandHigh,"High",IF(AG113&gt;=BandMed,"Medium","Low"))))</f>
        <v/>
      </c>
      <c r="AI113" s="4" t="n"/>
      <c r="AJ113" s="4" t="n"/>
    </row>
  </sheetData>
  <mergeCells count="24">
    <mergeCell ref="A3:C3"/>
    <mergeCell ref="AC12:AD12"/>
    <mergeCell ref="D7:L7"/>
    <mergeCell ref="N3:O3"/>
    <mergeCell ref="A5:C5"/>
    <mergeCell ref="A8:C8"/>
    <mergeCell ref="D4:L4"/>
    <mergeCell ref="D3:L3"/>
    <mergeCell ref="D9:L9"/>
    <mergeCell ref="A4:C4"/>
    <mergeCell ref="D8:L8"/>
    <mergeCell ref="K12:L12"/>
    <mergeCell ref="D5:L5"/>
    <mergeCell ref="A9:C9"/>
    <mergeCell ref="AE12:AH12"/>
    <mergeCell ref="E12:J12"/>
    <mergeCell ref="Q12:AB12"/>
    <mergeCell ref="AI12:AJ12"/>
    <mergeCell ref="A11:L11"/>
    <mergeCell ref="A12:D12"/>
    <mergeCell ref="A6:C6"/>
    <mergeCell ref="M12:P12"/>
    <mergeCell ref="A7:C7"/>
    <mergeCell ref="D6:L6"/>
  </mergeCells>
  <conditionalFormatting sqref="O14:P113">
    <cfRule type="expression" priority="1" dxfId="0">
      <formula>$P14="Very High"</formula>
    </cfRule>
    <cfRule type="expression" priority="3" dxfId="1">
      <formula>$P14="High"</formula>
    </cfRule>
    <cfRule type="expression" priority="5" dxfId="2">
      <formula>$P14="Medium"</formula>
    </cfRule>
    <cfRule type="expression" priority="7" dxfId="3">
      <formula>$P14="Low"</formula>
    </cfRule>
  </conditionalFormatting>
  <conditionalFormatting sqref="AG14:AH113">
    <cfRule type="expression" priority="2" dxfId="0">
      <formula>$AH14="Very High"</formula>
    </cfRule>
    <cfRule type="expression" priority="4" dxfId="1">
      <formula>$AH14="High"</formula>
    </cfRule>
    <cfRule type="expression" priority="6" dxfId="2">
      <formula>$AH14="Medium"</formula>
    </cfRule>
    <cfRule type="expression" priority="8" dxfId="3">
      <formula>$AH14="Low"</formula>
    </cfRule>
  </conditionalFormatting>
  <dataValidations count="9">
    <dataValidation sqref="D3" showDropDown="0" showInputMessage="1" showErrorMessage="1" allowBlank="1" promptTitle="Select" prompt="Choose the node studied on this sheet" type="list">
      <formula1>=NodeList</formula1>
    </dataValidation>
    <dataValidation sqref="B14:B113" showDropDown="0" showInputMessage="1" showErrorMessage="1" allowBlank="1" promptTitle="Select" prompt="Parameter (from Lists)" type="list">
      <formula1>=ParamList</formula1>
    </dataValidation>
    <dataValidation sqref="C14:C113" showDropDown="0" showInputMessage="1" showErrorMessage="1" allowBlank="1" promptTitle="Select" prompt="Guidewords valid for this parameter" type="list">
      <formula1>=OFFSET(GWStart,MATCH($B14,GWParam,0)-1,0,COUNTIF(GWParam,$B14),1)</formula1>
    </dataValidation>
    <dataValidation sqref="E14:J113" showDropDown="0" showInputMessage="1" showErrorMessage="1" allowBlank="1" errorTitle="Not in list" error="Entry is not in the list – it will be accepted as free text." promptTitle="Select" prompt="Pick a cause for this deviation, or type your own." type="list" errorStyle="information">
      <formula1>=OFFSET(CauseStart,MATCH($B14&amp;"|"&amp;$C14,CauseKey,0)-1,0,MAX(1,COUNTIF(CauseKey,$B14&amp;"|"&amp;$C14)),1)</formula1>
    </dataValidation>
    <dataValidation sqref="M14:M113" showDropDown="0" showInputMessage="0" showErrorMessage="1" allowBlank="1" type="list">
      <formula1>=SevList</formula1>
    </dataValidation>
    <dataValidation sqref="N14:N113" showDropDown="0" showInputMessage="0" showErrorMessage="1" allowBlank="1" type="list">
      <formula1>=LikList</formula1>
    </dataValidation>
    <dataValidation sqref="AE14:AE113" showDropDown="0" showInputMessage="0" showErrorMessage="1" allowBlank="1" type="list">
      <formula1>=SevList</formula1>
    </dataValidation>
    <dataValidation sqref="AF14:AF113" showDropDown="0" showInputMessage="0" showErrorMessage="1" allowBlank="1" type="list">
      <formula1>=LikList</formula1>
    </dataValidation>
    <dataValidation sqref="R14:R113 T14:T113 V14:V113 X14:X113 Z14:Z113 AB14:AB113" showDropDown="0" showInputMessage="1" showErrorMessage="0" allowBlank="1" promptTitle="IPL?" prompt="Is this safeguard an Independent Protection Layer?" type="list">
      <formula1>=IPLList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2026-10-05T19:26:07Z</dcterms:created>
  <dcterms:modified xmlns:dcterms="http://purl.org/dc/terms/" xmlns:xsi="http://www.w3.org/2001/XMLSchema-instance" xsi:type="dcterms:W3CDTF">2026-10-05T20:22:07Z</dcterms:modified>
</cp:coreProperties>
</file>