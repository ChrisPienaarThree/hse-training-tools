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over" sheetId="1" state="visible" r:id="rId1"/>
    <sheet xmlns:r="http://schemas.openxmlformats.org/officeDocument/2006/relationships" name="PSI" sheetId="2" state="visible" r:id="rId2"/>
    <sheet xmlns:r="http://schemas.openxmlformats.org/officeDocument/2006/relationships" name="Nodes" sheetId="3" state="visible" r:id="rId3"/>
    <sheet xmlns:r="http://schemas.openxmlformats.org/officeDocument/2006/relationships" name="Lists" sheetId="4" state="visible" r:id="rId4"/>
    <sheet xmlns:r="http://schemas.openxmlformats.org/officeDocument/2006/relationships" name="Risk Matrix" sheetId="5" state="visible" r:id="rId5"/>
    <sheet xmlns:r="http://schemas.openxmlformats.org/officeDocument/2006/relationships" name="Node 01" sheetId="6" state="visible" r:id="rId6"/>
    <sheet xmlns:r="http://schemas.openxmlformats.org/officeDocument/2006/relationships" name="Node 02" sheetId="7" state="visible" r:id="rId7"/>
    <sheet xmlns:r="http://schemas.openxmlformats.org/officeDocument/2006/relationships" name="Node 03" sheetId="8" state="visible" r:id="rId8"/>
    <sheet xmlns:r="http://schemas.openxmlformats.org/officeDocument/2006/relationships" name="Node 04" sheetId="9" state="visible" r:id="rId9"/>
    <sheet xmlns:r="http://schemas.openxmlformats.org/officeDocument/2006/relationships" name="Node 05" sheetId="10" state="visible" r:id="rId10"/>
    <sheet xmlns:r="http://schemas.openxmlformats.org/officeDocument/2006/relationships" name="Node 06" sheetId="11" state="visible" r:id="rId11"/>
    <sheet xmlns:r="http://schemas.openxmlformats.org/officeDocument/2006/relationships" name="Node 07" sheetId="12" state="visible" r:id="rId12"/>
    <sheet xmlns:r="http://schemas.openxmlformats.org/officeDocument/2006/relationships" name="Node 08" sheetId="13" state="visible" r:id="rId13"/>
    <sheet xmlns:r="http://schemas.openxmlformats.org/officeDocument/2006/relationships" name="Node 09" sheetId="14" state="visible" r:id="rId14"/>
    <sheet xmlns:r="http://schemas.openxmlformats.org/officeDocument/2006/relationships" name="Node 10" sheetId="15" state="visible" r:id="rId15"/>
  </sheets>
  <definedNames>
    <definedName name="ParamList">Lists!$A$5:$A$61</definedName>
    <definedName name="GWParam">Lists!$C$5:$C$96</definedName>
    <definedName name="GWStart">Lists!$D$5</definedName>
    <definedName name="CauseKey">Lists!$H$5:$H$833</definedName>
    <definedName name="CauseStart">Lists!$I$5</definedName>
    <definedName name="PSICategories">Lists!$N$5:$N$11</definedName>
    <definedName name="IPLList">Lists!$P$5:$P$6</definedName>
    <definedName name="NodeList">Nodes!$C$5:$C$34</definedName>
    <definedName name="RiskGrid">'Risk Matrix'!$C$5:$G$9</definedName>
    <definedName name="BandMed">'Risk Matrix'!$C$13</definedName>
    <definedName name="BandHigh">'Risk Matrix'!$C$14</definedName>
    <definedName name="BandVH">'Risk Matrix'!$C$15</definedName>
    <definedName name="SevList">'Risk Matrix'!$B$19:$B$23</definedName>
    <definedName name="LikList">'Risk Matrix'!$B$26:$B$30</definedName>
    <definedName name="_xlnm._FilterDatabase" localSheetId="1" hidden="1">'PSI'!$A$4:$J$54</definedName>
    <definedName name="_xlnm.Print_Titles" localSheetId="5">'Node 01'!$12:$13</definedName>
    <definedName name="_xlnm.Print_Titles" localSheetId="6">'Node 02'!$12:$13</definedName>
    <definedName name="_xlnm.Print_Titles" localSheetId="7">'Node 03'!$12:$13</definedName>
    <definedName name="_xlnm.Print_Titles" localSheetId="8">'Node 04'!$12:$13</definedName>
    <definedName name="_xlnm.Print_Titles" localSheetId="9">'Node 05'!$12:$13</definedName>
    <definedName name="_xlnm.Print_Titles" localSheetId="10">'Node 06'!$12:$13</definedName>
    <definedName name="_xlnm.Print_Titles" localSheetId="11">'Node 07'!$12:$13</definedName>
    <definedName name="_xlnm.Print_Titles" localSheetId="12">'Node 08'!$12:$13</definedName>
    <definedName name="_xlnm.Print_Titles" localSheetId="13">'Node 09'!$12:$13</definedName>
    <definedName name="_xlnm.Print_Titles" localSheetId="14">'Node 10'!$12:$13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-mmm-yyyy"/>
  </numFmts>
  <fonts count="13">
    <font>
      <name val="Calibri"/>
      <family val="2"/>
      <color theme="1"/>
      <sz val="11"/>
      <scheme val="minor"/>
    </font>
    <font>
      <name val="Arial"/>
      <b val="1"/>
      <color rgb="001F3864"/>
      <sz val="16"/>
    </font>
    <font>
      <name val="Arial"/>
      <i val="1"/>
      <color rgb="00595959"/>
      <sz val="9"/>
    </font>
    <font>
      <name val="Arial"/>
      <b val="1"/>
      <color rgb="00000000"/>
      <sz val="10"/>
    </font>
    <font>
      <name val="Arial"/>
      <color rgb="00000000"/>
      <sz val="10"/>
    </font>
    <font>
      <name val="Arial"/>
      <b val="1"/>
      <color rgb="00FFFFFF"/>
      <sz val="10"/>
    </font>
    <font>
      <name val="Arial"/>
      <i val="1"/>
      <color rgb="00808080"/>
      <sz val="10"/>
    </font>
    <font>
      <name val="Arial"/>
      <b val="1"/>
      <color rgb="001F3864"/>
      <sz val="10"/>
    </font>
    <font>
      <name val="Arial"/>
      <b val="1"/>
      <color rgb="00000000"/>
      <sz val="12"/>
    </font>
    <font>
      <name val="Arial"/>
      <b val="1"/>
      <color rgb="00C00000"/>
      <sz val="10"/>
    </font>
    <font>
      <name val="Arial"/>
      <b val="1"/>
      <color rgb="001F3864"/>
      <sz val="14"/>
    </font>
    <font>
      <name val="Arial"/>
      <b val="1"/>
      <color rgb="001F3864"/>
      <sz val="11"/>
    </font>
    <font>
      <name val="Arial"/>
      <i val="1"/>
      <color rgb="00C00000"/>
      <sz val="10"/>
    </font>
  </fonts>
  <fills count="10">
    <fill>
      <patternFill/>
    </fill>
    <fill>
      <patternFill patternType="gray125"/>
    </fill>
    <fill>
      <patternFill patternType="solid">
        <fgColor rgb="00FFF2CC"/>
        <bgColor rgb="00FFF2CC"/>
      </patternFill>
    </fill>
    <fill>
      <patternFill patternType="solid">
        <fgColor rgb="00F2F2F2"/>
        <bgColor rgb="00F2F2F2"/>
      </patternFill>
    </fill>
    <fill>
      <patternFill patternType="solid">
        <fgColor rgb="00D9E2F3"/>
        <bgColor rgb="00D9E2F3"/>
      </patternFill>
    </fill>
    <fill>
      <patternFill patternType="solid">
        <fgColor rgb="001F3864"/>
        <bgColor rgb="001F3864"/>
      </patternFill>
    </fill>
    <fill>
      <patternFill patternType="solid">
        <fgColor rgb="00C6EFCE"/>
        <bgColor rgb="00C6EFCE"/>
      </patternFill>
    </fill>
    <fill>
      <patternFill patternType="solid">
        <fgColor rgb="00FFEB9C"/>
        <bgColor rgb="00FFEB9C"/>
      </patternFill>
    </fill>
    <fill>
      <patternFill patternType="solid">
        <fgColor rgb="00F8CBAD"/>
        <bgColor rgb="00F8CBAD"/>
      </patternFill>
    </fill>
    <fill>
      <patternFill patternType="solid">
        <fgColor rgb="00FF7C80"/>
        <bgColor rgb="00FF7C80"/>
      </patternFill>
    </fill>
  </fills>
  <borders count="6">
    <border>
      <left/>
      <right/>
      <top/>
      <bottom/>
      <diagonal/>
    </border>
    <border>
      <left style="thin">
        <color rgb="008EA9DB"/>
      </left>
      <right style="thin">
        <color rgb="008EA9DB"/>
      </right>
      <top style="thin">
        <color rgb="008EA9DB"/>
      </top>
      <bottom style="thin">
        <color rgb="008EA9DB"/>
      </bottom>
    </border>
    <border>
      <left/>
      <right/>
      <top style="thin">
        <color rgb="008EA9DB"/>
      </top>
      <bottom/>
      <diagonal/>
    </border>
    <border>
      <left/>
      <right style="thin">
        <color rgb="008EA9DB"/>
      </right>
      <top style="thin">
        <color rgb="008EA9DB"/>
      </top>
      <bottom/>
      <diagonal/>
    </border>
    <border>
      <left/>
      <right/>
      <top style="thin">
        <color rgb="008EA9DB"/>
      </top>
      <bottom style="thin">
        <color rgb="008EA9DB"/>
      </bottom>
      <diagonal/>
    </border>
    <border>
      <left/>
      <right style="thin">
        <color rgb="008EA9DB"/>
      </right>
      <top style="thin">
        <color rgb="008EA9DB"/>
      </top>
      <bottom style="thin">
        <color rgb="008EA9DB"/>
      </bottom>
      <diagonal/>
    </border>
  </borders>
  <cellStyleXfs count="1">
    <xf numFmtId="0" fontId="0" fillId="0" borderId="0"/>
  </cellStyleXfs>
  <cellXfs count="33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vertical="top" wrapText="1"/>
    </xf>
    <xf numFmtId="0" fontId="4" fillId="3" borderId="1" applyAlignment="1" pivotButton="0" quotePrefix="0" xfId="0">
      <alignment vertical="top" wrapText="1"/>
    </xf>
    <xf numFmtId="0" fontId="4" fillId="4" borderId="1" applyAlignment="1" pivotButton="0" quotePrefix="0" xfId="0">
      <alignment vertical="top" wrapText="1"/>
    </xf>
    <xf numFmtId="0" fontId="5" fillId="5" borderId="1" applyAlignment="1" pivotButton="0" quotePrefix="0" xfId="0">
      <alignment horizontal="center" vertical="center" wrapText="1"/>
    </xf>
    <xf numFmtId="0" fontId="0" fillId="0" borderId="4" pivotButton="0" quotePrefix="0" xfId="0"/>
    <xf numFmtId="0" fontId="0" fillId="0" borderId="5" pivotButton="0" quotePrefix="0" xfId="0"/>
    <xf numFmtId="0" fontId="3" fillId="4" borderId="1" applyAlignment="1" pivotButton="0" quotePrefix="0" xfId="0">
      <alignment vertical="top" wrapText="1"/>
    </xf>
    <xf numFmtId="0" fontId="3" fillId="0" borderId="1" applyAlignment="1" pivotButton="0" quotePrefix="0" xfId="0">
      <alignment vertical="top" wrapText="1"/>
    </xf>
    <xf numFmtId="0" fontId="4" fillId="0" borderId="1" applyAlignment="1" pivotButton="0" quotePrefix="0" xfId="0">
      <alignment vertical="top" wrapText="1"/>
    </xf>
    <xf numFmtId="164" fontId="4" fillId="2" borderId="1" applyAlignment="1" pivotButton="0" quotePrefix="0" xfId="0">
      <alignment vertical="top" wrapText="1"/>
    </xf>
    <xf numFmtId="0" fontId="6" fillId="2" borderId="1" applyAlignment="1" pivotButton="0" quotePrefix="0" xfId="0">
      <alignment vertical="top" wrapText="1"/>
    </xf>
    <xf numFmtId="0" fontId="4" fillId="0" borderId="0" pivotButton="0" quotePrefix="0" xfId="0"/>
    <xf numFmtId="0" fontId="7" fillId="0" borderId="0" applyAlignment="1" pivotButton="0" quotePrefix="0" xfId="0">
      <alignment horizontal="center" vertical="center" wrapText="1"/>
    </xf>
    <xf numFmtId="0" fontId="8" fillId="0" borderId="1" applyAlignment="1" pivotButton="0" quotePrefix="0" xfId="0">
      <alignment horizontal="center" vertical="center" wrapText="1"/>
    </xf>
    <xf numFmtId="0" fontId="3" fillId="6" borderId="1" applyAlignment="1" pivotButton="0" quotePrefix="0" xfId="0">
      <alignment vertical="top" wrapText="1"/>
    </xf>
    <xf numFmtId="0" fontId="4" fillId="2" borderId="1" applyAlignment="1" pivotButton="0" quotePrefix="0" xfId="0">
      <alignment horizontal="center" vertical="center" wrapText="1"/>
    </xf>
    <xf numFmtId="0" fontId="3" fillId="7" borderId="1" applyAlignment="1" pivotButton="0" quotePrefix="0" xfId="0">
      <alignment vertical="top" wrapText="1"/>
    </xf>
    <xf numFmtId="0" fontId="3" fillId="8" borderId="1" applyAlignment="1" pivotButton="0" quotePrefix="0" xfId="0">
      <alignment vertical="top" wrapText="1"/>
    </xf>
    <xf numFmtId="0" fontId="3" fillId="9" borderId="1" applyAlignment="1" pivotButton="0" quotePrefix="0" xfId="0">
      <alignment vertical="top" wrapText="1"/>
    </xf>
    <xf numFmtId="0" fontId="6" fillId="0" borderId="0" pivotButton="0" quotePrefix="0" xfId="0"/>
    <xf numFmtId="0" fontId="10" fillId="0" borderId="0" pivotButton="0" quotePrefix="0" xfId="0"/>
    <xf numFmtId="0" fontId="11" fillId="0" borderId="0" pivotButton="0" quotePrefix="0" xfId="0"/>
    <xf numFmtId="0" fontId="5" fillId="5" borderId="1" applyAlignment="1" pivotButton="0" quotePrefix="0" xfId="0">
      <alignment vertical="top" wrapText="1"/>
    </xf>
    <xf numFmtId="0" fontId="8" fillId="2" borderId="1" applyAlignment="1" pivotButton="0" quotePrefix="0" xfId="0">
      <alignment vertical="top" wrapText="1"/>
    </xf>
    <xf numFmtId="0" fontId="2" fillId="0" borderId="0" applyAlignment="1" pivotButton="0" quotePrefix="0" xfId="0">
      <alignment vertical="top" wrapText="1"/>
    </xf>
    <xf numFmtId="0" fontId="0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0" fontId="12" fillId="0" borderId="0" pivotButton="0" quotePrefix="0" xfId="0"/>
  </cellXfs>
  <cellStyles count="1">
    <cellStyle name="Normal" xfId="0" builtinId="0" hidden="0"/>
  </cellStyles>
  <dxfs count="4">
    <dxf>
      <fill>
        <patternFill patternType="solid">
          <fgColor rgb="00FF7C80"/>
          <bgColor rgb="00FF7C80"/>
        </patternFill>
      </fill>
    </dxf>
    <dxf>
      <fill>
        <patternFill patternType="solid">
          <fgColor rgb="00F8CBAD"/>
          <bgColor rgb="00F8CBAD"/>
        </patternFill>
      </fill>
    </dxf>
    <dxf>
      <fill>
        <patternFill patternType="solid">
          <fgColor rgb="00FFEB9C"/>
          <bgColor rgb="00FFEB9C"/>
        </patternFill>
      </fill>
    </dxf>
    <dxf>
      <fill>
        <patternFill patternType="solid">
          <fgColor rgb="00C6EFCE"/>
          <bgColor rgb="00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HAZOP</author>
  </authors>
  <commentList>
    <comment ref="C12" authorId="0" shapeId="0">
      <text>
        <t>Band thresholds are editable inputs (default for S x L matrix). Align with your company risk standard.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59"/>
  <sheetViews>
    <sheetView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34" customWidth="1" min="2" max="2"/>
    <col width="26" customWidth="1" min="3" max="3"/>
    <col width="26" customWidth="1" min="4" max="4"/>
    <col width="18" customWidth="1" min="5" max="5"/>
  </cols>
  <sheetData>
    <row r="1">
      <c r="A1" s="1" t="inlineStr">
        <is>
          <t>HAZOP STUDY WORKBOOK</t>
        </is>
      </c>
    </row>
    <row r="2">
      <c r="A2" s="2" t="inlineStr">
        <is>
          <t>Hazard and Operability Study – chemical, steel &amp; metals processes</t>
        </is>
      </c>
    </row>
    <row r="3">
      <c r="A3" s="3" t="inlineStr">
        <is>
          <t>MACRO-ENABLED VERSION – click 'Enable Content' / 'Enable Macros' when opening, otherwise multi-select causes and the safeguard dialog will not work.</t>
        </is>
      </c>
    </row>
    <row r="4">
      <c r="A4" s="4" t="inlineStr">
        <is>
          <t>Legend:</t>
        </is>
      </c>
      <c r="B4" s="5" t="inlineStr">
        <is>
          <t>Yellow = enter / select data</t>
        </is>
      </c>
      <c r="C4" s="6" t="inlineStr">
        <is>
          <t>Grey = formula (do not overwrite)</t>
        </is>
      </c>
      <c r="D4" s="7" t="inlineStr">
        <is>
          <t>Blue = returned from another sheet</t>
        </is>
      </c>
    </row>
    <row r="5"/>
    <row r="6">
      <c r="A6" s="8" t="inlineStr">
        <is>
          <t>STUDY DETAILS</t>
        </is>
      </c>
      <c r="B6" s="9" t="n"/>
      <c r="C6" s="9" t="n"/>
      <c r="D6" s="9" t="n"/>
      <c r="E6" s="10" t="n"/>
    </row>
    <row r="7">
      <c r="A7" s="11" t="inlineStr">
        <is>
          <t>Study title</t>
        </is>
      </c>
      <c r="B7" s="5" t="inlineStr">
        <is>
          <t>PHA / HAZOP – Natural gas distribution network (worked example)</t>
        </is>
      </c>
      <c r="C7" s="9" t="n"/>
      <c r="D7" s="9" t="n"/>
      <c r="E7" s="10" t="n"/>
    </row>
    <row r="8">
      <c r="A8" s="11" t="inlineStr">
        <is>
          <t>Company / site</t>
        </is>
      </c>
      <c r="B8" s="5" t="inlineStr">
        <is>
          <t>Hadeed – integrated DRI-EAF steel works (illustrative example)</t>
        </is>
      </c>
      <c r="C8" s="9" t="n"/>
      <c r="D8" s="9" t="n"/>
      <c r="E8" s="10" t="n"/>
    </row>
    <row r="9">
      <c r="A9" s="11" t="inlineStr">
        <is>
          <t>Plant / unit / area</t>
        </is>
      </c>
      <c r="B9" s="5" t="inlineStr">
        <is>
          <t>Utilities – natural gas receiving, pressure reduction and plant distribution</t>
        </is>
      </c>
      <c r="C9" s="9" t="n"/>
      <c r="D9" s="9" t="n"/>
      <c r="E9" s="10" t="n"/>
    </row>
    <row r="10">
      <c r="A10" s="11" t="inlineStr">
        <is>
          <t>Project / MOC reference</t>
        </is>
      </c>
      <c r="B10" s="5" t="inlineStr">
        <is>
          <t>PHA revalidation – plant natural gas network</t>
        </is>
      </c>
      <c r="C10" s="9" t="n"/>
      <c r="D10" s="9" t="n"/>
      <c r="E10" s="10" t="n"/>
    </row>
    <row r="11">
      <c r="A11" s="11" t="inlineStr">
        <is>
          <t>Study type</t>
        </is>
      </c>
      <c r="B11" s="5" t="inlineStr">
        <is>
          <t>HAZOP – revalidation</t>
        </is>
      </c>
      <c r="C11" s="9" t="n"/>
      <c r="D11" s="9" t="n"/>
      <c r="E11" s="10" t="n"/>
    </row>
    <row r="12">
      <c r="A12" s="11" t="inlineStr">
        <is>
          <t>Document number</t>
        </is>
      </c>
      <c r="B12" s="5" t="inlineStr">
        <is>
          <t>HZ-EX-GN-001</t>
        </is>
      </c>
      <c r="C12" s="9" t="n"/>
      <c r="D12" s="9" t="n"/>
      <c r="E12" s="10" t="n"/>
    </row>
    <row r="13">
      <c r="A13" s="11" t="inlineStr">
        <is>
          <t>Revision</t>
        </is>
      </c>
      <c r="B13" s="5" t="inlineStr">
        <is>
          <t>A</t>
        </is>
      </c>
      <c r="C13" s="9" t="n"/>
      <c r="D13" s="9" t="n"/>
      <c r="E13" s="10" t="n"/>
    </row>
    <row r="14">
      <c r="A14" s="11" t="inlineStr">
        <is>
          <t>Study start date</t>
        </is>
      </c>
      <c r="B14" s="5" t="inlineStr">
        <is>
          <t>2026-10-12</t>
        </is>
      </c>
      <c r="C14" s="9" t="n"/>
      <c r="D14" s="9" t="n"/>
      <c r="E14" s="10" t="n"/>
    </row>
    <row r="15">
      <c r="A15" s="11" t="inlineStr">
        <is>
          <t>Study end date</t>
        </is>
      </c>
      <c r="B15" s="5" t="inlineStr">
        <is>
          <t>2026-10-14</t>
        </is>
      </c>
      <c r="C15" s="9" t="n"/>
      <c r="D15" s="9" t="n"/>
      <c r="E15" s="10" t="n"/>
    </row>
    <row r="16">
      <c r="A16" s="11" t="inlineStr">
        <is>
          <t>Venue / platform</t>
        </is>
      </c>
      <c r="B16" s="5" t="inlineStr">
        <is>
          <t>Utilities training room</t>
        </is>
      </c>
      <c r="C16" s="9" t="n"/>
      <c r="D16" s="9" t="n"/>
      <c r="E16" s="10" t="n"/>
    </row>
    <row r="17" ht="45" customHeight="1">
      <c r="A17" s="11" t="inlineStr">
        <is>
          <t>Scope of study</t>
        </is>
      </c>
      <c r="B17" s="5" t="inlineStr">
        <is>
          <t>Natural gas from the supplier's custody-transfer battery limit through the gas receiving &amp; metering station (GRMS), gas heaters and pressure reduction station PRS-1, the 7 barg MP ring main, the district stations and fuel trains of the DRI plant (DS-2), melt shop (DS-3) and rolling-mill reheat furnace (DS-4 / fuel train), the purge / vent / blowdown facilities, and the gas detection &amp; ESD system protecting the network.</t>
        </is>
      </c>
      <c r="C17" s="9" t="n"/>
      <c r="D17" s="9" t="n"/>
      <c r="E17" s="10" t="n"/>
    </row>
    <row r="18" ht="45" customHeight="1">
      <c r="A18" s="11" t="inlineStr">
        <is>
          <t>Exclusions</t>
        </is>
      </c>
      <c r="B18" s="5" t="inlineStr">
        <is>
          <t>Supplier pipeline upstream of ESDV-1001; burner internals and combustion inside the DRI reformer (covered by the DRI plant HAZOP); oxygen plant and O2 distribution (except the NG/O2 interface at oxy-fuel burners); plant N2 generation.</t>
        </is>
      </c>
      <c r="C18" s="9" t="n"/>
      <c r="D18" s="9" t="n"/>
      <c r="E18" s="10" t="n"/>
    </row>
    <row r="19" ht="45" customHeight="1">
      <c r="A19" s="11" t="inlineStr">
        <is>
          <t>Design basis / design intent summary</t>
        </is>
      </c>
      <c r="B19" s="5" t="inlineStr">
        <is>
          <t>Receive natural gas at 35–42 barg (pipeline MAOP 50 barg), filter, meter and heat it, reduce it to 7 barg (MP header design 10 barg) and distribute it to the plant users at the pressure and quality they need, without loss of containment. All values are illustrative – confirm against the gas network design basis, P&amp;IDs and relief / SIL studies.</t>
        </is>
      </c>
      <c r="C19" s="9" t="n"/>
      <c r="D19" s="9" t="n"/>
      <c r="E19" s="10" t="n"/>
    </row>
    <row r="20">
      <c r="A20" s="11" t="inlineStr">
        <is>
          <t>Operating modes covered</t>
        </is>
      </c>
      <c r="B20" s="5" t="inlineStr">
        <is>
          <t>Normal operation, start-up / re-pressurisation after supply interruption, regulator-run change-over, pigging, purging and gas-in / gas-out for maintenance, emergency shutdown</t>
        </is>
      </c>
      <c r="C20" s="9" t="n"/>
      <c r="D20" s="9" t="n"/>
      <c r="E20" s="10" t="n"/>
    </row>
    <row r="21">
      <c r="A21" s="11" t="inlineStr">
        <is>
          <t>Facilitator</t>
        </is>
      </c>
      <c r="B21" s="5" t="inlineStr">
        <is>
          <t>A. Facilitator</t>
        </is>
      </c>
      <c r="C21" s="9" t="n"/>
      <c r="D21" s="9" t="n"/>
      <c r="E21" s="10" t="n"/>
    </row>
    <row r="22">
      <c r="A22" s="11" t="inlineStr">
        <is>
          <t>Scribe</t>
        </is>
      </c>
      <c r="B22" s="5" t="inlineStr">
        <is>
          <t>B. Scribe</t>
        </is>
      </c>
      <c r="C22" s="9" t="n"/>
      <c r="D22" s="9" t="n"/>
      <c r="E22" s="10" t="n"/>
    </row>
    <row r="23">
      <c r="A23" s="11" t="inlineStr">
        <is>
          <t>Risk matrix used</t>
        </is>
      </c>
      <c r="B23" s="5" t="inlineStr">
        <is>
          <t>5 x 5 matrix – see 'Risk Matrix' sheet</t>
        </is>
      </c>
      <c r="C23" s="9" t="n"/>
      <c r="D23" s="9" t="n"/>
      <c r="E23" s="10" t="n"/>
    </row>
    <row r="24">
      <c r="A24" s="11" t="inlineStr">
        <is>
          <t>Guideword set</t>
        </is>
      </c>
      <c r="B24" s="5" t="inlineStr">
        <is>
          <t>HAZOP Guidewords – Chemical, Steel &amp; Metals (see 'Lists' sheet)</t>
        </is>
      </c>
      <c r="C24" s="9" t="n"/>
      <c r="D24" s="9" t="n"/>
      <c r="E24" s="10" t="n"/>
    </row>
    <row r="25">
      <c r="A25" s="11" t="inlineStr">
        <is>
          <t>Number of nodes</t>
        </is>
      </c>
      <c r="B25" s="6">
        <f>COUNTA(Nodes!B5:B34)</f>
        <v/>
      </c>
      <c r="C25" s="9" t="n"/>
      <c r="D25" s="9" t="n"/>
      <c r="E25" s="10" t="n"/>
    </row>
    <row r="26"/>
    <row r="27">
      <c r="A27" s="8" t="inlineStr">
        <is>
          <t>STUDY TEAM</t>
        </is>
      </c>
      <c r="B27" s="9" t="n"/>
      <c r="C27" s="9" t="n"/>
      <c r="D27" s="9" t="n"/>
      <c r="E27" s="10" t="n"/>
    </row>
    <row r="28">
      <c r="A28" s="8" t="inlineStr">
        <is>
          <t>Name</t>
        </is>
      </c>
      <c r="B28" s="8" t="inlineStr">
        <is>
          <t>Company</t>
        </is>
      </c>
      <c r="C28" s="8" t="inlineStr">
        <is>
          <t>Discipline / role</t>
        </is>
      </c>
      <c r="D28" s="8" t="inlineStr">
        <is>
          <t>Sessions / days attended</t>
        </is>
      </c>
      <c r="E28" s="8" t="inlineStr">
        <is>
          <t>Signature</t>
        </is>
      </c>
    </row>
    <row r="29">
      <c r="A29" s="5" t="inlineStr">
        <is>
          <t>A. Facilitator</t>
        </is>
      </c>
      <c r="B29" s="5" t="inlineStr">
        <is>
          <t>Istec</t>
        </is>
      </c>
      <c r="C29" s="5" t="inlineStr">
        <is>
          <t>Facilitator</t>
        </is>
      </c>
      <c r="D29" s="5" t="inlineStr">
        <is>
          <t>Days 1–3</t>
        </is>
      </c>
      <c r="E29" s="5" t="n"/>
    </row>
    <row r="30">
      <c r="A30" s="5" t="inlineStr">
        <is>
          <t>B. Scribe</t>
        </is>
      </c>
      <c r="B30" s="5" t="inlineStr">
        <is>
          <t>Istec</t>
        </is>
      </c>
      <c r="C30" s="5" t="inlineStr">
        <is>
          <t>Scribe</t>
        </is>
      </c>
      <c r="D30" s="5" t="inlineStr">
        <is>
          <t>Days 1–3</t>
        </is>
      </c>
      <c r="E30" s="5" t="n"/>
    </row>
    <row r="31">
      <c r="A31" s="5" t="inlineStr">
        <is>
          <t>C. Gas Network</t>
        </is>
      </c>
      <c r="B31" s="5" t="inlineStr">
        <is>
          <t>Utilities</t>
        </is>
      </c>
      <c r="C31" s="5" t="inlineStr">
        <is>
          <t>Process engineer</t>
        </is>
      </c>
      <c r="D31" s="5" t="inlineStr">
        <is>
          <t>Days 1–3</t>
        </is>
      </c>
      <c r="E31" s="5" t="n"/>
    </row>
    <row r="32">
      <c r="A32" s="5" t="inlineStr">
        <is>
          <t>D. Operator</t>
        </is>
      </c>
      <c r="B32" s="5" t="inlineStr">
        <is>
          <t>Utilities</t>
        </is>
      </c>
      <c r="C32" s="5" t="inlineStr">
        <is>
          <t>Operations representative</t>
        </is>
      </c>
      <c r="D32" s="5" t="inlineStr">
        <is>
          <t>Days 1–3</t>
        </is>
      </c>
      <c r="E32" s="5" t="n"/>
    </row>
    <row r="33">
      <c r="A33" s="5" t="inlineStr">
        <is>
          <t>E. Instrument</t>
        </is>
      </c>
      <c r="B33" s="5" t="inlineStr">
        <is>
          <t>Maintenance</t>
        </is>
      </c>
      <c r="C33" s="5" t="inlineStr">
        <is>
          <t>Instrument / control engineer</t>
        </is>
      </c>
      <c r="D33" s="5" t="inlineStr">
        <is>
          <t>Days 1–3</t>
        </is>
      </c>
      <c r="E33" s="5" t="n"/>
    </row>
    <row r="34">
      <c r="A34" s="5" t="inlineStr">
        <is>
          <t>F. Mechanical</t>
        </is>
      </c>
      <c r="B34" s="5" t="inlineStr">
        <is>
          <t>Maintenance</t>
        </is>
      </c>
      <c r="C34" s="5" t="inlineStr">
        <is>
          <t>Mechanical engineer</t>
        </is>
      </c>
      <c r="D34" s="5" t="inlineStr">
        <is>
          <t>Days 1–2</t>
        </is>
      </c>
      <c r="E34" s="5" t="n"/>
    </row>
    <row r="35">
      <c r="A35" s="5" t="inlineStr">
        <is>
          <t>G. Safety</t>
        </is>
      </c>
      <c r="B35" s="5" t="inlineStr">
        <is>
          <t>HSE</t>
        </is>
      </c>
      <c r="C35" s="5" t="inlineStr">
        <is>
          <t>HSE / process safety</t>
        </is>
      </c>
      <c r="D35" s="5" t="inlineStr">
        <is>
          <t>Days 1–3</t>
        </is>
      </c>
      <c r="E35" s="5" t="n"/>
    </row>
    <row r="36">
      <c r="A36" s="5" t="inlineStr">
        <is>
          <t>H. Furnace</t>
        </is>
      </c>
      <c r="B36" s="5" t="inlineStr">
        <is>
          <t>Rolling mill</t>
        </is>
      </c>
      <c r="C36" s="5" t="inlineStr">
        <is>
          <t>Operations representative</t>
        </is>
      </c>
      <c r="D36" s="5" t="inlineStr">
        <is>
          <t>Day 3</t>
        </is>
      </c>
      <c r="E36" s="5" t="n"/>
    </row>
    <row r="37">
      <c r="A37" s="5" t="inlineStr">
        <is>
          <t>I. DRI</t>
        </is>
      </c>
      <c r="B37" s="5" t="inlineStr">
        <is>
          <t>DRI plant</t>
        </is>
      </c>
      <c r="C37" s="5" t="inlineStr">
        <is>
          <t>Process engineer</t>
        </is>
      </c>
      <c r="D37" s="5" t="inlineStr">
        <is>
          <t>Day 2</t>
        </is>
      </c>
      <c r="E37" s="5" t="n"/>
    </row>
    <row r="38">
      <c r="A38" s="5" t="n"/>
      <c r="B38" s="5" t="n"/>
      <c r="C38" s="5" t="n"/>
      <c r="D38" s="5" t="n"/>
      <c r="E38" s="5" t="n"/>
    </row>
    <row r="39">
      <c r="A39" s="5" t="n"/>
      <c r="B39" s="5" t="n"/>
      <c r="C39" s="5" t="n"/>
      <c r="D39" s="5" t="n"/>
      <c r="E39" s="5" t="n"/>
    </row>
    <row r="40">
      <c r="A40" s="5" t="n"/>
      <c r="B40" s="5" t="n"/>
      <c r="C40" s="5" t="n"/>
      <c r="D40" s="5" t="n"/>
      <c r="E40" s="5" t="n"/>
    </row>
    <row r="41"/>
    <row r="42">
      <c r="A42" s="8" t="inlineStr">
        <is>
          <t>APPROVAL</t>
        </is>
      </c>
      <c r="B42" s="9" t="n"/>
      <c r="C42" s="9" t="n"/>
      <c r="D42" s="9" t="n"/>
      <c r="E42" s="10" t="n"/>
    </row>
    <row r="43">
      <c r="A43" s="8" t="inlineStr"/>
      <c r="B43" s="8" t="inlineStr">
        <is>
          <t>Name</t>
        </is>
      </c>
      <c r="C43" s="8" t="inlineStr">
        <is>
          <t>Position</t>
        </is>
      </c>
      <c r="D43" s="8" t="inlineStr">
        <is>
          <t>Signature</t>
        </is>
      </c>
      <c r="E43" s="8" t="inlineStr">
        <is>
          <t>Date</t>
        </is>
      </c>
    </row>
    <row r="44">
      <c r="A44" s="11" t="inlineStr">
        <is>
          <t>Prepared by</t>
        </is>
      </c>
      <c r="B44" s="5" t="n"/>
      <c r="C44" s="5" t="n"/>
      <c r="D44" s="5" t="n"/>
      <c r="E44" s="5" t="n"/>
    </row>
    <row r="45">
      <c r="A45" s="11" t="inlineStr">
        <is>
          <t>Reviewed by</t>
        </is>
      </c>
      <c r="B45" s="5" t="n"/>
      <c r="C45" s="5" t="n"/>
      <c r="D45" s="5" t="n"/>
      <c r="E45" s="5" t="n"/>
    </row>
    <row r="46">
      <c r="A46" s="11" t="inlineStr">
        <is>
          <t>Approved by</t>
        </is>
      </c>
      <c r="B46" s="5" t="n"/>
      <c r="C46" s="5" t="n"/>
      <c r="D46" s="5" t="n"/>
      <c r="E46" s="5" t="n"/>
    </row>
    <row r="47"/>
    <row r="48">
      <c r="A48" s="8" t="inlineStr">
        <is>
          <t>WORKBOOK CONTENTS</t>
        </is>
      </c>
      <c r="B48" s="9" t="n"/>
      <c r="C48" s="9" t="n"/>
      <c r="D48" s="9" t="n"/>
      <c r="E48" s="10" t="n"/>
    </row>
    <row r="49">
      <c r="A49" s="12" t="inlineStr">
        <is>
          <t>Cover</t>
        </is>
      </c>
      <c r="B49" s="13" t="inlineStr">
        <is>
          <t>Study details, team, approval</t>
        </is>
      </c>
      <c r="C49" s="9" t="n"/>
      <c r="D49" s="9" t="n"/>
      <c r="E49" s="10" t="n"/>
    </row>
    <row r="50">
      <c r="A50" s="12" t="inlineStr">
        <is>
          <t>PSI</t>
        </is>
      </c>
      <c r="B50" s="13" t="inlineStr">
        <is>
          <t>Process safety information register – drawings, procedures, data used in the study</t>
        </is>
      </c>
      <c r="C50" s="9" t="n"/>
      <c r="D50" s="9" t="n"/>
      <c r="E50" s="10" t="n"/>
    </row>
    <row r="51">
      <c r="A51" s="12" t="inlineStr">
        <is>
          <t>Nodes</t>
        </is>
      </c>
      <c r="B51" s="13" t="inlineStr">
        <is>
          <t>Node list: name, drawings, battery limits, functional description, design and operating parameters</t>
        </is>
      </c>
      <c r="C51" s="9" t="n"/>
      <c r="D51" s="9" t="n"/>
      <c r="E51" s="10" t="n"/>
    </row>
    <row r="52">
      <c r="A52" s="12" t="inlineStr">
        <is>
          <t>Lists</t>
        </is>
      </c>
      <c r="B52" s="13" t="inlineStr">
        <is>
          <t>Drop-down sources: parameters, guidewords, potential causes, PSI categories (editable)</t>
        </is>
      </c>
      <c r="C52" s="9" t="n"/>
      <c r="D52" s="9" t="n"/>
      <c r="E52" s="10" t="n"/>
    </row>
    <row r="53">
      <c r="A53" s="12" t="inlineStr">
        <is>
          <t>Risk Matrix</t>
        </is>
      </c>
      <c r="B53" s="13" t="inlineStr">
        <is>
          <t>5 x 5 severity x likelihood matrix (scores 1–25), descriptors and risk bands (editable)</t>
        </is>
      </c>
      <c r="C53" s="9" t="n"/>
      <c r="D53" s="9" t="n"/>
      <c r="E53" s="10" t="n"/>
    </row>
    <row r="54">
      <c r="A54" s="12" t="inlineStr">
        <is>
          <t>Node 01 … Node 10</t>
        </is>
      </c>
      <c r="B54" s="13" t="inlineStr">
        <is>
          <t>One worksheet per node – one row per deviation. Macros: AddNodeSheet (new node sheet), AddSafeguard (or double-click a Safeguards cell).</t>
        </is>
      </c>
      <c r="C54" s="9" t="n"/>
      <c r="D54" s="9" t="n"/>
      <c r="E54" s="10" t="n"/>
    </row>
    <row r="55"/>
    <row r="56"/>
    <row r="57"/>
    <row r="58"/>
    <row r="59"/>
  </sheetData>
  <mergeCells count="29">
    <mergeCell ref="B9:E9"/>
    <mergeCell ref="A48:E48"/>
    <mergeCell ref="B49:E49"/>
    <mergeCell ref="B15:E15"/>
    <mergeCell ref="B24:E24"/>
    <mergeCell ref="B51:E51"/>
    <mergeCell ref="B20:E20"/>
    <mergeCell ref="A6:E6"/>
    <mergeCell ref="B50:E50"/>
    <mergeCell ref="B16:E16"/>
    <mergeCell ref="B54:E54"/>
    <mergeCell ref="B7:E7"/>
    <mergeCell ref="B25:E25"/>
    <mergeCell ref="B22:E22"/>
    <mergeCell ref="A27:E27"/>
    <mergeCell ref="B18:E18"/>
    <mergeCell ref="B12:E12"/>
    <mergeCell ref="A42:E42"/>
    <mergeCell ref="B52:E52"/>
    <mergeCell ref="B21:E21"/>
    <mergeCell ref="B11:E11"/>
    <mergeCell ref="B14:E14"/>
    <mergeCell ref="B17:E17"/>
    <mergeCell ref="B23:E23"/>
    <mergeCell ref="B8:E8"/>
    <mergeCell ref="B53:E53"/>
    <mergeCell ref="B13:E13"/>
    <mergeCell ref="B19:E19"/>
    <mergeCell ref="B10:E10"/>
  </mergeCells>
  <dataValidations count="2">
    <dataValidation sqref="B11" showDropDown="0" showInputMessage="0" showErrorMessage="1" allowBlank="1" errorTitle="Not in list" error="Entry is not in the list – it will be accepted as free text." type="list" errorStyle="information">
      <formula1>"HAZOP – new design,HAZOP – modification / MOC,HAZOP – revalidation,HAZOP – procedural / batch"</formula1>
    </dataValidation>
    <dataValidation sqref="C29:C40" showDropDown="0" showInputMessage="0" showErrorMessage="1" allowBlank="1" errorTitle="Not in list" error="Entry is not in the list – it will be accepted as free text." type="list" errorStyle="information">
      <formula1>"Facilitator,Scribe,Process engineer,Operations representative,Instrument / control engineer,Mechanical engineer,Electrical engineer,Maintenance,HSE / process safety,Vendor specialist,Metallurgist,Other"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J54"/>
  <sheetViews>
    <sheetView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min="1" max="1"/>
    <col width="24" customWidth="1" min="2" max="2"/>
    <col width="20" customWidth="1" min="3" max="3"/>
    <col width="46" customWidth="1" min="4" max="4"/>
    <col width="9" customWidth="1" min="5" max="5"/>
    <col width="12" customWidth="1" min="6" max="6"/>
    <col width="18" customWidth="1" min="7" max="7"/>
    <col width="14" customWidth="1" min="8" max="8"/>
    <col width="16" customWidth="1" min="9" max="9"/>
    <col width="34" customWidth="1" min="10" max="10"/>
  </cols>
  <sheetData>
    <row r="1">
      <c r="A1" s="1" t="inlineStr">
        <is>
          <t>PROCESS SAFETY INFORMATION REGISTER</t>
        </is>
      </c>
    </row>
    <row r="2">
      <c r="A2" s="2" t="inlineStr">
        <is>
          <t>List every drawing, procedure and data source used by the team. Pre-filled with a typical checklist – delete or add rows as required.</t>
        </is>
      </c>
    </row>
    <row r="4">
      <c r="A4" s="8" t="inlineStr">
        <is>
          <t>Ref</t>
        </is>
      </c>
      <c r="B4" s="8" t="inlineStr">
        <is>
          <t>Category</t>
        </is>
      </c>
      <c r="C4" s="8" t="inlineStr">
        <is>
          <t>Document number</t>
        </is>
      </c>
      <c r="D4" s="8" t="inlineStr">
        <is>
          <t>Title / description</t>
        </is>
      </c>
      <c r="E4" s="8" t="inlineStr">
        <is>
          <t>Revision</t>
        </is>
      </c>
      <c r="F4" s="8" t="inlineStr">
        <is>
          <t>Date</t>
        </is>
      </c>
      <c r="G4" s="8" t="inlineStr">
        <is>
          <t>Owner / custodian</t>
        </is>
      </c>
      <c r="H4" s="8" t="inlineStr">
        <is>
          <t>Status</t>
        </is>
      </c>
      <c r="I4" s="8" t="inlineStr">
        <is>
          <t>Applicable nodes</t>
        </is>
      </c>
      <c r="J4" s="8" t="inlineStr">
        <is>
          <t>Comments</t>
        </is>
      </c>
    </row>
    <row r="5">
      <c r="A5" s="13" t="inlineStr">
        <is>
          <t>PSI-01</t>
        </is>
      </c>
      <c r="B5" s="5" t="inlineStr">
        <is>
          <t>Drawings</t>
        </is>
      </c>
      <c r="C5" s="5" t="inlineStr">
        <is>
          <t>P&amp;ID-GN-1001</t>
        </is>
      </c>
      <c r="D5" s="5" t="inlineStr">
        <is>
          <t>Gas receiving &amp; metering station (GRMS) P&amp;ID</t>
        </is>
      </c>
      <c r="E5" s="5" t="inlineStr">
        <is>
          <t>A</t>
        </is>
      </c>
      <c r="F5" s="14" t="n"/>
      <c r="G5" s="5" t="inlineStr">
        <is>
          <t>Utilities</t>
        </is>
      </c>
      <c r="H5" s="5" t="inlineStr">
        <is>
          <t>Available</t>
        </is>
      </c>
      <c r="I5" s="5" t="inlineStr">
        <is>
          <t>N01</t>
        </is>
      </c>
      <c r="J5" s="5" t="inlineStr"/>
    </row>
    <row r="6">
      <c r="A6" s="13" t="inlineStr">
        <is>
          <t>PSI-02</t>
        </is>
      </c>
      <c r="B6" s="5" t="inlineStr">
        <is>
          <t>Drawings</t>
        </is>
      </c>
      <c r="C6" s="5" t="inlineStr">
        <is>
          <t>P&amp;ID-GN-1101</t>
        </is>
      </c>
      <c r="D6" s="5" t="inlineStr">
        <is>
          <t>Gas heaters and pressure reduction station PRS-1 P&amp;ID</t>
        </is>
      </c>
      <c r="E6" s="5" t="inlineStr">
        <is>
          <t>A</t>
        </is>
      </c>
      <c r="F6" s="14" t="n"/>
      <c r="G6" s="5" t="inlineStr">
        <is>
          <t>Utilities</t>
        </is>
      </c>
      <c r="H6" s="5" t="inlineStr">
        <is>
          <t>Available</t>
        </is>
      </c>
      <c r="I6" s="5" t="inlineStr">
        <is>
          <t>N02</t>
        </is>
      </c>
      <c r="J6" s="5" t="inlineStr"/>
    </row>
    <row r="7">
      <c r="A7" s="13" t="inlineStr">
        <is>
          <t>PSI-03</t>
        </is>
      </c>
      <c r="B7" s="5" t="inlineStr">
        <is>
          <t>Drawings</t>
        </is>
      </c>
      <c r="C7" s="5" t="inlineStr">
        <is>
          <t>P&amp;ID-GN-1201/1202</t>
        </is>
      </c>
      <c r="D7" s="5" t="inlineStr">
        <is>
          <t>MP ring main and pipe-rack routing</t>
        </is>
      </c>
      <c r="E7" s="5" t="inlineStr">
        <is>
          <t>A</t>
        </is>
      </c>
      <c r="F7" s="14" t="n"/>
      <c r="G7" s="5" t="inlineStr">
        <is>
          <t>Utilities</t>
        </is>
      </c>
      <c r="H7" s="5" t="inlineStr">
        <is>
          <t>Available</t>
        </is>
      </c>
      <c r="I7" s="5" t="inlineStr">
        <is>
          <t>N03</t>
        </is>
      </c>
      <c r="J7" s="5" t="inlineStr"/>
    </row>
    <row r="8">
      <c r="A8" s="13" t="inlineStr">
        <is>
          <t>PSI-04</t>
        </is>
      </c>
      <c r="B8" s="5" t="inlineStr">
        <is>
          <t>Drawings</t>
        </is>
      </c>
      <c r="C8" s="5" t="inlineStr">
        <is>
          <t>P&amp;ID-GN-2001</t>
        </is>
      </c>
      <c r="D8" s="5" t="inlineStr">
        <is>
          <t>DRI plant district station DS-2</t>
        </is>
      </c>
      <c r="E8" s="5" t="inlineStr">
        <is>
          <t>A</t>
        </is>
      </c>
      <c r="F8" s="14" t="n"/>
      <c r="G8" s="5" t="inlineStr">
        <is>
          <t>Utilities</t>
        </is>
      </c>
      <c r="H8" s="5" t="inlineStr">
        <is>
          <t>Available</t>
        </is>
      </c>
      <c r="I8" s="5" t="inlineStr">
        <is>
          <t>N04</t>
        </is>
      </c>
      <c r="J8" s="5" t="inlineStr"/>
    </row>
    <row r="9">
      <c r="A9" s="13" t="inlineStr">
        <is>
          <t>PSI-05</t>
        </is>
      </c>
      <c r="B9" s="5" t="inlineStr">
        <is>
          <t>Drawings</t>
        </is>
      </c>
      <c r="C9" s="5" t="inlineStr">
        <is>
          <t>P&amp;ID-GN-3001</t>
        </is>
      </c>
      <c r="D9" s="5" t="inlineStr">
        <is>
          <t>Melt shop district station DS-3, oxy-fuel burners and ladle preheaters</t>
        </is>
      </c>
      <c r="E9" s="5" t="inlineStr">
        <is>
          <t>A</t>
        </is>
      </c>
      <c r="F9" s="14" t="n"/>
      <c r="G9" s="5" t="inlineStr">
        <is>
          <t>Utilities</t>
        </is>
      </c>
      <c r="H9" s="5" t="inlineStr">
        <is>
          <t>Available</t>
        </is>
      </c>
      <c r="I9" s="5" t="inlineStr">
        <is>
          <t>N05</t>
        </is>
      </c>
      <c r="J9" s="5" t="inlineStr"/>
    </row>
    <row r="10">
      <c r="A10" s="13" t="inlineStr">
        <is>
          <t>PSI-06</t>
        </is>
      </c>
      <c r="B10" s="5" t="inlineStr">
        <is>
          <t>Drawings</t>
        </is>
      </c>
      <c r="C10" s="5" t="inlineStr">
        <is>
          <t>P&amp;ID-GN-4001</t>
        </is>
      </c>
      <c r="D10" s="5" t="inlineStr">
        <is>
          <t>Rolling-mill reheat furnace fuel gas train and BMS</t>
        </is>
      </c>
      <c r="E10" s="5" t="inlineStr">
        <is>
          <t>A</t>
        </is>
      </c>
      <c r="F10" s="14" t="n"/>
      <c r="G10" s="5" t="inlineStr">
        <is>
          <t>Utilities</t>
        </is>
      </c>
      <c r="H10" s="5" t="inlineStr">
        <is>
          <t>Available</t>
        </is>
      </c>
      <c r="I10" s="5" t="inlineStr">
        <is>
          <t>N06</t>
        </is>
      </c>
      <c r="J10" s="5" t="inlineStr"/>
    </row>
    <row r="11">
      <c r="A11" s="13" t="inlineStr">
        <is>
          <t>PSI-07</t>
        </is>
      </c>
      <c r="B11" s="5" t="inlineStr">
        <is>
          <t>Drawings</t>
        </is>
      </c>
      <c r="C11" s="5" t="inlineStr">
        <is>
          <t>P&amp;ID-GN-1301</t>
        </is>
      </c>
      <c r="D11" s="5" t="inlineStr">
        <is>
          <t>Vent stack, blowdown and N2 purge connections</t>
        </is>
      </c>
      <c r="E11" s="5" t="inlineStr">
        <is>
          <t>A</t>
        </is>
      </c>
      <c r="F11" s="14" t="n"/>
      <c r="G11" s="5" t="inlineStr">
        <is>
          <t>Utilities</t>
        </is>
      </c>
      <c r="H11" s="5" t="inlineStr">
        <is>
          <t>Available</t>
        </is>
      </c>
      <c r="I11" s="5" t="inlineStr">
        <is>
          <t>N07</t>
        </is>
      </c>
      <c r="J11" s="5" t="inlineStr"/>
    </row>
    <row r="12">
      <c r="A12" s="13" t="inlineStr">
        <is>
          <t>PSI-08</t>
        </is>
      </c>
      <c r="B12" s="5" t="inlineStr">
        <is>
          <t>Drawings</t>
        </is>
      </c>
      <c r="C12" s="5" t="inlineStr">
        <is>
          <t>C&amp;E-GN-1000</t>
        </is>
      </c>
      <c r="D12" s="5" t="inlineStr">
        <is>
          <t>ESD / F&amp;G cause-and-effect charts</t>
        </is>
      </c>
      <c r="E12" s="5" t="inlineStr">
        <is>
          <t>A</t>
        </is>
      </c>
      <c r="F12" s="14" t="n"/>
      <c r="G12" s="5" t="inlineStr">
        <is>
          <t>Utilities</t>
        </is>
      </c>
      <c r="H12" s="5" t="inlineStr">
        <is>
          <t>Available</t>
        </is>
      </c>
      <c r="I12" s="5" t="inlineStr">
        <is>
          <t>N01, N02, N08</t>
        </is>
      </c>
      <c r="J12" s="5" t="inlineStr"/>
    </row>
    <row r="13">
      <c r="A13" s="13" t="inlineStr">
        <is>
          <t>PSI-09</t>
        </is>
      </c>
      <c r="B13" s="5" t="inlineStr">
        <is>
          <t>Drawings</t>
        </is>
      </c>
      <c r="C13" s="5" t="inlineStr">
        <is>
          <t>HAC-GN-001</t>
        </is>
      </c>
      <c r="D13" s="5" t="inlineStr">
        <is>
          <t>Hazardous area classification – gas network</t>
        </is>
      </c>
      <c r="E13" s="5" t="inlineStr">
        <is>
          <t>A</t>
        </is>
      </c>
      <c r="F13" s="14" t="n"/>
      <c r="G13" s="5" t="inlineStr">
        <is>
          <t>Utilities</t>
        </is>
      </c>
      <c r="H13" s="5" t="inlineStr">
        <is>
          <t>Available</t>
        </is>
      </c>
      <c r="I13" s="5" t="inlineStr">
        <is>
          <t>N01, N02, N03, N07</t>
        </is>
      </c>
      <c r="J13" s="5" t="inlineStr"/>
    </row>
    <row r="14">
      <c r="A14" s="13" t="inlineStr">
        <is>
          <t>PSI-10</t>
        </is>
      </c>
      <c r="B14" s="5" t="inlineStr">
        <is>
          <t>Process technology</t>
        </is>
      </c>
      <c r="C14" s="5" t="inlineStr">
        <is>
          <t>DB-GN-001</t>
        </is>
      </c>
      <c r="D14" s="5" t="inlineStr">
        <is>
          <t>Gas network design basis (pressures, set points, MDMT)</t>
        </is>
      </c>
      <c r="E14" s="5" t="inlineStr">
        <is>
          <t>A</t>
        </is>
      </c>
      <c r="F14" s="14" t="n"/>
      <c r="G14" s="5" t="inlineStr">
        <is>
          <t>Utilities</t>
        </is>
      </c>
      <c r="H14" s="5" t="inlineStr">
        <is>
          <t>Available</t>
        </is>
      </c>
      <c r="I14" s="5" t="inlineStr">
        <is>
          <t>N01, N02, N03</t>
        </is>
      </c>
      <c r="J14" s="5" t="inlineStr"/>
    </row>
    <row r="15">
      <c r="A15" s="13" t="inlineStr">
        <is>
          <t>PSI-11</t>
        </is>
      </c>
      <c r="B15" s="5" t="inlineStr">
        <is>
          <t>Equipment</t>
        </is>
      </c>
      <c r="C15" s="5" t="inlineStr">
        <is>
          <t>RS-GN-001</t>
        </is>
      </c>
      <c r="D15" s="5" t="inlineStr">
        <is>
          <t>Relief and overpressure protection study</t>
        </is>
      </c>
      <c r="E15" s="5" t="inlineStr">
        <is>
          <t>A</t>
        </is>
      </c>
      <c r="F15" s="14" t="n"/>
      <c r="G15" s="5" t="inlineStr">
        <is>
          <t>Utilities</t>
        </is>
      </c>
      <c r="H15" s="5" t="inlineStr">
        <is>
          <t>Available</t>
        </is>
      </c>
      <c r="I15" s="5" t="inlineStr">
        <is>
          <t>N01, N02, N07</t>
        </is>
      </c>
      <c r="J15" s="5" t="inlineStr"/>
    </row>
    <row r="16">
      <c r="A16" s="13" t="inlineStr">
        <is>
          <t>PSI-12</t>
        </is>
      </c>
      <c r="B16" s="5" t="inlineStr">
        <is>
          <t>Equipment</t>
        </is>
      </c>
      <c r="C16" s="5" t="inlineStr">
        <is>
          <t>SRS-GN-001</t>
        </is>
      </c>
      <c r="D16" s="5" t="inlineStr">
        <is>
          <t>Safety requirements specification – gas ESD and furnace BMS</t>
        </is>
      </c>
      <c r="E16" s="5" t="inlineStr">
        <is>
          <t>A</t>
        </is>
      </c>
      <c r="F16" s="14" t="n"/>
      <c r="G16" s="5" t="inlineStr">
        <is>
          <t>Utilities</t>
        </is>
      </c>
      <c r="H16" s="5" t="inlineStr">
        <is>
          <t>Available</t>
        </is>
      </c>
      <c r="I16" s="5" t="inlineStr">
        <is>
          <t>N06, N08</t>
        </is>
      </c>
      <c r="J16" s="5" t="inlineStr"/>
    </row>
    <row r="17">
      <c r="A17" s="13" t="inlineStr">
        <is>
          <t>PSI-13</t>
        </is>
      </c>
      <c r="B17" s="5" t="inlineStr">
        <is>
          <t>Hazardous materials</t>
        </is>
      </c>
      <c r="C17" s="5" t="inlineStr">
        <is>
          <t>SDS-NG-001</t>
        </is>
      </c>
      <c r="D17" s="5" t="inlineStr">
        <is>
          <t>Natural gas safety data sheet; gas supply quality specification</t>
        </is>
      </c>
      <c r="E17" s="5" t="inlineStr">
        <is>
          <t>A</t>
        </is>
      </c>
      <c r="F17" s="14" t="n"/>
      <c r="G17" s="5" t="inlineStr">
        <is>
          <t>Utilities</t>
        </is>
      </c>
      <c r="H17" s="5" t="inlineStr">
        <is>
          <t>Available</t>
        </is>
      </c>
      <c r="I17" s="5" t="inlineStr">
        <is>
          <t>N01</t>
        </is>
      </c>
      <c r="J17" s="5" t="inlineStr"/>
    </row>
    <row r="18">
      <c r="A18" s="13" t="inlineStr">
        <is>
          <t>PSI-14</t>
        </is>
      </c>
      <c r="B18" s="5" t="inlineStr">
        <is>
          <t>Procedures</t>
        </is>
      </c>
      <c r="C18" s="5" t="inlineStr">
        <is>
          <t>OP-GN-010</t>
        </is>
      </c>
      <c r="D18" s="5" t="inlineStr">
        <is>
          <t>Pigging procedure (pig receiver PR-1001)</t>
        </is>
      </c>
      <c r="E18" s="5" t="inlineStr">
        <is>
          <t>A</t>
        </is>
      </c>
      <c r="F18" s="14" t="n"/>
      <c r="G18" s="5" t="inlineStr">
        <is>
          <t>Utilities</t>
        </is>
      </c>
      <c r="H18" s="5" t="inlineStr">
        <is>
          <t>Available</t>
        </is>
      </c>
      <c r="I18" s="5" t="inlineStr">
        <is>
          <t>N01, N07</t>
        </is>
      </c>
      <c r="J18" s="5" t="inlineStr"/>
    </row>
    <row r="19">
      <c r="A19" s="13" t="inlineStr">
        <is>
          <t>PSI-15</t>
        </is>
      </c>
      <c r="B19" s="5" t="inlineStr">
        <is>
          <t>Procedures</t>
        </is>
      </c>
      <c r="C19" s="5" t="inlineStr">
        <is>
          <t>OP-GN-020</t>
        </is>
      </c>
      <c r="D19" s="5" t="inlineStr">
        <is>
          <t>Purging and gas-in / gas-out procedure</t>
        </is>
      </c>
      <c r="E19" s="5" t="inlineStr">
        <is>
          <t>A</t>
        </is>
      </c>
      <c r="F19" s="14" t="n"/>
      <c r="G19" s="5" t="inlineStr">
        <is>
          <t>Utilities</t>
        </is>
      </c>
      <c r="H19" s="5" t="inlineStr">
        <is>
          <t>Available</t>
        </is>
      </c>
      <c r="I19" s="5" t="inlineStr">
        <is>
          <t>N03, N07</t>
        </is>
      </c>
      <c r="J19" s="5" t="inlineStr"/>
    </row>
    <row r="20">
      <c r="A20" s="13" t="inlineStr">
        <is>
          <t>PSI-16</t>
        </is>
      </c>
      <c r="B20" s="5" t="inlineStr">
        <is>
          <t>Procedures</t>
        </is>
      </c>
      <c r="C20" s="5" t="inlineStr">
        <is>
          <t>OP-RM-040</t>
        </is>
      </c>
      <c r="D20" s="5" t="inlineStr">
        <is>
          <t>Reheat furnace light-off and shutdown procedure</t>
        </is>
      </c>
      <c r="E20" s="5" t="inlineStr">
        <is>
          <t>A</t>
        </is>
      </c>
      <c r="F20" s="14" t="n"/>
      <c r="G20" s="5" t="inlineStr">
        <is>
          <t>Utilities</t>
        </is>
      </c>
      <c r="H20" s="5" t="inlineStr">
        <is>
          <t>Available</t>
        </is>
      </c>
      <c r="I20" s="5" t="inlineStr">
        <is>
          <t>N06</t>
        </is>
      </c>
      <c r="J20" s="5" t="inlineStr"/>
    </row>
    <row r="21">
      <c r="A21" s="13" t="inlineStr">
        <is>
          <t>PSI-17</t>
        </is>
      </c>
      <c r="B21" s="5" t="inlineStr">
        <is>
          <t>Previous studies</t>
        </is>
      </c>
      <c r="C21" s="5" t="inlineStr">
        <is>
          <t>HZ-GN-2019</t>
        </is>
      </c>
      <c r="D21" s="5" t="inlineStr">
        <is>
          <t>Previous gas network HAZOP (2019) and close-out status</t>
        </is>
      </c>
      <c r="E21" s="5" t="inlineStr">
        <is>
          <t>A</t>
        </is>
      </c>
      <c r="F21" s="14" t="n"/>
      <c r="G21" s="5" t="inlineStr">
        <is>
          <t>Utilities</t>
        </is>
      </c>
      <c r="H21" s="5" t="inlineStr">
        <is>
          <t>Available</t>
        </is>
      </c>
      <c r="I21" s="5" t="inlineStr">
        <is>
          <t>N01, N02, N03</t>
        </is>
      </c>
      <c r="J21" s="5" t="inlineStr"/>
    </row>
    <row r="22">
      <c r="A22" s="13" t="inlineStr">
        <is>
          <t>PSI-18</t>
        </is>
      </c>
      <c r="B22" s="5" t="inlineStr">
        <is>
          <t>Previous studies</t>
        </is>
      </c>
      <c r="C22" s="5" t="inlineStr">
        <is>
          <t>INC-GN-LOG</t>
        </is>
      </c>
      <c r="D22" s="5" t="inlineStr">
        <is>
          <t>Gas incident / near-miss log (last 5 years)</t>
        </is>
      </c>
      <c r="E22" s="5" t="inlineStr">
        <is>
          <t>A</t>
        </is>
      </c>
      <c r="F22" s="14" t="n"/>
      <c r="G22" s="5" t="inlineStr">
        <is>
          <t>Utilities</t>
        </is>
      </c>
      <c r="H22" s="5" t="inlineStr">
        <is>
          <t>Available</t>
        </is>
      </c>
      <c r="I22" s="5" t="inlineStr">
        <is>
          <t>N03, N05, N06</t>
        </is>
      </c>
      <c r="J22" s="5" t="inlineStr"/>
    </row>
    <row r="23">
      <c r="A23" s="13" t="inlineStr">
        <is>
          <t>PSI-19</t>
        </is>
      </c>
      <c r="B23" s="5" t="n"/>
      <c r="C23" s="5" t="n"/>
      <c r="D23" s="5" t="n"/>
      <c r="E23" s="5" t="n"/>
      <c r="F23" s="14" t="n"/>
      <c r="G23" s="5" t="n"/>
      <c r="H23" s="5" t="n"/>
      <c r="I23" s="5" t="n"/>
      <c r="J23" s="5" t="n"/>
    </row>
    <row r="24">
      <c r="A24" s="13" t="inlineStr">
        <is>
          <t>PSI-20</t>
        </is>
      </c>
      <c r="B24" s="5" t="n"/>
      <c r="C24" s="5" t="n"/>
      <c r="D24" s="5" t="n"/>
      <c r="E24" s="5" t="n"/>
      <c r="F24" s="14" t="n"/>
      <c r="G24" s="5" t="n"/>
      <c r="H24" s="5" t="n"/>
      <c r="I24" s="5" t="n"/>
      <c r="J24" s="5" t="n"/>
    </row>
    <row r="25">
      <c r="A25" s="13" t="inlineStr">
        <is>
          <t>PSI-21</t>
        </is>
      </c>
      <c r="B25" s="5" t="n"/>
      <c r="C25" s="5" t="n"/>
      <c r="D25" s="5" t="n"/>
      <c r="E25" s="5" t="n"/>
      <c r="F25" s="14" t="n"/>
      <c r="G25" s="5" t="n"/>
      <c r="H25" s="5" t="n"/>
      <c r="I25" s="5" t="n"/>
      <c r="J25" s="5" t="n"/>
    </row>
    <row r="26">
      <c r="A26" s="13" t="inlineStr">
        <is>
          <t>PSI-22</t>
        </is>
      </c>
      <c r="B26" s="5" t="n"/>
      <c r="C26" s="5" t="n"/>
      <c r="D26" s="5" t="n"/>
      <c r="E26" s="5" t="n"/>
      <c r="F26" s="14" t="n"/>
      <c r="G26" s="5" t="n"/>
      <c r="H26" s="5" t="n"/>
      <c r="I26" s="5" t="n"/>
      <c r="J26" s="5" t="n"/>
    </row>
    <row r="27">
      <c r="A27" s="13" t="inlineStr">
        <is>
          <t>PSI-23</t>
        </is>
      </c>
      <c r="B27" s="5" t="n"/>
      <c r="C27" s="5" t="n"/>
      <c r="D27" s="5" t="n"/>
      <c r="E27" s="5" t="n"/>
      <c r="F27" s="14" t="n"/>
      <c r="G27" s="5" t="n"/>
      <c r="H27" s="5" t="n"/>
      <c r="I27" s="5" t="n"/>
      <c r="J27" s="5" t="n"/>
    </row>
    <row r="28">
      <c r="A28" s="13" t="inlineStr">
        <is>
          <t>PSI-24</t>
        </is>
      </c>
      <c r="B28" s="5" t="n"/>
      <c r="C28" s="5" t="n"/>
      <c r="D28" s="5" t="n"/>
      <c r="E28" s="5" t="n"/>
      <c r="F28" s="14" t="n"/>
      <c r="G28" s="5" t="n"/>
      <c r="H28" s="5" t="n"/>
      <c r="I28" s="5" t="n"/>
      <c r="J28" s="5" t="n"/>
    </row>
    <row r="29">
      <c r="A29" s="13" t="inlineStr">
        <is>
          <t>PSI-25</t>
        </is>
      </c>
      <c r="B29" s="5" t="n"/>
      <c r="C29" s="5" t="n"/>
      <c r="D29" s="5" t="n"/>
      <c r="E29" s="5" t="n"/>
      <c r="F29" s="14" t="n"/>
      <c r="G29" s="5" t="n"/>
      <c r="H29" s="5" t="n"/>
      <c r="I29" s="5" t="n"/>
      <c r="J29" s="5" t="n"/>
    </row>
    <row r="30">
      <c r="A30" s="13" t="inlineStr">
        <is>
          <t>PSI-26</t>
        </is>
      </c>
      <c r="B30" s="5" t="n"/>
      <c r="C30" s="5" t="n"/>
      <c r="D30" s="5" t="n"/>
      <c r="E30" s="5" t="n"/>
      <c r="F30" s="14" t="n"/>
      <c r="G30" s="5" t="n"/>
      <c r="H30" s="5" t="n"/>
      <c r="I30" s="5" t="n"/>
      <c r="J30" s="5" t="n"/>
    </row>
    <row r="31">
      <c r="A31" s="13" t="inlineStr">
        <is>
          <t>PSI-27</t>
        </is>
      </c>
      <c r="B31" s="5" t="n"/>
      <c r="C31" s="5" t="n"/>
      <c r="D31" s="5" t="n"/>
      <c r="E31" s="5" t="n"/>
      <c r="F31" s="14" t="n"/>
      <c r="G31" s="5" t="n"/>
      <c r="H31" s="5" t="n"/>
      <c r="I31" s="5" t="n"/>
      <c r="J31" s="5" t="n"/>
    </row>
    <row r="32">
      <c r="A32" s="13" t="inlineStr">
        <is>
          <t>PSI-28</t>
        </is>
      </c>
      <c r="B32" s="5" t="n"/>
      <c r="C32" s="5" t="n"/>
      <c r="D32" s="5" t="n"/>
      <c r="E32" s="5" t="n"/>
      <c r="F32" s="14" t="n"/>
      <c r="G32" s="5" t="n"/>
      <c r="H32" s="5" t="n"/>
      <c r="I32" s="5" t="n"/>
      <c r="J32" s="5" t="n"/>
    </row>
    <row r="33">
      <c r="A33" s="13" t="inlineStr">
        <is>
          <t>PSI-29</t>
        </is>
      </c>
      <c r="B33" s="5" t="n"/>
      <c r="C33" s="5" t="n"/>
      <c r="D33" s="5" t="n"/>
      <c r="E33" s="5" t="n"/>
      <c r="F33" s="14" t="n"/>
      <c r="G33" s="5" t="n"/>
      <c r="H33" s="5" t="n"/>
      <c r="I33" s="5" t="n"/>
      <c r="J33" s="5" t="n"/>
    </row>
    <row r="34">
      <c r="A34" s="13" t="inlineStr">
        <is>
          <t>PSI-30</t>
        </is>
      </c>
      <c r="B34" s="5" t="n"/>
      <c r="C34" s="5" t="n"/>
      <c r="D34" s="5" t="n"/>
      <c r="E34" s="5" t="n"/>
      <c r="F34" s="14" t="n"/>
      <c r="G34" s="5" t="n"/>
      <c r="H34" s="5" t="n"/>
      <c r="I34" s="5" t="n"/>
      <c r="J34" s="5" t="n"/>
    </row>
    <row r="35">
      <c r="A35" s="13" t="inlineStr">
        <is>
          <t>PSI-31</t>
        </is>
      </c>
      <c r="B35" s="5" t="n"/>
      <c r="C35" s="5" t="n"/>
      <c r="D35" s="5" t="n"/>
      <c r="E35" s="5" t="n"/>
      <c r="F35" s="14" t="n"/>
      <c r="G35" s="5" t="n"/>
      <c r="H35" s="5" t="n"/>
      <c r="I35" s="5" t="n"/>
      <c r="J35" s="5" t="n"/>
    </row>
    <row r="36">
      <c r="A36" s="13" t="inlineStr">
        <is>
          <t>PSI-32</t>
        </is>
      </c>
      <c r="B36" s="5" t="n"/>
      <c r="C36" s="5" t="n"/>
      <c r="D36" s="5" t="n"/>
      <c r="E36" s="5" t="n"/>
      <c r="F36" s="14" t="n"/>
      <c r="G36" s="5" t="n"/>
      <c r="H36" s="5" t="n"/>
      <c r="I36" s="5" t="n"/>
      <c r="J36" s="5" t="n"/>
    </row>
    <row r="37">
      <c r="A37" s="13" t="inlineStr">
        <is>
          <t>PSI-33</t>
        </is>
      </c>
      <c r="B37" s="5" t="n"/>
      <c r="C37" s="5" t="n"/>
      <c r="D37" s="5" t="n"/>
      <c r="E37" s="5" t="n"/>
      <c r="F37" s="14" t="n"/>
      <c r="G37" s="5" t="n"/>
      <c r="H37" s="5" t="n"/>
      <c r="I37" s="5" t="n"/>
      <c r="J37" s="5" t="n"/>
    </row>
    <row r="38">
      <c r="A38" s="13" t="inlineStr">
        <is>
          <t>PSI-34</t>
        </is>
      </c>
      <c r="B38" s="5" t="n"/>
      <c r="C38" s="5" t="n"/>
      <c r="D38" s="5" t="n"/>
      <c r="E38" s="5" t="n"/>
      <c r="F38" s="14" t="n"/>
      <c r="G38" s="5" t="n"/>
      <c r="H38" s="5" t="n"/>
      <c r="I38" s="5" t="n"/>
      <c r="J38" s="5" t="n"/>
    </row>
    <row r="39">
      <c r="A39" s="13" t="inlineStr">
        <is>
          <t>PSI-35</t>
        </is>
      </c>
      <c r="B39" s="5" t="n"/>
      <c r="C39" s="5" t="n"/>
      <c r="D39" s="5" t="n"/>
      <c r="E39" s="5" t="n"/>
      <c r="F39" s="14" t="n"/>
      <c r="G39" s="5" t="n"/>
      <c r="H39" s="5" t="n"/>
      <c r="I39" s="5" t="n"/>
      <c r="J39" s="5" t="n"/>
    </row>
    <row r="40">
      <c r="A40" s="13" t="inlineStr">
        <is>
          <t>PSI-36</t>
        </is>
      </c>
      <c r="B40" s="5" t="n"/>
      <c r="C40" s="5" t="n"/>
      <c r="D40" s="5" t="n"/>
      <c r="E40" s="5" t="n"/>
      <c r="F40" s="14" t="n"/>
      <c r="G40" s="5" t="n"/>
      <c r="H40" s="5" t="n"/>
      <c r="I40" s="5" t="n"/>
      <c r="J40" s="5" t="n"/>
    </row>
    <row r="41">
      <c r="A41" s="13" t="inlineStr">
        <is>
          <t>PSI-37</t>
        </is>
      </c>
      <c r="B41" s="5" t="n"/>
      <c r="C41" s="5" t="n"/>
      <c r="D41" s="5" t="n"/>
      <c r="E41" s="5" t="n"/>
      <c r="F41" s="14" t="n"/>
      <c r="G41" s="5" t="n"/>
      <c r="H41" s="5" t="n"/>
      <c r="I41" s="5" t="n"/>
      <c r="J41" s="5" t="n"/>
    </row>
    <row r="42">
      <c r="A42" s="13" t="inlineStr">
        <is>
          <t>PSI-38</t>
        </is>
      </c>
      <c r="B42" s="5" t="n"/>
      <c r="C42" s="5" t="n"/>
      <c r="D42" s="5" t="n"/>
      <c r="E42" s="5" t="n"/>
      <c r="F42" s="14" t="n"/>
      <c r="G42" s="5" t="n"/>
      <c r="H42" s="5" t="n"/>
      <c r="I42" s="5" t="n"/>
      <c r="J42" s="5" t="n"/>
    </row>
    <row r="43">
      <c r="A43" s="13" t="inlineStr">
        <is>
          <t>PSI-39</t>
        </is>
      </c>
      <c r="B43" s="5" t="n"/>
      <c r="C43" s="5" t="n"/>
      <c r="D43" s="5" t="n"/>
      <c r="E43" s="5" t="n"/>
      <c r="F43" s="14" t="n"/>
      <c r="G43" s="5" t="n"/>
      <c r="H43" s="5" t="n"/>
      <c r="I43" s="5" t="n"/>
      <c r="J43" s="5" t="n"/>
    </row>
    <row r="44">
      <c r="A44" s="13" t="inlineStr">
        <is>
          <t>PSI-40</t>
        </is>
      </c>
      <c r="B44" s="5" t="n"/>
      <c r="C44" s="5" t="n"/>
      <c r="D44" s="5" t="n"/>
      <c r="E44" s="5" t="n"/>
      <c r="F44" s="14" t="n"/>
      <c r="G44" s="5" t="n"/>
      <c r="H44" s="5" t="n"/>
      <c r="I44" s="5" t="n"/>
      <c r="J44" s="5" t="n"/>
    </row>
    <row r="45">
      <c r="A45" s="13" t="inlineStr">
        <is>
          <t>PSI-41</t>
        </is>
      </c>
      <c r="B45" s="5" t="n"/>
      <c r="C45" s="5" t="n"/>
      <c r="D45" s="5" t="n"/>
      <c r="E45" s="5" t="n"/>
      <c r="F45" s="14" t="n"/>
      <c r="G45" s="5" t="n"/>
      <c r="H45" s="5" t="n"/>
      <c r="I45" s="5" t="n"/>
      <c r="J45" s="5" t="n"/>
    </row>
    <row r="46">
      <c r="A46" s="13" t="inlineStr">
        <is>
          <t>PSI-42</t>
        </is>
      </c>
      <c r="B46" s="5" t="n"/>
      <c r="C46" s="5" t="n"/>
      <c r="D46" s="5" t="n"/>
      <c r="E46" s="5" t="n"/>
      <c r="F46" s="14" t="n"/>
      <c r="G46" s="5" t="n"/>
      <c r="H46" s="5" t="n"/>
      <c r="I46" s="5" t="n"/>
      <c r="J46" s="5" t="n"/>
    </row>
    <row r="47">
      <c r="A47" s="13" t="inlineStr">
        <is>
          <t>PSI-43</t>
        </is>
      </c>
      <c r="B47" s="5" t="n"/>
      <c r="C47" s="5" t="n"/>
      <c r="D47" s="5" t="n"/>
      <c r="E47" s="5" t="n"/>
      <c r="F47" s="14" t="n"/>
      <c r="G47" s="5" t="n"/>
      <c r="H47" s="5" t="n"/>
      <c r="I47" s="5" t="n"/>
      <c r="J47" s="5" t="n"/>
    </row>
    <row r="48">
      <c r="A48" s="13" t="inlineStr">
        <is>
          <t>PSI-44</t>
        </is>
      </c>
      <c r="B48" s="5" t="n"/>
      <c r="C48" s="5" t="n"/>
      <c r="D48" s="5" t="n"/>
      <c r="E48" s="5" t="n"/>
      <c r="F48" s="14" t="n"/>
      <c r="G48" s="5" t="n"/>
      <c r="H48" s="5" t="n"/>
      <c r="I48" s="5" t="n"/>
      <c r="J48" s="5" t="n"/>
    </row>
    <row r="49">
      <c r="A49" s="13" t="inlineStr">
        <is>
          <t>PSI-45</t>
        </is>
      </c>
      <c r="B49" s="5" t="n"/>
      <c r="C49" s="5" t="n"/>
      <c r="D49" s="5" t="n"/>
      <c r="E49" s="5" t="n"/>
      <c r="F49" s="14" t="n"/>
      <c r="G49" s="5" t="n"/>
      <c r="H49" s="5" t="n"/>
      <c r="I49" s="5" t="n"/>
      <c r="J49" s="5" t="n"/>
    </row>
    <row r="50">
      <c r="A50" s="13" t="inlineStr">
        <is>
          <t>PSI-46</t>
        </is>
      </c>
      <c r="B50" s="5" t="n"/>
      <c r="C50" s="5" t="n"/>
      <c r="D50" s="5" t="n"/>
      <c r="E50" s="5" t="n"/>
      <c r="F50" s="14" t="n"/>
      <c r="G50" s="5" t="n"/>
      <c r="H50" s="5" t="n"/>
      <c r="I50" s="5" t="n"/>
      <c r="J50" s="5" t="n"/>
    </row>
    <row r="51">
      <c r="A51" s="13" t="inlineStr">
        <is>
          <t>PSI-47</t>
        </is>
      </c>
      <c r="B51" s="5" t="n"/>
      <c r="C51" s="5" t="n"/>
      <c r="D51" s="5" t="n"/>
      <c r="E51" s="5" t="n"/>
      <c r="F51" s="14" t="n"/>
      <c r="G51" s="5" t="n"/>
      <c r="H51" s="5" t="n"/>
      <c r="I51" s="5" t="n"/>
      <c r="J51" s="5" t="n"/>
    </row>
    <row r="52">
      <c r="A52" s="13" t="inlineStr">
        <is>
          <t>PSI-48</t>
        </is>
      </c>
      <c r="B52" s="5" t="n"/>
      <c r="C52" s="5" t="n"/>
      <c r="D52" s="5" t="n"/>
      <c r="E52" s="5" t="n"/>
      <c r="F52" s="14" t="n"/>
      <c r="G52" s="5" t="n"/>
      <c r="H52" s="5" t="n"/>
      <c r="I52" s="5" t="n"/>
      <c r="J52" s="5" t="n"/>
    </row>
    <row r="53">
      <c r="A53" s="13" t="inlineStr">
        <is>
          <t>PSI-49</t>
        </is>
      </c>
      <c r="B53" s="5" t="n"/>
      <c r="C53" s="5" t="n"/>
      <c r="D53" s="5" t="n"/>
      <c r="E53" s="5" t="n"/>
      <c r="F53" s="14" t="n"/>
      <c r="G53" s="5" t="n"/>
      <c r="H53" s="5" t="n"/>
      <c r="I53" s="5" t="n"/>
      <c r="J53" s="5" t="n"/>
    </row>
    <row r="54">
      <c r="A54" s="13" t="inlineStr">
        <is>
          <t>PSI-50</t>
        </is>
      </c>
      <c r="B54" s="5" t="n"/>
      <c r="C54" s="5" t="n"/>
      <c r="D54" s="5" t="n"/>
      <c r="E54" s="5" t="n"/>
      <c r="F54" s="14" t="n"/>
      <c r="G54" s="5" t="n"/>
      <c r="H54" s="5" t="n"/>
      <c r="I54" s="5" t="n"/>
      <c r="J54" s="5" t="n"/>
    </row>
  </sheetData>
  <autoFilter ref="A4:J54"/>
  <dataValidations count="2">
    <dataValidation sqref="B5:B54" showDropDown="0" showInputMessage="0" showErrorMessage="1" allowBlank="1" errorTitle="Not in list" error="Entry is not in the list – it will be accepted as free text." type="list" errorStyle="information">
      <formula1>=PSICategories</formula1>
    </dataValidation>
    <dataValidation sqref="H5:H54" showDropDown="0" showInputMessage="0" showErrorMessage="1" allowBlank="1" type="list">
      <formula1>"Available,Outstanding,Superseded,Not applicable"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I34"/>
  <sheetViews>
    <sheetView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9" customWidth="1" min="1" max="1"/>
    <col width="28" customWidth="1" min="2" max="2"/>
    <col width="34" customWidth="1" min="3" max="3"/>
    <col width="20" customWidth="1" min="4" max="4"/>
    <col width="34" customWidth="1" min="5" max="5"/>
    <col width="48" customWidth="1" min="6" max="6"/>
    <col width="34" customWidth="1" min="7" max="7"/>
    <col width="34" customWidth="1" min="8" max="8"/>
    <col width="24" customWidth="1" min="9" max="9"/>
  </cols>
  <sheetData>
    <row r="1">
      <c r="A1" s="1" t="inlineStr">
        <is>
          <t>NODE LIST</t>
        </is>
      </c>
    </row>
    <row r="2">
      <c r="A2" s="2" t="inlineStr">
        <is>
          <t>One row per node. Node title (column C) feeds the drop-down at the top of each node worksheet.</t>
        </is>
      </c>
    </row>
    <row r="4">
      <c r="A4" s="8" t="inlineStr">
        <is>
          <t>Node No.</t>
        </is>
      </c>
      <c r="B4" s="8" t="inlineStr">
        <is>
          <t>Node name</t>
        </is>
      </c>
      <c r="C4" s="8" t="inlineStr">
        <is>
          <t>Node title (auto)</t>
        </is>
      </c>
      <c r="D4" s="8" t="inlineStr">
        <is>
          <t>P&amp;IDs / drawings</t>
        </is>
      </c>
      <c r="E4" s="8" t="inlineStr">
        <is>
          <t>Battery limits (from – to)</t>
        </is>
      </c>
      <c r="F4" s="8" t="inlineStr">
        <is>
          <t>Functional description / design intent</t>
        </is>
      </c>
      <c r="G4" s="8" t="inlineStr">
        <is>
          <t>Design parameters</t>
        </is>
      </c>
      <c r="H4" s="8" t="inlineStr">
        <is>
          <t>Operating parameters</t>
        </is>
      </c>
      <c r="I4" s="8" t="inlineStr">
        <is>
          <t>Comments</t>
        </is>
      </c>
    </row>
    <row r="5" ht="45" customHeight="1">
      <c r="A5" s="12" t="inlineStr">
        <is>
          <t>N01</t>
        </is>
      </c>
      <c r="B5" s="5" t="inlineStr">
        <is>
          <t>Gas receiving &amp; metering station (GRMS)</t>
        </is>
      </c>
      <c r="C5" s="6">
        <f>IF(B5="","",A5&amp;" – "&amp;B5)</f>
        <v/>
      </c>
      <c r="D5" s="5" t="inlineStr">
        <is>
          <t>P&amp;ID-GN-1001</t>
        </is>
      </c>
      <c r="E5" s="5" t="inlineStr">
        <is>
          <t>From the supplier battery-limit insulating joint IJ-1001 through inlet ESD valve ESDV-1001, pig receiver PR-1001, filter-separators F-1002A/B and ultrasonic meter runs FT-1003A/B to the inlet of the gas heaters</t>
        </is>
      </c>
      <c r="F5" s="5" t="inlineStr">
        <is>
          <t>Receive natural gas from the supplier's pipeline, remove liquids and solids and meter it for custody transfer</t>
        </is>
      </c>
      <c r="G5" s="5" t="inlineStr">
        <is>
          <t>Design 50 barg / -10 to 60 °C (= pipeline MAOP); 2 x 100 % filter-separators; 2 x 100 % meter runs</t>
        </is>
      </c>
      <c r="H5" s="5" t="inlineStr">
        <is>
          <t>35–42 barg; 20–35 °C; up to 120 000 Sm3/h</t>
        </is>
      </c>
      <c r="I5" s="15" t="inlineStr">
        <is>
          <t>Materials: Natural gas (methane &gt; 90 %, extremely flammable, asphyxiant); traces of H2S, condensate, black powder</t>
        </is>
      </c>
    </row>
    <row r="6" ht="45" customHeight="1">
      <c r="A6" s="12" t="inlineStr">
        <is>
          <t>N02</t>
        </is>
      </c>
      <c r="B6" s="5" t="inlineStr">
        <is>
          <t>Gas heaters H-1101A/B and pressure reduction station PRS-1</t>
        </is>
      </c>
      <c r="C6" s="6">
        <f>IF(B6="","",A6&amp;" – "&amp;B6)</f>
        <v/>
      </c>
      <c r="D6" s="5" t="inlineStr">
        <is>
          <t>P&amp;ID-GN-1101</t>
        </is>
      </c>
      <c r="E6" s="5" t="inlineStr">
        <is>
          <t>From the heater inlet through water-bath heaters H-1101A/B and regulator runs A/B (slam-shut SSV-1102, monitor PCV-1103, active PCV-1104) to outlet ESD valve ESDV-1107, incl. token relief PSV-1105</t>
        </is>
      </c>
      <c r="F6" s="5" t="inlineStr">
        <is>
          <t>Pre-heat the gas to offset Joule–Thomson cooling (~0.5 °C per bar) and reduce it from 35–42 barg to 7 barg without exceeding the MP design pressure</t>
        </is>
      </c>
      <c r="G6" s="5" t="inlineStr">
        <is>
          <t>Inlet 50 barg; outlet piping 10 barg design; set points: active 7.0, monitor 7.5, SSV OPSO 8.5, PSV-1105 9.0 barg; outlet temperature ≥ 5 °C</t>
        </is>
      </c>
      <c r="H6" s="5" t="inlineStr">
        <is>
          <t>Outlet 6.8–7.2 barg; heater outlet 30–40 °C upstream of the regulators; run A duty / run B standby (set 0.3 bar lower)</t>
        </is>
      </c>
      <c r="I6" s="5" t="inlineStr">
        <is>
          <t>Materials: Natural gas; hot water / glycol bath; heater flue gases</t>
        </is>
      </c>
    </row>
    <row r="7" ht="45" customHeight="1">
      <c r="A7" s="12" t="inlineStr">
        <is>
          <t>N03</t>
        </is>
      </c>
      <c r="B7" s="5" t="inlineStr">
        <is>
          <t>MP ring main (7 barg) and pipe racks</t>
        </is>
      </c>
      <c r="C7" s="6">
        <f>IF(B7="","",A7&amp;" – "&amp;B7)</f>
        <v/>
      </c>
      <c r="D7" s="5" t="inlineStr">
        <is>
          <t>P&amp;ID-GN-1201/1202</t>
        </is>
      </c>
      <c r="E7" s="5" t="inlineStr">
        <is>
          <t>From ESDV-1107 around the plant ring main (24") with sectionalising valves XV-1201…1204 to the inlet isolation of each district station (DS-2, DS-3, DS-4); buried road crossings with cathodic protection CP-1200</t>
        </is>
      </c>
      <c r="F7" s="5" t="inlineStr">
        <is>
          <t>Distribute 7 barg gas to all plant users with sectional isolation and without loss of containment</t>
        </is>
      </c>
      <c r="G7" s="5" t="inlineStr">
        <is>
          <t>Design 10 barg; API 5L carbon steel; buried sections coated + impressed-current CP</t>
        </is>
      </c>
      <c r="H7" s="5" t="inlineStr">
        <is>
          <t>6.8–7.2 barg; ambient temperature</t>
        </is>
      </c>
      <c r="I7" s="5" t="inlineStr">
        <is>
          <t>Materials: Natural gas</t>
        </is>
      </c>
    </row>
    <row r="8" ht="45" customHeight="1">
      <c r="A8" s="12" t="inlineStr">
        <is>
          <t>N04</t>
        </is>
      </c>
      <c r="B8" s="5" t="inlineStr">
        <is>
          <t>DRI plant gas supply – district station DS-2</t>
        </is>
      </c>
      <c r="C8" s="6">
        <f>IF(B8="","",A8&amp;" – "&amp;B8)</f>
        <v/>
      </c>
      <c r="D8" s="5" t="inlineStr">
        <is>
          <t>P&amp;ID-GN-2001</t>
        </is>
      </c>
      <c r="E8" s="5" t="inlineStr">
        <is>
          <t>From the DS-2 inlet ESDV-2001 via regulators PCV-2002A/B to the reformer fuel gas control valve FCV-2004 and the process-gas NG make-up point (XV-2008)</t>
        </is>
      </c>
      <c r="F8" s="5" t="inlineStr">
        <is>
          <t>Supply natural gas to the DRI reformer burners (fuel) and as make-up to the reducing-gas circuit at controlled pressure and flow</t>
        </is>
      </c>
      <c r="G8" s="5" t="inlineStr">
        <is>
          <t>Design 10 barg (full MP pressure); outlet 4.5 barg</t>
        </is>
      </c>
      <c r="H8" s="5" t="inlineStr">
        <is>
          <t>4.0–4.5 barg; flow on reformer firing demand</t>
        </is>
      </c>
      <c r="I8" s="5" t="inlineStr">
        <is>
          <t>Materials: Natural gas; reducing / process gas (H2, CO – toxic, flammable) at the make-up point</t>
        </is>
      </c>
    </row>
    <row r="9" ht="45" customHeight="1">
      <c r="A9" s="12" t="inlineStr">
        <is>
          <t>N05</t>
        </is>
      </c>
      <c r="B9" s="5" t="inlineStr">
        <is>
          <t>Melt shop gas supply – DS-3, EAF oxy-fuel burners and ladle preheaters</t>
        </is>
      </c>
      <c r="C9" s="6">
        <f>IF(B9="","",A9&amp;" – "&amp;B9)</f>
        <v/>
      </c>
      <c r="D9" s="5" t="inlineStr">
        <is>
          <t>P&amp;ID-GN-3001</t>
        </is>
      </c>
      <c r="E9" s="5" t="inlineStr">
        <is>
          <t>From DS-3 inlet ESDV-3001 via PCV-3002A, slam-shut SSV-3003 and PSV-3004 to the EAF oxy-fuel burner skids (XV-3011, NRV-3010) and ladle preheaters LPH-3020</t>
        </is>
      </c>
      <c r="F9" s="5" t="inlineStr">
        <is>
          <t>Supply natural gas to the EAF oxy-fuel burners and ladle / tundish preheaters at controlled pressure</t>
        </is>
      </c>
      <c r="G9" s="5" t="inlineStr">
        <is>
          <t>Design 10 barg; outlet 2.0 barg; O2 supply to burners 10 barg</t>
        </is>
      </c>
      <c r="H9" s="5" t="inlineStr">
        <is>
          <t>1.8–2.0 barg; intermittent firing</t>
        </is>
      </c>
      <c r="I9" s="5" t="inlineStr">
        <is>
          <t>Materials: Natural gas; oxygen (oxidiser); molten metal / slag nearby</t>
        </is>
      </c>
    </row>
    <row r="10" ht="45" customHeight="1">
      <c r="A10" s="12" t="inlineStr">
        <is>
          <t>N06</t>
        </is>
      </c>
      <c r="B10" s="5" t="inlineStr">
        <is>
          <t>Rolling-mill reheat furnace fuel gas train and burner management</t>
        </is>
      </c>
      <c r="C10" s="6">
        <f>IF(B10="","",A10&amp;" – "&amp;B10)</f>
        <v/>
      </c>
      <c r="D10" s="5" t="inlineStr">
        <is>
          <t>P&amp;ID-GN-4001</t>
        </is>
      </c>
      <c r="E10" s="5" t="inlineStr">
        <is>
          <t>From DS-4 regulator PCV-4001 through safety shut-off valves XV-4002A/B (with vent XV-4003 and valve proving VPS-4004) to the zone burners B-4020, incl. BMS-4000, flame scanners BS-4010 and combustion air fan FN-4007</t>
        </is>
      </c>
      <c r="F10" s="5" t="inlineStr">
        <is>
          <t>Deliver fuel gas to the reheat furnace burners only when safe to fire (purged, air proven, flame proven) and shut it off on any unsafe condition</t>
        </is>
      </c>
      <c r="G10" s="5" t="inlineStr">
        <is>
          <t>Design 10 barg upstream / 2 barg downstream of PCV-4001; SSOV closing time &lt; 1 s</t>
        </is>
      </c>
      <c r="H10" s="5" t="inlineStr">
        <is>
          <t>0.3–1.5 barg at the burners; furnace 900–1250 °C; light-off from cold after outages</t>
        </is>
      </c>
      <c r="I10" s="5" t="inlineStr">
        <is>
          <t>Materials: Natural gas; combustion air; flue gas (CO)</t>
        </is>
      </c>
    </row>
    <row r="11" ht="45" customHeight="1">
      <c r="A11" s="12" t="inlineStr">
        <is>
          <t>N07</t>
        </is>
      </c>
      <c r="B11" s="5" t="inlineStr">
        <is>
          <t>Purge, vent, blowdown and maintenance isolation</t>
        </is>
      </c>
      <c r="C11" s="6">
        <f>IF(B11="","",A11&amp;" – "&amp;B11)</f>
        <v/>
      </c>
      <c r="D11" s="5" t="inlineStr">
        <is>
          <t>P&amp;ID-GN-1301</t>
        </is>
      </c>
      <c r="E11" s="5" t="inlineStr">
        <is>
          <t>Vent stack VS-1301 and blowdown valve BDV-1302 at the PRS, spectacle blinds SB-1303 and N2 purge connections N2-1304 at GRMS, PRS and district stations</t>
        </is>
      </c>
      <c r="F11" s="5" t="inlineStr">
        <is>
          <t>Allow equipment to be depressurised, purged, isolated and returned to service without creating flammable mixtures, releases or asphyxiation hazards</t>
        </is>
      </c>
      <c r="G11" s="5" t="inlineStr">
        <is>
          <t>Vent stack 3 m above the highest platform within 15 m; N2 purge supply 8 barg</t>
        </is>
      </c>
      <c r="H11" s="5" t="inlineStr">
        <is>
          <t>Used during maintenance, pigging and gas-in / gas-out</t>
        </is>
      </c>
      <c r="I11" s="5" t="inlineStr">
        <is>
          <t>Materials: Natural gas; nitrogen (asphyxiant); air</t>
        </is>
      </c>
    </row>
    <row r="12" ht="45" customHeight="1">
      <c r="A12" s="12" t="inlineStr">
        <is>
          <t>N08</t>
        </is>
      </c>
      <c r="B12" s="5" t="inlineStr">
        <is>
          <t>Gas detection, F&amp;G and ESD system</t>
        </is>
      </c>
      <c r="C12" s="6">
        <f>IF(B12="","",A12&amp;" – "&amp;B12)</f>
        <v/>
      </c>
      <c r="D12" s="5" t="inlineStr">
        <is>
          <t>C&amp;E-GN-1000</t>
        </is>
      </c>
      <c r="E12" s="5" t="inlineStr">
        <is>
          <t>Gas detectors GD-1110A/B/C (PRS shelter, 2oo3), GRMS detectors, manual ESD stations HS-1000, SIS logic solver UCP-1000 and UPS-1000, acting on ESDV-1001 / ESDV-1107 and the district-station ESD valves</t>
        </is>
      </c>
      <c r="F12" s="5" t="inlineStr">
        <is>
          <t>Detect a gas release in the HP / MP system and isolate the gas inventory automatically or on manual demand</t>
        </is>
      </c>
      <c r="G12" s="5" t="inlineStr">
        <is>
          <t>SIS per SRS-GN-001; ESD valves fail-closed; UPS 30 min</t>
        </is>
      </c>
      <c r="H12" s="5" t="inlineStr">
        <is>
          <t>Normally on line; detectors 20 % / 40 % LEL alarm / trip</t>
        </is>
      </c>
      <c r="I12" s="5" t="inlineStr">
        <is>
          <t>Materials: Natural gas</t>
        </is>
      </c>
    </row>
    <row r="13" ht="45" customHeight="1">
      <c r="A13" s="12" t="inlineStr">
        <is>
          <t>N09</t>
        </is>
      </c>
      <c r="B13" s="5" t="n"/>
      <c r="C13" s="6">
        <f>IF(B13="","",A13&amp;" – "&amp;B13)</f>
        <v/>
      </c>
      <c r="D13" s="5" t="n"/>
      <c r="E13" s="5" t="n"/>
      <c r="F13" s="5" t="n"/>
      <c r="G13" s="5" t="n"/>
      <c r="H13" s="5" t="n"/>
      <c r="I13" s="5" t="n"/>
    </row>
    <row r="14" ht="45" customHeight="1">
      <c r="A14" s="12" t="inlineStr">
        <is>
          <t>N10</t>
        </is>
      </c>
      <c r="B14" s="5" t="n"/>
      <c r="C14" s="6">
        <f>IF(B14="","",A14&amp;" – "&amp;B14)</f>
        <v/>
      </c>
      <c r="D14" s="5" t="n"/>
      <c r="E14" s="5" t="n"/>
      <c r="F14" s="5" t="n"/>
      <c r="G14" s="5" t="n"/>
      <c r="H14" s="5" t="n"/>
      <c r="I14" s="5" t="n"/>
    </row>
    <row r="15" ht="45" customHeight="1">
      <c r="A15" s="12" t="inlineStr">
        <is>
          <t>N11</t>
        </is>
      </c>
      <c r="B15" s="5" t="n"/>
      <c r="C15" s="6">
        <f>IF(B15="","",A15&amp;" – "&amp;B15)</f>
        <v/>
      </c>
      <c r="D15" s="5" t="n"/>
      <c r="E15" s="5" t="n"/>
      <c r="F15" s="5" t="n"/>
      <c r="G15" s="5" t="n"/>
      <c r="H15" s="5" t="n"/>
      <c r="I15" s="5" t="n"/>
    </row>
    <row r="16" ht="45" customHeight="1">
      <c r="A16" s="12" t="inlineStr">
        <is>
          <t>N12</t>
        </is>
      </c>
      <c r="B16" s="5" t="n"/>
      <c r="C16" s="6">
        <f>IF(B16="","",A16&amp;" – "&amp;B16)</f>
        <v/>
      </c>
      <c r="D16" s="5" t="n"/>
      <c r="E16" s="5" t="n"/>
      <c r="F16" s="5" t="n"/>
      <c r="G16" s="5" t="n"/>
      <c r="H16" s="5" t="n"/>
      <c r="I16" s="5" t="n"/>
    </row>
    <row r="17" ht="45" customHeight="1">
      <c r="A17" s="12" t="inlineStr">
        <is>
          <t>N13</t>
        </is>
      </c>
      <c r="B17" s="5" t="n"/>
      <c r="C17" s="6">
        <f>IF(B17="","",A17&amp;" – "&amp;B17)</f>
        <v/>
      </c>
      <c r="D17" s="5" t="n"/>
      <c r="E17" s="5" t="n"/>
      <c r="F17" s="5" t="n"/>
      <c r="G17" s="5" t="n"/>
      <c r="H17" s="5" t="n"/>
      <c r="I17" s="5" t="n"/>
    </row>
    <row r="18" ht="45" customHeight="1">
      <c r="A18" s="12" t="inlineStr">
        <is>
          <t>N14</t>
        </is>
      </c>
      <c r="B18" s="5" t="n"/>
      <c r="C18" s="6">
        <f>IF(B18="","",A18&amp;" – "&amp;B18)</f>
        <v/>
      </c>
      <c r="D18" s="5" t="n"/>
      <c r="E18" s="5" t="n"/>
      <c r="F18" s="5" t="n"/>
      <c r="G18" s="5" t="n"/>
      <c r="H18" s="5" t="n"/>
      <c r="I18" s="5" t="n"/>
    </row>
    <row r="19" ht="45" customHeight="1">
      <c r="A19" s="12" t="inlineStr">
        <is>
          <t>N15</t>
        </is>
      </c>
      <c r="B19" s="5" t="n"/>
      <c r="C19" s="6">
        <f>IF(B19="","",A19&amp;" – "&amp;B19)</f>
        <v/>
      </c>
      <c r="D19" s="5" t="n"/>
      <c r="E19" s="5" t="n"/>
      <c r="F19" s="5" t="n"/>
      <c r="G19" s="5" t="n"/>
      <c r="H19" s="5" t="n"/>
      <c r="I19" s="5" t="n"/>
    </row>
    <row r="20" ht="45" customHeight="1">
      <c r="A20" s="12" t="inlineStr">
        <is>
          <t>N16</t>
        </is>
      </c>
      <c r="B20" s="5" t="n"/>
      <c r="C20" s="6">
        <f>IF(B20="","",A20&amp;" – "&amp;B20)</f>
        <v/>
      </c>
      <c r="D20" s="5" t="n"/>
      <c r="E20" s="5" t="n"/>
      <c r="F20" s="5" t="n"/>
      <c r="G20" s="5" t="n"/>
      <c r="H20" s="5" t="n"/>
      <c r="I20" s="5" t="n"/>
    </row>
    <row r="21" ht="45" customHeight="1">
      <c r="A21" s="12" t="inlineStr">
        <is>
          <t>N17</t>
        </is>
      </c>
      <c r="B21" s="5" t="n"/>
      <c r="C21" s="6">
        <f>IF(B21="","",A21&amp;" – "&amp;B21)</f>
        <v/>
      </c>
      <c r="D21" s="5" t="n"/>
      <c r="E21" s="5" t="n"/>
      <c r="F21" s="5" t="n"/>
      <c r="G21" s="5" t="n"/>
      <c r="H21" s="5" t="n"/>
      <c r="I21" s="5" t="n"/>
    </row>
    <row r="22" ht="45" customHeight="1">
      <c r="A22" s="12" t="inlineStr">
        <is>
          <t>N18</t>
        </is>
      </c>
      <c r="B22" s="5" t="n"/>
      <c r="C22" s="6">
        <f>IF(B22="","",A22&amp;" – "&amp;B22)</f>
        <v/>
      </c>
      <c r="D22" s="5" t="n"/>
      <c r="E22" s="5" t="n"/>
      <c r="F22" s="5" t="n"/>
      <c r="G22" s="5" t="n"/>
      <c r="H22" s="5" t="n"/>
      <c r="I22" s="5" t="n"/>
    </row>
    <row r="23" ht="45" customHeight="1">
      <c r="A23" s="12" t="inlineStr">
        <is>
          <t>N19</t>
        </is>
      </c>
      <c r="B23" s="5" t="n"/>
      <c r="C23" s="6">
        <f>IF(B23="","",A23&amp;" – "&amp;B23)</f>
        <v/>
      </c>
      <c r="D23" s="5" t="n"/>
      <c r="E23" s="5" t="n"/>
      <c r="F23" s="5" t="n"/>
      <c r="G23" s="5" t="n"/>
      <c r="H23" s="5" t="n"/>
      <c r="I23" s="5" t="n"/>
    </row>
    <row r="24" ht="45" customHeight="1">
      <c r="A24" s="12" t="inlineStr">
        <is>
          <t>N20</t>
        </is>
      </c>
      <c r="B24" s="5" t="n"/>
      <c r="C24" s="6">
        <f>IF(B24="","",A24&amp;" – "&amp;B24)</f>
        <v/>
      </c>
      <c r="D24" s="5" t="n"/>
      <c r="E24" s="5" t="n"/>
      <c r="F24" s="5" t="n"/>
      <c r="G24" s="5" t="n"/>
      <c r="H24" s="5" t="n"/>
      <c r="I24" s="5" t="n"/>
    </row>
    <row r="25" ht="45" customHeight="1">
      <c r="A25" s="12" t="inlineStr">
        <is>
          <t>N21</t>
        </is>
      </c>
      <c r="B25" s="5" t="n"/>
      <c r="C25" s="6">
        <f>IF(B25="","",A25&amp;" – "&amp;B25)</f>
        <v/>
      </c>
      <c r="D25" s="5" t="n"/>
      <c r="E25" s="5" t="n"/>
      <c r="F25" s="5" t="n"/>
      <c r="G25" s="5" t="n"/>
      <c r="H25" s="5" t="n"/>
      <c r="I25" s="5" t="n"/>
    </row>
    <row r="26" ht="45" customHeight="1">
      <c r="A26" s="12" t="inlineStr">
        <is>
          <t>N22</t>
        </is>
      </c>
      <c r="B26" s="5" t="n"/>
      <c r="C26" s="6">
        <f>IF(B26="","",A26&amp;" – "&amp;B26)</f>
        <v/>
      </c>
      <c r="D26" s="5" t="n"/>
      <c r="E26" s="5" t="n"/>
      <c r="F26" s="5" t="n"/>
      <c r="G26" s="5" t="n"/>
      <c r="H26" s="5" t="n"/>
      <c r="I26" s="5" t="n"/>
    </row>
    <row r="27" ht="45" customHeight="1">
      <c r="A27" s="12" t="inlineStr">
        <is>
          <t>N23</t>
        </is>
      </c>
      <c r="B27" s="5" t="n"/>
      <c r="C27" s="6">
        <f>IF(B27="","",A27&amp;" – "&amp;B27)</f>
        <v/>
      </c>
      <c r="D27" s="5" t="n"/>
      <c r="E27" s="5" t="n"/>
      <c r="F27" s="5" t="n"/>
      <c r="G27" s="5" t="n"/>
      <c r="H27" s="5" t="n"/>
      <c r="I27" s="5" t="n"/>
    </row>
    <row r="28" ht="45" customHeight="1">
      <c r="A28" s="12" t="inlineStr">
        <is>
          <t>N24</t>
        </is>
      </c>
      <c r="B28" s="5" t="n"/>
      <c r="C28" s="6">
        <f>IF(B28="","",A28&amp;" – "&amp;B28)</f>
        <v/>
      </c>
      <c r="D28" s="5" t="n"/>
      <c r="E28" s="5" t="n"/>
      <c r="F28" s="5" t="n"/>
      <c r="G28" s="5" t="n"/>
      <c r="H28" s="5" t="n"/>
      <c r="I28" s="5" t="n"/>
    </row>
    <row r="29" ht="45" customHeight="1">
      <c r="A29" s="12" t="inlineStr">
        <is>
          <t>N25</t>
        </is>
      </c>
      <c r="B29" s="5" t="n"/>
      <c r="C29" s="6">
        <f>IF(B29="","",A29&amp;" – "&amp;B29)</f>
        <v/>
      </c>
      <c r="D29" s="5" t="n"/>
      <c r="E29" s="5" t="n"/>
      <c r="F29" s="5" t="n"/>
      <c r="G29" s="5" t="n"/>
      <c r="H29" s="5" t="n"/>
      <c r="I29" s="5" t="n"/>
    </row>
    <row r="30" ht="45" customHeight="1">
      <c r="A30" s="12" t="inlineStr">
        <is>
          <t>N26</t>
        </is>
      </c>
      <c r="B30" s="5" t="n"/>
      <c r="C30" s="6">
        <f>IF(B30="","",A30&amp;" – "&amp;B30)</f>
        <v/>
      </c>
      <c r="D30" s="5" t="n"/>
      <c r="E30" s="5" t="n"/>
      <c r="F30" s="5" t="n"/>
      <c r="G30" s="5" t="n"/>
      <c r="H30" s="5" t="n"/>
      <c r="I30" s="5" t="n"/>
    </row>
    <row r="31" ht="45" customHeight="1">
      <c r="A31" s="12" t="inlineStr">
        <is>
          <t>N27</t>
        </is>
      </c>
      <c r="B31" s="5" t="n"/>
      <c r="C31" s="6">
        <f>IF(B31="","",A31&amp;" – "&amp;B31)</f>
        <v/>
      </c>
      <c r="D31" s="5" t="n"/>
      <c r="E31" s="5" t="n"/>
      <c r="F31" s="5" t="n"/>
      <c r="G31" s="5" t="n"/>
      <c r="H31" s="5" t="n"/>
      <c r="I31" s="5" t="n"/>
    </row>
    <row r="32" ht="45" customHeight="1">
      <c r="A32" s="12" t="inlineStr">
        <is>
          <t>N28</t>
        </is>
      </c>
      <c r="B32" s="5" t="n"/>
      <c r="C32" s="6">
        <f>IF(B32="","",A32&amp;" – "&amp;B32)</f>
        <v/>
      </c>
      <c r="D32" s="5" t="n"/>
      <c r="E32" s="5" t="n"/>
      <c r="F32" s="5" t="n"/>
      <c r="G32" s="5" t="n"/>
      <c r="H32" s="5" t="n"/>
      <c r="I32" s="5" t="n"/>
    </row>
    <row r="33" ht="45" customHeight="1">
      <c r="A33" s="12" t="inlineStr">
        <is>
          <t>N29</t>
        </is>
      </c>
      <c r="B33" s="5" t="n"/>
      <c r="C33" s="6">
        <f>IF(B33="","",A33&amp;" – "&amp;B33)</f>
        <v/>
      </c>
      <c r="D33" s="5" t="n"/>
      <c r="E33" s="5" t="n"/>
      <c r="F33" s="5" t="n"/>
      <c r="G33" s="5" t="n"/>
      <c r="H33" s="5" t="n"/>
      <c r="I33" s="5" t="n"/>
    </row>
    <row r="34" ht="45" customHeight="1">
      <c r="A34" s="12" t="inlineStr">
        <is>
          <t>N30</t>
        </is>
      </c>
      <c r="B34" s="5" t="n"/>
      <c r="C34" s="6">
        <f>IF(B34="","",A34&amp;" – "&amp;B34)</f>
        <v/>
      </c>
      <c r="D34" s="5" t="n"/>
      <c r="E34" s="5" t="n"/>
      <c r="F34" s="5" t="n"/>
      <c r="G34" s="5" t="n"/>
      <c r="H34" s="5" t="n"/>
      <c r="I34" s="5" t="n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P633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40" customWidth="1" min="3" max="3"/>
    <col width="14" customWidth="1" min="4" max="4"/>
    <col width="30" customWidth="1" min="5" max="5"/>
    <col width="40" customWidth="1" min="6" max="6"/>
    <col width="30" customWidth="1" min="8" max="8"/>
    <col width="80" customWidth="1" min="9" max="9"/>
    <col width="14" customWidth="1" min="11" max="11"/>
    <col width="34" customWidth="1" min="12" max="12"/>
    <col width="22" customWidth="1" min="14" max="14"/>
    <col width="8" customWidth="1" min="16" max="16"/>
  </cols>
  <sheetData>
    <row r="1">
      <c r="A1" s="1" t="inlineStr">
        <is>
          <t>DROP-DOWN LISTS</t>
        </is>
      </c>
    </row>
    <row r="2">
      <c r="A2" s="2" t="inlineStr">
        <is>
          <t>Source: HAZOP Guidewords – Chemical, Steel &amp; Metals. To add a cause, INSERT a row inside its key block (keys must stay grouped). [C] = mainly chemical, [S] = mainly steel &amp; metals.</t>
        </is>
      </c>
    </row>
    <row r="4">
      <c r="A4" s="8" t="inlineStr">
        <is>
          <t>Parameters</t>
        </is>
      </c>
      <c r="C4" s="8" t="inlineStr">
        <is>
          <t>Parameter</t>
        </is>
      </c>
      <c r="D4" s="8" t="inlineStr">
        <is>
          <t>Guideword</t>
        </is>
      </c>
      <c r="E4" s="8" t="inlineStr">
        <is>
          <t>Key</t>
        </is>
      </c>
      <c r="F4" s="8" t="inlineStr">
        <is>
          <t>Typical deviation (from guideword guide)</t>
        </is>
      </c>
      <c r="H4" s="8" t="inlineStr">
        <is>
          <t>Key (parameter|guideword)</t>
        </is>
      </c>
      <c r="I4" s="8" t="inlineStr">
        <is>
          <t>Potential cause</t>
        </is>
      </c>
      <c r="K4" s="8" t="inlineStr">
        <is>
          <t>Guideword</t>
        </is>
      </c>
      <c r="L4" s="8" t="inlineStr">
        <is>
          <t>Meaning</t>
        </is>
      </c>
      <c r="N4" s="8" t="inlineStr">
        <is>
          <t>PSI category</t>
        </is>
      </c>
      <c r="P4" s="8" t="inlineStr">
        <is>
          <t>IPL?</t>
        </is>
      </c>
    </row>
    <row r="5">
      <c r="A5" s="16" t="inlineStr">
        <is>
          <t>Flow</t>
        </is>
      </c>
      <c r="C5" s="16" t="inlineStr">
        <is>
          <t>Flow</t>
        </is>
      </c>
      <c r="D5" s="16" t="inlineStr">
        <is>
          <t>NO</t>
        </is>
      </c>
      <c r="E5" s="16" t="inlineStr">
        <is>
          <t>Flow|NO</t>
        </is>
      </c>
      <c r="F5" s="16" t="inlineStr">
        <is>
          <t>No flow</t>
        </is>
      </c>
      <c r="H5" s="16" t="inlineStr">
        <is>
          <t>Flow|NO</t>
        </is>
      </c>
      <c r="I5" s="16" t="inlineStr">
        <is>
          <t>Empty source vessel, feed tank, bin or gas holder</t>
        </is>
      </c>
      <c r="K5" s="16" t="inlineStr">
        <is>
          <t>NO</t>
        </is>
      </c>
      <c r="L5" s="16" t="inlineStr">
        <is>
          <t>Complete negation of intent</t>
        </is>
      </c>
      <c r="N5" s="16" t="inlineStr">
        <is>
          <t>Drawings</t>
        </is>
      </c>
      <c r="P5" s="16" t="inlineStr">
        <is>
          <t>Yes</t>
        </is>
      </c>
    </row>
    <row r="6">
      <c r="A6" s="16" t="inlineStr">
        <is>
          <t>Pressure</t>
        </is>
      </c>
      <c r="C6" s="16" t="inlineStr">
        <is>
          <t>Flow</t>
        </is>
      </c>
      <c r="D6" s="16" t="inlineStr">
        <is>
          <t>REVERSE</t>
        </is>
      </c>
      <c r="E6" s="16" t="inlineStr">
        <is>
          <t>Flow|REVERSE</t>
        </is>
      </c>
      <c r="F6" s="16" t="inlineStr">
        <is>
          <t>Reverse flow</t>
        </is>
      </c>
      <c r="H6" s="16" t="inlineStr">
        <is>
          <t>Flow|NO</t>
        </is>
      </c>
      <c r="I6" s="16" t="inlineStr">
        <is>
          <t>Wrong routing / incorrect valve line-up</t>
        </is>
      </c>
      <c r="K6" s="16" t="inlineStr">
        <is>
          <t>MORE</t>
        </is>
      </c>
      <c r="L6" s="16" t="inlineStr">
        <is>
          <t>Quantitative increase</t>
        </is>
      </c>
      <c r="N6" s="16" t="inlineStr">
        <is>
          <t>Process technology</t>
        </is>
      </c>
      <c r="P6" s="16" t="inlineStr">
        <is>
          <t>No</t>
        </is>
      </c>
    </row>
    <row r="7">
      <c r="A7" s="16" t="inlineStr">
        <is>
          <t>Temperature</t>
        </is>
      </c>
      <c r="C7" s="16" t="inlineStr">
        <is>
          <t>Flow</t>
        </is>
      </c>
      <c r="D7" s="16" t="inlineStr">
        <is>
          <t>MORE</t>
        </is>
      </c>
      <c r="E7" s="16" t="inlineStr">
        <is>
          <t>Flow|MORE</t>
        </is>
      </c>
      <c r="F7" s="16" t="inlineStr">
        <is>
          <t>More flow</t>
        </is>
      </c>
      <c r="H7" s="16" t="inlineStr">
        <is>
          <t>Flow|NO</t>
        </is>
      </c>
      <c r="I7" s="16" t="inlineStr">
        <is>
          <t>Blockage, gas lock or vapour lock</t>
        </is>
      </c>
      <c r="K7" s="16" t="inlineStr">
        <is>
          <t>LESS</t>
        </is>
      </c>
      <c r="L7" s="16" t="inlineStr">
        <is>
          <t>Quantitative decrease</t>
        </is>
      </c>
      <c r="N7" s="16" t="inlineStr">
        <is>
          <t>Hazardous materials</t>
        </is>
      </c>
    </row>
    <row r="8">
      <c r="A8" s="16" t="inlineStr">
        <is>
          <t>Level</t>
        </is>
      </c>
      <c r="C8" s="16" t="inlineStr">
        <is>
          <t>Flow</t>
        </is>
      </c>
      <c r="D8" s="16" t="inlineStr">
        <is>
          <t>LESS</t>
        </is>
      </c>
      <c r="E8" s="16" t="inlineStr">
        <is>
          <t>Flow|LESS</t>
        </is>
      </c>
      <c r="F8" s="16" t="inlineStr">
        <is>
          <t>Less flow</t>
        </is>
      </c>
      <c r="H8" s="16" t="inlineStr">
        <is>
          <t>Flow|NO</t>
        </is>
      </c>
      <c r="I8" s="16" t="inlineStr">
        <is>
          <t>Slip plate / spectacle blind left in or incorrectly installed</t>
        </is>
      </c>
      <c r="K8" s="16" t="inlineStr">
        <is>
          <t>AS WELL AS</t>
        </is>
      </c>
      <c r="L8" s="16" t="inlineStr">
        <is>
          <t>Something additional present</t>
        </is>
      </c>
      <c r="N8" s="16" t="inlineStr">
        <is>
          <t>Equipment</t>
        </is>
      </c>
    </row>
    <row r="9">
      <c r="A9" s="16" t="inlineStr">
        <is>
          <t>Composition</t>
        </is>
      </c>
      <c r="C9" s="16" t="inlineStr">
        <is>
          <t>Flow</t>
        </is>
      </c>
      <c r="D9" s="16" t="inlineStr">
        <is>
          <t>OTHER THAN</t>
        </is>
      </c>
      <c r="E9" s="16" t="inlineStr">
        <is>
          <t>Flow|OTHER THAN</t>
        </is>
      </c>
      <c r="F9" s="16" t="inlineStr">
        <is>
          <t>Misdirected flow (Other than – wrong destination)</t>
        </is>
      </c>
      <c r="H9" s="16" t="inlineStr">
        <is>
          <t>Flow|NO</t>
        </is>
      </c>
      <c r="I9" s="16" t="inlineStr">
        <is>
          <t>Non-return valve fitted the wrong way round</t>
        </is>
      </c>
      <c r="K9" s="16" t="inlineStr">
        <is>
          <t>PART OF</t>
        </is>
      </c>
      <c r="L9" s="16" t="inlineStr">
        <is>
          <t>Only part of intent achieved</t>
        </is>
      </c>
      <c r="N9" s="16" t="inlineStr">
        <is>
          <t>Procedures</t>
        </is>
      </c>
    </row>
    <row r="10">
      <c r="A10" s="16" t="inlineStr">
        <is>
          <t>Phase</t>
        </is>
      </c>
      <c r="C10" s="16" t="inlineStr">
        <is>
          <t>Flow</t>
        </is>
      </c>
      <c r="D10" s="16" t="inlineStr">
        <is>
          <t>AS WELL AS</t>
        </is>
      </c>
      <c r="E10" s="16" t="inlineStr">
        <is>
          <t>Flow|AS WELL AS</t>
        </is>
      </c>
      <c r="F10" s="16" t="inlineStr">
        <is>
          <t>As well as (additional material or phase in the flow)</t>
        </is>
      </c>
      <c r="H10" s="16" t="inlineStr">
        <is>
          <t>Flow|NO</t>
        </is>
      </c>
      <c r="I10" s="16" t="inlineStr">
        <is>
          <t>Burst pipe or large leak upstream</t>
        </is>
      </c>
      <c r="K10" s="16" t="inlineStr">
        <is>
          <t>REVERSE</t>
        </is>
      </c>
      <c r="L10" s="16" t="inlineStr">
        <is>
          <t>Logical opposite</t>
        </is>
      </c>
      <c r="N10" s="16" t="inlineStr">
        <is>
          <t>Previous studies</t>
        </is>
      </c>
    </row>
    <row r="11">
      <c r="A11" s="16" t="inlineStr">
        <is>
          <t>Reaction</t>
        </is>
      </c>
      <c r="C11" s="16" t="inlineStr">
        <is>
          <t>Pressure</t>
        </is>
      </c>
      <c r="D11" s="16" t="inlineStr">
        <is>
          <t>MORE</t>
        </is>
      </c>
      <c r="E11" s="16" t="inlineStr">
        <is>
          <t>Pressure|MORE</t>
        </is>
      </c>
      <c r="F11" s="16" t="inlineStr">
        <is>
          <t>More pressure</t>
        </is>
      </c>
      <c r="H11" s="16" t="inlineStr">
        <is>
          <t>Flow|NO</t>
        </is>
      </c>
      <c r="I11" s="16" t="inlineStr">
        <is>
          <t>Equipment failure – control valve fails closed, isolation valve, pump or compressor trip, vessel failure</t>
        </is>
      </c>
      <c r="K11" s="16" t="inlineStr">
        <is>
          <t>OTHER THAN</t>
        </is>
      </c>
      <c r="L11" s="16" t="inlineStr">
        <is>
          <t>Complete substitution</t>
        </is>
      </c>
      <c r="N11" s="16" t="inlineStr">
        <is>
          <t>Other</t>
        </is>
      </c>
    </row>
    <row r="12">
      <c r="A12" s="16" t="inlineStr">
        <is>
          <t>Mixing / agitation</t>
        </is>
      </c>
      <c r="C12" s="16" t="inlineStr">
        <is>
          <t>Pressure</t>
        </is>
      </c>
      <c r="D12" s="16" t="inlineStr">
        <is>
          <t>LESS</t>
        </is>
      </c>
      <c r="E12" s="16" t="inlineStr">
        <is>
          <t>Pressure|LESS</t>
        </is>
      </c>
      <c r="F12" s="16" t="inlineStr">
        <is>
          <t>Less pressure (vacuum)</t>
        </is>
      </c>
      <c r="H12" s="16" t="inlineStr">
        <is>
          <t>Flow|NO</t>
        </is>
      </c>
      <c r="I12" s="16" t="inlineStr">
        <is>
          <t>Incorrect pressure differential (downstream pressure higher than upstream)</t>
        </is>
      </c>
      <c r="K12" s="16" t="inlineStr">
        <is>
          <t>EARLY</t>
        </is>
      </c>
      <c r="L12" s="16" t="inlineStr">
        <is>
          <t>Relative to clock time</t>
        </is>
      </c>
    </row>
    <row r="13">
      <c r="A13" s="16" t="inlineStr">
        <is>
          <t>Timing / sequence</t>
        </is>
      </c>
      <c r="C13" s="16" t="inlineStr">
        <is>
          <t>Pressure</t>
        </is>
      </c>
      <c r="D13" s="16" t="inlineStr">
        <is>
          <t>FLUCTUATING</t>
        </is>
      </c>
      <c r="E13" s="16" t="inlineStr">
        <is>
          <t>Pressure|FLUCTUATING</t>
        </is>
      </c>
      <c r="F13" s="16" t="inlineStr">
        <is>
          <t>Pressure fluctuation / surge</t>
        </is>
      </c>
      <c r="H13" s="16" t="inlineStr">
        <is>
          <t>Flow|NO</t>
        </is>
      </c>
      <c r="I13" s="16" t="inlineStr">
        <is>
          <t>Isolation in error (wrong valve closed, LOTO on wrong equipment)</t>
        </is>
      </c>
      <c r="K13" s="16" t="inlineStr">
        <is>
          <t>LATE</t>
        </is>
      </c>
      <c r="L13" s="16" t="inlineStr">
        <is>
          <t>Relative to clock time</t>
        </is>
      </c>
    </row>
    <row r="14">
      <c r="A14" s="16" t="inlineStr">
        <is>
          <t>Rate of change</t>
        </is>
      </c>
      <c r="C14" s="16" t="inlineStr">
        <is>
          <t>Temperature</t>
        </is>
      </c>
      <c r="D14" s="16" t="inlineStr">
        <is>
          <t>MORE</t>
        </is>
      </c>
      <c r="E14" s="16" t="inlineStr">
        <is>
          <t>Temperature|MORE</t>
        </is>
      </c>
      <c r="F14" s="16" t="inlineStr">
        <is>
          <t>More temperature</t>
        </is>
      </c>
      <c r="H14" s="16" t="inlineStr">
        <is>
          <t>Flow|NO</t>
        </is>
      </c>
      <c r="I14" s="16" t="inlineStr">
        <is>
          <t>Power failure; instrument air failure (valves go to fail position)</t>
        </is>
      </c>
      <c r="K14" s="16" t="inlineStr">
        <is>
          <t>BEFORE</t>
        </is>
      </c>
      <c r="L14" s="16" t="inlineStr">
        <is>
          <t>Relative to sequence</t>
        </is>
      </c>
    </row>
    <row r="15">
      <c r="A15" s="16" t="inlineStr">
        <is>
          <t>Viscosity / density</t>
        </is>
      </c>
      <c r="C15" s="16" t="inlineStr">
        <is>
          <t>Temperature</t>
        </is>
      </c>
      <c r="D15" s="16" t="inlineStr">
        <is>
          <t>LESS</t>
        </is>
      </c>
      <c r="E15" s="16" t="inlineStr">
        <is>
          <t>Temperature|LESS</t>
        </is>
      </c>
      <c r="F15" s="16" t="inlineStr">
        <is>
          <t>Less temperature</t>
        </is>
      </c>
      <c r="H15" s="16" t="inlineStr">
        <is>
          <t>Flow|NO</t>
        </is>
      </c>
      <c r="I15" s="16" t="inlineStr">
        <is>
          <t>Control system / DCS / PLC failure; spurious trip</t>
        </is>
      </c>
      <c r="K15" s="16" t="inlineStr">
        <is>
          <t>AFTER</t>
        </is>
      </c>
      <c r="L15" s="16" t="inlineStr">
        <is>
          <t>Relative to sequence</t>
        </is>
      </c>
    </row>
    <row r="16">
      <c r="A16" s="16" t="inlineStr">
        <is>
          <t>Molten metal / slag containment</t>
        </is>
      </c>
      <c r="C16" s="16" t="inlineStr">
        <is>
          <t>Level</t>
        </is>
      </c>
      <c r="D16" s="16" t="inlineStr">
        <is>
          <t>MORE</t>
        </is>
      </c>
      <c r="E16" s="16" t="inlineStr">
        <is>
          <t>Level|MORE</t>
        </is>
      </c>
      <c r="F16" s="16" t="inlineStr">
        <is>
          <t>High level</t>
        </is>
      </c>
      <c r="H16" s="16" t="inlineStr">
        <is>
          <t>Flow|NO</t>
        </is>
      </c>
      <c r="I16" s="16" t="inlineStr">
        <is>
          <t>Line frozen or solidified (loss of heat tracing or jacket heating)</t>
        </is>
      </c>
      <c r="K16" s="16" t="inlineStr">
        <is>
          <t>FASTER</t>
        </is>
      </c>
      <c r="L16" s="16" t="inlineStr">
        <is>
          <t>Rate of step / change</t>
        </is>
      </c>
    </row>
    <row r="17">
      <c r="A17" s="16" t="inlineStr">
        <is>
          <t>Water contact with molten metal / slag</t>
        </is>
      </c>
      <c r="C17" s="16" t="inlineStr">
        <is>
          <t>Level</t>
        </is>
      </c>
      <c r="D17" s="16" t="inlineStr">
        <is>
          <t>LESS</t>
        </is>
      </c>
      <c r="E17" s="16" t="inlineStr">
        <is>
          <t>Level|LESS</t>
        </is>
      </c>
      <c r="F17" s="16" t="inlineStr">
        <is>
          <t>Low level / no level</t>
        </is>
      </c>
      <c r="H17" s="16" t="inlineStr">
        <is>
          <t>Flow|NO</t>
        </is>
      </c>
      <c r="I17" s="16" t="inlineStr">
        <is>
          <t>[C] Polymerisation, crystallisation or hydrate formation in the line</t>
        </is>
      </c>
      <c r="K17" s="16" t="inlineStr">
        <is>
          <t>SLOWER</t>
        </is>
      </c>
      <c r="L17" s="16" t="inlineStr">
        <is>
          <t>Rate of step / change</t>
        </is>
      </c>
    </row>
    <row r="18">
      <c r="A18" s="16" t="inlineStr">
        <is>
          <t>Cooling water flow (water-cooled elements)</t>
        </is>
      </c>
      <c r="C18" s="16" t="inlineStr">
        <is>
          <t>Level</t>
        </is>
      </c>
      <c r="D18" s="16" t="inlineStr">
        <is>
          <t>NO</t>
        </is>
      </c>
      <c r="E18" s="16" t="inlineStr">
        <is>
          <t>Level|NO</t>
        </is>
      </c>
      <c r="F18" s="16" t="inlineStr">
        <is>
          <t>Low level / no level</t>
        </is>
      </c>
      <c r="H18" s="16" t="inlineStr">
        <is>
          <t>Flow|NO</t>
        </is>
      </c>
      <c r="I18" s="16" t="inlineStr">
        <is>
          <t>[S] Molten metal or slag frozen in launder, runner, tap hole or nozzle (skull formation)</t>
        </is>
      </c>
      <c r="K18" s="16" t="inlineStr">
        <is>
          <t>FLUCTUATING</t>
        </is>
      </c>
      <c r="L18" s="16" t="inlineStr">
        <is>
          <t>Unstable / surging</t>
        </is>
      </c>
    </row>
    <row r="19">
      <c r="A19" s="16" t="inlineStr">
        <is>
          <t>Water-cooled element integrity</t>
        </is>
      </c>
      <c r="C19" s="16" t="inlineStr">
        <is>
          <t>Composition</t>
        </is>
      </c>
      <c r="D19" s="16" t="inlineStr">
        <is>
          <t>AS WELL AS</t>
        </is>
      </c>
      <c r="E19" s="16" t="inlineStr">
        <is>
          <t>Composition|AS WELL AS</t>
        </is>
      </c>
      <c r="F19" s="16" t="inlineStr">
        <is>
          <t>Contamination / composition change (As well as)</t>
        </is>
      </c>
      <c r="H19" s="16" t="inlineStr">
        <is>
          <t>Flow|NO</t>
        </is>
      </c>
      <c r="I19" s="16" t="inlineStr">
        <is>
          <t>[S] Blocked tuyere, lance tip, burner or porous plug</t>
        </is>
      </c>
      <c r="K19" s="16" t="inlineStr">
        <is>
          <t>LOSS OF</t>
        </is>
      </c>
      <c r="L19" s="16" t="inlineStr">
        <is>
          <t>Loss of function or containment</t>
        </is>
      </c>
    </row>
    <row r="20">
      <c r="A20" s="16" t="inlineStr">
        <is>
          <t>Process gas (CO, H2 – BFG, COG, LD gas, reducing gas)</t>
        </is>
      </c>
      <c r="C20" s="16" t="inlineStr">
        <is>
          <t>Composition</t>
        </is>
      </c>
      <c r="D20" s="16" t="inlineStr">
        <is>
          <t>PART OF</t>
        </is>
      </c>
      <c r="E20" s="16" t="inlineStr">
        <is>
          <t>Composition|PART OF</t>
        </is>
      </c>
      <c r="F20" s="16" t="inlineStr">
        <is>
          <t>Part of (wrong ratio / concentration)</t>
        </is>
      </c>
      <c r="H20" s="16" t="inlineStr">
        <is>
          <t>Flow|NO</t>
        </is>
      </c>
      <c r="I20" s="16" t="inlineStr">
        <is>
          <t>[S] Bridging / hang-up of burden, DRI, pellets or scrap in bins, chutes or shaft furnace</t>
        </is>
      </c>
      <c r="K20" s="16" t="inlineStr">
        <is>
          <t>LEAK OF</t>
        </is>
      </c>
      <c r="L20" s="16" t="inlineStr">
        <is>
          <t>Release from containment</t>
        </is>
      </c>
    </row>
    <row r="21">
      <c r="A21" s="16" t="inlineStr">
        <is>
          <t>Air / oxygen in process gas</t>
        </is>
      </c>
      <c r="C21" s="16" t="inlineStr">
        <is>
          <t>Composition</t>
        </is>
      </c>
      <c r="D21" s="16" t="inlineStr">
        <is>
          <t>OTHER THAN</t>
        </is>
      </c>
      <c r="E21" s="16" t="inlineStr">
        <is>
          <t>Composition|OTHER THAN</t>
        </is>
      </c>
      <c r="F21" s="16" t="inlineStr">
        <is>
          <t>Other than (wrong material)</t>
        </is>
      </c>
      <c r="H21" s="16" t="inlineStr">
        <is>
          <t>Flow|NO</t>
        </is>
      </c>
      <c r="I21" s="16" t="inlineStr">
        <is>
          <t>[S] Conveyor, feeder or vibratory feeder stopped (belt tear, drive trip, chute blockage)</t>
        </is>
      </c>
      <c r="K21" s="16" t="inlineStr">
        <is>
          <t>INADEQUATE</t>
        </is>
      </c>
      <c r="L21" s="16" t="inlineStr">
        <is>
          <t>Auxiliary topic not adequately provided</t>
        </is>
      </c>
    </row>
    <row r="22">
      <c r="A22" s="16" t="inlineStr">
        <is>
          <t>Oxygen (lances, burners, pipelines)</t>
        </is>
      </c>
      <c r="C22" s="16" t="inlineStr">
        <is>
          <t>Phase</t>
        </is>
      </c>
      <c r="D22" s="16" t="inlineStr">
        <is>
          <t>OTHER THAN</t>
        </is>
      </c>
      <c r="E22" s="16" t="inlineStr">
        <is>
          <t>Phase|OTHER THAN</t>
        </is>
      </c>
      <c r="F22" s="16" t="inlineStr">
        <is>
          <t>Unintended phase change</t>
        </is>
      </c>
      <c r="H22" s="16" t="inlineStr">
        <is>
          <t>Flow|REVERSE</t>
        </is>
      </c>
      <c r="I22" s="16" t="inlineStr">
        <is>
          <t>Defective or passing non-return valve</t>
        </is>
      </c>
      <c r="K22" s="16" t="inlineStr">
        <is>
          <t>REVIEW</t>
        </is>
      </c>
      <c r="L22" s="16" t="inlineStr">
        <is>
          <t>Overview topic (whole-study review)</t>
        </is>
      </c>
    </row>
    <row r="23">
      <c r="A23" s="16" t="inlineStr">
        <is>
          <t>Inert gas (N2, Ar)</t>
        </is>
      </c>
      <c r="C23" s="16" t="inlineStr">
        <is>
          <t>Reaction</t>
        </is>
      </c>
      <c r="D23" s="16" t="inlineStr">
        <is>
          <t>MORE</t>
        </is>
      </c>
      <c r="E23" s="16" t="inlineStr">
        <is>
          <t>Reaction|MORE</t>
        </is>
      </c>
      <c r="F23" s="16" t="inlineStr">
        <is>
          <t>More reaction / runaway</t>
        </is>
      </c>
      <c r="H23" s="16" t="inlineStr">
        <is>
          <t>Flow|REVERSE</t>
        </is>
      </c>
      <c r="I23" s="16" t="inlineStr">
        <is>
          <t>Siphon effect</t>
        </is>
      </c>
    </row>
    <row r="24">
      <c r="A24" s="16" t="inlineStr">
        <is>
          <t>Electrical energy (furnace / electrolysis)</t>
        </is>
      </c>
      <c r="C24" s="16" t="inlineStr">
        <is>
          <t>Reaction</t>
        </is>
      </c>
      <c r="D24" s="16" t="inlineStr">
        <is>
          <t>LESS</t>
        </is>
      </c>
      <c r="E24" s="16" t="inlineStr">
        <is>
          <t>Reaction|LESS</t>
        </is>
      </c>
      <c r="F24" s="16" t="inlineStr">
        <is>
          <t>Less / no reaction</t>
        </is>
      </c>
      <c r="H24" s="16" t="inlineStr">
        <is>
          <t>Flow|REVERSE</t>
        </is>
      </c>
      <c r="I24" s="16" t="inlineStr">
        <is>
          <t>Incorrect differential pressure</t>
        </is>
      </c>
    </row>
    <row r="25">
      <c r="A25" s="16" t="inlineStr">
        <is>
          <t>Solid charge materials</t>
        </is>
      </c>
      <c r="C25" s="16" t="inlineStr">
        <is>
          <t>Reaction</t>
        </is>
      </c>
      <c r="D25" s="16" t="inlineStr">
        <is>
          <t>NO</t>
        </is>
      </c>
      <c r="E25" s="16" t="inlineStr">
        <is>
          <t>Reaction|NO</t>
        </is>
      </c>
      <c r="F25" s="16" t="inlineStr">
        <is>
          <t>Less / no reaction</t>
        </is>
      </c>
      <c r="H25" s="16" t="inlineStr">
        <is>
          <t>Flow|REVERSE</t>
        </is>
      </c>
      <c r="I25" s="16" t="inlineStr">
        <is>
          <t>Two-way flow in common headers</t>
        </is>
      </c>
    </row>
    <row r="26">
      <c r="A26" s="16" t="inlineStr">
        <is>
          <t>Hot DRI / HBI temperature</t>
        </is>
      </c>
      <c r="C26" s="16" t="inlineStr">
        <is>
          <t>Reaction</t>
        </is>
      </c>
      <c r="D26" s="16" t="inlineStr">
        <is>
          <t>OTHER THAN</t>
        </is>
      </c>
      <c r="E26" s="16" t="inlineStr">
        <is>
          <t>Reaction|OTHER THAN</t>
        </is>
      </c>
      <c r="F26" s="16" t="inlineStr">
        <is>
          <t>Unwanted side reaction (Other than)</t>
        </is>
      </c>
      <c r="H26" s="16" t="inlineStr">
        <is>
          <t>Flow|REVERSE</t>
        </is>
      </c>
      <c r="I26" s="16" t="inlineStr">
        <is>
          <t>Poor isolation / passing valves</t>
        </is>
      </c>
    </row>
    <row r="27">
      <c r="A27" s="16" t="inlineStr">
        <is>
          <t>Combustible dust</t>
        </is>
      </c>
      <c r="C27" s="16" t="inlineStr">
        <is>
          <t>Mixing / agitation</t>
        </is>
      </c>
      <c r="D27" s="16" t="inlineStr">
        <is>
          <t>NO</t>
        </is>
      </c>
      <c r="E27" s="16" t="inlineStr">
        <is>
          <t>Mixing / agitation|NO</t>
        </is>
      </c>
      <c r="F27" s="16" t="inlineStr">
        <is>
          <t>No / less / more mixing</t>
        </is>
      </c>
      <c r="H27" s="16" t="inlineStr">
        <is>
          <t>Flow|REVERSE</t>
        </is>
      </c>
      <c r="I27" s="16" t="inlineStr">
        <is>
          <t>Emergency venting or depressurisation</t>
        </is>
      </c>
    </row>
    <row r="28">
      <c r="A28" s="16" t="inlineStr">
        <is>
          <t>Hydraulic / lube oil</t>
        </is>
      </c>
      <c r="C28" s="16" t="inlineStr">
        <is>
          <t>Mixing / agitation</t>
        </is>
      </c>
      <c r="D28" s="16" t="inlineStr">
        <is>
          <t>LESS</t>
        </is>
      </c>
      <c r="E28" s="16" t="inlineStr">
        <is>
          <t>Mixing / agitation|LESS</t>
        </is>
      </c>
      <c r="F28" s="16" t="inlineStr">
        <is>
          <t>No / less / more mixing</t>
        </is>
      </c>
      <c r="H28" s="16" t="inlineStr">
        <is>
          <t>Flow|REVERSE</t>
        </is>
      </c>
      <c r="I28" s="16" t="inlineStr">
        <is>
          <t>Incorrect operation (valve opened out of sequence)</t>
        </is>
      </c>
    </row>
    <row r="29">
      <c r="A29" s="16" t="inlineStr">
        <is>
          <t>Load control (cranes, ladle / transfer cars)</t>
        </is>
      </c>
      <c r="C29" s="16" t="inlineStr">
        <is>
          <t>Mixing / agitation</t>
        </is>
      </c>
      <c r="D29" s="16" t="inlineStr">
        <is>
          <t>MORE</t>
        </is>
      </c>
      <c r="E29" s="16" t="inlineStr">
        <is>
          <t>Mixing / agitation|MORE</t>
        </is>
      </c>
      <c r="F29" s="16" t="inlineStr">
        <is>
          <t>No / less / more mixing</t>
        </is>
      </c>
      <c r="H29" s="16" t="inlineStr">
        <is>
          <t>Flow|REVERSE</t>
        </is>
      </c>
      <c r="I29" s="16" t="inlineStr">
        <is>
          <t>Pump failure or pump running in reverse (wrong rotation after motor rewiring)</t>
        </is>
      </c>
    </row>
    <row r="30">
      <c r="A30" s="16" t="inlineStr">
        <is>
          <t>Casting speed / mould level</t>
        </is>
      </c>
      <c r="C30" s="16" t="inlineStr">
        <is>
          <t>Timing / sequence</t>
        </is>
      </c>
      <c r="D30" s="16" t="inlineStr">
        <is>
          <t>EARLY</t>
        </is>
      </c>
      <c r="E30" s="16" t="inlineStr">
        <is>
          <t>Timing / sequence|EARLY</t>
        </is>
      </c>
      <c r="F30" s="16" t="inlineStr">
        <is>
          <t>Early / late / before / after / step omitted</t>
        </is>
      </c>
      <c r="H30" s="16" t="inlineStr">
        <is>
          <t>Flow|REVERSE</t>
        </is>
      </c>
      <c r="I30" s="16" t="inlineStr">
        <is>
          <t>[C] Process fluid backflow into utility lines (nitrogen, steam, cooling water, potable water) when utility pressure is lower than process</t>
        </is>
      </c>
    </row>
    <row r="31">
      <c r="A31" s="16" t="inlineStr">
        <is>
          <t>Refractory</t>
        </is>
      </c>
      <c r="C31" s="16" t="inlineStr">
        <is>
          <t>Timing / sequence</t>
        </is>
      </c>
      <c r="D31" s="16" t="inlineStr">
        <is>
          <t>LATE</t>
        </is>
      </c>
      <c r="E31" s="16" t="inlineStr">
        <is>
          <t>Timing / sequence|LATE</t>
        </is>
      </c>
      <c r="F31" s="16" t="inlineStr">
        <is>
          <t>Early / late / before / after / step omitted</t>
        </is>
      </c>
      <c r="H31" s="16" t="inlineStr">
        <is>
          <t>Flow|REVERSE</t>
        </is>
      </c>
      <c r="I31" s="16" t="inlineStr">
        <is>
          <t>[S] CO-rich process gas (BFG, COG, BOF/LD gas, DRI top gas) backflowing into nitrogen, air or steam headers</t>
        </is>
      </c>
    </row>
    <row r="32">
      <c r="A32" s="16" t="inlineStr">
        <is>
          <t>Pickling acid / zinc bath</t>
        </is>
      </c>
      <c r="C32" s="16" t="inlineStr">
        <is>
          <t>Timing / sequence</t>
        </is>
      </c>
      <c r="D32" s="16" t="inlineStr">
        <is>
          <t>BEFORE</t>
        </is>
      </c>
      <c r="E32" s="16" t="inlineStr">
        <is>
          <t>Timing / sequence|BEFORE</t>
        </is>
      </c>
      <c r="F32" s="16" t="inlineStr">
        <is>
          <t>Early / late / before / after / step omitted</t>
        </is>
      </c>
      <c r="H32" s="16" t="inlineStr">
        <is>
          <t>Flow|REVERSE</t>
        </is>
      </c>
      <c r="I32" s="16" t="inlineStr">
        <is>
          <t>[S] Flashback in fuel-gas, oxygen or oxy-fuel lines (flame arrestor missing or failed)</t>
        </is>
      </c>
    </row>
    <row r="33">
      <c r="A33" s="16" t="inlineStr">
        <is>
          <t>Relief</t>
        </is>
      </c>
      <c r="C33" s="16" t="inlineStr">
        <is>
          <t>Timing / sequence</t>
        </is>
      </c>
      <c r="D33" s="16" t="inlineStr">
        <is>
          <t>AFTER</t>
        </is>
      </c>
      <c r="E33" s="16" t="inlineStr">
        <is>
          <t>Timing / sequence|AFTER</t>
        </is>
      </c>
      <c r="F33" s="16" t="inlineStr">
        <is>
          <t>Early / late / before / after / step omitted</t>
        </is>
      </c>
      <c r="H33" s="16" t="inlineStr">
        <is>
          <t>Flow|REVERSE</t>
        </is>
      </c>
      <c r="I33" s="16" t="inlineStr">
        <is>
          <t>[S] Loss of water seal / seal pot allowing gas back-flow into the plant or atmosphere</t>
        </is>
      </c>
    </row>
    <row r="34">
      <c r="A34" s="16" t="inlineStr">
        <is>
          <t>Process control / instrumentation</t>
        </is>
      </c>
      <c r="C34" s="16" t="inlineStr">
        <is>
          <t>Timing / sequence</t>
        </is>
      </c>
      <c r="D34" s="16" t="inlineStr">
        <is>
          <t>NO</t>
        </is>
      </c>
      <c r="E34" s="16" t="inlineStr">
        <is>
          <t>Timing / sequence|NO</t>
        </is>
      </c>
      <c r="F34" s="16" t="inlineStr">
        <is>
          <t>Early / late / before / after / step omitted</t>
        </is>
      </c>
      <c r="H34" s="16" t="inlineStr">
        <is>
          <t>Flow|REVERSE</t>
        </is>
      </c>
      <c r="I34" s="16" t="inlineStr">
        <is>
          <t>[S] Reverse flow of cooling water due to loss of pump with elevated header (draining of cooling circuits)</t>
        </is>
      </c>
    </row>
    <row r="35">
      <c r="A35" s="16" t="inlineStr">
        <is>
          <t>Sampling</t>
        </is>
      </c>
      <c r="C35" s="16" t="inlineStr">
        <is>
          <t>Rate of change</t>
        </is>
      </c>
      <c r="D35" s="16" t="inlineStr">
        <is>
          <t>FASTER</t>
        </is>
      </c>
      <c r="E35" s="16" t="inlineStr">
        <is>
          <t>Rate of change|FASTER</t>
        </is>
      </c>
      <c r="F35" s="16" t="inlineStr">
        <is>
          <t>Faster / slower</t>
        </is>
      </c>
      <c r="H35" s="16" t="inlineStr">
        <is>
          <t>Flow|MORE</t>
        </is>
      </c>
      <c r="I35" s="16" t="inlineStr">
        <is>
          <t>High level in upstream vessel (higher static head)</t>
        </is>
      </c>
    </row>
    <row r="36">
      <c r="A36" s="16" t="inlineStr">
        <is>
          <t>Corrosion / erosion</t>
        </is>
      </c>
      <c r="C36" s="16" t="inlineStr">
        <is>
          <t>Rate of change</t>
        </is>
      </c>
      <c r="D36" s="16" t="inlineStr">
        <is>
          <t>SLOWER</t>
        </is>
      </c>
      <c r="E36" s="16" t="inlineStr">
        <is>
          <t>Rate of change|SLOWER</t>
        </is>
      </c>
      <c r="F36" s="16" t="inlineStr">
        <is>
          <t>Faster / slower</t>
        </is>
      </c>
      <c r="H36" s="16" t="inlineStr">
        <is>
          <t>Flow|MORE</t>
        </is>
      </c>
      <c r="I36" s="16" t="inlineStr">
        <is>
          <t>Increased pumping capacity (parallel pumps started, larger impeller fitted)</t>
        </is>
      </c>
    </row>
    <row r="37">
      <c r="A37" s="16" t="inlineStr">
        <is>
          <t>Utilities / services</t>
        </is>
      </c>
      <c r="C37" s="16" t="inlineStr">
        <is>
          <t>Viscosity / density</t>
        </is>
      </c>
      <c r="D37" s="16" t="inlineStr">
        <is>
          <t>MORE</t>
        </is>
      </c>
      <c r="E37" s="16" t="inlineStr">
        <is>
          <t>Viscosity / density|MORE</t>
        </is>
      </c>
      <c r="F37" s="16" t="inlineStr">
        <is>
          <t>More / less viscosity or density</t>
        </is>
      </c>
      <c r="H37" s="16" t="inlineStr">
        <is>
          <t>Flow|MORE</t>
        </is>
      </c>
      <c r="I37" s="16" t="inlineStr">
        <is>
          <t>Increased suction pressure / reduced delivery head</t>
        </is>
      </c>
    </row>
    <row r="38">
      <c r="A38" s="16" t="inlineStr">
        <is>
          <t>Maintenance</t>
        </is>
      </c>
      <c r="C38" s="16" t="inlineStr">
        <is>
          <t>Viscosity / density</t>
        </is>
      </c>
      <c r="D38" s="16" t="inlineStr">
        <is>
          <t>LESS</t>
        </is>
      </c>
      <c r="E38" s="16" t="inlineStr">
        <is>
          <t>Viscosity / density|LESS</t>
        </is>
      </c>
      <c r="F38" s="16" t="inlineStr">
        <is>
          <t>More / less viscosity or density</t>
        </is>
      </c>
      <c r="H38" s="16" t="inlineStr">
        <is>
          <t>Flow|MORE</t>
        </is>
      </c>
      <c r="I38" s="16" t="inlineStr">
        <is>
          <t>Greater fluid density</t>
        </is>
      </c>
    </row>
    <row r="39">
      <c r="A39" s="16" t="inlineStr">
        <is>
          <t>Spare equipment</t>
        </is>
      </c>
      <c r="C39" s="16" t="inlineStr">
        <is>
          <t>Molten metal / slag containment</t>
        </is>
      </c>
      <c r="D39" s="16" t="inlineStr">
        <is>
          <t>LOSS OF</t>
        </is>
      </c>
      <c r="E39" s="16" t="inlineStr">
        <is>
          <t>Molten metal / slag containment|LOSS OF</t>
        </is>
      </c>
      <c r="F39" s="16" t="inlineStr">
        <is>
          <t>Loss of containment (breakout, spill, splash)</t>
        </is>
      </c>
      <c r="H39" s="16" t="inlineStr">
        <is>
          <t>Flow|MORE</t>
        </is>
      </c>
      <c r="I39" s="16" t="inlineStr">
        <is>
          <t>Exchanger tube leaks (high-pressure side into low-pressure side)</t>
        </is>
      </c>
    </row>
    <row r="40">
      <c r="A40" s="16" t="inlineStr">
        <is>
          <t>Electrical safety / static</t>
        </is>
      </c>
      <c r="C40" s="16" t="inlineStr">
        <is>
          <t>Water contact with molten metal / slag</t>
        </is>
      </c>
      <c r="D40" s="16" t="inlineStr">
        <is>
          <t>AS WELL AS</t>
        </is>
      </c>
      <c r="E40" s="16" t="inlineStr">
        <is>
          <t>Water contact with molten metal / slag|AS WELL AS</t>
        </is>
      </c>
      <c r="F40" s="16" t="inlineStr">
        <is>
          <t>Molten metal / slag contact with water (As well as)</t>
        </is>
      </c>
      <c r="H40" s="16" t="inlineStr">
        <is>
          <t>Flow|MORE</t>
        </is>
      </c>
      <c r="I40" s="16" t="inlineStr">
        <is>
          <t>Restriction orifice plates deleted or scale dislodged</t>
        </is>
      </c>
    </row>
    <row r="41">
      <c r="A41" s="16" t="inlineStr">
        <is>
          <t>Operator action</t>
        </is>
      </c>
      <c r="C41" s="16" t="inlineStr">
        <is>
          <t>Cooling water flow (water-cooled elements)</t>
        </is>
      </c>
      <c r="D41" s="16" t="inlineStr">
        <is>
          <t>NO</t>
        </is>
      </c>
      <c r="E41" s="16" t="inlineStr">
        <is>
          <t>Cooling water flow (water-cooled elements)|NO</t>
        </is>
      </c>
      <c r="F41" s="16" t="inlineStr">
        <is>
          <t>No / less cooling water</t>
        </is>
      </c>
      <c r="H41" s="16" t="inlineStr">
        <is>
          <t>Flow|MORE</t>
        </is>
      </c>
      <c r="I41" s="16" t="inlineStr">
        <is>
          <t>Cross-connection of systems</t>
        </is>
      </c>
    </row>
    <row r="42">
      <c r="A42" s="16" t="inlineStr">
        <is>
          <t>Simplicity</t>
        </is>
      </c>
      <c r="C42" s="16" t="inlineStr">
        <is>
          <t>Cooling water flow (water-cooled elements)</t>
        </is>
      </c>
      <c r="D42" s="16" t="inlineStr">
        <is>
          <t>LESS</t>
        </is>
      </c>
      <c r="E42" s="16" t="inlineStr">
        <is>
          <t>Cooling water flow (water-cooled elements)|LESS</t>
        </is>
      </c>
      <c r="F42" s="16" t="inlineStr">
        <is>
          <t>No / less cooling water</t>
        </is>
      </c>
      <c r="H42" s="16" t="inlineStr">
        <is>
          <t>Flow|MORE</t>
        </is>
      </c>
      <c r="I42" s="16" t="inlineStr">
        <is>
          <t>Control faults – control valve fails open, bypass left open, wrong set point</t>
        </is>
      </c>
    </row>
    <row r="43">
      <c r="A43" s="16" t="inlineStr">
        <is>
          <t>Output – reliability and bottlenecks</t>
        </is>
      </c>
      <c r="C43" s="16" t="inlineStr">
        <is>
          <t>Water-cooled element integrity</t>
        </is>
      </c>
      <c r="D43" s="16" t="inlineStr">
        <is>
          <t>LOSS OF</t>
        </is>
      </c>
      <c r="E43" s="16" t="inlineStr">
        <is>
          <t>Water-cooled element integrity|LOSS OF</t>
        </is>
      </c>
      <c r="F43" s="16" t="inlineStr">
        <is>
          <t>Water leak into furnace / vessel</t>
        </is>
      </c>
      <c r="H43" s="16" t="inlineStr">
        <is>
          <t>Flow|MORE</t>
        </is>
      </c>
      <c r="I43" s="16" t="inlineStr">
        <is>
          <t>Two-phase flow</t>
        </is>
      </c>
    </row>
    <row r="44">
      <c r="A44" s="16" t="inlineStr">
        <is>
          <t>Efficiency – losses</t>
        </is>
      </c>
      <c r="C44" s="16" t="inlineStr">
        <is>
          <t>Process gas (CO, H2 – BFG, COG, LD gas, reducing gas)</t>
        </is>
      </c>
      <c r="D44" s="16" t="inlineStr">
        <is>
          <t>LEAK OF</t>
        </is>
      </c>
      <c r="E44" s="16" t="inlineStr">
        <is>
          <t>Process gas (CO, H2 – BFG, COG, LD gas, reducing gas)|LEAK OF</t>
        </is>
      </c>
      <c r="F44" s="16" t="inlineStr">
        <is>
          <t>Toxic release (Other than / As well as)</t>
        </is>
      </c>
      <c r="H44" s="16" t="inlineStr">
        <is>
          <t>Flow|MORE</t>
        </is>
      </c>
      <c r="I44" s="16" t="inlineStr">
        <is>
          <t>Power failure (valves failing open)</t>
        </is>
      </c>
    </row>
    <row r="45">
      <c r="A45" s="16" t="inlineStr">
        <is>
          <t>Construction</t>
        </is>
      </c>
      <c r="C45" s="16" t="inlineStr">
        <is>
          <t>Air / oxygen in process gas</t>
        </is>
      </c>
      <c r="D45" s="16" t="inlineStr">
        <is>
          <t>AS WELL AS</t>
        </is>
      </c>
      <c r="E45" s="16" t="inlineStr">
        <is>
          <t>Air / oxygen in process gas|AS WELL AS</t>
        </is>
      </c>
      <c r="F45" s="16" t="inlineStr">
        <is>
          <t>Explosive mixture (air or oxygen in gas)</t>
        </is>
      </c>
      <c r="H45" s="16" t="inlineStr">
        <is>
          <t>Flow|MORE</t>
        </is>
      </c>
      <c r="I45" s="16" t="inlineStr">
        <is>
          <t>[C] Reagent dosing pump over-delivery (wrong stroke setting)</t>
        </is>
      </c>
    </row>
    <row r="46">
      <c r="A46" s="16" t="inlineStr">
        <is>
          <t>Commissioning</t>
        </is>
      </c>
      <c r="C46" s="16" t="inlineStr">
        <is>
          <t>Oxygen (lances, burners, pipelines)</t>
        </is>
      </c>
      <c r="D46" s="16" t="inlineStr">
        <is>
          <t>LEAK OF</t>
        </is>
      </c>
      <c r="E46" s="16" t="inlineStr">
        <is>
          <t>Oxygen (lances, burners, pipelines)|LEAK OF</t>
        </is>
      </c>
      <c r="F46" s="16" t="inlineStr">
        <is>
          <t>Oxygen fire / oxygen enrichment</t>
        </is>
      </c>
      <c r="H46" s="16" t="inlineStr">
        <is>
          <t>Flow|MORE</t>
        </is>
      </c>
      <c r="I46" s="16" t="inlineStr">
        <is>
          <t>[S] Excessive oxygen flow to lance, burners or tuyeres (flow controller fault, wrong recipe)</t>
        </is>
      </c>
    </row>
    <row r="47">
      <c r="A47" s="16" t="inlineStr">
        <is>
          <t>Start-up</t>
        </is>
      </c>
      <c r="C47" s="16" t="inlineStr">
        <is>
          <t>Oxygen (lances, burners, pipelines)</t>
        </is>
      </c>
      <c r="D47" s="16" t="inlineStr">
        <is>
          <t>AS WELL AS</t>
        </is>
      </c>
      <c r="E47" s="16" t="inlineStr">
        <is>
          <t>Oxygen (lances, burners, pipelines)|AS WELL AS</t>
        </is>
      </c>
      <c r="F47" s="16" t="inlineStr">
        <is>
          <t>Oxygen fire / oxygen enrichment</t>
        </is>
      </c>
      <c r="H47" s="16" t="inlineStr">
        <is>
          <t>Flow|MORE</t>
        </is>
      </c>
      <c r="I47" s="16" t="inlineStr">
        <is>
          <t>[S] Over-feeding of DRI, scrap, fluxes or alloys (feeder speed, weigh-hopper failure)</t>
        </is>
      </c>
    </row>
    <row r="48">
      <c r="A48" s="16" t="inlineStr">
        <is>
          <t>Shutdown (isolation, purging)</t>
        </is>
      </c>
      <c r="C48" s="16" t="inlineStr">
        <is>
          <t>Inert gas (N2, Ar)</t>
        </is>
      </c>
      <c r="D48" s="16" t="inlineStr">
        <is>
          <t>LEAK OF</t>
        </is>
      </c>
      <c r="E48" s="16" t="inlineStr">
        <is>
          <t>Inert gas (N2, Ar)|LEAK OF</t>
        </is>
      </c>
      <c r="F48" s="16" t="inlineStr">
        <is>
          <t>Asphyxiation / loss of inerting</t>
        </is>
      </c>
      <c r="H48" s="16" t="inlineStr">
        <is>
          <t>Flow|MORE</t>
        </is>
      </c>
      <c r="I48" s="16" t="inlineStr">
        <is>
          <t>[S] Excess fuel gas to reheat furnace, ladle pre-heater or stove burners</t>
        </is>
      </c>
    </row>
    <row r="49">
      <c r="A49" s="16" t="inlineStr">
        <is>
          <t>Breakdown (including service failure)</t>
        </is>
      </c>
      <c r="C49" s="16" t="inlineStr">
        <is>
          <t>Inert gas (N2, Ar)</t>
        </is>
      </c>
      <c r="D49" s="16" t="inlineStr">
        <is>
          <t>LOSS OF</t>
        </is>
      </c>
      <c r="E49" s="16" t="inlineStr">
        <is>
          <t>Inert gas (N2, Ar)|LOSS OF</t>
        </is>
      </c>
      <c r="F49" s="16" t="inlineStr">
        <is>
          <t>Asphyxiation / loss of inerting</t>
        </is>
      </c>
      <c r="H49" s="16" t="inlineStr">
        <is>
          <t>Flow|LESS</t>
        </is>
      </c>
      <c r="I49" s="16" t="inlineStr">
        <is>
          <t>Low level in upstream vessel</t>
        </is>
      </c>
    </row>
    <row r="50">
      <c r="A50" s="16" t="inlineStr">
        <is>
          <t>Materials</t>
        </is>
      </c>
      <c r="C50" s="16" t="inlineStr">
        <is>
          <t>Electrical energy (furnace / electrolysis)</t>
        </is>
      </c>
      <c r="D50" s="16" t="inlineStr">
        <is>
          <t>MORE</t>
        </is>
      </c>
      <c r="E50" s="16" t="inlineStr">
        <is>
          <t>Electrical energy (furnace / electrolysis)|MORE</t>
        </is>
      </c>
      <c r="F50" s="16" t="inlineStr">
        <is>
          <t>More / less / other than intended</t>
        </is>
      </c>
      <c r="H50" s="16" t="inlineStr">
        <is>
          <t>Flow|LESS</t>
        </is>
      </c>
      <c r="I50" s="16" t="inlineStr">
        <is>
          <t>Line restriction; valve partly closed</t>
        </is>
      </c>
    </row>
    <row r="51">
      <c r="A51" s="16" t="inlineStr">
        <is>
          <t>Utilities and services</t>
        </is>
      </c>
      <c r="C51" s="16" t="inlineStr">
        <is>
          <t>Electrical energy (furnace / electrolysis)</t>
        </is>
      </c>
      <c r="D51" s="16" t="inlineStr">
        <is>
          <t>LESS</t>
        </is>
      </c>
      <c r="E51" s="16" t="inlineStr">
        <is>
          <t>Electrical energy (furnace / electrolysis)|LESS</t>
        </is>
      </c>
      <c r="F51" s="16" t="inlineStr">
        <is>
          <t>More / less / other than intended</t>
        </is>
      </c>
      <c r="H51" s="16" t="inlineStr">
        <is>
          <t>Flow|LESS</t>
        </is>
      </c>
      <c r="I51" s="16" t="inlineStr">
        <is>
          <t>Filter or strainer blockage</t>
        </is>
      </c>
    </row>
    <row r="52">
      <c r="A52" s="16" t="inlineStr">
        <is>
          <t>Toxicity</t>
        </is>
      </c>
      <c r="C52" s="16" t="inlineStr">
        <is>
          <t>Electrical energy (furnace / electrolysis)</t>
        </is>
      </c>
      <c r="D52" s="16" t="inlineStr">
        <is>
          <t>OTHER THAN</t>
        </is>
      </c>
      <c r="E52" s="16" t="inlineStr">
        <is>
          <t>Electrical energy (furnace / electrolysis)|OTHER THAN</t>
        </is>
      </c>
      <c r="F52" s="16" t="inlineStr">
        <is>
          <t>More / less / other than intended</t>
        </is>
      </c>
      <c r="H52" s="16" t="inlineStr">
        <is>
          <t>Flow|LESS</t>
        </is>
      </c>
      <c r="I52" s="16" t="inlineStr">
        <is>
          <t>Pipe or vessel leakage</t>
        </is>
      </c>
    </row>
    <row r="53">
      <c r="A53" s="16" t="inlineStr">
        <is>
          <t>Fire and explosion</t>
        </is>
      </c>
      <c r="C53" s="16" t="inlineStr">
        <is>
          <t>Solid charge materials</t>
        </is>
      </c>
      <c r="D53" s="16" t="inlineStr">
        <is>
          <t>OTHER THAN</t>
        </is>
      </c>
      <c r="E53" s="16" t="inlineStr">
        <is>
          <t>Solid charge materials|OTHER THAN</t>
        </is>
      </c>
      <c r="F53" s="16" t="inlineStr">
        <is>
          <t>Wrong / contaminated / excess charge</t>
        </is>
      </c>
      <c r="H53" s="16" t="inlineStr">
        <is>
          <t>Flow|LESS</t>
        </is>
      </c>
      <c r="I53" s="16" t="inlineStr">
        <is>
          <t>Defective pumps (worn impeller, cavitation, air ingress, seal failure)</t>
        </is>
      </c>
    </row>
    <row r="54">
      <c r="A54" s="16" t="inlineStr">
        <is>
          <t>Environmental impact</t>
        </is>
      </c>
      <c r="C54" s="16" t="inlineStr">
        <is>
          <t>Solid charge materials</t>
        </is>
      </c>
      <c r="D54" s="16" t="inlineStr">
        <is>
          <t>AS WELL AS</t>
        </is>
      </c>
      <c r="E54" s="16" t="inlineStr">
        <is>
          <t>Solid charge materials|AS WELL AS</t>
        </is>
      </c>
      <c r="F54" s="16" t="inlineStr">
        <is>
          <t>Wrong / contaminated / excess charge</t>
        </is>
      </c>
      <c r="H54" s="16" t="inlineStr">
        <is>
          <t>Flow|LESS</t>
        </is>
      </c>
      <c r="I54" s="16" t="inlineStr">
        <is>
          <t>Fouling of vessels, valves, restrictors or orifice plates</t>
        </is>
      </c>
    </row>
    <row r="55">
      <c r="A55" s="16" t="inlineStr">
        <is>
          <t>Natural hazards</t>
        </is>
      </c>
      <c r="C55" s="16" t="inlineStr">
        <is>
          <t>Solid charge materials</t>
        </is>
      </c>
      <c r="D55" s="16" t="inlineStr">
        <is>
          <t>MORE</t>
        </is>
      </c>
      <c r="E55" s="16" t="inlineStr">
        <is>
          <t>Solid charge materials|MORE</t>
        </is>
      </c>
      <c r="F55" s="16" t="inlineStr">
        <is>
          <t>Wrong / contaminated / excess charge</t>
        </is>
      </c>
      <c r="H55" s="16" t="inlineStr">
        <is>
          <t>Flow|LESS</t>
        </is>
      </c>
      <c r="I55" s="16" t="inlineStr">
        <is>
          <t>Density or viscosity problems</t>
        </is>
      </c>
    </row>
    <row r="56">
      <c r="A56" s="16" t="inlineStr">
        <is>
          <t>Quality and consistency</t>
        </is>
      </c>
      <c r="C56" s="16" t="inlineStr">
        <is>
          <t>Hot DRI / HBI temperature</t>
        </is>
      </c>
      <c r="D56" s="16" t="inlineStr">
        <is>
          <t>MORE</t>
        </is>
      </c>
      <c r="E56" s="16" t="inlineStr">
        <is>
          <t>Hot DRI / HBI temperature|MORE</t>
        </is>
      </c>
      <c r="F56" s="16" t="inlineStr">
        <is>
          <t>Self-heating / fire / gas generation</t>
        </is>
      </c>
      <c r="H56" s="16" t="inlineStr">
        <is>
          <t>Flow|LESS</t>
        </is>
      </c>
      <c r="I56" s="16" t="inlineStr">
        <is>
          <t>Incorrect specification of process fluid</t>
        </is>
      </c>
    </row>
    <row r="57">
      <c r="A57" s="16" t="inlineStr">
        <is>
          <t>Procedures – development and documentation</t>
        </is>
      </c>
      <c r="C57" s="16" t="inlineStr">
        <is>
          <t>Combustible dust</t>
        </is>
      </c>
      <c r="D57" s="16" t="inlineStr">
        <is>
          <t>MORE</t>
        </is>
      </c>
      <c r="E57" s="16" t="inlineStr">
        <is>
          <t>Combustible dust|MORE</t>
        </is>
      </c>
      <c r="F57" s="16" t="inlineStr">
        <is>
          <t>Dust cloud / ignition</t>
        </is>
      </c>
      <c r="H57" s="16" t="inlineStr">
        <is>
          <t>Flow|LESS</t>
        </is>
      </c>
      <c r="I57" s="16" t="inlineStr">
        <is>
          <t>Two-phase flow</t>
        </is>
      </c>
    </row>
    <row r="58">
      <c r="A58" s="16" t="inlineStr">
        <is>
          <t>Safety equipment</t>
        </is>
      </c>
      <c r="C58" s="16" t="inlineStr">
        <is>
          <t>Hydraulic / lube oil</t>
        </is>
      </c>
      <c r="D58" s="16" t="inlineStr">
        <is>
          <t>LEAK OF</t>
        </is>
      </c>
      <c r="E58" s="16" t="inlineStr">
        <is>
          <t>Hydraulic / lube oil|LEAK OF</t>
        </is>
      </c>
      <c r="F58" s="16" t="inlineStr">
        <is>
          <t>Leak / fire / loss of pressure</t>
        </is>
      </c>
      <c r="H58" s="16" t="inlineStr">
        <is>
          <t>Flow|LESS</t>
        </is>
      </c>
      <c r="I58" s="16" t="inlineStr">
        <is>
          <t>[C] Catalyst bed plugging or high pressure drop</t>
        </is>
      </c>
    </row>
    <row r="59">
      <c r="A59" s="16" t="inlineStr">
        <is>
          <t>Egress / access</t>
        </is>
      </c>
      <c r="C59" s="16" t="inlineStr">
        <is>
          <t>Hydraulic / lube oil</t>
        </is>
      </c>
      <c r="D59" s="16" t="inlineStr">
        <is>
          <t>LESS</t>
        </is>
      </c>
      <c r="E59" s="16" t="inlineStr">
        <is>
          <t>Hydraulic / lube oil|LESS</t>
        </is>
      </c>
      <c r="F59" s="16" t="inlineStr">
        <is>
          <t>Leak / fire / loss of pressure</t>
        </is>
      </c>
      <c r="H59" s="16" t="inlineStr">
        <is>
          <t>Flow|LESS</t>
        </is>
      </c>
      <c r="I59" s="16" t="inlineStr">
        <is>
          <t>[S] Scale, silt or biological fouling in cooling passages of panels, roof, tuyeres, staves, lances or copper moulds</t>
        </is>
      </c>
    </row>
    <row r="60">
      <c r="A60" s="16" t="inlineStr">
        <is>
          <t>Entry / exit points</t>
        </is>
      </c>
      <c r="C60" s="16" t="inlineStr">
        <is>
          <t>Load control (cranes, ladle / transfer cars)</t>
        </is>
      </c>
      <c r="D60" s="16" t="inlineStr">
        <is>
          <t>LOSS OF</t>
        </is>
      </c>
      <c r="E60" s="16" t="inlineStr">
        <is>
          <t>Load control (cranes, ladle / transfer cars)|LOSS OF</t>
        </is>
      </c>
      <c r="F60" s="16" t="inlineStr">
        <is>
          <t>Failure / collision / dropped load</t>
        </is>
      </c>
      <c r="H60" s="16" t="inlineStr">
        <is>
          <t>Flow|LESS</t>
        </is>
      </c>
      <c r="I60" s="16" t="inlineStr">
        <is>
          <t>[S] Partly blocked tap hole or nozzle (low tapping rate)</t>
        </is>
      </c>
    </row>
    <row r="61">
      <c r="A61" s="16" t="inlineStr">
        <is>
          <t>Layout and facility siting</t>
        </is>
      </c>
      <c r="C61" s="16" t="inlineStr">
        <is>
          <t>Casting speed / mould level</t>
        </is>
      </c>
      <c r="D61" s="16" t="inlineStr">
        <is>
          <t>MORE</t>
        </is>
      </c>
      <c r="E61" s="16" t="inlineStr">
        <is>
          <t>Casting speed / mould level|MORE</t>
        </is>
      </c>
      <c r="F61" s="16" t="inlineStr">
        <is>
          <t>Casting speed / mould level / product handling deviations</t>
        </is>
      </c>
      <c r="H61" s="16" t="inlineStr">
        <is>
          <t>Flow|LESS</t>
        </is>
      </c>
      <c r="I61" s="16" t="inlineStr">
        <is>
          <t>[S] Dust build-up in off-gas ducts, fans, baghouses or venturi scrubbers</t>
        </is>
      </c>
    </row>
    <row r="62">
      <c r="C62" s="16" t="inlineStr">
        <is>
          <t>Casting speed / mould level</t>
        </is>
      </c>
      <c r="D62" s="16" t="inlineStr">
        <is>
          <t>LESS</t>
        </is>
      </c>
      <c r="E62" s="16" t="inlineStr">
        <is>
          <t>Casting speed / mould level|LESS</t>
        </is>
      </c>
      <c r="F62" s="16" t="inlineStr">
        <is>
          <t>Casting speed / mould level / product handling deviations</t>
        </is>
      </c>
      <c r="H62" s="16" t="inlineStr">
        <is>
          <t>Flow|OTHER THAN</t>
        </is>
      </c>
      <c r="I62" s="16" t="inlineStr">
        <is>
          <t>Cross-connection between systems; wrong hose connected</t>
        </is>
      </c>
    </row>
    <row r="63">
      <c r="C63" s="16" t="inlineStr">
        <is>
          <t>Refractory</t>
        </is>
      </c>
      <c r="D63" s="16" t="inlineStr">
        <is>
          <t>LESS</t>
        </is>
      </c>
      <c r="E63" s="16" t="inlineStr">
        <is>
          <t>Refractory|LESS</t>
        </is>
      </c>
      <c r="F63" s="16" t="inlineStr">
        <is>
          <t>Less / failed refractory</t>
        </is>
      </c>
      <c r="H63" s="16" t="inlineStr">
        <is>
          <t>Flow|OTHER THAN</t>
        </is>
      </c>
      <c r="I63" s="16" t="inlineStr">
        <is>
          <t>Road / rail tanker discharged into wrong storage tank</t>
        </is>
      </c>
    </row>
    <row r="64">
      <c r="C64" s="16" t="inlineStr">
        <is>
          <t>Pickling acid / zinc bath</t>
        </is>
      </c>
      <c r="D64" s="16" t="inlineStr">
        <is>
          <t>MORE</t>
        </is>
      </c>
      <c r="E64" s="16" t="inlineStr">
        <is>
          <t>Pickling acid / zinc bath|MORE</t>
        </is>
      </c>
      <c r="F64" s="16" t="inlineStr">
        <is>
          <t>Concentration / temperature / contamination deviations</t>
        </is>
      </c>
      <c r="H64" s="16" t="inlineStr">
        <is>
          <t>Flow|OTHER THAN</t>
        </is>
      </c>
      <c r="I64" s="16" t="inlineStr">
        <is>
          <t>Drain or vent valves left open</t>
        </is>
      </c>
    </row>
    <row r="65">
      <c r="C65" s="16" t="inlineStr">
        <is>
          <t>Pickling acid / zinc bath</t>
        </is>
      </c>
      <c r="D65" s="16" t="inlineStr">
        <is>
          <t>LESS</t>
        </is>
      </c>
      <c r="E65" s="16" t="inlineStr">
        <is>
          <t>Pickling acid / zinc bath|LESS</t>
        </is>
      </c>
      <c r="F65" s="16" t="inlineStr">
        <is>
          <t>Concentration / temperature / contamination deviations</t>
        </is>
      </c>
      <c r="H65" s="16" t="inlineStr">
        <is>
          <t>Flow|OTHER THAN</t>
        </is>
      </c>
      <c r="I65" s="16" t="inlineStr">
        <is>
          <t>Utility station connected to process (nitrogen hose left connected)</t>
        </is>
      </c>
    </row>
    <row r="66">
      <c r="C66" s="16" t="inlineStr">
        <is>
          <t>Pickling acid / zinc bath</t>
        </is>
      </c>
      <c r="D66" s="16" t="inlineStr">
        <is>
          <t>AS WELL AS</t>
        </is>
      </c>
      <c r="E66" s="16" t="inlineStr">
        <is>
          <t>Pickling acid / zinc bath|AS WELL AS</t>
        </is>
      </c>
      <c r="F66" s="16" t="inlineStr">
        <is>
          <t>Concentration / temperature / contamination deviations</t>
        </is>
      </c>
      <c r="H66" s="16" t="inlineStr">
        <is>
          <t>Flow|OTHER THAN</t>
        </is>
      </c>
      <c r="I66" s="16" t="inlineStr">
        <is>
          <t>[S] Molten metal or slag spilled outside ladle, pot or mould (ladle misaligned, crane positioning error, tilting over-travel)</t>
        </is>
      </c>
    </row>
    <row r="67">
      <c r="C67" s="16" t="inlineStr">
        <is>
          <t>Relief</t>
        </is>
      </c>
      <c r="D67" s="16" t="inlineStr">
        <is>
          <t>INADEQUATE</t>
        </is>
      </c>
      <c r="E67" s="16" t="inlineStr">
        <is>
          <t>Relief|INADEQUATE</t>
        </is>
      </c>
      <c r="F67" s="16" t="inlineStr">
        <is>
          <t>Inadequate / inappropriate relief</t>
        </is>
      </c>
      <c r="H67" s="16" t="inlineStr">
        <is>
          <t>Flow|OTHER THAN</t>
        </is>
      </c>
      <c r="I67" s="16" t="inlineStr">
        <is>
          <t>[S] Slag carry-over into ladle or tundish</t>
        </is>
      </c>
    </row>
    <row r="68">
      <c r="C68" s="16" t="inlineStr">
        <is>
          <t>Process control / instrumentation</t>
        </is>
      </c>
      <c r="D68" s="16" t="inlineStr">
        <is>
          <t>LOSS OF</t>
        </is>
      </c>
      <c r="E68" s="16" t="inlineStr">
        <is>
          <t>Process control / instrumentation|LOSS OF</t>
        </is>
      </c>
      <c r="F68" s="16" t="inlineStr">
        <is>
          <t>Control or safety instrumented function failure</t>
        </is>
      </c>
      <c r="H68" s="16" t="inlineStr">
        <is>
          <t>Flow|OTHER THAN</t>
        </is>
      </c>
      <c r="I68" s="16" t="inlineStr">
        <is>
          <t>[S] Off-gas diverted to the wrong system (flare / stack / gas holder change-over error)</t>
        </is>
      </c>
    </row>
    <row r="69">
      <c r="C69" s="16" t="inlineStr">
        <is>
          <t>Sampling</t>
        </is>
      </c>
      <c r="D69" s="16" t="inlineStr">
        <is>
          <t>INADEQUATE</t>
        </is>
      </c>
      <c r="E69" s="16" t="inlineStr">
        <is>
          <t>Sampling|INADEQUATE</t>
        </is>
      </c>
      <c r="F69" s="16" t="inlineStr">
        <is>
          <t>Sampling error / exposure</t>
        </is>
      </c>
      <c r="H69" s="16" t="inlineStr">
        <is>
          <t>Flow|AS WELL AS</t>
        </is>
      </c>
      <c r="I69" s="16" t="inlineStr">
        <is>
          <t>Gas or air entrainment in liquid; liquid carry-over in gas</t>
        </is>
      </c>
    </row>
    <row r="70">
      <c r="C70" s="16" t="inlineStr">
        <is>
          <t>Corrosion / erosion</t>
        </is>
      </c>
      <c r="D70" s="16" t="inlineStr">
        <is>
          <t>MORE</t>
        </is>
      </c>
      <c r="E70" s="16" t="inlineStr">
        <is>
          <t>Corrosion / erosion|MORE</t>
        </is>
      </c>
      <c r="F70" s="16" t="inlineStr">
        <is>
          <t>More corrosion / erosion</t>
        </is>
      </c>
      <c r="H70" s="16" t="inlineStr">
        <is>
          <t>Flow|AS WELL AS</t>
        </is>
      </c>
      <c r="I70" s="16" t="inlineStr">
        <is>
          <t>Water in hydrocarbon or solvent</t>
        </is>
      </c>
    </row>
    <row r="71">
      <c r="C71" s="16" t="inlineStr">
        <is>
          <t>Utilities / services</t>
        </is>
      </c>
      <c r="D71" s="16" t="inlineStr">
        <is>
          <t>LOSS OF</t>
        </is>
      </c>
      <c r="E71" s="16" t="inlineStr">
        <is>
          <t>Utilities / services|LOSS OF</t>
        </is>
      </c>
      <c r="F71" s="16" t="inlineStr">
        <is>
          <t>Loss of utility / service</t>
        </is>
      </c>
      <c r="H71" s="16" t="inlineStr">
        <is>
          <t>Flow|AS WELL AS</t>
        </is>
      </c>
      <c r="I71" s="16" t="inlineStr">
        <is>
          <t>[C] Unreacted material carried forward to next stage</t>
        </is>
      </c>
    </row>
    <row r="72">
      <c r="C72" s="16" t="inlineStr">
        <is>
          <t>Maintenance</t>
        </is>
      </c>
      <c r="D72" s="16" t="inlineStr">
        <is>
          <t>INADEQUATE</t>
        </is>
      </c>
      <c r="E72" s="16" t="inlineStr">
        <is>
          <t>Maintenance|INADEQUATE</t>
        </is>
      </c>
      <c r="F72" s="16" t="inlineStr">
        <is>
          <t>Unsafe maintenance conditions</t>
        </is>
      </c>
      <c r="H72" s="16" t="inlineStr">
        <is>
          <t>Flow|AS WELL AS</t>
        </is>
      </c>
      <c r="I72" s="16" t="inlineStr">
        <is>
          <t>[S] Water, ice or snow carried into the furnace with wet scrap, DRI or fluxes</t>
        </is>
      </c>
    </row>
    <row r="73">
      <c r="C73" s="16" t="inlineStr">
        <is>
          <t>Spare equipment</t>
        </is>
      </c>
      <c r="D73" s="16" t="inlineStr">
        <is>
          <t>NO</t>
        </is>
      </c>
      <c r="E73" s="16" t="inlineStr">
        <is>
          <t>Spare equipment|NO</t>
        </is>
      </c>
      <c r="F73" s="16" t="inlineStr">
        <is>
          <t>Unavailability / wrong spares</t>
        </is>
      </c>
      <c r="H73" s="16" t="inlineStr">
        <is>
          <t>Flow|AS WELL AS</t>
        </is>
      </c>
      <c r="I73" s="16" t="inlineStr">
        <is>
          <t>[S] Entrained dust or fines in process gas (cyclone or scrubber failure)</t>
        </is>
      </c>
    </row>
    <row r="74">
      <c r="C74" s="16" t="inlineStr">
        <is>
          <t>Electrical safety / static</t>
        </is>
      </c>
      <c r="D74" s="16" t="inlineStr">
        <is>
          <t>INADEQUATE</t>
        </is>
      </c>
      <c r="E74" s="16" t="inlineStr">
        <is>
          <t>Electrical safety / static|INADEQUATE</t>
        </is>
      </c>
      <c r="F74" s="16" t="inlineStr">
        <is>
          <t>Ignition source / electrical hazard</t>
        </is>
      </c>
      <c r="H74" s="16" t="inlineStr">
        <is>
          <t>Flow|AS WELL AS</t>
        </is>
      </c>
      <c r="I74" s="16" t="inlineStr">
        <is>
          <t>[S] Oil, grease or paint on scrap generating fume and fire</t>
        </is>
      </c>
    </row>
    <row r="75">
      <c r="C75" s="16" t="inlineStr">
        <is>
          <t>Operator action</t>
        </is>
      </c>
      <c r="D75" s="16" t="inlineStr">
        <is>
          <t>OTHER THAN</t>
        </is>
      </c>
      <c r="E75" s="16" t="inlineStr">
        <is>
          <t>Operator action|OTHER THAN</t>
        </is>
      </c>
      <c r="F75" s="16" t="inlineStr">
        <is>
          <t>Operator error / omission</t>
        </is>
      </c>
      <c r="H75" s="16" t="inlineStr">
        <is>
          <t>Pressure|MORE</t>
        </is>
      </c>
      <c r="I75" s="16" t="inlineStr">
        <is>
          <t>Surge problems (water hammer, fast-closing valves)</t>
        </is>
      </c>
    </row>
    <row r="76">
      <c r="C76" s="16" t="inlineStr">
        <is>
          <t>Operator action</t>
        </is>
      </c>
      <c r="D76" s="16" t="inlineStr">
        <is>
          <t>NO</t>
        </is>
      </c>
      <c r="E76" s="16" t="inlineStr">
        <is>
          <t>Operator action|NO</t>
        </is>
      </c>
      <c r="F76" s="16" t="inlineStr">
        <is>
          <t>Operator error / omission</t>
        </is>
      </c>
      <c r="H76" s="16" t="inlineStr">
        <is>
          <t>Pressure|MORE</t>
        </is>
      </c>
      <c r="I76" s="16" t="inlineStr">
        <is>
          <t>Leakage from interconnected high-pressure system</t>
        </is>
      </c>
    </row>
    <row r="77">
      <c r="C77" s="16" t="inlineStr">
        <is>
          <t>Simplicity</t>
        </is>
      </c>
      <c r="D77" s="16" t="inlineStr">
        <is>
          <t>REVIEW</t>
        </is>
      </c>
      <c r="E77" s="16" t="inlineStr">
        <is>
          <t>Simplicity|REVIEW</t>
        </is>
      </c>
      <c r="F77" s="16" t="inlineStr">
        <is>
          <t>Unnecessary complexity</t>
        </is>
      </c>
      <c r="H77" s="16" t="inlineStr">
        <is>
          <t>Pressure|MORE</t>
        </is>
      </c>
      <c r="I77" s="16" t="inlineStr">
        <is>
          <t>Gas breakthrough (inadequate venting / pressure relief)</t>
        </is>
      </c>
    </row>
    <row r="78">
      <c r="C78" s="16" t="inlineStr">
        <is>
          <t>Output – reliability and bottlenecks</t>
        </is>
      </c>
      <c r="D78" s="16" t="inlineStr">
        <is>
          <t>REVIEW</t>
        </is>
      </c>
      <c r="E78" s="16" t="inlineStr">
        <is>
          <t>Output – reliability and bottlenecks|REVIEW</t>
        </is>
      </c>
      <c r="F78" s="16" t="inlineStr">
        <is>
          <t>Less output / unreliability</t>
        </is>
      </c>
      <c r="H78" s="16" t="inlineStr">
        <is>
          <t>Pressure|MORE</t>
        </is>
      </c>
      <c r="I78" s="16" t="inlineStr">
        <is>
          <t>Isolation procedures for relief valves defective (relief valve isolated)</t>
        </is>
      </c>
    </row>
    <row r="79">
      <c r="C79" s="16" t="inlineStr">
        <is>
          <t>Efficiency – losses</t>
        </is>
      </c>
      <c r="D79" s="16" t="inlineStr">
        <is>
          <t>REVIEW</t>
        </is>
      </c>
      <c r="E79" s="16" t="inlineStr">
        <is>
          <t>Efficiency – losses|REVIEW</t>
        </is>
      </c>
      <c r="F79" s="16" t="inlineStr">
        <is>
          <t>Loss of material, energy or conversion</t>
        </is>
      </c>
      <c r="H79" s="16" t="inlineStr">
        <is>
          <t>Pressure|MORE</t>
        </is>
      </c>
      <c r="I79" s="16" t="inlineStr">
        <is>
          <t>Thermal overpressure / flashing / boiling / external fire</t>
        </is>
      </c>
    </row>
    <row r="80">
      <c r="C80" s="16" t="inlineStr">
        <is>
          <t>Construction</t>
        </is>
      </c>
      <c r="D80" s="16" t="inlineStr">
        <is>
          <t>REVIEW</t>
        </is>
      </c>
      <c r="E80" s="16" t="inlineStr">
        <is>
          <t>Construction|REVIEW</t>
        </is>
      </c>
      <c r="F80" s="16" t="inlineStr">
        <is>
          <t>Construction hazards and impacts</t>
        </is>
      </c>
      <c r="H80" s="16" t="inlineStr">
        <is>
          <t>Pressure|MORE</t>
        </is>
      </c>
      <c r="I80" s="16" t="inlineStr">
        <is>
          <t>Decomposition / gas evolution</t>
        </is>
      </c>
    </row>
    <row r="81">
      <c r="C81" s="16" t="inlineStr">
        <is>
          <t>Commissioning</t>
        </is>
      </c>
      <c r="D81" s="16" t="inlineStr">
        <is>
          <t>REVIEW</t>
        </is>
      </c>
      <c r="E81" s="16" t="inlineStr">
        <is>
          <t>Commissioning|REVIEW</t>
        </is>
      </c>
      <c r="F81" s="16" t="inlineStr">
        <is>
          <t>Commissioning not controlled</t>
        </is>
      </c>
      <c r="H81" s="16" t="inlineStr">
        <is>
          <t>Pressure|MORE</t>
        </is>
      </c>
      <c r="I81" s="16" t="inlineStr">
        <is>
          <t>Runaway reaction</t>
        </is>
      </c>
    </row>
    <row r="82">
      <c r="C82" s="16" t="inlineStr">
        <is>
          <t>Start-up</t>
        </is>
      </c>
      <c r="D82" s="16" t="inlineStr">
        <is>
          <t>REVIEW</t>
        </is>
      </c>
      <c r="E82" s="16" t="inlineStr">
        <is>
          <t>Start-up|REVIEW</t>
        </is>
      </c>
      <c r="F82" s="16" t="inlineStr">
        <is>
          <t>Unsafe start-up</t>
        </is>
      </c>
      <c r="H82" s="16" t="inlineStr">
        <is>
          <t>Pressure|MORE</t>
        </is>
      </c>
      <c r="I82" s="16" t="inlineStr">
        <is>
          <t>Positive displacement pumps or compressors against closed outlet</t>
        </is>
      </c>
    </row>
    <row r="83">
      <c r="C83" s="16" t="inlineStr">
        <is>
          <t>Shutdown (isolation, purging)</t>
        </is>
      </c>
      <c r="D83" s="16" t="inlineStr">
        <is>
          <t>REVIEW</t>
        </is>
      </c>
      <c r="E83" s="16" t="inlineStr">
        <is>
          <t>Shutdown (isolation, purging)|REVIEW</t>
        </is>
      </c>
      <c r="F83" s="16" t="inlineStr">
        <is>
          <t>Unsafe shutdown</t>
        </is>
      </c>
      <c r="H83" s="16" t="inlineStr">
        <is>
          <t>Pressure|MORE</t>
        </is>
      </c>
      <c r="I83" s="16" t="inlineStr">
        <is>
          <t>Failed-open pressure control valves (PCVs)</t>
        </is>
      </c>
    </row>
    <row r="84">
      <c r="C84" s="16" t="inlineStr">
        <is>
          <t>Breakdown (including service failure)</t>
        </is>
      </c>
      <c r="D84" s="16" t="inlineStr">
        <is>
          <t>REVIEW</t>
        </is>
      </c>
      <c r="E84" s="16" t="inlineStr">
        <is>
          <t>Breakdown (including service failure)|REVIEW</t>
        </is>
      </c>
      <c r="F84" s="16" t="inlineStr">
        <is>
          <t>Breakdown / loss of services</t>
        </is>
      </c>
      <c r="H84" s="16" t="inlineStr">
        <is>
          <t>Pressure|MORE</t>
        </is>
      </c>
      <c r="I84" s="16" t="inlineStr">
        <is>
          <t>Incorrect operation</t>
        </is>
      </c>
    </row>
    <row r="85">
      <c r="C85" s="16" t="inlineStr">
        <is>
          <t>Materials</t>
        </is>
      </c>
      <c r="D85" s="16" t="inlineStr">
        <is>
          <t>REVIEW</t>
        </is>
      </c>
      <c r="E85" s="16" t="inlineStr">
        <is>
          <t>Materials|REVIEW</t>
        </is>
      </c>
      <c r="F85" s="16" t="inlineStr">
        <is>
          <t>Wrong / inadequate materials of construction</t>
        </is>
      </c>
      <c r="H85" s="16" t="inlineStr">
        <is>
          <t>Pressure|MORE</t>
        </is>
      </c>
      <c r="I85" s="16" t="inlineStr">
        <is>
          <t>Blocked outlet, blocked vent or blocked flare / stack</t>
        </is>
      </c>
    </row>
    <row r="86">
      <c r="C86" s="16" t="inlineStr">
        <is>
          <t>Utilities and services</t>
        </is>
      </c>
      <c r="D86" s="16" t="inlineStr">
        <is>
          <t>REVIEW</t>
        </is>
      </c>
      <c r="E86" s="16" t="inlineStr">
        <is>
          <t>Utilities and services|REVIEW</t>
        </is>
      </c>
      <c r="F86" s="16" t="inlineStr">
        <is>
          <t>Inadequate utilities</t>
        </is>
      </c>
      <c r="H86" s="16" t="inlineStr">
        <is>
          <t>Pressure|MORE</t>
        </is>
      </c>
      <c r="I86" s="16" t="inlineStr">
        <is>
          <t>Thermal expansion of trapped (blocked-in) liquid</t>
        </is>
      </c>
    </row>
    <row r="87">
      <c r="C87" s="16" t="inlineStr">
        <is>
          <t>Toxicity</t>
        </is>
      </c>
      <c r="D87" s="16" t="inlineStr">
        <is>
          <t>REVIEW</t>
        </is>
      </c>
      <c r="E87" s="16" t="inlineStr">
        <is>
          <t>Toxicity|REVIEW</t>
        </is>
      </c>
      <c r="F87" s="16" t="inlineStr">
        <is>
          <t>Toxic exposure</t>
        </is>
      </c>
      <c r="H87" s="16" t="inlineStr">
        <is>
          <t>Pressure|MORE</t>
        </is>
      </c>
      <c r="I87" s="16" t="inlineStr">
        <is>
          <t>[S] Steam generation from water contacting molten metal or slag (water-cooled element leak, wet charge)</t>
        </is>
      </c>
    </row>
    <row r="88">
      <c r="C88" s="16" t="inlineStr">
        <is>
          <t>Fire and explosion</t>
        </is>
      </c>
      <c r="D88" s="16" t="inlineStr">
        <is>
          <t>REVIEW</t>
        </is>
      </c>
      <c r="E88" s="16" t="inlineStr">
        <is>
          <t>Fire and explosion|REVIEW</t>
        </is>
      </c>
      <c r="F88" s="16" t="inlineStr">
        <is>
          <t>Fire / explosion</t>
        </is>
      </c>
      <c r="H88" s="16" t="inlineStr">
        <is>
          <t>Pressure|MORE</t>
        </is>
      </c>
      <c r="I88" s="16" t="inlineStr">
        <is>
          <t>[S] Furnace or converter off-gas pressure excursion (loss of draft fan, damper closed, slopping)</t>
        </is>
      </c>
    </row>
    <row r="89">
      <c r="C89" s="16" t="inlineStr">
        <is>
          <t>Environmental impact</t>
        </is>
      </c>
      <c r="D89" s="16" t="inlineStr">
        <is>
          <t>REVIEW</t>
        </is>
      </c>
      <c r="E89" s="16" t="inlineStr">
        <is>
          <t>Environmental impact|REVIEW</t>
        </is>
      </c>
      <c r="F89" s="16" t="inlineStr">
        <is>
          <t>Release to environment</t>
        </is>
      </c>
      <c r="H89" s="16" t="inlineStr">
        <is>
          <t>Pressure|MORE</t>
        </is>
      </c>
      <c r="I89" s="16" t="inlineStr">
        <is>
          <t>[S] Blast-furnace top-pressure surge from burden slip / hanging; hot-blast stove valve fault</t>
        </is>
      </c>
    </row>
    <row r="90">
      <c r="C90" s="16" t="inlineStr">
        <is>
          <t>Natural hazards</t>
        </is>
      </c>
      <c r="D90" s="16" t="inlineStr">
        <is>
          <t>REVIEW</t>
        </is>
      </c>
      <c r="E90" s="16" t="inlineStr">
        <is>
          <t>Natural hazards|REVIEW</t>
        </is>
      </c>
      <c r="F90" s="16" t="inlineStr">
        <is>
          <t>External natural event</t>
        </is>
      </c>
      <c r="H90" s="16" t="inlineStr">
        <is>
          <t>Pressure|MORE</t>
        </is>
      </c>
      <c r="I90" s="16" t="inlineStr">
        <is>
          <t>[S] Gas holder over-fill or seal failure (BFG, COG, LD gas)</t>
        </is>
      </c>
    </row>
    <row r="91">
      <c r="C91" s="16" t="inlineStr">
        <is>
          <t>Quality and consistency</t>
        </is>
      </c>
      <c r="D91" s="16" t="inlineStr">
        <is>
          <t>REVIEW</t>
        </is>
      </c>
      <c r="E91" s="16" t="inlineStr">
        <is>
          <t>Quality and consistency|REVIEW</t>
        </is>
      </c>
      <c r="F91" s="16" t="inlineStr">
        <is>
          <t>Off-spec product / variability</t>
        </is>
      </c>
      <c r="H91" s="16" t="inlineStr">
        <is>
          <t>Pressure|MORE</t>
        </is>
      </c>
      <c r="I91" s="16" t="inlineStr">
        <is>
          <t>[S] Hydraulic system overpressure (relief valve set wrongly, accumulator)</t>
        </is>
      </c>
    </row>
    <row r="92">
      <c r="C92" s="16" t="inlineStr">
        <is>
          <t>Procedures – development and documentation</t>
        </is>
      </c>
      <c r="D92" s="16" t="inlineStr">
        <is>
          <t>REVIEW</t>
        </is>
      </c>
      <c r="E92" s="16" t="inlineStr">
        <is>
          <t>Procedures – development and documentation|REVIEW</t>
        </is>
      </c>
      <c r="F92" s="16" t="inlineStr">
        <is>
          <t>Missing / inadequate procedures</t>
        </is>
      </c>
      <c r="H92" s="16" t="inlineStr">
        <is>
          <t>Pressure|LESS</t>
        </is>
      </c>
      <c r="I92" s="16" t="inlineStr">
        <is>
          <t>Generation of vacuum condition (pumping out with vent closed, steam-out then cooling)</t>
        </is>
      </c>
    </row>
    <row r="93">
      <c r="C93" s="16" t="inlineStr">
        <is>
          <t>Safety equipment</t>
        </is>
      </c>
      <c r="D93" s="16" t="inlineStr">
        <is>
          <t>REVIEW</t>
        </is>
      </c>
      <c r="E93" s="16" t="inlineStr">
        <is>
          <t>Safety equipment|REVIEW</t>
        </is>
      </c>
      <c r="F93" s="16" t="inlineStr">
        <is>
          <t>Missing / inadequate safety equipment</t>
        </is>
      </c>
      <c r="H93" s="16" t="inlineStr">
        <is>
          <t>Pressure|LESS</t>
        </is>
      </c>
      <c r="I93" s="16" t="inlineStr">
        <is>
          <t>Condensation</t>
        </is>
      </c>
    </row>
    <row r="94">
      <c r="C94" s="16" t="inlineStr">
        <is>
          <t>Egress / access</t>
        </is>
      </c>
      <c r="D94" s="16" t="inlineStr">
        <is>
          <t>REVIEW</t>
        </is>
      </c>
      <c r="E94" s="16" t="inlineStr">
        <is>
          <t>Egress / access|REVIEW</t>
        </is>
      </c>
      <c r="F94" s="16" t="inlineStr">
        <is>
          <t>Inadequate egress or access</t>
        </is>
      </c>
      <c r="H94" s="16" t="inlineStr">
        <is>
          <t>Pressure|LESS</t>
        </is>
      </c>
      <c r="I94" s="16" t="inlineStr">
        <is>
          <t>Gas dissolving in liquid</t>
        </is>
      </c>
    </row>
    <row r="95">
      <c r="C95" s="16" t="inlineStr">
        <is>
          <t>Entry / exit points</t>
        </is>
      </c>
      <c r="D95" s="16" t="inlineStr">
        <is>
          <t>REVIEW</t>
        </is>
      </c>
      <c r="E95" s="16" t="inlineStr">
        <is>
          <t>Entry / exit points|REVIEW</t>
        </is>
      </c>
      <c r="F95" s="16" t="inlineStr">
        <is>
          <t>Unsafe entry / exit arrangement</t>
        </is>
      </c>
      <c r="H95" s="16" t="inlineStr">
        <is>
          <t>Pressure|LESS</t>
        </is>
      </c>
      <c r="I95" s="16" t="inlineStr">
        <is>
          <t>Restricted pump / compressor suction line</t>
        </is>
      </c>
    </row>
    <row r="96">
      <c r="C96" s="16" t="inlineStr">
        <is>
          <t>Layout and facility siting</t>
        </is>
      </c>
      <c r="D96" s="16" t="inlineStr">
        <is>
          <t>REVIEW</t>
        </is>
      </c>
      <c r="E96" s="16" t="inlineStr">
        <is>
          <t>Layout and facility siting|REVIEW</t>
        </is>
      </c>
      <c r="F96" s="16" t="inlineStr">
        <is>
          <t>Domino / escalation effects</t>
        </is>
      </c>
      <c r="H96" s="16" t="inlineStr">
        <is>
          <t>Pressure|LESS</t>
        </is>
      </c>
      <c r="I96" s="16" t="inlineStr">
        <is>
          <t>Undetected leakage</t>
        </is>
      </c>
    </row>
    <row r="97">
      <c r="H97" s="16" t="inlineStr">
        <is>
          <t>Pressure|LESS</t>
        </is>
      </c>
      <c r="I97" s="16" t="inlineStr">
        <is>
          <t>Vessel drainage</t>
        </is>
      </c>
    </row>
    <row r="98">
      <c r="H98" s="16" t="inlineStr">
        <is>
          <t>Pressure|LESS</t>
        </is>
      </c>
      <c r="I98" s="16" t="inlineStr">
        <is>
          <t>Power failure</t>
        </is>
      </c>
    </row>
    <row r="99">
      <c r="H99" s="16" t="inlineStr">
        <is>
          <t>Pressure|LESS</t>
        </is>
      </c>
      <c r="I99" s="16" t="inlineStr">
        <is>
          <t>Incorrect operation</t>
        </is>
      </c>
    </row>
    <row r="100">
      <c r="H100" s="16" t="inlineStr">
        <is>
          <t>Pressure|LESS</t>
        </is>
      </c>
      <c r="I100" s="16" t="inlineStr">
        <is>
          <t>Vacuum breaker or vent blocked or frozen</t>
        </is>
      </c>
    </row>
    <row r="101">
      <c r="H101" s="16" t="inlineStr">
        <is>
          <t>Pressure|LESS</t>
        </is>
      </c>
      <c r="I101" s="16" t="inlineStr">
        <is>
          <t>[S] Loss of furnace pressure control – air drawn into CO-rich or H2-rich system forming a flammable mixture</t>
        </is>
      </c>
    </row>
    <row r="102">
      <c r="H102" s="16" t="inlineStr">
        <is>
          <t>Pressure|LESS</t>
        </is>
      </c>
      <c r="I102" s="16" t="inlineStr">
        <is>
          <t>[S] Vacuum degassing (RH / VD / VOD) – vacuum pump or steam ejector failure, vessel seal leak</t>
        </is>
      </c>
    </row>
    <row r="103">
      <c r="H103" s="16" t="inlineStr">
        <is>
          <t>Pressure|LESS</t>
        </is>
      </c>
      <c r="I103" s="16" t="inlineStr">
        <is>
          <t>[S] Low fuel-gas pressure at burners (flame-out followed by re-ignition of accumulated gas)</t>
        </is>
      </c>
    </row>
    <row r="104">
      <c r="H104" s="16" t="inlineStr">
        <is>
          <t>Pressure|LESS</t>
        </is>
      </c>
      <c r="I104" s="16" t="inlineStr">
        <is>
          <t>[S] Low cooling-water pressure to water-cooled elements (pump trip, header leak)</t>
        </is>
      </c>
    </row>
    <row r="105">
      <c r="H105" s="16" t="inlineStr">
        <is>
          <t>Pressure|FLUCTUATING</t>
        </is>
      </c>
      <c r="I105" s="16" t="inlineStr">
        <is>
          <t>Water hammer; rapid valve closure; pump start/stop</t>
        </is>
      </c>
    </row>
    <row r="106">
      <c r="H106" s="16" t="inlineStr">
        <is>
          <t>Pressure|FLUCTUATING</t>
        </is>
      </c>
      <c r="I106" s="16" t="inlineStr">
        <is>
          <t>Compressor or fan surge</t>
        </is>
      </c>
    </row>
    <row r="107">
      <c r="H107" s="16" t="inlineStr">
        <is>
          <t>Pressure|FLUCTUATING</t>
        </is>
      </c>
      <c r="I107" s="16" t="inlineStr">
        <is>
          <t>Slug flow / two-phase flow</t>
        </is>
      </c>
    </row>
    <row r="108">
      <c r="H108" s="16" t="inlineStr">
        <is>
          <t>Pressure|FLUCTUATING</t>
        </is>
      </c>
      <c r="I108" s="16" t="inlineStr">
        <is>
          <t>Control loop instability</t>
        </is>
      </c>
    </row>
    <row r="109">
      <c r="H109" s="16" t="inlineStr">
        <is>
          <t>Pressure|FLUCTUATING</t>
        </is>
      </c>
      <c r="I109" s="16" t="inlineStr">
        <is>
          <t>[S] Converter slopping or foaming slag eruption</t>
        </is>
      </c>
    </row>
    <row r="110">
      <c r="H110" s="16" t="inlineStr">
        <is>
          <t>Pressure|FLUCTUATING</t>
        </is>
      </c>
      <c r="I110" s="16" t="inlineStr">
        <is>
          <t>[S] Explosive spalling of wet refractory</t>
        </is>
      </c>
    </row>
    <row r="111">
      <c r="H111" s="16" t="inlineStr">
        <is>
          <t>Temperature|MORE</t>
        </is>
      </c>
      <c r="I111" s="16" t="inlineStr">
        <is>
          <t>Ambient conditions (hot weather, solar gain)</t>
        </is>
      </c>
    </row>
    <row r="112">
      <c r="H112" s="16" t="inlineStr">
        <is>
          <t>Temperature|MORE</t>
        </is>
      </c>
      <c r="I112" s="16" t="inlineStr">
        <is>
          <t>Fouled or failed exchanger tubes</t>
        </is>
      </c>
    </row>
    <row r="113">
      <c r="H113" s="16" t="inlineStr">
        <is>
          <t>Temperature|MORE</t>
        </is>
      </c>
      <c r="I113" s="16" t="inlineStr">
        <is>
          <t>Fire situation</t>
        </is>
      </c>
    </row>
    <row r="114">
      <c r="H114" s="16" t="inlineStr">
        <is>
          <t>Temperature|MORE</t>
        </is>
      </c>
      <c r="I114" s="16" t="inlineStr">
        <is>
          <t>Cooling water failure</t>
        </is>
      </c>
    </row>
    <row r="115">
      <c r="H115" s="16" t="inlineStr">
        <is>
          <t>Temperature|MORE</t>
        </is>
      </c>
      <c r="I115" s="16" t="inlineStr">
        <is>
          <t>Defective control (TIC fault, heater fails on)</t>
        </is>
      </c>
    </row>
    <row r="116">
      <c r="H116" s="16" t="inlineStr">
        <is>
          <t>Temperature|MORE</t>
        </is>
      </c>
      <c r="I116" s="16" t="inlineStr">
        <is>
          <t>Reaction control failures</t>
        </is>
      </c>
    </row>
    <row r="117">
      <c r="H117" s="16" t="inlineStr">
        <is>
          <t>Temperature|MORE</t>
        </is>
      </c>
      <c r="I117" s="16" t="inlineStr">
        <is>
          <t>Power failure (loss of cooling fans or pumps)</t>
        </is>
      </c>
    </row>
    <row r="118">
      <c r="H118" s="16" t="inlineStr">
        <is>
          <t>Temperature|MORE</t>
        </is>
      </c>
      <c r="I118" s="16" t="inlineStr">
        <is>
          <t>Heat tracing or jacket heating fails on</t>
        </is>
      </c>
    </row>
    <row r="119">
      <c r="H119" s="16" t="inlineStr">
        <is>
          <t>Temperature|MORE</t>
        </is>
      </c>
      <c r="I119" s="16" t="inlineStr">
        <is>
          <t>[C] Exothermic reaction / catalyst hot-spot; loss of quench</t>
        </is>
      </c>
    </row>
    <row r="120">
      <c r="H120" s="16" t="inlineStr">
        <is>
          <t>Temperature|MORE</t>
        </is>
      </c>
      <c r="I120" s="16" t="inlineStr">
        <is>
          <t>[S] Loss of cooling water to panels, roof, tuyeres, staves, lances or moulds – burn-through</t>
        </is>
      </c>
    </row>
    <row r="121">
      <c r="H121" s="16" t="inlineStr">
        <is>
          <t>Temperature|MORE</t>
        </is>
      </c>
      <c r="I121" s="16" t="inlineStr">
        <is>
          <t>[S] Refractory wear or loss – shell hot-spot, breakout</t>
        </is>
      </c>
    </row>
    <row r="122">
      <c r="H122" s="16" t="inlineStr">
        <is>
          <t>Temperature|MORE</t>
        </is>
      </c>
      <c r="I122" s="16" t="inlineStr">
        <is>
          <t>[S] Excessive metal superheat (power-on time too long, temperature measurement error)</t>
        </is>
      </c>
    </row>
    <row r="123">
      <c r="H123" s="16" t="inlineStr">
        <is>
          <t>Temperature|MORE</t>
        </is>
      </c>
      <c r="I123" s="16" t="inlineStr">
        <is>
          <t>[S] Hot DRI / HBI self-heating and re-oxidation in bins, silos or conveyors</t>
        </is>
      </c>
    </row>
    <row r="124">
      <c r="H124" s="16" t="inlineStr">
        <is>
          <t>Temperature|MORE</t>
        </is>
      </c>
      <c r="I124" s="16" t="inlineStr">
        <is>
          <t>[S] Reheat furnace over-firing; burner management failure</t>
        </is>
      </c>
    </row>
    <row r="125">
      <c r="H125" s="16" t="inlineStr">
        <is>
          <t>Temperature|MORE</t>
        </is>
      </c>
      <c r="I125" s="16" t="inlineStr">
        <is>
          <t>[S] Hot material on conveyors not rated for the temperature (belt fire)</t>
        </is>
      </c>
    </row>
    <row r="126">
      <c r="H126" s="16" t="inlineStr">
        <is>
          <t>Temperature|LESS</t>
        </is>
      </c>
      <c r="I126" s="16" t="inlineStr">
        <is>
          <t>Ambient conditions (cold weather, freezing)</t>
        </is>
      </c>
    </row>
    <row r="127">
      <c r="H127" s="16" t="inlineStr">
        <is>
          <t>Temperature|LESS</t>
        </is>
      </c>
      <c r="I127" s="16" t="inlineStr">
        <is>
          <t>Reducing pressure (auto-refrigeration of LPG, CO2, ammonia)</t>
        </is>
      </c>
    </row>
    <row r="128">
      <c r="H128" s="16" t="inlineStr">
        <is>
          <t>Temperature|LESS</t>
        </is>
      </c>
      <c r="I128" s="16" t="inlineStr">
        <is>
          <t>Fouled or failed exchanger tubes</t>
        </is>
      </c>
    </row>
    <row r="129">
      <c r="H129" s="16" t="inlineStr">
        <is>
          <t>Temperature|LESS</t>
        </is>
      </c>
      <c r="I129" s="16" t="inlineStr">
        <is>
          <t>Loss of heating (steam, hot oil, electric tracing)</t>
        </is>
      </c>
    </row>
    <row r="130">
      <c r="H130" s="16" t="inlineStr">
        <is>
          <t>Temperature|LESS</t>
        </is>
      </c>
      <c r="I130" s="16" t="inlineStr">
        <is>
          <t>Power failure</t>
        </is>
      </c>
    </row>
    <row r="131">
      <c r="H131" s="16" t="inlineStr">
        <is>
          <t>Temperature|LESS</t>
        </is>
      </c>
      <c r="I131" s="16" t="inlineStr">
        <is>
          <t>Brittle fracture of carbon steel below its minimum design metal temperature</t>
        </is>
      </c>
    </row>
    <row r="132">
      <c r="H132" s="16" t="inlineStr">
        <is>
          <t>Temperature|LESS</t>
        </is>
      </c>
      <c r="I132" s="16" t="inlineStr">
        <is>
          <t>[C] Crystallisation, hydrate formation or high viscosity</t>
        </is>
      </c>
    </row>
    <row r="133">
      <c r="H133" s="16" t="inlineStr">
        <is>
          <t>Temperature|LESS</t>
        </is>
      </c>
      <c r="I133" s="16" t="inlineStr">
        <is>
          <t>[S] Metal freeze in ladle, tundish, launder or nozzle (low tap temperature, delays)</t>
        </is>
      </c>
    </row>
    <row r="134">
      <c r="H134" s="16" t="inlineStr">
        <is>
          <t>Temperature|LESS</t>
        </is>
      </c>
      <c r="I134" s="16" t="inlineStr">
        <is>
          <t>[S] Insufficient pre-heat of ladles, tundishes, moulds or tools – moisture and thermal shock</t>
        </is>
      </c>
    </row>
    <row r="135">
      <c r="H135" s="16" t="inlineStr">
        <is>
          <t>Temperature|LESS</t>
        </is>
      </c>
      <c r="I135" s="16" t="inlineStr">
        <is>
          <t>[S] Low reducing-gas temperature – incomplete reduction / carbon deposition</t>
        </is>
      </c>
    </row>
    <row r="136">
      <c r="H136" s="16" t="inlineStr">
        <is>
          <t>Level|MORE</t>
        </is>
      </c>
      <c r="I136" s="16" t="inlineStr">
        <is>
          <t>Inlet flow greater than outlet; outlet blocked or valve closed</t>
        </is>
      </c>
    </row>
    <row r="137">
      <c r="H137" s="16" t="inlineStr">
        <is>
          <t>Level|MORE</t>
        </is>
      </c>
      <c r="I137" s="16" t="inlineStr">
        <is>
          <t>Level controller or level transmitter failure</t>
        </is>
      </c>
    </row>
    <row r="138">
      <c r="H138" s="16" t="inlineStr">
        <is>
          <t>Level|MORE</t>
        </is>
      </c>
      <c r="I138" s="16" t="inlineStr">
        <is>
          <t>Wrong vessel being filled</t>
        </is>
      </c>
    </row>
    <row r="139">
      <c r="H139" s="16" t="inlineStr">
        <is>
          <t>Level|MORE</t>
        </is>
      </c>
      <c r="I139" s="16" t="inlineStr">
        <is>
          <t>Overfill during transfer or tanker offloading</t>
        </is>
      </c>
    </row>
    <row r="140">
      <c r="H140" s="16" t="inlineStr">
        <is>
          <t>Level|MORE</t>
        </is>
      </c>
      <c r="I140" s="16" t="inlineStr">
        <is>
          <t>[C] Foaming</t>
        </is>
      </c>
    </row>
    <row r="141">
      <c r="H141" s="16" t="inlineStr">
        <is>
          <t>Level|MORE</t>
        </is>
      </c>
      <c r="I141" s="16" t="inlineStr">
        <is>
          <t>[S] Over-filling of ladle at tap (molten metal / slag spill)</t>
        </is>
      </c>
    </row>
    <row r="142">
      <c r="H142" s="16" t="inlineStr">
        <is>
          <t>Level|MORE</t>
        </is>
      </c>
      <c r="I142" s="16" t="inlineStr">
        <is>
          <t>[S] High mould level in continuous caster (overflow)</t>
        </is>
      </c>
    </row>
    <row r="143">
      <c r="H143" s="16" t="inlineStr">
        <is>
          <t>Level|MORE</t>
        </is>
      </c>
      <c r="I143" s="16" t="inlineStr">
        <is>
          <t>[S] Foaming slag over the sill / door</t>
        </is>
      </c>
    </row>
    <row r="144">
      <c r="H144" s="16" t="inlineStr">
        <is>
          <t>Level|MORE</t>
        </is>
      </c>
      <c r="I144" s="16" t="inlineStr">
        <is>
          <t>[S] Bin, silo or hopper over-fill (DRI, pellets, coal, lime) – spillage, structural overload</t>
        </is>
      </c>
    </row>
    <row r="145">
      <c r="H145" s="16" t="inlineStr">
        <is>
          <t>Level|LESS</t>
        </is>
      </c>
      <c r="I145" s="16" t="inlineStr">
        <is>
          <t>Loss of feed; drain left open; leak</t>
        </is>
      </c>
    </row>
    <row r="146">
      <c r="H146" s="16" t="inlineStr">
        <is>
          <t>Level|LESS</t>
        </is>
      </c>
      <c r="I146" s="16" t="inlineStr">
        <is>
          <t>Level indication fails high (false reading)</t>
        </is>
      </c>
    </row>
    <row r="147">
      <c r="H147" s="16" t="inlineStr">
        <is>
          <t>Level|LESS</t>
        </is>
      </c>
      <c r="I147" s="16" t="inlineStr">
        <is>
          <t>Pump cavitation or loss of suction</t>
        </is>
      </c>
    </row>
    <row r="148">
      <c r="H148" s="16" t="inlineStr">
        <is>
          <t>Level|LESS</t>
        </is>
      </c>
      <c r="I148" s="16" t="inlineStr">
        <is>
          <t>Gas blow-by to downstream low-pressure vessel</t>
        </is>
      </c>
    </row>
    <row r="149">
      <c r="H149" s="16" t="inlineStr">
        <is>
          <t>Level|LESS</t>
        </is>
      </c>
      <c r="I149" s="16" t="inlineStr">
        <is>
          <t>[S] Low tundish level – slag entrainment, vortexing</t>
        </is>
      </c>
    </row>
    <row r="150">
      <c r="H150" s="16" t="inlineStr">
        <is>
          <t>Level|LESS</t>
        </is>
      </c>
      <c r="I150" s="16" t="inlineStr">
        <is>
          <t>[S] Low water level in seal pots or water seals – gas escape</t>
        </is>
      </c>
    </row>
    <row r="151">
      <c r="H151" s="16" t="inlineStr">
        <is>
          <t>Level|LESS</t>
        </is>
      </c>
      <c r="I151" s="16" t="inlineStr">
        <is>
          <t>[S] Low level in boiler drum or evaporative cooling system – overheating</t>
        </is>
      </c>
    </row>
    <row r="152">
      <c r="H152" s="16" t="inlineStr">
        <is>
          <t>Level|LESS</t>
        </is>
      </c>
      <c r="I152" s="16" t="inlineStr">
        <is>
          <t>[S] Empty bin or hopper allowing gas to pass back through feed system (loss of material seal)</t>
        </is>
      </c>
    </row>
    <row r="153">
      <c r="H153" s="16" t="inlineStr">
        <is>
          <t>Level|NO</t>
        </is>
      </c>
      <c r="I153" s="16" t="inlineStr">
        <is>
          <t>Loss of feed; drain left open; leak</t>
        </is>
      </c>
    </row>
    <row r="154">
      <c r="H154" s="16" t="inlineStr">
        <is>
          <t>Level|NO</t>
        </is>
      </c>
      <c r="I154" s="16" t="inlineStr">
        <is>
          <t>Level indication fails high (false reading)</t>
        </is>
      </c>
    </row>
    <row r="155">
      <c r="H155" s="16" t="inlineStr">
        <is>
          <t>Level|NO</t>
        </is>
      </c>
      <c r="I155" s="16" t="inlineStr">
        <is>
          <t>Pump cavitation or loss of suction</t>
        </is>
      </c>
    </row>
    <row r="156">
      <c r="H156" s="16" t="inlineStr">
        <is>
          <t>Level|NO</t>
        </is>
      </c>
      <c r="I156" s="16" t="inlineStr">
        <is>
          <t>Gas blow-by to downstream low-pressure vessel</t>
        </is>
      </c>
    </row>
    <row r="157">
      <c r="H157" s="16" t="inlineStr">
        <is>
          <t>Level|NO</t>
        </is>
      </c>
      <c r="I157" s="16" t="inlineStr">
        <is>
          <t>[S] Low tundish level – slag entrainment, vortexing</t>
        </is>
      </c>
    </row>
    <row r="158">
      <c r="H158" s="16" t="inlineStr">
        <is>
          <t>Level|NO</t>
        </is>
      </c>
      <c r="I158" s="16" t="inlineStr">
        <is>
          <t>[S] Low water level in seal pots or water seals – gas escape</t>
        </is>
      </c>
    </row>
    <row r="159">
      <c r="H159" s="16" t="inlineStr">
        <is>
          <t>Level|NO</t>
        </is>
      </c>
      <c r="I159" s="16" t="inlineStr">
        <is>
          <t>[S] Low level in boiler drum or evaporative cooling system – overheating</t>
        </is>
      </c>
    </row>
    <row r="160">
      <c r="H160" s="16" t="inlineStr">
        <is>
          <t>Level|NO</t>
        </is>
      </c>
      <c r="I160" s="16" t="inlineStr">
        <is>
          <t>[S] Empty bin or hopper allowing gas to pass back through feed system (loss of material seal)</t>
        </is>
      </c>
    </row>
    <row r="161">
      <c r="H161" s="16" t="inlineStr">
        <is>
          <t>Composition|AS WELL AS</t>
        </is>
      </c>
      <c r="I161" s="16" t="inlineStr">
        <is>
          <t>Leaking exchanger tubes or isolation valves</t>
        </is>
      </c>
    </row>
    <row r="162">
      <c r="H162" s="16" t="inlineStr">
        <is>
          <t>Composition|AS WELL AS</t>
        </is>
      </c>
      <c r="I162" s="16" t="inlineStr">
        <is>
          <t>Incorrect operation of system</t>
        </is>
      </c>
    </row>
    <row r="163">
      <c r="H163" s="16" t="inlineStr">
        <is>
          <t>Composition|AS WELL AS</t>
        </is>
      </c>
      <c r="I163" s="16" t="inlineStr">
        <is>
          <t>Interconnected systems</t>
        </is>
      </c>
    </row>
    <row r="164">
      <c r="H164" s="16" t="inlineStr">
        <is>
          <t>Composition|AS WELL AS</t>
        </is>
      </c>
      <c r="I164" s="16" t="inlineStr">
        <is>
          <t>Effect of corrosion</t>
        </is>
      </c>
    </row>
    <row r="165">
      <c r="H165" s="16" t="inlineStr">
        <is>
          <t>Composition|AS WELL AS</t>
        </is>
      </c>
      <c r="I165" s="16" t="inlineStr">
        <is>
          <t>Wrong additives</t>
        </is>
      </c>
    </row>
    <row r="166">
      <c r="H166" s="16" t="inlineStr">
        <is>
          <t>Composition|AS WELL AS</t>
        </is>
      </c>
      <c r="I166" s="16" t="inlineStr">
        <is>
          <t>Ingress of air, water or lubricant</t>
        </is>
      </c>
    </row>
    <row r="167">
      <c r="H167" s="16" t="inlineStr">
        <is>
          <t>Composition|AS WELL AS</t>
        </is>
      </c>
      <c r="I167" s="16" t="inlineStr">
        <is>
          <t>Shutdown and start-up conditions</t>
        </is>
      </c>
    </row>
    <row r="168">
      <c r="H168" s="16" t="inlineStr">
        <is>
          <t>Composition|AS WELL AS</t>
        </is>
      </c>
      <c r="I168" s="16" t="inlineStr">
        <is>
          <t>Phase change</t>
        </is>
      </c>
    </row>
    <row r="169">
      <c r="H169" s="16" t="inlineStr">
        <is>
          <t>Composition|AS WELL AS</t>
        </is>
      </c>
      <c r="I169" s="16" t="inlineStr">
        <is>
          <t>Sediments / scale</t>
        </is>
      </c>
    </row>
    <row r="170">
      <c r="H170" s="16" t="inlineStr">
        <is>
          <t>Composition|AS WELL AS</t>
        </is>
      </c>
      <c r="I170" s="16" t="inlineStr">
        <is>
          <t>Biological activity</t>
        </is>
      </c>
    </row>
    <row r="171">
      <c r="H171" s="16" t="inlineStr">
        <is>
          <t>Composition|AS WELL AS</t>
        </is>
      </c>
      <c r="I171" s="16" t="inlineStr">
        <is>
          <t>Reaction by-products / breakdown products</t>
        </is>
      </c>
    </row>
    <row r="172">
      <c r="H172" s="16" t="inlineStr">
        <is>
          <t>Composition|AS WELL AS</t>
        </is>
      </c>
      <c r="I172" s="16" t="inlineStr">
        <is>
          <t>[C] Catalyst poisons in feed</t>
        </is>
      </c>
    </row>
    <row r="173">
      <c r="H173" s="16" t="inlineStr">
        <is>
          <t>Composition|AS WELL AS</t>
        </is>
      </c>
      <c r="I173" s="16" t="inlineStr">
        <is>
          <t>[S] Wet or contaminated scrap – sealed containers, explosives, oil, paint, plastics, radioactive sources</t>
        </is>
      </c>
    </row>
    <row r="174">
      <c r="H174" s="16" t="inlineStr">
        <is>
          <t>Composition|AS WELL AS</t>
        </is>
      </c>
      <c r="I174" s="16" t="inlineStr">
        <is>
          <t>[S] Moisture in ferro-alloys, fluxes, ladle additions or tundish powders</t>
        </is>
      </c>
    </row>
    <row r="175">
      <c r="H175" s="16" t="inlineStr">
        <is>
          <t>Composition|AS WELL AS</t>
        </is>
      </c>
      <c r="I175" s="16" t="inlineStr">
        <is>
          <t>[S] Oxygen or air ingress into reducing gas or inerted systems</t>
        </is>
      </c>
    </row>
    <row r="176">
      <c r="H176" s="16" t="inlineStr">
        <is>
          <t>Composition|AS WELL AS</t>
        </is>
      </c>
      <c r="I176" s="16" t="inlineStr">
        <is>
          <t>[S] Hydrogen, CO or H2S in process gas above design values</t>
        </is>
      </c>
    </row>
    <row r="177">
      <c r="H177" s="16" t="inlineStr">
        <is>
          <t>Composition|PART OF</t>
        </is>
      </c>
      <c r="I177" s="16" t="inlineStr">
        <is>
          <t>Feed ratio controller failure; one feed lost</t>
        </is>
      </c>
    </row>
    <row r="178">
      <c r="H178" s="16" t="inlineStr">
        <is>
          <t>Composition|PART OF</t>
        </is>
      </c>
      <c r="I178" s="16" t="inlineStr">
        <is>
          <t>Dosing pump stopped or air-locked</t>
        </is>
      </c>
    </row>
    <row r="179">
      <c r="H179" s="16" t="inlineStr">
        <is>
          <t>Composition|PART OF</t>
        </is>
      </c>
      <c r="I179" s="16" t="inlineStr">
        <is>
          <t>Analyser or sample error</t>
        </is>
      </c>
    </row>
    <row r="180">
      <c r="H180" s="16" t="inlineStr">
        <is>
          <t>Composition|PART OF</t>
        </is>
      </c>
      <c r="I180" s="16" t="inlineStr">
        <is>
          <t>[C] Wrong acid or caustic concentration</t>
        </is>
      </c>
    </row>
    <row r="181">
      <c r="H181" s="16" t="inlineStr">
        <is>
          <t>Composition|PART OF</t>
        </is>
      </c>
      <c r="I181" s="16" t="inlineStr">
        <is>
          <t>[S] Carbon, sulphur or metallisation of DRI outside specification</t>
        </is>
      </c>
    </row>
    <row r="182">
      <c r="H182" s="16" t="inlineStr">
        <is>
          <t>Composition|PART OF</t>
        </is>
      </c>
      <c r="I182" s="16" t="inlineStr">
        <is>
          <t>[S] Wrong fuel / air ratio – incomplete combustion, CO formation</t>
        </is>
      </c>
    </row>
    <row r="183">
      <c r="H183" s="16" t="inlineStr">
        <is>
          <t>Composition|PART OF</t>
        </is>
      </c>
      <c r="I183" s="16" t="inlineStr">
        <is>
          <t>[S] Pickling acid strength out of range</t>
        </is>
      </c>
    </row>
    <row r="184">
      <c r="H184" s="16" t="inlineStr">
        <is>
          <t>Composition|OTHER THAN</t>
        </is>
      </c>
      <c r="I184" s="16" t="inlineStr">
        <is>
          <t>Wrong raw material delivered or unloaded</t>
        </is>
      </c>
    </row>
    <row r="185">
      <c r="H185" s="16" t="inlineStr">
        <is>
          <t>Composition|OTHER THAN</t>
        </is>
      </c>
      <c r="I185" s="16" t="inlineStr">
        <is>
          <t>Mislabelled drums, IBCs or cylinders</t>
        </is>
      </c>
    </row>
    <row r="186">
      <c r="H186" s="16" t="inlineStr">
        <is>
          <t>Composition|OTHER THAN</t>
        </is>
      </c>
      <c r="I186" s="16" t="inlineStr">
        <is>
          <t>Wrong gas connected (e.g. oxygen in place of nitrogen, nitrogen in place of breathing air)</t>
        </is>
      </c>
    </row>
    <row r="187">
      <c r="H187" s="16" t="inlineStr">
        <is>
          <t>Composition|OTHER THAN</t>
        </is>
      </c>
      <c r="I187" s="16" t="inlineStr">
        <is>
          <t>Incorrect hose / coupling standardisation</t>
        </is>
      </c>
    </row>
    <row r="188">
      <c r="H188" s="16" t="inlineStr">
        <is>
          <t>Composition|OTHER THAN</t>
        </is>
      </c>
      <c r="I188" s="16" t="inlineStr">
        <is>
          <t>[S] Wrong alloy addition or wrong grade of scrap charged</t>
        </is>
      </c>
    </row>
    <row r="189">
      <c r="H189" s="16" t="inlineStr">
        <is>
          <t>Phase|OTHER THAN</t>
        </is>
      </c>
      <c r="I189" s="16" t="inlineStr">
        <is>
          <t>Flashing, boiling or condensation</t>
        </is>
      </c>
    </row>
    <row r="190">
      <c r="H190" s="16" t="inlineStr">
        <is>
          <t>Phase|OTHER THAN</t>
        </is>
      </c>
      <c r="I190" s="16" t="inlineStr">
        <is>
          <t>Freezing or solidification</t>
        </is>
      </c>
    </row>
    <row r="191">
      <c r="H191" s="16" t="inlineStr">
        <is>
          <t>Phase|OTHER THAN</t>
        </is>
      </c>
      <c r="I191" s="16" t="inlineStr">
        <is>
          <t>Two-phase flow in single-phase design</t>
        </is>
      </c>
    </row>
    <row r="192">
      <c r="H192" s="16" t="inlineStr">
        <is>
          <t>Phase|OTHER THAN</t>
        </is>
      </c>
      <c r="I192" s="16" t="inlineStr">
        <is>
          <t>[C] Vapour lock; liquid in compressor suction</t>
        </is>
      </c>
    </row>
    <row r="193">
      <c r="H193" s="16" t="inlineStr">
        <is>
          <t>Phase|OTHER THAN</t>
        </is>
      </c>
      <c r="I193" s="16" t="inlineStr">
        <is>
          <t>[S] Molten metal–water contact – steam explosion</t>
        </is>
      </c>
    </row>
    <row r="194">
      <c r="H194" s="16" t="inlineStr">
        <is>
          <t>Phase|OTHER THAN</t>
        </is>
      </c>
      <c r="I194" s="16" t="inlineStr">
        <is>
          <t>[S] Solidification of slag or metal in transfer equipment</t>
        </is>
      </c>
    </row>
    <row r="195">
      <c r="H195" s="16" t="inlineStr">
        <is>
          <t>Reaction|MORE</t>
        </is>
      </c>
      <c r="I195" s="16" t="inlineStr">
        <is>
          <t>Loss of cooling or agitation</t>
        </is>
      </c>
    </row>
    <row r="196">
      <c r="H196" s="16" t="inlineStr">
        <is>
          <t>Reaction|MORE</t>
        </is>
      </c>
      <c r="I196" s="16" t="inlineStr">
        <is>
          <t>Excess catalyst or initiator; wrong reactant order</t>
        </is>
      </c>
    </row>
    <row r="197">
      <c r="H197" s="16" t="inlineStr">
        <is>
          <t>Reaction|MORE</t>
        </is>
      </c>
      <c r="I197" s="16" t="inlineStr">
        <is>
          <t>Higher feed concentration or temperature</t>
        </is>
      </c>
    </row>
    <row r="198">
      <c r="H198" s="16" t="inlineStr">
        <is>
          <t>Reaction|MORE</t>
        </is>
      </c>
      <c r="I198" s="16" t="inlineStr">
        <is>
          <t>Accumulation of unreacted material followed by sudden reaction</t>
        </is>
      </c>
    </row>
    <row r="199">
      <c r="H199" s="16" t="inlineStr">
        <is>
          <t>Reaction|MORE</t>
        </is>
      </c>
      <c r="I199" s="16" t="inlineStr">
        <is>
          <t>[C] Contamination promoting decomposition</t>
        </is>
      </c>
    </row>
    <row r="200">
      <c r="H200" s="16" t="inlineStr">
        <is>
          <t>Reaction|MORE</t>
        </is>
      </c>
      <c r="I200" s="16" t="inlineStr">
        <is>
          <t>[S] Excessive oxygen blowing – violent carbon boil / slopping</t>
        </is>
      </c>
    </row>
    <row r="201">
      <c r="H201" s="16" t="inlineStr">
        <is>
          <t>Reaction|MORE</t>
        </is>
      </c>
      <c r="I201" s="16" t="inlineStr">
        <is>
          <t>[S] Metal–water reaction generating hydrogen</t>
        </is>
      </c>
    </row>
    <row r="202">
      <c r="H202" s="16" t="inlineStr">
        <is>
          <t>Reaction|MORE</t>
        </is>
      </c>
      <c r="I202" s="16" t="inlineStr">
        <is>
          <t>[S] Aluminium, magnesium or other reactive metal powders in contact with water</t>
        </is>
      </c>
    </row>
    <row r="203">
      <c r="H203" s="16" t="inlineStr">
        <is>
          <t>Reaction|LESS</t>
        </is>
      </c>
      <c r="I203" s="16" t="inlineStr">
        <is>
          <t>Low temperature; catalyst deactivated</t>
        </is>
      </c>
    </row>
    <row r="204">
      <c r="H204" s="16" t="inlineStr">
        <is>
          <t>Reaction|LESS</t>
        </is>
      </c>
      <c r="I204" s="16" t="inlineStr">
        <is>
          <t>Wrong or missing reactant; inhibitor excess</t>
        </is>
      </c>
    </row>
    <row r="205">
      <c r="H205" s="16" t="inlineStr">
        <is>
          <t>Reaction|LESS</t>
        </is>
      </c>
      <c r="I205" s="16" t="inlineStr">
        <is>
          <t>[C] Accumulation of unreacted material (later runaway)</t>
        </is>
      </c>
    </row>
    <row r="206">
      <c r="H206" s="16" t="inlineStr">
        <is>
          <t>Reaction|LESS</t>
        </is>
      </c>
      <c r="I206" s="16" t="inlineStr">
        <is>
          <t>[S] Incomplete reduction in DRI shaft / kiln (low metallisation)</t>
        </is>
      </c>
    </row>
    <row r="207">
      <c r="H207" s="16" t="inlineStr">
        <is>
          <t>Reaction|LESS</t>
        </is>
      </c>
      <c r="I207" s="16" t="inlineStr">
        <is>
          <t>[S] Low reducing-gas quality or temperature</t>
        </is>
      </c>
    </row>
    <row r="208">
      <c r="H208" s="16" t="inlineStr">
        <is>
          <t>Reaction|NO</t>
        </is>
      </c>
      <c r="I208" s="16" t="inlineStr">
        <is>
          <t>Low temperature; catalyst deactivated</t>
        </is>
      </c>
    </row>
    <row r="209">
      <c r="H209" s="16" t="inlineStr">
        <is>
          <t>Reaction|NO</t>
        </is>
      </c>
      <c r="I209" s="16" t="inlineStr">
        <is>
          <t>Wrong or missing reactant; inhibitor excess</t>
        </is>
      </c>
    </row>
    <row r="210">
      <c r="H210" s="16" t="inlineStr">
        <is>
          <t>Reaction|NO</t>
        </is>
      </c>
      <c r="I210" s="16" t="inlineStr">
        <is>
          <t>[C] Accumulation of unreacted material (later runaway)</t>
        </is>
      </c>
    </row>
    <row r="211">
      <c r="H211" s="16" t="inlineStr">
        <is>
          <t>Reaction|NO</t>
        </is>
      </c>
      <c r="I211" s="16" t="inlineStr">
        <is>
          <t>[S] Incomplete reduction in DRI shaft / kiln (low metallisation)</t>
        </is>
      </c>
    </row>
    <row r="212">
      <c r="H212" s="16" t="inlineStr">
        <is>
          <t>Reaction|NO</t>
        </is>
      </c>
      <c r="I212" s="16" t="inlineStr">
        <is>
          <t>[S] Low reducing-gas quality or temperature</t>
        </is>
      </c>
    </row>
    <row r="213">
      <c r="H213" s="16" t="inlineStr">
        <is>
          <t>Reaction|OTHER THAN</t>
        </is>
      </c>
      <c r="I213" s="16" t="inlineStr">
        <is>
          <t>[C] Decomposition, polymerisation, oxidation</t>
        </is>
      </c>
    </row>
    <row r="214">
      <c r="H214" s="16" t="inlineStr">
        <is>
          <t>Reaction|OTHER THAN</t>
        </is>
      </c>
      <c r="I214" s="16" t="inlineStr">
        <is>
          <t>[S] Carbon deposition (Boudouard reaction) in reducing-gas systems</t>
        </is>
      </c>
    </row>
    <row r="215">
      <c r="H215" s="16" t="inlineStr">
        <is>
          <t>Reaction|OTHER THAN</t>
        </is>
      </c>
      <c r="I215" s="16" t="inlineStr">
        <is>
          <t>[S] Carbonyl formation where CO contacts nickel or iron surfaces at low temperature</t>
        </is>
      </c>
    </row>
    <row r="216">
      <c r="H216" s="16" t="inlineStr">
        <is>
          <t>Reaction|OTHER THAN</t>
        </is>
      </c>
      <c r="I216" s="16" t="inlineStr">
        <is>
          <t>[S] Re-oxidation of DRI / HBI (heat and hydrogen release)</t>
        </is>
      </c>
    </row>
    <row r="217">
      <c r="H217" s="16" t="inlineStr">
        <is>
          <t>Reaction|OTHER THAN</t>
        </is>
      </c>
      <c r="I217" s="16" t="inlineStr">
        <is>
          <t>Toxic gas evolution (H2S, HCN, NOx, phosphine from wetted ferro-silicon)</t>
        </is>
      </c>
    </row>
    <row r="218">
      <c r="H218" s="16" t="inlineStr">
        <is>
          <t>Mixing / agitation|NO</t>
        </is>
      </c>
      <c r="I218" s="16" t="inlineStr">
        <is>
          <t>Agitator, mixer or circulation pump trip</t>
        </is>
      </c>
    </row>
    <row r="219">
      <c r="H219" s="16" t="inlineStr">
        <is>
          <t>Mixing / agitation|NO</t>
        </is>
      </c>
      <c r="I219" s="16" t="inlineStr">
        <is>
          <t>Wrong agitator speed</t>
        </is>
      </c>
    </row>
    <row r="220">
      <c r="H220" s="16" t="inlineStr">
        <is>
          <t>Mixing / agitation|NO</t>
        </is>
      </c>
      <c r="I220" s="16" t="inlineStr">
        <is>
          <t>[C] Stratification of reactants</t>
        </is>
      </c>
    </row>
    <row r="221">
      <c r="H221" s="16" t="inlineStr">
        <is>
          <t>Mixing / agitation|NO</t>
        </is>
      </c>
      <c r="I221" s="16" t="inlineStr">
        <is>
          <t>[S] Argon / nitrogen stirring – porous plug blocked or leaking</t>
        </is>
      </c>
    </row>
    <row r="222">
      <c r="H222" s="16" t="inlineStr">
        <is>
          <t>Mixing / agitation|NO</t>
        </is>
      </c>
      <c r="I222" s="16" t="inlineStr">
        <is>
          <t>[S] Excessive stirring – metal splash, slag entrainment</t>
        </is>
      </c>
    </row>
    <row r="223">
      <c r="H223" s="16" t="inlineStr">
        <is>
          <t>Mixing / agitation|NO</t>
        </is>
      </c>
      <c r="I223" s="16" t="inlineStr">
        <is>
          <t>[S] Electromagnetic stirrer failure</t>
        </is>
      </c>
    </row>
    <row r="224">
      <c r="H224" s="16" t="inlineStr">
        <is>
          <t>Mixing / agitation|LESS</t>
        </is>
      </c>
      <c r="I224" s="16" t="inlineStr">
        <is>
          <t>Agitator, mixer or circulation pump trip</t>
        </is>
      </c>
    </row>
    <row r="225">
      <c r="H225" s="16" t="inlineStr">
        <is>
          <t>Mixing / agitation|LESS</t>
        </is>
      </c>
      <c r="I225" s="16" t="inlineStr">
        <is>
          <t>Wrong agitator speed</t>
        </is>
      </c>
    </row>
    <row r="226">
      <c r="H226" s="16" t="inlineStr">
        <is>
          <t>Mixing / agitation|LESS</t>
        </is>
      </c>
      <c r="I226" s="16" t="inlineStr">
        <is>
          <t>[C] Stratification of reactants</t>
        </is>
      </c>
    </row>
    <row r="227">
      <c r="H227" s="16" t="inlineStr">
        <is>
          <t>Mixing / agitation|LESS</t>
        </is>
      </c>
      <c r="I227" s="16" t="inlineStr">
        <is>
          <t>[S] Argon / nitrogen stirring – porous plug blocked or leaking</t>
        </is>
      </c>
    </row>
    <row r="228">
      <c r="H228" s="16" t="inlineStr">
        <is>
          <t>Mixing / agitation|LESS</t>
        </is>
      </c>
      <c r="I228" s="16" t="inlineStr">
        <is>
          <t>[S] Excessive stirring – metal splash, slag entrainment</t>
        </is>
      </c>
    </row>
    <row r="229">
      <c r="H229" s="16" t="inlineStr">
        <is>
          <t>Mixing / agitation|LESS</t>
        </is>
      </c>
      <c r="I229" s="16" t="inlineStr">
        <is>
          <t>[S] Electromagnetic stirrer failure</t>
        </is>
      </c>
    </row>
    <row r="230">
      <c r="H230" s="16" t="inlineStr">
        <is>
          <t>Mixing / agitation|MORE</t>
        </is>
      </c>
      <c r="I230" s="16" t="inlineStr">
        <is>
          <t>Agitator, mixer or circulation pump trip</t>
        </is>
      </c>
    </row>
    <row r="231">
      <c r="H231" s="16" t="inlineStr">
        <is>
          <t>Mixing / agitation|MORE</t>
        </is>
      </c>
      <c r="I231" s="16" t="inlineStr">
        <is>
          <t>Wrong agitator speed</t>
        </is>
      </c>
    </row>
    <row r="232">
      <c r="H232" s="16" t="inlineStr">
        <is>
          <t>Mixing / agitation|MORE</t>
        </is>
      </c>
      <c r="I232" s="16" t="inlineStr">
        <is>
          <t>[C] Stratification of reactants</t>
        </is>
      </c>
    </row>
    <row r="233">
      <c r="H233" s="16" t="inlineStr">
        <is>
          <t>Mixing / agitation|MORE</t>
        </is>
      </c>
      <c r="I233" s="16" t="inlineStr">
        <is>
          <t>[S] Argon / nitrogen stirring – porous plug blocked or leaking</t>
        </is>
      </c>
    </row>
    <row r="234">
      <c r="H234" s="16" t="inlineStr">
        <is>
          <t>Mixing / agitation|MORE</t>
        </is>
      </c>
      <c r="I234" s="16" t="inlineStr">
        <is>
          <t>[S] Excessive stirring – metal splash, slag entrainment</t>
        </is>
      </c>
    </row>
    <row r="235">
      <c r="H235" s="16" t="inlineStr">
        <is>
          <t>Mixing / agitation|MORE</t>
        </is>
      </c>
      <c r="I235" s="16" t="inlineStr">
        <is>
          <t>[S] Electromagnetic stirrer failure</t>
        </is>
      </c>
    </row>
    <row r="236">
      <c r="H236" s="16" t="inlineStr">
        <is>
          <t>Timing / sequence|EARLY</t>
        </is>
      </c>
      <c r="I236" s="16" t="inlineStr">
        <is>
          <t>Procedure step skipped or done out of order</t>
        </is>
      </c>
    </row>
    <row r="237">
      <c r="H237" s="16" t="inlineStr">
        <is>
          <t>Timing / sequence|EARLY</t>
        </is>
      </c>
      <c r="I237" s="16" t="inlineStr">
        <is>
          <t>Batch timer or sequence controller failure</t>
        </is>
      </c>
    </row>
    <row r="238">
      <c r="H238" s="16" t="inlineStr">
        <is>
          <t>Timing / sequence|EARLY</t>
        </is>
      </c>
      <c r="I238" s="16" t="inlineStr">
        <is>
          <t>Purge time too short before light-up (burner management)</t>
        </is>
      </c>
    </row>
    <row r="239">
      <c r="H239" s="16" t="inlineStr">
        <is>
          <t>Timing / sequence|EARLY</t>
        </is>
      </c>
      <c r="I239" s="16" t="inlineStr">
        <is>
          <t>Operator distraction or shift changeover</t>
        </is>
      </c>
    </row>
    <row r="240">
      <c r="H240" s="16" t="inlineStr">
        <is>
          <t>Timing / sequence|EARLY</t>
        </is>
      </c>
      <c r="I240" s="16" t="inlineStr">
        <is>
          <t>[C] Reagent added before reaction mass at temperature</t>
        </is>
      </c>
    </row>
    <row r="241">
      <c r="H241" s="16" t="inlineStr">
        <is>
          <t>Timing / sequence|EARLY</t>
        </is>
      </c>
      <c r="I241" s="16" t="inlineStr">
        <is>
          <t>[S] Tapping late (over-oxidation, high temperature) or early (low temperature)</t>
        </is>
      </c>
    </row>
    <row r="242">
      <c r="H242" s="16" t="inlineStr">
        <is>
          <t>Timing / sequence|EARLY</t>
        </is>
      </c>
      <c r="I242" s="16" t="inlineStr">
        <is>
          <t>[S] Oxygen on before lance in correct position; lance not withdrawn at end of blow</t>
        </is>
      </c>
    </row>
    <row r="243">
      <c r="H243" s="16" t="inlineStr">
        <is>
          <t>Timing / sequence|EARLY</t>
        </is>
      </c>
      <c r="I243" s="16" t="inlineStr">
        <is>
          <t>[S] Charging scrap into a furnace with water present or hot heel too large</t>
        </is>
      </c>
    </row>
    <row r="244">
      <c r="H244" s="16" t="inlineStr">
        <is>
          <t>Timing / sequence|EARLY</t>
        </is>
      </c>
      <c r="I244" s="16" t="inlineStr">
        <is>
          <t>[S] Ladle not dried out / pre-heated before use</t>
        </is>
      </c>
    </row>
    <row r="245">
      <c r="H245" s="16" t="inlineStr">
        <is>
          <t>Timing / sequence|LATE</t>
        </is>
      </c>
      <c r="I245" s="16" t="inlineStr">
        <is>
          <t>Procedure step skipped or done out of order</t>
        </is>
      </c>
    </row>
    <row r="246">
      <c r="H246" s="16" t="inlineStr">
        <is>
          <t>Timing / sequence|LATE</t>
        </is>
      </c>
      <c r="I246" s="16" t="inlineStr">
        <is>
          <t>Batch timer or sequence controller failure</t>
        </is>
      </c>
    </row>
    <row r="247">
      <c r="H247" s="16" t="inlineStr">
        <is>
          <t>Timing / sequence|LATE</t>
        </is>
      </c>
      <c r="I247" s="16" t="inlineStr">
        <is>
          <t>Purge time too short before light-up (burner management)</t>
        </is>
      </c>
    </row>
    <row r="248">
      <c r="H248" s="16" t="inlineStr">
        <is>
          <t>Timing / sequence|LATE</t>
        </is>
      </c>
      <c r="I248" s="16" t="inlineStr">
        <is>
          <t>Operator distraction or shift changeover</t>
        </is>
      </c>
    </row>
    <row r="249">
      <c r="H249" s="16" t="inlineStr">
        <is>
          <t>Timing / sequence|LATE</t>
        </is>
      </c>
      <c r="I249" s="16" t="inlineStr">
        <is>
          <t>[C] Reagent added before reaction mass at temperature</t>
        </is>
      </c>
    </row>
    <row r="250">
      <c r="H250" s="16" t="inlineStr">
        <is>
          <t>Timing / sequence|LATE</t>
        </is>
      </c>
      <c r="I250" s="16" t="inlineStr">
        <is>
          <t>[S] Tapping late (over-oxidation, high temperature) or early (low temperature)</t>
        </is>
      </c>
    </row>
    <row r="251">
      <c r="H251" s="16" t="inlineStr">
        <is>
          <t>Timing / sequence|LATE</t>
        </is>
      </c>
      <c r="I251" s="16" t="inlineStr">
        <is>
          <t>[S] Oxygen on before lance in correct position; lance not withdrawn at end of blow</t>
        </is>
      </c>
    </row>
    <row r="252">
      <c r="H252" s="16" t="inlineStr">
        <is>
          <t>Timing / sequence|LATE</t>
        </is>
      </c>
      <c r="I252" s="16" t="inlineStr">
        <is>
          <t>[S] Charging scrap into a furnace with water present or hot heel too large</t>
        </is>
      </c>
    </row>
    <row r="253">
      <c r="H253" s="16" t="inlineStr">
        <is>
          <t>Timing / sequence|LATE</t>
        </is>
      </c>
      <c r="I253" s="16" t="inlineStr">
        <is>
          <t>[S] Ladle not dried out / pre-heated before use</t>
        </is>
      </c>
    </row>
    <row r="254">
      <c r="H254" s="16" t="inlineStr">
        <is>
          <t>Timing / sequence|BEFORE</t>
        </is>
      </c>
      <c r="I254" s="16" t="inlineStr">
        <is>
          <t>Procedure step skipped or done out of order</t>
        </is>
      </c>
    </row>
    <row r="255">
      <c r="H255" s="16" t="inlineStr">
        <is>
          <t>Timing / sequence|BEFORE</t>
        </is>
      </c>
      <c r="I255" s="16" t="inlineStr">
        <is>
          <t>Batch timer or sequence controller failure</t>
        </is>
      </c>
    </row>
    <row r="256">
      <c r="H256" s="16" t="inlineStr">
        <is>
          <t>Timing / sequence|BEFORE</t>
        </is>
      </c>
      <c r="I256" s="16" t="inlineStr">
        <is>
          <t>Purge time too short before light-up (burner management)</t>
        </is>
      </c>
    </row>
    <row r="257">
      <c r="H257" s="16" t="inlineStr">
        <is>
          <t>Timing / sequence|BEFORE</t>
        </is>
      </c>
      <c r="I257" s="16" t="inlineStr">
        <is>
          <t>Operator distraction or shift changeover</t>
        </is>
      </c>
    </row>
    <row r="258">
      <c r="H258" s="16" t="inlineStr">
        <is>
          <t>Timing / sequence|BEFORE</t>
        </is>
      </c>
      <c r="I258" s="16" t="inlineStr">
        <is>
          <t>[C] Reagent added before reaction mass at temperature</t>
        </is>
      </c>
    </row>
    <row r="259">
      <c r="H259" s="16" t="inlineStr">
        <is>
          <t>Timing / sequence|BEFORE</t>
        </is>
      </c>
      <c r="I259" s="16" t="inlineStr">
        <is>
          <t>[S] Tapping late (over-oxidation, high temperature) or early (low temperature)</t>
        </is>
      </c>
    </row>
    <row r="260">
      <c r="H260" s="16" t="inlineStr">
        <is>
          <t>Timing / sequence|BEFORE</t>
        </is>
      </c>
      <c r="I260" s="16" t="inlineStr">
        <is>
          <t>[S] Oxygen on before lance in correct position; lance not withdrawn at end of blow</t>
        </is>
      </c>
    </row>
    <row r="261">
      <c r="H261" s="16" t="inlineStr">
        <is>
          <t>Timing / sequence|BEFORE</t>
        </is>
      </c>
      <c r="I261" s="16" t="inlineStr">
        <is>
          <t>[S] Charging scrap into a furnace with water present or hot heel too large</t>
        </is>
      </c>
    </row>
    <row r="262">
      <c r="H262" s="16" t="inlineStr">
        <is>
          <t>Timing / sequence|BEFORE</t>
        </is>
      </c>
      <c r="I262" s="16" t="inlineStr">
        <is>
          <t>[S] Ladle not dried out / pre-heated before use</t>
        </is>
      </c>
    </row>
    <row r="263">
      <c r="H263" s="16" t="inlineStr">
        <is>
          <t>Timing / sequence|AFTER</t>
        </is>
      </c>
      <c r="I263" s="16" t="inlineStr">
        <is>
          <t>Procedure step skipped or done out of order</t>
        </is>
      </c>
    </row>
    <row r="264">
      <c r="H264" s="16" t="inlineStr">
        <is>
          <t>Timing / sequence|AFTER</t>
        </is>
      </c>
      <c r="I264" s="16" t="inlineStr">
        <is>
          <t>Batch timer or sequence controller failure</t>
        </is>
      </c>
    </row>
    <row r="265">
      <c r="H265" s="16" t="inlineStr">
        <is>
          <t>Timing / sequence|AFTER</t>
        </is>
      </c>
      <c r="I265" s="16" t="inlineStr">
        <is>
          <t>Purge time too short before light-up (burner management)</t>
        </is>
      </c>
    </row>
    <row r="266">
      <c r="H266" s="16" t="inlineStr">
        <is>
          <t>Timing / sequence|AFTER</t>
        </is>
      </c>
      <c r="I266" s="16" t="inlineStr">
        <is>
          <t>Operator distraction or shift changeover</t>
        </is>
      </c>
    </row>
    <row r="267">
      <c r="H267" s="16" t="inlineStr">
        <is>
          <t>Timing / sequence|AFTER</t>
        </is>
      </c>
      <c r="I267" s="16" t="inlineStr">
        <is>
          <t>[C] Reagent added before reaction mass at temperature</t>
        </is>
      </c>
    </row>
    <row r="268">
      <c r="H268" s="16" t="inlineStr">
        <is>
          <t>Timing / sequence|AFTER</t>
        </is>
      </c>
      <c r="I268" s="16" t="inlineStr">
        <is>
          <t>[S] Tapping late (over-oxidation, high temperature) or early (low temperature)</t>
        </is>
      </c>
    </row>
    <row r="269">
      <c r="H269" s="16" t="inlineStr">
        <is>
          <t>Timing / sequence|AFTER</t>
        </is>
      </c>
      <c r="I269" s="16" t="inlineStr">
        <is>
          <t>[S] Oxygen on before lance in correct position; lance not withdrawn at end of blow</t>
        </is>
      </c>
    </row>
    <row r="270">
      <c r="H270" s="16" t="inlineStr">
        <is>
          <t>Timing / sequence|AFTER</t>
        </is>
      </c>
      <c r="I270" s="16" t="inlineStr">
        <is>
          <t>[S] Charging scrap into a furnace with water present or hot heel too large</t>
        </is>
      </c>
    </row>
    <row r="271">
      <c r="H271" s="16" t="inlineStr">
        <is>
          <t>Timing / sequence|AFTER</t>
        </is>
      </c>
      <c r="I271" s="16" t="inlineStr">
        <is>
          <t>[S] Ladle not dried out / pre-heated before use</t>
        </is>
      </c>
    </row>
    <row r="272">
      <c r="H272" s="16" t="inlineStr">
        <is>
          <t>Timing / sequence|NO</t>
        </is>
      </c>
      <c r="I272" s="16" t="inlineStr">
        <is>
          <t>Procedure step skipped or done out of order</t>
        </is>
      </c>
    </row>
    <row r="273">
      <c r="H273" s="16" t="inlineStr">
        <is>
          <t>Timing / sequence|NO</t>
        </is>
      </c>
      <c r="I273" s="16" t="inlineStr">
        <is>
          <t>Batch timer or sequence controller failure</t>
        </is>
      </c>
    </row>
    <row r="274">
      <c r="H274" s="16" t="inlineStr">
        <is>
          <t>Timing / sequence|NO</t>
        </is>
      </c>
      <c r="I274" s="16" t="inlineStr">
        <is>
          <t>Purge time too short before light-up (burner management)</t>
        </is>
      </c>
    </row>
    <row r="275">
      <c r="H275" s="16" t="inlineStr">
        <is>
          <t>Timing / sequence|NO</t>
        </is>
      </c>
      <c r="I275" s="16" t="inlineStr">
        <is>
          <t>Operator distraction or shift changeover</t>
        </is>
      </c>
    </row>
    <row r="276">
      <c r="H276" s="16" t="inlineStr">
        <is>
          <t>Timing / sequence|NO</t>
        </is>
      </c>
      <c r="I276" s="16" t="inlineStr">
        <is>
          <t>[C] Reagent added before reaction mass at temperature</t>
        </is>
      </c>
    </row>
    <row r="277">
      <c r="H277" s="16" t="inlineStr">
        <is>
          <t>Timing / sequence|NO</t>
        </is>
      </c>
      <c r="I277" s="16" t="inlineStr">
        <is>
          <t>[S] Tapping late (over-oxidation, high temperature) or early (low temperature)</t>
        </is>
      </c>
    </row>
    <row r="278">
      <c r="H278" s="16" t="inlineStr">
        <is>
          <t>Timing / sequence|NO</t>
        </is>
      </c>
      <c r="I278" s="16" t="inlineStr">
        <is>
          <t>[S] Oxygen on before lance in correct position; lance not withdrawn at end of blow</t>
        </is>
      </c>
    </row>
    <row r="279">
      <c r="H279" s="16" t="inlineStr">
        <is>
          <t>Timing / sequence|NO</t>
        </is>
      </c>
      <c r="I279" s="16" t="inlineStr">
        <is>
          <t>[S] Charging scrap into a furnace with water present or hot heel too large</t>
        </is>
      </c>
    </row>
    <row r="280">
      <c r="H280" s="16" t="inlineStr">
        <is>
          <t>Timing / sequence|NO</t>
        </is>
      </c>
      <c r="I280" s="16" t="inlineStr">
        <is>
          <t>[S] Ladle not dried out / pre-heated before use</t>
        </is>
      </c>
    </row>
    <row r="281">
      <c r="H281" s="16" t="inlineStr">
        <is>
          <t>Rate of change|FASTER</t>
        </is>
      </c>
      <c r="I281" s="16" t="inlineStr">
        <is>
          <t>Ramp rate too fast for equipment or refractory</t>
        </is>
      </c>
    </row>
    <row r="282">
      <c r="H282" s="16" t="inlineStr">
        <is>
          <t>Rate of change|FASTER</t>
        </is>
      </c>
      <c r="I282" s="16" t="inlineStr">
        <is>
          <t>[S] Casting speed too fast – breakout</t>
        </is>
      </c>
    </row>
    <row r="283">
      <c r="H283" s="16" t="inlineStr">
        <is>
          <t>Rate of change|FASTER</t>
        </is>
      </c>
      <c r="I283" s="16" t="inlineStr">
        <is>
          <t>[S] Heat-up / dry-out of new refractory too fast – spalling</t>
        </is>
      </c>
    </row>
    <row r="284">
      <c r="H284" s="16" t="inlineStr">
        <is>
          <t>Rate of change|FASTER</t>
        </is>
      </c>
      <c r="I284" s="16" t="inlineStr">
        <is>
          <t>[S] Crane travel or tilting too fast – metal splash</t>
        </is>
      </c>
    </row>
    <row r="285">
      <c r="H285" s="16" t="inlineStr">
        <is>
          <t>Rate of change|SLOWER</t>
        </is>
      </c>
      <c r="I285" s="16" t="inlineStr">
        <is>
          <t>Ramp rate too fast for equipment or refractory</t>
        </is>
      </c>
    </row>
    <row r="286">
      <c r="H286" s="16" t="inlineStr">
        <is>
          <t>Rate of change|SLOWER</t>
        </is>
      </c>
      <c r="I286" s="16" t="inlineStr">
        <is>
          <t>[S] Casting speed too fast – breakout</t>
        </is>
      </c>
    </row>
    <row r="287">
      <c r="H287" s="16" t="inlineStr">
        <is>
          <t>Rate of change|SLOWER</t>
        </is>
      </c>
      <c r="I287" s="16" t="inlineStr">
        <is>
          <t>[S] Heat-up / dry-out of new refractory too fast – spalling</t>
        </is>
      </c>
    </row>
    <row r="288">
      <c r="H288" s="16" t="inlineStr">
        <is>
          <t>Rate of change|SLOWER</t>
        </is>
      </c>
      <c r="I288" s="16" t="inlineStr">
        <is>
          <t>[S] Crane travel or tilting too fast – metal splash</t>
        </is>
      </c>
    </row>
    <row r="289">
      <c r="H289" s="16" t="inlineStr">
        <is>
          <t>Viscosity / density|MORE</t>
        </is>
      </c>
      <c r="I289" s="16" t="inlineStr">
        <is>
          <t>Temperature change</t>
        </is>
      </c>
    </row>
    <row r="290">
      <c r="H290" s="16" t="inlineStr">
        <is>
          <t>Viscosity / density|MORE</t>
        </is>
      </c>
      <c r="I290" s="16" t="inlineStr">
        <is>
          <t>Wrong material or concentration</t>
        </is>
      </c>
    </row>
    <row r="291">
      <c r="H291" s="16" t="inlineStr">
        <is>
          <t>Viscosity / density|MORE</t>
        </is>
      </c>
      <c r="I291" s="16" t="inlineStr">
        <is>
          <t>Solids content too high</t>
        </is>
      </c>
    </row>
    <row r="292">
      <c r="H292" s="16" t="inlineStr">
        <is>
          <t>Viscosity / density|MORE</t>
        </is>
      </c>
      <c r="I292" s="16" t="inlineStr">
        <is>
          <t>[S] Slag basicity or chemistry wrong – viscous slag, poor fluidity</t>
        </is>
      </c>
    </row>
    <row r="293">
      <c r="H293" s="16" t="inlineStr">
        <is>
          <t>Viscosity / density|LESS</t>
        </is>
      </c>
      <c r="I293" s="16" t="inlineStr">
        <is>
          <t>Temperature change</t>
        </is>
      </c>
    </row>
    <row r="294">
      <c r="H294" s="16" t="inlineStr">
        <is>
          <t>Viscosity / density|LESS</t>
        </is>
      </c>
      <c r="I294" s="16" t="inlineStr">
        <is>
          <t>Wrong material or concentration</t>
        </is>
      </c>
    </row>
    <row r="295">
      <c r="H295" s="16" t="inlineStr">
        <is>
          <t>Viscosity / density|LESS</t>
        </is>
      </c>
      <c r="I295" s="16" t="inlineStr">
        <is>
          <t>Solids content too high</t>
        </is>
      </c>
    </row>
    <row r="296">
      <c r="H296" s="16" t="inlineStr">
        <is>
          <t>Viscosity / density|LESS</t>
        </is>
      </c>
      <c r="I296" s="16" t="inlineStr">
        <is>
          <t>[S] Slag basicity or chemistry wrong – viscous slag, poor fluidity</t>
        </is>
      </c>
    </row>
    <row r="297">
      <c r="H297" s="16" t="inlineStr">
        <is>
          <t>Molten metal / slag containment|LOSS OF</t>
        </is>
      </c>
      <c r="I297" s="16" t="inlineStr">
        <is>
          <t>Refractory wear, erosion or spalling; missed refractory inspection</t>
        </is>
      </c>
    </row>
    <row r="298">
      <c r="H298" s="16" t="inlineStr">
        <is>
          <t>Molten metal / slag containment|LOSS OF</t>
        </is>
      </c>
      <c r="I298" s="16" t="inlineStr">
        <is>
          <t>Furnace shell or ladle shell burn-through</t>
        </is>
      </c>
    </row>
    <row r="299">
      <c r="H299" s="16" t="inlineStr">
        <is>
          <t>Molten metal / slag containment|LOSS OF</t>
        </is>
      </c>
      <c r="I299" s="16" t="inlineStr">
        <is>
          <t>Tap-hole or slide-gate failure; nozzle failure</t>
        </is>
      </c>
    </row>
    <row r="300">
      <c r="H300" s="16" t="inlineStr">
        <is>
          <t>Molten metal / slag containment|LOSS OF</t>
        </is>
      </c>
      <c r="I300" s="16" t="inlineStr">
        <is>
          <t>Ladle over-filling</t>
        </is>
      </c>
    </row>
    <row r="301">
      <c r="H301" s="16" t="inlineStr">
        <is>
          <t>Molten metal / slag containment|LOSS OF</t>
        </is>
      </c>
      <c r="I301" s="16" t="inlineStr">
        <is>
          <t>Crane failure or dropped ladle; ladle trunnion failure</t>
        </is>
      </c>
    </row>
    <row r="302">
      <c r="H302" s="16" t="inlineStr">
        <is>
          <t>Molten metal / slag containment|LOSS OF</t>
        </is>
      </c>
      <c r="I302" s="16" t="inlineStr">
        <is>
          <t>Ladle or pot not correctly seated on car or stand</t>
        </is>
      </c>
    </row>
    <row r="303">
      <c r="H303" s="16" t="inlineStr">
        <is>
          <t>Molten metal / slag containment|LOSS OF</t>
        </is>
      </c>
      <c r="I303" s="16" t="inlineStr">
        <is>
          <t>Tilting drive over-travel; loss of hydraulic or electrical control</t>
        </is>
      </c>
    </row>
    <row r="304">
      <c r="H304" s="16" t="inlineStr">
        <is>
          <t>Molten metal / slag containment|LOSS OF</t>
        </is>
      </c>
      <c r="I304" s="16" t="inlineStr">
        <is>
          <t>Breakout at caster (mould level, casting speed, lubrication, sticker)</t>
        </is>
      </c>
    </row>
    <row r="305">
      <c r="H305" s="16" t="inlineStr">
        <is>
          <t>Molten metal / slag containment|LOSS OF</t>
        </is>
      </c>
      <c r="I305" s="16" t="inlineStr">
        <is>
          <t>Vehicle or ladle-car collision; derailment</t>
        </is>
      </c>
    </row>
    <row r="306">
      <c r="H306" s="16" t="inlineStr">
        <is>
          <t>Water contact with molten metal / slag|AS WELL AS</t>
        </is>
      </c>
      <c r="I306" s="16" t="inlineStr">
        <is>
          <t>Leaking water-cooled panel, roof, tuyere, stave, lance or copper mould</t>
        </is>
      </c>
    </row>
    <row r="307">
      <c r="H307" s="16" t="inlineStr">
        <is>
          <t>Water contact with molten metal / slag|AS WELL AS</t>
        </is>
      </c>
      <c r="I307" s="16" t="inlineStr">
        <is>
          <t>Wet scrap, DRI, fluxes or ladle additions; snow or ice</t>
        </is>
      </c>
    </row>
    <row r="308">
      <c r="H308" s="16" t="inlineStr">
        <is>
          <t>Water contact with molten metal / slag|AS WELL AS</t>
        </is>
      </c>
      <c r="I308" s="16" t="inlineStr">
        <is>
          <t>Wet or damp ladles, tundishes, moulds, tools or slag pots</t>
        </is>
      </c>
    </row>
    <row r="309">
      <c r="H309" s="16" t="inlineStr">
        <is>
          <t>Water contact with molten metal / slag|AS WELL AS</t>
        </is>
      </c>
      <c r="I309" s="16" t="inlineStr">
        <is>
          <t>Water on floor or in pits under tapping areas</t>
        </is>
      </c>
    </row>
    <row r="310">
      <c r="H310" s="16" t="inlineStr">
        <is>
          <t>Water contact with molten metal / slag|AS WELL AS</t>
        </is>
      </c>
      <c r="I310" s="16" t="inlineStr">
        <is>
          <t>Rain ingress through damaged roofs; flooding</t>
        </is>
      </c>
    </row>
    <row r="311">
      <c r="H311" s="16" t="inlineStr">
        <is>
          <t>Water contact with molten metal / slag|AS WELL AS</t>
        </is>
      </c>
      <c r="I311" s="16" t="inlineStr">
        <is>
          <t>Spray cooling water impinging on spilled metal</t>
        </is>
      </c>
    </row>
    <row r="312">
      <c r="H312" s="16" t="inlineStr">
        <is>
          <t>Water contact with molten metal / slag|AS WELL AS</t>
        </is>
      </c>
      <c r="I312" s="16" t="inlineStr">
        <is>
          <t>Granulation / slag-pit water management failure</t>
        </is>
      </c>
    </row>
    <row r="313">
      <c r="H313" s="16" t="inlineStr">
        <is>
          <t>Cooling water flow (water-cooled elements)|NO</t>
        </is>
      </c>
      <c r="I313" s="16" t="inlineStr">
        <is>
          <t>Pump trip or power failure without emergency (gravity / diesel) supply</t>
        </is>
      </c>
    </row>
    <row r="314">
      <c r="H314" s="16" t="inlineStr">
        <is>
          <t>Cooling water flow (water-cooled elements)|NO</t>
        </is>
      </c>
      <c r="I314" s="16" t="inlineStr">
        <is>
          <t>Valve closed in error; header isolation</t>
        </is>
      </c>
    </row>
    <row r="315">
      <c r="H315" s="16" t="inlineStr">
        <is>
          <t>Cooling water flow (water-cooled elements)|NO</t>
        </is>
      </c>
      <c r="I315" s="16" t="inlineStr">
        <is>
          <t>Scale, silt or biological fouling</t>
        </is>
      </c>
    </row>
    <row r="316">
      <c r="H316" s="16" t="inlineStr">
        <is>
          <t>Cooling water flow (water-cooled elements)|NO</t>
        </is>
      </c>
      <c r="I316" s="16" t="inlineStr">
        <is>
          <t>Air locking of circuits</t>
        </is>
      </c>
    </row>
    <row r="317">
      <c r="H317" s="16" t="inlineStr">
        <is>
          <t>Cooling water flow (water-cooled elements)|NO</t>
        </is>
      </c>
      <c r="I317" s="16" t="inlineStr">
        <is>
          <t>Low header pressure or tank level</t>
        </is>
      </c>
    </row>
    <row r="318">
      <c r="H318" s="16" t="inlineStr">
        <is>
          <t>Cooling water flow (water-cooled elements)|NO</t>
        </is>
      </c>
      <c r="I318" s="16" t="inlineStr">
        <is>
          <t>Cooling tower failure (fans, basin level)</t>
        </is>
      </c>
    </row>
    <row r="319">
      <c r="H319" s="16" t="inlineStr">
        <is>
          <t>Cooling water flow (water-cooled elements)|LESS</t>
        </is>
      </c>
      <c r="I319" s="16" t="inlineStr">
        <is>
          <t>Pump trip or power failure without emergency (gravity / diesel) supply</t>
        </is>
      </c>
    </row>
    <row r="320">
      <c r="H320" s="16" t="inlineStr">
        <is>
          <t>Cooling water flow (water-cooled elements)|LESS</t>
        </is>
      </c>
      <c r="I320" s="16" t="inlineStr">
        <is>
          <t>Valve closed in error; header isolation</t>
        </is>
      </c>
    </row>
    <row r="321">
      <c r="H321" s="16" t="inlineStr">
        <is>
          <t>Cooling water flow (water-cooled elements)|LESS</t>
        </is>
      </c>
      <c r="I321" s="16" t="inlineStr">
        <is>
          <t>Scale, silt or biological fouling</t>
        </is>
      </c>
    </row>
    <row r="322">
      <c r="H322" s="16" t="inlineStr">
        <is>
          <t>Cooling water flow (water-cooled elements)|LESS</t>
        </is>
      </c>
      <c r="I322" s="16" t="inlineStr">
        <is>
          <t>Air locking of circuits</t>
        </is>
      </c>
    </row>
    <row r="323">
      <c r="H323" s="16" t="inlineStr">
        <is>
          <t>Cooling water flow (water-cooled elements)|LESS</t>
        </is>
      </c>
      <c r="I323" s="16" t="inlineStr">
        <is>
          <t>Low header pressure or tank level</t>
        </is>
      </c>
    </row>
    <row r="324">
      <c r="H324" s="16" t="inlineStr">
        <is>
          <t>Cooling water flow (water-cooled elements)|LESS</t>
        </is>
      </c>
      <c r="I324" s="16" t="inlineStr">
        <is>
          <t>Cooling tower failure (fans, basin level)</t>
        </is>
      </c>
    </row>
    <row r="325">
      <c r="H325" s="16" t="inlineStr">
        <is>
          <t>Water-cooled element integrity|LOSS OF</t>
        </is>
      </c>
      <c r="I325" s="16" t="inlineStr">
        <is>
          <t>Thermal fatigue cracking of panels or lance</t>
        </is>
      </c>
    </row>
    <row r="326">
      <c r="H326" s="16" t="inlineStr">
        <is>
          <t>Water-cooled element integrity|LOSS OF</t>
        </is>
      </c>
      <c r="I326" s="16" t="inlineStr">
        <is>
          <t>Arc or flame impingement damage</t>
        </is>
      </c>
    </row>
    <row r="327">
      <c r="H327" s="16" t="inlineStr">
        <is>
          <t>Water-cooled element integrity|LOSS OF</t>
        </is>
      </c>
      <c r="I327" s="16" t="inlineStr">
        <is>
          <t>Mechanical damage from scrap charging</t>
        </is>
      </c>
    </row>
    <row r="328">
      <c r="H328" s="16" t="inlineStr">
        <is>
          <t>Water-cooled element integrity|LOSS OF</t>
        </is>
      </c>
      <c r="I328" s="16" t="inlineStr">
        <is>
          <t>Erosion or corrosion (water chemistry)</t>
        </is>
      </c>
    </row>
    <row r="329">
      <c r="H329" s="16" t="inlineStr">
        <is>
          <t>Water-cooled element integrity|LOSS OF</t>
        </is>
      </c>
      <c r="I329" s="16" t="inlineStr">
        <is>
          <t>Poor weld or repair quality</t>
        </is>
      </c>
    </row>
    <row r="330">
      <c r="H330" s="16" t="inlineStr">
        <is>
          <t>Water-cooled element integrity|LOSS OF</t>
        </is>
      </c>
      <c r="I330" s="16" t="inlineStr">
        <is>
          <t>Over-pressure of closed circuit</t>
        </is>
      </c>
    </row>
    <row r="331">
      <c r="H331" s="16" t="inlineStr">
        <is>
          <t>Water-cooled element integrity|LOSS OF</t>
        </is>
      </c>
      <c r="I331" s="16" t="inlineStr">
        <is>
          <t>Leak detection (flow in/out differential) failed or not fitted</t>
        </is>
      </c>
    </row>
    <row r="332">
      <c r="H332" s="16" t="inlineStr">
        <is>
          <t>Process gas (CO, H2 – BFG, COG, LD gas, reducing gas)|LEAK OF</t>
        </is>
      </c>
      <c r="I332" s="16" t="inlineStr">
        <is>
          <t>Flange, valve or seal leak; water-seal blown</t>
        </is>
      </c>
    </row>
    <row r="333">
      <c r="H333" s="16" t="inlineStr">
        <is>
          <t>Process gas (CO, H2 – BFG, COG, LD gas, reducing gas)|LEAK OF</t>
        </is>
      </c>
      <c r="I333" s="16" t="inlineStr">
        <is>
          <t>Gas back-flow into buildings via drains or cable ducts</t>
        </is>
      </c>
    </row>
    <row r="334">
      <c r="H334" s="16" t="inlineStr">
        <is>
          <t>Process gas (CO, H2 – BFG, COG, LD gas, reducing gas)|LEAK OF</t>
        </is>
      </c>
      <c r="I334" s="16" t="inlineStr">
        <is>
          <t>Bleeder / relief opening near work areas</t>
        </is>
      </c>
    </row>
    <row r="335">
      <c r="H335" s="16" t="inlineStr">
        <is>
          <t>Process gas (CO, H2 – BFG, COG, LD gas, reducing gas)|LEAK OF</t>
        </is>
      </c>
      <c r="I335" s="16" t="inlineStr">
        <is>
          <t>Isolation failure during maintenance (no double block and bleed, no blinding)</t>
        </is>
      </c>
    </row>
    <row r="336">
      <c r="H336" s="16" t="inlineStr">
        <is>
          <t>Process gas (CO, H2 – BFG, COG, LD gas, reducing gas)|LEAK OF</t>
        </is>
      </c>
      <c r="I336" s="16" t="inlineStr">
        <is>
          <t>Gas detection inoperative or poorly located</t>
        </is>
      </c>
    </row>
    <row r="337">
      <c r="H337" s="16" t="inlineStr">
        <is>
          <t>Process gas (CO, H2 – BFG, COG, LD gas, reducing gas)|LEAK OF</t>
        </is>
      </c>
      <c r="I337" s="16" t="inlineStr">
        <is>
          <t>Confined spaces near gas mains</t>
        </is>
      </c>
    </row>
    <row r="338">
      <c r="H338" s="16" t="inlineStr">
        <is>
          <t>Air / oxygen in process gas|AS WELL AS</t>
        </is>
      </c>
      <c r="I338" s="16" t="inlineStr">
        <is>
          <t>Air ingress through leaks at negative pressure</t>
        </is>
      </c>
    </row>
    <row r="339">
      <c r="H339" s="16" t="inlineStr">
        <is>
          <t>Air / oxygen in process gas|AS WELL AS</t>
        </is>
      </c>
      <c r="I339" s="16" t="inlineStr">
        <is>
          <t>Inadequate purging at start-up / shutdown</t>
        </is>
      </c>
    </row>
    <row r="340">
      <c r="H340" s="16" t="inlineStr">
        <is>
          <t>Air / oxygen in process gas|AS WELL AS</t>
        </is>
      </c>
      <c r="I340" s="16" t="inlineStr">
        <is>
          <t>Gas holder or collector low pressure</t>
        </is>
      </c>
    </row>
    <row r="341">
      <c r="H341" s="16" t="inlineStr">
        <is>
          <t>Air / oxygen in process gas|AS WELL AS</t>
        </is>
      </c>
      <c r="I341" s="16" t="inlineStr">
        <is>
          <t>Oxygen analyser failure on LD gas recovery</t>
        </is>
      </c>
    </row>
    <row r="342">
      <c r="H342" s="16" t="inlineStr">
        <is>
          <t>Air / oxygen in process gas|AS WELL AS</t>
        </is>
      </c>
      <c r="I342" s="16" t="inlineStr">
        <is>
          <t>Burner flame-out with continued fuel supply</t>
        </is>
      </c>
    </row>
    <row r="343">
      <c r="H343" s="16" t="inlineStr">
        <is>
          <t>Oxygen (lances, burners, pipelines)|LEAK OF</t>
        </is>
      </c>
      <c r="I343" s="16" t="inlineStr">
        <is>
          <t>Oil, grease or debris contamination in oxygen service</t>
        </is>
      </c>
    </row>
    <row r="344">
      <c r="H344" s="16" t="inlineStr">
        <is>
          <t>Oxygen (lances, burners, pipelines)|LEAK OF</t>
        </is>
      </c>
      <c r="I344" s="16" t="inlineStr">
        <is>
          <t>High gas velocity / particle impingement in valves and bends</t>
        </is>
      </c>
    </row>
    <row r="345">
      <c r="H345" s="16" t="inlineStr">
        <is>
          <t>Oxygen (lances, burners, pipelines)|LEAK OF</t>
        </is>
      </c>
      <c r="I345" s="16" t="inlineStr">
        <is>
          <t>Incompatible materials of construction or gaskets</t>
        </is>
      </c>
    </row>
    <row r="346">
      <c r="H346" s="16" t="inlineStr">
        <is>
          <t>Oxygen (lances, burners, pipelines)|LEAK OF</t>
        </is>
      </c>
      <c r="I346" s="16" t="inlineStr">
        <is>
          <t>Fast-opening valves (adiabatic compression)</t>
        </is>
      </c>
    </row>
    <row r="347">
      <c r="H347" s="16" t="inlineStr">
        <is>
          <t>Oxygen (lances, burners, pipelines)|LEAK OF</t>
        </is>
      </c>
      <c r="I347" s="16" t="inlineStr">
        <is>
          <t>Leak into enclosed areas – enriched atmosphere, clothing fire</t>
        </is>
      </c>
    </row>
    <row r="348">
      <c r="H348" s="16" t="inlineStr">
        <is>
          <t>Oxygen (lances, burners, pipelines)|LEAK OF</t>
        </is>
      </c>
      <c r="I348" s="16" t="inlineStr">
        <is>
          <t>Lance blocked or burned back</t>
        </is>
      </c>
    </row>
    <row r="349">
      <c r="H349" s="16" t="inlineStr">
        <is>
          <t>Oxygen (lances, burners, pipelines)|AS WELL AS</t>
        </is>
      </c>
      <c r="I349" s="16" t="inlineStr">
        <is>
          <t>Oil, grease or debris contamination in oxygen service</t>
        </is>
      </c>
    </row>
    <row r="350">
      <c r="H350" s="16" t="inlineStr">
        <is>
          <t>Oxygen (lances, burners, pipelines)|AS WELL AS</t>
        </is>
      </c>
      <c r="I350" s="16" t="inlineStr">
        <is>
          <t>High gas velocity / particle impingement in valves and bends</t>
        </is>
      </c>
    </row>
    <row r="351">
      <c r="H351" s="16" t="inlineStr">
        <is>
          <t>Oxygen (lances, burners, pipelines)|AS WELL AS</t>
        </is>
      </c>
      <c r="I351" s="16" t="inlineStr">
        <is>
          <t>Incompatible materials of construction or gaskets</t>
        </is>
      </c>
    </row>
    <row r="352">
      <c r="H352" s="16" t="inlineStr">
        <is>
          <t>Oxygen (lances, burners, pipelines)|AS WELL AS</t>
        </is>
      </c>
      <c r="I352" s="16" t="inlineStr">
        <is>
          <t>Fast-opening valves (adiabatic compression)</t>
        </is>
      </c>
    </row>
    <row r="353">
      <c r="H353" s="16" t="inlineStr">
        <is>
          <t>Oxygen (lances, burners, pipelines)|AS WELL AS</t>
        </is>
      </c>
      <c r="I353" s="16" t="inlineStr">
        <is>
          <t>Leak into enclosed areas – enriched atmosphere, clothing fire</t>
        </is>
      </c>
    </row>
    <row r="354">
      <c r="H354" s="16" t="inlineStr">
        <is>
          <t>Oxygen (lances, burners, pipelines)|AS WELL AS</t>
        </is>
      </c>
      <c r="I354" s="16" t="inlineStr">
        <is>
          <t>Lance blocked or burned back</t>
        </is>
      </c>
    </row>
    <row r="355">
      <c r="H355" s="16" t="inlineStr">
        <is>
          <t>Inert gas (N2, Ar)|LEAK OF</t>
        </is>
      </c>
      <c r="I355" s="16" t="inlineStr">
        <is>
          <t>Leak or purge into enclosed or confined area</t>
        </is>
      </c>
    </row>
    <row r="356">
      <c r="H356" s="16" t="inlineStr">
        <is>
          <t>Inert gas (N2, Ar)|LEAK OF</t>
        </is>
      </c>
      <c r="I356" s="16" t="inlineStr">
        <is>
          <t>Inert gas used as breathing air (wrong connection)</t>
        </is>
      </c>
    </row>
    <row r="357">
      <c r="H357" s="16" t="inlineStr">
        <is>
          <t>Inert gas (N2, Ar)|LEAK OF</t>
        </is>
      </c>
      <c r="I357" s="16" t="inlineStr">
        <is>
          <t>Pit, tunnel or bin atmosphere not tested before entry</t>
        </is>
      </c>
    </row>
    <row r="358">
      <c r="H358" s="16" t="inlineStr">
        <is>
          <t>Inert gas (N2, Ar)|LEAK OF</t>
        </is>
      </c>
      <c r="I358" s="16" t="inlineStr">
        <is>
          <t>Loss of inert blanketing on DRI bins, coal mills or dust filters</t>
        </is>
      </c>
    </row>
    <row r="359">
      <c r="H359" s="16" t="inlineStr">
        <is>
          <t>Inert gas (N2, Ar)|LEAK OF</t>
        </is>
      </c>
      <c r="I359" s="16" t="inlineStr">
        <is>
          <t>Nitrogen supply failure (plant trip)</t>
        </is>
      </c>
    </row>
    <row r="360">
      <c r="H360" s="16" t="inlineStr">
        <is>
          <t>Inert gas (N2, Ar)|LOSS OF</t>
        </is>
      </c>
      <c r="I360" s="16" t="inlineStr">
        <is>
          <t>Leak or purge into enclosed or confined area</t>
        </is>
      </c>
    </row>
    <row r="361">
      <c r="H361" s="16" t="inlineStr">
        <is>
          <t>Inert gas (N2, Ar)|LOSS OF</t>
        </is>
      </c>
      <c r="I361" s="16" t="inlineStr">
        <is>
          <t>Inert gas used as breathing air (wrong connection)</t>
        </is>
      </c>
    </row>
    <row r="362">
      <c r="H362" s="16" t="inlineStr">
        <is>
          <t>Inert gas (N2, Ar)|LOSS OF</t>
        </is>
      </c>
      <c r="I362" s="16" t="inlineStr">
        <is>
          <t>Pit, tunnel or bin atmosphere not tested before entry</t>
        </is>
      </c>
    </row>
    <row r="363">
      <c r="H363" s="16" t="inlineStr">
        <is>
          <t>Inert gas (N2, Ar)|LOSS OF</t>
        </is>
      </c>
      <c r="I363" s="16" t="inlineStr">
        <is>
          <t>Loss of inert blanketing on DRI bins, coal mills or dust filters</t>
        </is>
      </c>
    </row>
    <row r="364">
      <c r="H364" s="16" t="inlineStr">
        <is>
          <t>Inert gas (N2, Ar)|LOSS OF</t>
        </is>
      </c>
      <c r="I364" s="16" t="inlineStr">
        <is>
          <t>Nitrogen supply failure (plant trip)</t>
        </is>
      </c>
    </row>
    <row r="365">
      <c r="H365" s="16" t="inlineStr">
        <is>
          <t>Electrical energy (furnace / electrolysis)|MORE</t>
        </is>
      </c>
      <c r="I365" s="16" t="inlineStr">
        <is>
          <t>Electrode breakage or slipping</t>
        </is>
      </c>
    </row>
    <row r="366">
      <c r="H366" s="16" t="inlineStr">
        <is>
          <t>Electrical energy (furnace / electrolysis)|MORE</t>
        </is>
      </c>
      <c r="I366" s="16" t="inlineStr">
        <is>
          <t>Transformer or reactor cooling failure; transformer fire</t>
        </is>
      </c>
    </row>
    <row r="367">
      <c r="H367" s="16" t="inlineStr">
        <is>
          <t>Electrical energy (furnace / electrolysis)|MORE</t>
        </is>
      </c>
      <c r="I367" s="16" t="inlineStr">
        <is>
          <t>Over-current or short circuit; regulation fault</t>
        </is>
      </c>
    </row>
    <row r="368">
      <c r="H368" s="16" t="inlineStr">
        <is>
          <t>Electrical energy (furnace / electrolysis)|MORE</t>
        </is>
      </c>
      <c r="I368" s="16" t="inlineStr">
        <is>
          <t>Arc flash on high-current bus bars</t>
        </is>
      </c>
    </row>
    <row r="369">
      <c r="H369" s="16" t="inlineStr">
        <is>
          <t>Electrical energy (furnace / electrolysis)|MORE</t>
        </is>
      </c>
      <c r="I369" s="16" t="inlineStr">
        <is>
          <t>Loss of furnace power at critical stage (metal freeze)</t>
        </is>
      </c>
    </row>
    <row r="370">
      <c r="H370" s="16" t="inlineStr">
        <is>
          <t>Electrical energy (furnace / electrolysis)|MORE</t>
        </is>
      </c>
      <c r="I370" s="16" t="inlineStr">
        <is>
          <t>[S] Electrolysis cells / potlines – DC magnetic fields, anode effect, cell tapping errors</t>
        </is>
      </c>
    </row>
    <row r="371">
      <c r="H371" s="16" t="inlineStr">
        <is>
          <t>Electrical energy (furnace / electrolysis)|LESS</t>
        </is>
      </c>
      <c r="I371" s="16" t="inlineStr">
        <is>
          <t>Electrode breakage or slipping</t>
        </is>
      </c>
    </row>
    <row r="372">
      <c r="H372" s="16" t="inlineStr">
        <is>
          <t>Electrical energy (furnace / electrolysis)|LESS</t>
        </is>
      </c>
      <c r="I372" s="16" t="inlineStr">
        <is>
          <t>Transformer or reactor cooling failure; transformer fire</t>
        </is>
      </c>
    </row>
    <row r="373">
      <c r="H373" s="16" t="inlineStr">
        <is>
          <t>Electrical energy (furnace / electrolysis)|LESS</t>
        </is>
      </c>
      <c r="I373" s="16" t="inlineStr">
        <is>
          <t>Over-current or short circuit; regulation fault</t>
        </is>
      </c>
    </row>
    <row r="374">
      <c r="H374" s="16" t="inlineStr">
        <is>
          <t>Electrical energy (furnace / electrolysis)|LESS</t>
        </is>
      </c>
      <c r="I374" s="16" t="inlineStr">
        <is>
          <t>Arc flash on high-current bus bars</t>
        </is>
      </c>
    </row>
    <row r="375">
      <c r="H375" s="16" t="inlineStr">
        <is>
          <t>Electrical energy (furnace / electrolysis)|LESS</t>
        </is>
      </c>
      <c r="I375" s="16" t="inlineStr">
        <is>
          <t>Loss of furnace power at critical stage (metal freeze)</t>
        </is>
      </c>
    </row>
    <row r="376">
      <c r="H376" s="16" t="inlineStr">
        <is>
          <t>Electrical energy (furnace / electrolysis)|LESS</t>
        </is>
      </c>
      <c r="I376" s="16" t="inlineStr">
        <is>
          <t>[S] Electrolysis cells / potlines – DC magnetic fields, anode effect, cell tapping errors</t>
        </is>
      </c>
    </row>
    <row r="377">
      <c r="H377" s="16" t="inlineStr">
        <is>
          <t>Electrical energy (furnace / electrolysis)|OTHER THAN</t>
        </is>
      </c>
      <c r="I377" s="16" t="inlineStr">
        <is>
          <t>Electrode breakage or slipping</t>
        </is>
      </c>
    </row>
    <row r="378">
      <c r="H378" s="16" t="inlineStr">
        <is>
          <t>Electrical energy (furnace / electrolysis)|OTHER THAN</t>
        </is>
      </c>
      <c r="I378" s="16" t="inlineStr">
        <is>
          <t>Transformer or reactor cooling failure; transformer fire</t>
        </is>
      </c>
    </row>
    <row r="379">
      <c r="H379" s="16" t="inlineStr">
        <is>
          <t>Electrical energy (furnace / electrolysis)|OTHER THAN</t>
        </is>
      </c>
      <c r="I379" s="16" t="inlineStr">
        <is>
          <t>Over-current or short circuit; regulation fault</t>
        </is>
      </c>
    </row>
    <row r="380">
      <c r="H380" s="16" t="inlineStr">
        <is>
          <t>Electrical energy (furnace / electrolysis)|OTHER THAN</t>
        </is>
      </c>
      <c r="I380" s="16" t="inlineStr">
        <is>
          <t>Arc flash on high-current bus bars</t>
        </is>
      </c>
    </row>
    <row r="381">
      <c r="H381" s="16" t="inlineStr">
        <is>
          <t>Electrical energy (furnace / electrolysis)|OTHER THAN</t>
        </is>
      </c>
      <c r="I381" s="16" t="inlineStr">
        <is>
          <t>Loss of furnace power at critical stage (metal freeze)</t>
        </is>
      </c>
    </row>
    <row r="382">
      <c r="H382" s="16" t="inlineStr">
        <is>
          <t>Electrical energy (furnace / electrolysis)|OTHER THAN</t>
        </is>
      </c>
      <c r="I382" s="16" t="inlineStr">
        <is>
          <t>[S] Electrolysis cells / potlines – DC magnetic fields, anode effect, cell tapping errors</t>
        </is>
      </c>
    </row>
    <row r="383">
      <c r="H383" s="16" t="inlineStr">
        <is>
          <t>Solid charge materials|OTHER THAN</t>
        </is>
      </c>
      <c r="I383" s="16" t="inlineStr">
        <is>
          <t>Sealed containers, gas cylinders, explosives in scrap</t>
        </is>
      </c>
    </row>
    <row r="384">
      <c r="H384" s="16" t="inlineStr">
        <is>
          <t>Solid charge materials|OTHER THAN</t>
        </is>
      </c>
      <c r="I384" s="16" t="inlineStr">
        <is>
          <t>Radioactive sources in scrap (portal monitor failure)</t>
        </is>
      </c>
    </row>
    <row r="385">
      <c r="H385" s="16" t="inlineStr">
        <is>
          <t>Solid charge materials|OTHER THAN</t>
        </is>
      </c>
      <c r="I385" s="16" t="inlineStr">
        <is>
          <t>Moisture in charge</t>
        </is>
      </c>
    </row>
    <row r="386">
      <c r="H386" s="16" t="inlineStr">
        <is>
          <t>Solid charge materials|OTHER THAN</t>
        </is>
      </c>
      <c r="I386" s="16" t="inlineStr">
        <is>
          <t>Oversize pieces – bridging, mechanical damage</t>
        </is>
      </c>
    </row>
    <row r="387">
      <c r="H387" s="16" t="inlineStr">
        <is>
          <t>Solid charge materials|OTHER THAN</t>
        </is>
      </c>
      <c r="I387" s="16" t="inlineStr">
        <is>
          <t>Segregation – inconsistent chemistry</t>
        </is>
      </c>
    </row>
    <row r="388">
      <c r="H388" s="16" t="inlineStr">
        <is>
          <t>Solid charge materials|OTHER THAN</t>
        </is>
      </c>
      <c r="I388" s="16" t="inlineStr">
        <is>
          <t>Fines – dust generation</t>
        </is>
      </c>
    </row>
    <row r="389">
      <c r="H389" s="16" t="inlineStr">
        <is>
          <t>Solid charge materials|AS WELL AS</t>
        </is>
      </c>
      <c r="I389" s="16" t="inlineStr">
        <is>
          <t>Sealed containers, gas cylinders, explosives in scrap</t>
        </is>
      </c>
    </row>
    <row r="390">
      <c r="H390" s="16" t="inlineStr">
        <is>
          <t>Solid charge materials|AS WELL AS</t>
        </is>
      </c>
      <c r="I390" s="16" t="inlineStr">
        <is>
          <t>Radioactive sources in scrap (portal monitor failure)</t>
        </is>
      </c>
    </row>
    <row r="391">
      <c r="H391" s="16" t="inlineStr">
        <is>
          <t>Solid charge materials|AS WELL AS</t>
        </is>
      </c>
      <c r="I391" s="16" t="inlineStr">
        <is>
          <t>Moisture in charge</t>
        </is>
      </c>
    </row>
    <row r="392">
      <c r="H392" s="16" t="inlineStr">
        <is>
          <t>Solid charge materials|AS WELL AS</t>
        </is>
      </c>
      <c r="I392" s="16" t="inlineStr">
        <is>
          <t>Oversize pieces – bridging, mechanical damage</t>
        </is>
      </c>
    </row>
    <row r="393">
      <c r="H393" s="16" t="inlineStr">
        <is>
          <t>Solid charge materials|AS WELL AS</t>
        </is>
      </c>
      <c r="I393" s="16" t="inlineStr">
        <is>
          <t>Segregation – inconsistent chemistry</t>
        </is>
      </c>
    </row>
    <row r="394">
      <c r="H394" s="16" t="inlineStr">
        <is>
          <t>Solid charge materials|AS WELL AS</t>
        </is>
      </c>
      <c r="I394" s="16" t="inlineStr">
        <is>
          <t>Fines – dust generation</t>
        </is>
      </c>
    </row>
    <row r="395">
      <c r="H395" s="16" t="inlineStr">
        <is>
          <t>Solid charge materials|MORE</t>
        </is>
      </c>
      <c r="I395" s="16" t="inlineStr">
        <is>
          <t>Sealed containers, gas cylinders, explosives in scrap</t>
        </is>
      </c>
    </row>
    <row r="396">
      <c r="H396" s="16" t="inlineStr">
        <is>
          <t>Solid charge materials|MORE</t>
        </is>
      </c>
      <c r="I396" s="16" t="inlineStr">
        <is>
          <t>Radioactive sources in scrap (portal monitor failure)</t>
        </is>
      </c>
    </row>
    <row r="397">
      <c r="H397" s="16" t="inlineStr">
        <is>
          <t>Solid charge materials|MORE</t>
        </is>
      </c>
      <c r="I397" s="16" t="inlineStr">
        <is>
          <t>Moisture in charge</t>
        </is>
      </c>
    </row>
    <row r="398">
      <c r="H398" s="16" t="inlineStr">
        <is>
          <t>Solid charge materials|MORE</t>
        </is>
      </c>
      <c r="I398" s="16" t="inlineStr">
        <is>
          <t>Oversize pieces – bridging, mechanical damage</t>
        </is>
      </c>
    </row>
    <row r="399">
      <c r="H399" s="16" t="inlineStr">
        <is>
          <t>Solid charge materials|MORE</t>
        </is>
      </c>
      <c r="I399" s="16" t="inlineStr">
        <is>
          <t>Segregation – inconsistent chemistry</t>
        </is>
      </c>
    </row>
    <row r="400">
      <c r="H400" s="16" t="inlineStr">
        <is>
          <t>Solid charge materials|MORE</t>
        </is>
      </c>
      <c r="I400" s="16" t="inlineStr">
        <is>
          <t>Fines – dust generation</t>
        </is>
      </c>
    </row>
    <row r="401">
      <c r="H401" s="16" t="inlineStr">
        <is>
          <t>Hot DRI / HBI temperature|MORE</t>
        </is>
      </c>
      <c r="I401" s="16" t="inlineStr">
        <is>
          <t>Re-oxidation in air (insufficient inerting or cooling)</t>
        </is>
      </c>
    </row>
    <row r="402">
      <c r="H402" s="16" t="inlineStr">
        <is>
          <t>Hot DRI / HBI temperature|MORE</t>
        </is>
      </c>
      <c r="I402" s="16" t="inlineStr">
        <is>
          <t>Water contact – heat and hydrogen generation</t>
        </is>
      </c>
    </row>
    <row r="403">
      <c r="H403" s="16" t="inlineStr">
        <is>
          <t>Hot DRI / HBI temperature|MORE</t>
        </is>
      </c>
      <c r="I403" s="16" t="inlineStr">
        <is>
          <t>Dust and fines accumulation</t>
        </is>
      </c>
    </row>
    <row r="404">
      <c r="H404" s="16" t="inlineStr">
        <is>
          <t>Hot DRI / HBI temperature|MORE</t>
        </is>
      </c>
      <c r="I404" s="16" t="inlineStr">
        <is>
          <t>Conveyor or transport vessel over-temperature</t>
        </is>
      </c>
    </row>
    <row r="405">
      <c r="H405" s="16" t="inlineStr">
        <is>
          <t>Hot DRI / HBI temperature|MORE</t>
        </is>
      </c>
      <c r="I405" s="16" t="inlineStr">
        <is>
          <t>Long storage times; poor bin ventilation</t>
        </is>
      </c>
    </row>
    <row r="406">
      <c r="H406" s="16" t="inlineStr">
        <is>
          <t>Combustible dust|MORE</t>
        </is>
      </c>
      <c r="I406" s="16" t="inlineStr">
        <is>
          <t>Dust accumulation on structures; poor housekeeping</t>
        </is>
      </c>
    </row>
    <row r="407">
      <c r="H407" s="16" t="inlineStr">
        <is>
          <t>Combustible dust|MORE</t>
        </is>
      </c>
      <c r="I407" s="16" t="inlineStr">
        <is>
          <t>Dust collector or baghouse fire / explosion</t>
        </is>
      </c>
    </row>
    <row r="408">
      <c r="H408" s="16" t="inlineStr">
        <is>
          <t>Combustible dust|MORE</t>
        </is>
      </c>
      <c r="I408" s="16" t="inlineStr">
        <is>
          <t>Hot surfaces, sparks, static, hot work</t>
        </is>
      </c>
    </row>
    <row r="409">
      <c r="H409" s="16" t="inlineStr">
        <is>
          <t>Combustible dust|MORE</t>
        </is>
      </c>
      <c r="I409" s="16" t="inlineStr">
        <is>
          <t>Loss of inerting in coal mill or PCI system</t>
        </is>
      </c>
    </row>
    <row r="410">
      <c r="H410" s="16" t="inlineStr">
        <is>
          <t>Combustible dust|MORE</t>
        </is>
      </c>
      <c r="I410" s="16" t="inlineStr">
        <is>
          <t>Explosion venting / suppression / isolation missing or ineffective</t>
        </is>
      </c>
    </row>
    <row r="411">
      <c r="H411" s="16" t="inlineStr">
        <is>
          <t>Hydraulic / lube oil|LEAK OF</t>
        </is>
      </c>
      <c r="I411" s="16" t="inlineStr">
        <is>
          <t>Hose or fitting failure near hot metal or hot product</t>
        </is>
      </c>
    </row>
    <row r="412">
      <c r="H412" s="16" t="inlineStr">
        <is>
          <t>Hydraulic / lube oil|LEAK OF</t>
        </is>
      </c>
      <c r="I412" s="16" t="inlineStr">
        <is>
          <t>Use of mineral oil instead of fire-resistant fluid near hot areas</t>
        </is>
      </c>
    </row>
    <row r="413">
      <c r="H413" s="16" t="inlineStr">
        <is>
          <t>Hydraulic / lube oil|LEAK OF</t>
        </is>
      </c>
      <c r="I413" s="16" t="inlineStr">
        <is>
          <t>Accumulator failure – uncontrolled movement</t>
        </is>
      </c>
    </row>
    <row r="414">
      <c r="H414" s="16" t="inlineStr">
        <is>
          <t>Hydraulic / lube oil|LEAK OF</t>
        </is>
      </c>
      <c r="I414" s="16" t="inlineStr">
        <is>
          <t>Loss of pressure – uncontrolled tilt, roll gap or clamp release</t>
        </is>
      </c>
    </row>
    <row r="415">
      <c r="H415" s="16" t="inlineStr">
        <is>
          <t>Hydraulic / lube oil|LEAK OF</t>
        </is>
      </c>
      <c r="I415" s="16" t="inlineStr">
        <is>
          <t>Contaminated oil – valve sticking</t>
        </is>
      </c>
    </row>
    <row r="416">
      <c r="H416" s="16" t="inlineStr">
        <is>
          <t>Hydraulic / lube oil|LESS</t>
        </is>
      </c>
      <c r="I416" s="16" t="inlineStr">
        <is>
          <t>Hose or fitting failure near hot metal or hot product</t>
        </is>
      </c>
    </row>
    <row r="417">
      <c r="H417" s="16" t="inlineStr">
        <is>
          <t>Hydraulic / lube oil|LESS</t>
        </is>
      </c>
      <c r="I417" s="16" t="inlineStr">
        <is>
          <t>Use of mineral oil instead of fire-resistant fluid near hot areas</t>
        </is>
      </c>
    </row>
    <row r="418">
      <c r="H418" s="16" t="inlineStr">
        <is>
          <t>Hydraulic / lube oil|LESS</t>
        </is>
      </c>
      <c r="I418" s="16" t="inlineStr">
        <is>
          <t>Accumulator failure – uncontrolled movement</t>
        </is>
      </c>
    </row>
    <row r="419">
      <c r="H419" s="16" t="inlineStr">
        <is>
          <t>Hydraulic / lube oil|LESS</t>
        </is>
      </c>
      <c r="I419" s="16" t="inlineStr">
        <is>
          <t>Loss of pressure – uncontrolled tilt, roll gap or clamp release</t>
        </is>
      </c>
    </row>
    <row r="420">
      <c r="H420" s="16" t="inlineStr">
        <is>
          <t>Hydraulic / lube oil|LESS</t>
        </is>
      </c>
      <c r="I420" s="16" t="inlineStr">
        <is>
          <t>Contaminated oil – valve sticking</t>
        </is>
      </c>
    </row>
    <row r="421">
      <c r="H421" s="16" t="inlineStr">
        <is>
          <t>Load control (cranes, ladle / transfer cars)|LOSS OF</t>
        </is>
      </c>
      <c r="I421" s="16" t="inlineStr">
        <is>
          <t>Crane brake, rope or hook failure while carrying molten metal</t>
        </is>
      </c>
    </row>
    <row r="422">
      <c r="H422" s="16" t="inlineStr">
        <is>
          <t>Load control (cranes, ladle / transfer cars)|LOSS OF</t>
        </is>
      </c>
      <c r="I422" s="16" t="inlineStr">
        <is>
          <t>Power failure with ladle suspended</t>
        </is>
      </c>
    </row>
    <row r="423">
      <c r="H423" s="16" t="inlineStr">
        <is>
          <t>Load control (cranes, ladle / transfer cars)|LOSS OF</t>
        </is>
      </c>
      <c r="I423" s="16" t="inlineStr">
        <is>
          <t>Anti-collision or limit switch failure</t>
        </is>
      </c>
    </row>
    <row r="424">
      <c r="H424" s="16" t="inlineStr">
        <is>
          <t>Load control (cranes, ladle / transfer cars)|LOSS OF</t>
        </is>
      </c>
      <c r="I424" s="16" t="inlineStr">
        <is>
          <t>Overload; incorrect lifting accessory</t>
        </is>
      </c>
    </row>
    <row r="425">
      <c r="H425" s="16" t="inlineStr">
        <is>
          <t>Load control (cranes, ladle / transfer cars)|LOSS OF</t>
        </is>
      </c>
      <c r="I425" s="16" t="inlineStr">
        <is>
          <t>Poor visibility from steam or fume</t>
        </is>
      </c>
    </row>
    <row r="426">
      <c r="H426" s="16" t="inlineStr">
        <is>
          <t>Casting speed / mould level|MORE</t>
        </is>
      </c>
      <c r="I426" s="16" t="inlineStr">
        <is>
          <t>Mould level control failure – overflow or breakout</t>
        </is>
      </c>
    </row>
    <row r="427">
      <c r="H427" s="16" t="inlineStr">
        <is>
          <t>Casting speed / mould level|MORE</t>
        </is>
      </c>
      <c r="I427" s="16" t="inlineStr">
        <is>
          <t>Secondary cooling water failure</t>
        </is>
      </c>
    </row>
    <row r="428">
      <c r="H428" s="16" t="inlineStr">
        <is>
          <t>Casting speed / mould level|MORE</t>
        </is>
      </c>
      <c r="I428" s="16" t="inlineStr">
        <is>
          <t>Cobbles in rolling mill; product jumping guides</t>
        </is>
      </c>
    </row>
    <row r="429">
      <c r="H429" s="16" t="inlineStr">
        <is>
          <t>Casting speed / mould level|MORE</t>
        </is>
      </c>
      <c r="I429" s="16" t="inlineStr">
        <is>
          <t>Roll breakage; drive failure</t>
        </is>
      </c>
    </row>
    <row r="430">
      <c r="H430" s="16" t="inlineStr">
        <is>
          <t>Casting speed / mould level|MORE</t>
        </is>
      </c>
      <c r="I430" s="16" t="inlineStr">
        <is>
          <t>Scale-breaker high-pressure water hazards</t>
        </is>
      </c>
    </row>
    <row r="431">
      <c r="H431" s="16" t="inlineStr">
        <is>
          <t>Casting speed / mould level|LESS</t>
        </is>
      </c>
      <c r="I431" s="16" t="inlineStr">
        <is>
          <t>Mould level control failure – overflow or breakout</t>
        </is>
      </c>
    </row>
    <row r="432">
      <c r="H432" s="16" t="inlineStr">
        <is>
          <t>Casting speed / mould level|LESS</t>
        </is>
      </c>
      <c r="I432" s="16" t="inlineStr">
        <is>
          <t>Secondary cooling water failure</t>
        </is>
      </c>
    </row>
    <row r="433">
      <c r="H433" s="16" t="inlineStr">
        <is>
          <t>Casting speed / mould level|LESS</t>
        </is>
      </c>
      <c r="I433" s="16" t="inlineStr">
        <is>
          <t>Cobbles in rolling mill; product jumping guides</t>
        </is>
      </c>
    </row>
    <row r="434">
      <c r="H434" s="16" t="inlineStr">
        <is>
          <t>Casting speed / mould level|LESS</t>
        </is>
      </c>
      <c r="I434" s="16" t="inlineStr">
        <is>
          <t>Roll breakage; drive failure</t>
        </is>
      </c>
    </row>
    <row r="435">
      <c r="H435" s="16" t="inlineStr">
        <is>
          <t>Casting speed / mould level|LESS</t>
        </is>
      </c>
      <c r="I435" s="16" t="inlineStr">
        <is>
          <t>Scale-breaker high-pressure water hazards</t>
        </is>
      </c>
    </row>
    <row r="436">
      <c r="H436" s="16" t="inlineStr">
        <is>
          <t>Refractory|LESS</t>
        </is>
      </c>
      <c r="I436" s="16" t="inlineStr">
        <is>
          <t>Wear beyond limit; inspection missed</t>
        </is>
      </c>
    </row>
    <row r="437">
      <c r="H437" s="16" t="inlineStr">
        <is>
          <t>Refractory|LESS</t>
        </is>
      </c>
      <c r="I437" s="16" t="inlineStr">
        <is>
          <t>Wrong refractory specification</t>
        </is>
      </c>
    </row>
    <row r="438">
      <c r="H438" s="16" t="inlineStr">
        <is>
          <t>Refractory|LESS</t>
        </is>
      </c>
      <c r="I438" s="16" t="inlineStr">
        <is>
          <t>Inadequate dry-out (moisture – spalling, steam)</t>
        </is>
      </c>
    </row>
    <row r="439">
      <c r="H439" s="16" t="inlineStr">
        <is>
          <t>Refractory|LESS</t>
        </is>
      </c>
      <c r="I439" s="16" t="inlineStr">
        <is>
          <t>Thermal shock from rapid heating or cooling</t>
        </is>
      </c>
    </row>
    <row r="440">
      <c r="H440" s="16" t="inlineStr">
        <is>
          <t>Refractory|LESS</t>
        </is>
      </c>
      <c r="I440" s="16" t="inlineStr">
        <is>
          <t>Chemical attack by slag</t>
        </is>
      </c>
    </row>
    <row r="441">
      <c r="H441" s="16" t="inlineStr">
        <is>
          <t>Pickling acid / zinc bath|MORE</t>
        </is>
      </c>
      <c r="I441" s="16" t="inlineStr">
        <is>
          <t>Acid concentration out of range – fume, over-pickling</t>
        </is>
      </c>
    </row>
    <row r="442">
      <c r="H442" s="16" t="inlineStr">
        <is>
          <t>Pickling acid / zinc bath|MORE</t>
        </is>
      </c>
      <c r="I442" s="16" t="inlineStr">
        <is>
          <t>Acid regeneration plant upset – HCl release</t>
        </is>
      </c>
    </row>
    <row r="443">
      <c r="H443" s="16" t="inlineStr">
        <is>
          <t>Pickling acid / zinc bath|MORE</t>
        </is>
      </c>
      <c r="I443" s="16" t="inlineStr">
        <is>
          <t>Fume extraction failure</t>
        </is>
      </c>
    </row>
    <row r="444">
      <c r="H444" s="16" t="inlineStr">
        <is>
          <t>Pickling acid / zinc bath|MORE</t>
        </is>
      </c>
      <c r="I444" s="16" t="inlineStr">
        <is>
          <t>Wet or contaminated steel entering molten zinc bath – eruption</t>
        </is>
      </c>
    </row>
    <row r="445">
      <c r="H445" s="16" t="inlineStr">
        <is>
          <t>Pickling acid / zinc bath|MORE</t>
        </is>
      </c>
      <c r="I445" s="16" t="inlineStr">
        <is>
          <t>Flux or zinc ash handling exposures</t>
        </is>
      </c>
    </row>
    <row r="446">
      <c r="H446" s="16" t="inlineStr">
        <is>
          <t>Pickling acid / zinc bath|LESS</t>
        </is>
      </c>
      <c r="I446" s="16" t="inlineStr">
        <is>
          <t>Acid concentration out of range – fume, over-pickling</t>
        </is>
      </c>
    </row>
    <row r="447">
      <c r="H447" s="16" t="inlineStr">
        <is>
          <t>Pickling acid / zinc bath|LESS</t>
        </is>
      </c>
      <c r="I447" s="16" t="inlineStr">
        <is>
          <t>Acid regeneration plant upset – HCl release</t>
        </is>
      </c>
    </row>
    <row r="448">
      <c r="H448" s="16" t="inlineStr">
        <is>
          <t>Pickling acid / zinc bath|LESS</t>
        </is>
      </c>
      <c r="I448" s="16" t="inlineStr">
        <is>
          <t>Fume extraction failure</t>
        </is>
      </c>
    </row>
    <row r="449">
      <c r="H449" s="16" t="inlineStr">
        <is>
          <t>Pickling acid / zinc bath|LESS</t>
        </is>
      </c>
      <c r="I449" s="16" t="inlineStr">
        <is>
          <t>Wet or contaminated steel entering molten zinc bath – eruption</t>
        </is>
      </c>
    </row>
    <row r="450">
      <c r="H450" s="16" t="inlineStr">
        <is>
          <t>Pickling acid / zinc bath|LESS</t>
        </is>
      </c>
      <c r="I450" s="16" t="inlineStr">
        <is>
          <t>Flux or zinc ash handling exposures</t>
        </is>
      </c>
    </row>
    <row r="451">
      <c r="H451" s="16" t="inlineStr">
        <is>
          <t>Pickling acid / zinc bath|AS WELL AS</t>
        </is>
      </c>
      <c r="I451" s="16" t="inlineStr">
        <is>
          <t>Acid concentration out of range – fume, over-pickling</t>
        </is>
      </c>
    </row>
    <row r="452">
      <c r="H452" s="16" t="inlineStr">
        <is>
          <t>Pickling acid / zinc bath|AS WELL AS</t>
        </is>
      </c>
      <c r="I452" s="16" t="inlineStr">
        <is>
          <t>Acid regeneration plant upset – HCl release</t>
        </is>
      </c>
    </row>
    <row r="453">
      <c r="H453" s="16" t="inlineStr">
        <is>
          <t>Pickling acid / zinc bath|AS WELL AS</t>
        </is>
      </c>
      <c r="I453" s="16" t="inlineStr">
        <is>
          <t>Fume extraction failure</t>
        </is>
      </c>
    </row>
    <row r="454">
      <c r="H454" s="16" t="inlineStr">
        <is>
          <t>Pickling acid / zinc bath|AS WELL AS</t>
        </is>
      </c>
      <c r="I454" s="16" t="inlineStr">
        <is>
          <t>Wet or contaminated steel entering molten zinc bath – eruption</t>
        </is>
      </c>
    </row>
    <row r="455">
      <c r="H455" s="16" t="inlineStr">
        <is>
          <t>Pickling acid / zinc bath|AS WELL AS</t>
        </is>
      </c>
      <c r="I455" s="16" t="inlineStr">
        <is>
          <t>Flux or zinc ash handling exposures</t>
        </is>
      </c>
    </row>
    <row r="456">
      <c r="H456" s="16" t="inlineStr">
        <is>
          <t>Relief|INADEQUATE</t>
        </is>
      </c>
      <c r="I456" s="16" t="inlineStr">
        <is>
          <t>Relief philosophy not defined for all scenarios (fire, blocked outlet, runaway, tube rupture)</t>
        </is>
      </c>
    </row>
    <row r="457">
      <c r="H457" s="16" t="inlineStr">
        <is>
          <t>Relief|INADEQUATE</t>
        </is>
      </c>
      <c r="I457" s="16" t="inlineStr">
        <is>
          <t>Type of relief device and its reliability</t>
        </is>
      </c>
    </row>
    <row r="458">
      <c r="H458" s="16" t="inlineStr">
        <is>
          <t>Relief|INADEQUATE</t>
        </is>
      </c>
      <c r="I458" s="16" t="inlineStr">
        <is>
          <t>Relief valve discharge location unsafe (to work areas, ignition sources)</t>
        </is>
      </c>
    </row>
    <row r="459">
      <c r="H459" s="16" t="inlineStr">
        <is>
          <t>Relief|INADEQUATE</t>
        </is>
      </c>
      <c r="I459" s="16" t="inlineStr">
        <is>
          <t>Pollution implications of discharge</t>
        </is>
      </c>
    </row>
    <row r="460">
      <c r="H460" s="16" t="inlineStr">
        <is>
          <t>Relief|INADEQUATE</t>
        </is>
      </c>
      <c r="I460" s="16" t="inlineStr">
        <is>
          <t>Relief isolated or blocked; incorrect set pressure</t>
        </is>
      </c>
    </row>
    <row r="461">
      <c r="H461" s="16" t="inlineStr">
        <is>
          <t>Relief|INADEQUATE</t>
        </is>
      </c>
      <c r="I461" s="16" t="inlineStr">
        <is>
          <t>[S] Explosion doors / bleeders on furnaces and gas mains – location and maintenance</t>
        </is>
      </c>
    </row>
    <row r="462">
      <c r="H462" s="16" t="inlineStr">
        <is>
          <t>Process control / instrumentation|LOSS OF</t>
        </is>
      </c>
      <c r="I462" s="16" t="inlineStr">
        <is>
          <t>Control philosophy unclear</t>
        </is>
      </c>
    </row>
    <row r="463">
      <c r="H463" s="16" t="inlineStr">
        <is>
          <t>Process control / instrumentation|LOSS OF</t>
        </is>
      </c>
      <c r="I463" s="16" t="inlineStr">
        <is>
          <t>Location of instruments unsuitable</t>
        </is>
      </c>
    </row>
    <row r="464">
      <c r="H464" s="16" t="inlineStr">
        <is>
          <t>Process control / instrumentation|LOSS OF</t>
        </is>
      </c>
      <c r="I464" s="16" t="inlineStr">
        <is>
          <t>Response time; set points of alarms and trips</t>
        </is>
      </c>
    </row>
    <row r="465">
      <c r="H465" s="16" t="inlineStr">
        <is>
          <t>Process control / instrumentation|LOSS OF</t>
        </is>
      </c>
      <c r="I465" s="16" t="inlineStr">
        <is>
          <t>Time available for operator intervention</t>
        </is>
      </c>
    </row>
    <row r="466">
      <c r="H466" s="16" t="inlineStr">
        <is>
          <t>Process control / instrumentation|LOSS OF</t>
        </is>
      </c>
      <c r="I466" s="16" t="inlineStr">
        <is>
          <t>Alarm and trip testing not done</t>
        </is>
      </c>
    </row>
    <row r="467">
      <c r="H467" s="16" t="inlineStr">
        <is>
          <t>Process control / instrumentation|LOSS OF</t>
        </is>
      </c>
      <c r="I467" s="16" t="inlineStr">
        <is>
          <t>Fire protection of instruments and cables</t>
        </is>
      </c>
    </row>
    <row r="468">
      <c r="H468" s="16" t="inlineStr">
        <is>
          <t>Process control / instrumentation|LOSS OF</t>
        </is>
      </c>
      <c r="I468" s="16" t="inlineStr">
        <is>
          <t>Electronic trip / control amplifiers</t>
        </is>
      </c>
    </row>
    <row r="469">
      <c r="H469" s="16" t="inlineStr">
        <is>
          <t>Process control / instrumentation|LOSS OF</t>
        </is>
      </c>
      <c r="I469" s="16" t="inlineStr">
        <is>
          <t>Panel arrangement and location</t>
        </is>
      </c>
    </row>
    <row r="470">
      <c r="H470" s="16" t="inlineStr">
        <is>
          <t>Process control / instrumentation|LOSS OF</t>
        </is>
      </c>
      <c r="I470" s="16" t="inlineStr">
        <is>
          <t>Auto / manual facility and human error</t>
        </is>
      </c>
    </row>
    <row r="471">
      <c r="H471" s="16" t="inlineStr">
        <is>
          <t>Process control / instrumentation|LOSS OF</t>
        </is>
      </c>
      <c r="I471" s="16" t="inlineStr">
        <is>
          <t>Alarm flooding; bypassed trips</t>
        </is>
      </c>
    </row>
    <row r="472">
      <c r="H472" s="16" t="inlineStr">
        <is>
          <t>Process control / instrumentation|LOSS OF</t>
        </is>
      </c>
      <c r="I472" s="16" t="inlineStr">
        <is>
          <t>[S] Instruments in high temperature, dust and EMF environments (temperature probes, level radars, leak detection)</t>
        </is>
      </c>
    </row>
    <row r="473">
      <c r="H473" s="16" t="inlineStr">
        <is>
          <t>Sampling|INADEQUATE</t>
        </is>
      </c>
      <c r="I473" s="16" t="inlineStr">
        <is>
          <t>Sampling procedure inadequate</t>
        </is>
      </c>
    </row>
    <row r="474">
      <c r="H474" s="16" t="inlineStr">
        <is>
          <t>Sampling|INADEQUATE</t>
        </is>
      </c>
      <c r="I474" s="16" t="inlineStr">
        <is>
          <t>Time for analysis result too long</t>
        </is>
      </c>
    </row>
    <row r="475">
      <c r="H475" s="16" t="inlineStr">
        <is>
          <t>Sampling|INADEQUATE</t>
        </is>
      </c>
      <c r="I475" s="16" t="inlineStr">
        <is>
          <t>Calibration of automatic samplers / reliability</t>
        </is>
      </c>
    </row>
    <row r="476">
      <c r="H476" s="16" t="inlineStr">
        <is>
          <t>Sampling|INADEQUATE</t>
        </is>
      </c>
      <c r="I476" s="16" t="inlineStr">
        <is>
          <t>Accuracy of representative sample</t>
        </is>
      </c>
    </row>
    <row r="477">
      <c r="H477" s="16" t="inlineStr">
        <is>
          <t>Sampling|INADEQUATE</t>
        </is>
      </c>
      <c r="I477" s="16" t="inlineStr">
        <is>
          <t>Diagnosis of result</t>
        </is>
      </c>
    </row>
    <row r="478">
      <c r="H478" s="16" t="inlineStr">
        <is>
          <t>Sampling|INADEQUATE</t>
        </is>
      </c>
      <c r="I478" s="16" t="inlineStr">
        <is>
          <t>Exposure of sampler to toxic, hot or pressurised material</t>
        </is>
      </c>
    </row>
    <row r="479">
      <c r="H479" s="16" t="inlineStr">
        <is>
          <t>Sampling|INADEQUATE</t>
        </is>
      </c>
      <c r="I479" s="16" t="inlineStr">
        <is>
          <t>[S] Molten metal sampling and temperature measurement at the furnace door or ladle</t>
        </is>
      </c>
    </row>
    <row r="480">
      <c r="H480" s="16" t="inlineStr">
        <is>
          <t>Corrosion / erosion|MORE</t>
        </is>
      </c>
      <c r="I480" s="16" t="inlineStr">
        <is>
          <t>Cathodic protection arrangements inadequate</t>
        </is>
      </c>
    </row>
    <row r="481">
      <c r="H481" s="16" t="inlineStr">
        <is>
          <t>Corrosion / erosion|MORE</t>
        </is>
      </c>
      <c r="I481" s="16" t="inlineStr">
        <is>
          <t>Internal / external corrosion protection</t>
        </is>
      </c>
    </row>
    <row r="482">
      <c r="H482" s="16" t="inlineStr">
        <is>
          <t>Corrosion / erosion|MORE</t>
        </is>
      </c>
      <c r="I482" s="16" t="inlineStr">
        <is>
          <t>Engineering specifications</t>
        </is>
      </c>
    </row>
    <row r="483">
      <c r="H483" s="16" t="inlineStr">
        <is>
          <t>Corrosion / erosion|MORE</t>
        </is>
      </c>
      <c r="I483" s="16" t="inlineStr">
        <is>
          <t>Zinc embrittlement</t>
        </is>
      </c>
    </row>
    <row r="484">
      <c r="H484" s="16" t="inlineStr">
        <is>
          <t>Corrosion / erosion|MORE</t>
        </is>
      </c>
      <c r="I484" s="16" t="inlineStr">
        <is>
          <t>Stress corrosion cracking (chlorides)</t>
        </is>
      </c>
    </row>
    <row r="485">
      <c r="H485" s="16" t="inlineStr">
        <is>
          <t>Corrosion / erosion|MORE</t>
        </is>
      </c>
      <c r="I485" s="16" t="inlineStr">
        <is>
          <t>Fluid velocities too high</t>
        </is>
      </c>
    </row>
    <row r="486">
      <c r="H486" s="16" t="inlineStr">
        <is>
          <t>Corrosion / erosion|MORE</t>
        </is>
      </c>
      <c r="I486" s="16" t="inlineStr">
        <is>
          <t>Corrosion under insulation</t>
        </is>
      </c>
    </row>
    <row r="487">
      <c r="H487" s="16" t="inlineStr">
        <is>
          <t>Corrosion / erosion|MORE</t>
        </is>
      </c>
      <c r="I487" s="16" t="inlineStr">
        <is>
          <t>[S] Abrasive slurries, dust-laden gas, acid dew-point corrosion in off-gas ducts</t>
        </is>
      </c>
    </row>
    <row r="488">
      <c r="H488" s="16" t="inlineStr">
        <is>
          <t>Utilities / services|LOSS OF</t>
        </is>
      </c>
      <c r="I488" s="16" t="inlineStr">
        <is>
          <t>Failure of dry instrument air</t>
        </is>
      </c>
    </row>
    <row r="489">
      <c r="H489" s="16" t="inlineStr">
        <is>
          <t>Utilities / services|LOSS OF</t>
        </is>
      </c>
      <c r="I489" s="16" t="inlineStr">
        <is>
          <t>Failure of steam / nitrogen / cooling water</t>
        </is>
      </c>
    </row>
    <row r="490">
      <c r="H490" s="16" t="inlineStr">
        <is>
          <t>Utilities / services|LOSS OF</t>
        </is>
      </c>
      <c r="I490" s="16" t="inlineStr">
        <is>
          <t>Failure of hydraulic power / electric power</t>
        </is>
      </c>
    </row>
    <row r="491">
      <c r="H491" s="16" t="inlineStr">
        <is>
          <t>Utilities / services|LOSS OF</t>
        </is>
      </c>
      <c r="I491" s="16" t="inlineStr">
        <is>
          <t>Telecommunications</t>
        </is>
      </c>
    </row>
    <row r="492">
      <c r="H492" s="16" t="inlineStr">
        <is>
          <t>Utilities / services|LOSS OF</t>
        </is>
      </c>
      <c r="I492" s="16" t="inlineStr">
        <is>
          <t>Heating and ventilating systems</t>
        </is>
      </c>
    </row>
    <row r="493">
      <c r="H493" s="16" t="inlineStr">
        <is>
          <t>Utilities / services|LOSS OF</t>
        </is>
      </c>
      <c r="I493" s="16" t="inlineStr">
        <is>
          <t>Computers / control system / network</t>
        </is>
      </c>
    </row>
    <row r="494">
      <c r="H494" s="16" t="inlineStr">
        <is>
          <t>Utilities / services|LOSS OF</t>
        </is>
      </c>
      <c r="I494" s="16" t="inlineStr">
        <is>
          <t>[S] Loss of oxygen, argon or natural gas supply from air-separation plant or pipeline</t>
        </is>
      </c>
    </row>
    <row r="495">
      <c r="H495" s="16" t="inlineStr">
        <is>
          <t>Maintenance|INADEQUATE</t>
        </is>
      </c>
      <c r="I495" s="16" t="inlineStr">
        <is>
          <t>Isolation, drainage, purging</t>
        </is>
      </c>
    </row>
    <row r="496">
      <c r="H496" s="16" t="inlineStr">
        <is>
          <t>Maintenance|INADEQUATE</t>
        </is>
      </c>
      <c r="I496" s="16" t="inlineStr">
        <is>
          <t>Cleaning, drying</t>
        </is>
      </c>
    </row>
    <row r="497">
      <c r="H497" s="16" t="inlineStr">
        <is>
          <t>Maintenance|INADEQUATE</t>
        </is>
      </c>
      <c r="I497" s="16" t="inlineStr">
        <is>
          <t>Slip plates</t>
        </is>
      </c>
    </row>
    <row r="498">
      <c r="H498" s="16" t="inlineStr">
        <is>
          <t>Maintenance|INADEQUATE</t>
        </is>
      </c>
      <c r="I498" s="16" t="inlineStr">
        <is>
          <t>Access</t>
        </is>
      </c>
    </row>
    <row r="499">
      <c r="H499" s="16" t="inlineStr">
        <is>
          <t>Maintenance|INADEQUATE</t>
        </is>
      </c>
      <c r="I499" s="16" t="inlineStr">
        <is>
          <t>Rescue plan</t>
        </is>
      </c>
    </row>
    <row r="500">
      <c r="H500" s="16" t="inlineStr">
        <is>
          <t>Maintenance|INADEQUATE</t>
        </is>
      </c>
      <c r="I500" s="16" t="inlineStr">
        <is>
          <t>Training</t>
        </is>
      </c>
    </row>
    <row r="501">
      <c r="H501" s="16" t="inlineStr">
        <is>
          <t>Maintenance|INADEQUATE</t>
        </is>
      </c>
      <c r="I501" s="16" t="inlineStr">
        <is>
          <t>Pressure testing</t>
        </is>
      </c>
    </row>
    <row r="502">
      <c r="H502" s="16" t="inlineStr">
        <is>
          <t>Maintenance|INADEQUATE</t>
        </is>
      </c>
      <c r="I502" s="16" t="inlineStr">
        <is>
          <t>Work permit system</t>
        </is>
      </c>
    </row>
    <row r="503">
      <c r="H503" s="16" t="inlineStr">
        <is>
          <t>Maintenance|INADEQUATE</t>
        </is>
      </c>
      <c r="I503" s="16" t="inlineStr">
        <is>
          <t>Condition monitoring</t>
        </is>
      </c>
    </row>
    <row r="504">
      <c r="H504" s="16" t="inlineStr">
        <is>
          <t>Maintenance|INADEQUATE</t>
        </is>
      </c>
      <c r="I504" s="16" t="inlineStr">
        <is>
          <t>[S] Hot work near gas mains or dust; work under suspended loads; work inside cooled-down furnaces</t>
        </is>
      </c>
    </row>
    <row r="505">
      <c r="H505" s="16" t="inlineStr">
        <is>
          <t>Spare equipment|NO</t>
        </is>
      </c>
      <c r="I505" s="16" t="inlineStr">
        <is>
          <t>Installed / non-installed spare equipment</t>
        </is>
      </c>
    </row>
    <row r="506">
      <c r="H506" s="16" t="inlineStr">
        <is>
          <t>Spare equipment|NO</t>
        </is>
      </c>
      <c r="I506" s="16" t="inlineStr">
        <is>
          <t>Availability of spares</t>
        </is>
      </c>
    </row>
    <row r="507">
      <c r="H507" s="16" t="inlineStr">
        <is>
          <t>Spare equipment|NO</t>
        </is>
      </c>
      <c r="I507" s="16" t="inlineStr">
        <is>
          <t>Modified specifications</t>
        </is>
      </c>
    </row>
    <row r="508">
      <c r="H508" s="16" t="inlineStr">
        <is>
          <t>Spare equipment|NO</t>
        </is>
      </c>
      <c r="I508" s="16" t="inlineStr">
        <is>
          <t>Storage of spares</t>
        </is>
      </c>
    </row>
    <row r="509">
      <c r="H509" s="16" t="inlineStr">
        <is>
          <t>Spare equipment|NO</t>
        </is>
      </c>
      <c r="I509" s="16" t="inlineStr">
        <is>
          <t>Catalogue of spares</t>
        </is>
      </c>
    </row>
    <row r="510">
      <c r="H510" s="16" t="inlineStr">
        <is>
          <t>Electrical safety / static|INADEQUATE</t>
        </is>
      </c>
      <c r="I510" s="16" t="inlineStr">
        <is>
          <t>Static discharge</t>
        </is>
      </c>
    </row>
    <row r="511">
      <c r="H511" s="16" t="inlineStr">
        <is>
          <t>Electrical safety / static|INADEQUATE</t>
        </is>
      </c>
      <c r="I511" s="16" t="inlineStr">
        <is>
          <t>Earthing arrangements</t>
        </is>
      </c>
    </row>
    <row r="512">
      <c r="H512" s="16" t="inlineStr">
        <is>
          <t>Electrical safety / static|INADEQUATE</t>
        </is>
      </c>
      <c r="I512" s="16" t="inlineStr">
        <is>
          <t>Insulated vessels / equipment</t>
        </is>
      </c>
    </row>
    <row r="513">
      <c r="H513" s="16" t="inlineStr">
        <is>
          <t>Electrical safety / static|INADEQUATE</t>
        </is>
      </c>
      <c r="I513" s="16" t="inlineStr">
        <is>
          <t>Low-conductance fluids</t>
        </is>
      </c>
    </row>
    <row r="514">
      <c r="H514" s="16" t="inlineStr">
        <is>
          <t>Electrical safety / static|INADEQUATE</t>
        </is>
      </c>
      <c r="I514" s="16" t="inlineStr">
        <is>
          <t>Splash filling of vessels</t>
        </is>
      </c>
    </row>
    <row r="515">
      <c r="H515" s="16" t="inlineStr">
        <is>
          <t>Electrical safety / static|INADEQUATE</t>
        </is>
      </c>
      <c r="I515" s="16" t="inlineStr">
        <is>
          <t>Insulated strainers and valve components</t>
        </is>
      </c>
    </row>
    <row r="516">
      <c r="H516" s="16" t="inlineStr">
        <is>
          <t>Electrical safety / static|INADEQUATE</t>
        </is>
      </c>
      <c r="I516" s="16" t="inlineStr">
        <is>
          <t>Dust generation and handling</t>
        </is>
      </c>
    </row>
    <row r="517">
      <c r="H517" s="16" t="inlineStr">
        <is>
          <t>Electrical safety / static|INADEQUATE</t>
        </is>
      </c>
      <c r="I517" s="16" t="inlineStr">
        <is>
          <t>Hoses</t>
        </is>
      </c>
    </row>
    <row r="518">
      <c r="H518" s="16" t="inlineStr">
        <is>
          <t>Electrical safety / static|INADEQUATE</t>
        </is>
      </c>
      <c r="I518" s="16" t="inlineStr">
        <is>
          <t>Area classification</t>
        </is>
      </c>
    </row>
    <row r="519">
      <c r="H519" s="16" t="inlineStr">
        <is>
          <t>Electrical safety / static|INADEQUATE</t>
        </is>
      </c>
      <c r="I519" s="16" t="inlineStr">
        <is>
          <t>[S] High-current bus bars, induced currents and magnetic fields</t>
        </is>
      </c>
    </row>
    <row r="520">
      <c r="H520" s="16" t="inlineStr">
        <is>
          <t>Operator action|OTHER THAN</t>
        </is>
      </c>
      <c r="I520" s="16" t="inlineStr">
        <is>
          <t>Unclear or absent procedures</t>
        </is>
      </c>
    </row>
    <row r="521">
      <c r="H521" s="16" t="inlineStr">
        <is>
          <t>Operator action|OTHER THAN</t>
        </is>
      </c>
      <c r="I521" s="16" t="inlineStr">
        <is>
          <t>Poor labelling and identification</t>
        </is>
      </c>
    </row>
    <row r="522">
      <c r="H522" s="16" t="inlineStr">
        <is>
          <t>Operator action|OTHER THAN</t>
        </is>
      </c>
      <c r="I522" s="16" t="inlineStr">
        <is>
          <t>Workload, fatigue, shift handover</t>
        </is>
      </c>
    </row>
    <row r="523">
      <c r="H523" s="16" t="inlineStr">
        <is>
          <t>Operator action|OTHER THAN</t>
        </is>
      </c>
      <c r="I523" s="16" t="inlineStr">
        <is>
          <t>Alarm overload; poor HMI design</t>
        </is>
      </c>
    </row>
    <row r="524">
      <c r="H524" s="16" t="inlineStr">
        <is>
          <t>Operator action|OTHER THAN</t>
        </is>
      </c>
      <c r="I524" s="16" t="inlineStr">
        <is>
          <t>Inadequate training or competence</t>
        </is>
      </c>
    </row>
    <row r="525">
      <c r="H525" s="16" t="inlineStr">
        <is>
          <t>Operator action|NO</t>
        </is>
      </c>
      <c r="I525" s="16" t="inlineStr">
        <is>
          <t>Unclear or absent procedures</t>
        </is>
      </c>
    </row>
    <row r="526">
      <c r="H526" s="16" t="inlineStr">
        <is>
          <t>Operator action|NO</t>
        </is>
      </c>
      <c r="I526" s="16" t="inlineStr">
        <is>
          <t>Poor labelling and identification</t>
        </is>
      </c>
    </row>
    <row r="527">
      <c r="H527" s="16" t="inlineStr">
        <is>
          <t>Operator action|NO</t>
        </is>
      </c>
      <c r="I527" s="16" t="inlineStr">
        <is>
          <t>Workload, fatigue, shift handover</t>
        </is>
      </c>
    </row>
    <row r="528">
      <c r="H528" s="16" t="inlineStr">
        <is>
          <t>Operator action|NO</t>
        </is>
      </c>
      <c r="I528" s="16" t="inlineStr">
        <is>
          <t>Alarm overload; poor HMI design</t>
        </is>
      </c>
    </row>
    <row r="529">
      <c r="H529" s="16" t="inlineStr">
        <is>
          <t>Operator action|NO</t>
        </is>
      </c>
      <c r="I529" s="16" t="inlineStr">
        <is>
          <t>Inadequate training or competence</t>
        </is>
      </c>
    </row>
    <row r="530">
      <c r="H530" s="16" t="inlineStr">
        <is>
          <t>Simplicity|REVIEW</t>
        </is>
      </c>
      <c r="I530" s="16" t="inlineStr">
        <is>
          <t>Can we omit plant or simplify control?</t>
        </is>
      </c>
    </row>
    <row r="531">
      <c r="H531" s="16" t="inlineStr">
        <is>
          <t>Simplicity|REVIEW</t>
        </is>
      </c>
      <c r="I531" s="16" t="inlineStr">
        <is>
          <t>Too many interlocks or bypasses</t>
        </is>
      </c>
    </row>
    <row r="532">
      <c r="H532" s="16" t="inlineStr">
        <is>
          <t>Output – reliability and bottlenecks|REVIEW</t>
        </is>
      </c>
      <c r="I532" s="16" t="inlineStr">
        <is>
          <t>Least reliable components</t>
        </is>
      </c>
    </row>
    <row r="533">
      <c r="H533" s="16" t="inlineStr">
        <is>
          <t>Output – reliability and bottlenecks|REVIEW</t>
        </is>
      </c>
      <c r="I533" s="16" t="inlineStr">
        <is>
          <t>Most limiting components</t>
        </is>
      </c>
    </row>
    <row r="534">
      <c r="H534" s="16" t="inlineStr">
        <is>
          <t>Efficiency – losses|REVIEW</t>
        </is>
      </c>
      <c r="I534" s="16" t="inlineStr">
        <is>
          <t>Where will we lose material, conversion, yield or energy?</t>
        </is>
      </c>
    </row>
    <row r="535">
      <c r="H535" s="16" t="inlineStr">
        <is>
          <t>Construction|REVIEW</t>
        </is>
      </c>
      <c r="I535" s="16" t="inlineStr">
        <is>
          <t>Demolition</t>
        </is>
      </c>
    </row>
    <row r="536">
      <c r="H536" s="16" t="inlineStr">
        <is>
          <t>Construction|REVIEW</t>
        </is>
      </c>
      <c r="I536" s="16" t="inlineStr">
        <is>
          <t>Impacts on existing site, existing operations and environment</t>
        </is>
      </c>
    </row>
    <row r="537">
      <c r="H537" s="16" t="inlineStr">
        <is>
          <t>Construction|REVIEW</t>
        </is>
      </c>
      <c r="I537" s="16" t="inlineStr">
        <is>
          <t>Size of equipment</t>
        </is>
      </c>
    </row>
    <row r="538">
      <c r="H538" s="16" t="inlineStr">
        <is>
          <t>Construction|REVIEW</t>
        </is>
      </c>
      <c r="I538" s="16" t="inlineStr">
        <is>
          <t>Special hazards – chemicals / dangerous goods, to workers, structural</t>
        </is>
      </c>
    </row>
    <row r="539">
      <c r="H539" s="16" t="inlineStr">
        <is>
          <t>Construction|REVIEW</t>
        </is>
      </c>
      <c r="I539" s="16" t="inlineStr">
        <is>
          <t>Personal protective equipment</t>
        </is>
      </c>
    </row>
    <row r="540">
      <c r="H540" s="16" t="inlineStr">
        <is>
          <t>Commissioning|REVIEW</t>
        </is>
      </c>
      <c r="I540" s="16" t="inlineStr">
        <is>
          <t>Broadly how it will be done</t>
        </is>
      </c>
    </row>
    <row r="541">
      <c r="H541" s="16" t="inlineStr">
        <is>
          <t>Commissioning|REVIEW</t>
        </is>
      </c>
      <c r="I541" s="16" t="inlineStr">
        <is>
          <t>Sequence</t>
        </is>
      </c>
    </row>
    <row r="542">
      <c r="H542" s="16" t="inlineStr">
        <is>
          <t>Commissioning|REVIEW</t>
        </is>
      </c>
      <c r="I542" s="16" t="inlineStr">
        <is>
          <t>What difficulties and hazards can be foreseen</t>
        </is>
      </c>
    </row>
    <row r="543">
      <c r="H543" s="16" t="inlineStr">
        <is>
          <t>Commissioning|REVIEW</t>
        </is>
      </c>
      <c r="I543" s="16" t="inlineStr">
        <is>
          <t>Review of procedures</t>
        </is>
      </c>
    </row>
    <row r="544">
      <c r="H544" s="16" t="inlineStr">
        <is>
          <t>Commissioning|REVIEW</t>
        </is>
      </c>
      <c r="I544" s="16" t="inlineStr">
        <is>
          <t>Signage / tags / locks</t>
        </is>
      </c>
    </row>
    <row r="545">
      <c r="H545" s="16" t="inlineStr">
        <is>
          <t>Commissioning|REVIEW</t>
        </is>
      </c>
      <c r="I545" s="16" t="inlineStr">
        <is>
          <t>Responsibilities</t>
        </is>
      </c>
    </row>
    <row r="546">
      <c r="H546" s="16" t="inlineStr">
        <is>
          <t>Commissioning|REVIEW</t>
        </is>
      </c>
      <c r="I546" s="16" t="inlineStr">
        <is>
          <t>[S] Refractory dry-out and first heat</t>
        </is>
      </c>
    </row>
    <row r="547">
      <c r="H547" s="16" t="inlineStr">
        <is>
          <t>Start-up|REVIEW</t>
        </is>
      </c>
      <c r="I547" s="16" t="inlineStr">
        <is>
          <t>First start-up methods, difficulties, hazards</t>
        </is>
      </c>
    </row>
    <row r="548">
      <c r="H548" s="16" t="inlineStr">
        <is>
          <t>Start-up|REVIEW</t>
        </is>
      </c>
      <c r="I548" s="16" t="inlineStr">
        <is>
          <t>Routine start-up methods, difficulties, hazards</t>
        </is>
      </c>
    </row>
    <row r="549">
      <c r="H549" s="16" t="inlineStr">
        <is>
          <t>Start-up|REVIEW</t>
        </is>
      </c>
      <c r="I549" s="16" t="inlineStr">
        <is>
          <t>Philosophy of control (auto, manual, local)</t>
        </is>
      </c>
    </row>
    <row r="550">
      <c r="H550" s="16" t="inlineStr">
        <is>
          <t>Start-up|REVIEW</t>
        </is>
      </c>
      <c r="I550" s="16" t="inlineStr">
        <is>
          <t>Too many interlocks?</t>
        </is>
      </c>
    </row>
    <row r="551">
      <c r="H551" s="16" t="inlineStr">
        <is>
          <t>Start-up|REVIEW</t>
        </is>
      </c>
      <c r="I551" s="16" t="inlineStr">
        <is>
          <t>Procedures</t>
        </is>
      </c>
    </row>
    <row r="552">
      <c r="H552" s="16" t="inlineStr">
        <is>
          <t>Start-up|REVIEW</t>
        </is>
      </c>
      <c r="I552" s="16" t="inlineStr">
        <is>
          <t>Purging and gas-freeing before light-up</t>
        </is>
      </c>
    </row>
    <row r="553">
      <c r="H553" s="16" t="inlineStr">
        <is>
          <t>Shutdown (isolation, purging)|REVIEW</t>
        </is>
      </c>
      <c r="I553" s="16" t="inlineStr">
        <is>
          <t>Planned shutdown</t>
        </is>
      </c>
    </row>
    <row r="554">
      <c r="H554" s="16" t="inlineStr">
        <is>
          <t>Shutdown (isolation, purging)|REVIEW</t>
        </is>
      </c>
      <c r="I554" s="16" t="inlineStr">
        <is>
          <t>Emergency shutdown</t>
        </is>
      </c>
    </row>
    <row r="555">
      <c r="H555" s="16" t="inlineStr">
        <is>
          <t>Shutdown (isolation, purging)|REVIEW</t>
        </is>
      </c>
      <c r="I555" s="16" t="inlineStr">
        <is>
          <t>Difficulties, hazards</t>
        </is>
      </c>
    </row>
    <row r="556">
      <c r="H556" s="16" t="inlineStr">
        <is>
          <t>Shutdown (isolation, purging)|REVIEW</t>
        </is>
      </c>
      <c r="I556" s="16" t="inlineStr">
        <is>
          <t>[S] Holding molten metal during an extended stop; emptying furnaces and ladles</t>
        </is>
      </c>
    </row>
    <row r="557">
      <c r="H557" s="16" t="inlineStr">
        <is>
          <t>Breakdown (including service failure)|REVIEW</t>
        </is>
      </c>
      <c r="I557" s="16" t="inlineStr">
        <is>
          <t>Power failure</t>
        </is>
      </c>
    </row>
    <row r="558">
      <c r="H558" s="16" t="inlineStr">
        <is>
          <t>Breakdown (including service failure)|REVIEW</t>
        </is>
      </c>
      <c r="I558" s="16" t="inlineStr">
        <is>
          <t>Air, steam, water, vacuum, fuel</t>
        </is>
      </c>
    </row>
    <row r="559">
      <c r="H559" s="16" t="inlineStr">
        <is>
          <t>Breakdown (including service failure)|REVIEW</t>
        </is>
      </c>
      <c r="I559" s="16" t="inlineStr">
        <is>
          <t>Vents</t>
        </is>
      </c>
    </row>
    <row r="560">
      <c r="H560" s="16" t="inlineStr">
        <is>
          <t>Breakdown (including service failure)|REVIEW</t>
        </is>
      </c>
      <c r="I560" s="16" t="inlineStr">
        <is>
          <t>Computer</t>
        </is>
      </c>
    </row>
    <row r="561">
      <c r="H561" s="16" t="inlineStr">
        <is>
          <t>Breakdown (including service failure)|REVIEW</t>
        </is>
      </c>
      <c r="I561" s="16" t="inlineStr">
        <is>
          <t>Other</t>
        </is>
      </c>
    </row>
    <row r="562">
      <c r="H562" s="16" t="inlineStr">
        <is>
          <t>Breakdown (including service failure)|REVIEW</t>
        </is>
      </c>
      <c r="I562" s="16" t="inlineStr">
        <is>
          <t>Major causes of breakdown</t>
        </is>
      </c>
    </row>
    <row r="563">
      <c r="H563" s="16" t="inlineStr">
        <is>
          <t>Breakdown (including service failure)|REVIEW</t>
        </is>
      </c>
      <c r="I563" s="16" t="inlineStr">
        <is>
          <t>Emergency procedures and communications</t>
        </is>
      </c>
    </row>
    <row r="564">
      <c r="H564" s="16" t="inlineStr">
        <is>
          <t>Breakdown (including service failure)|REVIEW</t>
        </is>
      </c>
      <c r="I564" s="16" t="inlineStr">
        <is>
          <t>Which way should valves move (fail-safe positions)?</t>
        </is>
      </c>
    </row>
    <row r="565">
      <c r="H565" s="16" t="inlineStr">
        <is>
          <t>Materials|REVIEW</t>
        </is>
      </c>
      <c r="I565" s="16" t="inlineStr">
        <is>
          <t>Vessels</t>
        </is>
      </c>
    </row>
    <row r="566">
      <c r="H566" s="16" t="inlineStr">
        <is>
          <t>Materials|REVIEW</t>
        </is>
      </c>
      <c r="I566" s="16" t="inlineStr">
        <is>
          <t>Pipelines</t>
        </is>
      </c>
    </row>
    <row r="567">
      <c r="H567" s="16" t="inlineStr">
        <is>
          <t>Materials|REVIEW</t>
        </is>
      </c>
      <c r="I567" s="16" t="inlineStr">
        <is>
          <t>Pumps</t>
        </is>
      </c>
    </row>
    <row r="568">
      <c r="H568" s="16" t="inlineStr">
        <is>
          <t>Materials|REVIEW</t>
        </is>
      </c>
      <c r="I568" s="16" t="inlineStr">
        <is>
          <t>Valves</t>
        </is>
      </c>
    </row>
    <row r="569">
      <c r="H569" s="16" t="inlineStr">
        <is>
          <t>Materials|REVIEW</t>
        </is>
      </c>
      <c r="I569" s="16" t="inlineStr">
        <is>
          <t>Gaskets / seals</t>
        </is>
      </c>
    </row>
    <row r="570">
      <c r="H570" s="16" t="inlineStr">
        <is>
          <t>Materials|REVIEW</t>
        </is>
      </c>
      <c r="I570" s="16" t="inlineStr">
        <is>
          <t>Protective coatings</t>
        </is>
      </c>
    </row>
    <row r="571">
      <c r="H571" s="16" t="inlineStr">
        <is>
          <t>Materials|REVIEW</t>
        </is>
      </c>
      <c r="I571" s="16" t="inlineStr">
        <is>
          <t>Others (refractory, copper, hoses)</t>
        </is>
      </c>
    </row>
    <row r="572">
      <c r="H572" s="16" t="inlineStr">
        <is>
          <t>Utilities and services|REVIEW</t>
        </is>
      </c>
      <c r="I572" s="16" t="inlineStr">
        <is>
          <t>Lighting</t>
        </is>
      </c>
    </row>
    <row r="573">
      <c r="H573" s="16" t="inlineStr">
        <is>
          <t>Utilities and services|REVIEW</t>
        </is>
      </c>
      <c r="I573" s="16" t="inlineStr">
        <is>
          <t>Compressed air; instrument air</t>
        </is>
      </c>
    </row>
    <row r="574">
      <c r="H574" s="16" t="inlineStr">
        <is>
          <t>Utilities and services|REVIEW</t>
        </is>
      </c>
      <c r="I574" s="16" t="inlineStr">
        <is>
          <t>Nitrogen</t>
        </is>
      </c>
    </row>
    <row r="575">
      <c r="H575" s="16" t="inlineStr">
        <is>
          <t>Utilities and services|REVIEW</t>
        </is>
      </c>
      <c r="I575" s="16" t="inlineStr">
        <is>
          <t>Water (cooling, process, service, potable)</t>
        </is>
      </c>
    </row>
    <row r="576">
      <c r="H576" s="16" t="inlineStr">
        <is>
          <t>Utilities and services|REVIEW</t>
        </is>
      </c>
      <c r="I576" s="16" t="inlineStr">
        <is>
          <t>Steam</t>
        </is>
      </c>
    </row>
    <row r="577">
      <c r="H577" s="16" t="inlineStr">
        <is>
          <t>Utilities and services|REVIEW</t>
        </is>
      </c>
      <c r="I577" s="16" t="inlineStr">
        <is>
          <t>Power</t>
        </is>
      </c>
    </row>
    <row r="578">
      <c r="H578" s="16" t="inlineStr">
        <is>
          <t>Utilities and services|REVIEW</t>
        </is>
      </c>
      <c r="I578" s="16" t="inlineStr">
        <is>
          <t>Oxygen</t>
        </is>
      </c>
    </row>
    <row r="579">
      <c r="H579" s="16" t="inlineStr">
        <is>
          <t>Toxicity|REVIEW</t>
        </is>
      </c>
      <c r="I579" s="16" t="inlineStr">
        <is>
          <t>Material safety data sheets</t>
        </is>
      </c>
    </row>
    <row r="580">
      <c r="H580" s="16" t="inlineStr">
        <is>
          <t>Toxicity|REVIEW</t>
        </is>
      </c>
      <c r="I580" s="16" t="inlineStr">
        <is>
          <t>Handling procedures</t>
        </is>
      </c>
    </row>
    <row r="581">
      <c r="H581" s="16" t="inlineStr">
        <is>
          <t>Toxicity|REVIEW</t>
        </is>
      </c>
      <c r="I581" s="16" t="inlineStr">
        <is>
          <t>Precautions</t>
        </is>
      </c>
    </row>
    <row r="582">
      <c r="H582" s="16" t="inlineStr">
        <is>
          <t>Toxicity|REVIEW</t>
        </is>
      </c>
      <c r="I582" s="16" t="inlineStr">
        <is>
          <t>Exposure monitoring</t>
        </is>
      </c>
    </row>
    <row r="583">
      <c r="H583" s="16" t="inlineStr">
        <is>
          <t>Toxicity|REVIEW</t>
        </is>
      </c>
      <c r="I583" s="16" t="inlineStr">
        <is>
          <t>Emergency procedures</t>
        </is>
      </c>
    </row>
    <row r="584">
      <c r="H584" s="16" t="inlineStr">
        <is>
          <t>Toxicity|REVIEW</t>
        </is>
      </c>
      <c r="I584" s="16" t="inlineStr">
        <is>
          <t>Ventilation</t>
        </is>
      </c>
    </row>
    <row r="585">
      <c r="H585" s="16" t="inlineStr">
        <is>
          <t>Toxicity|REVIEW</t>
        </is>
      </c>
      <c r="I585" s="16" t="inlineStr">
        <is>
          <t>[S] CO, metal fume, silica, PAHs from coke and pitch</t>
        </is>
      </c>
    </row>
    <row r="586">
      <c r="H586" s="16" t="inlineStr">
        <is>
          <t>Fire and explosion|REVIEW</t>
        </is>
      </c>
      <c r="I586" s="16" t="inlineStr">
        <is>
          <t>Broad overview</t>
        </is>
      </c>
    </row>
    <row r="587">
      <c r="H587" s="16" t="inlineStr">
        <is>
          <t>Fire and explosion|REVIEW</t>
        </is>
      </c>
      <c r="I587" s="16" t="inlineStr">
        <is>
          <t>Protection, prevention, control</t>
        </is>
      </c>
    </row>
    <row r="588">
      <c r="H588" s="16" t="inlineStr">
        <is>
          <t>Fire and explosion|REVIEW</t>
        </is>
      </c>
      <c r="I588" s="16" t="inlineStr">
        <is>
          <t>Location of safety showers, deluges</t>
        </is>
      </c>
    </row>
    <row r="589">
      <c r="H589" s="16" t="inlineStr">
        <is>
          <t>Fire and explosion|REVIEW</t>
        </is>
      </c>
      <c r="I589" s="16" t="inlineStr">
        <is>
          <t>Location of shut-off valves and controls</t>
        </is>
      </c>
    </row>
    <row r="590">
      <c r="H590" s="16" t="inlineStr">
        <is>
          <t>Fire and explosion|REVIEW</t>
        </is>
      </c>
      <c r="I590" s="16" t="inlineStr">
        <is>
          <t>[S] Molten metal explosions, dust explosions, gas explosions, hydraulic oil fires</t>
        </is>
      </c>
    </row>
    <row r="591">
      <c r="H591" s="16" t="inlineStr">
        <is>
          <t>Environmental impact|REVIEW</t>
        </is>
      </c>
      <c r="I591" s="16" t="inlineStr">
        <is>
          <t>Vapour emissions</t>
        </is>
      </c>
    </row>
    <row r="592">
      <c r="H592" s="16" t="inlineStr">
        <is>
          <t>Environmental impact|REVIEW</t>
        </is>
      </c>
      <c r="I592" s="16" t="inlineStr">
        <is>
          <t>Dust emissions</t>
        </is>
      </c>
    </row>
    <row r="593">
      <c r="H593" s="16" t="inlineStr">
        <is>
          <t>Environmental impact|REVIEW</t>
        </is>
      </c>
      <c r="I593" s="16" t="inlineStr">
        <is>
          <t>Effluent</t>
        </is>
      </c>
    </row>
    <row r="594">
      <c r="H594" s="16" t="inlineStr">
        <is>
          <t>Environmental impact|REVIEW</t>
        </is>
      </c>
      <c r="I594" s="16" t="inlineStr">
        <is>
          <t>Noise</t>
        </is>
      </c>
    </row>
    <row r="595">
      <c r="H595" s="16" t="inlineStr">
        <is>
          <t>Environmental impact|REVIEW</t>
        </is>
      </c>
      <c r="I595" s="16" t="inlineStr">
        <is>
          <t>Ground seepage</t>
        </is>
      </c>
    </row>
    <row r="596">
      <c r="H596" s="16" t="inlineStr">
        <is>
          <t>Environmental impact|REVIEW</t>
        </is>
      </c>
      <c r="I596" s="16" t="inlineStr">
        <is>
          <t>Waste minimisation</t>
        </is>
      </c>
    </row>
    <row r="597">
      <c r="H597" s="16" t="inlineStr">
        <is>
          <t>Environmental impact|REVIEW</t>
        </is>
      </c>
      <c r="I597" s="16" t="inlineStr">
        <is>
          <t>[S] Slag, mill scale, sludge, EAF dust disposal</t>
        </is>
      </c>
    </row>
    <row r="598">
      <c r="H598" s="16" t="inlineStr">
        <is>
          <t>Natural hazards|REVIEW</t>
        </is>
      </c>
      <c r="I598" s="16" t="inlineStr">
        <is>
          <t>Earthquake</t>
        </is>
      </c>
    </row>
    <row r="599">
      <c r="H599" s="16" t="inlineStr">
        <is>
          <t>Natural hazards|REVIEW</t>
        </is>
      </c>
      <c r="I599" s="16" t="inlineStr">
        <is>
          <t>Flooding</t>
        </is>
      </c>
    </row>
    <row r="600">
      <c r="H600" s="16" t="inlineStr">
        <is>
          <t>Natural hazards|REVIEW</t>
        </is>
      </c>
      <c r="I600" s="16" t="inlineStr">
        <is>
          <t>Thunderstorm (lightning protection)</t>
        </is>
      </c>
    </row>
    <row r="601">
      <c r="H601" s="16" t="inlineStr">
        <is>
          <t>Natural hazards|REVIEW</t>
        </is>
      </c>
      <c r="I601" s="16" t="inlineStr">
        <is>
          <t>High winds</t>
        </is>
      </c>
    </row>
    <row r="602">
      <c r="H602" s="16" t="inlineStr">
        <is>
          <t>Natural hazards|REVIEW</t>
        </is>
      </c>
      <c r="I602" s="16" t="inlineStr">
        <is>
          <t>Sandstorms; extreme heat</t>
        </is>
      </c>
    </row>
    <row r="603">
      <c r="H603" s="16" t="inlineStr">
        <is>
          <t>Quality and consistency|REVIEW</t>
        </is>
      </c>
      <c r="I603" s="16" t="inlineStr">
        <is>
          <t>What will most cause quality to fail or vary?</t>
        </is>
      </c>
    </row>
    <row r="604">
      <c r="H604" s="16" t="inlineStr">
        <is>
          <t>Quality and consistency|REVIEW</t>
        </is>
      </c>
      <c r="I604" s="16" t="inlineStr">
        <is>
          <t>How to prevent it</t>
        </is>
      </c>
    </row>
    <row r="605">
      <c r="H605" s="16" t="inlineStr">
        <is>
          <t>Procedures – development and documentation|REVIEW</t>
        </is>
      </c>
      <c r="I605" s="16" t="inlineStr">
        <is>
          <t>Operations</t>
        </is>
      </c>
    </row>
    <row r="606">
      <c r="H606" s="16" t="inlineStr">
        <is>
          <t>Procedures – development and documentation|REVIEW</t>
        </is>
      </c>
      <c r="I606" s="16" t="inlineStr">
        <is>
          <t>Maintenance</t>
        </is>
      </c>
    </row>
    <row r="607">
      <c r="H607" s="16" t="inlineStr">
        <is>
          <t>Procedures – development and documentation|REVIEW</t>
        </is>
      </c>
      <c r="I607" s="16" t="inlineStr">
        <is>
          <t>Confined space</t>
        </is>
      </c>
    </row>
    <row r="608">
      <c r="H608" s="16" t="inlineStr">
        <is>
          <t>Procedures – development and documentation|REVIEW</t>
        </is>
      </c>
      <c r="I608" s="16" t="inlineStr">
        <is>
          <t>Inspection and testing</t>
        </is>
      </c>
    </row>
    <row r="609">
      <c r="H609" s="16" t="inlineStr">
        <is>
          <t>Procedures – development and documentation|REVIEW</t>
        </is>
      </c>
      <c r="I609" s="16" t="inlineStr">
        <is>
          <t>Emergency</t>
        </is>
      </c>
    </row>
    <row r="610">
      <c r="H610" s="16" t="inlineStr">
        <is>
          <t>Procedures – development and documentation|REVIEW</t>
        </is>
      </c>
      <c r="I610" s="16" t="inlineStr">
        <is>
          <t>Engineering drawings</t>
        </is>
      </c>
    </row>
    <row r="611">
      <c r="H611" s="16" t="inlineStr">
        <is>
          <t>Safety equipment|REVIEW</t>
        </is>
      </c>
      <c r="I611" s="16" t="inlineStr">
        <is>
          <t>Personal protective equipment (PPE)</t>
        </is>
      </c>
    </row>
    <row r="612">
      <c r="H612" s="16" t="inlineStr">
        <is>
          <t>Safety equipment|REVIEW</t>
        </is>
      </c>
      <c r="I612" s="16" t="inlineStr">
        <is>
          <t>Fire detection</t>
        </is>
      </c>
    </row>
    <row r="613">
      <c r="H613" s="16" t="inlineStr">
        <is>
          <t>Safety equipment|REVIEW</t>
        </is>
      </c>
      <c r="I613" s="16" t="inlineStr">
        <is>
          <t>Fire fighting</t>
        </is>
      </c>
    </row>
    <row r="614">
      <c r="H614" s="16" t="inlineStr">
        <is>
          <t>Safety equipment|REVIEW</t>
        </is>
      </c>
      <c r="I614" s="16" t="inlineStr">
        <is>
          <t>Means of escape</t>
        </is>
      </c>
    </row>
    <row r="615">
      <c r="H615" s="16" t="inlineStr">
        <is>
          <t>Safety equipment|REVIEW</t>
        </is>
      </c>
      <c r="I615" s="16" t="inlineStr">
        <is>
          <t>Gas monitors</t>
        </is>
      </c>
    </row>
    <row r="616">
      <c r="H616" s="16" t="inlineStr">
        <is>
          <t>Safety equipment|REVIEW</t>
        </is>
      </c>
      <c r="I616" s="16" t="inlineStr">
        <is>
          <t>Breathing apparatus</t>
        </is>
      </c>
    </row>
    <row r="617">
      <c r="H617" s="16" t="inlineStr">
        <is>
          <t>Safety equipment|REVIEW</t>
        </is>
      </c>
      <c r="I617" s="16" t="inlineStr">
        <is>
          <t>Safety shower</t>
        </is>
      </c>
    </row>
    <row r="618">
      <c r="H618" s="16" t="inlineStr">
        <is>
          <t>Safety equipment|REVIEW</t>
        </is>
      </c>
      <c r="I618" s="16" t="inlineStr">
        <is>
          <t>Barriers / guards</t>
        </is>
      </c>
    </row>
    <row r="619">
      <c r="H619" s="16" t="inlineStr">
        <is>
          <t>Safety equipment|REVIEW</t>
        </is>
      </c>
      <c r="I619" s="16" t="inlineStr">
        <is>
          <t>[S] Heat-protective clothing; molten-metal splash protection</t>
        </is>
      </c>
    </row>
    <row r="620">
      <c r="H620" s="16" t="inlineStr">
        <is>
          <t>Egress / access|REVIEW</t>
        </is>
      </c>
      <c r="I620" s="16" t="inlineStr">
        <is>
          <t>Number of exit points</t>
        </is>
      </c>
    </row>
    <row r="621">
      <c r="H621" s="16" t="inlineStr">
        <is>
          <t>Egress / access|REVIEW</t>
        </is>
      </c>
      <c r="I621" s="16" t="inlineStr">
        <is>
          <t>Emergency egress</t>
        </is>
      </c>
    </row>
    <row r="622">
      <c r="H622" s="16" t="inlineStr">
        <is>
          <t>Egress / access|REVIEW</t>
        </is>
      </c>
      <c r="I622" s="16" t="inlineStr">
        <is>
          <t>Size – width, height, length</t>
        </is>
      </c>
    </row>
    <row r="623">
      <c r="H623" s="16" t="inlineStr">
        <is>
          <t>Egress / access|REVIEW</t>
        </is>
      </c>
      <c r="I623" s="16" t="inlineStr">
        <is>
          <t>Obstructions</t>
        </is>
      </c>
    </row>
    <row r="624">
      <c r="H624" s="16" t="inlineStr">
        <is>
          <t>Egress / access|REVIEW</t>
        </is>
      </c>
      <c r="I624" s="16" t="inlineStr">
        <is>
          <t>Lighting</t>
        </is>
      </c>
    </row>
    <row r="625">
      <c r="H625" s="16" t="inlineStr">
        <is>
          <t>Egress / access|REVIEW</t>
        </is>
      </c>
      <c r="I625" s="16" t="inlineStr">
        <is>
          <t>Fire protection</t>
        </is>
      </c>
    </row>
    <row r="626">
      <c r="H626" s="16" t="inlineStr">
        <is>
          <t>Entry / exit points|REVIEW</t>
        </is>
      </c>
      <c r="I626" s="16" t="inlineStr">
        <is>
          <t>Location</t>
        </is>
      </c>
    </row>
    <row r="627">
      <c r="H627" s="16" t="inlineStr">
        <is>
          <t>Entry / exit points|REVIEW</t>
        </is>
      </c>
      <c r="I627" s="16" t="inlineStr">
        <is>
          <t>Arrangement</t>
        </is>
      </c>
    </row>
    <row r="628">
      <c r="H628" s="16" t="inlineStr">
        <is>
          <t>Entry / exit points|REVIEW</t>
        </is>
      </c>
      <c r="I628" s="16" t="inlineStr">
        <is>
          <t>Communications</t>
        </is>
      </c>
    </row>
    <row r="629">
      <c r="H629" s="16" t="inlineStr">
        <is>
          <t>Entry / exit points|REVIEW</t>
        </is>
      </c>
      <c r="I629" s="16" t="inlineStr">
        <is>
          <t>External impacts</t>
        </is>
      </c>
    </row>
    <row r="630">
      <c r="H630" s="16" t="inlineStr">
        <is>
          <t>Layout and facility siting|REVIEW</t>
        </is>
      </c>
      <c r="I630" s="16" t="inlineStr">
        <is>
          <t>Spacing between hazardous units</t>
        </is>
      </c>
    </row>
    <row r="631">
      <c r="H631" s="16" t="inlineStr">
        <is>
          <t>Layout and facility siting|REVIEW</t>
        </is>
      </c>
      <c r="I631" s="16" t="inlineStr">
        <is>
          <t>Occupied buildings near hazards</t>
        </is>
      </c>
    </row>
    <row r="632">
      <c r="H632" s="16" t="inlineStr">
        <is>
          <t>Layout and facility siting|REVIEW</t>
        </is>
      </c>
      <c r="I632" s="16" t="inlineStr">
        <is>
          <t>Vehicle routes near molten metal or gas mains</t>
        </is>
      </c>
    </row>
    <row r="633">
      <c r="H633" s="16" t="inlineStr">
        <is>
          <t>Layout and facility siting|REVIEW</t>
        </is>
      </c>
      <c r="I633" s="16" t="inlineStr">
        <is>
          <t>Simultaneous operations (SIMOPS)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G32"/>
  <sheetViews>
    <sheetView workbookViewId="0">
      <selection activeCell="A1" sqref="A1"/>
    </sheetView>
  </sheetViews>
  <sheetFormatPr baseColWidth="8" defaultRowHeight="15"/>
  <cols>
    <col width="14" customWidth="1" min="1" max="1"/>
    <col width="26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</cols>
  <sheetData>
    <row r="1">
      <c r="A1" s="1" t="inlineStr">
        <is>
          <t>RISK MATRIX (5 x 5)</t>
        </is>
      </c>
    </row>
    <row r="2">
      <c r="A2" s="2" t="inlineStr">
        <is>
          <t>Risk score = value in the matrix cell for Severity (row) x Likelihood (column). Default scores are S x L (1–25); overwrite the yellow cells to use your company's matrix.</t>
        </is>
      </c>
    </row>
    <row r="3">
      <c r="C3" s="17" t="inlineStr">
        <is>
          <t>LIKELIHOOD →</t>
        </is>
      </c>
    </row>
    <row r="4">
      <c r="B4" s="8" t="inlineStr">
        <is>
          <t>Severity \ Likelihood</t>
        </is>
      </c>
      <c r="C4" s="8" t="inlineStr">
        <is>
          <t>1 – Rare</t>
        </is>
      </c>
      <c r="D4" s="8" t="inlineStr">
        <is>
          <t>2 – Unlikely</t>
        </is>
      </c>
      <c r="E4" s="8" t="inlineStr">
        <is>
          <t>3 – Possible</t>
        </is>
      </c>
      <c r="F4" s="8" t="inlineStr">
        <is>
          <t>4 – Likely</t>
        </is>
      </c>
      <c r="G4" s="8" t="inlineStr">
        <is>
          <t>5 – Almost certain</t>
        </is>
      </c>
    </row>
    <row r="5" ht="28" customHeight="1">
      <c r="A5" s="17" t="inlineStr">
        <is>
          <t>SEVERITY ↓</t>
        </is>
      </c>
      <c r="B5" s="8" t="inlineStr">
        <is>
          <t>5 – Catastrophic</t>
        </is>
      </c>
      <c r="C5" s="18" t="n">
        <v>5</v>
      </c>
      <c r="D5" s="18" t="n">
        <v>10</v>
      </c>
      <c r="E5" s="18" t="n">
        <v>15</v>
      </c>
      <c r="F5" s="18" t="n">
        <v>20</v>
      </c>
      <c r="G5" s="18" t="n">
        <v>25</v>
      </c>
    </row>
    <row r="6" ht="28" customHeight="1">
      <c r="B6" s="8" t="inlineStr">
        <is>
          <t>4 – Major</t>
        </is>
      </c>
      <c r="C6" s="18" t="n">
        <v>4</v>
      </c>
      <c r="D6" s="18" t="n">
        <v>8</v>
      </c>
      <c r="E6" s="18" t="n">
        <v>12</v>
      </c>
      <c r="F6" s="18" t="n">
        <v>16</v>
      </c>
      <c r="G6" s="18" t="n">
        <v>20</v>
      </c>
    </row>
    <row r="7" ht="28" customHeight="1">
      <c r="B7" s="8" t="inlineStr">
        <is>
          <t>3 – Moderate</t>
        </is>
      </c>
      <c r="C7" s="18" t="n">
        <v>3</v>
      </c>
      <c r="D7" s="18" t="n">
        <v>6</v>
      </c>
      <c r="E7" s="18" t="n">
        <v>9</v>
      </c>
      <c r="F7" s="18" t="n">
        <v>12</v>
      </c>
      <c r="G7" s="18" t="n">
        <v>15</v>
      </c>
    </row>
    <row r="8" ht="28" customHeight="1">
      <c r="B8" s="8" t="inlineStr">
        <is>
          <t>2 – Minor</t>
        </is>
      </c>
      <c r="C8" s="18" t="n">
        <v>2</v>
      </c>
      <c r="D8" s="18" t="n">
        <v>4</v>
      </c>
      <c r="E8" s="18" t="n">
        <v>6</v>
      </c>
      <c r="F8" s="18" t="n">
        <v>8</v>
      </c>
      <c r="G8" s="18" t="n">
        <v>10</v>
      </c>
    </row>
    <row r="9" ht="28" customHeight="1">
      <c r="B9" s="8" t="inlineStr">
        <is>
          <t>1 – Negligible</t>
        </is>
      </c>
      <c r="C9" s="18" t="n">
        <v>1</v>
      </c>
      <c r="D9" s="18" t="n">
        <v>2</v>
      </c>
      <c r="E9" s="18" t="n">
        <v>3</v>
      </c>
      <c r="F9" s="18" t="n">
        <v>4</v>
      </c>
      <c r="G9" s="18" t="n">
        <v>5</v>
      </c>
    </row>
    <row r="11">
      <c r="B11" s="4" t="inlineStr">
        <is>
          <t>Risk bands (minimum score):</t>
        </is>
      </c>
    </row>
    <row r="12">
      <c r="B12" s="19" t="inlineStr">
        <is>
          <t>Low</t>
        </is>
      </c>
      <c r="C12" s="20" t="n">
        <v>1</v>
      </c>
      <c r="D12" s="13" t="inlineStr">
        <is>
          <t>Tolerable – manage by procedures</t>
        </is>
      </c>
      <c r="E12" s="9" t="n"/>
      <c r="F12" s="9" t="n"/>
      <c r="G12" s="10" t="n"/>
    </row>
    <row r="13">
      <c r="B13" s="21" t="inlineStr">
        <is>
          <t>Medium</t>
        </is>
      </c>
      <c r="C13" s="20" t="n">
        <v>5</v>
      </c>
      <c r="D13" s="13" t="inlineStr">
        <is>
          <t>Tolerable if ALARP – review safeguards</t>
        </is>
      </c>
      <c r="E13" s="9" t="n"/>
      <c r="F13" s="9" t="n"/>
      <c r="G13" s="10" t="n"/>
    </row>
    <row r="14">
      <c r="B14" s="22" t="inlineStr">
        <is>
          <t>High</t>
        </is>
      </c>
      <c r="C14" s="20" t="n">
        <v>10</v>
      </c>
      <c r="D14" s="13" t="inlineStr">
        <is>
          <t>Recommendation required to reduce risk</t>
        </is>
      </c>
      <c r="E14" s="9" t="n"/>
      <c r="F14" s="9" t="n"/>
      <c r="G14" s="10" t="n"/>
    </row>
    <row r="15">
      <c r="B15" s="23" t="inlineStr">
        <is>
          <t>Very High</t>
        </is>
      </c>
      <c r="C15" s="20" t="n">
        <v>20</v>
      </c>
      <c r="D15" s="13" t="inlineStr">
        <is>
          <t>Intolerable – mandatory risk reduction</t>
        </is>
      </c>
      <c r="E15" s="9" t="n"/>
      <c r="F15" s="9" t="n"/>
      <c r="G15" s="10" t="n"/>
    </row>
    <row r="18">
      <c r="B18" s="8" t="inlineStr">
        <is>
          <t>Severity level</t>
        </is>
      </c>
      <c r="C18" s="8" t="inlineStr">
        <is>
          <t>People</t>
        </is>
      </c>
      <c r="D18" s="8" t="inlineStr">
        <is>
          <t>Environment</t>
        </is>
      </c>
      <c r="E18" s="8" t="inlineStr">
        <is>
          <t>Asset / production</t>
        </is>
      </c>
      <c r="F18" s="9" t="n"/>
      <c r="G18" s="10" t="n"/>
    </row>
    <row r="19" ht="30" customHeight="1">
      <c r="B19" s="11" t="inlineStr">
        <is>
          <t>1 – Negligible</t>
        </is>
      </c>
      <c r="C19" s="13" t="inlineStr">
        <is>
          <t>First aid case; no lost time</t>
        </is>
      </c>
      <c r="D19" s="13" t="inlineStr">
        <is>
          <t>Minor release contained on site; no impact</t>
        </is>
      </c>
      <c r="E19" s="13" t="inlineStr">
        <is>
          <t>Negligible damage / production loss</t>
        </is>
      </c>
      <c r="F19" s="9" t="n"/>
      <c r="G19" s="10" t="n"/>
    </row>
    <row r="20" ht="30" customHeight="1">
      <c r="B20" s="11" t="inlineStr">
        <is>
          <t>2 – Minor</t>
        </is>
      </c>
      <c r="C20" s="13" t="inlineStr">
        <is>
          <t>Medical treatment case / restricted work</t>
        </is>
      </c>
      <c r="D20" s="13" t="inlineStr">
        <is>
          <t>Reportable release, contained on site, short-term impact</t>
        </is>
      </c>
      <c r="E20" s="13" t="inlineStr">
        <is>
          <t>Minor damage; short production loss</t>
        </is>
      </c>
      <c r="F20" s="9" t="n"/>
      <c r="G20" s="10" t="n"/>
    </row>
    <row r="21" ht="30" customHeight="1">
      <c r="B21" s="11" t="inlineStr">
        <is>
          <t>3 – Moderate</t>
        </is>
      </c>
      <c r="C21" s="13" t="inlineStr">
        <is>
          <t>Lost-time injury; reversible health effect</t>
        </is>
      </c>
      <c r="D21" s="13" t="inlineStr">
        <is>
          <t>Off-site release with short-term impact</t>
        </is>
      </c>
      <c r="E21" s="13" t="inlineStr">
        <is>
          <t>Significant damage; production loss of days</t>
        </is>
      </c>
      <c r="F21" s="9" t="n"/>
      <c r="G21" s="10" t="n"/>
    </row>
    <row r="22" ht="30" customHeight="1">
      <c r="B22" s="11" t="inlineStr">
        <is>
          <t>4 – Major</t>
        </is>
      </c>
      <c r="C22" s="13" t="inlineStr">
        <is>
          <t>Single fatality or permanent disability</t>
        </is>
      </c>
      <c r="D22" s="13" t="inlineStr">
        <is>
          <t>Off-site release with significant medium-term impact</t>
        </is>
      </c>
      <c r="E22" s="13" t="inlineStr">
        <is>
          <t>Major damage; extended production loss</t>
        </is>
      </c>
      <c r="F22" s="9" t="n"/>
      <c r="G22" s="10" t="n"/>
    </row>
    <row r="23" ht="30" customHeight="1">
      <c r="B23" s="11" t="inlineStr">
        <is>
          <t>5 – Catastrophic</t>
        </is>
      </c>
      <c r="C23" s="13" t="inlineStr">
        <is>
          <t>Multiple fatalities; off-site injuries</t>
        </is>
      </c>
      <c r="D23" s="13" t="inlineStr">
        <is>
          <t>Major off-site release; long-term environmental damage</t>
        </is>
      </c>
      <c r="E23" s="13" t="inlineStr">
        <is>
          <t>Loss of unit / plant; extended outage</t>
        </is>
      </c>
      <c r="F23" s="9" t="n"/>
      <c r="G23" s="10" t="n"/>
    </row>
    <row r="25">
      <c r="B25" s="8" t="inlineStr">
        <is>
          <t>Likelihood level</t>
        </is>
      </c>
      <c r="C25" s="8" t="inlineStr">
        <is>
          <t>Description</t>
        </is>
      </c>
      <c r="D25" s="9" t="n"/>
      <c r="E25" s="9" t="n"/>
      <c r="F25" s="9" t="n"/>
      <c r="G25" s="10" t="n"/>
    </row>
    <row r="26">
      <c r="B26" s="11" t="inlineStr">
        <is>
          <t>1 – Rare</t>
        </is>
      </c>
      <c r="C26" s="13" t="inlineStr">
        <is>
          <t>Not expected to occur in the life of the facility (&lt; 1 in 10 000 years)</t>
        </is>
      </c>
      <c r="D26" s="9" t="n"/>
      <c r="E26" s="9" t="n"/>
      <c r="F26" s="9" t="n"/>
      <c r="G26" s="10" t="n"/>
    </row>
    <row r="27">
      <c r="B27" s="11" t="inlineStr">
        <is>
          <t>2 – Unlikely</t>
        </is>
      </c>
      <c r="C27" s="13" t="inlineStr">
        <is>
          <t>Has occurred in the industry; not expected here (1 in 1 000 – 10 000 years)</t>
        </is>
      </c>
      <c r="D27" s="9" t="n"/>
      <c r="E27" s="9" t="n"/>
      <c r="F27" s="9" t="n"/>
      <c r="G27" s="10" t="n"/>
    </row>
    <row r="28">
      <c r="B28" s="11" t="inlineStr">
        <is>
          <t>3 – Possible</t>
        </is>
      </c>
      <c r="C28" s="13" t="inlineStr">
        <is>
          <t>Could occur in the life of the facility (1 in 100 – 1 000 years)</t>
        </is>
      </c>
      <c r="D28" s="9" t="n"/>
      <c r="E28" s="9" t="n"/>
      <c r="F28" s="9" t="n"/>
      <c r="G28" s="10" t="n"/>
    </row>
    <row r="29">
      <c r="B29" s="11" t="inlineStr">
        <is>
          <t>4 – Likely</t>
        </is>
      </c>
      <c r="C29" s="13" t="inlineStr">
        <is>
          <t>Expected to occur several times in the life of the facility (1 in 10 – 100 years)</t>
        </is>
      </c>
      <c r="D29" s="9" t="n"/>
      <c r="E29" s="9" t="n"/>
      <c r="F29" s="9" t="n"/>
      <c r="G29" s="10" t="n"/>
    </row>
    <row r="30">
      <c r="B30" s="11" t="inlineStr">
        <is>
          <t>5 – Almost certain</t>
        </is>
      </c>
      <c r="C30" s="13" t="inlineStr">
        <is>
          <t>Expected to occur within the year (&gt; 1 in 10 years)</t>
        </is>
      </c>
      <c r="D30" s="9" t="n"/>
      <c r="E30" s="9" t="n"/>
      <c r="F30" s="9" t="n"/>
      <c r="G30" s="10" t="n"/>
    </row>
    <row r="32">
      <c r="B32" s="24" t="inlineStr">
        <is>
          <t>Descriptors and frequencies are typical examples – replace with the client's approved risk matrix before the study.</t>
        </is>
      </c>
    </row>
  </sheetData>
  <mergeCells count="18">
    <mergeCell ref="C29:G29"/>
    <mergeCell ref="C30:G30"/>
    <mergeCell ref="D14:G14"/>
    <mergeCell ref="E22:G22"/>
    <mergeCell ref="E19:G19"/>
    <mergeCell ref="A5:A9"/>
    <mergeCell ref="D12:G12"/>
    <mergeCell ref="E23:G23"/>
    <mergeCell ref="C25:G25"/>
    <mergeCell ref="C28:G28"/>
    <mergeCell ref="C27:G27"/>
    <mergeCell ref="E18:G18"/>
    <mergeCell ref="D15:G15"/>
    <mergeCell ref="D13:G13"/>
    <mergeCell ref="E21:G21"/>
    <mergeCell ref="E20:G20"/>
    <mergeCell ref="C3:G3"/>
    <mergeCell ref="C26:G26"/>
  </mergeCells>
  <conditionalFormatting sqref="C5:G9">
    <cfRule type="expression" priority="1" dxfId="0" stopIfTrue="1">
      <formula>C5&gt;=BandVH</formula>
    </cfRule>
    <cfRule type="expression" priority="2" dxfId="1" stopIfTrue="1">
      <formula>C5&gt;=BandHigh</formula>
    </cfRule>
    <cfRule type="expression" priority="3" dxfId="2" stopIfTrue="1">
      <formula>C5&gt;=BandMed</formula>
    </cfRule>
    <cfRule type="expression" priority="4" dxfId="3" stopIfTrue="1">
      <formula>C5&gt;=1</formula>
    </cfRule>
  </conditionalFormatting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AM163"/>
  <sheetViews>
    <sheetView workbookViewId="0">
      <pane xSplit="4" ySplit="13" topLeftCell="E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inlineStr">
        <is>
          <t>N01 – Gas receiving &amp; metering station (GRMS)</t>
        </is>
      </c>
      <c r="E3" s="9" t="n"/>
      <c r="F3" s="9" t="n"/>
      <c r="G3" s="9" t="n"/>
      <c r="H3" s="9" t="n"/>
      <c r="I3" s="9" t="n"/>
      <c r="J3" s="10" t="n"/>
      <c r="K3" s="27" t="inlineStr">
        <is>
          <t>Session date</t>
        </is>
      </c>
      <c r="L3" s="14" t="n">
        <v>46307</v>
      </c>
      <c r="M3" s="10" t="n"/>
      <c r="N3" s="27" t="inlineStr">
        <is>
          <t>Revision</t>
        </is>
      </c>
      <c r="O3" s="5" t="inlineStr">
        <is>
          <t>A</t>
        </is>
      </c>
    </row>
    <row r="4" ht="16" customHeight="1">
      <c r="A4" s="11" t="inlineStr">
        <is>
          <t>Node title</t>
        </is>
      </c>
      <c r="B4" s="9" t="n"/>
      <c r="C4" s="10" t="n"/>
      <c r="D4" s="7">
        <f>IF($D$3="","",IFERROR(INDEX(Nodes!$B$5:$B$34,MATCH($D$3,Nodes!$C$5:$C$34,0))&amp;"",""))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9" t="n"/>
      <c r="P4" s="9" t="n"/>
      <c r="Q4" s="9" t="n"/>
      <c r="R4" s="10" t="n"/>
    </row>
    <row r="5" ht="16" customHeight="1">
      <c r="A5" s="11" t="inlineStr">
        <is>
          <t>P&amp;IDs / drawings</t>
        </is>
      </c>
      <c r="B5" s="9" t="n"/>
      <c r="C5" s="10" t="n"/>
      <c r="D5" s="7">
        <f>IF($D$3="","",IFERROR(INDEX(Nodes!$D$5:$D$34,MATCH($D$3,Nodes!$C$5:$C$34,0))&amp;"",""))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0" t="n"/>
    </row>
    <row r="6" ht="30" customHeight="1">
      <c r="A6" s="11" t="inlineStr">
        <is>
          <t>Battery limits</t>
        </is>
      </c>
      <c r="B6" s="9" t="n"/>
      <c r="C6" s="10" t="n"/>
      <c r="D6" s="7">
        <f>IF($D$3="","",IFERROR(INDEX(Nodes!$E$5:$E$34,MATCH($D$3,Nodes!$C$5:$C$34,0))&amp;"",""))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10" t="n"/>
    </row>
    <row r="7" ht="30" customHeight="1">
      <c r="A7" s="11" t="inlineStr">
        <is>
          <t>Functional description / design intent</t>
        </is>
      </c>
      <c r="B7" s="9" t="n"/>
      <c r="C7" s="10" t="n"/>
      <c r="D7" s="7">
        <f>IF($D$3="","",IFERROR(INDEX(Nodes!$F$5:$F$34,MATCH($D$3,Nodes!$C$5:$C$34,0))&amp;"",""))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10" t="n"/>
    </row>
    <row r="8" ht="16" customHeight="1">
      <c r="A8" s="11" t="inlineStr">
        <is>
          <t>Design parameters</t>
        </is>
      </c>
      <c r="B8" s="9" t="n"/>
      <c r="C8" s="10" t="n"/>
      <c r="D8" s="7">
        <f>IF($D$3="","",IFERROR(INDEX(Nodes!$G$5:$G$34,MATCH($D$3,Nodes!$C$5:$C$34,0))&amp;"",""))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0" t="n"/>
    </row>
    <row r="9" ht="16" customHeight="1">
      <c r="A9" s="11" t="inlineStr">
        <is>
          <t>Operating parameters</t>
        </is>
      </c>
      <c r="B9" s="9" t="n"/>
      <c r="C9" s="10" t="n"/>
      <c r="D9" s="7">
        <f>IF($D$3="","",IFERROR(INDEX(Nodes!$H$5:$H$34,MATCH($D$3,Nodes!$C$5:$C$34,0))&amp;"",""))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0" t="n"/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9" t="n"/>
      <c r="C12" s="9" t="n"/>
      <c r="D12" s="10" t="n"/>
      <c r="E12" s="8" t="inlineStr">
        <is>
          <t>CAUSES &amp; CONSEQUENCES</t>
        </is>
      </c>
      <c r="F12" s="10" t="n"/>
      <c r="G12" s="8" t="inlineStr">
        <is>
          <t>RISK BEFORE SAFEGUARDS</t>
        </is>
      </c>
      <c r="H12" s="9" t="n"/>
      <c r="I12" s="9" t="n"/>
      <c r="J12" s="10" t="n"/>
      <c r="K12" s="8" t="inlineStr">
        <is>
          <t>SAFEGUARDS</t>
        </is>
      </c>
      <c r="L12" s="10" t="n"/>
      <c r="M12" s="8" t="inlineStr">
        <is>
          <t>RISK AFTER SAFEGUARDS</t>
        </is>
      </c>
      <c r="N12" s="9" t="n"/>
      <c r="O12" s="9" t="n"/>
      <c r="P12" s="10" t="n"/>
      <c r="Q12" s="8" t="inlineStr">
        <is>
          <t>RECOMMENDATIONS</t>
        </is>
      </c>
      <c r="R12" s="1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90" customHeight="1">
      <c r="A14" s="31">
        <f>IF(B14="","",COUNTIF(B$14:B14,"?*"))</f>
        <v/>
      </c>
      <c r="B14" s="5" t="inlineStr">
        <is>
          <t>Flow</t>
        </is>
      </c>
      <c r="C14" s="20" t="inlineStr">
        <is>
          <t>NO</t>
        </is>
      </c>
      <c r="D14" s="6">
        <f>IF(OR(B14="",C14=""),"",UPPER(LEFT(C14,1))&amp;LOWER(MID(C14,2,30))&amp;" "&amp;LOWER(LEFT(B14,1))&amp;MID(B14,2,200))</f>
        <v/>
      </c>
      <c r="E14" s="5" t="inlineStr">
        <is>
          <t>• Supplier pipeline trip / supplier ESD
• Spurious closure of ESDV-1001 (solenoid, power or air failure)
• Both filter-separators F-1002A/B blocked (black powder)</t>
        </is>
      </c>
      <c r="F14" s="5" t="inlineStr">
        <is>
          <t>Loss of gas to all users: reformer, reheat furnace, preheater and oxy-fuel burner flame-outs and trips; on uncontrolled restoration of supply, gas may enter burners that are not proven shut – accumulation and explosion on relight (see N06-01); production loss
[N01-01] Restoration after an interruption is the hazardous phase – see N06 and R-006.</t>
        </is>
      </c>
      <c r="G14" s="20" t="inlineStr">
        <is>
          <t>3 – Moderate</t>
        </is>
      </c>
      <c r="H14" s="20" t="inlineStr">
        <is>
          <t>3 – Possible</t>
        </is>
      </c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inlineStr">
        <is>
          <t>• PSLL-2006 / PSLL-4005 – Low-low gas pressure trips in the user burner management systems (reformer, reheat furnace, preheaters)  [IPL]
• F-1002A/B – Duty / standby filter-separators with LSH-1002 high-liquid alarm and PDIT-1002 differential-pressure alarm  [Non-IPL]
• Gas supply agreement quality specification; supplier notification of off-spec gas and supply interruptions  [Non-IPL]</t>
        </is>
      </c>
      <c r="L14" s="31">
        <f>IF(K14="","",(LEN(K14)-LEN(SUBSTITUTE(K14,"[IPL]","")))/5)</f>
        <v/>
      </c>
      <c r="M14" s="20" t="inlineStr">
        <is>
          <t>3 – Moderate</t>
        </is>
      </c>
      <c r="N14" s="20" t="inlineStr">
        <is>
          <t>2 – Unlikely</t>
        </is>
      </c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inlineStr">
        <is>
          <t>R-006 Agree a supply-interruption and restoration protocol with the gas supplier: users isolated before re-pressurisation, controlled restoration sequence, BMS re-start only after confirmed header pressure.</t>
        </is>
      </c>
      <c r="R14" s="5" t="inlineStr">
        <is>
          <t>Utilities manager</t>
        </is>
      </c>
      <c r="S14" s="32" t="n"/>
    </row>
    <row r="15" ht="90" customHeight="1">
      <c r="A15" s="31">
        <f>IF(B15="","",COUNTIF(B$14:B15,"?*"))</f>
        <v/>
      </c>
      <c r="B15" s="5" t="inlineStr">
        <is>
          <t>Pressure</t>
        </is>
      </c>
      <c r="C15" s="20" t="inlineStr">
        <is>
          <t>MORE</t>
        </is>
      </c>
      <c r="D15" s="6">
        <f>IF(OR(B15="",C15=""),"",UPPER(LEFT(C15,1))&amp;LOWER(MID(C15,2,30))&amp;" "&amp;LOWER(LEFT(B15,1))&amp;MID(B15,2,200))</f>
        <v/>
      </c>
      <c r="E15" s="5" t="inlineStr">
        <is>
          <t>• Failed-open pressure control valves (PCVs)
• Supplier pressure excursion above normal operating range
• Thermal expansion of trapped (blocked-in) liquid</t>
        </is>
      </c>
      <c r="F15" s="5" t="inlineStr">
        <is>
          <t>Overpressure of filter-separators / meter runs only if their design pressure were below the pipeline MAOP; blocked-in sections heated by the sun – flange leak, release of high-pressure gas (bow tie BT-GN-01)
[N01-02] GRMS designed for the pipeline MAOP (50 barg) – overpressure from the supplier not credible.</t>
        </is>
      </c>
      <c r="G15" s="20" t="inlineStr">
        <is>
          <t>5 – Catastrophic</t>
        </is>
      </c>
      <c r="H15" s="20" t="inlineStr">
        <is>
          <t>2 – Unlikely</t>
        </is>
      </c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inlineStr">
        <is>
          <t>• GRMS piping, filter-separators and meter runs designed for the pipeline MAOP (no overpressure from the supplier)  [IPL]
• PSV-1006A/B – Filter-separator fire-case / thermal relief valves  [IPL]
• PT-1005 – GRMS inlet pressure high alarm PAH-1005 with operator response  [Non-IPL]</t>
        </is>
      </c>
      <c r="L15" s="31">
        <f>IF(K15="","",(LEN(K15)-LEN(SUBSTITUTE(K15,"[IPL]","")))/5)</f>
        <v/>
      </c>
      <c r="M15" s="20" t="inlineStr">
        <is>
          <t>5 – Catastrophic</t>
        </is>
      </c>
      <c r="N15" s="20" t="inlineStr">
        <is>
          <t>1 – Rare</t>
        </is>
      </c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inlineStr"/>
      <c r="R15" s="5" t="inlineStr"/>
    </row>
    <row r="16" ht="90" customHeight="1">
      <c r="A16" s="31">
        <f>IF(B16="","",COUNTIF(B$14:B16,"?*"))</f>
        <v/>
      </c>
      <c r="B16" s="5" t="inlineStr">
        <is>
          <t>Flow</t>
        </is>
      </c>
      <c r="C16" s="20" t="inlineStr">
        <is>
          <t>AS WELL AS</t>
        </is>
      </c>
      <c r="D16" s="6">
        <f>IF(OR(B16="",C16=""),"",UPPER(LEFT(C16,1))&amp;LOWER(MID(C16,2,30))&amp;" "&amp;LOWER(LEFT(B16,1))&amp;MID(B16,2,200))</f>
        <v/>
      </c>
      <c r="E16" s="5" t="inlineStr">
        <is>
          <t>• Gas or air entrainment in liquid; liquid carry-over in gas
• Pigging debris and black powder from the supplier pipeline
• Condensate from the pipeline after cold weather / pigging</t>
        </is>
      </c>
      <c r="F16" s="5" t="inlineStr">
        <is>
          <t>Filter-separator overload; liquid / dust carry-over to meters and regulator pilots – active regulator may stick open (demand on overpressure protection, N02-02); erosion; liquid slugs cause flame instability at burners
[N01-03] Carry-over is one of the initiating causes in fault tree FT-GN-01 (active regulator fails open).</t>
        </is>
      </c>
      <c r="G16" s="20" t="inlineStr">
        <is>
          <t>4 – Major</t>
        </is>
      </c>
      <c r="H16" s="20" t="inlineStr">
        <is>
          <t>3 – Possible</t>
        </is>
      </c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inlineStr">
        <is>
          <t>• F-1002A/B – Duty / standby filter-separators with LSH-1002 high-liquid alarm and PDIT-1002 differential-pressure alarm  [Non-IPL]
• Operator rounds with portable gas detector; annual acoustic leak survey  [Non-IPL]</t>
        </is>
      </c>
      <c r="L16" s="31">
        <f>IF(K16="","",(LEN(K16)-LEN(SUBSTITUTE(K16,"[IPL]","")))/5)</f>
        <v/>
      </c>
      <c r="M16" s="20" t="inlineStr">
        <is>
          <t>4 – Major</t>
        </is>
      </c>
      <c r="N16" s="20" t="inlineStr">
        <is>
          <t>2 – Unlikely</t>
        </is>
      </c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inlineStr">
        <is>
          <t>R-016 Route the filter-separator drains to a closed drain vessel instead of an open drain; review the LSH-1002 alarm response.</t>
        </is>
      </c>
      <c r="R16" s="5" t="inlineStr">
        <is>
          <t>Process engineer</t>
        </is>
      </c>
    </row>
    <row r="17" ht="90" customHeight="1">
      <c r="A17" s="31">
        <f>IF(B17="","",COUNTIF(B$14:B17,"?*"))</f>
        <v/>
      </c>
      <c r="B17" s="5" t="inlineStr">
        <is>
          <t>Composition</t>
        </is>
      </c>
      <c r="C17" s="20" t="inlineStr">
        <is>
          <t>OTHER THAN</t>
        </is>
      </c>
      <c r="D17" s="6">
        <f>IF(OR(B17="",C17=""),"",UPPER(LEFT(C17,1))&amp;LOWER(MID(C17,2,30))&amp;" "&amp;LOWER(LEFT(B17,1))&amp;MID(B17,2,200))</f>
        <v/>
      </c>
      <c r="E17" s="5" t="inlineStr">
        <is>
          <t>• Wrong raw material delivered or unloaded
• H2S / higher hydrocarbons above the supply specification
• Wobbe index change (supplier gas source change)</t>
        </is>
      </c>
      <c r="F17" s="5" t="inlineStr">
        <is>
          <t>H2S poisons the DRI reformer catalyst and is toxic on release; Wobbe index change alters burner heat release – over-firing or flame instability in the reheat furnace and preheaters
[N01-04] Composition is also reviewed for the DRI plant in N04-04.</t>
        </is>
      </c>
      <c r="G17" s="20" t="inlineStr">
        <is>
          <t>3 – Moderate</t>
        </is>
      </c>
      <c r="H17" s="20" t="inlineStr">
        <is>
          <t>3 – Possible</t>
        </is>
      </c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inlineStr">
        <is>
          <t>• AT-1004 – Gas chromatograph – composition, Wobbe index and H2S monitoring with alarm  [Non-IPL]
• Gas supply agreement quality specification; supplier notification of off-spec gas and supply interruptions  [Non-IPL]</t>
        </is>
      </c>
      <c r="L17" s="31">
        <f>IF(K17="","",(LEN(K17)-LEN(SUBSTITUTE(K17,"[IPL]","")))/5)</f>
        <v/>
      </c>
      <c r="M17" s="20" t="inlineStr">
        <is>
          <t>3 – Moderate</t>
        </is>
      </c>
      <c r="N17" s="20" t="inlineStr">
        <is>
          <t>2 – Unlikely</t>
        </is>
      </c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inlineStr"/>
      <c r="R17" s="5" t="inlineStr"/>
    </row>
    <row r="18" ht="90" customHeight="1">
      <c r="A18" s="31">
        <f>IF(B18="","",COUNTIF(B$14:B18,"?*"))</f>
        <v/>
      </c>
      <c r="B18" s="5" t="inlineStr">
        <is>
          <t>Process gas (CO, H2 – BFG, COG, LD gas, reducing gas)</t>
        </is>
      </c>
      <c r="C18" s="20" t="inlineStr">
        <is>
          <t>LEAK OF</t>
        </is>
      </c>
      <c r="D18" s="6">
        <f>IF(OR(B18="",C18=""),"",UPPER(LEFT(C18,1))&amp;LOWER(MID(C18,2,30))&amp;" "&amp;LOWER(LEFT(B18,1))&amp;MID(B18,2,200))</f>
        <v/>
      </c>
      <c r="E18" s="5" t="inlineStr">
        <is>
          <t>• Flange, valve or seal leak; water-seal blown
• Small-bore fitting fatigue (meter-run vibration)
• Pig receiver closure opened or leaking under pressure</t>
        </is>
      </c>
      <c r="F18" s="5" t="inlineStr">
        <is>
          <t>High-pressure natural gas release fed from the pipeline inventory: jet fire if ignited immediately; flash fire or vapour cloud explosion if ignited later – potential multiple fatalities and loss of gas to the whole works (event tree ETA-GN-01)
[N01-05] Quantified: bow tie BT-GN-01 (top event = loss of containment of the HP / MP system), event tree ETA-GN-01 (initiating event = BT-GN-01 top), fault tree FT-GN-02 (ESD). Likelihood after safeguards from the calculated frequency 4.3E-6 /yr.</t>
        </is>
      </c>
      <c r="G18" s="20" t="inlineStr">
        <is>
          <t>5 – Catastrophic</t>
        </is>
      </c>
      <c r="H18" s="20" t="inlineStr">
        <is>
          <t>3 – Possible</t>
        </is>
      </c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inlineStr">
        <is>
          <t>• UCP-1000 – Gas detection GD-1110A/B/C (2oo3) and ESD isolation of the HP / MP system – ESDV-1001 and ESDV-1107 close (SIS UCP-1000)  [IPL]
• Ignition source control – hazardous area classification with Ex equipment, hot-work permit, vehicle control  [Non-IPL]
• PR-1001 – Pig receiver quick-opening closure with pressure-warning / locking device (key interlock with vent valve)  [IPL]
• Separation distances and fire-proofing of supports in the GRMS / PRS  [Non-IPL]
• Emergency response team / fire brigade; emergency response plan for gas releases and fires  [Non-IPL]</t>
        </is>
      </c>
      <c r="L18" s="31">
        <f>IF(K18="","",(LEN(K18)-LEN(SUBSTITUTE(K18,"[IPL]","")))/5)</f>
        <v/>
      </c>
      <c r="M18" s="20" t="inlineStr">
        <is>
          <t>5 – Catastrophic</t>
        </is>
      </c>
      <c r="N18" s="20" t="inlineStr">
        <is>
          <t>1 – Rare</t>
        </is>
      </c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inlineStr">
        <is>
          <t>R-001 Verify the HP / MP gas detection &amp; ESD function against the required risk reduction. Fault tree FT-GN-02 gives PFDavg 2.6E-2 (RRF 38); test the effect of six-monthly partial-stroke testing of ESDV-1001 / ESDV-1107 and quarterly detector bump tests (FMECA S01 / S08).
R-017 Verify the pig-receiver quick-opening closure safety device (pressure-warning / key interlock with the vent valve) and include it in the pigging procedure and its training.
R-021 Assess the vapour cloud explosion overpressure at the PRS / GRMS and verify the siting of the utilities control room (bow tie BT-GN-01 / event tree ETA-GN-01 VCE end state).</t>
        </is>
      </c>
      <c r="R18" s="5" t="inlineStr">
        <is>
          <t>Instrument engineer / Mechanical engineer / HSE / process safety</t>
        </is>
      </c>
    </row>
    <row r="19" ht="90" customHeight="1">
      <c r="A19" s="31">
        <f>IF(B19="","",COUNTIF(B$14:B19,"?*"))</f>
        <v/>
      </c>
      <c r="B19" s="5" t="inlineStr">
        <is>
          <t>Corrosion / erosion</t>
        </is>
      </c>
      <c r="C19" s="20" t="inlineStr">
        <is>
          <t>MORE</t>
        </is>
      </c>
      <c r="D19" s="6">
        <f>IF(OR(B19="",C19=""),"",UPPER(LEFT(C19,1))&amp;LOWER(MID(C19,2,30))&amp;" "&amp;LOWER(LEFT(B19,1))&amp;MID(B19,2,200))</f>
        <v/>
      </c>
      <c r="E19" s="5" t="inlineStr">
        <is>
          <t>• Cathodic protection arrangements inadequate
• Insulating joint IJ-1001 shorted (debris, bonding cable)
• Coating damage at road crossings</t>
        </is>
      </c>
      <c r="F19" s="5" t="inlineStr">
        <is>
          <t>Wall loss leading to a leak or rupture of the buried section – gas migrates through soil into trenches / buildings (bow tie BT-GN-01 threat 2)
[N01-06] FMECA S03 CP-1200; bow tie BT-GN-01 threat T2.</t>
        </is>
      </c>
      <c r="G19" s="20" t="inlineStr">
        <is>
          <t>5 – Catastrophic</t>
        </is>
      </c>
      <c r="H19" s="20" t="inlineStr">
        <is>
          <t>3 – Possible</t>
        </is>
      </c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inlineStr">
        <is>
          <t>• CP-1200 – Coating and impressed-current cathodic protection of buried sections; annual CP / DCVG survey  [Non-IPL]
• Piping inspection programme – thickness monitoring at supports, rack crossings and low points  [Non-IPL]</t>
        </is>
      </c>
      <c r="L19" s="31">
        <f>IF(K19="","",(LEN(K19)-LEN(SUBSTITUTE(K19,"[IPL]","")))/5)</f>
        <v/>
      </c>
      <c r="M19" s="20" t="inlineStr">
        <is>
          <t>5 – Catastrophic</t>
        </is>
      </c>
      <c r="N19" s="20" t="inlineStr">
        <is>
          <t>2 – Unlikely</t>
        </is>
      </c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inlineStr">
        <is>
          <t>R-008 Survey stray currents and induced voltages on gas pipework near the EAF / LF high-current systems; verify insulating joints and bonding; include in CP interference testing.</t>
        </is>
      </c>
      <c r="R19" s="5" t="inlineStr">
        <is>
          <t>Electrical engineer</t>
        </is>
      </c>
    </row>
    <row r="20" ht="90" customHeight="1">
      <c r="A20" s="31">
        <f>IF(B20="","",COUNTIF(B$14:B20,"?*"))</f>
        <v/>
      </c>
      <c r="B20" s="5" t="inlineStr">
        <is>
          <t>Maintenance</t>
        </is>
      </c>
      <c r="C20" s="20" t="inlineStr">
        <is>
          <t>INADEQUATE</t>
        </is>
      </c>
      <c r="D20" s="6">
        <f>IF(OR(B20="",C20=""),"",UPPER(LEFT(C20,1))&amp;LOWER(MID(C20,2,30))&amp;" "&amp;LOWER(LEFT(B20,1))&amp;MID(B20,2,200))</f>
        <v/>
      </c>
      <c r="E20" s="5" t="inlineStr">
        <is>
          <t>• Isolation, drainage, purging
• Pig receiver opened before full depressurisation
• Work permit system</t>
        </is>
      </c>
      <c r="F20" s="5" t="inlineStr">
        <is>
          <t>Pig receiver door blown open or gas release onto the operator; pyrophoric iron sulphide in pig debris ignites on exposure to air
[N01-07] Bow tie BT-GN-01 threat T5 (maintenance error).</t>
        </is>
      </c>
      <c r="G20" s="20" t="inlineStr">
        <is>
          <t>5 – Catastrophic</t>
        </is>
      </c>
      <c r="H20" s="20" t="inlineStr">
        <is>
          <t>3 – Possible</t>
        </is>
      </c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inlineStr">
        <is>
          <t>• PR-1001 – Pig receiver quick-opening closure with pressure-warning / locking device (key interlock with vent valve)  [IPL]
• Pigging procedure OP-GN-010: depressurise, N2 purge and gas test before opening the pig receiver  [Non-IPL]
• Permit-to-work with isolation verification (DBB / spades), gas-free test and fire watch  [Non-IPL]</t>
        </is>
      </c>
      <c r="L20" s="31">
        <f>IF(K20="","",(LEN(K20)-LEN(SUBSTITUTE(K20,"[IPL]","")))/5)</f>
        <v/>
      </c>
      <c r="M20" s="20" t="inlineStr">
        <is>
          <t>5 – Catastrophic</t>
        </is>
      </c>
      <c r="N20" s="20" t="inlineStr">
        <is>
          <t>1 – Rare</t>
        </is>
      </c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inlineStr">
        <is>
          <t>R-017 Verify the pig-receiver quick-opening closure safety device (pressure-warning / key interlock with the vent valve) and include it in the pigging procedure and its training.</t>
        </is>
      </c>
      <c r="R20" s="5" t="inlineStr">
        <is>
          <t>Mechanical engineer</t>
        </is>
      </c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AM163"/>
  <sheetViews>
    <sheetView workbookViewId="0">
      <pane xSplit="4" ySplit="13" topLeftCell="E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inlineStr">
        <is>
          <t>N02 – Gas heaters H-1101A/B and pressure reduction station PRS-1</t>
        </is>
      </c>
      <c r="E3" s="9" t="n"/>
      <c r="F3" s="9" t="n"/>
      <c r="G3" s="9" t="n"/>
      <c r="H3" s="9" t="n"/>
      <c r="I3" s="9" t="n"/>
      <c r="J3" s="10" t="n"/>
      <c r="K3" s="27" t="inlineStr">
        <is>
          <t>Session date</t>
        </is>
      </c>
      <c r="L3" s="14" t="n">
        <v>46307</v>
      </c>
      <c r="M3" s="10" t="n"/>
      <c r="N3" s="27" t="inlineStr">
        <is>
          <t>Revision</t>
        </is>
      </c>
      <c r="O3" s="5" t="inlineStr">
        <is>
          <t>A</t>
        </is>
      </c>
    </row>
    <row r="4" ht="16" customHeight="1">
      <c r="A4" s="11" t="inlineStr">
        <is>
          <t>Node title</t>
        </is>
      </c>
      <c r="B4" s="9" t="n"/>
      <c r="C4" s="10" t="n"/>
      <c r="D4" s="7">
        <f>IF($D$3="","",IFERROR(INDEX(Nodes!$B$5:$B$34,MATCH($D$3,Nodes!$C$5:$C$34,0))&amp;"",""))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9" t="n"/>
      <c r="P4" s="9" t="n"/>
      <c r="Q4" s="9" t="n"/>
      <c r="R4" s="10" t="n"/>
    </row>
    <row r="5" ht="16" customHeight="1">
      <c r="A5" s="11" t="inlineStr">
        <is>
          <t>P&amp;IDs / drawings</t>
        </is>
      </c>
      <c r="B5" s="9" t="n"/>
      <c r="C5" s="10" t="n"/>
      <c r="D5" s="7">
        <f>IF($D$3="","",IFERROR(INDEX(Nodes!$D$5:$D$34,MATCH($D$3,Nodes!$C$5:$C$34,0))&amp;"",""))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0" t="n"/>
    </row>
    <row r="6" ht="30" customHeight="1">
      <c r="A6" s="11" t="inlineStr">
        <is>
          <t>Battery limits</t>
        </is>
      </c>
      <c r="B6" s="9" t="n"/>
      <c r="C6" s="10" t="n"/>
      <c r="D6" s="7">
        <f>IF($D$3="","",IFERROR(INDEX(Nodes!$E$5:$E$34,MATCH($D$3,Nodes!$C$5:$C$34,0))&amp;"",""))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10" t="n"/>
    </row>
    <row r="7" ht="30" customHeight="1">
      <c r="A7" s="11" t="inlineStr">
        <is>
          <t>Functional description / design intent</t>
        </is>
      </c>
      <c r="B7" s="9" t="n"/>
      <c r="C7" s="10" t="n"/>
      <c r="D7" s="7">
        <f>IF($D$3="","",IFERROR(INDEX(Nodes!$F$5:$F$34,MATCH($D$3,Nodes!$C$5:$C$34,0))&amp;"",""))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10" t="n"/>
    </row>
    <row r="8" ht="16" customHeight="1">
      <c r="A8" s="11" t="inlineStr">
        <is>
          <t>Design parameters</t>
        </is>
      </c>
      <c r="B8" s="9" t="n"/>
      <c r="C8" s="10" t="n"/>
      <c r="D8" s="7">
        <f>IF($D$3="","",IFERROR(INDEX(Nodes!$G$5:$G$34,MATCH($D$3,Nodes!$C$5:$C$34,0))&amp;"",""))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0" t="n"/>
    </row>
    <row r="9" ht="16" customHeight="1">
      <c r="A9" s="11" t="inlineStr">
        <is>
          <t>Operating parameters</t>
        </is>
      </c>
      <c r="B9" s="9" t="n"/>
      <c r="C9" s="10" t="n"/>
      <c r="D9" s="7">
        <f>IF($D$3="","",IFERROR(INDEX(Nodes!$H$5:$H$34,MATCH($D$3,Nodes!$C$5:$C$34,0))&amp;"",""))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0" t="n"/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9" t="n"/>
      <c r="C12" s="9" t="n"/>
      <c r="D12" s="10" t="n"/>
      <c r="E12" s="8" t="inlineStr">
        <is>
          <t>CAUSES &amp; CONSEQUENCES</t>
        </is>
      </c>
      <c r="F12" s="10" t="n"/>
      <c r="G12" s="8" t="inlineStr">
        <is>
          <t>RISK BEFORE SAFEGUARDS</t>
        </is>
      </c>
      <c r="H12" s="9" t="n"/>
      <c r="I12" s="9" t="n"/>
      <c r="J12" s="10" t="n"/>
      <c r="K12" s="8" t="inlineStr">
        <is>
          <t>SAFEGUARDS</t>
        </is>
      </c>
      <c r="L12" s="10" t="n"/>
      <c r="M12" s="8" t="inlineStr">
        <is>
          <t>RISK AFTER SAFEGUARDS</t>
        </is>
      </c>
      <c r="N12" s="9" t="n"/>
      <c r="O12" s="9" t="n"/>
      <c r="P12" s="10" t="n"/>
      <c r="Q12" s="8" t="inlineStr">
        <is>
          <t>RECOMMENDATIONS</t>
        </is>
      </c>
      <c r="R12" s="1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90" customHeight="1">
      <c r="A14" s="31">
        <f>IF(B14="","",COUNTIF(B$14:B14,"?*"))</f>
        <v/>
      </c>
      <c r="B14" s="5" t="inlineStr">
        <is>
          <t>Temperature</t>
        </is>
      </c>
      <c r="C14" s="20" t="inlineStr">
        <is>
          <t>LESS</t>
        </is>
      </c>
      <c r="D14" s="6">
        <f>IF(OR(B14="",C14=""),"",UPPER(LEFT(C14,1))&amp;LOWER(MID(C14,2,30))&amp;" "&amp;LOWER(LEFT(B14,1))&amp;MID(B14,2,200))</f>
        <v/>
      </c>
      <c r="E14" s="5" t="inlineStr">
        <is>
          <t>• Heater H-1101A trip (flame failure, low bath level)
• Heater undersized at peak flow / TIC-1101 fault
• Reducing pressure (auto-refrigeration of LPG, CO2, ammonia)</t>
        </is>
      </c>
      <c r="F14" s="5" t="inlineStr">
        <is>
          <t>Joule–Thomson cooling (~0.5 °C per bar, ~17 °C for 42 → 7 barg) – outlet below 0 °C: hydrate / ice in regulator pilots (active regulator may fail open – demand on N02-02 protection); piping below its MDMT – brittle fracture
[N02-01] Ice in the pilot is an initiating cause in fault tree FT-GN-01 (BE-001).</t>
        </is>
      </c>
      <c r="G14" s="20" t="inlineStr">
        <is>
          <t>4 – Major</t>
        </is>
      </c>
      <c r="H14" s="20" t="inlineStr">
        <is>
          <t>3 – Possible</t>
        </is>
      </c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inlineStr">
        <is>
          <t>• H-1101A/B – Duty / standby water-bath gas heaters with outlet temperature control TIC-1101  [Non-IPL]
• TT-1101 – Low gas outlet temperature alarm TSL-1101 (+5 °C) with operator response  [Non-IPL]
• H-1101A/B – Heater burner management: flame failure, low bath level LSLL and high bath temperature TSHH trips  [Non-IPL]</t>
        </is>
      </c>
      <c r="L14" s="31">
        <f>IF(K14="","",(LEN(K14)-LEN(SUBSTITUTE(K14,"[IPL]","")))/5)</f>
        <v/>
      </c>
      <c r="M14" s="20" t="inlineStr">
        <is>
          <t>4 – Major</t>
        </is>
      </c>
      <c r="N14" s="20" t="inlineStr">
        <is>
          <t>2 – Unlikely</t>
        </is>
      </c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inlineStr">
        <is>
          <t>R-004 Confirm the minimum PRS outlet gas temperature against the MDMT of the downstream piping; add automatic change-over to the standby heater on TSL-1101 and an alarm on heater trip.</t>
        </is>
      </c>
      <c r="R14" s="5" t="inlineStr">
        <is>
          <t>Process engineer</t>
        </is>
      </c>
    </row>
    <row r="15" ht="90" customHeight="1">
      <c r="A15" s="31">
        <f>IF(B15="","",COUNTIF(B$14:B15,"?*"))</f>
        <v/>
      </c>
      <c r="B15" s="5" t="inlineStr">
        <is>
          <t>Pressure</t>
        </is>
      </c>
      <c r="C15" s="20" t="inlineStr">
        <is>
          <t>MORE</t>
        </is>
      </c>
      <c r="D15" s="6">
        <f>IF(OR(B15="",C15=""),"",UPPER(LEFT(C15,1))&amp;LOWER(MID(C15,2,30))&amp;" "&amp;LOWER(LEFT(B15,1))&amp;MID(B15,2,200))</f>
        <v/>
      </c>
      <c r="E15" s="5" t="inlineStr">
        <is>
          <t>• Failed-open pressure control valves (PCVs)
• Regulator sensing line blocked or isolated
• Ice / debris in the active regulator pilot</t>
        </is>
      </c>
      <c r="F15" s="5" t="inlineStr">
        <is>
          <t>Overpressure of the whole MP network (inlet up to 42 barg vs 10 barg design): flange leaks and possible rupture across the site, overpressure of district stations and burner trains – fires / explosions at several locations
[N02-02] Quantified: fault tree FT-GN-01 – top = MP header overpressure 3.6E-5 /yr; gate G-002 (monitor + slam-shut) PFDavg 2.0E-4; bow tie BT-GN-01 threat T1. PSV-1105 is a token relief and is not credited. Likelihood after safeguards from the calculated frequency 3.6E-5 /yr.</t>
        </is>
      </c>
      <c r="G15" s="20" t="inlineStr">
        <is>
          <t>5 – Catastrophic</t>
        </is>
      </c>
      <c r="H15" s="20" t="inlineStr">
        <is>
          <t>4 – Likely</t>
        </is>
      </c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inlineStr">
        <is>
          <t>• PCV-1103A/B – Monitor regulator takes over on active-regulator failure (set 7.5 barg)  [IPL]
• SSV-1102A/B – Slam-shut valve with over-pressure shut-off (OPSO 8.5 barg) on each regulator run  [IPL]
• PSV-1105 – Token relief valve (9.0 barg) to VS-1301 – lock-up creep / small leaks only, not sized for full regulator failure  [Non-IPL]
• PT-1106 – PRS outlet high-pressure alarm PAH-1106 (7.8 barg) with operator response  [Non-IPL]
• Regulator-run bypass valves car-sealed / locked closed (CSC register)  [Non-IPL]</t>
        </is>
      </c>
      <c r="L15" s="31">
        <f>IF(K15="","",(LEN(K15)-LEN(SUBSTITUTE(K15,"[IPL]","")))/5)</f>
        <v/>
      </c>
      <c r="M15" s="20" t="inlineStr">
        <is>
          <t>5 – Catastrophic</t>
        </is>
      </c>
      <c r="N15" s="20" t="inlineStr">
        <is>
          <t>1 – Rare</t>
        </is>
      </c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inlineStr">
        <is>
          <t>R-002 Confirm and record PRS-1 set-point staggering (active 7.0 / monitor 7.5 / SSV OPSO 8.5 / PSV-1105 9.0 barg; MP design 10 barg) in the PRS data sheet; add the regulator-run bypass valves to the car-seal (CSC) register.
R-003 Introduce an annual lock-up / take-over test of monitor regulators PCV-1103A/B and a six-monthly trip test of slam-shut valves SSV-1102A/B – these intervals are the basis of fault tree FT-GN-01 (protection PFDavg 2.0E-4).</t>
        </is>
      </c>
      <c r="R15" s="5" t="inlineStr">
        <is>
          <t>Process engineer / Instrument engineer</t>
        </is>
      </c>
    </row>
    <row r="16" ht="90" customHeight="1">
      <c r="A16" s="31">
        <f>IF(B16="","",COUNTIF(B$14:B16,"?*"))</f>
        <v/>
      </c>
      <c r="B16" s="5" t="inlineStr">
        <is>
          <t>Pressure</t>
        </is>
      </c>
      <c r="C16" s="20" t="inlineStr">
        <is>
          <t>LESS</t>
        </is>
      </c>
      <c r="D16" s="6">
        <f>IF(OR(B16="",C16=""),"",UPPER(LEFT(C16,1))&amp;LOWER(MID(C16,2,30))&amp;" "&amp;LOWER(LEFT(B16,1))&amp;MID(B16,2,200))</f>
        <v/>
      </c>
      <c r="E16" s="5" t="inlineStr">
        <is>
          <t>• Slam-shut SSV-1102A spurious trip
• Active and monitor regulators fail closed / filter blocked
• Hydrate in regulator pilot</t>
        </is>
      </c>
      <c r="F16" s="5" t="inlineStr">
        <is>
          <t>Low header pressure: flame-out at reheat furnace, preheaters and reformer burners; danger on relight if the burner shut-off is not proven (see N06)
[N02-03] Run B takes over automatically if run A closes.</t>
        </is>
      </c>
      <c r="G16" s="20" t="inlineStr">
        <is>
          <t>3 – Moderate</t>
        </is>
      </c>
      <c r="H16" s="20" t="inlineStr">
        <is>
          <t>3 – Possible</t>
        </is>
      </c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inlineStr">
        <is>
          <t>• Standby regulator run B on automatic (set 0.3 bar lower) – takes over if run A closes  [Non-IPL]
• PSLL-2006 / PSLL-4005 – Low-low gas pressure trips in the user burner management systems (reformer, reheat furnace, preheaters)  [IPL]
• PT-1210 – MP header low-pressure alarm PAL-1210 (leak / supply-loss indication)  [Non-IPL]</t>
        </is>
      </c>
      <c r="L16" s="31">
        <f>IF(K16="","",(LEN(K16)-LEN(SUBSTITUTE(K16,"[IPL]","")))/5)</f>
        <v/>
      </c>
      <c r="M16" s="20" t="inlineStr">
        <is>
          <t>3 – Moderate</t>
        </is>
      </c>
      <c r="N16" s="20" t="inlineStr">
        <is>
          <t>2 – Unlikely</t>
        </is>
      </c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inlineStr">
        <is>
          <t>R-006 Agree a supply-interruption and restoration protocol with the gas supplier: users isolated before re-pressurisation, controlled restoration sequence, BMS re-start only after confirmed header pressure.</t>
        </is>
      </c>
      <c r="R16" s="5" t="inlineStr">
        <is>
          <t>Utilities manager</t>
        </is>
      </c>
    </row>
    <row r="17" ht="90" customHeight="1">
      <c r="A17" s="31">
        <f>IF(B17="","",COUNTIF(B$14:B17,"?*"))</f>
        <v/>
      </c>
      <c r="B17" s="5" t="inlineStr">
        <is>
          <t>Flow</t>
        </is>
      </c>
      <c r="C17" s="20" t="inlineStr">
        <is>
          <t>MORE</t>
        </is>
      </c>
      <c r="D17" s="6">
        <f>IF(OR(B17="",C17=""),"",UPPER(LEFT(C17,1))&amp;LOWER(MID(C17,2,30))&amp;" "&amp;LOWER(LEFT(B17,1))&amp;MID(B17,2,200))</f>
        <v/>
      </c>
      <c r="E17" s="5" t="inlineStr">
        <is>
          <t>• Control faults – control valve fails open, bypass left open, wrong set point
• All users at maximum firing during DRI module start-up</t>
        </is>
      </c>
      <c r="F17" s="5" t="inlineStr">
        <is>
          <t>Regulators fully open, outlet pressure sags, extra Joule–Thomson cooling, high velocity – noise, erosion and vibration of regulator runs
[N02-04] Operability issue – capacity check in the design basis.</t>
        </is>
      </c>
      <c r="G17" s="20" t="inlineStr">
        <is>
          <t>2 – Minor</t>
        </is>
      </c>
      <c r="H17" s="20" t="inlineStr">
        <is>
          <t>3 – Possible</t>
        </is>
      </c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inlineStr">
        <is>
          <t>• Standby regulator run B on automatic (set 0.3 bar lower) – takes over if run A closes  [Non-IPL]
• PT-1210 – MP header low-pressure alarm PAL-1210 (leak / supply-loss indication)  [Non-IPL]</t>
        </is>
      </c>
      <c r="L17" s="31">
        <f>IF(K17="","",(LEN(K17)-LEN(SUBSTITUTE(K17,"[IPL]","")))/5)</f>
        <v/>
      </c>
      <c r="M17" s="20" t="inlineStr">
        <is>
          <t>2 – Minor</t>
        </is>
      </c>
      <c r="N17" s="20" t="inlineStr">
        <is>
          <t>2 – Unlikely</t>
        </is>
      </c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inlineStr"/>
      <c r="R17" s="5" t="inlineStr"/>
    </row>
    <row r="18" ht="90" customHeight="1">
      <c r="A18" s="31">
        <f>IF(B18="","",COUNTIF(B$14:B18,"?*"))</f>
        <v/>
      </c>
      <c r="B18" s="5" t="inlineStr">
        <is>
          <t>Process gas (CO, H2 – BFG, COG, LD gas, reducing gas)</t>
        </is>
      </c>
      <c r="C18" s="20" t="inlineStr">
        <is>
          <t>LEAK OF</t>
        </is>
      </c>
      <c r="D18" s="6">
        <f>IF(OR(B18="",C18=""),"",UPPER(LEFT(C18,1))&amp;LOWER(MID(C18,2,30))&amp;" "&amp;LOWER(LEFT(B18,1))&amp;MID(B18,2,200))</f>
        <v/>
      </c>
      <c r="E18" s="5" t="inlineStr">
        <is>
          <t>• Flange, valve or seal leak; water-seal blown
• Regulator diaphragm rupture venting through the pilot vent
• Gas detection inoperative or poorly located</t>
        </is>
      </c>
      <c r="F18" s="5" t="inlineStr">
        <is>
          <t>Gas accumulates in the partly enclosed shelter – confined explosion; jet fire on the regulator runs (event tree ETA-GN-01)
[N02-05] Bow tie BT-GN-01 threat T6; event tree ETA-GN-01. Likelihood after safeguards from the calculated frequency 4.3E-6 /yr.</t>
        </is>
      </c>
      <c r="G18" s="20" t="inlineStr">
        <is>
          <t>5 – Catastrophic</t>
        </is>
      </c>
      <c r="H18" s="20" t="inlineStr">
        <is>
          <t>3 – Possible</t>
        </is>
      </c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inlineStr">
        <is>
          <t>• VS-1301 – Regulator pilot / diaphragm vents and PSV discharges piped to vent stack VS-1301 outside the PRS shelter  [Non-IPL]
• PRS shelter natural ventilation (louvres at high and low level)  [Non-IPL]
• UCP-1000 – Gas detection GD-1110A/B/C (2oo3) and ESD isolation of the HP / MP system – ESDV-1001 and ESDV-1107 close (SIS UCP-1000)  [IPL]
• Ignition source control – hazardous area classification with Ex equipment, hot-work permit, vehicle control  [Non-IPL]</t>
        </is>
      </c>
      <c r="L18" s="31">
        <f>IF(K18="","",(LEN(K18)-LEN(SUBSTITUTE(K18,"[IPL]","")))/5)</f>
        <v/>
      </c>
      <c r="M18" s="20" t="inlineStr">
        <is>
          <t>5 – Catastrophic</t>
        </is>
      </c>
      <c r="N18" s="20" t="inlineStr">
        <is>
          <t>1 – Rare</t>
        </is>
      </c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inlineStr">
        <is>
          <t>R-001 Verify the HP / MP gas detection &amp; ESD function against the required risk reduction. Fault tree FT-GN-02 gives PFDavg 2.6E-2 (RRF 38); test the effect of six-monthly partial-stroke testing of ESDV-1001 / ESDV-1107 and quarterly detector bump tests (FMECA S01 / S08).
R-005 Route all regulator pilot / diaphragm vents and the PSV-1105 discharge to vent stack VS-1301 outside the PRS shelter; confirm by dispersion check that the vent is clear of heater flues and platforms.</t>
        </is>
      </c>
      <c r="R18" s="5" t="inlineStr">
        <is>
          <t>Instrument engineer / Process engineer</t>
        </is>
      </c>
    </row>
    <row r="19" ht="90" customHeight="1">
      <c r="A19" s="31">
        <f>IF(B19="","",COUNTIF(B$14:B19,"?*"))</f>
        <v/>
      </c>
      <c r="B19" s="5" t="inlineStr">
        <is>
          <t>Temperature</t>
        </is>
      </c>
      <c r="C19" s="20" t="inlineStr">
        <is>
          <t>MORE</t>
        </is>
      </c>
      <c r="D19" s="6">
        <f>IF(OR(B19="",C19=""),"",UPPER(LEFT(C19,1))&amp;LOWER(MID(C19,2,30))&amp;" "&amp;LOWER(LEFT(B19,1))&amp;MID(B19,2,200))</f>
        <v/>
      </c>
      <c r="E19" s="5" t="inlineStr">
        <is>
          <t>• Defective control (TIC fault, heater fails on)
• Low bath level (evaporation, leak)
• Gas coil leak into the water bath</t>
        </is>
      </c>
      <c r="F19" s="5" t="inlineStr">
        <is>
          <t>Fire-tube overheating and failure – heater fire; a gas-coil leak vents gas through the bath vent next to the firebox – fire / explosion at the heater
[N02-06] FMECA S02 H-1101A.</t>
        </is>
      </c>
      <c r="G19" s="20" t="inlineStr">
        <is>
          <t>4 – Major</t>
        </is>
      </c>
      <c r="H19" s="20" t="inlineStr">
        <is>
          <t>3 – Possible</t>
        </is>
      </c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inlineStr">
        <is>
          <t>• H-1101A/B – Heater burner management: flame failure, low bath level LSLL and high bath temperature TSHH trips  [IPL]
• Operator rounds with portable gas detector; annual acoustic leak survey  [Non-IPL]</t>
        </is>
      </c>
      <c r="L19" s="31">
        <f>IF(K19="","",(LEN(K19)-LEN(SUBSTITUTE(K19,"[IPL]","")))/5)</f>
        <v/>
      </c>
      <c r="M19" s="20" t="inlineStr">
        <is>
          <t>4 – Major</t>
        </is>
      </c>
      <c r="N19" s="20" t="inlineStr">
        <is>
          <t>2 – Unlikely</t>
        </is>
      </c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inlineStr">
        <is>
          <t>R-004 Confirm the minimum PRS outlet gas temperature against the MDMT of the downstream piping; add automatic change-over to the standby heater on TSL-1101 and an alarm on heater trip.</t>
        </is>
      </c>
      <c r="R19" s="5" t="inlineStr">
        <is>
          <t>Process engineer</t>
        </is>
      </c>
    </row>
    <row r="20" ht="90" customHeight="1">
      <c r="A20" s="31">
        <f>IF(B20="","",COUNTIF(B$14:B20,"?*"))</f>
        <v/>
      </c>
      <c r="B20" s="5" t="inlineStr">
        <is>
          <t>Relief</t>
        </is>
      </c>
      <c r="C20" s="20" t="inlineStr">
        <is>
          <t>INADEQUATE</t>
        </is>
      </c>
      <c r="D20" s="6">
        <f>IF(OR(B20="",C20=""),"",UPPER(LEFT(C20,1))&amp;LOWER(MID(C20,2,30))&amp;" "&amp;LOWER(LEFT(B20,1))&amp;MID(B20,2,200))</f>
        <v/>
      </c>
      <c r="E20" s="5" t="inlineStr">
        <is>
          <t>• Relief philosophy not defined for all scenarios (fire, blocked outlet, runaway, tube rupture)
• Relief valve discharge location unsafe (to work areas, ignition sources)</t>
        </is>
      </c>
      <c r="F20" s="5" t="inlineStr">
        <is>
          <t>PSV-1105 is a token relief – full-flow regulator failure relies on the monitor regulator and slam-shut; vent discharge near the heaters could ignite
[N02-07] Accepted design practice for gas pressure regulating stations: two independent overpressure protections instead of full-flow relief.</t>
        </is>
      </c>
      <c r="G20" s="20" t="inlineStr">
        <is>
          <t>5 – Catastrophic</t>
        </is>
      </c>
      <c r="H20" s="20" t="inlineStr">
        <is>
          <t>2 – Unlikely</t>
        </is>
      </c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inlineStr">
        <is>
          <t>• PCV-1103A/B – Monitor regulator takes over on active-regulator failure (set 7.5 barg)  [IPL]
• SSV-1102A/B – Slam-shut valve with over-pressure shut-off (OPSO 8.5 barg) on each regulator run  [IPL]
• VS-1301 – Vent stack VS-1301 3 m above the nearest platform, away from heater flues; N2 snuffing  [Non-IPL]</t>
        </is>
      </c>
      <c r="L20" s="31">
        <f>IF(K20="","",(LEN(K20)-LEN(SUBSTITUTE(K20,"[IPL]","")))/5)</f>
        <v/>
      </c>
      <c r="M20" s="20" t="inlineStr">
        <is>
          <t>5 – Catastrophic</t>
        </is>
      </c>
      <c r="N20" s="20" t="inlineStr">
        <is>
          <t>1 – Rare</t>
        </is>
      </c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inlineStr">
        <is>
          <t>R-002 Confirm and record PRS-1 set-point staggering (active 7.0 / monitor 7.5 / SSV OPSO 8.5 / PSV-1105 9.0 barg; MP design 10 barg) in the PRS data sheet; add the regulator-run bypass valves to the car-seal (CSC) register.
R-005 Route all regulator pilot / diaphragm vents and the PSV-1105 discharge to vent stack VS-1301 outside the PRS shelter; confirm by dispersion check that the vent is clear of heater flues and platforms.</t>
        </is>
      </c>
      <c r="R20" s="5" t="inlineStr">
        <is>
          <t>Process engineer</t>
        </is>
      </c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8.xml><?xml version="1.0" encoding="utf-8"?>
<worksheet xmlns="http://schemas.openxmlformats.org/spreadsheetml/2006/main">
  <sheetPr codeName="Sheet8">
    <outlinePr summaryBelow="1" summaryRight="1"/>
    <pageSetUpPr fitToPage="1"/>
  </sheetPr>
  <dimension ref="A1:AM163"/>
  <sheetViews>
    <sheetView workbookViewId="0">
      <pane xSplit="4" ySplit="13" topLeftCell="E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inlineStr">
        <is>
          <t>N03 – MP ring main (7 barg) and pipe racks</t>
        </is>
      </c>
      <c r="E3" s="9" t="n"/>
      <c r="F3" s="9" t="n"/>
      <c r="G3" s="9" t="n"/>
      <c r="H3" s="9" t="n"/>
      <c r="I3" s="9" t="n"/>
      <c r="J3" s="10" t="n"/>
      <c r="K3" s="27" t="inlineStr">
        <is>
          <t>Session date</t>
        </is>
      </c>
      <c r="L3" s="14" t="n">
        <v>46307</v>
      </c>
      <c r="M3" s="10" t="n"/>
      <c r="N3" s="27" t="inlineStr">
        <is>
          <t>Revision</t>
        </is>
      </c>
      <c r="O3" s="5" t="inlineStr">
        <is>
          <t>A</t>
        </is>
      </c>
    </row>
    <row r="4" ht="16" customHeight="1">
      <c r="A4" s="11" t="inlineStr">
        <is>
          <t>Node title</t>
        </is>
      </c>
      <c r="B4" s="9" t="n"/>
      <c r="C4" s="10" t="n"/>
      <c r="D4" s="7">
        <f>IF($D$3="","",IFERROR(INDEX(Nodes!$B$5:$B$34,MATCH($D$3,Nodes!$C$5:$C$34,0))&amp;"",""))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9" t="n"/>
      <c r="P4" s="9" t="n"/>
      <c r="Q4" s="9" t="n"/>
      <c r="R4" s="10" t="n"/>
    </row>
    <row r="5" ht="16" customHeight="1">
      <c r="A5" s="11" t="inlineStr">
        <is>
          <t>P&amp;IDs / drawings</t>
        </is>
      </c>
      <c r="B5" s="9" t="n"/>
      <c r="C5" s="10" t="n"/>
      <c r="D5" s="7">
        <f>IF($D$3="","",IFERROR(INDEX(Nodes!$D$5:$D$34,MATCH($D$3,Nodes!$C$5:$C$34,0))&amp;"",""))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0" t="n"/>
    </row>
    <row r="6" ht="30" customHeight="1">
      <c r="A6" s="11" t="inlineStr">
        <is>
          <t>Battery limits</t>
        </is>
      </c>
      <c r="B6" s="9" t="n"/>
      <c r="C6" s="10" t="n"/>
      <c r="D6" s="7">
        <f>IF($D$3="","",IFERROR(INDEX(Nodes!$E$5:$E$34,MATCH($D$3,Nodes!$C$5:$C$34,0))&amp;"",""))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10" t="n"/>
    </row>
    <row r="7" ht="30" customHeight="1">
      <c r="A7" s="11" t="inlineStr">
        <is>
          <t>Functional description / design intent</t>
        </is>
      </c>
      <c r="B7" s="9" t="n"/>
      <c r="C7" s="10" t="n"/>
      <c r="D7" s="7">
        <f>IF($D$3="","",IFERROR(INDEX(Nodes!$F$5:$F$34,MATCH($D$3,Nodes!$C$5:$C$34,0))&amp;"",""))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10" t="n"/>
    </row>
    <row r="8" ht="16" customHeight="1">
      <c r="A8" s="11" t="inlineStr">
        <is>
          <t>Design parameters</t>
        </is>
      </c>
      <c r="B8" s="9" t="n"/>
      <c r="C8" s="10" t="n"/>
      <c r="D8" s="7">
        <f>IF($D$3="","",IFERROR(INDEX(Nodes!$G$5:$G$34,MATCH($D$3,Nodes!$C$5:$C$34,0))&amp;"",""))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0" t="n"/>
    </row>
    <row r="9" ht="16" customHeight="1">
      <c r="A9" s="11" t="inlineStr">
        <is>
          <t>Operating parameters</t>
        </is>
      </c>
      <c r="B9" s="9" t="n"/>
      <c r="C9" s="10" t="n"/>
      <c r="D9" s="7">
        <f>IF($D$3="","",IFERROR(INDEX(Nodes!$H$5:$H$34,MATCH($D$3,Nodes!$C$5:$C$34,0))&amp;"",""))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0" t="n"/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9" t="n"/>
      <c r="C12" s="9" t="n"/>
      <c r="D12" s="10" t="n"/>
      <c r="E12" s="8" t="inlineStr">
        <is>
          <t>CAUSES &amp; CONSEQUENCES</t>
        </is>
      </c>
      <c r="F12" s="10" t="n"/>
      <c r="G12" s="8" t="inlineStr">
        <is>
          <t>RISK BEFORE SAFEGUARDS</t>
        </is>
      </c>
      <c r="H12" s="9" t="n"/>
      <c r="I12" s="9" t="n"/>
      <c r="J12" s="10" t="n"/>
      <c r="K12" s="8" t="inlineStr">
        <is>
          <t>SAFEGUARDS</t>
        </is>
      </c>
      <c r="L12" s="10" t="n"/>
      <c r="M12" s="8" t="inlineStr">
        <is>
          <t>RISK AFTER SAFEGUARDS</t>
        </is>
      </c>
      <c r="N12" s="9" t="n"/>
      <c r="O12" s="9" t="n"/>
      <c r="P12" s="10" t="n"/>
      <c r="Q12" s="8" t="inlineStr">
        <is>
          <t>RECOMMENDATIONS</t>
        </is>
      </c>
      <c r="R12" s="1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105" customHeight="1">
      <c r="A14" s="31">
        <f>IF(B14="","",COUNTIF(B$14:B14,"?*"))</f>
        <v/>
      </c>
      <c r="B14" s="5" t="inlineStr">
        <is>
          <t>Process gas (CO, H2 – BFG, COG, LD gas, reducing gas)</t>
        </is>
      </c>
      <c r="C14" s="20" t="inlineStr">
        <is>
          <t>LEAK OF</t>
        </is>
      </c>
      <c r="D14" s="6">
        <f>IF(OR(B14="",C14=""),"",UPPER(LEFT(C14,1))&amp;LOWER(MID(C14,2,30))&amp;" "&amp;LOWER(LEFT(B14,1))&amp;MID(B14,2,200))</f>
        <v/>
      </c>
      <c r="E14" s="5" t="inlineStr">
        <is>
          <t>• Flange, valve or seal leak; water-seal blown
• Mechanical impact by mobile cranes / vehicles at rack crossings
• External corrosion of buried crossings or at pipe supports
• Third-party excavation</t>
        </is>
      </c>
      <c r="F14" s="5" t="inlineStr">
        <is>
          <t>Release in congested plant areas (melt shop, rolling mill): jet fire or vapour cloud explosion; gas migrating into cable trenches and building HVAC intakes – explosion inside buildings
[N03-01] Bow tie BT-GN-01 threats T2 (corrosion), T3 (impact), T4 (flange / fitting failure).</t>
        </is>
      </c>
      <c r="G14" s="20" t="inlineStr">
        <is>
          <t>5 – Catastrophic</t>
        </is>
      </c>
      <c r="H14" s="20" t="inlineStr">
        <is>
          <t>3 – Possible</t>
        </is>
      </c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inlineStr">
        <is>
          <t>• CP-1200 – Coating and impressed-current cathodic protection of buried sections; annual CP / DCVG survey  [Non-IPL]
• Crash barriers and height gantries at pipe-rack road crossings; lift plans for cranes near racks  [Non-IPL]
• Ground-disturbance / excavation permit with buried-services drawing  [Non-IPL]
• PT-1210 – MP header low-pressure alarm PAL-1210 (leak / supply-loss indication)  [Non-IPL]
• XV-1201…1204 – Remote-operated sectionalising valves on the MP ring main  [Non-IPL]
• Ignition source control – hazardous area classification with Ex equipment, hot-work permit, vehicle control  [Non-IPL]</t>
        </is>
      </c>
      <c r="L14" s="31">
        <f>IF(K14="","",(LEN(K14)-LEN(SUBSTITUTE(K14,"[IPL]","")))/5)</f>
        <v/>
      </c>
      <c r="M14" s="20" t="inlineStr">
        <is>
          <t>5 – Catastrophic</t>
        </is>
      </c>
      <c r="N14" s="20" t="inlineStr">
        <is>
          <t>2 – Unlikely</t>
        </is>
      </c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inlineStr">
        <is>
          <t>R-007 Install gas detection at the HVAC intakes and cable-trench entries of buildings near the MP header (substations, control rooms) with HVAC trip.
R-009 Include buried gas-line routes in the ground-disturbance permit; mark crossings on site; review crash protection and height gantries at pipe-rack road crossings.</t>
        </is>
      </c>
      <c r="R14" s="5" t="inlineStr">
        <is>
          <t>HSE / process safety / Civil engineer</t>
        </is>
      </c>
    </row>
    <row r="15" ht="90" customHeight="1">
      <c r="A15" s="31">
        <f>IF(B15="","",COUNTIF(B$14:B15,"?*"))</f>
        <v/>
      </c>
      <c r="B15" s="5" t="inlineStr">
        <is>
          <t>Pressure</t>
        </is>
      </c>
      <c r="C15" s="20" t="inlineStr">
        <is>
          <t>MORE</t>
        </is>
      </c>
      <c r="D15" s="6">
        <f>IF(OR(B15="",C15=""),"",UPPER(LEFT(C15,1))&amp;LOWER(MID(C15,2,30))&amp;" "&amp;LOWER(LEFT(B15,1))&amp;MID(B15,2,200))</f>
        <v/>
      </c>
      <c r="E15" s="5" t="inlineStr">
        <is>
          <t>• Failed-open pressure control valves (PCVs)
• Leakage from interconnected high-pressure system</t>
        </is>
      </c>
      <c r="F15" s="5" t="inlineStr">
        <is>
          <t>As N02-02 – whole MP network above its 10 barg design pressure
[N03-02] Covered by N02-02 and fault tree FT-GN-01; recorded here so the node is complete. Likelihood after safeguards from the calculated frequency 3.6E-5 /yr.</t>
        </is>
      </c>
      <c r="G15" s="20" t="inlineStr">
        <is>
          <t>5 – Catastrophic</t>
        </is>
      </c>
      <c r="H15" s="20" t="inlineStr">
        <is>
          <t>4 – Likely</t>
        </is>
      </c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inlineStr">
        <is>
          <t>• PCV-1103A/B – Monitor regulator takes over on active-regulator failure (set 7.5 barg)  [IPL]
• SSV-1102A/B – Slam-shut valve with over-pressure shut-off (OPSO 8.5 barg) on each regulator run  [IPL]</t>
        </is>
      </c>
      <c r="L15" s="31">
        <f>IF(K15="","",(LEN(K15)-LEN(SUBSTITUTE(K15,"[IPL]","")))/5)</f>
        <v/>
      </c>
      <c r="M15" s="20" t="inlineStr">
        <is>
          <t>5 – Catastrophic</t>
        </is>
      </c>
      <c r="N15" s="20" t="inlineStr">
        <is>
          <t>1 – Rare</t>
        </is>
      </c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inlineStr">
        <is>
          <t>R-003 Introduce an annual lock-up / take-over test of monitor regulators PCV-1103A/B and a six-monthly trip test of slam-shut valves SSV-1102A/B – these intervals are the basis of fault tree FT-GN-01 (protection PFDavg 2.0E-4).</t>
        </is>
      </c>
      <c r="R15" s="5" t="inlineStr">
        <is>
          <t>Instrument engineer</t>
        </is>
      </c>
    </row>
    <row r="16" ht="90" customHeight="1">
      <c r="A16" s="31">
        <f>IF(B16="","",COUNTIF(B$14:B16,"?*"))</f>
        <v/>
      </c>
      <c r="B16" s="5" t="inlineStr">
        <is>
          <t>Air / oxygen in process gas</t>
        </is>
      </c>
      <c r="C16" s="20" t="inlineStr">
        <is>
          <t>AS WELL AS</t>
        </is>
      </c>
      <c r="D16" s="6">
        <f>IF(OR(B16="",C16=""),"",UPPER(LEFT(C16,1))&amp;LOWER(MID(C16,2,30))&amp;" "&amp;LOWER(LEFT(B16,1))&amp;MID(B16,2,200))</f>
        <v/>
      </c>
      <c r="E16" s="5" t="inlineStr">
        <is>
          <t>• Inadequate purging at start-up / shutdown
• Air ingress through leaks at negative pressure</t>
        </is>
      </c>
      <c r="F16" s="5" t="inlineStr">
        <is>
          <t>Flammable gas / air mixture inside the header on gas-in – internal deflagration, flashback at the first burner lit
[N03-03] See N07-01.</t>
        </is>
      </c>
      <c r="G16" s="20" t="inlineStr">
        <is>
          <t>5 – Catastrophic</t>
        </is>
      </c>
      <c r="H16" s="20" t="inlineStr">
        <is>
          <t>2 – Unlikely</t>
        </is>
      </c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inlineStr">
        <is>
          <t>• Written purge plan OP-GN-020: N2 purge to O2 &lt; 2 % before gas-in and gas &gt; 90 % at the vent before relight (portable analyser)  [Non-IPL]
• Valve line-up checklist and spectacle-blind register  [Non-IPL]</t>
        </is>
      </c>
      <c r="L16" s="31">
        <f>IF(K16="","",(LEN(K16)-LEN(SUBSTITUTE(K16,"[IPL]","")))/5)</f>
        <v/>
      </c>
      <c r="M16" s="20" t="inlineStr">
        <is>
          <t>5 – Catastrophic</t>
        </is>
      </c>
      <c r="N16" s="20" t="inlineStr">
        <is>
          <t>1 – Rare</t>
        </is>
      </c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inlineStr">
        <is>
          <t>R-015 Purge plan for every gas-in / gas-out: N2 purge with O2 &lt; 2 % confirmed before gas-in and gas &gt; 90 % confirmed at the vent before relight; calibrated portable analysers.</t>
        </is>
      </c>
      <c r="R16" s="5" t="inlineStr">
        <is>
          <t>Operations superintendent</t>
        </is>
      </c>
    </row>
    <row r="17" ht="90" customHeight="1">
      <c r="A17" s="31">
        <f>IF(B17="","",COUNTIF(B$14:B17,"?*"))</f>
        <v/>
      </c>
      <c r="B17" s="5" t="inlineStr">
        <is>
          <t>Corrosion / erosion</t>
        </is>
      </c>
      <c r="C17" s="20" t="inlineStr">
        <is>
          <t>MORE</t>
        </is>
      </c>
      <c r="D17" s="6">
        <f>IF(OR(B17="",C17=""),"",UPPER(LEFT(C17,1))&amp;LOWER(MID(C17,2,30))&amp;" "&amp;LOWER(LEFT(B17,1))&amp;MID(B17,2,200))</f>
        <v/>
      </c>
      <c r="E17" s="5" t="inlineStr">
        <is>
          <t>• Internal / external corrosion protection
• Corrosion at pipe supports on the racks
• Cathodic protection arrangements inadequate</t>
        </is>
      </c>
      <c r="F17" s="5" t="inlineStr">
        <is>
          <t>Wall loss – leak (as N03-01)
[N03-04] FMECA S03 L-1200 and CP-1200.</t>
        </is>
      </c>
      <c r="G17" s="20" t="inlineStr">
        <is>
          <t>5 – Catastrophic</t>
        </is>
      </c>
      <c r="H17" s="20" t="inlineStr">
        <is>
          <t>3 – Possible</t>
        </is>
      </c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inlineStr">
        <is>
          <t>• CP-1200 – Coating and impressed-current cathodic protection of buried sections; annual CP / DCVG survey  [Non-IPL]
• Piping inspection programme – thickness monitoring at supports, rack crossings and low points  [Non-IPL]</t>
        </is>
      </c>
      <c r="L17" s="31">
        <f>IF(K17="","",(LEN(K17)-LEN(SUBSTITUTE(K17,"[IPL]","")))/5)</f>
        <v/>
      </c>
      <c r="M17" s="20" t="inlineStr">
        <is>
          <t>5 – Catastrophic</t>
        </is>
      </c>
      <c r="N17" s="20" t="inlineStr">
        <is>
          <t>2 – Unlikely</t>
        </is>
      </c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inlineStr">
        <is>
          <t>R-009 Include buried gas-line routes in the ground-disturbance permit; mark crossings on site; review crash protection and height gantries at pipe-rack road crossings.</t>
        </is>
      </c>
      <c r="R17" s="5" t="inlineStr">
        <is>
          <t>Civil engineer</t>
        </is>
      </c>
    </row>
    <row r="18" ht="90" customHeight="1">
      <c r="A18" s="31">
        <f>IF(B18="","",COUNTIF(B$14:B18,"?*"))</f>
        <v/>
      </c>
      <c r="B18" s="5" t="inlineStr">
        <is>
          <t>Electrical safety / static</t>
        </is>
      </c>
      <c r="C18" s="20" t="inlineStr">
        <is>
          <t>INADEQUATE</t>
        </is>
      </c>
      <c r="D18" s="6">
        <f>IF(OR(B18="",C18=""),"",UPPER(LEFT(C18,1))&amp;LOWER(MID(C18,2,30))&amp;" "&amp;LOWER(LEFT(B18,1))&amp;MID(B18,2,200))</f>
        <v/>
      </c>
      <c r="E18" s="5" t="inlineStr">
        <is>
          <t>• EAF / LF high-current systems inducing voltages on nearby pipework
• Insulating joints bypassed; lightning</t>
        </is>
      </c>
      <c r="F18" s="5" t="inlineStr">
        <is>
          <t>Arcing at flanges during maintenance – ignition of a gas release; accelerated stray-current corrosion of buried sections
[N03-05] Steel-works specific – see FMECA S03.</t>
        </is>
      </c>
      <c r="G18" s="20" t="inlineStr">
        <is>
          <t>4 – Major</t>
        </is>
      </c>
      <c r="H18" s="20" t="inlineStr">
        <is>
          <t>3 – Possible</t>
        </is>
      </c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inlineStr">
        <is>
          <t>• Bonding / earthing of pipe racks, lightning protection and insulating joints at building entries  [Non-IPL]
• CP-1200 – Coating and impressed-current cathodic protection of buried sections; annual CP / DCVG survey  [Non-IPL]</t>
        </is>
      </c>
      <c r="L18" s="31">
        <f>IF(K18="","",(LEN(K18)-LEN(SUBSTITUTE(K18,"[IPL]","")))/5)</f>
        <v/>
      </c>
      <c r="M18" s="20" t="inlineStr">
        <is>
          <t>4 – Major</t>
        </is>
      </c>
      <c r="N18" s="20" t="inlineStr">
        <is>
          <t>2 – Unlikely</t>
        </is>
      </c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inlineStr">
        <is>
          <t>R-008 Survey stray currents and induced voltages on gas pipework near the EAF / LF high-current systems; verify insulating joints and bonding; include in CP interference testing.</t>
        </is>
      </c>
      <c r="R18" s="5" t="inlineStr">
        <is>
          <t>Electrical engineer</t>
        </is>
      </c>
    </row>
    <row r="19" ht="90" customHeight="1">
      <c r="A19" s="31">
        <f>IF(B19="","",COUNTIF(B$14:B19,"?*"))</f>
        <v/>
      </c>
      <c r="B19" s="5" t="inlineStr">
        <is>
          <t>Operator action</t>
        </is>
      </c>
      <c r="C19" s="20" t="inlineStr">
        <is>
          <t>OTHER THAN</t>
        </is>
      </c>
      <c r="D19" s="6">
        <f>IF(OR(B19="",C19=""),"",UPPER(LEFT(C19,1))&amp;LOWER(MID(C19,2,30))&amp;" "&amp;LOWER(LEFT(B19,1))&amp;MID(B19,2,200))</f>
        <v/>
      </c>
      <c r="E19" s="5" t="inlineStr">
        <is>
          <t>• Isolation in error (wrong valve closed, LOTO on wrong equipment)
• Valve line-up not checked</t>
        </is>
      </c>
      <c r="F19" s="5" t="inlineStr">
        <is>
          <t>Loss of gas to a whole plant area – flame-outs (as N02-03); maintenance on a section believed isolated but still live
[N03-06]</t>
        </is>
      </c>
      <c r="G19" s="20" t="inlineStr">
        <is>
          <t>4 – Major</t>
        </is>
      </c>
      <c r="H19" s="20" t="inlineStr">
        <is>
          <t>3 – Possible</t>
        </is>
      </c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inlineStr">
        <is>
          <t>• Valve line-up checklist and spectacle-blind register  [Non-IPL]
• Permit-to-work with isolation verification (DBB / spades), gas-free test and fire watch  [Non-IPL]
• PSLL-2006 / PSLL-4005 – Low-low gas pressure trips in the user burner management systems (reformer, reheat furnace, preheaters)  [IPL]</t>
        </is>
      </c>
      <c r="L19" s="31">
        <f>IF(K19="","",(LEN(K19)-LEN(SUBSTITUTE(K19,"[IPL]","")))/5)</f>
        <v/>
      </c>
      <c r="M19" s="20" t="inlineStr">
        <is>
          <t>4 – Major</t>
        </is>
      </c>
      <c r="N19" s="20" t="inlineStr">
        <is>
          <t>2 – Unlikely</t>
        </is>
      </c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inlineStr"/>
      <c r="R19" s="5" t="inlineStr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9.xml><?xml version="1.0" encoding="utf-8"?>
<worksheet xmlns="http://schemas.openxmlformats.org/spreadsheetml/2006/main">
  <sheetPr codeName="Sheet9">
    <outlinePr summaryBelow="1" summaryRight="1"/>
    <pageSetUpPr fitToPage="1"/>
  </sheetPr>
  <dimension ref="A1:AM163"/>
  <sheetViews>
    <sheetView workbookViewId="0">
      <pane xSplit="4" ySplit="13" topLeftCell="E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inlineStr">
        <is>
          <t>N04 – DRI plant gas supply – district station DS-2</t>
        </is>
      </c>
      <c r="E3" s="9" t="n"/>
      <c r="F3" s="9" t="n"/>
      <c r="G3" s="9" t="n"/>
      <c r="H3" s="9" t="n"/>
      <c r="I3" s="9" t="n"/>
      <c r="J3" s="10" t="n"/>
      <c r="K3" s="27" t="inlineStr">
        <is>
          <t>Session date</t>
        </is>
      </c>
      <c r="L3" s="14" t="n">
        <v>46308</v>
      </c>
      <c r="M3" s="10" t="n"/>
      <c r="N3" s="27" t="inlineStr">
        <is>
          <t>Revision</t>
        </is>
      </c>
      <c r="O3" s="5" t="inlineStr">
        <is>
          <t>A</t>
        </is>
      </c>
    </row>
    <row r="4" ht="16" customHeight="1">
      <c r="A4" s="11" t="inlineStr">
        <is>
          <t>Node title</t>
        </is>
      </c>
      <c r="B4" s="9" t="n"/>
      <c r="C4" s="10" t="n"/>
      <c r="D4" s="7">
        <f>IF($D$3="","",IFERROR(INDEX(Nodes!$B$5:$B$34,MATCH($D$3,Nodes!$C$5:$C$34,0))&amp;"",""))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9" t="n"/>
      <c r="P4" s="9" t="n"/>
      <c r="Q4" s="9" t="n"/>
      <c r="R4" s="10" t="n"/>
    </row>
    <row r="5" ht="16" customHeight="1">
      <c r="A5" s="11" t="inlineStr">
        <is>
          <t>P&amp;IDs / drawings</t>
        </is>
      </c>
      <c r="B5" s="9" t="n"/>
      <c r="C5" s="10" t="n"/>
      <c r="D5" s="7">
        <f>IF($D$3="","",IFERROR(INDEX(Nodes!$D$5:$D$34,MATCH($D$3,Nodes!$C$5:$C$34,0))&amp;"",""))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0" t="n"/>
    </row>
    <row r="6" ht="30" customHeight="1">
      <c r="A6" s="11" t="inlineStr">
        <is>
          <t>Battery limits</t>
        </is>
      </c>
      <c r="B6" s="9" t="n"/>
      <c r="C6" s="10" t="n"/>
      <c r="D6" s="7">
        <f>IF($D$3="","",IFERROR(INDEX(Nodes!$E$5:$E$34,MATCH($D$3,Nodes!$C$5:$C$34,0))&amp;"",""))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10" t="n"/>
    </row>
    <row r="7" ht="30" customHeight="1">
      <c r="A7" s="11" t="inlineStr">
        <is>
          <t>Functional description / design intent</t>
        </is>
      </c>
      <c r="B7" s="9" t="n"/>
      <c r="C7" s="10" t="n"/>
      <c r="D7" s="7">
        <f>IF($D$3="","",IFERROR(INDEX(Nodes!$F$5:$F$34,MATCH($D$3,Nodes!$C$5:$C$34,0))&amp;"",""))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10" t="n"/>
    </row>
    <row r="8" ht="16" customHeight="1">
      <c r="A8" s="11" t="inlineStr">
        <is>
          <t>Design parameters</t>
        </is>
      </c>
      <c r="B8" s="9" t="n"/>
      <c r="C8" s="10" t="n"/>
      <c r="D8" s="7">
        <f>IF($D$3="","",IFERROR(INDEX(Nodes!$G$5:$G$34,MATCH($D$3,Nodes!$C$5:$C$34,0))&amp;"",""))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0" t="n"/>
    </row>
    <row r="9" ht="16" customHeight="1">
      <c r="A9" s="11" t="inlineStr">
        <is>
          <t>Operating parameters</t>
        </is>
      </c>
      <c r="B9" s="9" t="n"/>
      <c r="C9" s="10" t="n"/>
      <c r="D9" s="7">
        <f>IF($D$3="","",IFERROR(INDEX(Nodes!$H$5:$H$34,MATCH($D$3,Nodes!$C$5:$C$34,0))&amp;"",""))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0" t="n"/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9" t="n"/>
      <c r="C12" s="9" t="n"/>
      <c r="D12" s="10" t="n"/>
      <c r="E12" s="8" t="inlineStr">
        <is>
          <t>CAUSES &amp; CONSEQUENCES</t>
        </is>
      </c>
      <c r="F12" s="10" t="n"/>
      <c r="G12" s="8" t="inlineStr">
        <is>
          <t>RISK BEFORE SAFEGUARDS</t>
        </is>
      </c>
      <c r="H12" s="9" t="n"/>
      <c r="I12" s="9" t="n"/>
      <c r="J12" s="10" t="n"/>
      <c r="K12" s="8" t="inlineStr">
        <is>
          <t>SAFEGUARDS</t>
        </is>
      </c>
      <c r="L12" s="10" t="n"/>
      <c r="M12" s="8" t="inlineStr">
        <is>
          <t>RISK AFTER SAFEGUARDS</t>
        </is>
      </c>
      <c r="N12" s="9" t="n"/>
      <c r="O12" s="9" t="n"/>
      <c r="P12" s="10" t="n"/>
      <c r="Q12" s="8" t="inlineStr">
        <is>
          <t>RECOMMENDATIONS</t>
        </is>
      </c>
      <c r="R12" s="1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90" customHeight="1">
      <c r="A14" s="31">
        <f>IF(B14="","",COUNTIF(B$14:B14,"?*"))</f>
        <v/>
      </c>
      <c r="B14" s="5" t="inlineStr">
        <is>
          <t>Flow</t>
        </is>
      </c>
      <c r="C14" s="20" t="inlineStr">
        <is>
          <t>MORE</t>
        </is>
      </c>
      <c r="D14" s="6">
        <f>IF(OR(B14="",C14=""),"",UPPER(LEFT(C14,1))&amp;LOWER(MID(C14,2,30))&amp;" "&amp;LOWER(LEFT(B14,1))&amp;MID(B14,2,200))</f>
        <v/>
      </c>
      <c r="E14" s="5" t="inlineStr">
        <is>
          <t>• [S] Excess fuel gas to reheat furnace, ladle pre-heater or stove burners
• FCV-2004 fails open</t>
        </is>
      </c>
      <c r="F14" s="5" t="inlineStr">
        <is>
          <t>Reformer over-firing: tube overheating and rupture – reducing-gas fire in the reformer box; CO in the flue gas
[N04-01] FMECA S04 FCV-2004; reformer covered in detail by the DRI plant HAZOP.</t>
        </is>
      </c>
      <c r="G14" s="20" t="inlineStr">
        <is>
          <t>4 – Major</t>
        </is>
      </c>
      <c r="H14" s="20" t="inlineStr">
        <is>
          <t>3 – Possible</t>
        </is>
      </c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inlineStr">
        <is>
          <t>• Reformer burner management – high fuel flow and high tube-wall temperature trips  [IPL]
• Cross-limited air / fuel ratio control  [Non-IPL]</t>
        </is>
      </c>
      <c r="L14" s="31">
        <f>IF(K14="","",(LEN(K14)-LEN(SUBSTITUTE(K14,"[IPL]","")))/5)</f>
        <v/>
      </c>
      <c r="M14" s="20" t="inlineStr">
        <is>
          <t>4 – Major</t>
        </is>
      </c>
      <c r="N14" s="20" t="inlineStr">
        <is>
          <t>2 – Unlikely</t>
        </is>
      </c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inlineStr"/>
      <c r="R14" s="5" t="inlineStr"/>
    </row>
    <row r="15" ht="90" customHeight="1">
      <c r="A15" s="31">
        <f>IF(B15="","",COUNTIF(B$14:B15,"?*"))</f>
        <v/>
      </c>
      <c r="B15" s="5" t="inlineStr">
        <is>
          <t>Flow</t>
        </is>
      </c>
      <c r="C15" s="20" t="inlineStr">
        <is>
          <t>NO</t>
        </is>
      </c>
      <c r="D15" s="6">
        <f>IF(OR(B15="",C15=""),"",UPPER(LEFT(C15,1))&amp;LOWER(MID(C15,2,30))&amp;" "&amp;LOWER(LEFT(B15,1))&amp;MID(B15,2,200))</f>
        <v/>
      </c>
      <c r="E15" s="5" t="inlineStr">
        <is>
          <t>• Equipment failure – control valve fails closed, isolation valve, pump or compressor trip, vessel failure
• ESDV-2001 spurious closure</t>
        </is>
      </c>
      <c r="F15" s="5" t="inlineStr">
        <is>
          <t>Reformer flame-out and DRI module trip; loss of reducing gas quality; production loss
[N04-02]</t>
        </is>
      </c>
      <c r="G15" s="20" t="inlineStr">
        <is>
          <t>3 – Moderate</t>
        </is>
      </c>
      <c r="H15" s="20" t="inlineStr">
        <is>
          <t>3 – Possible</t>
        </is>
      </c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inlineStr">
        <is>
          <t>• PSLL-2006 / PSLL-4005 – Low-low gas pressure trips in the user burner management systems (reformer, reheat furnace, preheaters)  [IPL]</t>
        </is>
      </c>
      <c r="L15" s="31">
        <f>IF(K15="","",(LEN(K15)-LEN(SUBSTITUTE(K15,"[IPL]","")))/5)</f>
        <v/>
      </c>
      <c r="M15" s="20" t="inlineStr">
        <is>
          <t>3 – Moderate</t>
        </is>
      </c>
      <c r="N15" s="20" t="inlineStr">
        <is>
          <t>2 – Unlikely</t>
        </is>
      </c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inlineStr"/>
      <c r="R15" s="5" t="inlineStr"/>
    </row>
    <row r="16" ht="90" customHeight="1">
      <c r="A16" s="31">
        <f>IF(B16="","",COUNTIF(B$14:B16,"?*"))</f>
        <v/>
      </c>
      <c r="B16" s="5" t="inlineStr">
        <is>
          <t>Flow</t>
        </is>
      </c>
      <c r="C16" s="20" t="inlineStr">
        <is>
          <t>REVERSE</t>
        </is>
      </c>
      <c r="D16" s="6">
        <f>IF(OR(B16="",C16=""),"",UPPER(LEFT(C16,1))&amp;LOWER(MID(C16,2,30))&amp;" "&amp;LOWER(LEFT(B16,1))&amp;MID(B16,2,200))</f>
        <v/>
      </c>
      <c r="E16" s="5" t="inlineStr">
        <is>
          <t>• Defective or passing non-return valve
• Two-way flow in common headers
• Low NG pressure at the make-up point (supply loss)</t>
        </is>
      </c>
      <c r="F16" s="5" t="inlineStr">
        <is>
          <t>H2 / CO-rich reducing gas flows back into the NG system – CO toxic exposure at other users' burners and vents, flame instability
[N04-03] FMECA S04 XV-2008 (hidden failure – passing in the closed position).</t>
        </is>
      </c>
      <c r="G16" s="20" t="inlineStr">
        <is>
          <t>5 – Catastrophic</t>
        </is>
      </c>
      <c r="H16" s="20" t="inlineStr">
        <is>
          <t>3 – Possible</t>
        </is>
      </c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inlineStr">
        <is>
          <t>• XV-2008 – Double non-return valves + XV-2008 closes on low NG / process-gas differential pressure PDALL-2009  [IPL]</t>
        </is>
      </c>
      <c r="L16" s="31">
        <f>IF(K16="","",(LEN(K16)-LEN(SUBSTITUTE(K16,"[IPL]","")))/5)</f>
        <v/>
      </c>
      <c r="M16" s="20" t="inlineStr">
        <is>
          <t>5 – Catastrophic</t>
        </is>
      </c>
      <c r="N16" s="20" t="inlineStr">
        <is>
          <t>2 – Unlikely</t>
        </is>
      </c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inlineStr">
        <is>
          <t>R-018 Provide reverse-flow protection at the DRI process-gas NG make-up point: double check valves plus a PDALL-2009 trip closing XV-2008; annual reverse-flow leak test.</t>
        </is>
      </c>
      <c r="R16" s="5" t="inlineStr">
        <is>
          <t>DRI process engineer</t>
        </is>
      </c>
    </row>
    <row r="17" ht="90" customHeight="1">
      <c r="A17" s="31">
        <f>IF(B17="","",COUNTIF(B$14:B17,"?*"))</f>
        <v/>
      </c>
      <c r="B17" s="5" t="inlineStr">
        <is>
          <t>Composition</t>
        </is>
      </c>
      <c r="C17" s="20" t="inlineStr">
        <is>
          <t>AS WELL AS</t>
        </is>
      </c>
      <c r="D17" s="6">
        <f>IF(OR(B17="",C17=""),"",UPPER(LEFT(C17,1))&amp;LOWER(MID(C17,2,30))&amp;" "&amp;LOWER(LEFT(B17,1))&amp;MID(B17,2,200))</f>
        <v/>
      </c>
      <c r="E17" s="5" t="inlineStr">
        <is>
          <t>• [S] Hydrogen, CO or H2S in process gas above design values
• Black powder carry-over from the GRMS</t>
        </is>
      </c>
      <c r="F17" s="5" t="inlineStr">
        <is>
          <t>Reformer catalyst poisoning; fouling of burner nozzles
[N04-04] See N01-04.</t>
        </is>
      </c>
      <c r="G17" s="20" t="inlineStr">
        <is>
          <t>3 – Moderate</t>
        </is>
      </c>
      <c r="H17" s="20" t="inlineStr">
        <is>
          <t>3 – Possible</t>
        </is>
      </c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inlineStr">
        <is>
          <t>• AT-1004 – Gas chromatograph – composition, Wobbe index and H2S monitoring with alarm  [Non-IPL]
• F-1002A/B – Duty / standby filter-separators with LSH-1002 high-liquid alarm and PDIT-1002 differential-pressure alarm  [Non-IPL]</t>
        </is>
      </c>
      <c r="L17" s="31">
        <f>IF(K17="","",(LEN(K17)-LEN(SUBSTITUTE(K17,"[IPL]","")))/5)</f>
        <v/>
      </c>
      <c r="M17" s="20" t="inlineStr">
        <is>
          <t>3 – Moderate</t>
        </is>
      </c>
      <c r="N17" s="20" t="inlineStr">
        <is>
          <t>2 – Unlikely</t>
        </is>
      </c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inlineStr"/>
      <c r="R17" s="5" t="inlineStr"/>
    </row>
    <row r="18" ht="90" customHeight="1">
      <c r="A18" s="31">
        <f>IF(B18="","",COUNTIF(B$14:B18,"?*"))</f>
        <v/>
      </c>
      <c r="B18" s="5" t="inlineStr">
        <is>
          <t>Pressure</t>
        </is>
      </c>
      <c r="C18" s="20" t="inlineStr">
        <is>
          <t>MORE</t>
        </is>
      </c>
      <c r="D18" s="6">
        <f>IF(OR(B18="",C18=""),"",UPPER(LEFT(C18,1))&amp;LOWER(MID(C18,2,30))&amp;" "&amp;LOWER(LEFT(B18,1))&amp;MID(B18,2,200))</f>
        <v/>
      </c>
      <c r="E18" s="5" t="inlineStr">
        <is>
          <t>• Failed-open pressure control valves (PCVs)</t>
        </is>
      </c>
      <c r="F18" s="5" t="inlineStr">
        <is>
          <t>Downstream piping exposed to full MP pressure (7 barg) – within its 10 barg design; burner pressure high, trip on high pressure
[N04-05] Inherently safe – downstream designed for MP pressure.</t>
        </is>
      </c>
      <c r="G18" s="20" t="inlineStr">
        <is>
          <t>2 – Minor</t>
        </is>
      </c>
      <c r="H18" s="20" t="inlineStr">
        <is>
          <t>3 – Possible</t>
        </is>
      </c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inlineStr">
        <is>
          <t>• District-station downstream piping designed for full MP header pressure (10 barg)  [IPL]
• Reformer burner management – high fuel flow and high tube-wall temperature trips  [Non-IPL]</t>
        </is>
      </c>
      <c r="L18" s="31">
        <f>IF(K18="","",(LEN(K18)-LEN(SUBSTITUTE(K18,"[IPL]","")))/5)</f>
        <v/>
      </c>
      <c r="M18" s="20" t="inlineStr">
        <is>
          <t>2 – Minor</t>
        </is>
      </c>
      <c r="N18" s="20" t="inlineStr">
        <is>
          <t>2 – Unlikely</t>
        </is>
      </c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inlineStr"/>
      <c r="R18" s="5" t="inlineStr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0.xml><?xml version="1.0" encoding="utf-8"?>
<worksheet xmlns="http://schemas.openxmlformats.org/spreadsheetml/2006/main">
  <sheetPr codeName="Sheet10">
    <outlinePr summaryBelow="1" summaryRight="1"/>
    <pageSetUpPr fitToPage="1"/>
  </sheetPr>
  <dimension ref="A1:AM163"/>
  <sheetViews>
    <sheetView workbookViewId="0">
      <pane xSplit="4" ySplit="13" topLeftCell="E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inlineStr">
        <is>
          <t>N05 – Melt shop gas supply – DS-3, EAF oxy-fuel burners and ladle preheaters</t>
        </is>
      </c>
      <c r="E3" s="9" t="n"/>
      <c r="F3" s="9" t="n"/>
      <c r="G3" s="9" t="n"/>
      <c r="H3" s="9" t="n"/>
      <c r="I3" s="9" t="n"/>
      <c r="J3" s="10" t="n"/>
      <c r="K3" s="27" t="inlineStr">
        <is>
          <t>Session date</t>
        </is>
      </c>
      <c r="L3" s="14" t="n">
        <v>46308</v>
      </c>
      <c r="M3" s="10" t="n"/>
      <c r="N3" s="27" t="inlineStr">
        <is>
          <t>Revision</t>
        </is>
      </c>
      <c r="O3" s="5" t="inlineStr">
        <is>
          <t>A</t>
        </is>
      </c>
    </row>
    <row r="4" ht="16" customHeight="1">
      <c r="A4" s="11" t="inlineStr">
        <is>
          <t>Node title</t>
        </is>
      </c>
      <c r="B4" s="9" t="n"/>
      <c r="C4" s="10" t="n"/>
      <c r="D4" s="7">
        <f>IF($D$3="","",IFERROR(INDEX(Nodes!$B$5:$B$34,MATCH($D$3,Nodes!$C$5:$C$34,0))&amp;"",""))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9" t="n"/>
      <c r="P4" s="9" t="n"/>
      <c r="Q4" s="9" t="n"/>
      <c r="R4" s="10" t="n"/>
    </row>
    <row r="5" ht="16" customHeight="1">
      <c r="A5" s="11" t="inlineStr">
        <is>
          <t>P&amp;IDs / drawings</t>
        </is>
      </c>
      <c r="B5" s="9" t="n"/>
      <c r="C5" s="10" t="n"/>
      <c r="D5" s="7">
        <f>IF($D$3="","",IFERROR(INDEX(Nodes!$D$5:$D$34,MATCH($D$3,Nodes!$C$5:$C$34,0))&amp;"",""))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0" t="n"/>
    </row>
    <row r="6" ht="30" customHeight="1">
      <c r="A6" s="11" t="inlineStr">
        <is>
          <t>Battery limits</t>
        </is>
      </c>
      <c r="B6" s="9" t="n"/>
      <c r="C6" s="10" t="n"/>
      <c r="D6" s="7">
        <f>IF($D$3="","",IFERROR(INDEX(Nodes!$E$5:$E$34,MATCH($D$3,Nodes!$C$5:$C$34,0))&amp;"",""))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10" t="n"/>
    </row>
    <row r="7" ht="30" customHeight="1">
      <c r="A7" s="11" t="inlineStr">
        <is>
          <t>Functional description / design intent</t>
        </is>
      </c>
      <c r="B7" s="9" t="n"/>
      <c r="C7" s="10" t="n"/>
      <c r="D7" s="7">
        <f>IF($D$3="","",IFERROR(INDEX(Nodes!$F$5:$F$34,MATCH($D$3,Nodes!$C$5:$C$34,0))&amp;"",""))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10" t="n"/>
    </row>
    <row r="8" ht="16" customHeight="1">
      <c r="A8" s="11" t="inlineStr">
        <is>
          <t>Design parameters</t>
        </is>
      </c>
      <c r="B8" s="9" t="n"/>
      <c r="C8" s="10" t="n"/>
      <c r="D8" s="7">
        <f>IF($D$3="","",IFERROR(INDEX(Nodes!$G$5:$G$34,MATCH($D$3,Nodes!$C$5:$C$34,0))&amp;"",""))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0" t="n"/>
    </row>
    <row r="9" ht="16" customHeight="1">
      <c r="A9" s="11" t="inlineStr">
        <is>
          <t>Operating parameters</t>
        </is>
      </c>
      <c r="B9" s="9" t="n"/>
      <c r="C9" s="10" t="n"/>
      <c r="D9" s="7">
        <f>IF($D$3="","",IFERROR(INDEX(Nodes!$H$5:$H$34,MATCH($D$3,Nodes!$C$5:$C$34,0))&amp;"",""))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0" t="n"/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9" t="n"/>
      <c r="C12" s="9" t="n"/>
      <c r="D12" s="10" t="n"/>
      <c r="E12" s="8" t="inlineStr">
        <is>
          <t>CAUSES &amp; CONSEQUENCES</t>
        </is>
      </c>
      <c r="F12" s="10" t="n"/>
      <c r="G12" s="8" t="inlineStr">
        <is>
          <t>RISK BEFORE SAFEGUARDS</t>
        </is>
      </c>
      <c r="H12" s="9" t="n"/>
      <c r="I12" s="9" t="n"/>
      <c r="J12" s="10" t="n"/>
      <c r="K12" s="8" t="inlineStr">
        <is>
          <t>SAFEGUARDS</t>
        </is>
      </c>
      <c r="L12" s="10" t="n"/>
      <c r="M12" s="8" t="inlineStr">
        <is>
          <t>RISK AFTER SAFEGUARDS</t>
        </is>
      </c>
      <c r="N12" s="9" t="n"/>
      <c r="O12" s="9" t="n"/>
      <c r="P12" s="10" t="n"/>
      <c r="Q12" s="8" t="inlineStr">
        <is>
          <t>RECOMMENDATIONS</t>
        </is>
      </c>
      <c r="R12" s="1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90" customHeight="1">
      <c r="A14" s="31">
        <f>IF(B14="","",COUNTIF(B$14:B14,"?*"))</f>
        <v/>
      </c>
      <c r="B14" s="5" t="inlineStr">
        <is>
          <t>Oxygen (lances, burners, pipelines)</t>
        </is>
      </c>
      <c r="C14" s="20" t="inlineStr">
        <is>
          <t>AS WELL AS</t>
        </is>
      </c>
      <c r="D14" s="6">
        <f>IF(OR(B14="",C14=""),"",UPPER(LEFT(C14,1))&amp;LOWER(MID(C14,2,30))&amp;" "&amp;LOWER(LEFT(B14,1))&amp;MID(B14,2,200))</f>
        <v/>
      </c>
      <c r="E14" s="5" t="inlineStr">
        <is>
          <t>• Burner flame-out with continued fuel supply
• O2 back-flow through the burner when NG pressure is lost
• Defective or passing non-return valve</t>
        </is>
      </c>
      <c r="F14" s="5" t="inlineStr">
        <is>
          <t>Explosive NG / O2 mixture inside the NG line – flashback, detonation in the burner line, fire in the melt shop next to the EAF
[N05-01] FMECA S05 NRV-3010 (hidden failure).</t>
        </is>
      </c>
      <c r="G14" s="20" t="inlineStr">
        <is>
          <t>5 – Catastrophic</t>
        </is>
      </c>
      <c r="H14" s="20" t="inlineStr">
        <is>
          <t>3 – Possible</t>
        </is>
      </c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inlineStr">
        <is>
          <t>• NRV-3010 – Non-return valves and flashback arrestors on the NG and O2 lines at each oxy-fuel burner and preheater  [IPL]
• XV-3011 – Burner management: O2 and NG shut off on low NG pressure PSLL-3012; N2 purge of burner after shutdown  [IPL]</t>
        </is>
      </c>
      <c r="L14" s="31">
        <f>IF(K14="","",(LEN(K14)-LEN(SUBSTITUTE(K14,"[IPL]","")))/5)</f>
        <v/>
      </c>
      <c r="M14" s="20" t="inlineStr">
        <is>
          <t>5 – Catastrophic</t>
        </is>
      </c>
      <c r="N14" s="20" t="inlineStr">
        <is>
          <t>1 – Rare</t>
        </is>
      </c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inlineStr">
        <is>
          <t>R-013 Fit / verify non-return valves and flashback arrestors on the NG and O2 lines at every EAF oxy-fuel burner and ladle preheater; prove the 'low NG pressure closes O2' interlock annually.</t>
        </is>
      </c>
      <c r="R14" s="5" t="inlineStr">
        <is>
          <t>Melt shop maintenance</t>
        </is>
      </c>
    </row>
    <row r="15" ht="90" customHeight="1">
      <c r="A15" s="31">
        <f>IF(B15="","",COUNTIF(B$14:B15,"?*"))</f>
        <v/>
      </c>
      <c r="B15" s="5" t="inlineStr">
        <is>
          <t>Process gas (CO, H2 – BFG, COG, LD gas, reducing gas)</t>
        </is>
      </c>
      <c r="C15" s="20" t="inlineStr">
        <is>
          <t>LEAK OF</t>
        </is>
      </c>
      <c r="D15" s="6">
        <f>IF(OR(B15="",C15=""),"",UPPER(LEFT(C15,1))&amp;LOWER(MID(C15,2,30))&amp;" "&amp;LOWER(LEFT(B15,1))&amp;MID(B15,2,200))</f>
        <v/>
      </c>
      <c r="E15" s="5" t="inlineStr">
        <is>
          <t>• Flange, valve or seal leak; water-seal blown
• Molten-metal splash / radiant heat damaging NG hoses near the EAF
• Confined spaces near gas mains</t>
        </is>
      </c>
      <c r="F15" s="5" t="inlineStr">
        <is>
          <t>Immediate ignition near molten metal – fire on the burner skid; gas in basements / cable tunnels – explosion
[N05-02]</t>
        </is>
      </c>
      <c r="G15" s="20" t="inlineStr">
        <is>
          <t>4 – Major</t>
        </is>
      </c>
      <c r="H15" s="20" t="inlineStr">
        <is>
          <t>3 – Possible</t>
        </is>
      </c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inlineStr">
        <is>
          <t>• Heat shields and routing of NG lines away from molten-metal splash zones; hose inspection  [Non-IPL]
• XV-3011 – Burner management: O2 and NG shut off on low NG pressure PSLL-3012; N2 purge of burner after shutdown  [IPL]
• Operator rounds with portable gas detector; annual acoustic leak survey  [Non-IPL]</t>
        </is>
      </c>
      <c r="L15" s="31">
        <f>IF(K15="","",(LEN(K15)-LEN(SUBSTITUTE(K15,"[IPL]","")))/5)</f>
        <v/>
      </c>
      <c r="M15" s="20" t="inlineStr">
        <is>
          <t>4 – Major</t>
        </is>
      </c>
      <c r="N15" s="20" t="inlineStr">
        <is>
          <t>2 – Unlikely</t>
        </is>
      </c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inlineStr">
        <is>
          <t>R-007 Install gas detection at the HVAC intakes and cable-trench entries of buildings near the MP header (substations, control rooms) with HVAC trip.
R-019 Heat-shield and re-route NG lines and hoses near the EAF and ladle area; six-monthly hose inspection and replacement on condition.</t>
        </is>
      </c>
      <c r="R15" s="5" t="inlineStr">
        <is>
          <t>HSE / process safety / Melt shop maintenance</t>
        </is>
      </c>
    </row>
    <row r="16" ht="90" customHeight="1">
      <c r="A16" s="31">
        <f>IF(B16="","",COUNTIF(B$14:B16,"?*"))</f>
        <v/>
      </c>
      <c r="B16" s="5" t="inlineStr">
        <is>
          <t>Pressure</t>
        </is>
      </c>
      <c r="C16" s="20" t="inlineStr">
        <is>
          <t>LESS</t>
        </is>
      </c>
      <c r="D16" s="6">
        <f>IF(OR(B16="",C16=""),"",UPPER(LEFT(C16,1))&amp;LOWER(MID(C16,2,30))&amp;" "&amp;LOWER(LEFT(B16,1))&amp;MID(B16,2,200))</f>
        <v/>
      </c>
      <c r="E16" s="5" t="inlineStr">
        <is>
          <t>• [S] Low fuel-gas pressure at burners (flame-out followed by re-ignition of accumulated gas)
• DS-3 regulator / SSV-3003 trip</t>
        </is>
      </c>
      <c r="F16" s="5" t="inlineStr">
        <is>
          <t>Flame-out at the preheater; gas accumulates in the ladle / tundish – explosion on relight
[N05-03] Same mechanism as N06-01 (smaller inventory).</t>
        </is>
      </c>
      <c r="G16" s="20" t="inlineStr">
        <is>
          <t>4 – Major</t>
        </is>
      </c>
      <c r="H16" s="20" t="inlineStr">
        <is>
          <t>3 – Possible</t>
        </is>
      </c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inlineStr">
        <is>
          <t>• LPH-3020 – Ladle preheater burner management – UV flame scanner, flame-failure shut-off, pre-purge timer  [IPL]</t>
        </is>
      </c>
      <c r="L16" s="31">
        <f>IF(K16="","",(LEN(K16)-LEN(SUBSTITUTE(K16,"[IPL]","")))/5)</f>
        <v/>
      </c>
      <c r="M16" s="20" t="inlineStr">
        <is>
          <t>4 – Major</t>
        </is>
      </c>
      <c r="N16" s="20" t="inlineStr">
        <is>
          <t>2 – Unlikely</t>
        </is>
      </c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inlineStr">
        <is>
          <t>R-012 Bypass / override management for BMS, SIS and gas detectors: authorisation, time limit, logging and monthly audit; BMS logic changes only under MOC.</t>
        </is>
      </c>
      <c r="R16" s="5" t="inlineStr">
        <is>
          <t>HSE / process safety</t>
        </is>
      </c>
    </row>
    <row r="17" ht="90" customHeight="1">
      <c r="A17" s="31">
        <f>IF(B17="","",COUNTIF(B$14:B17,"?*"))</f>
        <v/>
      </c>
      <c r="B17" s="5" t="inlineStr">
        <is>
          <t>Operator action</t>
        </is>
      </c>
      <c r="C17" s="20" t="inlineStr">
        <is>
          <t>OTHER THAN</t>
        </is>
      </c>
      <c r="D17" s="6">
        <f>IF(OR(B17="",C17=""),"",UPPER(LEFT(C17,1))&amp;LOWER(MID(C17,2,30))&amp;" "&amp;LOWER(LEFT(B17,1))&amp;MID(B17,2,200))</f>
        <v/>
      </c>
      <c r="E17" s="5" t="inlineStr">
        <is>
          <t>• Auto / manual facility and human error
• Alarm flooding; bypassed trips</t>
        </is>
      </c>
      <c r="F17" s="5" t="inlineStr">
        <is>
          <t>Gas accumulation and explosion in the ladle; burns to the operator
[N05-04] PHBMS not credited as an IPL here because the cause is its bypass.</t>
        </is>
      </c>
      <c r="G17" s="20" t="inlineStr">
        <is>
          <t>4 – Major</t>
        </is>
      </c>
      <c r="H17" s="20" t="inlineStr">
        <is>
          <t>3 – Possible</t>
        </is>
      </c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inlineStr">
        <is>
          <t>• LPH-3020 – Ladle preheater burner management – UV flame scanner, flame-failure shut-off, pre-purge timer  [Non-IPL]
• Bypass / override management – authorised, time-limited, logged; monthly audit  [Non-IPL]</t>
        </is>
      </c>
      <c r="L17" s="31">
        <f>IF(K17="","",(LEN(K17)-LEN(SUBSTITUTE(K17,"[IPL]","")))/5)</f>
        <v/>
      </c>
      <c r="M17" s="20" t="inlineStr">
        <is>
          <t>4 – Major</t>
        </is>
      </c>
      <c r="N17" s="20" t="inlineStr">
        <is>
          <t>2 – Unlikely</t>
        </is>
      </c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inlineStr">
        <is>
          <t>R-012 Bypass / override management for BMS, SIS and gas detectors: authorisation, time limit, logging and monthly audit; BMS logic changes only under MOC.</t>
        </is>
      </c>
      <c r="R17" s="5" t="inlineStr">
        <is>
          <t>HSE / process safety</t>
        </is>
      </c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1.xml><?xml version="1.0" encoding="utf-8"?>
<worksheet xmlns="http://schemas.openxmlformats.org/spreadsheetml/2006/main">
  <sheetPr codeName="Sheet11">
    <outlinePr summaryBelow="1" summaryRight="1"/>
    <pageSetUpPr fitToPage="1"/>
  </sheetPr>
  <dimension ref="A1:AM163"/>
  <sheetViews>
    <sheetView workbookViewId="0">
      <pane xSplit="4" ySplit="13" topLeftCell="E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inlineStr">
        <is>
          <t>N06 – Rolling-mill reheat furnace fuel gas train and burner management</t>
        </is>
      </c>
      <c r="E3" s="9" t="n"/>
      <c r="F3" s="9" t="n"/>
      <c r="G3" s="9" t="n"/>
      <c r="H3" s="9" t="n"/>
      <c r="I3" s="9" t="n"/>
      <c r="J3" s="10" t="n"/>
      <c r="K3" s="27" t="inlineStr">
        <is>
          <t>Session date</t>
        </is>
      </c>
      <c r="L3" s="14" t="n">
        <v>46309</v>
      </c>
      <c r="M3" s="10" t="n"/>
      <c r="N3" s="27" t="inlineStr">
        <is>
          <t>Revision</t>
        </is>
      </c>
      <c r="O3" s="5" t="inlineStr">
        <is>
          <t>A</t>
        </is>
      </c>
    </row>
    <row r="4" ht="16" customHeight="1">
      <c r="A4" s="11" t="inlineStr">
        <is>
          <t>Node title</t>
        </is>
      </c>
      <c r="B4" s="9" t="n"/>
      <c r="C4" s="10" t="n"/>
      <c r="D4" s="7">
        <f>IF($D$3="","",IFERROR(INDEX(Nodes!$B$5:$B$34,MATCH($D$3,Nodes!$C$5:$C$34,0))&amp;"",""))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9" t="n"/>
      <c r="P4" s="9" t="n"/>
      <c r="Q4" s="9" t="n"/>
      <c r="R4" s="10" t="n"/>
    </row>
    <row r="5" ht="16" customHeight="1">
      <c r="A5" s="11" t="inlineStr">
        <is>
          <t>P&amp;IDs / drawings</t>
        </is>
      </c>
      <c r="B5" s="9" t="n"/>
      <c r="C5" s="10" t="n"/>
      <c r="D5" s="7">
        <f>IF($D$3="","",IFERROR(INDEX(Nodes!$D$5:$D$34,MATCH($D$3,Nodes!$C$5:$C$34,0))&amp;"",""))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0" t="n"/>
    </row>
    <row r="6" ht="30" customHeight="1">
      <c r="A6" s="11" t="inlineStr">
        <is>
          <t>Battery limits</t>
        </is>
      </c>
      <c r="B6" s="9" t="n"/>
      <c r="C6" s="10" t="n"/>
      <c r="D6" s="7">
        <f>IF($D$3="","",IFERROR(INDEX(Nodes!$E$5:$E$34,MATCH($D$3,Nodes!$C$5:$C$34,0))&amp;"",""))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10" t="n"/>
    </row>
    <row r="7" ht="30" customHeight="1">
      <c r="A7" s="11" t="inlineStr">
        <is>
          <t>Functional description / design intent</t>
        </is>
      </c>
      <c r="B7" s="9" t="n"/>
      <c r="C7" s="10" t="n"/>
      <c r="D7" s="7">
        <f>IF($D$3="","",IFERROR(INDEX(Nodes!$F$5:$F$34,MATCH($D$3,Nodes!$C$5:$C$34,0))&amp;"",""))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10" t="n"/>
    </row>
    <row r="8" ht="16" customHeight="1">
      <c r="A8" s="11" t="inlineStr">
        <is>
          <t>Design parameters</t>
        </is>
      </c>
      <c r="B8" s="9" t="n"/>
      <c r="C8" s="10" t="n"/>
      <c r="D8" s="7">
        <f>IF($D$3="","",IFERROR(INDEX(Nodes!$G$5:$G$34,MATCH($D$3,Nodes!$C$5:$C$34,0))&amp;"",""))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0" t="n"/>
    </row>
    <row r="9" ht="16" customHeight="1">
      <c r="A9" s="11" t="inlineStr">
        <is>
          <t>Operating parameters</t>
        </is>
      </c>
      <c r="B9" s="9" t="n"/>
      <c r="C9" s="10" t="n"/>
      <c r="D9" s="7">
        <f>IF($D$3="","",IFERROR(INDEX(Nodes!$H$5:$H$34,MATCH($D$3,Nodes!$C$5:$C$34,0))&amp;"",""))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0" t="n"/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9" t="n"/>
      <c r="C12" s="9" t="n"/>
      <c r="D12" s="10" t="n"/>
      <c r="E12" s="8" t="inlineStr">
        <is>
          <t>CAUSES &amp; CONSEQUENCES</t>
        </is>
      </c>
      <c r="F12" s="10" t="n"/>
      <c r="G12" s="8" t="inlineStr">
        <is>
          <t>RISK BEFORE SAFEGUARDS</t>
        </is>
      </c>
      <c r="H12" s="9" t="n"/>
      <c r="I12" s="9" t="n"/>
      <c r="J12" s="10" t="n"/>
      <c r="K12" s="8" t="inlineStr">
        <is>
          <t>SAFEGUARDS</t>
        </is>
      </c>
      <c r="L12" s="10" t="n"/>
      <c r="M12" s="8" t="inlineStr">
        <is>
          <t>RISK AFTER SAFEGUARDS</t>
        </is>
      </c>
      <c r="N12" s="9" t="n"/>
      <c r="O12" s="9" t="n"/>
      <c r="P12" s="10" t="n"/>
      <c r="Q12" s="8" t="inlineStr">
        <is>
          <t>RECOMMENDATIONS</t>
        </is>
      </c>
      <c r="R12" s="1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90" customHeight="1">
      <c r="A14" s="31">
        <f>IF(B14="","",COUNTIF(B$14:B14,"?*"))</f>
        <v/>
      </c>
      <c r="B14" s="5" t="inlineStr">
        <is>
          <t>Flow</t>
        </is>
      </c>
      <c r="C14" s="20" t="inlineStr">
        <is>
          <t>NO</t>
        </is>
      </c>
      <c r="D14" s="6">
        <f>IF(OR(B14="",C14=""),"",UPPER(LEFT(C14,1))&amp;LOWER(MID(C14,2,30))&amp;" "&amp;LOWER(LEFT(B14,1))&amp;MID(B14,2,200))</f>
        <v/>
      </c>
      <c r="E14" s="5" t="inlineStr">
        <is>
          <t>• Burner flame-out with continued fuel supply
• [S] Low fuel-gas pressure at burners (flame-out followed by re-ignition of accumulated gas)
• Failed light-off of a main burner</t>
        </is>
      </c>
      <c r="F14" s="5" t="inlineStr">
        <is>
          <t>Unburnt gas enters a furnace zone below auto-ignition temperature (start-up / low fire) – explosive mixture, furnace explosion: casing / door failure, fatalities on the furnace platforms
[N06-01] Quantified: fault tree FT-GN-03 (BMS flame-failure shut-off PFDavg 1.1E-2; top 9.2E-3 /yr), event tree ETA-GN-02 (explosion 9.2E-4 /yr vs target 1E-4), bow tie BT-GN-02 threat T1. Likelihood after safeguards from the calculated frequency 9.2E-4 /yr.</t>
        </is>
      </c>
      <c r="G14" s="20" t="inlineStr">
        <is>
          <t>5 – Catastrophic</t>
        </is>
      </c>
      <c r="H14" s="20" t="inlineStr">
        <is>
          <t>5 – Almost certain</t>
        </is>
      </c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inlineStr">
        <is>
          <t>• BMS-4000 – Reheat furnace BMS flame-failure shut-off (scanners BS-4010, logic BMS-4000, SSOVs XV-4002A/B)  [IPL]
• Furnace draught / post-purge removes unburnt gas through the stack before it can ignite  [Non-IPL]
• Furnace explosion relief doors; no-go zone around burner platforms during light-off  [IPL]</t>
        </is>
      </c>
      <c r="L14" s="31">
        <f>IF(K14="","",(LEN(K14)-LEN(SUBSTITUTE(K14,"[IPL]","")))/5)</f>
        <v/>
      </c>
      <c r="M14" s="20" t="inlineStr">
        <is>
          <t>5 – Catastrophic</t>
        </is>
      </c>
      <c r="N14" s="20" t="inlineStr">
        <is>
          <t>2 – Unlikely</t>
        </is>
      </c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inlineStr">
        <is>
          <t>R-010 Upgrade the reheat furnace flame-failure shut-off to meet SIL 2 (fault tree FT-GN-03 PFDavg 1.1E-2 = SIL 1 band; event tree ETA-GN-02 explosion frequency 9.2E-4 /yr vs target 1E-4): self-checking UV scanners 1oo2 per burner, proof-tested SSOVs, BMS logic solver to IEC 61511 / EN 746-2.
R-012 Bypass / override management for BMS, SIS and gas detectors: authorisation, time limit, logging and monthly audit; BMS logic changes only under MOC.</t>
        </is>
      </c>
      <c r="R14" s="5" t="inlineStr">
        <is>
          <t>Instrument engineer / HSE / process safety</t>
        </is>
      </c>
    </row>
    <row r="15" ht="90" customHeight="1">
      <c r="A15" s="31">
        <f>IF(B15="","",COUNTIF(B$14:B15,"?*"))</f>
        <v/>
      </c>
      <c r="B15" s="5" t="inlineStr">
        <is>
          <t>Pressure</t>
        </is>
      </c>
      <c r="C15" s="20" t="inlineStr">
        <is>
          <t>MORE</t>
        </is>
      </c>
      <c r="D15" s="6">
        <f>IF(OR(B15="",C15=""),"",UPPER(LEFT(C15,1))&amp;LOWER(MID(C15,2,30))&amp;" "&amp;LOWER(LEFT(B15,1))&amp;MID(B15,2,200))</f>
        <v/>
      </c>
      <c r="E15" s="5" t="inlineStr">
        <is>
          <t>• Failed-open pressure control valves (PCVs)
• Incorrect operation</t>
        </is>
      </c>
      <c r="F15" s="5" t="inlineStr">
        <is>
          <t>Flame lift-off and flame-out (then as N06-01); over-firing – skid / refractory damage
[N06-02] BMS not credited separately – the PSHH trip acts through the same logic solver.</t>
        </is>
      </c>
      <c r="G15" s="20" t="inlineStr">
        <is>
          <t>4 – Major</t>
        </is>
      </c>
      <c r="H15" s="20" t="inlineStr">
        <is>
          <t>3 – Possible</t>
        </is>
      </c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inlineStr">
        <is>
          <t>• PSHH-4006 – High-high fuel gas pressure trip to BMS-4000  [IPL]
• BMS-4000 – Reheat furnace BMS flame-failure shut-off (scanners BS-4010, logic BMS-4000, SSOVs XV-4002A/B)  [Non-IPL]</t>
        </is>
      </c>
      <c r="L15" s="31">
        <f>IF(K15="","",(LEN(K15)-LEN(SUBSTITUTE(K15,"[IPL]","")))/5)</f>
        <v/>
      </c>
      <c r="M15" s="20" t="inlineStr">
        <is>
          <t>4 – Major</t>
        </is>
      </c>
      <c r="N15" s="20" t="inlineStr">
        <is>
          <t>2 – Unlikely</t>
        </is>
      </c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inlineStr"/>
      <c r="R15" s="5" t="inlineStr"/>
    </row>
    <row r="16" ht="90" customHeight="1">
      <c r="A16" s="31">
        <f>IF(B16="","",COUNTIF(B$14:B16,"?*"))</f>
        <v/>
      </c>
      <c r="B16" s="5" t="inlineStr">
        <is>
          <t>Flow</t>
        </is>
      </c>
      <c r="C16" s="20" t="inlineStr">
        <is>
          <t>LESS</t>
        </is>
      </c>
      <c r="D16" s="6">
        <f>IF(OR(B16="",C16=""),"",UPPER(LEFT(C16,1))&amp;LOWER(MID(C16,2,30))&amp;" "&amp;LOWER(LEFT(B16,1))&amp;MID(B16,2,200))</f>
        <v/>
      </c>
      <c r="E16" s="5" t="inlineStr">
        <is>
          <t>• Line restriction; valve partly closed
• Combustion air fan FN-4007 trip / damper closed</t>
        </is>
      </c>
      <c r="F16" s="5" t="inlineStr">
        <is>
          <t>Fuel-rich combustion – CO, unburnt gas accumulating in the furnace; explosion when air is restored
[N06-03] Bow tie BT-GN-02 threat T4.</t>
        </is>
      </c>
      <c r="G16" s="20" t="inlineStr">
        <is>
          <t>5 – Catastrophic</t>
        </is>
      </c>
      <c r="H16" s="20" t="inlineStr">
        <is>
          <t>3 – Possible</t>
        </is>
      </c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inlineStr">
        <is>
          <t>• FSLL-4008 – Low-low combustion air flow trip (fan FN-4007) to BMS-4000  [IPL]
• Cross-limited air / fuel ratio control  [Non-IPL]</t>
        </is>
      </c>
      <c r="L16" s="31">
        <f>IF(K16="","",(LEN(K16)-LEN(SUBSTITUTE(K16,"[IPL]","")))/5)</f>
        <v/>
      </c>
      <c r="M16" s="20" t="inlineStr">
        <is>
          <t>5 – Catastrophic</t>
        </is>
      </c>
      <c r="N16" s="20" t="inlineStr">
        <is>
          <t>1 – Rare</t>
        </is>
      </c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inlineStr"/>
      <c r="R16" s="5" t="inlineStr"/>
    </row>
    <row r="17" ht="90" customHeight="1">
      <c r="A17" s="31">
        <f>IF(B17="","",COUNTIF(B$14:B17,"?*"))</f>
        <v/>
      </c>
      <c r="B17" s="5" t="inlineStr">
        <is>
          <t>Timing / sequence</t>
        </is>
      </c>
      <c r="C17" s="20" t="inlineStr">
        <is>
          <t>BEFORE</t>
        </is>
      </c>
      <c r="D17" s="6">
        <f>IF(OR(B17="",C17=""),"",UPPER(LEFT(C17,1))&amp;LOWER(MID(C17,2,30))&amp;" "&amp;LOWER(LEFT(B17,1))&amp;MID(B17,2,200))</f>
        <v/>
      </c>
      <c r="E17" s="5" t="inlineStr">
        <is>
          <t>• Purge interlock bypassed / forced
• Auto / manual facility and human error</t>
        </is>
      </c>
      <c r="F17" s="5" t="inlineStr">
        <is>
          <t>Light-off into a furnace containing gas from a previous attempt – explosion
[N06-04] Bow tie BT-GN-02 threat T3.</t>
        </is>
      </c>
      <c r="G17" s="20" t="inlineStr">
        <is>
          <t>5 – Catastrophic</t>
        </is>
      </c>
      <c r="H17" s="20" t="inlineStr">
        <is>
          <t>3 – Possible</t>
        </is>
      </c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inlineStr">
        <is>
          <t>• BMS-4000 purge – BMS pre-purge interlock (≥ 4 volume changes with proven air flow) before light-off  [IPL]
• Light-off procedure OP-RM-040 and checklist; no manual torch lighting  [Non-IPL]</t>
        </is>
      </c>
      <c r="L17" s="31">
        <f>IF(K17="","",(LEN(K17)-LEN(SUBSTITUTE(K17,"[IPL]","")))/5)</f>
        <v/>
      </c>
      <c r="M17" s="20" t="inlineStr">
        <is>
          <t>5 – Catastrophic</t>
        </is>
      </c>
      <c r="N17" s="20" t="inlineStr">
        <is>
          <t>2 – Unlikely</t>
        </is>
      </c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inlineStr">
        <is>
          <t>R-012 Bypass / override management for BMS, SIS and gas detectors: authorisation, time limit, logging and monthly audit; BMS logic changes only under MOC.</t>
        </is>
      </c>
      <c r="R17" s="5" t="inlineStr">
        <is>
          <t>HSE / process safety</t>
        </is>
      </c>
    </row>
    <row r="18" ht="90" customHeight="1">
      <c r="A18" s="31">
        <f>IF(B18="","",COUNTIF(B$14:B18,"?*"))</f>
        <v/>
      </c>
      <c r="B18" s="5" t="inlineStr">
        <is>
          <t>Process gas (CO, H2 – BFG, COG, LD gas, reducing gas)</t>
        </is>
      </c>
      <c r="C18" s="20" t="inlineStr">
        <is>
          <t>LEAK OF</t>
        </is>
      </c>
      <c r="D18" s="6">
        <f>IF(OR(B18="",C18=""),"",UPPER(LEFT(C18,1))&amp;LOWER(MID(C18,2,30))&amp;" "&amp;LOWER(LEFT(B18,1))&amp;MID(B18,2,200))</f>
        <v/>
      </c>
      <c r="E18" s="5" t="inlineStr">
        <is>
          <t>• Poor isolation / passing valves
• Isolation failure during maintenance (no double block and bleed, no blinding)</t>
        </is>
      </c>
      <c r="F18" s="5" t="inlineStr">
        <is>
          <t>Gas accumulates in a cold, idle furnace – explosion at the next light-off or hot work; asphyxiation / fire during furnace entry
[N06-05] Bow tie BT-GN-02 threat T2; FMECA S06 XV-4002A (leakage in closed position).</t>
        </is>
      </c>
      <c r="G18" s="20" t="inlineStr">
        <is>
          <t>5 – Catastrophic</t>
        </is>
      </c>
      <c r="H18" s="20" t="inlineStr">
        <is>
          <t>3 – Possible</t>
        </is>
      </c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inlineStr">
        <is>
          <t>• VPS-4004 – Valve proving system – tightness test of XV-4002A/B before light-off; DBB vent XV-4003  [IPL]
• Positive isolation (spade / spectacle blind) of fuel gas for furnace entry and extended shutdowns; gas test before entry  [Non-IPL]</t>
        </is>
      </c>
      <c r="L18" s="31">
        <f>IF(K18="","",(LEN(K18)-LEN(SUBSTITUTE(K18,"[IPL]","")))/5)</f>
        <v/>
      </c>
      <c r="M18" s="20" t="inlineStr">
        <is>
          <t>5 – Catastrophic</t>
        </is>
      </c>
      <c r="N18" s="20" t="inlineStr">
        <is>
          <t>2 – Unlikely</t>
        </is>
      </c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inlineStr">
        <is>
          <t>R-011 Valve proving (VPS-4004) of XV-4002A/B before every light-off; positive isolation (spade) for furnace entry and extended shutdowns (bow tie BT-GN-02 threat 2).</t>
        </is>
      </c>
      <c r="R18" s="5" t="inlineStr">
        <is>
          <t>Rolling-mill superintendent</t>
        </is>
      </c>
    </row>
    <row r="19" ht="90" customHeight="1">
      <c r="A19" s="31">
        <f>IF(B19="","",COUNTIF(B$14:B19,"?*"))</f>
        <v/>
      </c>
      <c r="B19" s="5" t="inlineStr">
        <is>
          <t>Process control / instrumentation</t>
        </is>
      </c>
      <c r="C19" s="20" t="inlineStr">
        <is>
          <t>LOSS OF</t>
        </is>
      </c>
      <c r="D19" s="6">
        <f>IF(OR(B19="",C19=""),"",UPPER(LEFT(C19,1))&amp;LOWER(MID(C19,2,30))&amp;" "&amp;LOWER(LEFT(B19,1))&amp;MID(B19,2,200))</f>
        <v/>
      </c>
      <c r="E19" s="5" t="inlineStr">
        <is>
          <t>• Alarm flooding; bypassed trips
• Alarm and trip testing not done
• Control philosophy unclear</t>
        </is>
      </c>
      <c r="F19" s="5" t="inlineStr">
        <is>
          <t>Flame-failure, purge or pressure trips not available – as N06-01 / N06-04
[N06-06] Bypass of the BMS is event BE-009 in fault tree FT-GN-03.</t>
        </is>
      </c>
      <c r="G19" s="20" t="inlineStr">
        <is>
          <t>5 – Catastrophic</t>
        </is>
      </c>
      <c r="H19" s="20" t="inlineStr">
        <is>
          <t>3 – Possible</t>
        </is>
      </c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inlineStr">
        <is>
          <t>• Bypass / override management – authorised, time-limited, logged; monthly audit  [Non-IPL]
• Management of change for BMS / SIS logic and set-point changes  [Non-IPL]</t>
        </is>
      </c>
      <c r="L19" s="31">
        <f>IF(K19="","",(LEN(K19)-LEN(SUBSTITUTE(K19,"[IPL]","")))/5)</f>
        <v/>
      </c>
      <c r="M19" s="20" t="inlineStr">
        <is>
          <t>5 – Catastrophic</t>
        </is>
      </c>
      <c r="N19" s="20" t="inlineStr">
        <is>
          <t>2 – Unlikely</t>
        </is>
      </c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inlineStr">
        <is>
          <t>R-012 Bypass / override management for BMS, SIS and gas detectors: authorisation, time limit, logging and monthly audit; BMS logic changes only under MOC.</t>
        </is>
      </c>
      <c r="R19" s="5" t="inlineStr">
        <is>
          <t>HSE / process safety</t>
        </is>
      </c>
    </row>
    <row r="20" ht="90" customHeight="1">
      <c r="A20" s="31">
        <f>IF(B20="","",COUNTIF(B$14:B20,"?*"))</f>
        <v/>
      </c>
      <c r="B20" s="5" t="inlineStr">
        <is>
          <t>Maintenance</t>
        </is>
      </c>
      <c r="C20" s="20" t="inlineStr">
        <is>
          <t>INADEQUATE</t>
        </is>
      </c>
      <c r="D20" s="6">
        <f>IF(OR(B20="",C20=""),"",UPPER(LEFT(C20,1))&amp;LOWER(MID(C20,2,30))&amp;" "&amp;LOWER(LEFT(B20,1))&amp;MID(B20,2,200))</f>
        <v/>
      </c>
      <c r="E20" s="5" t="inlineStr">
        <is>
          <t>• Isolation, drainage, purging
• Slip plates
• Rescue plan</t>
        </is>
      </c>
      <c r="F20" s="5" t="inlineStr">
        <is>
          <t>Fire / explosion or asphyxiation of people inside the furnace
[N06-07]</t>
        </is>
      </c>
      <c r="G20" s="20" t="inlineStr">
        <is>
          <t>5 – Catastrophic</t>
        </is>
      </c>
      <c r="H20" s="20" t="inlineStr">
        <is>
          <t>2 – Unlikely</t>
        </is>
      </c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inlineStr">
        <is>
          <t>• Positive isolation (spade / spectacle blind) of fuel gas for furnace entry and extended shutdowns; gas test before entry  [Non-IPL]
• Permit-to-work with isolation verification (DBB / spades), gas-free test and fire watch  [Non-IPL]
• Personal O2 monitors; confined-space entry permit for shelters, pits and furnaces  [Non-IPL]</t>
        </is>
      </c>
      <c r="L20" s="31">
        <f>IF(K20="","",(LEN(K20)-LEN(SUBSTITUTE(K20,"[IPL]","")))/5)</f>
        <v/>
      </c>
      <c r="M20" s="20" t="inlineStr">
        <is>
          <t>5 – Catastrophic</t>
        </is>
      </c>
      <c r="N20" s="20" t="inlineStr">
        <is>
          <t>1 – Rare</t>
        </is>
      </c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inlineStr">
        <is>
          <t>R-011 Valve proving (VPS-4004) of XV-4002A/B before every light-off; positive isolation (spade) for furnace entry and extended shutdowns (bow tie BT-GN-02 threat 2).</t>
        </is>
      </c>
      <c r="R20" s="5" t="inlineStr">
        <is>
          <t>Rolling-mill superintendent</t>
        </is>
      </c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2.xml><?xml version="1.0" encoding="utf-8"?>
<worksheet xmlns="http://schemas.openxmlformats.org/spreadsheetml/2006/main">
  <sheetPr codeName="Sheet12">
    <outlinePr summaryBelow="1" summaryRight="1"/>
    <pageSetUpPr fitToPage="1"/>
  </sheetPr>
  <dimension ref="A1:AM163"/>
  <sheetViews>
    <sheetView workbookViewId="0">
      <pane xSplit="4" ySplit="13" topLeftCell="E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inlineStr">
        <is>
          <t>N07 – Purge, vent, blowdown and maintenance isolation</t>
        </is>
      </c>
      <c r="E3" s="9" t="n"/>
      <c r="F3" s="9" t="n"/>
      <c r="G3" s="9" t="n"/>
      <c r="H3" s="9" t="n"/>
      <c r="I3" s="9" t="n"/>
      <c r="J3" s="10" t="n"/>
      <c r="K3" s="27" t="inlineStr">
        <is>
          <t>Session date</t>
        </is>
      </c>
      <c r="L3" s="14" t="n">
        <v>46308</v>
      </c>
      <c r="M3" s="10" t="n"/>
      <c r="N3" s="27" t="inlineStr">
        <is>
          <t>Revision</t>
        </is>
      </c>
      <c r="O3" s="5" t="inlineStr">
        <is>
          <t>A</t>
        </is>
      </c>
    </row>
    <row r="4" ht="16" customHeight="1">
      <c r="A4" s="11" t="inlineStr">
        <is>
          <t>Node title</t>
        </is>
      </c>
      <c r="B4" s="9" t="n"/>
      <c r="C4" s="10" t="n"/>
      <c r="D4" s="7">
        <f>IF($D$3="","",IFERROR(INDEX(Nodes!$B$5:$B$34,MATCH($D$3,Nodes!$C$5:$C$34,0))&amp;"",""))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9" t="n"/>
      <c r="P4" s="9" t="n"/>
      <c r="Q4" s="9" t="n"/>
      <c r="R4" s="10" t="n"/>
    </row>
    <row r="5" ht="16" customHeight="1">
      <c r="A5" s="11" t="inlineStr">
        <is>
          <t>P&amp;IDs / drawings</t>
        </is>
      </c>
      <c r="B5" s="9" t="n"/>
      <c r="C5" s="10" t="n"/>
      <c r="D5" s="7">
        <f>IF($D$3="","",IFERROR(INDEX(Nodes!$D$5:$D$34,MATCH($D$3,Nodes!$C$5:$C$34,0))&amp;"",""))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0" t="n"/>
    </row>
    <row r="6" ht="30" customHeight="1">
      <c r="A6" s="11" t="inlineStr">
        <is>
          <t>Battery limits</t>
        </is>
      </c>
      <c r="B6" s="9" t="n"/>
      <c r="C6" s="10" t="n"/>
      <c r="D6" s="7">
        <f>IF($D$3="","",IFERROR(INDEX(Nodes!$E$5:$E$34,MATCH($D$3,Nodes!$C$5:$C$34,0))&amp;"",""))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10" t="n"/>
    </row>
    <row r="7" ht="30" customHeight="1">
      <c r="A7" s="11" t="inlineStr">
        <is>
          <t>Functional description / design intent</t>
        </is>
      </c>
      <c r="B7" s="9" t="n"/>
      <c r="C7" s="10" t="n"/>
      <c r="D7" s="7">
        <f>IF($D$3="","",IFERROR(INDEX(Nodes!$F$5:$F$34,MATCH($D$3,Nodes!$C$5:$C$34,0))&amp;"",""))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10" t="n"/>
    </row>
    <row r="8" ht="16" customHeight="1">
      <c r="A8" s="11" t="inlineStr">
        <is>
          <t>Design parameters</t>
        </is>
      </c>
      <c r="B8" s="9" t="n"/>
      <c r="C8" s="10" t="n"/>
      <c r="D8" s="7">
        <f>IF($D$3="","",IFERROR(INDEX(Nodes!$G$5:$G$34,MATCH($D$3,Nodes!$C$5:$C$34,0))&amp;"",""))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0" t="n"/>
    </row>
    <row r="9" ht="16" customHeight="1">
      <c r="A9" s="11" t="inlineStr">
        <is>
          <t>Operating parameters</t>
        </is>
      </c>
      <c r="B9" s="9" t="n"/>
      <c r="C9" s="10" t="n"/>
      <c r="D9" s="7">
        <f>IF($D$3="","",IFERROR(INDEX(Nodes!$H$5:$H$34,MATCH($D$3,Nodes!$C$5:$C$34,0))&amp;"",""))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0" t="n"/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9" t="n"/>
      <c r="C12" s="9" t="n"/>
      <c r="D12" s="10" t="n"/>
      <c r="E12" s="8" t="inlineStr">
        <is>
          <t>CAUSES &amp; CONSEQUENCES</t>
        </is>
      </c>
      <c r="F12" s="10" t="n"/>
      <c r="G12" s="8" t="inlineStr">
        <is>
          <t>RISK BEFORE SAFEGUARDS</t>
        </is>
      </c>
      <c r="H12" s="9" t="n"/>
      <c r="I12" s="9" t="n"/>
      <c r="J12" s="10" t="n"/>
      <c r="K12" s="8" t="inlineStr">
        <is>
          <t>SAFEGUARDS</t>
        </is>
      </c>
      <c r="L12" s="10" t="n"/>
      <c r="M12" s="8" t="inlineStr">
        <is>
          <t>RISK AFTER SAFEGUARDS</t>
        </is>
      </c>
      <c r="N12" s="9" t="n"/>
      <c r="O12" s="9" t="n"/>
      <c r="P12" s="10" t="n"/>
      <c r="Q12" s="8" t="inlineStr">
        <is>
          <t>RECOMMENDATIONS</t>
        </is>
      </c>
      <c r="R12" s="1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90" customHeight="1">
      <c r="A14" s="31">
        <f>IF(B14="","",COUNTIF(B$14:B14,"?*"))</f>
        <v/>
      </c>
      <c r="B14" s="5" t="inlineStr">
        <is>
          <t>Air / oxygen in process gas</t>
        </is>
      </c>
      <c r="C14" s="20" t="inlineStr">
        <is>
          <t>AS WELL AS</t>
        </is>
      </c>
      <c r="D14" s="6">
        <f>IF(OR(B14="",C14=""),"",UPPER(LEFT(C14,1))&amp;LOWER(MID(C14,2,30))&amp;" "&amp;LOWER(LEFT(B14,1))&amp;MID(B14,2,200))</f>
        <v/>
      </c>
      <c r="E14" s="5" t="inlineStr">
        <is>
          <t>• Inadequate purging at start-up / shutdown
• Dead legs not purged</t>
        </is>
      </c>
      <c r="F14" s="5" t="inlineStr">
        <is>
          <t>Flammable mixture in the line on gas-in – internal deflagration; flashback at the first burner lit
[N07-01] See N03-03.</t>
        </is>
      </c>
      <c r="G14" s="20" t="inlineStr">
        <is>
          <t>5 – Catastrophic</t>
        </is>
      </c>
      <c r="H14" s="20" t="inlineStr">
        <is>
          <t>3 – Possible</t>
        </is>
      </c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inlineStr">
        <is>
          <t>• Written purge plan OP-GN-020: N2 purge to O2 &lt; 2 % before gas-in and gas &gt; 90 % at the vent before relight (portable analyser)  [Non-IPL]</t>
        </is>
      </c>
      <c r="L14" s="31">
        <f>IF(K14="","",(LEN(K14)-LEN(SUBSTITUTE(K14,"[IPL]","")))/5)</f>
        <v/>
      </c>
      <c r="M14" s="20" t="inlineStr">
        <is>
          <t>5 – Catastrophic</t>
        </is>
      </c>
      <c r="N14" s="20" t="inlineStr">
        <is>
          <t>2 – Unlikely</t>
        </is>
      </c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inlineStr">
        <is>
          <t>R-015 Purge plan for every gas-in / gas-out: N2 purge with O2 &lt; 2 % confirmed before gas-in and gas &gt; 90 % confirmed at the vent before relight; calibrated portable analysers.</t>
        </is>
      </c>
      <c r="R14" s="5" t="inlineStr">
        <is>
          <t>Operations superintendent</t>
        </is>
      </c>
    </row>
    <row r="15" ht="90" customHeight="1">
      <c r="A15" s="31">
        <f>IF(B15="","",COUNTIF(B$14:B15,"?*"))</f>
        <v/>
      </c>
      <c r="B15" s="5" t="inlineStr">
        <is>
          <t>Inert gas (N2, Ar)</t>
        </is>
      </c>
      <c r="C15" s="20" t="inlineStr">
        <is>
          <t>LEAK OF</t>
        </is>
      </c>
      <c r="D15" s="6">
        <f>IF(OR(B15="",C15=""),"",UPPER(LEFT(C15,1))&amp;LOWER(MID(C15,2,30))&amp;" "&amp;LOWER(LEFT(B15,1))&amp;MID(B15,2,200))</f>
        <v/>
      </c>
      <c r="E15" s="5" t="inlineStr">
        <is>
          <t>• Leak or purge into enclosed or confined area
• Pit, tunnel or bin atmosphere not tested before entry</t>
        </is>
      </c>
      <c r="F15" s="5" t="inlineStr">
        <is>
          <t>Asphyxiation of people in the PRS shelter, valve pits or furnace
[N07-02]</t>
        </is>
      </c>
      <c r="G15" s="20" t="inlineStr">
        <is>
          <t>5 – Catastrophic</t>
        </is>
      </c>
      <c r="H15" s="20" t="inlineStr">
        <is>
          <t>3 – Possible</t>
        </is>
      </c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inlineStr">
        <is>
          <t>• Personal O2 monitors; confined-space entry permit for shelters, pits and furnaces  [Non-IPL]
• PRS shelter natural ventilation (louvres at high and low level)  [Non-IPL]</t>
        </is>
      </c>
      <c r="L15" s="31">
        <f>IF(K15="","",(LEN(K15)-LEN(SUBSTITUTE(K15,"[IPL]","")))/5)</f>
        <v/>
      </c>
      <c r="M15" s="20" t="inlineStr">
        <is>
          <t>5 – Catastrophic</t>
        </is>
      </c>
      <c r="N15" s="20" t="inlineStr">
        <is>
          <t>2 – Unlikely</t>
        </is>
      </c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inlineStr"/>
      <c r="R15" s="5" t="inlineStr"/>
    </row>
    <row r="16" ht="90" customHeight="1">
      <c r="A16" s="31">
        <f>IF(B16="","",COUNTIF(B$14:B16,"?*"))</f>
        <v/>
      </c>
      <c r="B16" s="5" t="inlineStr">
        <is>
          <t>Flow</t>
        </is>
      </c>
      <c r="C16" s="20" t="inlineStr">
        <is>
          <t>REVERSE</t>
        </is>
      </c>
      <c r="D16" s="6">
        <f>IF(OR(B16="",C16=""),"",UPPER(LEFT(C16,1))&amp;LOWER(MID(C16,2,30))&amp;" "&amp;LOWER(LEFT(B16,1))&amp;MID(B16,2,200))</f>
        <v/>
      </c>
      <c r="E16" s="5" t="inlineStr">
        <is>
          <t>• Utility station connected to process (nitrogen hose left connected)
• N2 header pressure below gas pressure (7 barg)</t>
        </is>
      </c>
      <c r="F16" s="5" t="inlineStr">
        <is>
          <t>NG in the plant N2 system: flammable gas delivered wherever N2 is used for inerting – including the hot DRI conveyor N2 fire-protection system XS-210 (see the hot DRI conveyor example)
[N07-03] FMECA S07 N2-1304; interface with the hot DRI conveyor example.</t>
        </is>
      </c>
      <c r="G16" s="20" t="inlineStr">
        <is>
          <t>5 – Catastrophic</t>
        </is>
      </c>
      <c r="H16" s="20" t="inlineStr">
        <is>
          <t>3 – Possible</t>
        </is>
      </c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inlineStr">
        <is>
          <t>• N2-1304 – N2 purge connections by removable spool / hose with check valve and double block &amp; bleed; disconnected after use  [Non-IPL]</t>
        </is>
      </c>
      <c r="L16" s="31">
        <f>IF(K16="","",(LEN(K16)-LEN(SUBSTITUTE(K16,"[IPL]","")))/5)</f>
        <v/>
      </c>
      <c r="M16" s="20" t="inlineStr">
        <is>
          <t>5 – Catastrophic</t>
        </is>
      </c>
      <c r="N16" s="20" t="inlineStr">
        <is>
          <t>2 – Unlikely</t>
        </is>
      </c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inlineStr">
        <is>
          <t>R-014 N2 purge connections to the gas system by removable spool / hose only, with check valve and double block &amp; bleed; disconnect after use (prevents NG back-flow into the plant N2 header that also feeds the hot DRI conveyor N2 system XS-210).</t>
        </is>
      </c>
      <c r="R16" s="5" t="inlineStr">
        <is>
          <t>Utilities manager</t>
        </is>
      </c>
    </row>
    <row r="17" ht="90" customHeight="1">
      <c r="A17" s="31">
        <f>IF(B17="","",COUNTIF(B$14:B17,"?*"))</f>
        <v/>
      </c>
      <c r="B17" s="5" t="inlineStr">
        <is>
          <t>Relief</t>
        </is>
      </c>
      <c r="C17" s="20" t="inlineStr">
        <is>
          <t>INADEQUATE</t>
        </is>
      </c>
      <c r="D17" s="6">
        <f>IF(OR(B17="",C17=""),"",UPPER(LEFT(C17,1))&amp;LOWER(MID(C17,2,30))&amp;" "&amp;LOWER(LEFT(B17,1))&amp;MID(B17,2,200))</f>
        <v/>
      </c>
      <c r="E17" s="5" t="inlineStr">
        <is>
          <t>• Relief valve discharge location unsafe (to work areas, ignition sources)
• Pollution implications of discharge</t>
        </is>
      </c>
      <c r="F17" s="5" t="inlineStr">
        <is>
          <t>Cold-vented gas drifts to platforms or the heater flues – flash fire
[N07-04]</t>
        </is>
      </c>
      <c r="G17" s="20" t="inlineStr">
        <is>
          <t>4 – Major</t>
        </is>
      </c>
      <c r="H17" s="20" t="inlineStr">
        <is>
          <t>3 – Possible</t>
        </is>
      </c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inlineStr">
        <is>
          <t>• VS-1301 – Vent stack VS-1301 3 m above the nearest platform, away from heater flues; N2 snuffing  [Non-IPL]</t>
        </is>
      </c>
      <c r="L17" s="31">
        <f>IF(K17="","",(LEN(K17)-LEN(SUBSTITUTE(K17,"[IPL]","")))/5)</f>
        <v/>
      </c>
      <c r="M17" s="20" t="inlineStr">
        <is>
          <t>4 – Major</t>
        </is>
      </c>
      <c r="N17" s="20" t="inlineStr">
        <is>
          <t>2 – Unlikely</t>
        </is>
      </c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inlineStr">
        <is>
          <t>R-005 Route all regulator pilot / diaphragm vents and the PSV-1105 discharge to vent stack VS-1301 outside the PRS shelter; confirm by dispersion check that the vent is clear of heater flues and platforms.</t>
        </is>
      </c>
      <c r="R17" s="5" t="inlineStr">
        <is>
          <t>Process engineer</t>
        </is>
      </c>
    </row>
    <row r="18" ht="90" customHeight="1">
      <c r="A18" s="31">
        <f>IF(B18="","",COUNTIF(B$14:B18,"?*"))</f>
        <v/>
      </c>
      <c r="B18" s="5" t="inlineStr">
        <is>
          <t>Maintenance</t>
        </is>
      </c>
      <c r="C18" s="20" t="inlineStr">
        <is>
          <t>INADEQUATE</t>
        </is>
      </c>
      <c r="D18" s="6">
        <f>IF(OR(B18="",C18=""),"",UPPER(LEFT(C18,1))&amp;LOWER(MID(C18,2,30))&amp;" "&amp;LOWER(LEFT(B18,1))&amp;MID(B18,2,200))</f>
        <v/>
      </c>
      <c r="E18" s="5" t="inlineStr">
        <is>
          <t>• Work permit system
• Isolation, drainage, purging
• [S] Hot work near gas mains or dust; work under suspended loads; work inside cooled-down furnaces</t>
        </is>
      </c>
      <c r="F18" s="5" t="inlineStr">
        <is>
          <t>Ignition of gas at the work site – fire, burns
[N07-05] Bow tie BT-GN-01 threat T5.</t>
        </is>
      </c>
      <c r="G18" s="20" t="inlineStr">
        <is>
          <t>4 – Major</t>
        </is>
      </c>
      <c r="H18" s="20" t="inlineStr">
        <is>
          <t>3 – Possible</t>
        </is>
      </c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inlineStr">
        <is>
          <t>• Permit-to-work with isolation verification (DBB / spades), gas-free test and fire watch  [Non-IPL]
• Hot-tapping procedure (minimum flow, wall-thickness check, specialist contractor)  [Non-IPL]</t>
        </is>
      </c>
      <c r="L18" s="31">
        <f>IF(K18="","",(LEN(K18)-LEN(SUBSTITUTE(K18,"[IPL]","")))/5)</f>
        <v/>
      </c>
      <c r="M18" s="20" t="inlineStr">
        <is>
          <t>4 – Major</t>
        </is>
      </c>
      <c r="N18" s="20" t="inlineStr">
        <is>
          <t>2 – Unlikely</t>
        </is>
      </c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inlineStr"/>
      <c r="R18" s="5" t="inlineStr"/>
    </row>
    <row r="19" ht="90" customHeight="1">
      <c r="A19" s="31">
        <f>IF(B19="","",COUNTIF(B$14:B19,"?*"))</f>
        <v/>
      </c>
      <c r="B19" s="5" t="inlineStr">
        <is>
          <t>Operator action</t>
        </is>
      </c>
      <c r="C19" s="20" t="inlineStr">
        <is>
          <t>NO</t>
        </is>
      </c>
      <c r="D19" s="6">
        <f>IF(OR(B19="",C19=""),"",UPPER(LEFT(C19,1))&amp;LOWER(MID(C19,2,30))&amp;" "&amp;LOWER(LEFT(B19,1))&amp;MID(B19,2,200))</f>
        <v/>
      </c>
      <c r="E19" s="5" t="inlineStr">
        <is>
          <t>• Drain or vent valves left open
• Valve line-up not checked after maintenance</t>
        </is>
      </c>
      <c r="F19" s="5" t="inlineStr">
        <is>
          <t>Gas released through an open vent or blind flange on gas-in
[N07-06]</t>
        </is>
      </c>
      <c r="G19" s="20" t="inlineStr">
        <is>
          <t>4 – Major</t>
        </is>
      </c>
      <c r="H19" s="20" t="inlineStr">
        <is>
          <t>3 – Possible</t>
        </is>
      </c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inlineStr">
        <is>
          <t>• Valve line-up checklist and spectacle-blind register  [Non-IPL]
• Operator rounds with portable gas detector; annual acoustic leak survey  [Non-IPL]</t>
        </is>
      </c>
      <c r="L19" s="31">
        <f>IF(K19="","",(LEN(K19)-LEN(SUBSTITUTE(K19,"[IPL]","")))/5)</f>
        <v/>
      </c>
      <c r="M19" s="20" t="inlineStr">
        <is>
          <t>4 – Major</t>
        </is>
      </c>
      <c r="N19" s="20" t="inlineStr">
        <is>
          <t>2 – Unlikely</t>
        </is>
      </c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inlineStr">
        <is>
          <t>R-015 Purge plan for every gas-in / gas-out: N2 purge with O2 &lt; 2 % confirmed before gas-in and gas &gt; 90 % confirmed at the vent before relight; calibrated portable analysers.</t>
        </is>
      </c>
      <c r="R19" s="5" t="inlineStr">
        <is>
          <t>Operations superintendent</t>
        </is>
      </c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3.xml><?xml version="1.0" encoding="utf-8"?>
<worksheet xmlns="http://schemas.openxmlformats.org/spreadsheetml/2006/main">
  <sheetPr codeName="Sheet13">
    <outlinePr summaryBelow="1" summaryRight="1"/>
    <pageSetUpPr fitToPage="1"/>
  </sheetPr>
  <dimension ref="A1:AM163"/>
  <sheetViews>
    <sheetView workbookViewId="0">
      <pane xSplit="4" ySplit="13" topLeftCell="E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inlineStr">
        <is>
          <t>N08 – Gas detection, F&amp;G and ESD system</t>
        </is>
      </c>
      <c r="E3" s="9" t="n"/>
      <c r="F3" s="9" t="n"/>
      <c r="G3" s="9" t="n"/>
      <c r="H3" s="9" t="n"/>
      <c r="I3" s="9" t="n"/>
      <c r="J3" s="10" t="n"/>
      <c r="K3" s="27" t="inlineStr">
        <is>
          <t>Session date</t>
        </is>
      </c>
      <c r="L3" s="14" t="n">
        <v>46309</v>
      </c>
      <c r="M3" s="10" t="n"/>
      <c r="N3" s="27" t="inlineStr">
        <is>
          <t>Revision</t>
        </is>
      </c>
      <c r="O3" s="5" t="inlineStr">
        <is>
          <t>A</t>
        </is>
      </c>
    </row>
    <row r="4" ht="16" customHeight="1">
      <c r="A4" s="11" t="inlineStr">
        <is>
          <t>Node title</t>
        </is>
      </c>
      <c r="B4" s="9" t="n"/>
      <c r="C4" s="10" t="n"/>
      <c r="D4" s="7">
        <f>IF($D$3="","",IFERROR(INDEX(Nodes!$B$5:$B$34,MATCH($D$3,Nodes!$C$5:$C$34,0))&amp;"",""))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9" t="n"/>
      <c r="P4" s="9" t="n"/>
      <c r="Q4" s="9" t="n"/>
      <c r="R4" s="10" t="n"/>
    </row>
    <row r="5" ht="16" customHeight="1">
      <c r="A5" s="11" t="inlineStr">
        <is>
          <t>P&amp;IDs / drawings</t>
        </is>
      </c>
      <c r="B5" s="9" t="n"/>
      <c r="C5" s="10" t="n"/>
      <c r="D5" s="7">
        <f>IF($D$3="","",IFERROR(INDEX(Nodes!$D$5:$D$34,MATCH($D$3,Nodes!$C$5:$C$34,0))&amp;"",""))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0" t="n"/>
    </row>
    <row r="6" ht="30" customHeight="1">
      <c r="A6" s="11" t="inlineStr">
        <is>
          <t>Battery limits</t>
        </is>
      </c>
      <c r="B6" s="9" t="n"/>
      <c r="C6" s="10" t="n"/>
      <c r="D6" s="7">
        <f>IF($D$3="","",IFERROR(INDEX(Nodes!$E$5:$E$34,MATCH($D$3,Nodes!$C$5:$C$34,0))&amp;"",""))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10" t="n"/>
    </row>
    <row r="7" ht="30" customHeight="1">
      <c r="A7" s="11" t="inlineStr">
        <is>
          <t>Functional description / design intent</t>
        </is>
      </c>
      <c r="B7" s="9" t="n"/>
      <c r="C7" s="10" t="n"/>
      <c r="D7" s="7">
        <f>IF($D$3="","",IFERROR(INDEX(Nodes!$F$5:$F$34,MATCH($D$3,Nodes!$C$5:$C$34,0))&amp;"",""))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10" t="n"/>
    </row>
    <row r="8" ht="16" customHeight="1">
      <c r="A8" s="11" t="inlineStr">
        <is>
          <t>Design parameters</t>
        </is>
      </c>
      <c r="B8" s="9" t="n"/>
      <c r="C8" s="10" t="n"/>
      <c r="D8" s="7">
        <f>IF($D$3="","",IFERROR(INDEX(Nodes!$G$5:$G$34,MATCH($D$3,Nodes!$C$5:$C$34,0))&amp;"",""))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0" t="n"/>
    </row>
    <row r="9" ht="16" customHeight="1">
      <c r="A9" s="11" t="inlineStr">
        <is>
          <t>Operating parameters</t>
        </is>
      </c>
      <c r="B9" s="9" t="n"/>
      <c r="C9" s="10" t="n"/>
      <c r="D9" s="7">
        <f>IF($D$3="","",IFERROR(INDEX(Nodes!$H$5:$H$34,MATCH($D$3,Nodes!$C$5:$C$34,0))&amp;"",""))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0" t="n"/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9" t="n"/>
      <c r="C12" s="9" t="n"/>
      <c r="D12" s="10" t="n"/>
      <c r="E12" s="8" t="inlineStr">
        <is>
          <t>CAUSES &amp; CONSEQUENCES</t>
        </is>
      </c>
      <c r="F12" s="10" t="n"/>
      <c r="G12" s="8" t="inlineStr">
        <is>
          <t>RISK BEFORE SAFEGUARDS</t>
        </is>
      </c>
      <c r="H12" s="9" t="n"/>
      <c r="I12" s="9" t="n"/>
      <c r="J12" s="10" t="n"/>
      <c r="K12" s="8" t="inlineStr">
        <is>
          <t>SAFEGUARDS</t>
        </is>
      </c>
      <c r="L12" s="10" t="n"/>
      <c r="M12" s="8" t="inlineStr">
        <is>
          <t>RISK AFTER SAFEGUARDS</t>
        </is>
      </c>
      <c r="N12" s="9" t="n"/>
      <c r="O12" s="9" t="n"/>
      <c r="P12" s="10" t="n"/>
      <c r="Q12" s="8" t="inlineStr">
        <is>
          <t>RECOMMENDATIONS</t>
        </is>
      </c>
      <c r="R12" s="1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90" customHeight="1">
      <c r="A14" s="31">
        <f>IF(B14="","",COUNTIF(B$14:B14,"?*"))</f>
        <v/>
      </c>
      <c r="B14" s="5" t="inlineStr">
        <is>
          <t>Process control / instrumentation</t>
        </is>
      </c>
      <c r="C14" s="20" t="inlineStr">
        <is>
          <t>LOSS OF</t>
        </is>
      </c>
      <c r="D14" s="6">
        <f>IF(OR(B14="",C14=""),"",UPPER(LEFT(C14,1))&amp;LOWER(MID(C14,2,30))&amp;" "&amp;LOWER(LEFT(B14,1))&amp;MID(B14,2,200))</f>
        <v/>
      </c>
      <c r="E14" s="5" t="inlineStr">
        <is>
          <t>• Alarm and trip testing not done
• Location of instruments unsuitable
• Fire protection of instruments and cables</t>
        </is>
      </c>
      <c r="F14" s="5" t="inlineStr">
        <is>
          <t>A gas release in the GRMS / PRS is not isolated – the pipeline and MP inventory feed the release: prolonged jet fire, larger vapour cloud (event tree ETA-GN-01)
[N08-01] Quantified: fault tree FT-GN-02 PFDavg 2.6E-2 (RRF 38); used by event tree ETA-GN-01 heading H2 and bow tie BT-GN-01 mitigative barrier. Likelihood after safeguards from the calculated frequency 4.3E-6 /yr.</t>
        </is>
      </c>
      <c r="G14" s="20" t="inlineStr">
        <is>
          <t>5 – Catastrophic</t>
        </is>
      </c>
      <c r="H14" s="20" t="inlineStr">
        <is>
          <t>3 – Possible</t>
        </is>
      </c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inlineStr">
        <is>
          <t>• Proof testing – quarterly gas detector bump tests, annual full-stroke ESD valve tests, annual logic test  [Non-IPL]
• HS-1000 – Manual ESD push buttons (control room and field) – operator response to gas alarms and reports  [Non-IPL]</t>
        </is>
      </c>
      <c r="L14" s="31">
        <f>IF(K14="","",(LEN(K14)-LEN(SUBSTITUTE(K14,"[IPL]","")))/5)</f>
        <v/>
      </c>
      <c r="M14" s="20" t="inlineStr">
        <is>
          <t>5 – Catastrophic</t>
        </is>
      </c>
      <c r="N14" s="20" t="inlineStr">
        <is>
          <t>1 – Rare</t>
        </is>
      </c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inlineStr">
        <is>
          <t>R-001 Verify the HP / MP gas detection &amp; ESD function against the required risk reduction. Fault tree FT-GN-02 gives PFDavg 2.6E-2 (RRF 38); test the effect of six-monthly partial-stroke testing of ESDV-1001 / ESDV-1107 and quarterly detector bump tests (FMECA S01 / S08).
R-020 Gas alarm response procedure and drills – the manual ESD is credited in fault tree FT-GN-02 (gate G-004) with an operator failure probability of 0.1.</t>
        </is>
      </c>
      <c r="R14" s="5" t="inlineStr">
        <is>
          <t>Instrument engineer / Operations superintendent</t>
        </is>
      </c>
    </row>
    <row r="15" ht="90" customHeight="1">
      <c r="A15" s="31">
        <f>IF(B15="","",COUNTIF(B$14:B15,"?*"))</f>
        <v/>
      </c>
      <c r="B15" s="5" t="inlineStr">
        <is>
          <t>Utilities / services</t>
        </is>
      </c>
      <c r="C15" s="20" t="inlineStr">
        <is>
          <t>LOSS OF</t>
        </is>
      </c>
      <c r="D15" s="6">
        <f>IF(OR(B15="",C15=""),"",UPPER(LEFT(C15,1))&amp;LOWER(MID(C15,2,30))&amp;" "&amp;LOWER(LEFT(B15,1))&amp;MID(B15,2,200))</f>
        <v/>
      </c>
      <c r="E15" s="5" t="inlineStr">
        <is>
          <t>• Power
• UPS battery failure</t>
        </is>
      </c>
      <c r="F15" s="5" t="inlineStr">
        <is>
          <t>Fail-safe design closes the ESD valves – loss of gas to the whole works (flame-outs, see N02-03); if the UPS fails while a release occurs, no automatic isolation
[N08-02] FMECA S08 UPS-1000.</t>
        </is>
      </c>
      <c r="G15" s="20" t="inlineStr">
        <is>
          <t>3 – Moderate</t>
        </is>
      </c>
      <c r="H15" s="20" t="inlineStr">
        <is>
          <t>3 – Possible</t>
        </is>
      </c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inlineStr">
        <is>
          <t>• UPS-1000 – UPS for SIS / F&amp;G (30 min) with alarm; de-energise-to-trip (fail-safe) design  [Non-IPL]
• PSLL-2006 / PSLL-4005 – Low-low gas pressure trips in the user burner management systems (reformer, reheat furnace, preheaters)  [IPL]</t>
        </is>
      </c>
      <c r="L15" s="31">
        <f>IF(K15="","",(LEN(K15)-LEN(SUBSTITUTE(K15,"[IPL]","")))/5)</f>
        <v/>
      </c>
      <c r="M15" s="20" t="inlineStr">
        <is>
          <t>3 – Moderate</t>
        </is>
      </c>
      <c r="N15" s="20" t="inlineStr">
        <is>
          <t>2 – Unlikely</t>
        </is>
      </c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inlineStr"/>
      <c r="R15" s="5" t="inlineStr"/>
    </row>
    <row r="16" ht="90" customHeight="1">
      <c r="A16" s="31">
        <f>IF(B16="","",COUNTIF(B$14:B16,"?*"))</f>
        <v/>
      </c>
      <c r="B16" s="5" t="inlineStr">
        <is>
          <t>Operator action</t>
        </is>
      </c>
      <c r="C16" s="20" t="inlineStr">
        <is>
          <t>NO</t>
        </is>
      </c>
      <c r="D16" s="6">
        <f>IF(OR(B16="",C16=""),"",UPPER(LEFT(C16,1))&amp;LOWER(MID(C16,2,30))&amp;" "&amp;LOWER(LEFT(B16,1))&amp;MID(B16,2,200))</f>
        <v/>
      </c>
      <c r="E16" s="5" t="inlineStr">
        <is>
          <t>• Time available for operator intervention
• Alarm flooding; bypassed trips</t>
        </is>
      </c>
      <c r="F16" s="5" t="inlineStr">
        <is>
          <t>Release not isolated when the automatic function has failed (as N08-01)
[N08-03] Fault tree FT-GN-02 gate G-004 (manual ESD) – operator failure 0.1.</t>
        </is>
      </c>
      <c r="G16" s="20" t="inlineStr">
        <is>
          <t>5 – Catastrophic</t>
        </is>
      </c>
      <c r="H16" s="20" t="inlineStr">
        <is>
          <t>3 – Possible</t>
        </is>
      </c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inlineStr">
        <is>
          <t>• Gas alarm response procedure and emergency drills  [Non-IPL]</t>
        </is>
      </c>
      <c r="L16" s="31">
        <f>IF(K16="","",(LEN(K16)-LEN(SUBSTITUTE(K16,"[IPL]","")))/5)</f>
        <v/>
      </c>
      <c r="M16" s="20" t="inlineStr">
        <is>
          <t>5 – Catastrophic</t>
        </is>
      </c>
      <c r="N16" s="20" t="inlineStr">
        <is>
          <t>2 – Unlikely</t>
        </is>
      </c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inlineStr">
        <is>
          <t>R-020 Gas alarm response procedure and drills – the manual ESD is credited in fault tree FT-GN-02 (gate G-004) with an operator failure probability of 0.1.</t>
        </is>
      </c>
      <c r="R16" s="5" t="inlineStr">
        <is>
          <t>Operations superintendent</t>
        </is>
      </c>
    </row>
    <row r="17" ht="90" customHeight="1">
      <c r="A17" s="31">
        <f>IF(B17="","",COUNTIF(B$14:B17,"?*"))</f>
        <v/>
      </c>
      <c r="B17" s="5" t="inlineStr">
        <is>
          <t>Maintenance</t>
        </is>
      </c>
      <c r="C17" s="20" t="inlineStr">
        <is>
          <t>INADEQUATE</t>
        </is>
      </c>
      <c r="D17" s="6">
        <f>IF(OR(B17="",C17=""),"",UPPER(LEFT(C17,1))&amp;LOWER(MID(C17,2,30))&amp;" "&amp;LOWER(LEFT(B17,1))&amp;MID(B17,2,200))</f>
        <v/>
      </c>
      <c r="E17" s="5" t="inlineStr">
        <is>
          <t>• Calibration
• Training
• Condition monitoring</t>
        </is>
      </c>
      <c r="F17" s="5" t="inlineStr">
        <is>
          <t>Detection unavailable – as N08-01
[N08-04] FMECA S08 GD-1110A (drift); common-cause group CCF-001 in FT-GN-02.</t>
        </is>
      </c>
      <c r="G17" s="20" t="inlineStr">
        <is>
          <t>5 – Catastrophic</t>
        </is>
      </c>
      <c r="H17" s="20" t="inlineStr">
        <is>
          <t>3 – Possible</t>
        </is>
      </c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inlineStr">
        <is>
          <t>• Proof testing – quarterly gas detector bump tests, annual full-stroke ESD valve tests, annual logic test  [Non-IPL]
• Bypass / override management – authorised, time-limited, logged; monthly audit  [Non-IPL]</t>
        </is>
      </c>
      <c r="L17" s="31">
        <f>IF(K17="","",(LEN(K17)-LEN(SUBSTITUTE(K17,"[IPL]","")))/5)</f>
        <v/>
      </c>
      <c r="M17" s="20" t="inlineStr">
        <is>
          <t>5 – Catastrophic</t>
        </is>
      </c>
      <c r="N17" s="20" t="inlineStr">
        <is>
          <t>2 – Unlikely</t>
        </is>
      </c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inlineStr">
        <is>
          <t>R-001 Verify the HP / MP gas detection &amp; ESD function against the required risk reduction. Fault tree FT-GN-02 gives PFDavg 2.6E-2 (RRF 38); test the effect of six-monthly partial-stroke testing of ESDV-1001 / ESDV-1107 and quarterly detector bump tests (FMECA S01 / S08).
R-012 Bypass / override management for BMS, SIS and gas detectors: authorisation, time limit, logging and monthly audit; BMS logic changes only under MOC.</t>
        </is>
      </c>
      <c r="R17" s="5" t="inlineStr">
        <is>
          <t>Instrument engineer / HSE / process safety</t>
        </is>
      </c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4.xml><?xml version="1.0" encoding="utf-8"?>
<worksheet xmlns="http://schemas.openxmlformats.org/spreadsheetml/2006/main">
  <sheetPr codeName="Sheet14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n"/>
      <c r="E3" s="9" t="n"/>
      <c r="F3" s="9" t="n"/>
      <c r="G3" s="9" t="n"/>
      <c r="H3" s="9" t="n"/>
      <c r="I3" s="9" t="n"/>
      <c r="J3" s="10" t="n"/>
      <c r="K3" s="27" t="inlineStr">
        <is>
          <t>Session date</t>
        </is>
      </c>
      <c r="L3" s="14" t="n"/>
      <c r="M3" s="10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B4" s="9" t="n"/>
      <c r="C4" s="10" t="n"/>
      <c r="D4" s="7">
        <f>IF($D$3="","",IFERROR(INDEX(Nodes!$B$5:$B$34,MATCH($D$3,Nodes!$C$5:$C$34,0))&amp;"",""))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9" t="n"/>
      <c r="P4" s="9" t="n"/>
      <c r="Q4" s="9" t="n"/>
      <c r="R4" s="10" t="n"/>
    </row>
    <row r="5" ht="16" customHeight="1">
      <c r="A5" s="11" t="inlineStr">
        <is>
          <t>P&amp;IDs / drawings</t>
        </is>
      </c>
      <c r="B5" s="9" t="n"/>
      <c r="C5" s="10" t="n"/>
      <c r="D5" s="7">
        <f>IF($D$3="","",IFERROR(INDEX(Nodes!$D$5:$D$34,MATCH($D$3,Nodes!$C$5:$C$34,0))&amp;"",""))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0" t="n"/>
    </row>
    <row r="6" ht="30" customHeight="1">
      <c r="A6" s="11" t="inlineStr">
        <is>
          <t>Battery limits</t>
        </is>
      </c>
      <c r="B6" s="9" t="n"/>
      <c r="C6" s="10" t="n"/>
      <c r="D6" s="7">
        <f>IF($D$3="","",IFERROR(INDEX(Nodes!$E$5:$E$34,MATCH($D$3,Nodes!$C$5:$C$34,0))&amp;"",""))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10" t="n"/>
    </row>
    <row r="7" ht="30" customHeight="1">
      <c r="A7" s="11" t="inlineStr">
        <is>
          <t>Functional description / design intent</t>
        </is>
      </c>
      <c r="B7" s="9" t="n"/>
      <c r="C7" s="10" t="n"/>
      <c r="D7" s="7">
        <f>IF($D$3="","",IFERROR(INDEX(Nodes!$F$5:$F$34,MATCH($D$3,Nodes!$C$5:$C$34,0))&amp;"",""))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10" t="n"/>
    </row>
    <row r="8" ht="16" customHeight="1">
      <c r="A8" s="11" t="inlineStr">
        <is>
          <t>Design parameters</t>
        </is>
      </c>
      <c r="B8" s="9" t="n"/>
      <c r="C8" s="10" t="n"/>
      <c r="D8" s="7">
        <f>IF($D$3="","",IFERROR(INDEX(Nodes!$G$5:$G$34,MATCH($D$3,Nodes!$C$5:$C$34,0))&amp;"",""))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0" t="n"/>
    </row>
    <row r="9" ht="16" customHeight="1">
      <c r="A9" s="11" t="inlineStr">
        <is>
          <t>Operating parameters</t>
        </is>
      </c>
      <c r="B9" s="9" t="n"/>
      <c r="C9" s="10" t="n"/>
      <c r="D9" s="7">
        <f>IF($D$3="","",IFERROR(INDEX(Nodes!$H$5:$H$34,MATCH($D$3,Nodes!$C$5:$C$34,0))&amp;"",""))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0" t="n"/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9" t="n"/>
      <c r="C12" s="9" t="n"/>
      <c r="D12" s="10" t="n"/>
      <c r="E12" s="8" t="inlineStr">
        <is>
          <t>CAUSES &amp; CONSEQUENCES</t>
        </is>
      </c>
      <c r="F12" s="10" t="n"/>
      <c r="G12" s="8" t="inlineStr">
        <is>
          <t>RISK BEFORE SAFEGUARDS</t>
        </is>
      </c>
      <c r="H12" s="9" t="n"/>
      <c r="I12" s="9" t="n"/>
      <c r="J12" s="10" t="n"/>
      <c r="K12" s="8" t="inlineStr">
        <is>
          <t>SAFEGUARDS</t>
        </is>
      </c>
      <c r="L12" s="10" t="n"/>
      <c r="M12" s="8" t="inlineStr">
        <is>
          <t>RISK AFTER SAFEGUARDS</t>
        </is>
      </c>
      <c r="N12" s="9" t="n"/>
      <c r="O12" s="9" t="n"/>
      <c r="P12" s="10" t="n"/>
      <c r="Q12" s="8" t="inlineStr">
        <is>
          <t>RECOMMENDATIONS</t>
        </is>
      </c>
      <c r="R12" s="1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5.xml><?xml version="1.0" encoding="utf-8"?>
<worksheet xmlns="http://schemas.openxmlformats.org/spreadsheetml/2006/main">
  <sheetPr codeName="Sheet15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n"/>
      <c r="E3" s="9" t="n"/>
      <c r="F3" s="9" t="n"/>
      <c r="G3" s="9" t="n"/>
      <c r="H3" s="9" t="n"/>
      <c r="I3" s="9" t="n"/>
      <c r="J3" s="10" t="n"/>
      <c r="K3" s="27" t="inlineStr">
        <is>
          <t>Session date</t>
        </is>
      </c>
      <c r="L3" s="14" t="n"/>
      <c r="M3" s="10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B4" s="9" t="n"/>
      <c r="C4" s="10" t="n"/>
      <c r="D4" s="7">
        <f>IF($D$3="","",IFERROR(INDEX(Nodes!$B$5:$B$34,MATCH($D$3,Nodes!$C$5:$C$34,0))&amp;"",""))</f>
        <v/>
      </c>
      <c r="E4" s="9" t="n"/>
      <c r="F4" s="9" t="n"/>
      <c r="G4" s="9" t="n"/>
      <c r="H4" s="9" t="n"/>
      <c r="I4" s="9" t="n"/>
      <c r="J4" s="9" t="n"/>
      <c r="K4" s="9" t="n"/>
      <c r="L4" s="9" t="n"/>
      <c r="M4" s="9" t="n"/>
      <c r="N4" s="9" t="n"/>
      <c r="O4" s="9" t="n"/>
      <c r="P4" s="9" t="n"/>
      <c r="Q4" s="9" t="n"/>
      <c r="R4" s="10" t="n"/>
    </row>
    <row r="5" ht="16" customHeight="1">
      <c r="A5" s="11" t="inlineStr">
        <is>
          <t>P&amp;IDs / drawings</t>
        </is>
      </c>
      <c r="B5" s="9" t="n"/>
      <c r="C5" s="10" t="n"/>
      <c r="D5" s="7">
        <f>IF($D$3="","",IFERROR(INDEX(Nodes!$D$5:$D$34,MATCH($D$3,Nodes!$C$5:$C$34,0))&amp;"",""))</f>
        <v/>
      </c>
      <c r="E5" s="9" t="n"/>
      <c r="F5" s="9" t="n"/>
      <c r="G5" s="9" t="n"/>
      <c r="H5" s="9" t="n"/>
      <c r="I5" s="9" t="n"/>
      <c r="J5" s="9" t="n"/>
      <c r="K5" s="9" t="n"/>
      <c r="L5" s="9" t="n"/>
      <c r="M5" s="9" t="n"/>
      <c r="N5" s="9" t="n"/>
      <c r="O5" s="9" t="n"/>
      <c r="P5" s="9" t="n"/>
      <c r="Q5" s="9" t="n"/>
      <c r="R5" s="10" t="n"/>
    </row>
    <row r="6" ht="30" customHeight="1">
      <c r="A6" s="11" t="inlineStr">
        <is>
          <t>Battery limits</t>
        </is>
      </c>
      <c r="B6" s="9" t="n"/>
      <c r="C6" s="10" t="n"/>
      <c r="D6" s="7">
        <f>IF($D$3="","",IFERROR(INDEX(Nodes!$E$5:$E$34,MATCH($D$3,Nodes!$C$5:$C$34,0))&amp;"",""))</f>
        <v/>
      </c>
      <c r="E6" s="9" t="n"/>
      <c r="F6" s="9" t="n"/>
      <c r="G6" s="9" t="n"/>
      <c r="H6" s="9" t="n"/>
      <c r="I6" s="9" t="n"/>
      <c r="J6" s="9" t="n"/>
      <c r="K6" s="9" t="n"/>
      <c r="L6" s="9" t="n"/>
      <c r="M6" s="9" t="n"/>
      <c r="N6" s="9" t="n"/>
      <c r="O6" s="9" t="n"/>
      <c r="P6" s="9" t="n"/>
      <c r="Q6" s="9" t="n"/>
      <c r="R6" s="10" t="n"/>
    </row>
    <row r="7" ht="30" customHeight="1">
      <c r="A7" s="11" t="inlineStr">
        <is>
          <t>Functional description / design intent</t>
        </is>
      </c>
      <c r="B7" s="9" t="n"/>
      <c r="C7" s="10" t="n"/>
      <c r="D7" s="7">
        <f>IF($D$3="","",IFERROR(INDEX(Nodes!$F$5:$F$34,MATCH($D$3,Nodes!$C$5:$C$34,0))&amp;"",""))</f>
        <v/>
      </c>
      <c r="E7" s="9" t="n"/>
      <c r="F7" s="9" t="n"/>
      <c r="G7" s="9" t="n"/>
      <c r="H7" s="9" t="n"/>
      <c r="I7" s="9" t="n"/>
      <c r="J7" s="9" t="n"/>
      <c r="K7" s="9" t="n"/>
      <c r="L7" s="9" t="n"/>
      <c r="M7" s="9" t="n"/>
      <c r="N7" s="9" t="n"/>
      <c r="O7" s="9" t="n"/>
      <c r="P7" s="9" t="n"/>
      <c r="Q7" s="9" t="n"/>
      <c r="R7" s="10" t="n"/>
    </row>
    <row r="8" ht="16" customHeight="1">
      <c r="A8" s="11" t="inlineStr">
        <is>
          <t>Design parameters</t>
        </is>
      </c>
      <c r="B8" s="9" t="n"/>
      <c r="C8" s="10" t="n"/>
      <c r="D8" s="7">
        <f>IF($D$3="","",IFERROR(INDEX(Nodes!$G$5:$G$34,MATCH($D$3,Nodes!$C$5:$C$34,0))&amp;"",""))</f>
        <v/>
      </c>
      <c r="E8" s="9" t="n"/>
      <c r="F8" s="9" t="n"/>
      <c r="G8" s="9" t="n"/>
      <c r="H8" s="9" t="n"/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10" t="n"/>
    </row>
    <row r="9" ht="16" customHeight="1">
      <c r="A9" s="11" t="inlineStr">
        <is>
          <t>Operating parameters</t>
        </is>
      </c>
      <c r="B9" s="9" t="n"/>
      <c r="C9" s="10" t="n"/>
      <c r="D9" s="7">
        <f>IF($D$3="","",IFERROR(INDEX(Nodes!$H$5:$H$34,MATCH($D$3,Nodes!$C$5:$C$34,0))&amp;"",""))</f>
        <v/>
      </c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10" t="n"/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9" t="n"/>
      <c r="C12" s="9" t="n"/>
      <c r="D12" s="10" t="n"/>
      <c r="E12" s="8" t="inlineStr">
        <is>
          <t>CAUSES &amp; CONSEQUENCES</t>
        </is>
      </c>
      <c r="F12" s="10" t="n"/>
      <c r="G12" s="8" t="inlineStr">
        <is>
          <t>RISK BEFORE SAFEGUARDS</t>
        </is>
      </c>
      <c r="H12" s="9" t="n"/>
      <c r="I12" s="9" t="n"/>
      <c r="J12" s="10" t="n"/>
      <c r="K12" s="8" t="inlineStr">
        <is>
          <t>SAFEGUARDS</t>
        </is>
      </c>
      <c r="L12" s="10" t="n"/>
      <c r="M12" s="8" t="inlineStr">
        <is>
          <t>RISK AFTER SAFEGUARDS</t>
        </is>
      </c>
      <c r="N12" s="9" t="n"/>
      <c r="O12" s="9" t="n"/>
      <c r="P12" s="10" t="n"/>
      <c r="Q12" s="8" t="inlineStr">
        <is>
          <t>RECOMMENDATIONS</t>
        </is>
      </c>
      <c r="R12" s="1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2026-10-05T19:26:11Z</dcterms:created>
  <dcterms:modified xmlns:dcterms="http://purl.org/dc/terms/" xmlns:xsi="http://www.w3.org/2001/XMLSchema-instance" xsi:type="dcterms:W3CDTF">2026-10-05T20:22:08Z</dcterms:modified>
</cp:coreProperties>
</file>