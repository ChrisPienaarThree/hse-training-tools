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erence Docs" sheetId="2" state="visible" r:id="rId2"/>
    <sheet xmlns:r="http://schemas.openxmlformats.org/officeDocument/2006/relationships" name="Systems" sheetId="3" state="visible" r:id="rId3"/>
    <sheet xmlns:r="http://schemas.openxmlformats.org/officeDocument/2006/relationships" name="Equipment Register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Rating Scale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System 01" sheetId="8" state="visible" r:id="rId8"/>
    <sheet xmlns:r="http://schemas.openxmlformats.org/officeDocument/2006/relationships" name="System 02" sheetId="9" state="visible" r:id="rId9"/>
    <sheet xmlns:r="http://schemas.openxmlformats.org/officeDocument/2006/relationships" name="System 03" sheetId="10" state="visible" r:id="rId10"/>
    <sheet xmlns:r="http://schemas.openxmlformats.org/officeDocument/2006/relationships" name="System 04" sheetId="11" state="visible" r:id="rId11"/>
    <sheet xmlns:r="http://schemas.openxmlformats.org/officeDocument/2006/relationships" name="System 05" sheetId="12" state="visible" r:id="rId12"/>
    <sheet xmlns:r="http://schemas.openxmlformats.org/officeDocument/2006/relationships" name="System 06" sheetId="13" state="visible" r:id="rId13"/>
    <sheet xmlns:r="http://schemas.openxmlformats.org/officeDocument/2006/relationships" name="System 07" sheetId="14" state="visible" r:id="rId14"/>
    <sheet xmlns:r="http://schemas.openxmlformats.org/officeDocument/2006/relationships" name="System 08" sheetId="15" state="visible" r:id="rId15"/>
    <sheet xmlns:r="http://schemas.openxmlformats.org/officeDocument/2006/relationships" name="System 09" sheetId="16" state="visible" r:id="rId16"/>
    <sheet xmlns:r="http://schemas.openxmlformats.org/officeDocument/2006/relationships" name="System 10" sheetId="17" state="visible" r:id="rId17"/>
  </sheets>
  <definedNames>
    <definedName name="SystemList">Systems!$C$5:$C$34</definedName>
    <definedName name="EqSys">'Equipment Register'!$B$5:$B$204</definedName>
    <definedName name="EqTag">'Equipment Register'!$C$5:$C$204</definedName>
    <definedName name="EqTypeCol">'Equipment Register'!$E$5:$E$204</definedName>
    <definedName name="EqTypeList">Lists!$A$5:$A$33</definedName>
    <definedName name="CompType">Lists!$C$5:$C$329</definedName>
    <definedName name="CompStart">Lists!$D$5</definedName>
    <definedName name="FMType">Lists!$F$5:$F$353</definedName>
    <definedName name="FMStart">Lists!$G$5</definedName>
    <definedName name="MechList">Lists!$I$5:$I$62</definedName>
    <definedName name="DetList">Lists!$K$5:$K$25</definedName>
    <definedName name="TaskList">Lists!$M$5:$M$13</definedName>
    <definedName name="DocCategories">Lists!$O$5:$O$11</definedName>
    <definedName name="SevList">'Rating Scales'!$B$5:$B$14</definedName>
    <definedName name="OccList">'Rating Scales'!$B$17:$B$26</definedName>
    <definedName name="DetScaleList">'Rating Scales'!$B$29:$B$38</definedName>
    <definedName name="SThr">'Rating Scales'!$C$41</definedName>
    <definedName name="RPNThr">'Rating Scales'!$C$42</definedName>
    <definedName name="APGrid">'Rating Scales'!$E$50:$H$74</definedName>
    <definedName name="APS">'Rating Scales'!$E$77:$I$77</definedName>
    <definedName name="APO">'Rating Scales'!$E$78:$I$78</definedName>
    <definedName name="APD">'Rating Scales'!$E$79:$H$79</definedName>
    <definedName name="_xlnm._FilterDatabase" localSheetId="1" hidden="1">'Reference Docs'!$A$4:$J$44</definedName>
    <definedName name="_xlnm._FilterDatabase" localSheetId="3" hidden="1">'Equipment Register'!$A$4:$I$204</definedName>
    <definedName name="_xlnm.Print_Titles" localSheetId="7">'System 01'!$12:$13</definedName>
    <definedName name="_xlnm.Print_Area" localSheetId="7">'System 01'!$A$1:$AF$113</definedName>
    <definedName name="_xlnm.Print_Titles" localSheetId="8">'System 02'!$12:$13</definedName>
    <definedName name="_xlnm.Print_Area" localSheetId="8">'System 02'!$A$1:$AF$113</definedName>
    <definedName name="_xlnm.Print_Titles" localSheetId="9">'System 03'!$12:$13</definedName>
    <definedName name="_xlnm.Print_Area" localSheetId="9">'System 03'!$A$1:$AF$113</definedName>
    <definedName name="_xlnm.Print_Titles" localSheetId="10">'System 04'!$12:$13</definedName>
    <definedName name="_xlnm.Print_Area" localSheetId="10">'System 04'!$A$1:$AF$113</definedName>
    <definedName name="_xlnm.Print_Titles" localSheetId="11">'System 05'!$12:$13</definedName>
    <definedName name="_xlnm.Print_Area" localSheetId="11">'System 05'!$A$1:$AF$113</definedName>
    <definedName name="_xlnm.Print_Titles" localSheetId="12">'System 06'!$12:$13</definedName>
    <definedName name="_xlnm.Print_Area" localSheetId="12">'System 06'!$A$1:$AF$113</definedName>
    <definedName name="_xlnm.Print_Titles" localSheetId="13">'System 07'!$12:$13</definedName>
    <definedName name="_xlnm.Print_Area" localSheetId="13">'System 07'!$A$1:$AF$113</definedName>
    <definedName name="_xlnm.Print_Titles" localSheetId="14">'System 08'!$12:$13</definedName>
    <definedName name="_xlnm.Print_Area" localSheetId="14">'System 08'!$A$1:$AF$113</definedName>
    <definedName name="_xlnm.Print_Titles" localSheetId="15">'System 09'!$12:$13</definedName>
    <definedName name="_xlnm.Print_Area" localSheetId="15">'System 09'!$A$1:$AF$113</definedName>
    <definedName name="_xlnm.Print_Titles" localSheetId="16">'System 10'!$12:$13</definedName>
    <definedName name="_xlnm.Print_Area" localSheetId="16">'System 10'!$A$1:$AF$113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3864"/>
      <sz val="12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000000"/>
      <sz val="12"/>
    </font>
    <font>
      <name val="Arial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5" fillId="5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7C80"/>
          <bgColor rgb="00FF7C80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26" customWidth="1" min="4" max="4"/>
    <col width="18" customWidth="1" min="5" max="5"/>
  </cols>
  <sheetData>
    <row r="1">
      <c r="A1" s="1" t="inlineStr">
        <is>
          <t>FMECA WORKBOOK</t>
        </is>
      </c>
    </row>
    <row r="2">
      <c r="A2" s="2" t="inlineStr">
        <is>
          <t>Failure Modes, Effects and Criticality Analysis – companion to the HAZOP Study Workbook (IEC 60812 approach)</t>
        </is>
      </c>
    </row>
    <row r="3"/>
    <row r="4">
      <c r="A4" s="3" t="inlineStr">
        <is>
          <t>Legend:</t>
        </is>
      </c>
      <c r="B4" s="4" t="inlineStr">
        <is>
          <t>Yellow = enter / select data</t>
        </is>
      </c>
      <c r="C4" s="5" t="inlineStr">
        <is>
          <t>Grey = formula (do not overwrite)</t>
        </is>
      </c>
      <c r="D4" s="6" t="inlineStr">
        <is>
          <t>Blue = returned from another sheet</t>
        </is>
      </c>
    </row>
    <row r="5"/>
    <row r="6">
      <c r="A6" s="7" t="inlineStr">
        <is>
          <t>STUDY DETAILS</t>
        </is>
      </c>
      <c r="B6" s="8" t="n"/>
      <c r="C6" s="8" t="n"/>
      <c r="D6" s="8" t="n"/>
      <c r="E6" s="9" t="n"/>
    </row>
    <row r="7">
      <c r="A7" s="10" t="inlineStr">
        <is>
          <t>Study title</t>
        </is>
      </c>
      <c r="B7" s="4" t="inlineStr">
        <is>
          <t>FMECA – Natural gas distribution network (worked example)</t>
        </is>
      </c>
      <c r="C7" s="8" t="n"/>
      <c r="D7" s="8" t="n"/>
      <c r="E7" s="9" t="n"/>
    </row>
    <row r="8">
      <c r="A8" s="10" t="inlineStr">
        <is>
          <t>Company / site</t>
        </is>
      </c>
      <c r="B8" s="4" t="inlineStr">
        <is>
          <t>Hadeed – integrated DRI-EAF steel works (illustrative example)</t>
        </is>
      </c>
      <c r="C8" s="8" t="n"/>
      <c r="D8" s="8" t="n"/>
      <c r="E8" s="9" t="n"/>
    </row>
    <row r="9">
      <c r="A9" s="10" t="inlineStr">
        <is>
          <t>Plant / unit / area</t>
        </is>
      </c>
      <c r="B9" s="4" t="inlineStr">
        <is>
          <t>Utilities – natural gas receiving, pressure reduction and plant distribution</t>
        </is>
      </c>
      <c r="C9" s="8" t="n"/>
      <c r="D9" s="8" t="n"/>
      <c r="E9" s="9" t="n"/>
    </row>
    <row r="10">
      <c r="A10" s="10" t="inlineStr">
        <is>
          <t>Related HAZOP study (document no.)</t>
        </is>
      </c>
      <c r="B10" s="4" t="inlineStr">
        <is>
          <t>HZ-EX-GN-001</t>
        </is>
      </c>
      <c r="C10" s="8" t="n"/>
      <c r="D10" s="8" t="n"/>
      <c r="E10" s="9" t="n"/>
    </row>
    <row r="11">
      <c r="A11" s="10" t="inlineStr">
        <is>
          <t>Study type</t>
        </is>
      </c>
      <c r="B11" s="4" t="inlineStr">
        <is>
          <t>FMECA – existing plant</t>
        </is>
      </c>
      <c r="C11" s="8" t="n"/>
      <c r="D11" s="8" t="n"/>
      <c r="E11" s="9" t="n"/>
    </row>
    <row r="12">
      <c r="A12" s="10" t="inlineStr">
        <is>
          <t>Document number</t>
        </is>
      </c>
      <c r="B12" s="4" t="inlineStr">
        <is>
          <t>FM-EX-GN-001</t>
        </is>
      </c>
      <c r="C12" s="8" t="n"/>
      <c r="D12" s="8" t="n"/>
      <c r="E12" s="9" t="n"/>
    </row>
    <row r="13">
      <c r="A13" s="10" t="inlineStr">
        <is>
          <t>Revision</t>
        </is>
      </c>
      <c r="B13" s="4" t="inlineStr">
        <is>
          <t>A</t>
        </is>
      </c>
      <c r="C13" s="8" t="n"/>
      <c r="D13" s="8" t="n"/>
      <c r="E13" s="9" t="n"/>
    </row>
    <row r="14">
      <c r="A14" s="10" t="inlineStr">
        <is>
          <t>Study start date</t>
        </is>
      </c>
      <c r="B14" s="4" t="inlineStr">
        <is>
          <t>2026-10-15</t>
        </is>
      </c>
      <c r="C14" s="8" t="n"/>
      <c r="D14" s="8" t="n"/>
      <c r="E14" s="9" t="n"/>
    </row>
    <row r="15">
      <c r="A15" s="10" t="inlineStr">
        <is>
          <t>Study end date</t>
        </is>
      </c>
      <c r="B15" s="4" t="inlineStr">
        <is>
          <t>2026-10-16</t>
        </is>
      </c>
      <c r="C15" s="8" t="n"/>
      <c r="D15" s="8" t="n"/>
      <c r="E15" s="9" t="n"/>
    </row>
    <row r="16" ht="45" customHeight="1">
      <c r="A16" s="10" t="inlineStr">
        <is>
          <t>Scope – systems included</t>
        </is>
      </c>
      <c r="B16" s="4" t="inlineStr">
        <is>
          <t>S01–S08 = HAZOP nodes N01–N08: GRMS, heaters + PRS-1, MP ring main, DS-2 (DRI), DS-3 (melt shop), reheat furnace fuel train + BMS, purge / vent, gas detection &amp; ESD</t>
        </is>
      </c>
      <c r="C16" s="8" t="n"/>
      <c r="D16" s="8" t="n"/>
      <c r="E16" s="9" t="n"/>
    </row>
    <row r="17" ht="45" customHeight="1">
      <c r="A17" s="10" t="inlineStr">
        <is>
          <t>Exclusions</t>
        </is>
      </c>
      <c r="B17" s="4" t="inlineStr">
        <is>
          <t>As the HAZOP (supplier pipeline, reformer internals, O2 plant, N2 generation)</t>
        </is>
      </c>
      <c r="C17" s="8" t="n"/>
      <c r="D17" s="8" t="n"/>
      <c r="E17" s="9" t="n"/>
    </row>
    <row r="18">
      <c r="A18" s="10" t="inlineStr">
        <is>
          <t>Level of analysis</t>
        </is>
      </c>
      <c r="B18" s="4" t="inlineStr">
        <is>
          <t>Equipment / maintainable item</t>
        </is>
      </c>
      <c r="C18" s="8" t="n"/>
      <c r="D18" s="8" t="n"/>
      <c r="E18" s="9" t="n"/>
    </row>
    <row r="19" ht="45" customHeight="1">
      <c r="A19" s="10" t="inlineStr">
        <is>
          <t>Operating context</t>
        </is>
      </c>
      <c r="B19" s="4" t="inlineStr">
        <is>
          <t>Continuous utility service; duty / standby filter-separators, heaters and regulator runs; protection systems on demand (proof-tested). Failure data illustrative – see the fault trees FT-GN-01/02/03</t>
        </is>
      </c>
      <c r="C19" s="8" t="n"/>
      <c r="D19" s="8" t="n"/>
      <c r="E19" s="9" t="n"/>
    </row>
    <row r="20">
      <c r="A20" s="10" t="inlineStr">
        <is>
          <t>Facilitator</t>
        </is>
      </c>
      <c r="B20" s="4" t="inlineStr">
        <is>
          <t>A. Facilitator</t>
        </is>
      </c>
      <c r="C20" s="8" t="n"/>
      <c r="D20" s="8" t="n"/>
      <c r="E20" s="9" t="n"/>
    </row>
    <row r="21">
      <c r="A21" s="10" t="inlineStr">
        <is>
          <t>Scribe</t>
        </is>
      </c>
      <c r="B21" s="4" t="inlineStr">
        <is>
          <t>B. Scribe</t>
        </is>
      </c>
      <c r="C21" s="8" t="n"/>
      <c r="D21" s="8" t="n"/>
      <c r="E21" s="9" t="n"/>
    </row>
    <row r="22">
      <c r="A22" s="10" t="inlineStr">
        <is>
          <t>Rating method</t>
        </is>
      </c>
      <c r="B22" s="4" t="inlineStr">
        <is>
          <t>Severity, Occurrence, Detection 1–10; RPN = S x O x D; AIAG-VDA Action Priority (see 'Rating Scales')</t>
        </is>
      </c>
      <c r="C22" s="8" t="n"/>
      <c r="D22" s="8" t="n"/>
      <c r="E22" s="9" t="n"/>
    </row>
    <row r="23">
      <c r="A23" s="10" t="inlineStr">
        <is>
          <t>Number of systems</t>
        </is>
      </c>
      <c r="B23" s="5">
        <f>COUNTA(Systems!B5:B34)</f>
        <v/>
      </c>
      <c r="C23" s="8" t="n"/>
      <c r="D23" s="8" t="n"/>
      <c r="E23" s="9" t="n"/>
    </row>
    <row r="24">
      <c r="A24" s="10" t="inlineStr">
        <is>
          <t>Number of equipment items</t>
        </is>
      </c>
      <c r="B24" s="5">
        <f>COUNTA('Equipment Register'!C5:C204)</f>
        <v/>
      </c>
      <c r="C24" s="8" t="n"/>
      <c r="D24" s="8" t="n"/>
      <c r="E24" s="9" t="n"/>
    </row>
    <row r="25"/>
    <row r="26">
      <c r="A26" s="7" t="inlineStr">
        <is>
          <t>STUDY TEAM</t>
        </is>
      </c>
      <c r="B26" s="8" t="n"/>
      <c r="C26" s="8" t="n"/>
      <c r="D26" s="8" t="n"/>
      <c r="E26" s="9" t="n"/>
    </row>
    <row r="27">
      <c r="A27" s="7" t="inlineStr">
        <is>
          <t>Name</t>
        </is>
      </c>
      <c r="B27" s="7" t="inlineStr">
        <is>
          <t>Company</t>
        </is>
      </c>
      <c r="C27" s="7" t="inlineStr">
        <is>
          <t>Discipline / role</t>
        </is>
      </c>
      <c r="D27" s="7" t="inlineStr">
        <is>
          <t>Sessions / days attended</t>
        </is>
      </c>
      <c r="E27" s="7" t="inlineStr">
        <is>
          <t>Signature</t>
        </is>
      </c>
    </row>
    <row r="28">
      <c r="A28" s="4" t="inlineStr">
        <is>
          <t>A. Facilitator</t>
        </is>
      </c>
      <c r="B28" s="4" t="inlineStr">
        <is>
          <t>Istec</t>
        </is>
      </c>
      <c r="C28" s="4" t="inlineStr">
        <is>
          <t>Facilitator</t>
        </is>
      </c>
      <c r="D28" s="4" t="inlineStr">
        <is>
          <t>Days 1–2</t>
        </is>
      </c>
      <c r="E28" s="4" t="n"/>
    </row>
    <row r="29">
      <c r="A29" s="4" t="inlineStr">
        <is>
          <t>B. Scribe</t>
        </is>
      </c>
      <c r="B29" s="4" t="inlineStr">
        <is>
          <t>Istec</t>
        </is>
      </c>
      <c r="C29" s="4" t="inlineStr">
        <is>
          <t>Scribe</t>
        </is>
      </c>
      <c r="D29" s="4" t="inlineStr">
        <is>
          <t>Days 1–2</t>
        </is>
      </c>
      <c r="E29" s="4" t="n"/>
    </row>
    <row r="30">
      <c r="A30" s="4" t="inlineStr">
        <is>
          <t>E. Instrument</t>
        </is>
      </c>
      <c r="B30" s="4" t="inlineStr">
        <is>
          <t>Maintenance</t>
        </is>
      </c>
      <c r="C30" s="4" t="inlineStr">
        <is>
          <t>Electrical / instrument technician</t>
        </is>
      </c>
      <c r="D30" s="4" t="inlineStr">
        <is>
          <t>Days 1–2</t>
        </is>
      </c>
      <c r="E30" s="4" t="n"/>
    </row>
    <row r="31">
      <c r="A31" s="4" t="inlineStr">
        <is>
          <t>F. Mechanical</t>
        </is>
      </c>
      <c r="B31" s="4" t="inlineStr">
        <is>
          <t>Maintenance</t>
        </is>
      </c>
      <c r="C31" s="4" t="inlineStr">
        <is>
          <t>Maintenance engineer / planner</t>
        </is>
      </c>
      <c r="D31" s="4" t="inlineStr">
        <is>
          <t>Days 1–2</t>
        </is>
      </c>
      <c r="E31" s="4" t="n"/>
    </row>
    <row r="32">
      <c r="A32" s="4" t="inlineStr">
        <is>
          <t>J. Reliability</t>
        </is>
      </c>
      <c r="B32" s="4" t="inlineStr">
        <is>
          <t>Maintenance</t>
        </is>
      </c>
      <c r="C32" s="4" t="inlineStr">
        <is>
          <t>Reliability engineer</t>
        </is>
      </c>
      <c r="D32" s="4" t="inlineStr">
        <is>
          <t>Days 1–2</t>
        </is>
      </c>
      <c r="E32" s="4" t="n"/>
    </row>
    <row r="33">
      <c r="A33" s="4" t="inlineStr">
        <is>
          <t>D. Operator</t>
        </is>
      </c>
      <c r="B33" s="4" t="inlineStr">
        <is>
          <t>Utilities</t>
        </is>
      </c>
      <c r="C33" s="4" t="inlineStr">
        <is>
          <t>Operations representative</t>
        </is>
      </c>
      <c r="D33" s="4" t="inlineStr">
        <is>
          <t>Days 1–2</t>
        </is>
      </c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/>
    <row r="41">
      <c r="A41" s="7" t="inlineStr">
        <is>
          <t>APPROVAL</t>
        </is>
      </c>
      <c r="B41" s="8" t="n"/>
      <c r="C41" s="8" t="n"/>
      <c r="D41" s="8" t="n"/>
      <c r="E41" s="9" t="n"/>
    </row>
    <row r="42">
      <c r="A42" s="7" t="inlineStr"/>
      <c r="B42" s="7" t="inlineStr">
        <is>
          <t>Name</t>
        </is>
      </c>
      <c r="C42" s="7" t="inlineStr">
        <is>
          <t>Position</t>
        </is>
      </c>
      <c r="D42" s="7" t="inlineStr">
        <is>
          <t>Signature</t>
        </is>
      </c>
      <c r="E42" s="7" t="inlineStr">
        <is>
          <t>Date</t>
        </is>
      </c>
    </row>
    <row r="43">
      <c r="A43" s="10" t="inlineStr">
        <is>
          <t>Prepared by</t>
        </is>
      </c>
      <c r="B43" s="4" t="n"/>
      <c r="C43" s="4" t="n"/>
      <c r="D43" s="4" t="n"/>
      <c r="E43" s="4" t="n"/>
    </row>
    <row r="44">
      <c r="A44" s="10" t="inlineStr">
        <is>
          <t>Reviewed by</t>
        </is>
      </c>
      <c r="B44" s="4" t="n"/>
      <c r="C44" s="4" t="n"/>
      <c r="D44" s="4" t="n"/>
      <c r="E44" s="4" t="n"/>
    </row>
    <row r="45">
      <c r="A45" s="10" t="inlineStr">
        <is>
          <t>Approved by</t>
        </is>
      </c>
      <c r="B45" s="4" t="n"/>
      <c r="C45" s="4" t="n"/>
      <c r="D45" s="4" t="n"/>
      <c r="E45" s="4" t="n"/>
    </row>
    <row r="46"/>
    <row r="47">
      <c r="A47" s="7" t="inlineStr">
        <is>
          <t>WORKBOOK CONTENTS</t>
        </is>
      </c>
      <c r="B47" s="8" t="n"/>
      <c r="C47" s="8" t="n"/>
      <c r="D47" s="8" t="n"/>
      <c r="E47" s="9" t="n"/>
    </row>
    <row r="48">
      <c r="A48" s="11" t="inlineStr">
        <is>
          <t>Cover</t>
        </is>
      </c>
      <c r="B48" s="12" t="inlineStr">
        <is>
          <t>Study details, team, approval</t>
        </is>
      </c>
      <c r="C48" s="8" t="n"/>
      <c r="D48" s="8" t="n"/>
      <c r="E48" s="9" t="n"/>
    </row>
    <row r="49">
      <c r="A49" s="11" t="inlineStr">
        <is>
          <t>Reference Docs</t>
        </is>
      </c>
      <c r="B49" s="12" t="inlineStr">
        <is>
          <t>Drawings, equipment data, maintenance history and reliability data used in the study</t>
        </is>
      </c>
      <c r="C49" s="8" t="n"/>
      <c r="D49" s="8" t="n"/>
      <c r="E49" s="9" t="n"/>
    </row>
    <row r="50">
      <c r="A50" s="11" t="inlineStr">
        <is>
          <t>Systems</t>
        </is>
      </c>
      <c r="B50" s="12" t="inlineStr">
        <is>
          <t>System list: function, operating context, boundaries, drawings, related HAZOP nodes</t>
        </is>
      </c>
      <c r="C50" s="8" t="n"/>
      <c r="D50" s="8" t="n"/>
      <c r="E50" s="9" t="n"/>
    </row>
    <row r="51">
      <c r="A51" s="11" t="inlineStr">
        <is>
          <t>Equipment Register</t>
        </is>
      </c>
      <c r="B51" s="12" t="inlineStr">
        <is>
          <t>Equipment tags per system with equipment type (drives the drop-downs on the system sheets)</t>
        </is>
      </c>
      <c r="C51" s="8" t="n"/>
      <c r="D51" s="8" t="n"/>
      <c r="E51" s="9" t="n"/>
    </row>
    <row r="52">
      <c r="A52" s="11" t="inlineStr">
        <is>
          <t>Lists</t>
        </is>
      </c>
      <c r="B52" s="12" t="inlineStr">
        <is>
          <t>Drop-down sources: equipment types, components, failure modes, causes / mechanisms, detection methods (editable)</t>
        </is>
      </c>
      <c r="C52" s="8" t="n"/>
      <c r="D52" s="8" t="n"/>
      <c r="E52" s="9" t="n"/>
    </row>
    <row r="53">
      <c r="A53" s="11" t="inlineStr">
        <is>
          <t>Rating Scales</t>
        </is>
      </c>
      <c r="B53" s="12" t="inlineStr">
        <is>
          <t>Severity, Occurrence, Detection 1–10 scales, RPN / severity thresholds and Action Priority table (editable)</t>
        </is>
      </c>
      <c r="C53" s="8" t="n"/>
      <c r="D53" s="8" t="n"/>
      <c r="E53" s="9" t="n"/>
    </row>
    <row r="54">
      <c r="A54" s="11" t="inlineStr">
        <is>
          <t>Summary</t>
        </is>
      </c>
      <c r="B54" s="12" t="inlineStr">
        <is>
          <t>Failure modes, Action Priority counts, highest RPN and open actions per system</t>
        </is>
      </c>
      <c r="C54" s="8" t="n"/>
      <c r="D54" s="8" t="n"/>
      <c r="E54" s="9" t="n"/>
    </row>
    <row r="55">
      <c r="A55" s="11" t="inlineStr">
        <is>
          <t>System 01 … System 10</t>
        </is>
      </c>
      <c r="B55" s="12" t="inlineStr">
        <is>
          <t>One FMECA worksheet per system – one row per failure mode</t>
        </is>
      </c>
      <c r="C55" s="8" t="n"/>
      <c r="D55" s="8" t="n"/>
      <c r="E55" s="9" t="n"/>
    </row>
    <row r="56"/>
    <row r="57"/>
    <row r="58"/>
    <row r="59"/>
  </sheetData>
  <mergeCells count="30">
    <mergeCell ref="B9:E9"/>
    <mergeCell ref="B49:E49"/>
    <mergeCell ref="B15:E15"/>
    <mergeCell ref="B55:E55"/>
    <mergeCell ref="B24:E24"/>
    <mergeCell ref="B51:E51"/>
    <mergeCell ref="B20:E20"/>
    <mergeCell ref="A6:E6"/>
    <mergeCell ref="B50:E50"/>
    <mergeCell ref="A41:E41"/>
    <mergeCell ref="B16:E16"/>
    <mergeCell ref="B54:E54"/>
    <mergeCell ref="B7:E7"/>
    <mergeCell ref="B22:E22"/>
    <mergeCell ref="B18:E18"/>
    <mergeCell ref="A26:E26"/>
    <mergeCell ref="B12:E12"/>
    <mergeCell ref="B52:E52"/>
    <mergeCell ref="B21:E21"/>
    <mergeCell ref="B48:E48"/>
    <mergeCell ref="A47:E47"/>
    <mergeCell ref="B11:E11"/>
    <mergeCell ref="B14:E14"/>
    <mergeCell ref="B17:E17"/>
    <mergeCell ref="B23:E23"/>
    <mergeCell ref="B8:E8"/>
    <mergeCell ref="B53:E53"/>
    <mergeCell ref="B13:E13"/>
    <mergeCell ref="B19:E19"/>
    <mergeCell ref="B10:E10"/>
  </mergeCells>
  <dataValidations count="3">
    <dataValidation sqref="B11" showDropDown="0" showInputMessage="0" showErrorMessage="1" allowBlank="1" errorTitle="Not in list" error="Entry is not in the list – it will be accepted as free text." type="list" errorStyle="information">
      <formula1>"FMECA – new design,FMECA – existing plant,FMECA – modification / MOC,FMECA – RCM input"</formula1>
    </dataValidation>
    <dataValidation sqref="B18" showDropDown="0" showInputMessage="0" showErrorMessage="1" allowBlank="1" errorTitle="Not in list" error="Entry is not in the list – it will be accepted as free text." type="list" errorStyle="information">
      <formula1>"System / functional,Equipment / maintainable item,Component / part"</formula1>
    </dataValidation>
    <dataValidation sqref="C28:C39" showDropDown="0" showInputMessage="0" showErrorMessage="1" allowBlank="1" errorTitle="Not in list" error="Entry is not in the list – it will be accepted as free text." type="list" errorStyle="information">
      <formula1>"Facilitator,Scribe,Reliability engineer,Maintenance engineer / planner,Mechanical technician,Electrical / instrument technician,Operations representative,Process engineer,Inspection / integrity engineer,HSE / process safety,Vendor specialist,Other"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50" customWidth="1" min="4" max="4"/>
    <col width="9" customWidth="1" min="5" max="5"/>
    <col width="12" customWidth="1" min="6" max="6"/>
    <col width="18" customWidth="1" min="7" max="7"/>
    <col width="14" customWidth="1" min="8" max="8"/>
    <col width="18" customWidth="1" min="9" max="9"/>
    <col width="34" customWidth="1" min="10" max="10"/>
  </cols>
  <sheetData>
    <row r="1">
      <c r="A1" s="1" t="inlineStr">
        <is>
          <t>REFERENCE DOCUMENT REGISTER</t>
        </is>
      </c>
    </row>
    <row r="2">
      <c r="A2" s="2" t="inlineStr">
        <is>
          <t>Pre-filled with a typical FMECA checklist – delete or add rows as required.</t>
        </is>
      </c>
    </row>
    <row r="4">
      <c r="A4" s="7" t="inlineStr">
        <is>
          <t>Ref</t>
        </is>
      </c>
      <c r="B4" s="7" t="inlineStr">
        <is>
          <t>Category</t>
        </is>
      </c>
      <c r="C4" s="7" t="inlineStr">
        <is>
          <t>Document number</t>
        </is>
      </c>
      <c r="D4" s="7" t="inlineStr">
        <is>
          <t>Title / description</t>
        </is>
      </c>
      <c r="E4" s="7" t="inlineStr">
        <is>
          <t>Revision</t>
        </is>
      </c>
      <c r="F4" s="7" t="inlineStr">
        <is>
          <t>Date</t>
        </is>
      </c>
      <c r="G4" s="7" t="inlineStr">
        <is>
          <t>Owner / custodian</t>
        </is>
      </c>
      <c r="H4" s="7" t="inlineStr">
        <is>
          <t>Status</t>
        </is>
      </c>
      <c r="I4" s="7" t="inlineStr">
        <is>
          <t>Applicable systems</t>
        </is>
      </c>
      <c r="J4" s="7" t="inlineStr">
        <is>
          <t>Comments</t>
        </is>
      </c>
    </row>
    <row r="5">
      <c r="A5" s="12" t="inlineStr">
        <is>
          <t>REF-01</t>
        </is>
      </c>
      <c r="B5" s="4" t="inlineStr">
        <is>
          <t>Drawings</t>
        </is>
      </c>
      <c r="C5" s="4" t="inlineStr">
        <is>
          <t>P&amp;ID-GN-1001</t>
        </is>
      </c>
      <c r="D5" s="4" t="inlineStr">
        <is>
          <t>Gas receiving &amp; metering station (GRMS) P&amp;ID</t>
        </is>
      </c>
      <c r="E5" s="4" t="inlineStr">
        <is>
          <t>A</t>
        </is>
      </c>
      <c r="F5" s="13" t="n"/>
      <c r="G5" s="4" t="inlineStr">
        <is>
          <t>Utilities</t>
        </is>
      </c>
      <c r="H5" s="4" t="inlineStr">
        <is>
          <t>Available</t>
        </is>
      </c>
      <c r="I5" s="4" t="inlineStr">
        <is>
          <t>S01</t>
        </is>
      </c>
      <c r="J5" s="4" t="inlineStr"/>
    </row>
    <row r="6">
      <c r="A6" s="12" t="inlineStr">
        <is>
          <t>REF-02</t>
        </is>
      </c>
      <c r="B6" s="4" t="inlineStr">
        <is>
          <t>Drawings</t>
        </is>
      </c>
      <c r="C6" s="4" t="inlineStr">
        <is>
          <t>P&amp;ID-GN-1101</t>
        </is>
      </c>
      <c r="D6" s="4" t="inlineStr">
        <is>
          <t>Gas heaters and pressure reduction station PRS-1 P&amp;ID</t>
        </is>
      </c>
      <c r="E6" s="4" t="inlineStr">
        <is>
          <t>A</t>
        </is>
      </c>
      <c r="F6" s="13" t="n"/>
      <c r="G6" s="4" t="inlineStr">
        <is>
          <t>Utilities</t>
        </is>
      </c>
      <c r="H6" s="4" t="inlineStr">
        <is>
          <t>Available</t>
        </is>
      </c>
      <c r="I6" s="4" t="inlineStr">
        <is>
          <t>S02</t>
        </is>
      </c>
      <c r="J6" s="4" t="inlineStr"/>
    </row>
    <row r="7">
      <c r="A7" s="12" t="inlineStr">
        <is>
          <t>REF-03</t>
        </is>
      </c>
      <c r="B7" s="4" t="inlineStr">
        <is>
          <t>Drawings</t>
        </is>
      </c>
      <c r="C7" s="4" t="inlineStr">
        <is>
          <t>P&amp;ID-GN-1201/1202</t>
        </is>
      </c>
      <c r="D7" s="4" t="inlineStr">
        <is>
          <t>MP ring main and pipe-rack routing</t>
        </is>
      </c>
      <c r="E7" s="4" t="inlineStr">
        <is>
          <t>A</t>
        </is>
      </c>
      <c r="F7" s="13" t="n"/>
      <c r="G7" s="4" t="inlineStr">
        <is>
          <t>Utilities</t>
        </is>
      </c>
      <c r="H7" s="4" t="inlineStr">
        <is>
          <t>Available</t>
        </is>
      </c>
      <c r="I7" s="4" t="inlineStr">
        <is>
          <t>S03</t>
        </is>
      </c>
      <c r="J7" s="4" t="inlineStr"/>
    </row>
    <row r="8">
      <c r="A8" s="12" t="inlineStr">
        <is>
          <t>REF-04</t>
        </is>
      </c>
      <c r="B8" s="4" t="inlineStr">
        <is>
          <t>Drawings</t>
        </is>
      </c>
      <c r="C8" s="4" t="inlineStr">
        <is>
          <t>P&amp;ID-GN-2001</t>
        </is>
      </c>
      <c r="D8" s="4" t="inlineStr">
        <is>
          <t>DRI plant district station DS-2</t>
        </is>
      </c>
      <c r="E8" s="4" t="inlineStr">
        <is>
          <t>A</t>
        </is>
      </c>
      <c r="F8" s="13" t="n"/>
      <c r="G8" s="4" t="inlineStr">
        <is>
          <t>Utilities</t>
        </is>
      </c>
      <c r="H8" s="4" t="inlineStr">
        <is>
          <t>Available</t>
        </is>
      </c>
      <c r="I8" s="4" t="inlineStr">
        <is>
          <t>S04</t>
        </is>
      </c>
      <c r="J8" s="4" t="inlineStr"/>
    </row>
    <row r="9">
      <c r="A9" s="12" t="inlineStr">
        <is>
          <t>REF-05</t>
        </is>
      </c>
      <c r="B9" s="4" t="inlineStr">
        <is>
          <t>Drawings</t>
        </is>
      </c>
      <c r="C9" s="4" t="inlineStr">
        <is>
          <t>P&amp;ID-GN-3001</t>
        </is>
      </c>
      <c r="D9" s="4" t="inlineStr">
        <is>
          <t>Melt shop district station DS-3, oxy-fuel burners and ladle preheaters</t>
        </is>
      </c>
      <c r="E9" s="4" t="inlineStr">
        <is>
          <t>A</t>
        </is>
      </c>
      <c r="F9" s="13" t="n"/>
      <c r="G9" s="4" t="inlineStr">
        <is>
          <t>Utilities</t>
        </is>
      </c>
      <c r="H9" s="4" t="inlineStr">
        <is>
          <t>Available</t>
        </is>
      </c>
      <c r="I9" s="4" t="inlineStr">
        <is>
          <t>S05</t>
        </is>
      </c>
      <c r="J9" s="4" t="inlineStr"/>
    </row>
    <row r="10">
      <c r="A10" s="12" t="inlineStr">
        <is>
          <t>REF-06</t>
        </is>
      </c>
      <c r="B10" s="4" t="inlineStr">
        <is>
          <t>Drawings</t>
        </is>
      </c>
      <c r="C10" s="4" t="inlineStr">
        <is>
          <t>P&amp;ID-GN-4001</t>
        </is>
      </c>
      <c r="D10" s="4" t="inlineStr">
        <is>
          <t>Rolling-mill reheat furnace fuel gas train and BMS</t>
        </is>
      </c>
      <c r="E10" s="4" t="inlineStr">
        <is>
          <t>A</t>
        </is>
      </c>
      <c r="F10" s="13" t="n"/>
      <c r="G10" s="4" t="inlineStr">
        <is>
          <t>Utilities</t>
        </is>
      </c>
      <c r="H10" s="4" t="inlineStr">
        <is>
          <t>Available</t>
        </is>
      </c>
      <c r="I10" s="4" t="inlineStr">
        <is>
          <t>S06</t>
        </is>
      </c>
      <c r="J10" s="4" t="inlineStr"/>
    </row>
    <row r="11">
      <c r="A11" s="12" t="inlineStr">
        <is>
          <t>REF-07</t>
        </is>
      </c>
      <c r="B11" s="4" t="inlineStr">
        <is>
          <t>Drawings</t>
        </is>
      </c>
      <c r="C11" s="4" t="inlineStr">
        <is>
          <t>P&amp;ID-GN-1301</t>
        </is>
      </c>
      <c r="D11" s="4" t="inlineStr">
        <is>
          <t>Vent stack, blowdown and N2 purge connections</t>
        </is>
      </c>
      <c r="E11" s="4" t="inlineStr">
        <is>
          <t>A</t>
        </is>
      </c>
      <c r="F11" s="13" t="n"/>
      <c r="G11" s="4" t="inlineStr">
        <is>
          <t>Utilities</t>
        </is>
      </c>
      <c r="H11" s="4" t="inlineStr">
        <is>
          <t>Available</t>
        </is>
      </c>
      <c r="I11" s="4" t="inlineStr">
        <is>
          <t>S07</t>
        </is>
      </c>
      <c r="J11" s="4" t="inlineStr"/>
    </row>
    <row r="12">
      <c r="A12" s="12" t="inlineStr">
        <is>
          <t>REF-08</t>
        </is>
      </c>
      <c r="B12" s="4" t="inlineStr">
        <is>
          <t>Drawings</t>
        </is>
      </c>
      <c r="C12" s="4" t="inlineStr">
        <is>
          <t>C&amp;E-GN-1000</t>
        </is>
      </c>
      <c r="D12" s="4" t="inlineStr">
        <is>
          <t>ESD / F&amp;G cause-and-effect charts</t>
        </is>
      </c>
      <c r="E12" s="4" t="inlineStr">
        <is>
          <t>A</t>
        </is>
      </c>
      <c r="F12" s="13" t="n"/>
      <c r="G12" s="4" t="inlineStr">
        <is>
          <t>Utilities</t>
        </is>
      </c>
      <c r="H12" s="4" t="inlineStr">
        <is>
          <t>Available</t>
        </is>
      </c>
      <c r="I12" s="4" t="inlineStr">
        <is>
          <t>S01, S02, S08</t>
        </is>
      </c>
      <c r="J12" s="4" t="inlineStr"/>
    </row>
    <row r="13">
      <c r="A13" s="12" t="inlineStr">
        <is>
          <t>REF-09</t>
        </is>
      </c>
      <c r="B13" s="4" t="inlineStr">
        <is>
          <t>Drawings</t>
        </is>
      </c>
      <c r="C13" s="4" t="inlineStr">
        <is>
          <t>HAC-GN-001</t>
        </is>
      </c>
      <c r="D13" s="4" t="inlineStr">
        <is>
          <t>Hazardous area classification – gas network</t>
        </is>
      </c>
      <c r="E13" s="4" t="inlineStr">
        <is>
          <t>A</t>
        </is>
      </c>
      <c r="F13" s="13" t="n"/>
      <c r="G13" s="4" t="inlineStr">
        <is>
          <t>Utilities</t>
        </is>
      </c>
      <c r="H13" s="4" t="inlineStr">
        <is>
          <t>Available</t>
        </is>
      </c>
      <c r="I13" s="4" t="inlineStr">
        <is>
          <t>S01, S02, S03, S07</t>
        </is>
      </c>
      <c r="J13" s="4" t="inlineStr"/>
    </row>
    <row r="14">
      <c r="A14" s="12" t="inlineStr">
        <is>
          <t>REF-10</t>
        </is>
      </c>
      <c r="B14" s="4" t="inlineStr">
        <is>
          <t>Other</t>
        </is>
      </c>
      <c r="C14" s="4" t="inlineStr">
        <is>
          <t>DB-GN-001</t>
        </is>
      </c>
      <c r="D14" s="4" t="inlineStr">
        <is>
          <t>Gas network design basis (pressures, set points, MDMT)</t>
        </is>
      </c>
      <c r="E14" s="4" t="inlineStr">
        <is>
          <t>A</t>
        </is>
      </c>
      <c r="F14" s="13" t="n"/>
      <c r="G14" s="4" t="inlineStr">
        <is>
          <t>Utilities</t>
        </is>
      </c>
      <c r="H14" s="4" t="inlineStr">
        <is>
          <t>Available</t>
        </is>
      </c>
      <c r="I14" s="4" t="inlineStr">
        <is>
          <t>S01, S02, S03</t>
        </is>
      </c>
      <c r="J14" s="4" t="inlineStr"/>
    </row>
    <row r="15">
      <c r="A15" s="12" t="inlineStr">
        <is>
          <t>REF-11</t>
        </is>
      </c>
      <c r="B15" s="4" t="inlineStr">
        <is>
          <t>Other</t>
        </is>
      </c>
      <c r="C15" s="4" t="inlineStr">
        <is>
          <t>RS-GN-001</t>
        </is>
      </c>
      <c r="D15" s="4" t="inlineStr">
        <is>
          <t>Relief and overpressure protection study</t>
        </is>
      </c>
      <c r="E15" s="4" t="inlineStr">
        <is>
          <t>A</t>
        </is>
      </c>
      <c r="F15" s="13" t="n"/>
      <c r="G15" s="4" t="inlineStr">
        <is>
          <t>Utilities</t>
        </is>
      </c>
      <c r="H15" s="4" t="inlineStr">
        <is>
          <t>Available</t>
        </is>
      </c>
      <c r="I15" s="4" t="inlineStr">
        <is>
          <t>S01, S02, S07</t>
        </is>
      </c>
      <c r="J15" s="4" t="inlineStr"/>
    </row>
    <row r="16">
      <c r="A16" s="12" t="inlineStr">
        <is>
          <t>REF-12</t>
        </is>
      </c>
      <c r="B16" s="4" t="inlineStr">
        <is>
          <t>Other</t>
        </is>
      </c>
      <c r="C16" s="4" t="inlineStr">
        <is>
          <t>SRS-GN-001</t>
        </is>
      </c>
      <c r="D16" s="4" t="inlineStr">
        <is>
          <t>Safety requirements specification – gas ESD and furnace BMS</t>
        </is>
      </c>
      <c r="E16" s="4" t="inlineStr">
        <is>
          <t>A</t>
        </is>
      </c>
      <c r="F16" s="13" t="n"/>
      <c r="G16" s="4" t="inlineStr">
        <is>
          <t>Utilities</t>
        </is>
      </c>
      <c r="H16" s="4" t="inlineStr">
        <is>
          <t>Available</t>
        </is>
      </c>
      <c r="I16" s="4" t="inlineStr">
        <is>
          <t>S06, S08</t>
        </is>
      </c>
      <c r="J16" s="4" t="inlineStr"/>
    </row>
    <row r="17">
      <c r="A17" s="12" t="inlineStr">
        <is>
          <t>REF-13</t>
        </is>
      </c>
      <c r="B17" s="4" t="inlineStr">
        <is>
          <t>Other</t>
        </is>
      </c>
      <c r="C17" s="4" t="inlineStr">
        <is>
          <t>SDS-NG-001</t>
        </is>
      </c>
      <c r="D17" s="4" t="inlineStr">
        <is>
          <t>Natural gas safety data sheet; gas supply quality specification</t>
        </is>
      </c>
      <c r="E17" s="4" t="inlineStr">
        <is>
          <t>A</t>
        </is>
      </c>
      <c r="F17" s="13" t="n"/>
      <c r="G17" s="4" t="inlineStr">
        <is>
          <t>Utilities</t>
        </is>
      </c>
      <c r="H17" s="4" t="inlineStr">
        <is>
          <t>Available</t>
        </is>
      </c>
      <c r="I17" s="4" t="inlineStr">
        <is>
          <t>S01</t>
        </is>
      </c>
      <c r="J17" s="4" t="inlineStr"/>
    </row>
    <row r="18">
      <c r="A18" s="12" t="inlineStr">
        <is>
          <t>REF-14</t>
        </is>
      </c>
      <c r="B18" s="4" t="inlineStr">
        <is>
          <t>Other</t>
        </is>
      </c>
      <c r="C18" s="4" t="inlineStr">
        <is>
          <t>OP-GN-010</t>
        </is>
      </c>
      <c r="D18" s="4" t="inlineStr">
        <is>
          <t>Pigging procedure (pig receiver PR-1001)</t>
        </is>
      </c>
      <c r="E18" s="4" t="inlineStr">
        <is>
          <t>A</t>
        </is>
      </c>
      <c r="F18" s="13" t="n"/>
      <c r="G18" s="4" t="inlineStr">
        <is>
          <t>Utilities</t>
        </is>
      </c>
      <c r="H18" s="4" t="inlineStr">
        <is>
          <t>Available</t>
        </is>
      </c>
      <c r="I18" s="4" t="inlineStr">
        <is>
          <t>S01, S07</t>
        </is>
      </c>
      <c r="J18" s="4" t="inlineStr"/>
    </row>
    <row r="19">
      <c r="A19" s="12" t="inlineStr">
        <is>
          <t>REF-15</t>
        </is>
      </c>
      <c r="B19" s="4" t="inlineStr">
        <is>
          <t>Other</t>
        </is>
      </c>
      <c r="C19" s="4" t="inlineStr">
        <is>
          <t>OP-GN-020</t>
        </is>
      </c>
      <c r="D19" s="4" t="inlineStr">
        <is>
          <t>Purging and gas-in / gas-out procedure</t>
        </is>
      </c>
      <c r="E19" s="4" t="inlineStr">
        <is>
          <t>A</t>
        </is>
      </c>
      <c r="F19" s="13" t="n"/>
      <c r="G19" s="4" t="inlineStr">
        <is>
          <t>Utilities</t>
        </is>
      </c>
      <c r="H19" s="4" t="inlineStr">
        <is>
          <t>Available</t>
        </is>
      </c>
      <c r="I19" s="4" t="inlineStr">
        <is>
          <t>S03, S07</t>
        </is>
      </c>
      <c r="J19" s="4" t="inlineStr"/>
    </row>
    <row r="20">
      <c r="A20" s="12" t="inlineStr">
        <is>
          <t>REF-16</t>
        </is>
      </c>
      <c r="B20" s="4" t="inlineStr">
        <is>
          <t>Other</t>
        </is>
      </c>
      <c r="C20" s="4" t="inlineStr">
        <is>
          <t>OP-RM-040</t>
        </is>
      </c>
      <c r="D20" s="4" t="inlineStr">
        <is>
          <t>Reheat furnace light-off and shutdown procedure</t>
        </is>
      </c>
      <c r="E20" s="4" t="inlineStr">
        <is>
          <t>A</t>
        </is>
      </c>
      <c r="F20" s="13" t="n"/>
      <c r="G20" s="4" t="inlineStr">
        <is>
          <t>Utilities</t>
        </is>
      </c>
      <c r="H20" s="4" t="inlineStr">
        <is>
          <t>Available</t>
        </is>
      </c>
      <c r="I20" s="4" t="inlineStr">
        <is>
          <t>S06</t>
        </is>
      </c>
      <c r="J20" s="4" t="inlineStr"/>
    </row>
    <row r="21">
      <c r="A21" s="12" t="inlineStr">
        <is>
          <t>REF-17</t>
        </is>
      </c>
      <c r="B21" s="4" t="inlineStr">
        <is>
          <t>Other</t>
        </is>
      </c>
      <c r="C21" s="4" t="inlineStr">
        <is>
          <t>HZ-GN-2019</t>
        </is>
      </c>
      <c r="D21" s="4" t="inlineStr">
        <is>
          <t>Previous gas network HAZOP (2019) and close-out status</t>
        </is>
      </c>
      <c r="E21" s="4" t="inlineStr">
        <is>
          <t>A</t>
        </is>
      </c>
      <c r="F21" s="13" t="n"/>
      <c r="G21" s="4" t="inlineStr">
        <is>
          <t>Utilities</t>
        </is>
      </c>
      <c r="H21" s="4" t="inlineStr">
        <is>
          <t>Available</t>
        </is>
      </c>
      <c r="I21" s="4" t="inlineStr">
        <is>
          <t>S01, S02, S03</t>
        </is>
      </c>
      <c r="J21" s="4" t="inlineStr"/>
    </row>
    <row r="22">
      <c r="A22" s="12" t="inlineStr">
        <is>
          <t>REF-18</t>
        </is>
      </c>
      <c r="B22" s="4" t="inlineStr">
        <is>
          <t>Other</t>
        </is>
      </c>
      <c r="C22" s="4" t="inlineStr">
        <is>
          <t>INC-GN-LOG</t>
        </is>
      </c>
      <c r="D22" s="4" t="inlineStr">
        <is>
          <t>Gas incident / near-miss log (last 5 years)</t>
        </is>
      </c>
      <c r="E22" s="4" t="inlineStr">
        <is>
          <t>A</t>
        </is>
      </c>
      <c r="F22" s="13" t="n"/>
      <c r="G22" s="4" t="inlineStr">
        <is>
          <t>Utilities</t>
        </is>
      </c>
      <c r="H22" s="4" t="inlineStr">
        <is>
          <t>Available</t>
        </is>
      </c>
      <c r="I22" s="4" t="inlineStr">
        <is>
          <t>S03, S05, S06</t>
        </is>
      </c>
      <c r="J22" s="4" t="inlineStr"/>
    </row>
    <row r="23">
      <c r="A23" s="12" t="inlineStr">
        <is>
          <t>REF-19</t>
        </is>
      </c>
      <c r="B23" s="4" t="inlineStr">
        <is>
          <t>Other</t>
        </is>
      </c>
      <c r="C23" s="4" t="inlineStr">
        <is>
          <t>HZ-EX-GN-001</t>
        </is>
      </c>
      <c r="D23" s="4" t="inlineStr">
        <is>
          <t>HAZOP study (this example) – HAZOP Study Manager file and workbook</t>
        </is>
      </c>
      <c r="E23" s="4" t="inlineStr">
        <is>
          <t>A</t>
        </is>
      </c>
      <c r="F23" s="13" t="n"/>
      <c r="G23" s="4" t="inlineStr">
        <is>
          <t>Utilities</t>
        </is>
      </c>
      <c r="H23" s="4" t="inlineStr">
        <is>
          <t>Available</t>
        </is>
      </c>
      <c r="I23" s="4" t="inlineStr">
        <is>
          <t>S01–S08</t>
        </is>
      </c>
      <c r="J23" s="4" t="inlineStr"/>
    </row>
    <row r="24">
      <c r="A24" s="12" t="inlineStr">
        <is>
          <t>REF-20</t>
        </is>
      </c>
      <c r="B24" s="4" t="inlineStr">
        <is>
          <t>Other</t>
        </is>
      </c>
      <c r="C24" s="4" t="inlineStr">
        <is>
          <t>FT-GN-01/02/03</t>
        </is>
      </c>
      <c r="D24" s="4" t="inlineStr">
        <is>
          <t>Fault trees – PRS overpressure, gas detection &amp; ESD, reheat furnace BMS</t>
        </is>
      </c>
      <c r="E24" s="4" t="inlineStr">
        <is>
          <t>A</t>
        </is>
      </c>
      <c r="F24" s="13" t="n"/>
      <c r="G24" s="4" t="inlineStr">
        <is>
          <t>Utilities</t>
        </is>
      </c>
      <c r="H24" s="4" t="inlineStr">
        <is>
          <t>Available</t>
        </is>
      </c>
      <c r="I24" s="4" t="inlineStr">
        <is>
          <t>S02, S08, S06</t>
        </is>
      </c>
      <c r="J24" s="4" t="inlineStr"/>
    </row>
    <row r="25">
      <c r="A25" s="12" t="inlineStr">
        <is>
          <t>REF-21</t>
        </is>
      </c>
      <c r="B25" s="4" t="inlineStr">
        <is>
          <t>Other</t>
        </is>
      </c>
      <c r="C25" s="4" t="inlineStr">
        <is>
          <t>OREDA / CCPS</t>
        </is>
      </c>
      <c r="D25" s="4" t="inlineStr">
        <is>
          <t>Generic reliability data used for the illustrative failure rates</t>
        </is>
      </c>
      <c r="E25" s="4" t="inlineStr">
        <is>
          <t>A</t>
        </is>
      </c>
      <c r="F25" s="13" t="n"/>
      <c r="G25" s="4" t="inlineStr">
        <is>
          <t>Utilities</t>
        </is>
      </c>
      <c r="H25" s="4" t="inlineStr">
        <is>
          <t>Available</t>
        </is>
      </c>
      <c r="I25" s="4" t="inlineStr"/>
      <c r="J25" s="4" t="inlineStr"/>
    </row>
    <row r="26">
      <c r="A26" s="12" t="inlineStr">
        <is>
          <t>REF-22</t>
        </is>
      </c>
      <c r="B26" s="4" t="n"/>
      <c r="C26" s="4" t="n"/>
      <c r="D26" s="4" t="n"/>
      <c r="E26" s="4" t="n"/>
      <c r="F26" s="13" t="n"/>
      <c r="G26" s="4" t="n"/>
      <c r="H26" s="4" t="n"/>
      <c r="I26" s="4" t="n"/>
      <c r="J26" s="4" t="n"/>
    </row>
    <row r="27">
      <c r="A27" s="12" t="inlineStr">
        <is>
          <t>REF-23</t>
        </is>
      </c>
      <c r="B27" s="4" t="n"/>
      <c r="C27" s="4" t="n"/>
      <c r="D27" s="4" t="n"/>
      <c r="E27" s="4" t="n"/>
      <c r="F27" s="13" t="n"/>
      <c r="G27" s="4" t="n"/>
      <c r="H27" s="4" t="n"/>
      <c r="I27" s="4" t="n"/>
      <c r="J27" s="4" t="n"/>
    </row>
    <row r="28">
      <c r="A28" s="12" t="inlineStr">
        <is>
          <t>REF-24</t>
        </is>
      </c>
      <c r="B28" s="4" t="n"/>
      <c r="C28" s="4" t="n"/>
      <c r="D28" s="4" t="n"/>
      <c r="E28" s="4" t="n"/>
      <c r="F28" s="13" t="n"/>
      <c r="G28" s="4" t="n"/>
      <c r="H28" s="4" t="n"/>
      <c r="I28" s="4" t="n"/>
      <c r="J28" s="4" t="n"/>
    </row>
    <row r="29">
      <c r="A29" s="12" t="inlineStr">
        <is>
          <t>REF-25</t>
        </is>
      </c>
      <c r="B29" s="4" t="n"/>
      <c r="C29" s="4" t="n"/>
      <c r="D29" s="4" t="n"/>
      <c r="E29" s="4" t="n"/>
      <c r="F29" s="13" t="n"/>
      <c r="G29" s="4" t="n"/>
      <c r="H29" s="4" t="n"/>
      <c r="I29" s="4" t="n"/>
      <c r="J29" s="4" t="n"/>
    </row>
    <row r="30">
      <c r="A30" s="12" t="inlineStr">
        <is>
          <t>REF-26</t>
        </is>
      </c>
      <c r="B30" s="4" t="n"/>
      <c r="C30" s="4" t="n"/>
      <c r="D30" s="4" t="n"/>
      <c r="E30" s="4" t="n"/>
      <c r="F30" s="13" t="n"/>
      <c r="G30" s="4" t="n"/>
      <c r="H30" s="4" t="n"/>
      <c r="I30" s="4" t="n"/>
      <c r="J30" s="4" t="n"/>
    </row>
    <row r="31">
      <c r="A31" s="12" t="inlineStr">
        <is>
          <t>REF-27</t>
        </is>
      </c>
      <c r="B31" s="4" t="n"/>
      <c r="C31" s="4" t="n"/>
      <c r="D31" s="4" t="n"/>
      <c r="E31" s="4" t="n"/>
      <c r="F31" s="13" t="n"/>
      <c r="G31" s="4" t="n"/>
      <c r="H31" s="4" t="n"/>
      <c r="I31" s="4" t="n"/>
      <c r="J31" s="4" t="n"/>
    </row>
    <row r="32">
      <c r="A32" s="12" t="inlineStr">
        <is>
          <t>REF-28</t>
        </is>
      </c>
      <c r="B32" s="4" t="n"/>
      <c r="C32" s="4" t="n"/>
      <c r="D32" s="4" t="n"/>
      <c r="E32" s="4" t="n"/>
      <c r="F32" s="13" t="n"/>
      <c r="G32" s="4" t="n"/>
      <c r="H32" s="4" t="n"/>
      <c r="I32" s="4" t="n"/>
      <c r="J32" s="4" t="n"/>
    </row>
    <row r="33">
      <c r="A33" s="12" t="inlineStr">
        <is>
          <t>REF-29</t>
        </is>
      </c>
      <c r="B33" s="4" t="n"/>
      <c r="C33" s="4" t="n"/>
      <c r="D33" s="4" t="n"/>
      <c r="E33" s="4" t="n"/>
      <c r="F33" s="13" t="n"/>
      <c r="G33" s="4" t="n"/>
      <c r="H33" s="4" t="n"/>
      <c r="I33" s="4" t="n"/>
      <c r="J33" s="4" t="n"/>
    </row>
    <row r="34">
      <c r="A34" s="12" t="inlineStr">
        <is>
          <t>REF-30</t>
        </is>
      </c>
      <c r="B34" s="4" t="n"/>
      <c r="C34" s="4" t="n"/>
      <c r="D34" s="4" t="n"/>
      <c r="E34" s="4" t="n"/>
      <c r="F34" s="13" t="n"/>
      <c r="G34" s="4" t="n"/>
      <c r="H34" s="4" t="n"/>
      <c r="I34" s="4" t="n"/>
      <c r="J34" s="4" t="n"/>
    </row>
    <row r="35">
      <c r="A35" s="12" t="inlineStr">
        <is>
          <t>REF-31</t>
        </is>
      </c>
      <c r="B35" s="4" t="n"/>
      <c r="C35" s="4" t="n"/>
      <c r="D35" s="4" t="n"/>
      <c r="E35" s="4" t="n"/>
      <c r="F35" s="13" t="n"/>
      <c r="G35" s="4" t="n"/>
      <c r="H35" s="4" t="n"/>
      <c r="I35" s="4" t="n"/>
      <c r="J35" s="4" t="n"/>
    </row>
    <row r="36">
      <c r="A36" s="12" t="inlineStr">
        <is>
          <t>REF-32</t>
        </is>
      </c>
      <c r="B36" s="4" t="n"/>
      <c r="C36" s="4" t="n"/>
      <c r="D36" s="4" t="n"/>
      <c r="E36" s="4" t="n"/>
      <c r="F36" s="13" t="n"/>
      <c r="G36" s="4" t="n"/>
      <c r="H36" s="4" t="n"/>
      <c r="I36" s="4" t="n"/>
      <c r="J36" s="4" t="n"/>
    </row>
    <row r="37">
      <c r="A37" s="12" t="inlineStr">
        <is>
          <t>REF-33</t>
        </is>
      </c>
      <c r="B37" s="4" t="n"/>
      <c r="C37" s="4" t="n"/>
      <c r="D37" s="4" t="n"/>
      <c r="E37" s="4" t="n"/>
      <c r="F37" s="13" t="n"/>
      <c r="G37" s="4" t="n"/>
      <c r="H37" s="4" t="n"/>
      <c r="I37" s="4" t="n"/>
      <c r="J37" s="4" t="n"/>
    </row>
    <row r="38">
      <c r="A38" s="12" t="inlineStr">
        <is>
          <t>REF-34</t>
        </is>
      </c>
      <c r="B38" s="4" t="n"/>
      <c r="C38" s="4" t="n"/>
      <c r="D38" s="4" t="n"/>
      <c r="E38" s="4" t="n"/>
      <c r="F38" s="13" t="n"/>
      <c r="G38" s="4" t="n"/>
      <c r="H38" s="4" t="n"/>
      <c r="I38" s="4" t="n"/>
      <c r="J38" s="4" t="n"/>
    </row>
    <row r="39">
      <c r="A39" s="12" t="inlineStr">
        <is>
          <t>REF-35</t>
        </is>
      </c>
      <c r="B39" s="4" t="n"/>
      <c r="C39" s="4" t="n"/>
      <c r="D39" s="4" t="n"/>
      <c r="E39" s="4" t="n"/>
      <c r="F39" s="13" t="n"/>
      <c r="G39" s="4" t="n"/>
      <c r="H39" s="4" t="n"/>
      <c r="I39" s="4" t="n"/>
      <c r="J39" s="4" t="n"/>
    </row>
    <row r="40">
      <c r="A40" s="12" t="inlineStr">
        <is>
          <t>REF-36</t>
        </is>
      </c>
      <c r="B40" s="4" t="n"/>
      <c r="C40" s="4" t="n"/>
      <c r="D40" s="4" t="n"/>
      <c r="E40" s="4" t="n"/>
      <c r="F40" s="13" t="n"/>
      <c r="G40" s="4" t="n"/>
      <c r="H40" s="4" t="n"/>
      <c r="I40" s="4" t="n"/>
      <c r="J40" s="4" t="n"/>
    </row>
    <row r="41">
      <c r="A41" s="12" t="inlineStr">
        <is>
          <t>REF-37</t>
        </is>
      </c>
      <c r="B41" s="4" t="n"/>
      <c r="C41" s="4" t="n"/>
      <c r="D41" s="4" t="n"/>
      <c r="E41" s="4" t="n"/>
      <c r="F41" s="13" t="n"/>
      <c r="G41" s="4" t="n"/>
      <c r="H41" s="4" t="n"/>
      <c r="I41" s="4" t="n"/>
      <c r="J41" s="4" t="n"/>
    </row>
    <row r="42">
      <c r="A42" s="12" t="inlineStr">
        <is>
          <t>REF-38</t>
        </is>
      </c>
      <c r="B42" s="4" t="n"/>
      <c r="C42" s="4" t="n"/>
      <c r="D42" s="4" t="n"/>
      <c r="E42" s="4" t="n"/>
      <c r="F42" s="13" t="n"/>
      <c r="G42" s="4" t="n"/>
      <c r="H42" s="4" t="n"/>
      <c r="I42" s="4" t="n"/>
      <c r="J42" s="4" t="n"/>
    </row>
    <row r="43">
      <c r="A43" s="12" t="inlineStr">
        <is>
          <t>REF-39</t>
        </is>
      </c>
      <c r="B43" s="4" t="n"/>
      <c r="C43" s="4" t="n"/>
      <c r="D43" s="4" t="n"/>
      <c r="E43" s="4" t="n"/>
      <c r="F43" s="13" t="n"/>
      <c r="G43" s="4" t="n"/>
      <c r="H43" s="4" t="n"/>
      <c r="I43" s="4" t="n"/>
      <c r="J43" s="4" t="n"/>
    </row>
    <row r="44">
      <c r="A44" s="12" t="inlineStr">
        <is>
          <t>REF-40</t>
        </is>
      </c>
      <c r="B44" s="4" t="n"/>
      <c r="C44" s="4" t="n"/>
      <c r="D44" s="4" t="n"/>
      <c r="E44" s="4" t="n"/>
      <c r="F44" s="13" t="n"/>
      <c r="G44" s="4" t="n"/>
      <c r="H44" s="4" t="n"/>
      <c r="I44" s="4" t="n"/>
      <c r="J44" s="4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autoFilter ref="A4:J44"/>
  <dataValidations count="2">
    <dataValidation sqref="B5:B44" showDropDown="0" showInputMessage="0" showErrorMessage="1" allowBlank="1" errorTitle="Not in list" error="Entry is not in the list – it will be accepted as free text." type="list" errorStyle="information">
      <formula1>=DocCategories</formula1>
    </dataValidation>
    <dataValidation sqref="H5:H44" showDropDown="0" showInputMessage="0" showErrorMessage="1" allowBlank="1" type="list">
      <formula1>"Available,Outstanding,Superseded,Not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44" customWidth="1" min="4" max="4"/>
    <col width="40" customWidth="1" min="5" max="5"/>
    <col width="36" customWidth="1" min="6" max="6"/>
    <col width="20" customWidth="1" min="7" max="7"/>
    <col width="18" customWidth="1" min="8" max="8"/>
    <col width="24" customWidth="1" min="9" max="9"/>
  </cols>
  <sheetData>
    <row r="1">
      <c r="A1" s="1" t="inlineStr">
        <is>
          <t>SYSTEM LIST</t>
        </is>
      </c>
    </row>
    <row r="2">
      <c r="A2" s="2" t="inlineStr">
        <is>
          <t>One row per system. System title (column C) feeds the drop-down at the top of each FMECA worksheet and the Equipment Register.</t>
        </is>
      </c>
    </row>
    <row r="4">
      <c r="A4" s="7" t="inlineStr">
        <is>
          <t>System No.</t>
        </is>
      </c>
      <c r="B4" s="7" t="inlineStr">
        <is>
          <t>System name</t>
        </is>
      </c>
      <c r="C4" s="7" t="inlineStr">
        <is>
          <t>System title (auto)</t>
        </is>
      </c>
      <c r="D4" s="7" t="inlineStr">
        <is>
          <t>Function / performance standard</t>
        </is>
      </c>
      <c r="E4" s="7" t="inlineStr">
        <is>
          <t>Operating context (duty, redundancy, environment)</t>
        </is>
      </c>
      <c r="F4" s="7" t="inlineStr">
        <is>
          <t>System boundaries</t>
        </is>
      </c>
      <c r="G4" s="7" t="inlineStr">
        <is>
          <t>P&amp;IDs / drawings</t>
        </is>
      </c>
      <c r="H4" s="7" t="inlineStr">
        <is>
          <t>Related HAZOP node(s)</t>
        </is>
      </c>
      <c r="I4" s="7" t="inlineStr">
        <is>
          <t>Comments</t>
        </is>
      </c>
    </row>
    <row r="5" ht="45" customHeight="1">
      <c r="A5" s="11" t="inlineStr">
        <is>
          <t>S01</t>
        </is>
      </c>
      <c r="B5" s="4" t="inlineStr">
        <is>
          <t>Gas receiving &amp; metering station (GRMS)</t>
        </is>
      </c>
      <c r="C5" s="5">
        <f>IF(B5="","",A5&amp;" – "&amp;B5)</f>
        <v/>
      </c>
      <c r="D5" s="4" t="inlineStr">
        <is>
          <t>Receive, filter and meter up to 120 000 Sm3/h at 35–42 barg; isolate on ESD within 30 s</t>
        </is>
      </c>
      <c r="E5" s="4" t="inlineStr">
        <is>
          <t>Continuous; 2 x 100 % filter-separators and meter runs; outdoor, hot / dusty</t>
        </is>
      </c>
      <c r="F5" s="4" t="inlineStr">
        <is>
          <t>IJ-1001 to heater inlet</t>
        </is>
      </c>
      <c r="G5" s="4" t="inlineStr">
        <is>
          <t>P&amp;ID-GN-1001</t>
        </is>
      </c>
      <c r="H5" s="4" t="inlineStr">
        <is>
          <t>HAZOP N01</t>
        </is>
      </c>
      <c r="I5" s="14" t="inlineStr"/>
    </row>
    <row r="6" ht="45" customHeight="1">
      <c r="A6" s="11" t="inlineStr">
        <is>
          <t>S02</t>
        </is>
      </c>
      <c r="B6" s="4" t="inlineStr">
        <is>
          <t>Gas heaters H-1101A/B and pressure reduction station PRS-1</t>
        </is>
      </c>
      <c r="C6" s="5">
        <f>IF(B6="","",A6&amp;" – "&amp;B6)</f>
        <v/>
      </c>
      <c r="D6" s="4" t="inlineStr">
        <is>
          <t>Heat gas to keep outlet ≥ 5 °C; hold 7.0 barg; never exceed 10 barg downstream</t>
        </is>
      </c>
      <c r="E6" s="4" t="inlineStr">
        <is>
          <t>Continuous; 2 x 100 % heaters and regulator runs (A duty, B standby); monitor + slam-shut protection proof-tested</t>
        </is>
      </c>
      <c r="F6" s="4" t="inlineStr">
        <is>
          <t>Heater inlet to ESDV-1107</t>
        </is>
      </c>
      <c r="G6" s="4" t="inlineStr">
        <is>
          <t>P&amp;ID-GN-1101</t>
        </is>
      </c>
      <c r="H6" s="4" t="inlineStr">
        <is>
          <t>HAZOP N02</t>
        </is>
      </c>
      <c r="I6" s="4" t="inlineStr"/>
    </row>
    <row r="7" ht="45" customHeight="1">
      <c r="A7" s="11" t="inlineStr">
        <is>
          <t>S03</t>
        </is>
      </c>
      <c r="B7" s="4" t="inlineStr">
        <is>
          <t>MP ring main (7 barg) and pipe racks</t>
        </is>
      </c>
      <c r="C7" s="5">
        <f>IF(B7="","",A7&amp;" – "&amp;B7)</f>
        <v/>
      </c>
      <c r="D7" s="4" t="inlineStr">
        <is>
          <t>Distribute 7 barg gas without loss of containment</t>
        </is>
      </c>
      <c r="E7" s="4" t="inlineStr">
        <is>
          <t>Continuous; buried crossings with impressed-current CP; racks crossing roads and crane areas</t>
        </is>
      </c>
      <c r="F7" s="4" t="inlineStr">
        <is>
          <t>ESDV-1107 to district-station inlets</t>
        </is>
      </c>
      <c r="G7" s="4" t="inlineStr">
        <is>
          <t>P&amp;ID-GN-1201/1202</t>
        </is>
      </c>
      <c r="H7" s="4" t="inlineStr">
        <is>
          <t>HAZOP N03</t>
        </is>
      </c>
      <c r="I7" s="4" t="inlineStr"/>
    </row>
    <row r="8" ht="45" customHeight="1">
      <c r="A8" s="11" t="inlineStr">
        <is>
          <t>S04</t>
        </is>
      </c>
      <c r="B8" s="4" t="inlineStr">
        <is>
          <t>DRI plant gas supply – district station DS-2</t>
        </is>
      </c>
      <c r="C8" s="5">
        <f>IF(B8="","",A8&amp;" – "&amp;B8)</f>
        <v/>
      </c>
      <c r="D8" s="4" t="inlineStr">
        <is>
          <t>Supply reformer fuel and process-gas make-up at 4.5 barg; prevent reverse flow of process gas</t>
        </is>
      </c>
      <c r="E8" s="4" t="inlineStr">
        <is>
          <t>Continuous; 2 x 100 % regulators</t>
        </is>
      </c>
      <c r="F8" s="4" t="inlineStr">
        <is>
          <t>ESDV-2001 to FCV-2004 / XV-2008</t>
        </is>
      </c>
      <c r="G8" s="4" t="inlineStr">
        <is>
          <t>P&amp;ID-GN-2001</t>
        </is>
      </c>
      <c r="H8" s="4" t="inlineStr">
        <is>
          <t>HAZOP N04</t>
        </is>
      </c>
      <c r="I8" s="4" t="inlineStr"/>
    </row>
    <row r="9" ht="45" customHeight="1">
      <c r="A9" s="11" t="inlineStr">
        <is>
          <t>S05</t>
        </is>
      </c>
      <c r="B9" s="4" t="inlineStr">
        <is>
          <t>Melt shop gas supply – DS-3, EAF oxy-fuel burners and ladle preheaters</t>
        </is>
      </c>
      <c r="C9" s="5">
        <f>IF(B9="","",A9&amp;" – "&amp;B9)</f>
        <v/>
      </c>
      <c r="D9" s="4" t="inlineStr">
        <is>
          <t>Supply NG at 2 barg; prevent O2 back-flow; shut off on flame failure</t>
        </is>
      </c>
      <c r="E9" s="4" t="inlineStr">
        <is>
          <t>Intermittent; hot, dusty, molten-metal splash zone</t>
        </is>
      </c>
      <c r="F9" s="4" t="inlineStr">
        <is>
          <t>ESDV-3001 to burners</t>
        </is>
      </c>
      <c r="G9" s="4" t="inlineStr">
        <is>
          <t>P&amp;ID-GN-3001</t>
        </is>
      </c>
      <c r="H9" s="4" t="inlineStr">
        <is>
          <t>HAZOP N05</t>
        </is>
      </c>
      <c r="I9" s="4" t="inlineStr"/>
    </row>
    <row r="10" ht="45" customHeight="1">
      <c r="A10" s="11" t="inlineStr">
        <is>
          <t>S06</t>
        </is>
      </c>
      <c r="B10" s="4" t="inlineStr">
        <is>
          <t>Rolling-mill reheat furnace fuel gas train and burner management</t>
        </is>
      </c>
      <c r="C10" s="5">
        <f>IF(B10="","",A10&amp;" – "&amp;B10)</f>
        <v/>
      </c>
      <c r="D10" s="4" t="inlineStr">
        <is>
          <t>Fire only when safe; shut off fuel within 1 s on flame failure (target SIL 2 – see R-010)</t>
        </is>
      </c>
      <c r="E10" s="4" t="inlineStr">
        <is>
          <t>Continuous firing with cold light-offs after outages; BMS proof-tested annually</t>
        </is>
      </c>
      <c r="F10" s="4" t="inlineStr">
        <is>
          <t>PCV-4001 to burners B-4020</t>
        </is>
      </c>
      <c r="G10" s="4" t="inlineStr">
        <is>
          <t>P&amp;ID-GN-4001</t>
        </is>
      </c>
      <c r="H10" s="4" t="inlineStr">
        <is>
          <t>HAZOP N06</t>
        </is>
      </c>
      <c r="I10" s="4" t="inlineStr"/>
    </row>
    <row r="11" ht="45" customHeight="1">
      <c r="A11" s="11" t="inlineStr">
        <is>
          <t>S07</t>
        </is>
      </c>
      <c r="B11" s="4" t="inlineStr">
        <is>
          <t>Purge, vent, blowdown and maintenance isolation</t>
        </is>
      </c>
      <c r="C11" s="5">
        <f>IF(B11="","",A11&amp;" – "&amp;B11)</f>
        <v/>
      </c>
      <c r="D11" s="4" t="inlineStr">
        <is>
          <t>Depressurise, purge and isolate safely</t>
        </is>
      </c>
      <c r="E11" s="4" t="inlineStr">
        <is>
          <t>Used during maintenance, pigging and gas-in / gas-out</t>
        </is>
      </c>
      <c r="F11" s="4" t="inlineStr">
        <is>
          <t>VS-1301, BDV-1302, SB-1303, N2-1304</t>
        </is>
      </c>
      <c r="G11" s="4" t="inlineStr">
        <is>
          <t>P&amp;ID-GN-1301</t>
        </is>
      </c>
      <c r="H11" s="4" t="inlineStr">
        <is>
          <t>HAZOP N07</t>
        </is>
      </c>
      <c r="I11" s="4" t="inlineStr"/>
    </row>
    <row r="12" ht="45" customHeight="1">
      <c r="A12" s="11" t="inlineStr">
        <is>
          <t>S08</t>
        </is>
      </c>
      <c r="B12" s="4" t="inlineStr">
        <is>
          <t>Gas detection, F&amp;G and ESD system</t>
        </is>
      </c>
      <c r="C12" s="5">
        <f>IF(B12="","",A12&amp;" – "&amp;B12)</f>
        <v/>
      </c>
      <c r="D12" s="4" t="inlineStr">
        <is>
          <t>Detect a release and close ESDV-1001 / ESDV-1107 (PFDavg per FT-GN-02)</t>
        </is>
      </c>
      <c r="E12" s="4" t="inlineStr">
        <is>
          <t>Standby protection; 2oo3 detectors; UPS 30 min; proof-tested</t>
        </is>
      </c>
      <c r="F12" s="4" t="inlineStr">
        <is>
          <t>Detectors, HS-1000, UCP-1000, UPS-1000</t>
        </is>
      </c>
      <c r="G12" s="4" t="inlineStr">
        <is>
          <t>C&amp;E-GN-1000</t>
        </is>
      </c>
      <c r="H12" s="4" t="inlineStr">
        <is>
          <t>HAZOP N08</t>
        </is>
      </c>
      <c r="I12" s="4" t="inlineStr"/>
    </row>
    <row r="13" ht="45" customHeight="1">
      <c r="A13" s="11" t="inlineStr">
        <is>
          <t>S09</t>
        </is>
      </c>
      <c r="B13" s="4" t="n"/>
      <c r="C13" s="5">
        <f>IF(B13="","",A13&amp;" – "&amp;B13)</f>
        <v/>
      </c>
      <c r="D13" s="4" t="n"/>
      <c r="E13" s="4" t="n"/>
      <c r="F13" s="4" t="n"/>
      <c r="G13" s="4" t="n"/>
      <c r="H13" s="4" t="n"/>
      <c r="I13" s="4" t="n"/>
    </row>
    <row r="14" ht="45" customHeight="1">
      <c r="A14" s="11" t="inlineStr">
        <is>
          <t>S10</t>
        </is>
      </c>
      <c r="B14" s="4" t="n"/>
      <c r="C14" s="5">
        <f>IF(B14="","",A14&amp;" – "&amp;B14)</f>
        <v/>
      </c>
      <c r="D14" s="4" t="n"/>
      <c r="E14" s="4" t="n"/>
      <c r="F14" s="4" t="n"/>
      <c r="G14" s="4" t="n"/>
      <c r="H14" s="4" t="n"/>
      <c r="I14" s="4" t="n"/>
    </row>
    <row r="15" ht="45" customHeight="1">
      <c r="A15" s="11" t="inlineStr">
        <is>
          <t>S11</t>
        </is>
      </c>
      <c r="B15" s="4" t="n"/>
      <c r="C15" s="5">
        <f>IF(B15="","",A15&amp;" – "&amp;B15)</f>
        <v/>
      </c>
      <c r="D15" s="4" t="n"/>
      <c r="E15" s="4" t="n"/>
      <c r="F15" s="4" t="n"/>
      <c r="G15" s="4" t="n"/>
      <c r="H15" s="4" t="n"/>
      <c r="I15" s="4" t="n"/>
    </row>
    <row r="16" ht="45" customHeight="1">
      <c r="A16" s="11" t="inlineStr">
        <is>
          <t>S12</t>
        </is>
      </c>
      <c r="B16" s="4" t="n"/>
      <c r="C16" s="5">
        <f>IF(B16="","",A16&amp;" – "&amp;B16)</f>
        <v/>
      </c>
      <c r="D16" s="4" t="n"/>
      <c r="E16" s="4" t="n"/>
      <c r="F16" s="4" t="n"/>
      <c r="G16" s="4" t="n"/>
      <c r="H16" s="4" t="n"/>
      <c r="I16" s="4" t="n"/>
    </row>
    <row r="17" ht="45" customHeight="1">
      <c r="A17" s="11" t="inlineStr">
        <is>
          <t>S13</t>
        </is>
      </c>
      <c r="B17" s="4" t="n"/>
      <c r="C17" s="5">
        <f>IF(B17="","",A17&amp;" – "&amp;B17)</f>
        <v/>
      </c>
      <c r="D17" s="4" t="n"/>
      <c r="E17" s="4" t="n"/>
      <c r="F17" s="4" t="n"/>
      <c r="G17" s="4" t="n"/>
      <c r="H17" s="4" t="n"/>
      <c r="I17" s="4" t="n"/>
    </row>
    <row r="18" ht="45" customHeight="1">
      <c r="A18" s="11" t="inlineStr">
        <is>
          <t>S14</t>
        </is>
      </c>
      <c r="B18" s="4" t="n"/>
      <c r="C18" s="5">
        <f>IF(B18="","",A18&amp;" – "&amp;B18)</f>
        <v/>
      </c>
      <c r="D18" s="4" t="n"/>
      <c r="E18" s="4" t="n"/>
      <c r="F18" s="4" t="n"/>
      <c r="G18" s="4" t="n"/>
      <c r="H18" s="4" t="n"/>
      <c r="I18" s="4" t="n"/>
    </row>
    <row r="19" ht="45" customHeight="1">
      <c r="A19" s="11" t="inlineStr">
        <is>
          <t>S15</t>
        </is>
      </c>
      <c r="B19" s="4" t="n"/>
      <c r="C19" s="5">
        <f>IF(B19="","",A19&amp;" – "&amp;B19)</f>
        <v/>
      </c>
      <c r="D19" s="4" t="n"/>
      <c r="E19" s="4" t="n"/>
      <c r="F19" s="4" t="n"/>
      <c r="G19" s="4" t="n"/>
      <c r="H19" s="4" t="n"/>
      <c r="I19" s="4" t="n"/>
    </row>
    <row r="20" ht="45" customHeight="1">
      <c r="A20" s="11" t="inlineStr">
        <is>
          <t>S16</t>
        </is>
      </c>
      <c r="B20" s="4" t="n"/>
      <c r="C20" s="5">
        <f>IF(B20="","",A20&amp;" – "&amp;B20)</f>
        <v/>
      </c>
      <c r="D20" s="4" t="n"/>
      <c r="E20" s="4" t="n"/>
      <c r="F20" s="4" t="n"/>
      <c r="G20" s="4" t="n"/>
      <c r="H20" s="4" t="n"/>
      <c r="I20" s="4" t="n"/>
    </row>
    <row r="21" ht="45" customHeight="1">
      <c r="A21" s="11" t="inlineStr">
        <is>
          <t>S17</t>
        </is>
      </c>
      <c r="B21" s="4" t="n"/>
      <c r="C21" s="5">
        <f>IF(B21="","",A21&amp;" – "&amp;B21)</f>
        <v/>
      </c>
      <c r="D21" s="4" t="n"/>
      <c r="E21" s="4" t="n"/>
      <c r="F21" s="4" t="n"/>
      <c r="G21" s="4" t="n"/>
      <c r="H21" s="4" t="n"/>
      <c r="I21" s="4" t="n"/>
    </row>
    <row r="22" ht="45" customHeight="1">
      <c r="A22" s="11" t="inlineStr">
        <is>
          <t>S18</t>
        </is>
      </c>
      <c r="B22" s="4" t="n"/>
      <c r="C22" s="5">
        <f>IF(B22="","",A22&amp;" – "&amp;B22)</f>
        <v/>
      </c>
      <c r="D22" s="4" t="n"/>
      <c r="E22" s="4" t="n"/>
      <c r="F22" s="4" t="n"/>
      <c r="G22" s="4" t="n"/>
      <c r="H22" s="4" t="n"/>
      <c r="I22" s="4" t="n"/>
    </row>
    <row r="23" ht="45" customHeight="1">
      <c r="A23" s="11" t="inlineStr">
        <is>
          <t>S19</t>
        </is>
      </c>
      <c r="B23" s="4" t="n"/>
      <c r="C23" s="5">
        <f>IF(B23="","",A23&amp;" – "&amp;B23)</f>
        <v/>
      </c>
      <c r="D23" s="4" t="n"/>
      <c r="E23" s="4" t="n"/>
      <c r="F23" s="4" t="n"/>
      <c r="G23" s="4" t="n"/>
      <c r="H23" s="4" t="n"/>
      <c r="I23" s="4" t="n"/>
    </row>
    <row r="24" ht="45" customHeight="1">
      <c r="A24" s="11" t="inlineStr">
        <is>
          <t>S20</t>
        </is>
      </c>
      <c r="B24" s="4" t="n"/>
      <c r="C24" s="5">
        <f>IF(B24="","",A24&amp;" – "&amp;B24)</f>
        <v/>
      </c>
      <c r="D24" s="4" t="n"/>
      <c r="E24" s="4" t="n"/>
      <c r="F24" s="4" t="n"/>
      <c r="G24" s="4" t="n"/>
      <c r="H24" s="4" t="n"/>
      <c r="I24" s="4" t="n"/>
    </row>
    <row r="25" ht="45" customHeight="1">
      <c r="A25" s="11" t="inlineStr">
        <is>
          <t>S21</t>
        </is>
      </c>
      <c r="B25" s="4" t="n"/>
      <c r="C25" s="5">
        <f>IF(B25="","",A25&amp;" – "&amp;B25)</f>
        <v/>
      </c>
      <c r="D25" s="4" t="n"/>
      <c r="E25" s="4" t="n"/>
      <c r="F25" s="4" t="n"/>
      <c r="G25" s="4" t="n"/>
      <c r="H25" s="4" t="n"/>
      <c r="I25" s="4" t="n"/>
    </row>
    <row r="26" ht="45" customHeight="1">
      <c r="A26" s="11" t="inlineStr">
        <is>
          <t>S22</t>
        </is>
      </c>
      <c r="B26" s="4" t="n"/>
      <c r="C26" s="5">
        <f>IF(B26="","",A26&amp;" – "&amp;B26)</f>
        <v/>
      </c>
      <c r="D26" s="4" t="n"/>
      <c r="E26" s="4" t="n"/>
      <c r="F26" s="4" t="n"/>
      <c r="G26" s="4" t="n"/>
      <c r="H26" s="4" t="n"/>
      <c r="I26" s="4" t="n"/>
    </row>
    <row r="27" ht="45" customHeight="1">
      <c r="A27" s="11" t="inlineStr">
        <is>
          <t>S23</t>
        </is>
      </c>
      <c r="B27" s="4" t="n"/>
      <c r="C27" s="5">
        <f>IF(B27="","",A27&amp;" – "&amp;B27)</f>
        <v/>
      </c>
      <c r="D27" s="4" t="n"/>
      <c r="E27" s="4" t="n"/>
      <c r="F27" s="4" t="n"/>
      <c r="G27" s="4" t="n"/>
      <c r="H27" s="4" t="n"/>
      <c r="I27" s="4" t="n"/>
    </row>
    <row r="28" ht="45" customHeight="1">
      <c r="A28" s="11" t="inlineStr">
        <is>
          <t>S24</t>
        </is>
      </c>
      <c r="B28" s="4" t="n"/>
      <c r="C28" s="5">
        <f>IF(B28="","",A28&amp;" – "&amp;B28)</f>
        <v/>
      </c>
      <c r="D28" s="4" t="n"/>
      <c r="E28" s="4" t="n"/>
      <c r="F28" s="4" t="n"/>
      <c r="G28" s="4" t="n"/>
      <c r="H28" s="4" t="n"/>
      <c r="I28" s="4" t="n"/>
    </row>
    <row r="29" ht="45" customHeight="1">
      <c r="A29" s="11" t="inlineStr">
        <is>
          <t>S25</t>
        </is>
      </c>
      <c r="B29" s="4" t="n"/>
      <c r="C29" s="5">
        <f>IF(B29="","",A29&amp;" – "&amp;B29)</f>
        <v/>
      </c>
      <c r="D29" s="4" t="n"/>
      <c r="E29" s="4" t="n"/>
      <c r="F29" s="4" t="n"/>
      <c r="G29" s="4" t="n"/>
      <c r="H29" s="4" t="n"/>
      <c r="I29" s="4" t="n"/>
    </row>
    <row r="30" ht="45" customHeight="1">
      <c r="A30" s="11" t="inlineStr">
        <is>
          <t>S26</t>
        </is>
      </c>
      <c r="B30" s="4" t="n"/>
      <c r="C30" s="5">
        <f>IF(B30="","",A30&amp;" – "&amp;B30)</f>
        <v/>
      </c>
      <c r="D30" s="4" t="n"/>
      <c r="E30" s="4" t="n"/>
      <c r="F30" s="4" t="n"/>
      <c r="G30" s="4" t="n"/>
      <c r="H30" s="4" t="n"/>
      <c r="I30" s="4" t="n"/>
    </row>
    <row r="31" ht="45" customHeight="1">
      <c r="A31" s="11" t="inlineStr">
        <is>
          <t>S27</t>
        </is>
      </c>
      <c r="B31" s="4" t="n"/>
      <c r="C31" s="5">
        <f>IF(B31="","",A31&amp;" – "&amp;B31)</f>
        <v/>
      </c>
      <c r="D31" s="4" t="n"/>
      <c r="E31" s="4" t="n"/>
      <c r="F31" s="4" t="n"/>
      <c r="G31" s="4" t="n"/>
      <c r="H31" s="4" t="n"/>
      <c r="I31" s="4" t="n"/>
    </row>
    <row r="32" ht="45" customHeight="1">
      <c r="A32" s="11" t="inlineStr">
        <is>
          <t>S28</t>
        </is>
      </c>
      <c r="B32" s="4" t="n"/>
      <c r="C32" s="5">
        <f>IF(B32="","",A32&amp;" – "&amp;B32)</f>
        <v/>
      </c>
      <c r="D32" s="4" t="n"/>
      <c r="E32" s="4" t="n"/>
      <c r="F32" s="4" t="n"/>
      <c r="G32" s="4" t="n"/>
      <c r="H32" s="4" t="n"/>
      <c r="I32" s="4" t="n"/>
    </row>
    <row r="33" ht="45" customHeight="1">
      <c r="A33" s="11" t="inlineStr">
        <is>
          <t>S29</t>
        </is>
      </c>
      <c r="B33" s="4" t="n"/>
      <c r="C33" s="5">
        <f>IF(B33="","",A33&amp;" – "&amp;B33)</f>
        <v/>
      </c>
      <c r="D33" s="4" t="n"/>
      <c r="E33" s="4" t="n"/>
      <c r="F33" s="4" t="n"/>
      <c r="G33" s="4" t="n"/>
      <c r="H33" s="4" t="n"/>
      <c r="I33" s="4" t="n"/>
    </row>
    <row r="34" ht="45" customHeight="1">
      <c r="A34" s="11" t="inlineStr">
        <is>
          <t>S30</t>
        </is>
      </c>
      <c r="B34" s="4" t="n"/>
      <c r="C34" s="5">
        <f>IF(B34="","",A34&amp;" – "&amp;B34)</f>
        <v/>
      </c>
      <c r="D34" s="4" t="n"/>
      <c r="E34" s="4" t="n"/>
      <c r="F34" s="4" t="n"/>
      <c r="G34" s="4" t="n"/>
      <c r="H34" s="4" t="n"/>
      <c r="I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16" customWidth="1" min="3" max="3"/>
    <col width="36" customWidth="1" min="4" max="4"/>
    <col width="38" customWidth="1" min="5" max="5"/>
    <col width="22" customWidth="1" min="6" max="6"/>
    <col width="14" customWidth="1" min="7" max="7"/>
    <col width="40" customWidth="1" min="8" max="8"/>
    <col width="24" customWidth="1" min="9" max="9"/>
  </cols>
  <sheetData>
    <row r="1">
      <c r="A1" s="1" t="inlineStr">
        <is>
          <t>EQUIPMENT REGISTER</t>
        </is>
      </c>
    </row>
    <row r="2">
      <c r="A2" s="2" t="inlineStr">
        <is>
          <t>List every equipment item in scope against its system. Equipment type selects the component and failure-mode lists on the FMECA sheets.</t>
        </is>
      </c>
    </row>
    <row r="4">
      <c r="A4" s="7" t="inlineStr">
        <is>
          <t>Item</t>
        </is>
      </c>
      <c r="B4" s="7" t="inlineStr">
        <is>
          <t>System</t>
        </is>
      </c>
      <c r="C4" s="7" t="inlineStr">
        <is>
          <t>Equipment tag</t>
        </is>
      </c>
      <c r="D4" s="7" t="inlineStr">
        <is>
          <t>Equipment description</t>
        </is>
      </c>
      <c r="E4" s="7" t="inlineStr">
        <is>
          <t>Equipment type</t>
        </is>
      </c>
      <c r="F4" s="7" t="inlineStr">
        <is>
          <t>Manufacturer / model</t>
        </is>
      </c>
      <c r="G4" s="7" t="inlineStr">
        <is>
          <t>Configuration</t>
        </is>
      </c>
      <c r="H4" s="7" t="inlineStr">
        <is>
          <t>Function</t>
        </is>
      </c>
      <c r="I4" s="7" t="inlineStr">
        <is>
          <t>Comments</t>
        </is>
      </c>
    </row>
    <row r="5">
      <c r="A5" s="12" t="n">
        <v>1</v>
      </c>
      <c r="B5" s="4" t="inlineStr">
        <is>
          <t>S01 – Gas receiving &amp; metering station (GRMS)</t>
        </is>
      </c>
      <c r="C5" s="4" t="inlineStr">
        <is>
          <t>IJ-1001</t>
        </is>
      </c>
      <c r="D5" s="4" t="inlineStr">
        <is>
          <t>Inlet insulating joint and buried inlet piping</t>
        </is>
      </c>
      <c r="E5" s="4" t="inlineStr">
        <is>
          <t>Piping, flanges &amp; hoses</t>
        </is>
      </c>
      <c r="F5" s="4" t="inlineStr"/>
      <c r="G5" s="4" t="inlineStr">
        <is>
          <t>Single</t>
        </is>
      </c>
      <c r="H5" s="4" t="inlineStr">
        <is>
          <t>Electrically isolate the plant from the supplier pipeline CP</t>
        </is>
      </c>
      <c r="I5" s="14" t="inlineStr"/>
    </row>
    <row r="6">
      <c r="A6" s="12" t="n">
        <v>2</v>
      </c>
      <c r="B6" s="4" t="inlineStr">
        <is>
          <t>S01 – Gas receiving &amp; metering station (GRMS)</t>
        </is>
      </c>
      <c r="C6" s="4" t="inlineStr">
        <is>
          <t>ESDV-1001</t>
        </is>
      </c>
      <c r="D6" s="4" t="inlineStr">
        <is>
          <t>GRMS inlet ESD valve</t>
        </is>
      </c>
      <c r="E6" s="4" t="inlineStr">
        <is>
          <t>Isolation / ESD valve</t>
        </is>
      </c>
      <c r="F6" s="4" t="inlineStr"/>
      <c r="G6" s="4" t="inlineStr">
        <is>
          <t>Single</t>
        </is>
      </c>
      <c r="H6" s="4" t="inlineStr">
        <is>
          <t>Isolate the supplier pipeline on ESD (fail closed)</t>
        </is>
      </c>
      <c r="I6" s="4" t="inlineStr"/>
    </row>
    <row r="7">
      <c r="A7" s="12" t="n">
        <v>3</v>
      </c>
      <c r="B7" s="4" t="inlineStr">
        <is>
          <t>S01 – Gas receiving &amp; metering station (GRMS)</t>
        </is>
      </c>
      <c r="C7" s="4" t="inlineStr">
        <is>
          <t>PR-1001</t>
        </is>
      </c>
      <c r="D7" s="4" t="inlineStr">
        <is>
          <t>Pig receiver with quick-opening closure</t>
        </is>
      </c>
      <c r="E7" s="4" t="inlineStr">
        <is>
          <t>Pressure vessel / separator / column</t>
        </is>
      </c>
      <c r="F7" s="4" t="inlineStr"/>
      <c r="G7" s="4" t="inlineStr">
        <is>
          <t>Single</t>
        </is>
      </c>
      <c r="H7" s="4" t="inlineStr">
        <is>
          <t>Receive pigs from the supplier pipeline</t>
        </is>
      </c>
      <c r="I7" s="4" t="inlineStr"/>
    </row>
    <row r="8">
      <c r="A8" s="12" t="n">
        <v>4</v>
      </c>
      <c r="B8" s="4" t="inlineStr">
        <is>
          <t>S01 – Gas receiving &amp; metering station (GRMS)</t>
        </is>
      </c>
      <c r="C8" s="4" t="inlineStr">
        <is>
          <t>F-1002A</t>
        </is>
      </c>
      <c r="D8" s="4" t="inlineStr">
        <is>
          <t>Filter-separator A</t>
        </is>
      </c>
      <c r="E8" s="4" t="inlineStr">
        <is>
          <t>Pressure vessel / separator / column</t>
        </is>
      </c>
      <c r="F8" s="4" t="inlineStr"/>
      <c r="G8" s="4" t="inlineStr">
        <is>
          <t>Duty</t>
        </is>
      </c>
      <c r="H8" s="4" t="inlineStr">
        <is>
          <t>Remove liquids and solids</t>
        </is>
      </c>
      <c r="I8" s="4" t="inlineStr"/>
    </row>
    <row r="9">
      <c r="A9" s="12" t="n">
        <v>5</v>
      </c>
      <c r="B9" s="4" t="inlineStr">
        <is>
          <t>S01 – Gas receiving &amp; metering station (GRMS)</t>
        </is>
      </c>
      <c r="C9" s="4" t="inlineStr">
        <is>
          <t>F-1002B</t>
        </is>
      </c>
      <c r="D9" s="4" t="inlineStr">
        <is>
          <t>Filter-separator B</t>
        </is>
      </c>
      <c r="E9" s="4" t="inlineStr">
        <is>
          <t>Pressure vessel / separator / column</t>
        </is>
      </c>
      <c r="F9" s="4" t="inlineStr"/>
      <c r="G9" s="4" t="inlineStr">
        <is>
          <t>Standby</t>
        </is>
      </c>
      <c r="H9" s="4" t="inlineStr">
        <is>
          <t>Remove liquids and solids</t>
        </is>
      </c>
      <c r="I9" s="4" t="inlineStr"/>
    </row>
    <row r="10">
      <c r="A10" s="12" t="n">
        <v>6</v>
      </c>
      <c r="B10" s="4" t="inlineStr">
        <is>
          <t>S01 – Gas receiving &amp; metering station (GRMS)</t>
        </is>
      </c>
      <c r="C10" s="4" t="inlineStr">
        <is>
          <t>FT-1003A</t>
        </is>
      </c>
      <c r="D10" s="4" t="inlineStr">
        <is>
          <t>Ultrasonic custody meter A</t>
        </is>
      </c>
      <c r="E10" s="4" t="inlineStr">
        <is>
          <t>Instrument – transmitter / switch</t>
        </is>
      </c>
      <c r="F10" s="4" t="inlineStr"/>
      <c r="G10" s="4" t="inlineStr">
        <is>
          <t>Duty</t>
        </is>
      </c>
      <c r="H10" s="4" t="inlineStr">
        <is>
          <t>Custody-transfer metering</t>
        </is>
      </c>
      <c r="I10" s="4" t="inlineStr"/>
    </row>
    <row r="11">
      <c r="A11" s="12" t="n">
        <v>7</v>
      </c>
      <c r="B11" s="4" t="inlineStr">
        <is>
          <t>S01 – Gas receiving &amp; metering station (GRMS)</t>
        </is>
      </c>
      <c r="C11" s="4" t="inlineStr">
        <is>
          <t>AT-1004</t>
        </is>
      </c>
      <c r="D11" s="4" t="inlineStr">
        <is>
          <t>Gas chromatograph</t>
        </is>
      </c>
      <c r="E11" s="4" t="inlineStr">
        <is>
          <t>Analyser / gas detector</t>
        </is>
      </c>
      <c r="F11" s="4" t="inlineStr"/>
      <c r="G11" s="4" t="inlineStr">
        <is>
          <t>Single</t>
        </is>
      </c>
      <c r="H11" s="4" t="inlineStr">
        <is>
          <t>Composition, Wobbe and H2S</t>
        </is>
      </c>
      <c r="I11" s="4" t="inlineStr"/>
    </row>
    <row r="12">
      <c r="A12" s="12" t="n">
        <v>8</v>
      </c>
      <c r="B12" s="4" t="inlineStr">
        <is>
          <t>S01 – Gas receiving &amp; metering station (GRMS)</t>
        </is>
      </c>
      <c r="C12" s="4" t="inlineStr">
        <is>
          <t>PSV-1006A</t>
        </is>
      </c>
      <c r="D12" s="4" t="inlineStr">
        <is>
          <t>Filter-separator A relief valve</t>
        </is>
      </c>
      <c r="E12" s="4" t="inlineStr">
        <is>
          <t>Pressure relief device (PSV / rupture disc)</t>
        </is>
      </c>
      <c r="F12" s="4" t="inlineStr"/>
      <c r="G12" s="4" t="inlineStr">
        <is>
          <t>Single</t>
        </is>
      </c>
      <c r="H12" s="4" t="inlineStr">
        <is>
          <t>Fire-case / thermal relief</t>
        </is>
      </c>
      <c r="I12" s="4" t="inlineStr"/>
    </row>
    <row r="13">
      <c r="A13" s="12" t="n">
        <v>9</v>
      </c>
      <c r="B13" s="4" t="inlineStr">
        <is>
          <t>S02 – Gas heaters H-1101A/B and pressure reduction station PRS-1</t>
        </is>
      </c>
      <c r="C13" s="4" t="inlineStr">
        <is>
          <t>H-1101A</t>
        </is>
      </c>
      <c r="D13" s="4" t="inlineStr">
        <is>
          <t>Water-bath gas heater A</t>
        </is>
      </c>
      <c r="E13" s="4" t="inlineStr">
        <is>
          <t>Burner / combustion system</t>
        </is>
      </c>
      <c r="F13" s="4" t="inlineStr"/>
      <c r="G13" s="4" t="inlineStr">
        <is>
          <t>Duty</t>
        </is>
      </c>
      <c r="H13" s="4" t="inlineStr">
        <is>
          <t>Pre-heat gas against Joule–Thomson cooling</t>
        </is>
      </c>
      <c r="I13" s="4" t="inlineStr"/>
    </row>
    <row r="14">
      <c r="A14" s="12" t="n">
        <v>10</v>
      </c>
      <c r="B14" s="4" t="inlineStr">
        <is>
          <t>S02 – Gas heaters H-1101A/B and pressure reduction station PRS-1</t>
        </is>
      </c>
      <c r="C14" s="4" t="inlineStr">
        <is>
          <t>H-1101B</t>
        </is>
      </c>
      <c r="D14" s="4" t="inlineStr">
        <is>
          <t>Water-bath gas heater B</t>
        </is>
      </c>
      <c r="E14" s="4" t="inlineStr">
        <is>
          <t>Burner / combustion system</t>
        </is>
      </c>
      <c r="F14" s="4" t="inlineStr"/>
      <c r="G14" s="4" t="inlineStr">
        <is>
          <t>Standby</t>
        </is>
      </c>
      <c r="H14" s="4" t="inlineStr">
        <is>
          <t>Pre-heat gas against Joule–Thomson cooling</t>
        </is>
      </c>
      <c r="I14" s="4" t="inlineStr"/>
    </row>
    <row r="15">
      <c r="A15" s="12" t="n">
        <v>11</v>
      </c>
      <c r="B15" s="4" t="inlineStr">
        <is>
          <t>S02 – Gas heaters H-1101A/B and pressure reduction station PRS-1</t>
        </is>
      </c>
      <c r="C15" s="4" t="inlineStr">
        <is>
          <t>TT-1101</t>
        </is>
      </c>
      <c r="D15" s="4" t="inlineStr">
        <is>
          <t>Heater gas outlet temperature transmitter</t>
        </is>
      </c>
      <c r="E15" s="4" t="inlineStr">
        <is>
          <t>Instrument – transmitter / switch</t>
        </is>
      </c>
      <c r="F15" s="4" t="inlineStr"/>
      <c r="G15" s="4" t="inlineStr">
        <is>
          <t>Single</t>
        </is>
      </c>
      <c r="H15" s="4" t="inlineStr">
        <is>
          <t>TIC-1101 control and TSL-1101 alarm</t>
        </is>
      </c>
      <c r="I15" s="4" t="inlineStr"/>
    </row>
    <row r="16">
      <c r="A16" s="12" t="n">
        <v>12</v>
      </c>
      <c r="B16" s="4" t="inlineStr">
        <is>
          <t>S02 – Gas heaters H-1101A/B and pressure reduction station PRS-1</t>
        </is>
      </c>
      <c r="C16" s="4" t="inlineStr">
        <is>
          <t>SSV-1102A</t>
        </is>
      </c>
      <c r="D16" s="4" t="inlineStr">
        <is>
          <t>Slam-shut valve run A (OPSO 8.5 barg)</t>
        </is>
      </c>
      <c r="E16" s="4" t="inlineStr">
        <is>
          <t>Isolation / ESD valve</t>
        </is>
      </c>
      <c r="F16" s="4" t="inlineStr"/>
      <c r="G16" s="4" t="inlineStr">
        <is>
          <t>Duty</t>
        </is>
      </c>
      <c r="H16" s="4" t="inlineStr">
        <is>
          <t>Close run A on overpressure</t>
        </is>
      </c>
      <c r="I16" s="4" t="inlineStr"/>
    </row>
    <row r="17">
      <c r="A17" s="12" t="n">
        <v>13</v>
      </c>
      <c r="B17" s="4" t="inlineStr">
        <is>
          <t>S02 – Gas heaters H-1101A/B and pressure reduction station PRS-1</t>
        </is>
      </c>
      <c r="C17" s="4" t="inlineStr">
        <is>
          <t>PCV-1103A</t>
        </is>
      </c>
      <c r="D17" s="4" t="inlineStr">
        <is>
          <t>Monitor regulator run A (7.5 barg)</t>
        </is>
      </c>
      <c r="E17" s="4" t="inlineStr">
        <is>
          <t>Control valve</t>
        </is>
      </c>
      <c r="F17" s="4" t="inlineStr"/>
      <c r="G17" s="4" t="inlineStr">
        <is>
          <t>Duty</t>
        </is>
      </c>
      <c r="H17" s="4" t="inlineStr">
        <is>
          <t>Take over pressure control if the active regulator fails open</t>
        </is>
      </c>
      <c r="I17" s="4" t="inlineStr"/>
    </row>
    <row r="18">
      <c r="A18" s="12" t="n">
        <v>14</v>
      </c>
      <c r="B18" s="4" t="inlineStr">
        <is>
          <t>S02 – Gas heaters H-1101A/B and pressure reduction station PRS-1</t>
        </is>
      </c>
      <c r="C18" s="4" t="inlineStr">
        <is>
          <t>PCV-1104A</t>
        </is>
      </c>
      <c r="D18" s="4" t="inlineStr">
        <is>
          <t>Active regulator run A (7.0 barg)</t>
        </is>
      </c>
      <c r="E18" s="4" t="inlineStr">
        <is>
          <t>Control valve</t>
        </is>
      </c>
      <c r="F18" s="4" t="inlineStr"/>
      <c r="G18" s="4" t="inlineStr">
        <is>
          <t>Duty</t>
        </is>
      </c>
      <c r="H18" s="4" t="inlineStr">
        <is>
          <t>Control PRS outlet pressure</t>
        </is>
      </c>
      <c r="I18" s="4" t="inlineStr"/>
    </row>
    <row r="19">
      <c r="A19" s="12" t="n">
        <v>15</v>
      </c>
      <c r="B19" s="4" t="inlineStr">
        <is>
          <t>S02 – Gas heaters H-1101A/B and pressure reduction station PRS-1</t>
        </is>
      </c>
      <c r="C19" s="4" t="inlineStr">
        <is>
          <t>PSV-1105</t>
        </is>
      </c>
      <c r="D19" s="4" t="inlineStr">
        <is>
          <t>PRS token relief valve (9.0 barg)</t>
        </is>
      </c>
      <c r="E19" s="4" t="inlineStr">
        <is>
          <t>Pressure relief device (PSV / rupture disc)</t>
        </is>
      </c>
      <c r="F19" s="4" t="inlineStr"/>
      <c r="G19" s="4" t="inlineStr">
        <is>
          <t>Single</t>
        </is>
      </c>
      <c r="H19" s="4" t="inlineStr">
        <is>
          <t>Relieve lock-up creep</t>
        </is>
      </c>
      <c r="I19" s="4" t="inlineStr"/>
    </row>
    <row r="20">
      <c r="A20" s="12" t="n">
        <v>16</v>
      </c>
      <c r="B20" s="4" t="inlineStr">
        <is>
          <t>S02 – Gas heaters H-1101A/B and pressure reduction station PRS-1</t>
        </is>
      </c>
      <c r="C20" s="4" t="inlineStr">
        <is>
          <t>PT-1106</t>
        </is>
      </c>
      <c r="D20" s="4" t="inlineStr">
        <is>
          <t>PRS outlet pressure transmitter</t>
        </is>
      </c>
      <c r="E20" s="4" t="inlineStr">
        <is>
          <t>Instrument – transmitter / switch</t>
        </is>
      </c>
      <c r="F20" s="4" t="inlineStr"/>
      <c r="G20" s="4" t="inlineStr">
        <is>
          <t>Single</t>
        </is>
      </c>
      <c r="H20" s="4" t="inlineStr">
        <is>
          <t>PAH-1106 / PAL alarms</t>
        </is>
      </c>
      <c r="I20" s="4" t="inlineStr"/>
    </row>
    <row r="21">
      <c r="A21" s="12" t="n">
        <v>17</v>
      </c>
      <c r="B21" s="4" t="inlineStr">
        <is>
          <t>S02 – Gas heaters H-1101A/B and pressure reduction station PRS-1</t>
        </is>
      </c>
      <c r="C21" s="4" t="inlineStr">
        <is>
          <t>ESDV-1107</t>
        </is>
      </c>
      <c r="D21" s="4" t="inlineStr">
        <is>
          <t>PRS outlet ESD valve</t>
        </is>
      </c>
      <c r="E21" s="4" t="inlineStr">
        <is>
          <t>Isolation / ESD valve</t>
        </is>
      </c>
      <c r="F21" s="4" t="inlineStr"/>
      <c r="G21" s="4" t="inlineStr">
        <is>
          <t>Single</t>
        </is>
      </c>
      <c r="H21" s="4" t="inlineStr">
        <is>
          <t>Isolate the MP header inventory from the PRS on ESD</t>
        </is>
      </c>
      <c r="I21" s="4" t="inlineStr"/>
    </row>
    <row r="22">
      <c r="A22" s="12" t="n">
        <v>18</v>
      </c>
      <c r="B22" s="4" t="inlineStr">
        <is>
          <t>S03 – MP ring main (7 barg) and pipe racks</t>
        </is>
      </c>
      <c r="C22" s="4" t="inlineStr">
        <is>
          <t>L-1200</t>
        </is>
      </c>
      <c r="D22" s="4" t="inlineStr">
        <is>
          <t>MP ring main 24" (racks and buried crossings)</t>
        </is>
      </c>
      <c r="E22" s="4" t="inlineStr">
        <is>
          <t>Piping, flanges &amp; hoses</t>
        </is>
      </c>
      <c r="F22" s="4" t="inlineStr"/>
      <c r="G22" s="4" t="inlineStr">
        <is>
          <t>Single</t>
        </is>
      </c>
      <c r="H22" s="4" t="inlineStr">
        <is>
          <t>Contain and distribute 7 barg gas</t>
        </is>
      </c>
      <c r="I22" s="4" t="inlineStr"/>
    </row>
    <row r="23">
      <c r="A23" s="12" t="n">
        <v>19</v>
      </c>
      <c r="B23" s="4" t="inlineStr">
        <is>
          <t>S03 – MP ring main (7 barg) and pipe racks</t>
        </is>
      </c>
      <c r="C23" s="4" t="inlineStr">
        <is>
          <t>XV-1201</t>
        </is>
      </c>
      <c r="D23" s="4" t="inlineStr">
        <is>
          <t>Sectionalising valve 1 (remote operated)</t>
        </is>
      </c>
      <c r="E23" s="4" t="inlineStr">
        <is>
          <t>Isolation / ESD valve</t>
        </is>
      </c>
      <c r="F23" s="4" t="inlineStr"/>
      <c r="G23" s="4" t="inlineStr">
        <is>
          <t>Single</t>
        </is>
      </c>
      <c r="H23" s="4" t="inlineStr">
        <is>
          <t>Sectional isolation of the ring main</t>
        </is>
      </c>
      <c r="I23" s="4" t="inlineStr"/>
    </row>
    <row r="24">
      <c r="A24" s="12" t="n">
        <v>20</v>
      </c>
      <c r="B24" s="4" t="inlineStr">
        <is>
          <t>S03 – MP ring main (7 barg) and pipe racks</t>
        </is>
      </c>
      <c r="C24" s="4" t="inlineStr">
        <is>
          <t>PT-1210</t>
        </is>
      </c>
      <c r="D24" s="4" t="inlineStr">
        <is>
          <t>MP header pressure transmitter</t>
        </is>
      </c>
      <c r="E24" s="4" t="inlineStr">
        <is>
          <t>Instrument – transmitter / switch</t>
        </is>
      </c>
      <c r="F24" s="4" t="inlineStr"/>
      <c r="G24" s="4" t="inlineStr">
        <is>
          <t>Single</t>
        </is>
      </c>
      <c r="H24" s="4" t="inlineStr">
        <is>
          <t>PAL-1210 leak / supply-loss alarm</t>
        </is>
      </c>
      <c r="I24" s="4" t="inlineStr"/>
    </row>
    <row r="25">
      <c r="A25" s="12" t="n">
        <v>21</v>
      </c>
      <c r="B25" s="4" t="inlineStr">
        <is>
          <t>S03 – MP ring main (7 barg) and pipe racks</t>
        </is>
      </c>
      <c r="C25" s="4" t="inlineStr">
        <is>
          <t>CP-1200</t>
        </is>
      </c>
      <c r="D25" s="4" t="inlineStr">
        <is>
          <t>CP transformer-rectifier</t>
        </is>
      </c>
      <c r="E25" s="4" t="inlineStr">
        <is>
          <t>Transformer</t>
        </is>
      </c>
      <c r="F25" s="4" t="inlineStr"/>
      <c r="G25" s="4" t="inlineStr">
        <is>
          <t>Single</t>
        </is>
      </c>
      <c r="H25" s="4" t="inlineStr">
        <is>
          <t>Impressed-current cathodic protection</t>
        </is>
      </c>
      <c r="I25" s="4" t="inlineStr"/>
    </row>
    <row r="26">
      <c r="A26" s="12" t="n">
        <v>22</v>
      </c>
      <c r="B26" s="4" t="inlineStr">
        <is>
          <t>S04 – DRI plant gas supply – district station DS-2</t>
        </is>
      </c>
      <c r="C26" s="4" t="inlineStr">
        <is>
          <t>ESDV-2001</t>
        </is>
      </c>
      <c r="D26" s="4" t="inlineStr">
        <is>
          <t>DS-2 inlet ESD valve</t>
        </is>
      </c>
      <c r="E26" s="4" t="inlineStr">
        <is>
          <t>Isolation / ESD valve</t>
        </is>
      </c>
      <c r="F26" s="4" t="inlineStr"/>
      <c r="G26" s="4" t="inlineStr">
        <is>
          <t>Single</t>
        </is>
      </c>
      <c r="H26" s="4" t="inlineStr">
        <is>
          <t>Isolate DRI plant supply</t>
        </is>
      </c>
      <c r="I26" s="4" t="inlineStr"/>
    </row>
    <row r="27">
      <c r="A27" s="12" t="n">
        <v>23</v>
      </c>
      <c r="B27" s="4" t="inlineStr">
        <is>
          <t>S04 – DRI plant gas supply – district station DS-2</t>
        </is>
      </c>
      <c r="C27" s="4" t="inlineStr">
        <is>
          <t>FCV-2004</t>
        </is>
      </c>
      <c r="D27" s="4" t="inlineStr">
        <is>
          <t>Reformer fuel gas flow control valve</t>
        </is>
      </c>
      <c r="E27" s="4" t="inlineStr">
        <is>
          <t>Control valve</t>
        </is>
      </c>
      <c r="F27" s="4" t="inlineStr"/>
      <c r="G27" s="4" t="inlineStr">
        <is>
          <t>Single</t>
        </is>
      </c>
      <c r="H27" s="4" t="inlineStr">
        <is>
          <t>Control reformer firing</t>
        </is>
      </c>
      <c r="I27" s="4" t="inlineStr"/>
    </row>
    <row r="28">
      <c r="A28" s="12" t="n">
        <v>24</v>
      </c>
      <c r="B28" s="4" t="inlineStr">
        <is>
          <t>S04 – DRI plant gas supply – district station DS-2</t>
        </is>
      </c>
      <c r="C28" s="4" t="inlineStr">
        <is>
          <t>XV-2008</t>
        </is>
      </c>
      <c r="D28" s="4" t="inlineStr">
        <is>
          <t>Process-gas NG make-up shut-off valve (with double NRV)</t>
        </is>
      </c>
      <c r="E28" s="4" t="inlineStr">
        <is>
          <t>Isolation / ESD valve</t>
        </is>
      </c>
      <c r="F28" s="4" t="inlineStr"/>
      <c r="G28" s="4" t="inlineStr">
        <is>
          <t>Single</t>
        </is>
      </c>
      <c r="H28" s="4" t="inlineStr">
        <is>
          <t>Prevent reverse flow of process gas into NG</t>
        </is>
      </c>
      <c r="I28" s="4" t="inlineStr"/>
    </row>
    <row r="29">
      <c r="A29" s="12" t="n">
        <v>25</v>
      </c>
      <c r="B29" s="4" t="inlineStr">
        <is>
          <t>S04 – DRI plant gas supply – district station DS-2</t>
        </is>
      </c>
      <c r="C29" s="4" t="inlineStr">
        <is>
          <t>PSLL-2006</t>
        </is>
      </c>
      <c r="D29" s="4" t="inlineStr">
        <is>
          <t>Reformer fuel low-low pressure switch</t>
        </is>
      </c>
      <c r="E29" s="4" t="inlineStr">
        <is>
          <t>Instrument – transmitter / switch</t>
        </is>
      </c>
      <c r="F29" s="4" t="inlineStr"/>
      <c r="G29" s="4" t="inlineStr">
        <is>
          <t>Single</t>
        </is>
      </c>
      <c r="H29" s="4" t="inlineStr">
        <is>
          <t>Trip reformer burners on low gas pressure</t>
        </is>
      </c>
      <c r="I29" s="4" t="inlineStr"/>
    </row>
    <row r="30">
      <c r="A30" s="12" t="n">
        <v>26</v>
      </c>
      <c r="B30" s="4" t="inlineStr">
        <is>
          <t>S05 – Melt shop gas supply – DS-3, EAF oxy-fuel burners and ladle preheaters</t>
        </is>
      </c>
      <c r="C30" s="4" t="inlineStr">
        <is>
          <t>SSV-3003</t>
        </is>
      </c>
      <c r="D30" s="4" t="inlineStr">
        <is>
          <t>DS-3 slam-shut valve</t>
        </is>
      </c>
      <c r="E30" s="4" t="inlineStr">
        <is>
          <t>Isolation / ESD valve</t>
        </is>
      </c>
      <c r="F30" s="4" t="inlineStr"/>
      <c r="G30" s="4" t="inlineStr">
        <is>
          <t>Single</t>
        </is>
      </c>
      <c r="H30" s="4" t="inlineStr">
        <is>
          <t>Overpressure shut-off of DS-3</t>
        </is>
      </c>
      <c r="I30" s="4" t="inlineStr"/>
    </row>
    <row r="31">
      <c r="A31" s="12" t="n">
        <v>27</v>
      </c>
      <c r="B31" s="4" t="inlineStr">
        <is>
          <t>S05 – Melt shop gas supply – DS-3, EAF oxy-fuel burners and ladle preheaters</t>
        </is>
      </c>
      <c r="C31" s="4" t="inlineStr">
        <is>
          <t>NRV-3010</t>
        </is>
      </c>
      <c r="D31" s="4" t="inlineStr">
        <is>
          <t>NG non-return valve + flashback arrestor (oxy-fuel burner)</t>
        </is>
      </c>
      <c r="E31" s="4" t="inlineStr">
        <is>
          <t>Isolation / ESD valve</t>
        </is>
      </c>
      <c r="F31" s="4" t="inlineStr"/>
      <c r="G31" s="4" t="inlineStr">
        <is>
          <t>Single</t>
        </is>
      </c>
      <c r="H31" s="4" t="inlineStr">
        <is>
          <t>Prevent O2 back-flow into the NG line</t>
        </is>
      </c>
      <c r="I31" s="4" t="inlineStr"/>
    </row>
    <row r="32">
      <c r="A32" s="12" t="n">
        <v>28</v>
      </c>
      <c r="B32" s="4" t="inlineStr">
        <is>
          <t>S05 – Melt shop gas supply – DS-3, EAF oxy-fuel burners and ladle preheaters</t>
        </is>
      </c>
      <c r="C32" s="4" t="inlineStr">
        <is>
          <t>XV-3011</t>
        </is>
      </c>
      <c r="D32" s="4" t="inlineStr">
        <is>
          <t>Oxy-fuel burner NG shut-off valve</t>
        </is>
      </c>
      <c r="E32" s="4" t="inlineStr">
        <is>
          <t>Isolation / ESD valve</t>
        </is>
      </c>
      <c r="F32" s="4" t="inlineStr"/>
      <c r="G32" s="4" t="inlineStr">
        <is>
          <t>Single</t>
        </is>
      </c>
      <c r="H32" s="4" t="inlineStr">
        <is>
          <t>Shut off NG on burner trip</t>
        </is>
      </c>
      <c r="I32" s="4" t="inlineStr"/>
    </row>
    <row r="33">
      <c r="A33" s="12" t="n">
        <v>29</v>
      </c>
      <c r="B33" s="4" t="inlineStr">
        <is>
          <t>S05 – Melt shop gas supply – DS-3, EAF oxy-fuel burners and ladle preheaters</t>
        </is>
      </c>
      <c r="C33" s="4" t="inlineStr">
        <is>
          <t>LPH-3020</t>
        </is>
      </c>
      <c r="D33" s="4" t="inlineStr">
        <is>
          <t>Ladle preheater burner system</t>
        </is>
      </c>
      <c r="E33" s="4" t="inlineStr">
        <is>
          <t>Burner / combustion system</t>
        </is>
      </c>
      <c r="F33" s="4" t="inlineStr"/>
      <c r="G33" s="4" t="inlineStr">
        <is>
          <t>Single</t>
        </is>
      </c>
      <c r="H33" s="4" t="inlineStr">
        <is>
          <t>Preheat ladles safely</t>
        </is>
      </c>
      <c r="I33" s="4" t="inlineStr"/>
    </row>
    <row r="34">
      <c r="A34" s="12" t="n">
        <v>30</v>
      </c>
      <c r="B34" s="4" t="inlineStr">
        <is>
          <t>S06 – Rolling-mill reheat furnace fuel gas train and burner management</t>
        </is>
      </c>
      <c r="C34" s="4" t="inlineStr">
        <is>
          <t>XV-4002A</t>
        </is>
      </c>
      <c r="D34" s="4" t="inlineStr">
        <is>
          <t>Reheat furnace safety shut-off valve A</t>
        </is>
      </c>
      <c r="E34" s="4" t="inlineStr">
        <is>
          <t>Isolation / ESD valve</t>
        </is>
      </c>
      <c r="F34" s="4" t="inlineStr"/>
      <c r="G34" s="4" t="inlineStr">
        <is>
          <t>Duty</t>
        </is>
      </c>
      <c r="H34" s="4" t="inlineStr">
        <is>
          <t>Shut off fuel on trip (1oo2 with XV-4002B)</t>
        </is>
      </c>
      <c r="I34" s="4" t="inlineStr"/>
    </row>
    <row r="35">
      <c r="A35" s="12" t="n">
        <v>31</v>
      </c>
      <c r="B35" s="4" t="inlineStr">
        <is>
          <t>S06 – Rolling-mill reheat furnace fuel gas train and burner management</t>
        </is>
      </c>
      <c r="C35" s="4" t="inlineStr">
        <is>
          <t>XV-4002B</t>
        </is>
      </c>
      <c r="D35" s="4" t="inlineStr">
        <is>
          <t>Reheat furnace safety shut-off valve B</t>
        </is>
      </c>
      <c r="E35" s="4" t="inlineStr">
        <is>
          <t>Isolation / ESD valve</t>
        </is>
      </c>
      <c r="F35" s="4" t="inlineStr"/>
      <c r="G35" s="4" t="inlineStr">
        <is>
          <t>Duty</t>
        </is>
      </c>
      <c r="H35" s="4" t="inlineStr">
        <is>
          <t>Shut off fuel on trip (1oo2 with XV-4002A)</t>
        </is>
      </c>
      <c r="I35" s="4" t="inlineStr"/>
    </row>
    <row r="36">
      <c r="A36" s="12" t="n">
        <v>32</v>
      </c>
      <c r="B36" s="4" t="inlineStr">
        <is>
          <t>S06 – Rolling-mill reheat furnace fuel gas train and burner management</t>
        </is>
      </c>
      <c r="C36" s="4" t="inlineStr">
        <is>
          <t>XV-4003</t>
        </is>
      </c>
      <c r="D36" s="4" t="inlineStr">
        <is>
          <t>Vent valve between the SSOVs (DBB)</t>
        </is>
      </c>
      <c r="E36" s="4" t="inlineStr">
        <is>
          <t>Isolation / ESD valve</t>
        </is>
      </c>
      <c r="F36" s="4" t="inlineStr"/>
      <c r="G36" s="4" t="inlineStr">
        <is>
          <t>Single</t>
        </is>
      </c>
      <c r="H36" s="4" t="inlineStr">
        <is>
          <t>Vent the space between the SSOVs</t>
        </is>
      </c>
      <c r="I36" s="4" t="inlineStr"/>
    </row>
    <row r="37">
      <c r="A37" s="12" t="n">
        <v>33</v>
      </c>
      <c r="B37" s="4" t="inlineStr">
        <is>
          <t>S06 – Rolling-mill reheat furnace fuel gas train and burner management</t>
        </is>
      </c>
      <c r="C37" s="4" t="inlineStr">
        <is>
          <t>VPS-4004</t>
        </is>
      </c>
      <c r="D37" s="4" t="inlineStr">
        <is>
          <t>Valve proving system</t>
        </is>
      </c>
      <c r="E37" s="4" t="inlineStr">
        <is>
          <t>Instrument – transmitter / switch</t>
        </is>
      </c>
      <c r="F37" s="4" t="inlineStr"/>
      <c r="G37" s="4" t="inlineStr">
        <is>
          <t>Single</t>
        </is>
      </c>
      <c r="H37" s="4" t="inlineStr">
        <is>
          <t>Prove SSOV tightness before light-off</t>
        </is>
      </c>
      <c r="I37" s="4" t="inlineStr"/>
    </row>
    <row r="38">
      <c r="A38" s="12" t="n">
        <v>34</v>
      </c>
      <c r="B38" s="4" t="inlineStr">
        <is>
          <t>S06 – Rolling-mill reheat furnace fuel gas train and burner management</t>
        </is>
      </c>
      <c r="C38" s="4" t="inlineStr">
        <is>
          <t>PSLL-4005</t>
        </is>
      </c>
      <c r="D38" s="4" t="inlineStr">
        <is>
          <t>Low-low fuel gas pressure switch</t>
        </is>
      </c>
      <c r="E38" s="4" t="inlineStr">
        <is>
          <t>Instrument – transmitter / switch</t>
        </is>
      </c>
      <c r="F38" s="4" t="inlineStr"/>
      <c r="G38" s="4" t="inlineStr">
        <is>
          <t>Single</t>
        </is>
      </c>
      <c r="H38" s="4" t="inlineStr">
        <is>
          <t>Trip on low gas pressure</t>
        </is>
      </c>
      <c r="I38" s="4" t="inlineStr"/>
    </row>
    <row r="39">
      <c r="A39" s="12" t="n">
        <v>35</v>
      </c>
      <c r="B39" s="4" t="inlineStr">
        <is>
          <t>S06 – Rolling-mill reheat furnace fuel gas train and burner management</t>
        </is>
      </c>
      <c r="C39" s="4" t="inlineStr">
        <is>
          <t>PSHH-4006</t>
        </is>
      </c>
      <c r="D39" s="4" t="inlineStr">
        <is>
          <t>High-high fuel gas pressure switch</t>
        </is>
      </c>
      <c r="E39" s="4" t="inlineStr">
        <is>
          <t>Instrument – transmitter / switch</t>
        </is>
      </c>
      <c r="F39" s="4" t="inlineStr"/>
      <c r="G39" s="4" t="inlineStr">
        <is>
          <t>Single</t>
        </is>
      </c>
      <c r="H39" s="4" t="inlineStr">
        <is>
          <t>Trip on high gas pressure</t>
        </is>
      </c>
      <c r="I39" s="4" t="inlineStr"/>
    </row>
    <row r="40">
      <c r="A40" s="12" t="n">
        <v>36</v>
      </c>
      <c r="B40" s="4" t="inlineStr">
        <is>
          <t>S06 – Rolling-mill reheat furnace fuel gas train and burner management</t>
        </is>
      </c>
      <c r="C40" s="4" t="inlineStr">
        <is>
          <t>FN-4007</t>
        </is>
      </c>
      <c r="D40" s="4" t="inlineStr">
        <is>
          <t>Combustion air fan</t>
        </is>
      </c>
      <c r="E40" s="4" t="inlineStr">
        <is>
          <t>Fan / blower (incl. ID fan)</t>
        </is>
      </c>
      <c r="F40" s="4" t="inlineStr"/>
      <c r="G40" s="4" t="inlineStr">
        <is>
          <t>Single</t>
        </is>
      </c>
      <c r="H40" s="4" t="inlineStr">
        <is>
          <t>Supply combustion air</t>
        </is>
      </c>
      <c r="I40" s="4" t="inlineStr"/>
    </row>
    <row r="41">
      <c r="A41" s="12" t="n">
        <v>37</v>
      </c>
      <c r="B41" s="4" t="inlineStr">
        <is>
          <t>S06 – Rolling-mill reheat furnace fuel gas train and burner management</t>
        </is>
      </c>
      <c r="C41" s="4" t="inlineStr">
        <is>
          <t>FSLL-4008</t>
        </is>
      </c>
      <c r="D41" s="4" t="inlineStr">
        <is>
          <t>Low-low combustion air flow switch</t>
        </is>
      </c>
      <c r="E41" s="4" t="inlineStr">
        <is>
          <t>Instrument – transmitter / switch</t>
        </is>
      </c>
      <c r="F41" s="4" t="inlineStr"/>
      <c r="G41" s="4" t="inlineStr">
        <is>
          <t>Single</t>
        </is>
      </c>
      <c r="H41" s="4" t="inlineStr">
        <is>
          <t>Trip on low air flow</t>
        </is>
      </c>
      <c r="I41" s="4" t="inlineStr"/>
    </row>
    <row r="42">
      <c r="A42" s="12" t="n">
        <v>38</v>
      </c>
      <c r="B42" s="4" t="inlineStr">
        <is>
          <t>S06 – Rolling-mill reheat furnace fuel gas train and burner management</t>
        </is>
      </c>
      <c r="C42" s="4" t="inlineStr">
        <is>
          <t>BS-4010</t>
        </is>
      </c>
      <c r="D42" s="4" t="inlineStr">
        <is>
          <t>UV flame scanners (one per burner)</t>
        </is>
      </c>
      <c r="E42" s="4" t="inlineStr">
        <is>
          <t>Instrument – transmitter / switch</t>
        </is>
      </c>
      <c r="F42" s="4" t="inlineStr"/>
      <c r="G42" s="4" t="inlineStr">
        <is>
          <t>Single</t>
        </is>
      </c>
      <c r="H42" s="4" t="inlineStr">
        <is>
          <t>Detect loss of flame</t>
        </is>
      </c>
      <c r="I42" s="4" t="inlineStr"/>
    </row>
    <row r="43">
      <c r="A43" s="12" t="n">
        <v>39</v>
      </c>
      <c r="B43" s="4" t="inlineStr">
        <is>
          <t>S06 – Rolling-mill reheat furnace fuel gas train and burner management</t>
        </is>
      </c>
      <c r="C43" s="4" t="inlineStr">
        <is>
          <t>BMS-4000</t>
        </is>
      </c>
      <c r="D43" s="4" t="inlineStr">
        <is>
          <t>Burner management system logic solver</t>
        </is>
      </c>
      <c r="E43" s="4" t="inlineStr">
        <is>
          <t>Control system / SIS logic solver</t>
        </is>
      </c>
      <c r="F43" s="4" t="inlineStr"/>
      <c r="G43" s="4" t="inlineStr">
        <is>
          <t>Single</t>
        </is>
      </c>
      <c r="H43" s="4" t="inlineStr">
        <is>
          <t>Purge, light-off and flame-failure logic</t>
        </is>
      </c>
      <c r="I43" s="4" t="inlineStr"/>
    </row>
    <row r="44">
      <c r="A44" s="12" t="n">
        <v>40</v>
      </c>
      <c r="B44" s="4" t="inlineStr">
        <is>
          <t>S07 – Purge, vent, blowdown and maintenance isolation</t>
        </is>
      </c>
      <c r="C44" s="4" t="inlineStr">
        <is>
          <t>VS-1301</t>
        </is>
      </c>
      <c r="D44" s="4" t="inlineStr">
        <is>
          <t>PRS vent stack</t>
        </is>
      </c>
      <c r="E44" s="4" t="inlineStr">
        <is>
          <t>Piping, flanges &amp; hoses</t>
        </is>
      </c>
      <c r="F44" s="4" t="inlineStr"/>
      <c r="G44" s="4" t="inlineStr">
        <is>
          <t>Single</t>
        </is>
      </c>
      <c r="H44" s="4" t="inlineStr">
        <is>
          <t>Disperse vented gas safely</t>
        </is>
      </c>
      <c r="I44" s="4" t="inlineStr"/>
    </row>
    <row r="45">
      <c r="A45" s="12" t="n">
        <v>41</v>
      </c>
      <c r="B45" s="4" t="inlineStr">
        <is>
          <t>S07 – Purge, vent, blowdown and maintenance isolation</t>
        </is>
      </c>
      <c r="C45" s="4" t="inlineStr">
        <is>
          <t>BDV-1302</t>
        </is>
      </c>
      <c r="D45" s="4" t="inlineStr">
        <is>
          <t>PRS blowdown valve</t>
        </is>
      </c>
      <c r="E45" s="4" t="inlineStr">
        <is>
          <t>Isolation / ESD valve</t>
        </is>
      </c>
      <c r="F45" s="4" t="inlineStr"/>
      <c r="G45" s="4" t="inlineStr">
        <is>
          <t>Single</t>
        </is>
      </c>
      <c r="H45" s="4" t="inlineStr">
        <is>
          <t>Depressurise the PRS</t>
        </is>
      </c>
      <c r="I45" s="4" t="inlineStr"/>
    </row>
    <row r="46">
      <c r="A46" s="12" t="n">
        <v>42</v>
      </c>
      <c r="B46" s="4" t="inlineStr">
        <is>
          <t>S07 – Purge, vent, blowdown and maintenance isolation</t>
        </is>
      </c>
      <c r="C46" s="4" t="inlineStr">
        <is>
          <t>N2-1304</t>
        </is>
      </c>
      <c r="D46" s="4" t="inlineStr">
        <is>
          <t>N2 purge connection (removable spool / hose)</t>
        </is>
      </c>
      <c r="E46" s="4" t="inlineStr">
        <is>
          <t>Piping, flanges &amp; hoses</t>
        </is>
      </c>
      <c r="F46" s="4" t="inlineStr"/>
      <c r="G46" s="4" t="inlineStr">
        <is>
          <t>Single</t>
        </is>
      </c>
      <c r="H46" s="4" t="inlineStr">
        <is>
          <t>Purge with N2 for gas-in / gas-out</t>
        </is>
      </c>
      <c r="I46" s="4" t="inlineStr"/>
    </row>
    <row r="47">
      <c r="A47" s="12" t="n">
        <v>43</v>
      </c>
      <c r="B47" s="4" t="inlineStr">
        <is>
          <t>S08 – Gas detection, F&amp;G and ESD system</t>
        </is>
      </c>
      <c r="C47" s="4" t="inlineStr">
        <is>
          <t>GD-1110A</t>
        </is>
      </c>
      <c r="D47" s="4" t="inlineStr">
        <is>
          <t>PRS shelter gas detector A (2oo3)</t>
        </is>
      </c>
      <c r="E47" s="4" t="inlineStr">
        <is>
          <t>Analyser / gas detector</t>
        </is>
      </c>
      <c r="F47" s="4" t="inlineStr"/>
      <c r="G47" s="4" t="inlineStr">
        <is>
          <t>Duty</t>
        </is>
      </c>
      <c r="H47" s="4" t="inlineStr">
        <is>
          <t>Detect gas release</t>
        </is>
      </c>
      <c r="I47" s="4" t="inlineStr"/>
    </row>
    <row r="48">
      <c r="A48" s="12" t="n">
        <v>44</v>
      </c>
      <c r="B48" s="4" t="inlineStr">
        <is>
          <t>S08 – Gas detection, F&amp;G and ESD system</t>
        </is>
      </c>
      <c r="C48" s="4" t="inlineStr">
        <is>
          <t>GD-1110B</t>
        </is>
      </c>
      <c r="D48" s="4" t="inlineStr">
        <is>
          <t>PRS shelter gas detector B (2oo3)</t>
        </is>
      </c>
      <c r="E48" s="4" t="inlineStr">
        <is>
          <t>Analyser / gas detector</t>
        </is>
      </c>
      <c r="F48" s="4" t="inlineStr"/>
      <c r="G48" s="4" t="inlineStr">
        <is>
          <t>Duty</t>
        </is>
      </c>
      <c r="H48" s="4" t="inlineStr">
        <is>
          <t>Detect gas release</t>
        </is>
      </c>
      <c r="I48" s="4" t="inlineStr"/>
    </row>
    <row r="49">
      <c r="A49" s="12" t="n">
        <v>45</v>
      </c>
      <c r="B49" s="4" t="inlineStr">
        <is>
          <t>S08 – Gas detection, F&amp;G and ESD system</t>
        </is>
      </c>
      <c r="C49" s="4" t="inlineStr">
        <is>
          <t>GD-1110C</t>
        </is>
      </c>
      <c r="D49" s="4" t="inlineStr">
        <is>
          <t>PRS shelter gas detector C (2oo3)</t>
        </is>
      </c>
      <c r="E49" s="4" t="inlineStr">
        <is>
          <t>Analyser / gas detector</t>
        </is>
      </c>
      <c r="F49" s="4" t="inlineStr"/>
      <c r="G49" s="4" t="inlineStr">
        <is>
          <t>Duty</t>
        </is>
      </c>
      <c r="H49" s="4" t="inlineStr">
        <is>
          <t>Detect gas release</t>
        </is>
      </c>
      <c r="I49" s="4" t="inlineStr"/>
    </row>
    <row r="50">
      <c r="A50" s="12" t="n">
        <v>46</v>
      </c>
      <c r="B50" s="4" t="inlineStr">
        <is>
          <t>S08 – Gas detection, F&amp;G and ESD system</t>
        </is>
      </c>
      <c r="C50" s="4" t="inlineStr">
        <is>
          <t>UCP-1000</t>
        </is>
      </c>
      <c r="D50" s="4" t="inlineStr">
        <is>
          <t>SIS logic solver (gas ESD)</t>
        </is>
      </c>
      <c r="E50" s="4" t="inlineStr">
        <is>
          <t>Control system / SIS logic solver</t>
        </is>
      </c>
      <c r="F50" s="4" t="inlineStr"/>
      <c r="G50" s="4" t="inlineStr">
        <is>
          <t>Single</t>
        </is>
      </c>
      <c r="H50" s="4" t="inlineStr">
        <is>
          <t>Execute the ESD cause &amp; effects</t>
        </is>
      </c>
      <c r="I50" s="4" t="inlineStr"/>
    </row>
    <row r="51">
      <c r="A51" s="12" t="n">
        <v>47</v>
      </c>
      <c r="B51" s="4" t="inlineStr">
        <is>
          <t>S08 – Gas detection, F&amp;G and ESD system</t>
        </is>
      </c>
      <c r="C51" s="4" t="inlineStr">
        <is>
          <t>HS-1000</t>
        </is>
      </c>
      <c r="D51" s="4" t="inlineStr">
        <is>
          <t>Manual ESD push buttons</t>
        </is>
      </c>
      <c r="E51" s="4" t="inlineStr">
        <is>
          <t>Instrument – transmitter / switch</t>
        </is>
      </c>
      <c r="F51" s="4" t="inlineStr"/>
      <c r="G51" s="4" t="inlineStr">
        <is>
          <t>Single</t>
        </is>
      </c>
      <c r="H51" s="4" t="inlineStr">
        <is>
          <t>Manual ESD initiation</t>
        </is>
      </c>
      <c r="I51" s="4" t="inlineStr"/>
    </row>
    <row r="52">
      <c r="A52" s="12" t="n">
        <v>48</v>
      </c>
      <c r="B52" s="4" t="inlineStr">
        <is>
          <t>S08 – Gas detection, F&amp;G and ESD system</t>
        </is>
      </c>
      <c r="C52" s="4" t="inlineStr">
        <is>
          <t>UPS-1000</t>
        </is>
      </c>
      <c r="D52" s="4" t="inlineStr">
        <is>
          <t>UPS for SIS / F&amp;G</t>
        </is>
      </c>
      <c r="E52" s="4" t="inlineStr">
        <is>
          <t>Variable speed drive / UPS</t>
        </is>
      </c>
      <c r="F52" s="4" t="inlineStr"/>
      <c r="G52" s="4" t="inlineStr">
        <is>
          <t>Single</t>
        </is>
      </c>
      <c r="H52" s="4" t="inlineStr">
        <is>
          <t>30 min back-up power</t>
        </is>
      </c>
      <c r="I52" s="4" t="inlineStr"/>
    </row>
    <row r="53">
      <c r="A53" s="12" t="n">
        <v>49</v>
      </c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12" t="n">
        <v>50</v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12" t="n">
        <v>51</v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12" t="n">
        <v>52</v>
      </c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12" t="n">
        <v>53</v>
      </c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12" t="n">
        <v>54</v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12" t="n">
        <v>55</v>
      </c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12" t="n">
        <v>56</v>
      </c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12" t="n">
        <v>57</v>
      </c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12" t="n">
        <v>58</v>
      </c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12" t="n">
        <v>59</v>
      </c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12" t="n">
        <v>60</v>
      </c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12" t="n">
        <v>61</v>
      </c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12" t="n">
        <v>62</v>
      </c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12" t="n">
        <v>63</v>
      </c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12" t="n">
        <v>64</v>
      </c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12" t="n">
        <v>65</v>
      </c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12" t="n">
        <v>66</v>
      </c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12" t="n">
        <v>67</v>
      </c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12" t="n">
        <v>68</v>
      </c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12" t="n">
        <v>69</v>
      </c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12" t="n">
        <v>70</v>
      </c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12" t="n">
        <v>71</v>
      </c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12" t="n">
        <v>72</v>
      </c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12" t="n">
        <v>73</v>
      </c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12" t="n">
        <v>74</v>
      </c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12" t="n">
        <v>75</v>
      </c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12" t="n">
        <v>76</v>
      </c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12" t="n">
        <v>77</v>
      </c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12" t="n">
        <v>78</v>
      </c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12" t="n">
        <v>79</v>
      </c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12" t="n">
        <v>80</v>
      </c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12" t="n">
        <v>81</v>
      </c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12" t="n">
        <v>82</v>
      </c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12" t="n">
        <v>83</v>
      </c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12" t="n">
        <v>84</v>
      </c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12" t="n">
        <v>85</v>
      </c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12" t="n">
        <v>86</v>
      </c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12" t="n">
        <v>87</v>
      </c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12" t="n">
        <v>88</v>
      </c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12" t="n">
        <v>89</v>
      </c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12" t="n">
        <v>90</v>
      </c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12" t="n">
        <v>91</v>
      </c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12" t="n">
        <v>92</v>
      </c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12" t="n">
        <v>93</v>
      </c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12" t="n">
        <v>94</v>
      </c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12" t="n">
        <v>95</v>
      </c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12" t="n">
        <v>96</v>
      </c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12" t="n">
        <v>97</v>
      </c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12" t="n">
        <v>98</v>
      </c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12" t="n">
        <v>99</v>
      </c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12" t="n">
        <v>100</v>
      </c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12" t="n">
        <v>101</v>
      </c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12" t="n">
        <v>102</v>
      </c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12" t="n">
        <v>103</v>
      </c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12" t="n">
        <v>104</v>
      </c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12" t="n">
        <v>105</v>
      </c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12" t="n">
        <v>106</v>
      </c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12" t="n">
        <v>107</v>
      </c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12" t="n">
        <v>108</v>
      </c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12" t="n">
        <v>109</v>
      </c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12" t="n">
        <v>110</v>
      </c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12" t="n">
        <v>111</v>
      </c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12" t="n">
        <v>112</v>
      </c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12" t="n">
        <v>113</v>
      </c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12" t="n">
        <v>114</v>
      </c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12" t="n">
        <v>115</v>
      </c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12" t="n">
        <v>116</v>
      </c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12" t="n">
        <v>117</v>
      </c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12" t="n">
        <v>118</v>
      </c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12" t="n">
        <v>119</v>
      </c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12" t="n">
        <v>120</v>
      </c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12" t="n">
        <v>121</v>
      </c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12" t="n">
        <v>122</v>
      </c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12" t="n">
        <v>123</v>
      </c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12" t="n">
        <v>124</v>
      </c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12" t="n">
        <v>125</v>
      </c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12" t="n">
        <v>126</v>
      </c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12" t="n">
        <v>127</v>
      </c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12" t="n">
        <v>128</v>
      </c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12" t="n">
        <v>129</v>
      </c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12" t="n">
        <v>130</v>
      </c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12" t="n">
        <v>131</v>
      </c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12" t="n">
        <v>132</v>
      </c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12" t="n">
        <v>133</v>
      </c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12" t="n">
        <v>134</v>
      </c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12" t="n">
        <v>135</v>
      </c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12" t="n">
        <v>136</v>
      </c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12" t="n">
        <v>137</v>
      </c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12" t="n">
        <v>138</v>
      </c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12" t="n">
        <v>139</v>
      </c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12" t="n">
        <v>140</v>
      </c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12" t="n">
        <v>141</v>
      </c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12" t="n">
        <v>142</v>
      </c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12" t="n">
        <v>143</v>
      </c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12" t="n">
        <v>144</v>
      </c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12" t="n">
        <v>145</v>
      </c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12" t="n">
        <v>146</v>
      </c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12" t="n">
        <v>147</v>
      </c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12" t="n">
        <v>148</v>
      </c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12" t="n">
        <v>149</v>
      </c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12" t="n">
        <v>150</v>
      </c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12" t="n">
        <v>151</v>
      </c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12" t="n">
        <v>152</v>
      </c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12" t="n">
        <v>153</v>
      </c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12" t="n">
        <v>154</v>
      </c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12" t="n">
        <v>155</v>
      </c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12" t="n">
        <v>156</v>
      </c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12" t="n">
        <v>157</v>
      </c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12" t="n">
        <v>158</v>
      </c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12" t="n">
        <v>159</v>
      </c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12" t="n">
        <v>160</v>
      </c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12" t="n">
        <v>161</v>
      </c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12" t="n">
        <v>162</v>
      </c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12" t="n">
        <v>163</v>
      </c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12" t="n">
        <v>164</v>
      </c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12" t="n">
        <v>165</v>
      </c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12" t="n">
        <v>166</v>
      </c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12" t="n">
        <v>167</v>
      </c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12" t="n">
        <v>168</v>
      </c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12" t="n">
        <v>169</v>
      </c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12" t="n">
        <v>170</v>
      </c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12" t="n">
        <v>171</v>
      </c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12" t="n">
        <v>172</v>
      </c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12" t="n">
        <v>173</v>
      </c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12" t="n">
        <v>174</v>
      </c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12" t="n">
        <v>175</v>
      </c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12" t="n">
        <v>176</v>
      </c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12" t="n">
        <v>177</v>
      </c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12" t="n">
        <v>178</v>
      </c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12" t="n">
        <v>179</v>
      </c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12" t="n">
        <v>180</v>
      </c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12" t="n">
        <v>181</v>
      </c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12" t="n">
        <v>182</v>
      </c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12" t="n">
        <v>183</v>
      </c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12" t="n">
        <v>184</v>
      </c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12" t="n">
        <v>185</v>
      </c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12" t="n">
        <v>186</v>
      </c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12" t="n">
        <v>187</v>
      </c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12" t="n">
        <v>188</v>
      </c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12" t="n">
        <v>189</v>
      </c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12" t="n">
        <v>190</v>
      </c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12" t="n">
        <v>191</v>
      </c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12" t="n">
        <v>192</v>
      </c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12" t="n">
        <v>193</v>
      </c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12" t="n">
        <v>194</v>
      </c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12" t="n">
        <v>195</v>
      </c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12" t="n">
        <v>196</v>
      </c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12" t="n">
        <v>197</v>
      </c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12" t="n">
        <v>198</v>
      </c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12" t="n">
        <v>199</v>
      </c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12" t="n">
        <v>200</v>
      </c>
      <c r="B204" s="4" t="n"/>
      <c r="C204" s="4" t="n"/>
      <c r="D204" s="4" t="n"/>
      <c r="E204" s="4" t="n"/>
      <c r="F204" s="4" t="n"/>
      <c r="G204" s="4" t="n"/>
      <c r="H204" s="4" t="n"/>
      <c r="I204" s="4" t="n"/>
    </row>
  </sheetData>
  <autoFilter ref="A4:I204"/>
  <dataValidations count="3">
    <dataValidation sqref="B5:B204" showDropDown="0" showInputMessage="1" showErrorMessage="1" allowBlank="1" promptTitle="Select" prompt="System this item belongs to" type="list">
      <formula1>=SystemList</formula1>
    </dataValidation>
    <dataValidation sqref="E5:E204" showDropDown="0" showInputMessage="1" showErrorMessage="1" allowBlank="1" promptTitle="Select" prompt="Equipment type (from Lists)" type="list">
      <formula1>=EqTypeList</formula1>
    </dataValidation>
    <dataValidation sqref="G5:G204" showDropDown="0" showInputMessage="0" showErrorMessage="1" allowBlank="1" errorTitle="Not in list" error="Entry is not in the list – it will be accepted as free text." type="list" errorStyle="information">
      <formula1>"Duty,Standby,Single,Spare,Common"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3" max="3"/>
    <col width="36" customWidth="1" min="4" max="4"/>
    <col width="44" customWidth="1" min="6" max="6"/>
    <col width="44" customWidth="1" min="7" max="7"/>
    <col width="52" customWidth="1" min="9" max="9"/>
    <col width="46" customWidth="1" min="11" max="11"/>
    <col width="34" customWidth="1" min="13" max="13"/>
    <col width="22" customWidth="1" min="15" max="15"/>
  </cols>
  <sheetData>
    <row r="1">
      <c r="A1" s="1" t="inlineStr">
        <is>
          <t>DROP-DOWN LISTS</t>
        </is>
      </c>
    </row>
    <row r="2">
      <c r="A2" s="2" t="inlineStr">
        <is>
          <t>Editable. To add a component or failure mode, INSERT a row inside its equipment-type block (blocks must stay together). Failure-mode codes follow ISO 14224 where applicable.</t>
        </is>
      </c>
    </row>
    <row r="4">
      <c r="A4" s="7" t="inlineStr">
        <is>
          <t>Equipment types</t>
        </is>
      </c>
      <c r="C4" s="7" t="inlineStr">
        <is>
          <t>Equipment type</t>
        </is>
      </c>
      <c r="D4" s="7" t="inlineStr">
        <is>
          <t>Component / maintainable item</t>
        </is>
      </c>
      <c r="F4" s="7" t="inlineStr">
        <is>
          <t>Equipment type</t>
        </is>
      </c>
      <c r="G4" s="7" t="inlineStr">
        <is>
          <t>Failure mode</t>
        </is>
      </c>
      <c r="I4" s="7" t="inlineStr">
        <is>
          <t>Failure causes / mechanisms</t>
        </is>
      </c>
      <c r="K4" s="7" t="inlineStr">
        <is>
          <t>Detection methods</t>
        </is>
      </c>
      <c r="M4" s="7" t="inlineStr">
        <is>
          <t>Action / task type</t>
        </is>
      </c>
      <c r="O4" s="7" t="inlineStr">
        <is>
          <t>Document category</t>
        </is>
      </c>
    </row>
    <row r="5">
      <c r="A5" s="15" t="inlineStr">
        <is>
          <t>Centrifugal pump</t>
        </is>
      </c>
      <c r="C5" s="15" t="inlineStr">
        <is>
          <t>Centrifugal pump</t>
        </is>
      </c>
      <c r="D5" s="15" t="inlineStr">
        <is>
          <t>Impeller</t>
        </is>
      </c>
      <c r="F5" s="15" t="inlineStr">
        <is>
          <t>Centrifugal pump</t>
        </is>
      </c>
      <c r="G5" s="15" t="inlineStr">
        <is>
          <t>FTS – Fail to start on demand</t>
        </is>
      </c>
      <c r="I5" s="15" t="inlineStr">
        <is>
          <t>1.0 Mechanical failure – general</t>
        </is>
      </c>
      <c r="K5" s="15" t="inlineStr">
        <is>
          <t>Online vibration monitoring with alarm</t>
        </is>
      </c>
      <c r="M5" s="15" t="inlineStr">
        <is>
          <t>Condition monitoring task</t>
        </is>
      </c>
      <c r="O5" s="15" t="inlineStr">
        <is>
          <t>Drawings</t>
        </is>
      </c>
    </row>
    <row r="6">
      <c r="A6" s="15" t="inlineStr">
        <is>
          <t>Positive displacement pump</t>
        </is>
      </c>
      <c r="C6" s="15" t="inlineStr">
        <is>
          <t>Centrifugal pump</t>
        </is>
      </c>
      <c r="D6" s="15" t="inlineStr">
        <is>
          <t>Casing</t>
        </is>
      </c>
      <c r="F6" s="15" t="inlineStr">
        <is>
          <t>Centrifugal pump</t>
        </is>
      </c>
      <c r="G6" s="15" t="inlineStr">
        <is>
          <t>STP – Fail to stop on demand</t>
        </is>
      </c>
      <c r="I6" s="15" t="inlineStr">
        <is>
          <t>1.1 Leakage</t>
        </is>
      </c>
      <c r="K6" s="15" t="inlineStr">
        <is>
          <t>Periodic vibration analysis (route)</t>
        </is>
      </c>
      <c r="M6" s="15" t="inlineStr">
        <is>
          <t>Time-based maintenance / overhaul</t>
        </is>
      </c>
      <c r="O6" s="15" t="inlineStr">
        <is>
          <t>Equipment data</t>
        </is>
      </c>
    </row>
    <row r="7">
      <c r="A7" s="15" t="inlineStr">
        <is>
          <t>Centrifugal compressor</t>
        </is>
      </c>
      <c r="C7" s="15" t="inlineStr">
        <is>
          <t>Centrifugal pump</t>
        </is>
      </c>
      <c r="D7" s="15" t="inlineStr">
        <is>
          <t>Shaft</t>
        </is>
      </c>
      <c r="F7" s="15" t="inlineStr">
        <is>
          <t>Centrifugal pump</t>
        </is>
      </c>
      <c r="G7" s="15" t="inlineStr">
        <is>
          <t>UST – Spurious stop</t>
        </is>
      </c>
      <c r="I7" s="15" t="inlineStr">
        <is>
          <t>1.2 Vibration</t>
        </is>
      </c>
      <c r="K7" s="15" t="inlineStr">
        <is>
          <t>Infrared thermography</t>
        </is>
      </c>
      <c r="M7" s="15" t="inlineStr">
        <is>
          <t>Failure-finding / proof test</t>
        </is>
      </c>
      <c r="O7" s="15" t="inlineStr">
        <is>
          <t>Maintenance history</t>
        </is>
      </c>
    </row>
    <row r="8">
      <c r="A8" s="15" t="inlineStr">
        <is>
          <t>Reciprocating compressor</t>
        </is>
      </c>
      <c r="C8" s="15" t="inlineStr">
        <is>
          <t>Centrifugal pump</t>
        </is>
      </c>
      <c r="D8" s="15" t="inlineStr">
        <is>
          <t>Bearings</t>
        </is>
      </c>
      <c r="F8" s="15" t="inlineStr">
        <is>
          <t>Centrifugal pump</t>
        </is>
      </c>
      <c r="G8" s="15" t="inlineStr">
        <is>
          <t>BRD – Breakdown</t>
        </is>
      </c>
      <c r="I8" s="15" t="inlineStr">
        <is>
          <t>1.3 Clearance / alignment failure</t>
        </is>
      </c>
      <c r="K8" s="15" t="inlineStr">
        <is>
          <t>Oil / lubricant analysis</t>
        </is>
      </c>
      <c r="M8" s="15" t="inlineStr">
        <is>
          <t>Operator round / inspection</t>
        </is>
      </c>
      <c r="O8" s="15" t="inlineStr">
        <is>
          <t>Reliability data</t>
        </is>
      </c>
    </row>
    <row r="9">
      <c r="A9" s="15" t="inlineStr">
        <is>
          <t>Fan / blower (incl. ID fan)</t>
        </is>
      </c>
      <c r="C9" s="15" t="inlineStr">
        <is>
          <t>Centrifugal pump</t>
        </is>
      </c>
      <c r="D9" s="15" t="inlineStr">
        <is>
          <t>Mechanical seal</t>
        </is>
      </c>
      <c r="F9" s="15" t="inlineStr">
        <is>
          <t>Centrifugal pump</t>
        </is>
      </c>
      <c r="G9" s="15" t="inlineStr">
        <is>
          <t>LOO – Low output (flow / head)</t>
        </is>
      </c>
      <c r="I9" s="15" t="inlineStr">
        <is>
          <t>1.4 Deformation</t>
        </is>
      </c>
      <c r="K9" s="15" t="inlineStr">
        <is>
          <t>Ultrasonic thickness / NDT inspection</t>
        </is>
      </c>
      <c r="M9" s="15" t="inlineStr">
        <is>
          <t>Redesign / modification (MOC)</t>
        </is>
      </c>
      <c r="O9" s="15" t="inlineStr">
        <is>
          <t>Procedures</t>
        </is>
      </c>
    </row>
    <row r="10">
      <c r="A10" s="15" t="inlineStr">
        <is>
          <t>Electric motor</t>
        </is>
      </c>
      <c r="C10" s="15" t="inlineStr">
        <is>
          <t>Centrifugal pump</t>
        </is>
      </c>
      <c r="D10" s="15" t="inlineStr">
        <is>
          <t>Coupling</t>
        </is>
      </c>
      <c r="F10" s="15" t="inlineStr">
        <is>
          <t>Centrifugal pump</t>
        </is>
      </c>
      <c r="G10" s="15" t="inlineStr">
        <is>
          <t>HIO – High output</t>
        </is>
      </c>
      <c r="I10" s="15" t="inlineStr">
        <is>
          <t>1.5 Looseness</t>
        </is>
      </c>
      <c r="K10" s="15" t="inlineStr">
        <is>
          <t>Acoustic emission / ultrasonic leak detection</t>
        </is>
      </c>
      <c r="M10" s="15" t="inlineStr">
        <is>
          <t>Spares holding</t>
        </is>
      </c>
      <c r="O10" s="15" t="inlineStr">
        <is>
          <t>Previous studies</t>
        </is>
      </c>
    </row>
    <row r="11">
      <c r="A11" s="15" t="inlineStr">
        <is>
          <t>Gearbox</t>
        </is>
      </c>
      <c r="C11" s="15" t="inlineStr">
        <is>
          <t>Centrifugal pump</t>
        </is>
      </c>
      <c r="D11" s="15" t="inlineStr">
        <is>
          <t>Wear rings</t>
        </is>
      </c>
      <c r="F11" s="15" t="inlineStr">
        <is>
          <t>Centrifugal pump</t>
        </is>
      </c>
      <c r="G11" s="15" t="inlineStr">
        <is>
          <t>ELP – External leakage – process medium</t>
        </is>
      </c>
      <c r="I11" s="15" t="inlineStr">
        <is>
          <t>1.6 Sticking / seizure</t>
        </is>
      </c>
      <c r="K11" s="15" t="inlineStr">
        <is>
          <t>Motor current signature analysis</t>
        </is>
      </c>
      <c r="M11" s="15" t="inlineStr">
        <is>
          <t>Procedure / training</t>
        </is>
      </c>
      <c r="O11" s="15" t="inlineStr">
        <is>
          <t>Other</t>
        </is>
      </c>
    </row>
    <row r="12">
      <c r="A12" s="15" t="inlineStr">
        <is>
          <t>Belt conveyor</t>
        </is>
      </c>
      <c r="C12" s="15" t="inlineStr">
        <is>
          <t>Centrifugal pump</t>
        </is>
      </c>
      <c r="D12" s="15" t="inlineStr">
        <is>
          <t>Baseplate / holding-down</t>
        </is>
      </c>
      <c r="F12" s="15" t="inlineStr">
        <is>
          <t>Centrifugal pump</t>
        </is>
      </c>
      <c r="G12" s="15" t="inlineStr">
        <is>
          <t>ELU – External leakage – utility medium</t>
        </is>
      </c>
      <c r="I12" s="15" t="inlineStr">
        <is>
          <t>2.0 Material failure – general</t>
        </is>
      </c>
      <c r="K12" s="15" t="inlineStr">
        <is>
          <t>Partial discharge / insulation testing</t>
        </is>
      </c>
      <c r="M12" s="15" t="inlineStr">
        <is>
          <t>Run to failure (accepted)</t>
        </is>
      </c>
    </row>
    <row r="13">
      <c r="A13" s="15" t="inlineStr">
        <is>
          <t>Pressure vessel / separator / column</t>
        </is>
      </c>
      <c r="C13" s="15" t="inlineStr">
        <is>
          <t>Centrifugal pump</t>
        </is>
      </c>
      <c r="D13" s="15" t="inlineStr">
        <is>
          <t>Lubrication system</t>
        </is>
      </c>
      <c r="F13" s="15" t="inlineStr">
        <is>
          <t>Centrifugal pump</t>
        </is>
      </c>
      <c r="G13" s="15" t="inlineStr">
        <is>
          <t>INL – Internal leakage / recirculation</t>
        </is>
      </c>
      <c r="I13" s="15" t="inlineStr">
        <is>
          <t>2.1 Cavitation</t>
        </is>
      </c>
      <c r="K13" s="15" t="inlineStr">
        <is>
          <t>Process alarm (DCS)</t>
        </is>
      </c>
      <c r="M13" s="15" t="inlineStr">
        <is>
          <t>Further study</t>
        </is>
      </c>
    </row>
    <row r="14">
      <c r="A14" s="15" t="inlineStr">
        <is>
          <t>Shell &amp; tube heat exchanger</t>
        </is>
      </c>
      <c r="C14" s="15" t="inlineStr">
        <is>
          <t>Centrifugal pump</t>
        </is>
      </c>
      <c r="D14" s="15" t="inlineStr">
        <is>
          <t>Suction strainer</t>
        </is>
      </c>
      <c r="F14" s="15" t="inlineStr">
        <is>
          <t>Centrifugal pump</t>
        </is>
      </c>
      <c r="G14" s="15" t="inlineStr">
        <is>
          <t>VIB – Vibration</t>
        </is>
      </c>
      <c r="I14" s="15" t="inlineStr">
        <is>
          <t>2.2 Corrosion (general / pitting / CUI)</t>
        </is>
      </c>
      <c r="K14" s="15" t="inlineStr">
        <is>
          <t>Protective trip / interlock</t>
        </is>
      </c>
    </row>
    <row r="15">
      <c r="A15" s="15" t="inlineStr">
        <is>
          <t>Atmospheric storage tank</t>
        </is>
      </c>
      <c r="C15" s="15" t="inlineStr">
        <is>
          <t>Positive displacement pump</t>
        </is>
      </c>
      <c r="D15" s="15" t="inlineStr">
        <is>
          <t>Rotors / gears / pistons</t>
        </is>
      </c>
      <c r="F15" s="15" t="inlineStr">
        <is>
          <t>Centrifugal pump</t>
        </is>
      </c>
      <c r="G15" s="15" t="inlineStr">
        <is>
          <t>NOI – Noise</t>
        </is>
      </c>
      <c r="I15" s="15" t="inlineStr">
        <is>
          <t>2.3 Erosion</t>
        </is>
      </c>
      <c r="K15" s="15" t="inlineStr">
        <is>
          <t>Performance monitoring (flow, ΔP, efficiency)</t>
        </is>
      </c>
    </row>
    <row r="16">
      <c r="A16" s="15" t="inlineStr">
        <is>
          <t>Piping, flanges &amp; hoses</t>
        </is>
      </c>
      <c r="C16" s="15" t="inlineStr">
        <is>
          <t>Positive displacement pump</t>
        </is>
      </c>
      <c r="D16" s="15" t="inlineStr">
        <is>
          <t>Suction / discharge valves</t>
        </is>
      </c>
      <c r="F16" s="15" t="inlineStr">
        <is>
          <t>Centrifugal pump</t>
        </is>
      </c>
      <c r="G16" s="15" t="inlineStr">
        <is>
          <t>OHE – Overheating</t>
        </is>
      </c>
      <c r="I16" s="15" t="inlineStr">
        <is>
          <t>2.4 Wear</t>
        </is>
      </c>
      <c r="K16" s="15" t="inlineStr">
        <is>
          <t>Operator rounds – visual / sensory</t>
        </is>
      </c>
    </row>
    <row r="17">
      <c r="A17" s="15" t="inlineStr">
        <is>
          <t>Control valve</t>
        </is>
      </c>
      <c r="C17" s="15" t="inlineStr">
        <is>
          <t>Positive displacement pump</t>
        </is>
      </c>
      <c r="D17" s="15" t="inlineStr">
        <is>
          <t>Packing / seals</t>
        </is>
      </c>
      <c r="F17" s="15" t="inlineStr">
        <is>
          <t>Centrifugal pump</t>
        </is>
      </c>
      <c r="G17" s="15" t="inlineStr">
        <is>
          <t>PDE – Parameter deviation</t>
        </is>
      </c>
      <c r="I17" s="15" t="inlineStr">
        <is>
          <t>2.5 Breakage / fracture</t>
        </is>
      </c>
      <c r="K17" s="15" t="inlineStr">
        <is>
          <t>Proof test / function test</t>
        </is>
      </c>
    </row>
    <row r="18">
      <c r="A18" s="15" t="inlineStr">
        <is>
          <t>Isolation / ESD valve</t>
        </is>
      </c>
      <c r="C18" s="15" t="inlineStr">
        <is>
          <t>Positive displacement pump</t>
        </is>
      </c>
      <c r="D18" s="15" t="inlineStr">
        <is>
          <t>Bearings</t>
        </is>
      </c>
      <c r="F18" s="15" t="inlineStr">
        <is>
          <t>Centrifugal pump</t>
        </is>
      </c>
      <c r="G18" s="15" t="inlineStr">
        <is>
          <t>STD – Structural deficiency</t>
        </is>
      </c>
      <c r="I18" s="15" t="inlineStr">
        <is>
          <t>2.6 Fatigue (mechanical / thermal)</t>
        </is>
      </c>
      <c r="K18" s="15" t="inlineStr">
        <is>
          <t>Leak detection system (flow in / out)</t>
        </is>
      </c>
    </row>
    <row r="19">
      <c r="A19" s="15" t="inlineStr">
        <is>
          <t>Pressure relief device (PSV / rupture disc)</t>
        </is>
      </c>
      <c r="C19" s="15" t="inlineStr">
        <is>
          <t>Positive displacement pump</t>
        </is>
      </c>
      <c r="D19" s="15" t="inlineStr">
        <is>
          <t>Drive (gearbox / coupling)</t>
        </is>
      </c>
      <c r="F19" s="15" t="inlineStr">
        <is>
          <t>Centrifugal pump</t>
        </is>
      </c>
      <c r="G19" s="15" t="inlineStr">
        <is>
          <t>PLU – Plugged / choked</t>
        </is>
      </c>
      <c r="I19" s="15" t="inlineStr">
        <is>
          <t>2.7 Overheating</t>
        </is>
      </c>
      <c r="K19" s="15" t="inlineStr">
        <is>
          <t>Gas / fire detection</t>
        </is>
      </c>
    </row>
    <row r="20">
      <c r="A20" s="15" t="inlineStr">
        <is>
          <t>Instrument – transmitter / switch</t>
        </is>
      </c>
      <c r="C20" s="15" t="inlineStr">
        <is>
          <t>Positive displacement pump</t>
        </is>
      </c>
      <c r="D20" s="15" t="inlineStr">
        <is>
          <t>Pulsation damper</t>
        </is>
      </c>
      <c r="F20" s="15" t="inlineStr">
        <is>
          <t>Centrifugal pump</t>
        </is>
      </c>
      <c r="G20" s="15" t="inlineStr">
        <is>
          <t>OTH – Other</t>
        </is>
      </c>
      <c r="I20" s="15" t="inlineStr">
        <is>
          <t>2.8 Burst</t>
        </is>
      </c>
      <c r="K20" s="15" t="inlineStr">
        <is>
          <t>Shell temperature scanning (refractory)</t>
        </is>
      </c>
    </row>
    <row r="21">
      <c r="A21" s="15" t="inlineStr">
        <is>
          <t>Analyser / gas detector</t>
        </is>
      </c>
      <c r="C21" s="15" t="inlineStr">
        <is>
          <t>Positive displacement pump</t>
        </is>
      </c>
      <c r="D21" s="15" t="inlineStr">
        <is>
          <t>Integral relief valve</t>
        </is>
      </c>
      <c r="F21" s="15" t="inlineStr">
        <is>
          <t>Positive displacement pump</t>
        </is>
      </c>
      <c r="G21" s="15" t="inlineStr">
        <is>
          <t>FTS – Fail to start on demand</t>
        </is>
      </c>
      <c r="I21" s="15" t="inlineStr">
        <is>
          <t>3.0 Instrument failure – general</t>
        </is>
      </c>
      <c r="K21" s="15" t="inlineStr">
        <is>
          <t>Rope / brake / structural inspection (cranes)</t>
        </is>
      </c>
    </row>
    <row r="22">
      <c r="A22" s="15" t="inlineStr">
        <is>
          <t>Control system / SIS logic solver</t>
        </is>
      </c>
      <c r="C22" s="15" t="inlineStr">
        <is>
          <t>Positive displacement pump</t>
        </is>
      </c>
      <c r="D22" s="15" t="inlineStr">
        <is>
          <t>Casing</t>
        </is>
      </c>
      <c r="F22" s="15" t="inlineStr">
        <is>
          <t>Positive displacement pump</t>
        </is>
      </c>
      <c r="G22" s="15" t="inlineStr">
        <is>
          <t>STP – Fail to stop on demand</t>
        </is>
      </c>
      <c r="I22" s="15" t="inlineStr">
        <is>
          <t>3.1 Control failure</t>
        </is>
      </c>
      <c r="K22" s="15" t="inlineStr">
        <is>
          <t>Calibration check</t>
        </is>
      </c>
    </row>
    <row r="23">
      <c r="A23" s="15" t="inlineStr">
        <is>
          <t>Transformer</t>
        </is>
      </c>
      <c r="C23" s="15" t="inlineStr">
        <is>
          <t>Centrifugal compressor</t>
        </is>
      </c>
      <c r="D23" s="15" t="inlineStr">
        <is>
          <t>Impellers</t>
        </is>
      </c>
      <c r="F23" s="15" t="inlineStr">
        <is>
          <t>Positive displacement pump</t>
        </is>
      </c>
      <c r="G23" s="15" t="inlineStr">
        <is>
          <t>UST – Spurious stop</t>
        </is>
      </c>
      <c r="I23" s="15" t="inlineStr">
        <is>
          <t>3.2 No signal / indication / alarm</t>
        </is>
      </c>
      <c r="K23" s="15" t="inlineStr">
        <is>
          <t>Shutdown inspection</t>
        </is>
      </c>
    </row>
    <row r="24">
      <c r="A24" s="15" t="inlineStr">
        <is>
          <t>Switchgear / MCC / circuit breaker</t>
        </is>
      </c>
      <c r="C24" s="15" t="inlineStr">
        <is>
          <t>Centrifugal compressor</t>
        </is>
      </c>
      <c r="D24" s="15" t="inlineStr">
        <is>
          <t>Rotor / shaft</t>
        </is>
      </c>
      <c r="F24" s="15" t="inlineStr">
        <is>
          <t>Positive displacement pump</t>
        </is>
      </c>
      <c r="G24" s="15" t="inlineStr">
        <is>
          <t>BRD – Breakdown</t>
        </is>
      </c>
      <c r="I24" s="15" t="inlineStr">
        <is>
          <t>3.3 Faulty signal / indication / alarm</t>
        </is>
      </c>
      <c r="K24" s="15" t="inlineStr">
        <is>
          <t>None – failure evident only on occurrence</t>
        </is>
      </c>
    </row>
    <row r="25">
      <c r="A25" s="15" t="inlineStr">
        <is>
          <t>Variable speed drive / UPS</t>
        </is>
      </c>
      <c r="C25" s="15" t="inlineStr">
        <is>
          <t>Centrifugal compressor</t>
        </is>
      </c>
      <c r="D25" s="15" t="inlineStr">
        <is>
          <t>Journal and thrust bearings</t>
        </is>
      </c>
      <c r="F25" s="15" t="inlineStr">
        <is>
          <t>Positive displacement pump</t>
        </is>
      </c>
      <c r="G25" s="15" t="inlineStr">
        <is>
          <t>LOO – Low output (flow / head)</t>
        </is>
      </c>
      <c r="I25" s="15" t="inlineStr">
        <is>
          <t>3.4 Out of adjustment / calibration drift</t>
        </is>
      </c>
      <c r="K25" s="15" t="inlineStr">
        <is>
          <t>None – hidden failure</t>
        </is>
      </c>
    </row>
    <row r="26">
      <c r="A26" s="15" t="inlineStr">
        <is>
          <t>Hydraulic power unit / system</t>
        </is>
      </c>
      <c r="C26" s="15" t="inlineStr">
        <is>
          <t>Centrifugal compressor</t>
        </is>
      </c>
      <c r="D26" s="15" t="inlineStr">
        <is>
          <t>Dry gas / oil seals</t>
        </is>
      </c>
      <c r="F26" s="15" t="inlineStr">
        <is>
          <t>Positive displacement pump</t>
        </is>
      </c>
      <c r="G26" s="15" t="inlineStr">
        <is>
          <t>HIO – High output</t>
        </is>
      </c>
      <c r="I26" s="15" t="inlineStr">
        <is>
          <t>3.5 Software / configuration failure</t>
        </is>
      </c>
    </row>
    <row r="27">
      <c r="A27" s="15" t="inlineStr">
        <is>
          <t>Overhead crane / hoist (incl. ladle crane)</t>
        </is>
      </c>
      <c r="C27" s="15" t="inlineStr">
        <is>
          <t>Centrifugal compressor</t>
        </is>
      </c>
      <c r="D27" s="15" t="inlineStr">
        <is>
          <t>Lube oil system</t>
        </is>
      </c>
      <c r="F27" s="15" t="inlineStr">
        <is>
          <t>Positive displacement pump</t>
        </is>
      </c>
      <c r="G27" s="15" t="inlineStr">
        <is>
          <t>ELP – External leakage – process medium</t>
        </is>
      </c>
      <c r="I27" s="15" t="inlineStr">
        <is>
          <t>3.6 Common cause / mode failure</t>
        </is>
      </c>
    </row>
    <row r="28">
      <c r="A28" s="15" t="inlineStr">
        <is>
          <t>Water-cooled element (panel, roof, lance, tuyere, stave, mould)</t>
        </is>
      </c>
      <c r="C28" s="15" t="inlineStr">
        <is>
          <t>Centrifugal compressor</t>
        </is>
      </c>
      <c r="D28" s="15" t="inlineStr">
        <is>
          <t>Anti-surge valve and control</t>
        </is>
      </c>
      <c r="F28" s="15" t="inlineStr">
        <is>
          <t>Positive displacement pump</t>
        </is>
      </c>
      <c r="G28" s="15" t="inlineStr">
        <is>
          <t>ELU – External leakage – utility medium</t>
        </is>
      </c>
      <c r="I28" s="15" t="inlineStr">
        <is>
          <t>4.0 Electrical failure – general</t>
        </is>
      </c>
    </row>
    <row r="29">
      <c r="A29" s="15" t="inlineStr">
        <is>
          <t>Refractory lining (furnace, ladle, tundish, kiln)</t>
        </is>
      </c>
      <c r="C29" s="15" t="inlineStr">
        <is>
          <t>Centrifugal compressor</t>
        </is>
      </c>
      <c r="D29" s="15" t="inlineStr">
        <is>
          <t>Casing</t>
        </is>
      </c>
      <c r="F29" s="15" t="inlineStr">
        <is>
          <t>Positive displacement pump</t>
        </is>
      </c>
      <c r="G29" s="15" t="inlineStr">
        <is>
          <t>INL – Internal leakage / recirculation</t>
        </is>
      </c>
      <c r="I29" s="15" t="inlineStr">
        <is>
          <t>4.1 Short circuiting</t>
        </is>
      </c>
    </row>
    <row r="30">
      <c r="A30" s="15" t="inlineStr">
        <is>
          <t>Burner / combustion system</t>
        </is>
      </c>
      <c r="C30" s="15" t="inlineStr">
        <is>
          <t>Centrifugal compressor</t>
        </is>
      </c>
      <c r="D30" s="15" t="inlineStr">
        <is>
          <t>Coupling</t>
        </is>
      </c>
      <c r="F30" s="15" t="inlineStr">
        <is>
          <t>Positive displacement pump</t>
        </is>
      </c>
      <c r="G30" s="15" t="inlineStr">
        <is>
          <t>VIB – Vibration</t>
        </is>
      </c>
      <c r="I30" s="15" t="inlineStr">
        <is>
          <t>4.2 Open circuit</t>
        </is>
      </c>
    </row>
    <row r="31">
      <c r="A31" s="15" t="inlineStr">
        <is>
          <t>Cooling tower / closed cooling circuit</t>
        </is>
      </c>
      <c r="C31" s="15" t="inlineStr">
        <is>
          <t>Centrifugal compressor</t>
        </is>
      </c>
      <c r="D31" s="15" t="inlineStr">
        <is>
          <t>Inlet guide vanes</t>
        </is>
      </c>
      <c r="F31" s="15" t="inlineStr">
        <is>
          <t>Positive displacement pump</t>
        </is>
      </c>
      <c r="G31" s="15" t="inlineStr">
        <is>
          <t>NOI – Noise</t>
        </is>
      </c>
      <c r="I31" s="15" t="inlineStr">
        <is>
          <t>4.3 No power / voltage</t>
        </is>
      </c>
    </row>
    <row r="32">
      <c r="A32" s="15" t="inlineStr">
        <is>
          <t>Bag filter / dust collector</t>
        </is>
      </c>
      <c r="C32" s="15" t="inlineStr">
        <is>
          <t>Centrifugal compressor</t>
        </is>
      </c>
      <c r="D32" s="15" t="inlineStr">
        <is>
          <t>Protection instrumentation</t>
        </is>
      </c>
      <c r="F32" s="15" t="inlineStr">
        <is>
          <t>Positive displacement pump</t>
        </is>
      </c>
      <c r="G32" s="15" t="inlineStr">
        <is>
          <t>OHE – Overheating</t>
        </is>
      </c>
      <c r="I32" s="15" t="inlineStr">
        <is>
          <t>4.4 Faulty power / voltage</t>
        </is>
      </c>
    </row>
    <row r="33">
      <c r="A33" s="15" t="inlineStr">
        <is>
          <t>Ladle &amp; ladle / transfer car</t>
        </is>
      </c>
      <c r="C33" s="15" t="inlineStr">
        <is>
          <t>Reciprocating compressor</t>
        </is>
      </c>
      <c r="D33" s="15" t="inlineStr">
        <is>
          <t>Cylinders and liners</t>
        </is>
      </c>
      <c r="F33" s="15" t="inlineStr">
        <is>
          <t>Positive displacement pump</t>
        </is>
      </c>
      <c r="G33" s="15" t="inlineStr">
        <is>
          <t>PDE – Parameter deviation</t>
        </is>
      </c>
      <c r="I33" s="15" t="inlineStr">
        <is>
          <t>4.5 Earth / insulation fault</t>
        </is>
      </c>
    </row>
    <row r="34">
      <c r="C34" s="15" t="inlineStr">
        <is>
          <t>Reciprocating compressor</t>
        </is>
      </c>
      <c r="D34" s="15" t="inlineStr">
        <is>
          <t>Pistons and rings</t>
        </is>
      </c>
      <c r="F34" s="15" t="inlineStr">
        <is>
          <t>Positive displacement pump</t>
        </is>
      </c>
      <c r="G34" s="15" t="inlineStr">
        <is>
          <t>STD – Structural deficiency</t>
        </is>
      </c>
      <c r="I34" s="15" t="inlineStr">
        <is>
          <t>5.0 External influence – general</t>
        </is>
      </c>
    </row>
    <row r="35">
      <c r="C35" s="15" t="inlineStr">
        <is>
          <t>Reciprocating compressor</t>
        </is>
      </c>
      <c r="D35" s="15" t="inlineStr">
        <is>
          <t>Valves</t>
        </is>
      </c>
      <c r="F35" s="15" t="inlineStr">
        <is>
          <t>Positive displacement pump</t>
        </is>
      </c>
      <c r="G35" s="15" t="inlineStr">
        <is>
          <t>PLU – Plugged / choked</t>
        </is>
      </c>
      <c r="I35" s="15" t="inlineStr">
        <is>
          <t>5.1 Blockage / plugged</t>
        </is>
      </c>
    </row>
    <row r="36">
      <c r="C36" s="15" t="inlineStr">
        <is>
          <t>Reciprocating compressor</t>
        </is>
      </c>
      <c r="D36" s="15" t="inlineStr">
        <is>
          <t>Rod packing</t>
        </is>
      </c>
      <c r="F36" s="15" t="inlineStr">
        <is>
          <t>Positive displacement pump</t>
        </is>
      </c>
      <c r="G36" s="15" t="inlineStr">
        <is>
          <t>OTH – Other</t>
        </is>
      </c>
      <c r="I36" s="15" t="inlineStr">
        <is>
          <t>5.2 Contamination (process / lube oil / water)</t>
        </is>
      </c>
    </row>
    <row r="37">
      <c r="C37" s="15" t="inlineStr">
        <is>
          <t>Reciprocating compressor</t>
        </is>
      </c>
      <c r="D37" s="15" t="inlineStr">
        <is>
          <t>Crankshaft and bearings</t>
        </is>
      </c>
      <c r="F37" s="15" t="inlineStr">
        <is>
          <t>Centrifugal compressor</t>
        </is>
      </c>
      <c r="G37" s="15" t="inlineStr">
        <is>
          <t>FTS – Fail to start on demand</t>
        </is>
      </c>
      <c r="I37" s="15" t="inlineStr">
        <is>
          <t>5.3 Dust ingress</t>
        </is>
      </c>
    </row>
    <row r="38">
      <c r="C38" s="15" t="inlineStr">
        <is>
          <t>Reciprocating compressor</t>
        </is>
      </c>
      <c r="D38" s="15" t="inlineStr">
        <is>
          <t>Crosshead</t>
        </is>
      </c>
      <c r="F38" s="15" t="inlineStr">
        <is>
          <t>Centrifugal compressor</t>
        </is>
      </c>
      <c r="G38" s="15" t="inlineStr">
        <is>
          <t>STP – Fail to stop on demand</t>
        </is>
      </c>
      <c r="I38" s="15" t="inlineStr">
        <is>
          <t>5.4 Moisture / water ingress</t>
        </is>
      </c>
    </row>
    <row r="39">
      <c r="C39" s="15" t="inlineStr">
        <is>
          <t>Reciprocating compressor</t>
        </is>
      </c>
      <c r="D39" s="15" t="inlineStr">
        <is>
          <t>Lube system</t>
        </is>
      </c>
      <c r="F39" s="15" t="inlineStr">
        <is>
          <t>Centrifugal compressor</t>
        </is>
      </c>
      <c r="G39" s="15" t="inlineStr">
        <is>
          <t>UST – Spurious stop</t>
        </is>
      </c>
      <c r="I39" s="15" t="inlineStr">
        <is>
          <t>5.5 Heat / radiant heat / molten metal splash</t>
        </is>
      </c>
    </row>
    <row r="40">
      <c r="C40" s="15" t="inlineStr">
        <is>
          <t>Reciprocating compressor</t>
        </is>
      </c>
      <c r="D40" s="15" t="inlineStr">
        <is>
          <t>Pulsation dampers</t>
        </is>
      </c>
      <c r="F40" s="15" t="inlineStr">
        <is>
          <t>Centrifugal compressor</t>
        </is>
      </c>
      <c r="G40" s="15" t="inlineStr">
        <is>
          <t>BRD – Breakdown</t>
        </is>
      </c>
      <c r="I40" s="15" t="inlineStr">
        <is>
          <t>5.6 Mechanical impact / collision</t>
        </is>
      </c>
    </row>
    <row r="41">
      <c r="C41" s="15" t="inlineStr">
        <is>
          <t>Reciprocating compressor</t>
        </is>
      </c>
      <c r="D41" s="15" t="inlineStr">
        <is>
          <t>Cooling system</t>
        </is>
      </c>
      <c r="F41" s="15" t="inlineStr">
        <is>
          <t>Centrifugal compressor</t>
        </is>
      </c>
      <c r="G41" s="15" t="inlineStr">
        <is>
          <t>LOO – Low output</t>
        </is>
      </c>
      <c r="I41" s="15" t="inlineStr">
        <is>
          <t>6.0 Miscellaneous – general</t>
        </is>
      </c>
    </row>
    <row r="42">
      <c r="C42" s="15" t="inlineStr">
        <is>
          <t>Reciprocating compressor</t>
        </is>
      </c>
      <c r="D42" s="15" t="inlineStr">
        <is>
          <t>Frame / foundation</t>
        </is>
      </c>
      <c r="F42" s="15" t="inlineStr">
        <is>
          <t>Centrifugal compressor</t>
        </is>
      </c>
      <c r="G42" s="15" t="inlineStr">
        <is>
          <t>HIO – High output</t>
        </is>
      </c>
      <c r="I42" s="15" t="inlineStr">
        <is>
          <t>6.1 No cause found</t>
        </is>
      </c>
    </row>
    <row r="43">
      <c r="C43" s="15" t="inlineStr">
        <is>
          <t>Fan / blower (incl. ID fan)</t>
        </is>
      </c>
      <c r="D43" s="15" t="inlineStr">
        <is>
          <t>Impeller / rotor</t>
        </is>
      </c>
      <c r="F43" s="15" t="inlineStr">
        <is>
          <t>Centrifugal compressor</t>
        </is>
      </c>
      <c r="G43" s="15" t="inlineStr">
        <is>
          <t>ERO – Erratic output / surge</t>
        </is>
      </c>
      <c r="I43" s="15" t="inlineStr">
        <is>
          <t>6.2 Combined causes</t>
        </is>
      </c>
    </row>
    <row r="44">
      <c r="C44" s="15" t="inlineStr">
        <is>
          <t>Fan / blower (incl. ID fan)</t>
        </is>
      </c>
      <c r="D44" s="15" t="inlineStr">
        <is>
          <t>Housing</t>
        </is>
      </c>
      <c r="F44" s="15" t="inlineStr">
        <is>
          <t>Centrifugal compressor</t>
        </is>
      </c>
      <c r="G44" s="15" t="inlineStr">
        <is>
          <t>ELP – External leakage – process medium</t>
        </is>
      </c>
      <c r="I44" s="15" t="inlineStr">
        <is>
          <t>6.3 Other</t>
        </is>
      </c>
    </row>
    <row r="45">
      <c r="C45" s="15" t="inlineStr">
        <is>
          <t>Fan / blower (incl. ID fan)</t>
        </is>
      </c>
      <c r="D45" s="15" t="inlineStr">
        <is>
          <t>Shaft</t>
        </is>
      </c>
      <c r="F45" s="15" t="inlineStr">
        <is>
          <t>Centrifugal compressor</t>
        </is>
      </c>
      <c r="G45" s="15" t="inlineStr">
        <is>
          <t>ELU – External leakage – utility medium</t>
        </is>
      </c>
      <c r="I45" s="15" t="inlineStr">
        <is>
          <t>6.4 Unknown</t>
        </is>
      </c>
    </row>
    <row r="46">
      <c r="C46" s="15" t="inlineStr">
        <is>
          <t>Fan / blower (incl. ID fan)</t>
        </is>
      </c>
      <c r="D46" s="15" t="inlineStr">
        <is>
          <t>Bearings</t>
        </is>
      </c>
      <c r="F46" s="15" t="inlineStr">
        <is>
          <t>Centrifugal compressor</t>
        </is>
      </c>
      <c r="G46" s="15" t="inlineStr">
        <is>
          <t>INL – Internal leakage</t>
        </is>
      </c>
      <c r="I46" s="15" t="inlineStr">
        <is>
          <t>Bearing failure (lubrication / contamination / fatigue)</t>
        </is>
      </c>
    </row>
    <row r="47">
      <c r="C47" s="15" t="inlineStr">
        <is>
          <t>Fan / blower (incl. ID fan)</t>
        </is>
      </c>
      <c r="D47" s="15" t="inlineStr">
        <is>
          <t>Coupling / belt drive</t>
        </is>
      </c>
      <c r="F47" s="15" t="inlineStr">
        <is>
          <t>Centrifugal compressor</t>
        </is>
      </c>
      <c r="G47" s="15" t="inlineStr">
        <is>
          <t>VIB – Vibration</t>
        </is>
      </c>
      <c r="I47" s="15" t="inlineStr">
        <is>
          <t>Seal failure (dry running / wear / misalignment)</t>
        </is>
      </c>
    </row>
    <row r="48">
      <c r="C48" s="15" t="inlineStr">
        <is>
          <t>Fan / blower (incl. ID fan)</t>
        </is>
      </c>
      <c r="D48" s="15" t="inlineStr">
        <is>
          <t>Dampers / inlet vanes</t>
        </is>
      </c>
      <c r="F48" s="15" t="inlineStr">
        <is>
          <t>Centrifugal compressor</t>
        </is>
      </c>
      <c r="G48" s="15" t="inlineStr">
        <is>
          <t>NOI – Noise</t>
        </is>
      </c>
      <c r="I48" s="15" t="inlineStr">
        <is>
          <t>Misalignment</t>
        </is>
      </c>
    </row>
    <row r="49">
      <c r="C49" s="15" t="inlineStr">
        <is>
          <t>Fan / blower (incl. ID fan)</t>
        </is>
      </c>
      <c r="D49" s="15" t="inlineStr">
        <is>
          <t>Foundation</t>
        </is>
      </c>
      <c r="F49" s="15" t="inlineStr">
        <is>
          <t>Centrifugal compressor</t>
        </is>
      </c>
      <c r="G49" s="15" t="inlineStr">
        <is>
          <t>OHE – Overheating</t>
        </is>
      </c>
      <c r="I49" s="15" t="inlineStr">
        <is>
          <t>Unbalance</t>
        </is>
      </c>
    </row>
    <row r="50">
      <c r="C50" s="15" t="inlineStr">
        <is>
          <t>Fan / blower (incl. ID fan)</t>
        </is>
      </c>
      <c r="D50" s="15" t="inlineStr">
        <is>
          <t>Lubrication</t>
        </is>
      </c>
      <c r="F50" s="15" t="inlineStr">
        <is>
          <t>Centrifugal compressor</t>
        </is>
      </c>
      <c r="G50" s="15" t="inlineStr">
        <is>
          <t>PDE – Parameter deviation</t>
        </is>
      </c>
      <c r="I50" s="15" t="inlineStr">
        <is>
          <t>Lubrication failure (loss / wrong / degraded lubricant)</t>
        </is>
      </c>
    </row>
    <row r="51">
      <c r="C51" s="15" t="inlineStr">
        <is>
          <t>Electric motor</t>
        </is>
      </c>
      <c r="D51" s="15" t="inlineStr">
        <is>
          <t>Stator winding</t>
        </is>
      </c>
      <c r="F51" s="15" t="inlineStr">
        <is>
          <t>Centrifugal compressor</t>
        </is>
      </c>
      <c r="G51" s="15" t="inlineStr">
        <is>
          <t>OTH – Other</t>
        </is>
      </c>
      <c r="I51" s="15" t="inlineStr">
        <is>
          <t>Overload / operation outside design envelope</t>
        </is>
      </c>
    </row>
    <row r="52">
      <c r="C52" s="15" t="inlineStr">
        <is>
          <t>Electric motor</t>
        </is>
      </c>
      <c r="D52" s="15" t="inlineStr">
        <is>
          <t>Rotor</t>
        </is>
      </c>
      <c r="F52" s="15" t="inlineStr">
        <is>
          <t>Reciprocating compressor</t>
        </is>
      </c>
      <c r="G52" s="15" t="inlineStr">
        <is>
          <t>FTS – Fail to start on demand</t>
        </is>
      </c>
      <c r="I52" s="15" t="inlineStr">
        <is>
          <t>Thermal cycling</t>
        </is>
      </c>
    </row>
    <row r="53">
      <c r="C53" s="15" t="inlineStr">
        <is>
          <t>Electric motor</t>
        </is>
      </c>
      <c r="D53" s="15" t="inlineStr">
        <is>
          <t>Bearings</t>
        </is>
      </c>
      <c r="F53" s="15" t="inlineStr">
        <is>
          <t>Reciprocating compressor</t>
        </is>
      </c>
      <c r="G53" s="15" t="inlineStr">
        <is>
          <t>STP – Fail to stop on demand</t>
        </is>
      </c>
      <c r="I53" s="15" t="inlineStr">
        <is>
          <t>Scale / fouling of cooling passages</t>
        </is>
      </c>
    </row>
    <row r="54">
      <c r="C54" s="15" t="inlineStr">
        <is>
          <t>Electric motor</t>
        </is>
      </c>
      <c r="D54" s="15" t="inlineStr">
        <is>
          <t>Cooling fan</t>
        </is>
      </c>
      <c r="F54" s="15" t="inlineStr">
        <is>
          <t>Reciprocating compressor</t>
        </is>
      </c>
      <c r="G54" s="15" t="inlineStr">
        <is>
          <t>UST – Spurious stop</t>
        </is>
      </c>
      <c r="I54" s="15" t="inlineStr">
        <is>
          <t>Slag attack / chemical attack on refractory</t>
        </is>
      </c>
    </row>
    <row r="55">
      <c r="C55" s="15" t="inlineStr">
        <is>
          <t>Electric motor</t>
        </is>
      </c>
      <c r="D55" s="15" t="inlineStr">
        <is>
          <t>Terminal box / cables</t>
        </is>
      </c>
      <c r="F55" s="15" t="inlineStr">
        <is>
          <t>Reciprocating compressor</t>
        </is>
      </c>
      <c r="G55" s="15" t="inlineStr">
        <is>
          <t>BRD – Breakdown</t>
        </is>
      </c>
      <c r="I55" s="15" t="inlineStr">
        <is>
          <t>Abrasive wear (ore, sinter, DRI, slag)</t>
        </is>
      </c>
    </row>
    <row r="56">
      <c r="C56" s="15" t="inlineStr">
        <is>
          <t>Electric motor</t>
        </is>
      </c>
      <c r="D56" s="15" t="inlineStr">
        <is>
          <t>Enclosure (Ex protection)</t>
        </is>
      </c>
      <c r="F56" s="15" t="inlineStr">
        <is>
          <t>Reciprocating compressor</t>
        </is>
      </c>
      <c r="G56" s="15" t="inlineStr">
        <is>
          <t>LOO – Low output</t>
        </is>
      </c>
      <c r="I56" s="15" t="inlineStr">
        <is>
          <t>Incorrect operation / operator error</t>
        </is>
      </c>
    </row>
    <row r="57">
      <c r="C57" s="15" t="inlineStr">
        <is>
          <t>Electric motor</t>
        </is>
      </c>
      <c r="D57" s="15" t="inlineStr">
        <is>
          <t>Anti-condensation heater</t>
        </is>
      </c>
      <c r="F57" s="15" t="inlineStr">
        <is>
          <t>Reciprocating compressor</t>
        </is>
      </c>
      <c r="G57" s="15" t="inlineStr">
        <is>
          <t>HIO – High output</t>
        </is>
      </c>
      <c r="I57" s="15" t="inlineStr">
        <is>
          <t>Incorrect maintenance / reassembly</t>
        </is>
      </c>
    </row>
    <row r="58">
      <c r="C58" s="15" t="inlineStr">
        <is>
          <t>Electric motor</t>
        </is>
      </c>
      <c r="D58" s="15" t="inlineStr">
        <is>
          <t>Motor protection relay</t>
        </is>
      </c>
      <c r="F58" s="15" t="inlineStr">
        <is>
          <t>Reciprocating compressor</t>
        </is>
      </c>
      <c r="G58" s="15" t="inlineStr">
        <is>
          <t>ERO – Erratic output / surge</t>
        </is>
      </c>
      <c r="I58" s="15" t="inlineStr">
        <is>
          <t>Design deficiency</t>
        </is>
      </c>
    </row>
    <row r="59">
      <c r="C59" s="15" t="inlineStr">
        <is>
          <t>Gearbox</t>
        </is>
      </c>
      <c r="D59" s="15" t="inlineStr">
        <is>
          <t>Gears</t>
        </is>
      </c>
      <c r="F59" s="15" t="inlineStr">
        <is>
          <t>Reciprocating compressor</t>
        </is>
      </c>
      <c r="G59" s="15" t="inlineStr">
        <is>
          <t>ELP – External leakage – process medium</t>
        </is>
      </c>
      <c r="I59" s="15" t="inlineStr">
        <is>
          <t>Material / fabrication defect</t>
        </is>
      </c>
    </row>
    <row r="60">
      <c r="C60" s="15" t="inlineStr">
        <is>
          <t>Gearbox</t>
        </is>
      </c>
      <c r="D60" s="15" t="inlineStr">
        <is>
          <t>Shafts</t>
        </is>
      </c>
      <c r="F60" s="15" t="inlineStr">
        <is>
          <t>Reciprocating compressor</t>
        </is>
      </c>
      <c r="G60" s="15" t="inlineStr">
        <is>
          <t>ELU – External leakage – utility medium</t>
        </is>
      </c>
      <c r="I60" s="15" t="inlineStr">
        <is>
          <t>Installation error</t>
        </is>
      </c>
    </row>
    <row r="61">
      <c r="C61" s="15" t="inlineStr">
        <is>
          <t>Gearbox</t>
        </is>
      </c>
      <c r="D61" s="15" t="inlineStr">
        <is>
          <t>Bearings</t>
        </is>
      </c>
      <c r="F61" s="15" t="inlineStr">
        <is>
          <t>Reciprocating compressor</t>
        </is>
      </c>
      <c r="G61" s="15" t="inlineStr">
        <is>
          <t>INL – Internal leakage</t>
        </is>
      </c>
      <c r="I61" s="15" t="inlineStr">
        <is>
          <t>Ageing / end of life</t>
        </is>
      </c>
    </row>
    <row r="62">
      <c r="C62" s="15" t="inlineStr">
        <is>
          <t>Gearbox</t>
        </is>
      </c>
      <c r="D62" s="15" t="inlineStr">
        <is>
          <t>Seals</t>
        </is>
      </c>
      <c r="F62" s="15" t="inlineStr">
        <is>
          <t>Reciprocating compressor</t>
        </is>
      </c>
      <c r="G62" s="15" t="inlineStr">
        <is>
          <t>VIB – Vibration</t>
        </is>
      </c>
      <c r="I62" s="15" t="inlineStr">
        <is>
          <t>Inadequate inspection / maintenance interval</t>
        </is>
      </c>
    </row>
    <row r="63">
      <c r="C63" s="15" t="inlineStr">
        <is>
          <t>Gearbox</t>
        </is>
      </c>
      <c r="D63" s="15" t="inlineStr">
        <is>
          <t>Lubrication system</t>
        </is>
      </c>
      <c r="F63" s="15" t="inlineStr">
        <is>
          <t>Reciprocating compressor</t>
        </is>
      </c>
      <c r="G63" s="15" t="inlineStr">
        <is>
          <t>NOI – Noise</t>
        </is>
      </c>
    </row>
    <row r="64">
      <c r="C64" s="15" t="inlineStr">
        <is>
          <t>Gearbox</t>
        </is>
      </c>
      <c r="D64" s="15" t="inlineStr">
        <is>
          <t>Casing</t>
        </is>
      </c>
      <c r="F64" s="15" t="inlineStr">
        <is>
          <t>Reciprocating compressor</t>
        </is>
      </c>
      <c r="G64" s="15" t="inlineStr">
        <is>
          <t>OHE – Overheating</t>
        </is>
      </c>
    </row>
    <row r="65">
      <c r="C65" s="15" t="inlineStr">
        <is>
          <t>Gearbox</t>
        </is>
      </c>
      <c r="D65" s="15" t="inlineStr">
        <is>
          <t>Couplings</t>
        </is>
      </c>
      <c r="F65" s="15" t="inlineStr">
        <is>
          <t>Reciprocating compressor</t>
        </is>
      </c>
      <c r="G65" s="15" t="inlineStr">
        <is>
          <t>PDE – Parameter deviation</t>
        </is>
      </c>
    </row>
    <row r="66">
      <c r="C66" s="15" t="inlineStr">
        <is>
          <t>Belt conveyor</t>
        </is>
      </c>
      <c r="D66" s="15" t="inlineStr">
        <is>
          <t>Belt</t>
        </is>
      </c>
      <c r="F66" s="15" t="inlineStr">
        <is>
          <t>Reciprocating compressor</t>
        </is>
      </c>
      <c r="G66" s="15" t="inlineStr">
        <is>
          <t>OTH – Other</t>
        </is>
      </c>
    </row>
    <row r="67">
      <c r="C67" s="15" t="inlineStr">
        <is>
          <t>Belt conveyor</t>
        </is>
      </c>
      <c r="D67" s="15" t="inlineStr">
        <is>
          <t>Belt splice</t>
        </is>
      </c>
      <c r="F67" s="15" t="inlineStr">
        <is>
          <t>Fan / blower (incl. ID fan)</t>
        </is>
      </c>
      <c r="G67" s="15" t="inlineStr">
        <is>
          <t>FTS – Fail to start on demand</t>
        </is>
      </c>
    </row>
    <row r="68">
      <c r="C68" s="15" t="inlineStr">
        <is>
          <t>Belt conveyor</t>
        </is>
      </c>
      <c r="D68" s="15" t="inlineStr">
        <is>
          <t>Drive pulley</t>
        </is>
      </c>
      <c r="F68" s="15" t="inlineStr">
        <is>
          <t>Fan / blower (incl. ID fan)</t>
        </is>
      </c>
      <c r="G68" s="15" t="inlineStr">
        <is>
          <t>STP – Fail to stop on demand</t>
        </is>
      </c>
    </row>
    <row r="69">
      <c r="C69" s="15" t="inlineStr">
        <is>
          <t>Belt conveyor</t>
        </is>
      </c>
      <c r="D69" s="15" t="inlineStr">
        <is>
          <t>Tail pulley</t>
        </is>
      </c>
      <c r="F69" s="15" t="inlineStr">
        <is>
          <t>Fan / blower (incl. ID fan)</t>
        </is>
      </c>
      <c r="G69" s="15" t="inlineStr">
        <is>
          <t>UST – Spurious stop</t>
        </is>
      </c>
    </row>
    <row r="70">
      <c r="C70" s="15" t="inlineStr">
        <is>
          <t>Belt conveyor</t>
        </is>
      </c>
      <c r="D70" s="15" t="inlineStr">
        <is>
          <t>Idlers</t>
        </is>
      </c>
      <c r="F70" s="15" t="inlineStr">
        <is>
          <t>Fan / blower (incl. ID fan)</t>
        </is>
      </c>
      <c r="G70" s="15" t="inlineStr">
        <is>
          <t>BRD – Breakdown</t>
        </is>
      </c>
    </row>
    <row r="71">
      <c r="C71" s="15" t="inlineStr">
        <is>
          <t>Belt conveyor</t>
        </is>
      </c>
      <c r="D71" s="15" t="inlineStr">
        <is>
          <t>Drive (motor / gearbox)</t>
        </is>
      </c>
      <c r="F71" s="15" t="inlineStr">
        <is>
          <t>Fan / blower (incl. ID fan)</t>
        </is>
      </c>
      <c r="G71" s="15" t="inlineStr">
        <is>
          <t>LOO – Low output</t>
        </is>
      </c>
    </row>
    <row r="72">
      <c r="C72" s="15" t="inlineStr">
        <is>
          <t>Belt conveyor</t>
        </is>
      </c>
      <c r="D72" s="15" t="inlineStr">
        <is>
          <t>Take-up</t>
        </is>
      </c>
      <c r="F72" s="15" t="inlineStr">
        <is>
          <t>Fan / blower (incl. ID fan)</t>
        </is>
      </c>
      <c r="G72" s="15" t="inlineStr">
        <is>
          <t>VIB – Vibration</t>
        </is>
      </c>
    </row>
    <row r="73">
      <c r="C73" s="15" t="inlineStr">
        <is>
          <t>Belt conveyor</t>
        </is>
      </c>
      <c r="D73" s="15" t="inlineStr">
        <is>
          <t>Belt scrapers</t>
        </is>
      </c>
      <c r="F73" s="15" t="inlineStr">
        <is>
          <t>Fan / blower (incl. ID fan)</t>
        </is>
      </c>
      <c r="G73" s="15" t="inlineStr">
        <is>
          <t>NOI – Noise</t>
        </is>
      </c>
    </row>
    <row r="74">
      <c r="C74" s="15" t="inlineStr">
        <is>
          <t>Belt conveyor</t>
        </is>
      </c>
      <c r="D74" s="15" t="inlineStr">
        <is>
          <t>Chutes</t>
        </is>
      </c>
      <c r="F74" s="15" t="inlineStr">
        <is>
          <t>Fan / blower (incl. ID fan)</t>
        </is>
      </c>
      <c r="G74" s="15" t="inlineStr">
        <is>
          <t>OHE – Overheating</t>
        </is>
      </c>
    </row>
    <row r="75">
      <c r="C75" s="15" t="inlineStr">
        <is>
          <t>Belt conveyor</t>
        </is>
      </c>
      <c r="D75" s="15" t="inlineStr">
        <is>
          <t>Pull-wire / belt-sway switches</t>
        </is>
      </c>
      <c r="F75" s="15" t="inlineStr">
        <is>
          <t>Fan / blower (incl. ID fan)</t>
        </is>
      </c>
      <c r="G75" s="15" t="inlineStr">
        <is>
          <t>STD – Structural deficiency</t>
        </is>
      </c>
    </row>
    <row r="76">
      <c r="C76" s="15" t="inlineStr">
        <is>
          <t>Belt conveyor</t>
        </is>
      </c>
      <c r="D76" s="15" t="inlineStr">
        <is>
          <t>Fire detection</t>
        </is>
      </c>
      <c r="F76" s="15" t="inlineStr">
        <is>
          <t>Fan / blower (incl. ID fan)</t>
        </is>
      </c>
      <c r="G76" s="15" t="inlineStr">
        <is>
          <t>PLU – Plugged / dust build-up</t>
        </is>
      </c>
    </row>
    <row r="77">
      <c r="C77" s="15" t="inlineStr">
        <is>
          <t>Pressure vessel / separator / column</t>
        </is>
      </c>
      <c r="D77" s="15" t="inlineStr">
        <is>
          <t>Shell</t>
        </is>
      </c>
      <c r="F77" s="15" t="inlineStr">
        <is>
          <t>Fan / blower (incl. ID fan)</t>
        </is>
      </c>
      <c r="G77" s="15" t="inlineStr">
        <is>
          <t>OTH – Other</t>
        </is>
      </c>
    </row>
    <row r="78">
      <c r="C78" s="15" t="inlineStr">
        <is>
          <t>Pressure vessel / separator / column</t>
        </is>
      </c>
      <c r="D78" s="15" t="inlineStr">
        <is>
          <t>Heads</t>
        </is>
      </c>
      <c r="F78" s="15" t="inlineStr">
        <is>
          <t>Electric motor</t>
        </is>
      </c>
      <c r="G78" s="15" t="inlineStr">
        <is>
          <t>FTS – Fail to start on demand</t>
        </is>
      </c>
    </row>
    <row r="79">
      <c r="C79" s="15" t="inlineStr">
        <is>
          <t>Pressure vessel / separator / column</t>
        </is>
      </c>
      <c r="D79" s="15" t="inlineStr">
        <is>
          <t>Nozzles</t>
        </is>
      </c>
      <c r="F79" s="15" t="inlineStr">
        <is>
          <t>Electric motor</t>
        </is>
      </c>
      <c r="G79" s="15" t="inlineStr">
        <is>
          <t>STP – Fail to stop on demand</t>
        </is>
      </c>
    </row>
    <row r="80">
      <c r="C80" s="15" t="inlineStr">
        <is>
          <t>Pressure vessel / separator / column</t>
        </is>
      </c>
      <c r="D80" s="15" t="inlineStr">
        <is>
          <t>Internals</t>
        </is>
      </c>
      <c r="F80" s="15" t="inlineStr">
        <is>
          <t>Electric motor</t>
        </is>
      </c>
      <c r="G80" s="15" t="inlineStr">
        <is>
          <t>UST – Spurious stop</t>
        </is>
      </c>
    </row>
    <row r="81">
      <c r="C81" s="15" t="inlineStr">
        <is>
          <t>Pressure vessel / separator / column</t>
        </is>
      </c>
      <c r="D81" s="15" t="inlineStr">
        <is>
          <t>Supports / skirt</t>
        </is>
      </c>
      <c r="F81" s="15" t="inlineStr">
        <is>
          <t>Electric motor</t>
        </is>
      </c>
      <c r="G81" s="15" t="inlineStr">
        <is>
          <t>BRD – Breakdown</t>
        </is>
      </c>
    </row>
    <row r="82">
      <c r="C82" s="15" t="inlineStr">
        <is>
          <t>Pressure vessel / separator / column</t>
        </is>
      </c>
      <c r="D82" s="15" t="inlineStr">
        <is>
          <t>Insulation</t>
        </is>
      </c>
      <c r="F82" s="15" t="inlineStr">
        <is>
          <t>Electric motor</t>
        </is>
      </c>
      <c r="G82" s="15" t="inlineStr">
        <is>
          <t>OHE – Overheating</t>
        </is>
      </c>
    </row>
    <row r="83">
      <c r="C83" s="15" t="inlineStr">
        <is>
          <t>Pressure vessel / separator / column</t>
        </is>
      </c>
      <c r="D83" s="15" t="inlineStr">
        <is>
          <t>Level instruments</t>
        </is>
      </c>
      <c r="F83" s="15" t="inlineStr">
        <is>
          <t>Electric motor</t>
        </is>
      </c>
      <c r="G83" s="15" t="inlineStr">
        <is>
          <t>VIB – Vibration</t>
        </is>
      </c>
    </row>
    <row r="84">
      <c r="C84" s="15" t="inlineStr">
        <is>
          <t>Pressure vessel / separator / column</t>
        </is>
      </c>
      <c r="D84" s="15" t="inlineStr">
        <is>
          <t>Relief device</t>
        </is>
      </c>
      <c r="F84" s="15" t="inlineStr">
        <is>
          <t>Electric motor</t>
        </is>
      </c>
      <c r="G84" s="15" t="inlineStr">
        <is>
          <t>NOI – Noise</t>
        </is>
      </c>
    </row>
    <row r="85">
      <c r="C85" s="15" t="inlineStr">
        <is>
          <t>Pressure vessel / separator / column</t>
        </is>
      </c>
      <c r="D85" s="15" t="inlineStr">
        <is>
          <t>Manway</t>
        </is>
      </c>
      <c r="F85" s="15" t="inlineStr">
        <is>
          <t>Electric motor</t>
        </is>
      </c>
      <c r="G85" s="15" t="inlineStr">
        <is>
          <t>PDE – Parameter deviation (high current)</t>
        </is>
      </c>
    </row>
    <row r="86">
      <c r="C86" s="15" t="inlineStr">
        <is>
          <t>Shell &amp; tube heat exchanger</t>
        </is>
      </c>
      <c r="D86" s="15" t="inlineStr">
        <is>
          <t>Tubes</t>
        </is>
      </c>
      <c r="F86" s="15" t="inlineStr">
        <is>
          <t>Electric motor</t>
        </is>
      </c>
      <c r="G86" s="15" t="inlineStr">
        <is>
          <t>SER – Minor in-service problem</t>
        </is>
      </c>
    </row>
    <row r="87">
      <c r="C87" s="15" t="inlineStr">
        <is>
          <t>Shell &amp; tube heat exchanger</t>
        </is>
      </c>
      <c r="D87" s="15" t="inlineStr">
        <is>
          <t>Tube sheet</t>
        </is>
      </c>
      <c r="F87" s="15" t="inlineStr">
        <is>
          <t>Electric motor</t>
        </is>
      </c>
      <c r="G87" s="15" t="inlineStr">
        <is>
          <t>OTH – Other</t>
        </is>
      </c>
    </row>
    <row r="88">
      <c r="C88" s="15" t="inlineStr">
        <is>
          <t>Shell &amp; tube heat exchanger</t>
        </is>
      </c>
      <c r="D88" s="15" t="inlineStr">
        <is>
          <t>Shell</t>
        </is>
      </c>
      <c r="F88" s="15" t="inlineStr">
        <is>
          <t>Gearbox</t>
        </is>
      </c>
      <c r="G88" s="15" t="inlineStr">
        <is>
          <t>BRD – Breakdown</t>
        </is>
      </c>
    </row>
    <row r="89">
      <c r="C89" s="15" t="inlineStr">
        <is>
          <t>Shell &amp; tube heat exchanger</t>
        </is>
      </c>
      <c r="D89" s="15" t="inlineStr">
        <is>
          <t>Channel / heads</t>
        </is>
      </c>
      <c r="F89" s="15" t="inlineStr">
        <is>
          <t>Gearbox</t>
        </is>
      </c>
      <c r="G89" s="15" t="inlineStr">
        <is>
          <t>VIB – Vibration</t>
        </is>
      </c>
    </row>
    <row r="90">
      <c r="C90" s="15" t="inlineStr">
        <is>
          <t>Shell &amp; tube heat exchanger</t>
        </is>
      </c>
      <c r="D90" s="15" t="inlineStr">
        <is>
          <t>Gaskets</t>
        </is>
      </c>
      <c r="F90" s="15" t="inlineStr">
        <is>
          <t>Gearbox</t>
        </is>
      </c>
      <c r="G90" s="15" t="inlineStr">
        <is>
          <t>NOI – Noise</t>
        </is>
      </c>
    </row>
    <row r="91">
      <c r="C91" s="15" t="inlineStr">
        <is>
          <t>Shell &amp; tube heat exchanger</t>
        </is>
      </c>
      <c r="D91" s="15" t="inlineStr">
        <is>
          <t>Baffles</t>
        </is>
      </c>
      <c r="F91" s="15" t="inlineStr">
        <is>
          <t>Gearbox</t>
        </is>
      </c>
      <c r="G91" s="15" t="inlineStr">
        <is>
          <t>OHE – Overheating</t>
        </is>
      </c>
    </row>
    <row r="92">
      <c r="C92" s="15" t="inlineStr">
        <is>
          <t>Shell &amp; tube heat exchanger</t>
        </is>
      </c>
      <c r="D92" s="15" t="inlineStr">
        <is>
          <t>Supports</t>
        </is>
      </c>
      <c r="F92" s="15" t="inlineStr">
        <is>
          <t>Gearbox</t>
        </is>
      </c>
      <c r="G92" s="15" t="inlineStr">
        <is>
          <t>ELU – External leakage – lube oil</t>
        </is>
      </c>
    </row>
    <row r="93">
      <c r="C93" s="15" t="inlineStr">
        <is>
          <t>Atmospheric storage tank</t>
        </is>
      </c>
      <c r="D93" s="15" t="inlineStr">
        <is>
          <t>Shell</t>
        </is>
      </c>
      <c r="F93" s="15" t="inlineStr">
        <is>
          <t>Gearbox</t>
        </is>
      </c>
      <c r="G93" s="15" t="inlineStr">
        <is>
          <t>PDE – Parameter deviation</t>
        </is>
      </c>
    </row>
    <row r="94">
      <c r="C94" s="15" t="inlineStr">
        <is>
          <t>Atmospheric storage tank</t>
        </is>
      </c>
      <c r="D94" s="15" t="inlineStr">
        <is>
          <t>Bottom</t>
        </is>
      </c>
      <c r="F94" s="15" t="inlineStr">
        <is>
          <t>Gearbox</t>
        </is>
      </c>
      <c r="G94" s="15" t="inlineStr">
        <is>
          <t>STD – Structural deficiency</t>
        </is>
      </c>
    </row>
    <row r="95">
      <c r="C95" s="15" t="inlineStr">
        <is>
          <t>Atmospheric storage tank</t>
        </is>
      </c>
      <c r="D95" s="15" t="inlineStr">
        <is>
          <t>Roof</t>
        </is>
      </c>
      <c r="F95" s="15" t="inlineStr">
        <is>
          <t>Gearbox</t>
        </is>
      </c>
      <c r="G95" s="15" t="inlineStr">
        <is>
          <t>OTH – Other</t>
        </is>
      </c>
    </row>
    <row r="96">
      <c r="C96" s="15" t="inlineStr">
        <is>
          <t>Atmospheric storage tank</t>
        </is>
      </c>
      <c r="D96" s="15" t="inlineStr">
        <is>
          <t>Vents / PV valves</t>
        </is>
      </c>
      <c r="F96" s="15" t="inlineStr">
        <is>
          <t>Belt conveyor</t>
        </is>
      </c>
      <c r="G96" s="15" t="inlineStr">
        <is>
          <t>FTS – Fail to start on demand</t>
        </is>
      </c>
    </row>
    <row r="97">
      <c r="C97" s="15" t="inlineStr">
        <is>
          <t>Atmospheric storage tank</t>
        </is>
      </c>
      <c r="D97" s="15" t="inlineStr">
        <is>
          <t>Level gauges and alarms</t>
        </is>
      </c>
      <c r="F97" s="15" t="inlineStr">
        <is>
          <t>Belt conveyor</t>
        </is>
      </c>
      <c r="G97" s="15" t="inlineStr">
        <is>
          <t>UST – Spurious stop</t>
        </is>
      </c>
    </row>
    <row r="98">
      <c r="C98" s="15" t="inlineStr">
        <is>
          <t>Atmospheric storage tank</t>
        </is>
      </c>
      <c r="D98" s="15" t="inlineStr">
        <is>
          <t>Bund</t>
        </is>
      </c>
      <c r="F98" s="15" t="inlineStr">
        <is>
          <t>Belt conveyor</t>
        </is>
      </c>
      <c r="G98" s="15" t="inlineStr">
        <is>
          <t>BRD – Breakdown</t>
        </is>
      </c>
    </row>
    <row r="99">
      <c r="C99" s="15" t="inlineStr">
        <is>
          <t>Atmospheric storage tank</t>
        </is>
      </c>
      <c r="D99" s="15" t="inlineStr">
        <is>
          <t>Nozzles</t>
        </is>
      </c>
      <c r="F99" s="15" t="inlineStr">
        <is>
          <t>Belt conveyor</t>
        </is>
      </c>
      <c r="G99" s="15" t="inlineStr">
        <is>
          <t>STD – Belt tear / damage</t>
        </is>
      </c>
    </row>
    <row r="100">
      <c r="C100" s="15" t="inlineStr">
        <is>
          <t>Atmospheric storage tank</t>
        </is>
      </c>
      <c r="D100" s="15" t="inlineStr">
        <is>
          <t>Heating coils</t>
        </is>
      </c>
      <c r="F100" s="15" t="inlineStr">
        <is>
          <t>Belt conveyor</t>
        </is>
      </c>
      <c r="G100" s="15" t="inlineStr">
        <is>
          <t>PDE – Belt mistracking / misalignment</t>
        </is>
      </c>
    </row>
    <row r="101">
      <c r="C101" s="15" t="inlineStr">
        <is>
          <t>Atmospheric storage tank</t>
        </is>
      </c>
      <c r="D101" s="15" t="inlineStr">
        <is>
          <t>Foundation</t>
        </is>
      </c>
      <c r="F101" s="15" t="inlineStr">
        <is>
          <t>Belt conveyor</t>
        </is>
      </c>
      <c r="G101" s="15" t="inlineStr">
        <is>
          <t>SLP – Belt slippage</t>
        </is>
      </c>
    </row>
    <row r="102">
      <c r="C102" s="15" t="inlineStr">
        <is>
          <t>Piping, flanges &amp; hoses</t>
        </is>
      </c>
      <c r="D102" s="15" t="inlineStr">
        <is>
          <t>Pipe</t>
        </is>
      </c>
      <c r="F102" s="15" t="inlineStr">
        <is>
          <t>Belt conveyor</t>
        </is>
      </c>
      <c r="G102" s="15" t="inlineStr">
        <is>
          <t>PLU – Chute blockage</t>
        </is>
      </c>
    </row>
    <row r="103">
      <c r="C103" s="15" t="inlineStr">
        <is>
          <t>Piping, flanges &amp; hoses</t>
        </is>
      </c>
      <c r="D103" s="15" t="inlineStr">
        <is>
          <t>Flanges and gaskets</t>
        </is>
      </c>
      <c r="F103" s="15" t="inlineStr">
        <is>
          <t>Belt conveyor</t>
        </is>
      </c>
      <c r="G103" s="15" t="inlineStr">
        <is>
          <t>OHE – Overheating / belt fire</t>
        </is>
      </c>
    </row>
    <row r="104">
      <c r="C104" s="15" t="inlineStr">
        <is>
          <t>Piping, flanges &amp; hoses</t>
        </is>
      </c>
      <c r="D104" s="15" t="inlineStr">
        <is>
          <t>Fittings</t>
        </is>
      </c>
      <c r="F104" s="15" t="inlineStr">
        <is>
          <t>Belt conveyor</t>
        </is>
      </c>
      <c r="G104" s="15" t="inlineStr">
        <is>
          <t>OTH – Spillage</t>
        </is>
      </c>
    </row>
    <row r="105">
      <c r="C105" s="15" t="inlineStr">
        <is>
          <t>Piping, flanges &amp; hoses</t>
        </is>
      </c>
      <c r="D105" s="15" t="inlineStr">
        <is>
          <t>Supports</t>
        </is>
      </c>
      <c r="F105" s="15" t="inlineStr">
        <is>
          <t>Belt conveyor</t>
        </is>
      </c>
      <c r="G105" s="15" t="inlineStr">
        <is>
          <t>VIB – Vibration</t>
        </is>
      </c>
    </row>
    <row r="106">
      <c r="C106" s="15" t="inlineStr">
        <is>
          <t>Piping, flanges &amp; hoses</t>
        </is>
      </c>
      <c r="D106" s="15" t="inlineStr">
        <is>
          <t>Expansion joints / bellows</t>
        </is>
      </c>
      <c r="F106" s="15" t="inlineStr">
        <is>
          <t>Belt conveyor</t>
        </is>
      </c>
      <c r="G106" s="15" t="inlineStr">
        <is>
          <t>NOI – Noise</t>
        </is>
      </c>
    </row>
    <row r="107">
      <c r="C107" s="15" t="inlineStr">
        <is>
          <t>Piping, flanges &amp; hoses</t>
        </is>
      </c>
      <c r="D107" s="15" t="inlineStr">
        <is>
          <t>Hoses</t>
        </is>
      </c>
      <c r="F107" s="15" t="inlineStr">
        <is>
          <t>Pressure vessel / separator / column</t>
        </is>
      </c>
      <c r="G107" s="15" t="inlineStr">
        <is>
          <t>ELP – External leakage – process medium</t>
        </is>
      </c>
    </row>
    <row r="108">
      <c r="C108" s="15" t="inlineStr">
        <is>
          <t>Piping, flanges &amp; hoses</t>
        </is>
      </c>
      <c r="D108" s="15" t="inlineStr">
        <is>
          <t>Insulation / tracing</t>
        </is>
      </c>
      <c r="F108" s="15" t="inlineStr">
        <is>
          <t>Pressure vessel / separator / column</t>
        </is>
      </c>
      <c r="G108" s="15" t="inlineStr">
        <is>
          <t>INL – Internal failure (internals)</t>
        </is>
      </c>
    </row>
    <row r="109">
      <c r="C109" s="15" t="inlineStr">
        <is>
          <t>Control valve</t>
        </is>
      </c>
      <c r="D109" s="15" t="inlineStr">
        <is>
          <t>Body</t>
        </is>
      </c>
      <c r="F109" s="15" t="inlineStr">
        <is>
          <t>Pressure vessel / separator / column</t>
        </is>
      </c>
      <c r="G109" s="15" t="inlineStr">
        <is>
          <t>STD – Structural deficiency</t>
        </is>
      </c>
    </row>
    <row r="110">
      <c r="C110" s="15" t="inlineStr">
        <is>
          <t>Control valve</t>
        </is>
      </c>
      <c r="D110" s="15" t="inlineStr">
        <is>
          <t>Trim (plug / seat)</t>
        </is>
      </c>
      <c r="F110" s="15" t="inlineStr">
        <is>
          <t>Pressure vessel / separator / column</t>
        </is>
      </c>
      <c r="G110" s="15" t="inlineStr">
        <is>
          <t>PLU – Plugged / fouled</t>
        </is>
      </c>
    </row>
    <row r="111">
      <c r="C111" s="15" t="inlineStr">
        <is>
          <t>Control valve</t>
        </is>
      </c>
      <c r="D111" s="15" t="inlineStr">
        <is>
          <t>Stem and packing</t>
        </is>
      </c>
      <c r="F111" s="15" t="inlineStr">
        <is>
          <t>Pressure vessel / separator / column</t>
        </is>
      </c>
      <c r="G111" s="15" t="inlineStr">
        <is>
          <t>PDE – Parameter deviation (level / pressure)</t>
        </is>
      </c>
    </row>
    <row r="112">
      <c r="C112" s="15" t="inlineStr">
        <is>
          <t>Control valve</t>
        </is>
      </c>
      <c r="D112" s="15" t="inlineStr">
        <is>
          <t>Actuator</t>
        </is>
      </c>
      <c r="F112" s="15" t="inlineStr">
        <is>
          <t>Pressure vessel / separator / column</t>
        </is>
      </c>
      <c r="G112" s="15" t="inlineStr">
        <is>
          <t>AIR – Abnormal instrument reading</t>
        </is>
      </c>
    </row>
    <row r="113">
      <c r="C113" s="15" t="inlineStr">
        <is>
          <t>Control valve</t>
        </is>
      </c>
      <c r="D113" s="15" t="inlineStr">
        <is>
          <t>Positioner</t>
        </is>
      </c>
      <c r="F113" s="15" t="inlineStr">
        <is>
          <t>Pressure vessel / separator / column</t>
        </is>
      </c>
      <c r="G113" s="15" t="inlineStr">
        <is>
          <t>OTH – Other</t>
        </is>
      </c>
    </row>
    <row r="114">
      <c r="C114" s="15" t="inlineStr">
        <is>
          <t>Control valve</t>
        </is>
      </c>
      <c r="D114" s="15" t="inlineStr">
        <is>
          <t>Solenoid valve</t>
        </is>
      </c>
      <c r="F114" s="15" t="inlineStr">
        <is>
          <t>Shell &amp; tube heat exchanger</t>
        </is>
      </c>
      <c r="G114" s="15" t="inlineStr">
        <is>
          <t>ELP – External leakage – process medium</t>
        </is>
      </c>
    </row>
    <row r="115">
      <c r="C115" s="15" t="inlineStr">
        <is>
          <t>Control valve</t>
        </is>
      </c>
      <c r="D115" s="15" t="inlineStr">
        <is>
          <t>Air supply</t>
        </is>
      </c>
      <c r="F115" s="15" t="inlineStr">
        <is>
          <t>Shell &amp; tube heat exchanger</t>
        </is>
      </c>
      <c r="G115" s="15" t="inlineStr">
        <is>
          <t>ELU – External leakage – utility medium</t>
        </is>
      </c>
    </row>
    <row r="116">
      <c r="C116" s="15" t="inlineStr">
        <is>
          <t>Control valve</t>
        </is>
      </c>
      <c r="D116" s="15" t="inlineStr">
        <is>
          <t>Limit switches</t>
        </is>
      </c>
      <c r="F116" s="15" t="inlineStr">
        <is>
          <t>Shell &amp; tube heat exchanger</t>
        </is>
      </c>
      <c r="G116" s="15" t="inlineStr">
        <is>
          <t>INL – Internal leakage (tube leak)</t>
        </is>
      </c>
    </row>
    <row r="117">
      <c r="C117" s="15" t="inlineStr">
        <is>
          <t>Isolation / ESD valve</t>
        </is>
      </c>
      <c r="D117" s="15" t="inlineStr">
        <is>
          <t>Body</t>
        </is>
      </c>
      <c r="F117" s="15" t="inlineStr">
        <is>
          <t>Shell &amp; tube heat exchanger</t>
        </is>
      </c>
      <c r="G117" s="15" t="inlineStr">
        <is>
          <t>PLU – Plugged / fouled</t>
        </is>
      </c>
    </row>
    <row r="118">
      <c r="C118" s="15" t="inlineStr">
        <is>
          <t>Isolation / ESD valve</t>
        </is>
      </c>
      <c r="D118" s="15" t="inlineStr">
        <is>
          <t>Ball / gate / disc</t>
        </is>
      </c>
      <c r="F118" s="15" t="inlineStr">
        <is>
          <t>Shell &amp; tube heat exchanger</t>
        </is>
      </c>
      <c r="G118" s="15" t="inlineStr">
        <is>
          <t>PDE – Reduced heat transfer</t>
        </is>
      </c>
    </row>
    <row r="119">
      <c r="C119" s="15" t="inlineStr">
        <is>
          <t>Isolation / ESD valve</t>
        </is>
      </c>
      <c r="D119" s="15" t="inlineStr">
        <is>
          <t>Seats</t>
        </is>
      </c>
      <c r="F119" s="15" t="inlineStr">
        <is>
          <t>Shell &amp; tube heat exchanger</t>
        </is>
      </c>
      <c r="G119" s="15" t="inlineStr">
        <is>
          <t>STD – Structural deficiency</t>
        </is>
      </c>
    </row>
    <row r="120">
      <c r="C120" s="15" t="inlineStr">
        <is>
          <t>Isolation / ESD valve</t>
        </is>
      </c>
      <c r="D120" s="15" t="inlineStr">
        <is>
          <t>Stem and packing</t>
        </is>
      </c>
      <c r="F120" s="15" t="inlineStr">
        <is>
          <t>Shell &amp; tube heat exchanger</t>
        </is>
      </c>
      <c r="G120" s="15" t="inlineStr">
        <is>
          <t>OTH – Other</t>
        </is>
      </c>
    </row>
    <row r="121">
      <c r="C121" s="15" t="inlineStr">
        <is>
          <t>Isolation / ESD valve</t>
        </is>
      </c>
      <c r="D121" s="15" t="inlineStr">
        <is>
          <t>Actuator</t>
        </is>
      </c>
      <c r="F121" s="15" t="inlineStr">
        <is>
          <t>Atmospheric storage tank</t>
        </is>
      </c>
      <c r="G121" s="15" t="inlineStr">
        <is>
          <t>ELP – External leakage – process medium</t>
        </is>
      </c>
    </row>
    <row r="122">
      <c r="C122" s="15" t="inlineStr">
        <is>
          <t>Isolation / ESD valve</t>
        </is>
      </c>
      <c r="D122" s="15" t="inlineStr">
        <is>
          <t>Solenoid valve</t>
        </is>
      </c>
      <c r="F122" s="15" t="inlineStr">
        <is>
          <t>Atmospheric storage tank</t>
        </is>
      </c>
      <c r="G122" s="15" t="inlineStr">
        <is>
          <t>STD – Structural deficiency</t>
        </is>
      </c>
    </row>
    <row r="123">
      <c r="C123" s="15" t="inlineStr">
        <is>
          <t>Isolation / ESD valve</t>
        </is>
      </c>
      <c r="D123" s="15" t="inlineStr">
        <is>
          <t>Limit switches</t>
        </is>
      </c>
      <c r="F123" s="15" t="inlineStr">
        <is>
          <t>Atmospheric storage tank</t>
        </is>
      </c>
      <c r="G123" s="15" t="inlineStr">
        <is>
          <t>PDE – Overfill</t>
        </is>
      </c>
    </row>
    <row r="124">
      <c r="C124" s="15" t="inlineStr">
        <is>
          <t>Isolation / ESD valve</t>
        </is>
      </c>
      <c r="D124" s="15" t="inlineStr">
        <is>
          <t>Handwheel / gearbox</t>
        </is>
      </c>
      <c r="F124" s="15" t="inlineStr">
        <is>
          <t>Atmospheric storage tank</t>
        </is>
      </c>
      <c r="G124" s="15" t="inlineStr">
        <is>
          <t>STD – Vacuum / pressure collapse</t>
        </is>
      </c>
    </row>
    <row r="125">
      <c r="C125" s="15" t="inlineStr">
        <is>
          <t>Pressure relief device (PSV / rupture disc)</t>
        </is>
      </c>
      <c r="D125" s="15" t="inlineStr">
        <is>
          <t>Body</t>
        </is>
      </c>
      <c r="F125" s="15" t="inlineStr">
        <is>
          <t>Atmospheric storage tank</t>
        </is>
      </c>
      <c r="G125" s="15" t="inlineStr">
        <is>
          <t>PLU – Vent blocked</t>
        </is>
      </c>
    </row>
    <row r="126">
      <c r="C126" s="15" t="inlineStr">
        <is>
          <t>Pressure relief device (PSV / rupture disc)</t>
        </is>
      </c>
      <c r="D126" s="15" t="inlineStr">
        <is>
          <t>Nozzle and disc</t>
        </is>
      </c>
      <c r="F126" s="15" t="inlineStr">
        <is>
          <t>Atmospheric storage tank</t>
        </is>
      </c>
      <c r="G126" s="15" t="inlineStr">
        <is>
          <t>AIR – Abnormal level reading</t>
        </is>
      </c>
    </row>
    <row r="127">
      <c r="C127" s="15" t="inlineStr">
        <is>
          <t>Pressure relief device (PSV / rupture disc)</t>
        </is>
      </c>
      <c r="D127" s="15" t="inlineStr">
        <is>
          <t>Spring</t>
        </is>
      </c>
      <c r="F127" s="15" t="inlineStr">
        <is>
          <t>Atmospheric storage tank</t>
        </is>
      </c>
      <c r="G127" s="15" t="inlineStr">
        <is>
          <t>OTH – Other</t>
        </is>
      </c>
    </row>
    <row r="128">
      <c r="C128" s="15" t="inlineStr">
        <is>
          <t>Pressure relief device (PSV / rupture disc)</t>
        </is>
      </c>
      <c r="D128" s="15" t="inlineStr">
        <is>
          <t>Bellows</t>
        </is>
      </c>
      <c r="F128" s="15" t="inlineStr">
        <is>
          <t>Piping, flanges &amp; hoses</t>
        </is>
      </c>
      <c r="G128" s="15" t="inlineStr">
        <is>
          <t>ELP – External leakage – process medium</t>
        </is>
      </c>
    </row>
    <row r="129">
      <c r="C129" s="15" t="inlineStr">
        <is>
          <t>Pressure relief device (PSV / rupture disc)</t>
        </is>
      </c>
      <c r="D129" s="15" t="inlineStr">
        <is>
          <t>Inlet / outlet piping</t>
        </is>
      </c>
      <c r="F129" s="15" t="inlineStr">
        <is>
          <t>Piping, flanges &amp; hoses</t>
        </is>
      </c>
      <c r="G129" s="15" t="inlineStr">
        <is>
          <t>PLU – Plugged / choked</t>
        </is>
      </c>
    </row>
    <row r="130">
      <c r="C130" s="15" t="inlineStr">
        <is>
          <t>Pressure relief device (PSV / rupture disc)</t>
        </is>
      </c>
      <c r="D130" s="15" t="inlineStr">
        <is>
          <t>Rupture disc</t>
        </is>
      </c>
      <c r="F130" s="15" t="inlineStr">
        <is>
          <t>Piping, flanges &amp; hoses</t>
        </is>
      </c>
      <c r="G130" s="15" t="inlineStr">
        <is>
          <t>STD – Structural deficiency</t>
        </is>
      </c>
    </row>
    <row r="131">
      <c r="C131" s="15" t="inlineStr">
        <is>
          <t>Pressure relief device (PSV / rupture disc)</t>
        </is>
      </c>
      <c r="D131" s="15" t="inlineStr">
        <is>
          <t>Isolation valves (locked open)</t>
        </is>
      </c>
      <c r="F131" s="15" t="inlineStr">
        <is>
          <t>Piping, flanges &amp; hoses</t>
        </is>
      </c>
      <c r="G131" s="15" t="inlineStr">
        <is>
          <t>VIB – Vibration</t>
        </is>
      </c>
    </row>
    <row r="132">
      <c r="C132" s="15" t="inlineStr">
        <is>
          <t>Instrument – transmitter / switch</t>
        </is>
      </c>
      <c r="D132" s="15" t="inlineStr">
        <is>
          <t>Sensing element</t>
        </is>
      </c>
      <c r="F132" s="15" t="inlineStr">
        <is>
          <t>Piping, flanges &amp; hoses</t>
        </is>
      </c>
      <c r="G132" s="15" t="inlineStr">
        <is>
          <t>OTH – Other</t>
        </is>
      </c>
    </row>
    <row r="133">
      <c r="C133" s="15" t="inlineStr">
        <is>
          <t>Instrument – transmitter / switch</t>
        </is>
      </c>
      <c r="D133" s="15" t="inlineStr">
        <is>
          <t>Transmitter electronics</t>
        </is>
      </c>
      <c r="F133" s="15" t="inlineStr">
        <is>
          <t>Control valve</t>
        </is>
      </c>
      <c r="G133" s="15" t="inlineStr">
        <is>
          <t>FTO – Fail to open on demand</t>
        </is>
      </c>
    </row>
    <row r="134">
      <c r="C134" s="15" t="inlineStr">
        <is>
          <t>Instrument – transmitter / switch</t>
        </is>
      </c>
      <c r="D134" s="15" t="inlineStr">
        <is>
          <t>Impulse lines / process connection</t>
        </is>
      </c>
      <c r="F134" s="15" t="inlineStr">
        <is>
          <t>Control valve</t>
        </is>
      </c>
      <c r="G134" s="15" t="inlineStr">
        <is>
          <t>FTC – Fail to close on demand</t>
        </is>
      </c>
    </row>
    <row r="135">
      <c r="C135" s="15" t="inlineStr">
        <is>
          <t>Instrument – transmitter / switch</t>
        </is>
      </c>
      <c r="D135" s="15" t="inlineStr">
        <is>
          <t>Cabling and junction box</t>
        </is>
      </c>
      <c r="F135" s="15" t="inlineStr">
        <is>
          <t>Control valve</t>
        </is>
      </c>
      <c r="G135" s="15" t="inlineStr">
        <is>
          <t>ERO – Erratic output / hunting</t>
        </is>
      </c>
    </row>
    <row r="136">
      <c r="C136" s="15" t="inlineStr">
        <is>
          <t>Instrument – transmitter / switch</t>
        </is>
      </c>
      <c r="D136" s="15" t="inlineStr">
        <is>
          <t>Power supply</t>
        </is>
      </c>
      <c r="F136" s="15" t="inlineStr">
        <is>
          <t>Control valve</t>
        </is>
      </c>
      <c r="G136" s="15" t="inlineStr">
        <is>
          <t>DOP – Delayed operation</t>
        </is>
      </c>
    </row>
    <row r="137">
      <c r="C137" s="15" t="inlineStr">
        <is>
          <t>Instrument – transmitter / switch</t>
        </is>
      </c>
      <c r="D137" s="15" t="inlineStr">
        <is>
          <t>Calibration</t>
        </is>
      </c>
      <c r="F137" s="15" t="inlineStr">
        <is>
          <t>Control valve</t>
        </is>
      </c>
      <c r="G137" s="15" t="inlineStr">
        <is>
          <t>LCP – Leakage in closed position</t>
        </is>
      </c>
    </row>
    <row r="138">
      <c r="C138" s="15" t="inlineStr">
        <is>
          <t>Analyser / gas detector</t>
        </is>
      </c>
      <c r="D138" s="15" t="inlineStr">
        <is>
          <t>Sensor</t>
        </is>
      </c>
      <c r="F138" s="15" t="inlineStr">
        <is>
          <t>Control valve</t>
        </is>
      </c>
      <c r="G138" s="15" t="inlineStr">
        <is>
          <t>ELP – External leakage – process medium</t>
        </is>
      </c>
    </row>
    <row r="139">
      <c r="C139" s="15" t="inlineStr">
        <is>
          <t>Analyser / gas detector</t>
        </is>
      </c>
      <c r="D139" s="15" t="inlineStr">
        <is>
          <t>Sample system</t>
        </is>
      </c>
      <c r="F139" s="15" t="inlineStr">
        <is>
          <t>Control valve</t>
        </is>
      </c>
      <c r="G139" s="15" t="inlineStr">
        <is>
          <t>SPO – Spurious operation</t>
        </is>
      </c>
    </row>
    <row r="140">
      <c r="C140" s="15" t="inlineStr">
        <is>
          <t>Analyser / gas detector</t>
        </is>
      </c>
      <c r="D140" s="15" t="inlineStr">
        <is>
          <t>Electronics</t>
        </is>
      </c>
      <c r="F140" s="15" t="inlineStr">
        <is>
          <t>Control valve</t>
        </is>
      </c>
      <c r="G140" s="15" t="inlineStr">
        <is>
          <t>PLU – Plugged / choked</t>
        </is>
      </c>
    </row>
    <row r="141">
      <c r="C141" s="15" t="inlineStr">
        <is>
          <t>Analyser / gas detector</t>
        </is>
      </c>
      <c r="D141" s="15" t="inlineStr">
        <is>
          <t>Calibration gas</t>
        </is>
      </c>
      <c r="F141" s="15" t="inlineStr">
        <is>
          <t>Control valve</t>
        </is>
      </c>
      <c r="G141" s="15" t="inlineStr">
        <is>
          <t>STD – Structural deficiency</t>
        </is>
      </c>
    </row>
    <row r="142">
      <c r="C142" s="15" t="inlineStr">
        <is>
          <t>Analyser / gas detector</t>
        </is>
      </c>
      <c r="D142" s="15" t="inlineStr">
        <is>
          <t>Housing</t>
        </is>
      </c>
      <c r="F142" s="15" t="inlineStr">
        <is>
          <t>Control valve</t>
        </is>
      </c>
      <c r="G142" s="15" t="inlineStr">
        <is>
          <t>AIR – Abnormal position indication</t>
        </is>
      </c>
    </row>
    <row r="143">
      <c r="C143" s="15" t="inlineStr">
        <is>
          <t>Control system / SIS logic solver</t>
        </is>
      </c>
      <c r="D143" s="15" t="inlineStr">
        <is>
          <t>CPU</t>
        </is>
      </c>
      <c r="F143" s="15" t="inlineStr">
        <is>
          <t>Control valve</t>
        </is>
      </c>
      <c r="G143" s="15" t="inlineStr">
        <is>
          <t>OTH – Other</t>
        </is>
      </c>
    </row>
    <row r="144">
      <c r="C144" s="15" t="inlineStr">
        <is>
          <t>Control system / SIS logic solver</t>
        </is>
      </c>
      <c r="D144" s="15" t="inlineStr">
        <is>
          <t>I/O cards</t>
        </is>
      </c>
      <c r="F144" s="15" t="inlineStr">
        <is>
          <t>Isolation / ESD valve</t>
        </is>
      </c>
      <c r="G144" s="15" t="inlineStr">
        <is>
          <t>FTO – Fail to open on demand</t>
        </is>
      </c>
    </row>
    <row r="145">
      <c r="C145" s="15" t="inlineStr">
        <is>
          <t>Control system / SIS logic solver</t>
        </is>
      </c>
      <c r="D145" s="15" t="inlineStr">
        <is>
          <t>Power supplies</t>
        </is>
      </c>
      <c r="F145" s="15" t="inlineStr">
        <is>
          <t>Isolation / ESD valve</t>
        </is>
      </c>
      <c r="G145" s="15" t="inlineStr">
        <is>
          <t>FTC – Fail to close on demand</t>
        </is>
      </c>
    </row>
    <row r="146">
      <c r="C146" s="15" t="inlineStr">
        <is>
          <t>Control system / SIS logic solver</t>
        </is>
      </c>
      <c r="D146" s="15" t="inlineStr">
        <is>
          <t>Network / communications</t>
        </is>
      </c>
      <c r="F146" s="15" t="inlineStr">
        <is>
          <t>Isolation / ESD valve</t>
        </is>
      </c>
      <c r="G146" s="15" t="inlineStr">
        <is>
          <t>DOP – Delayed operation</t>
        </is>
      </c>
    </row>
    <row r="147">
      <c r="C147" s="15" t="inlineStr">
        <is>
          <t>Control system / SIS logic solver</t>
        </is>
      </c>
      <c r="D147" s="15" t="inlineStr">
        <is>
          <t>Application software</t>
        </is>
      </c>
      <c r="F147" s="15" t="inlineStr">
        <is>
          <t>Isolation / ESD valve</t>
        </is>
      </c>
      <c r="G147" s="15" t="inlineStr">
        <is>
          <t>LCP – Leakage in closed position</t>
        </is>
      </c>
    </row>
    <row r="148">
      <c r="C148" s="15" t="inlineStr">
        <is>
          <t>Control system / SIS logic solver</t>
        </is>
      </c>
      <c r="D148" s="15" t="inlineStr">
        <is>
          <t>HMI / operator station</t>
        </is>
      </c>
      <c r="F148" s="15" t="inlineStr">
        <is>
          <t>Isolation / ESD valve</t>
        </is>
      </c>
      <c r="G148" s="15" t="inlineStr">
        <is>
          <t>ELP – External leakage – process medium</t>
        </is>
      </c>
    </row>
    <row r="149">
      <c r="C149" s="15" t="inlineStr">
        <is>
          <t>Transformer</t>
        </is>
      </c>
      <c r="D149" s="15" t="inlineStr">
        <is>
          <t>Windings</t>
        </is>
      </c>
      <c r="F149" s="15" t="inlineStr">
        <is>
          <t>Isolation / ESD valve</t>
        </is>
      </c>
      <c r="G149" s="15" t="inlineStr">
        <is>
          <t>SPO – Spurious operation</t>
        </is>
      </c>
    </row>
    <row r="150">
      <c r="C150" s="15" t="inlineStr">
        <is>
          <t>Transformer</t>
        </is>
      </c>
      <c r="D150" s="15" t="inlineStr">
        <is>
          <t>Core</t>
        </is>
      </c>
      <c r="F150" s="15" t="inlineStr">
        <is>
          <t>Isolation / ESD valve</t>
        </is>
      </c>
      <c r="G150" s="15" t="inlineStr">
        <is>
          <t>PLU – Plugged / choked</t>
        </is>
      </c>
    </row>
    <row r="151">
      <c r="C151" s="15" t="inlineStr">
        <is>
          <t>Transformer</t>
        </is>
      </c>
      <c r="D151" s="15" t="inlineStr">
        <is>
          <t>Bushings</t>
        </is>
      </c>
      <c r="F151" s="15" t="inlineStr">
        <is>
          <t>Isolation / ESD valve</t>
        </is>
      </c>
      <c r="G151" s="15" t="inlineStr">
        <is>
          <t>STD – Structural deficiency</t>
        </is>
      </c>
    </row>
    <row r="152">
      <c r="C152" s="15" t="inlineStr">
        <is>
          <t>Transformer</t>
        </is>
      </c>
      <c r="D152" s="15" t="inlineStr">
        <is>
          <t>Tap changer</t>
        </is>
      </c>
      <c r="F152" s="15" t="inlineStr">
        <is>
          <t>Isolation / ESD valve</t>
        </is>
      </c>
      <c r="G152" s="15" t="inlineStr">
        <is>
          <t>OTH – Other</t>
        </is>
      </c>
    </row>
    <row r="153">
      <c r="C153" s="15" t="inlineStr">
        <is>
          <t>Transformer</t>
        </is>
      </c>
      <c r="D153" s="15" t="inlineStr">
        <is>
          <t>Cooling (oil / fans)</t>
        </is>
      </c>
      <c r="F153" s="15" t="inlineStr">
        <is>
          <t>Pressure relief device (PSV / rupture disc)</t>
        </is>
      </c>
      <c r="G153" s="15" t="inlineStr">
        <is>
          <t>FTO – Fail to open on demand</t>
        </is>
      </c>
    </row>
    <row r="154">
      <c r="C154" s="15" t="inlineStr">
        <is>
          <t>Transformer</t>
        </is>
      </c>
      <c r="D154" s="15" t="inlineStr">
        <is>
          <t>Insulating oil</t>
        </is>
      </c>
      <c r="F154" s="15" t="inlineStr">
        <is>
          <t>Pressure relief device (PSV / rupture disc)</t>
        </is>
      </c>
      <c r="G154" s="15" t="inlineStr">
        <is>
          <t>PDE – Opens above set pressure</t>
        </is>
      </c>
    </row>
    <row r="155">
      <c r="C155" s="15" t="inlineStr">
        <is>
          <t>Transformer</t>
        </is>
      </c>
      <c r="D155" s="15" t="inlineStr">
        <is>
          <t>Protection (Buchholz / temperature)</t>
        </is>
      </c>
      <c r="F155" s="15" t="inlineStr">
        <is>
          <t>Pressure relief device (PSV / rupture disc)</t>
        </is>
      </c>
      <c r="G155" s="15" t="inlineStr">
        <is>
          <t>SPO – Spurious / premature opening</t>
        </is>
      </c>
    </row>
    <row r="156">
      <c r="C156" s="15" t="inlineStr">
        <is>
          <t>Switchgear / MCC / circuit breaker</t>
        </is>
      </c>
      <c r="D156" s="15" t="inlineStr">
        <is>
          <t>Circuit breaker</t>
        </is>
      </c>
      <c r="F156" s="15" t="inlineStr">
        <is>
          <t>Pressure relief device (PSV / rupture disc)</t>
        </is>
      </c>
      <c r="G156" s="15" t="inlineStr">
        <is>
          <t>LCP – Leakage through / simmering</t>
        </is>
      </c>
    </row>
    <row r="157">
      <c r="C157" s="15" t="inlineStr">
        <is>
          <t>Switchgear / MCC / circuit breaker</t>
        </is>
      </c>
      <c r="D157" s="15" t="inlineStr">
        <is>
          <t>Contactors</t>
        </is>
      </c>
      <c r="F157" s="15" t="inlineStr">
        <is>
          <t>Pressure relief device (PSV / rupture disc)</t>
        </is>
      </c>
      <c r="G157" s="15" t="inlineStr">
        <is>
          <t>FTC – Fail to reseat</t>
        </is>
      </c>
    </row>
    <row r="158">
      <c r="C158" s="15" t="inlineStr">
        <is>
          <t>Switchgear / MCC / circuit breaker</t>
        </is>
      </c>
      <c r="D158" s="15" t="inlineStr">
        <is>
          <t>Busbars</t>
        </is>
      </c>
      <c r="F158" s="15" t="inlineStr">
        <is>
          <t>Pressure relief device (PSV / rupture disc)</t>
        </is>
      </c>
      <c r="G158" s="15" t="inlineStr">
        <is>
          <t>PLU – Plugged inlet / outlet</t>
        </is>
      </c>
    </row>
    <row r="159">
      <c r="C159" s="15" t="inlineStr">
        <is>
          <t>Switchgear / MCC / circuit breaker</t>
        </is>
      </c>
      <c r="D159" s="15" t="inlineStr">
        <is>
          <t>Protection relays</t>
        </is>
      </c>
      <c r="F159" s="15" t="inlineStr">
        <is>
          <t>Pressure relief device (PSV / rupture disc)</t>
        </is>
      </c>
      <c r="G159" s="15" t="inlineStr">
        <is>
          <t>OTH – Other</t>
        </is>
      </c>
    </row>
    <row r="160">
      <c r="C160" s="15" t="inlineStr">
        <is>
          <t>Switchgear / MCC / circuit breaker</t>
        </is>
      </c>
      <c r="D160" s="15" t="inlineStr">
        <is>
          <t>Cables / terminations</t>
        </is>
      </c>
      <c r="F160" s="15" t="inlineStr">
        <is>
          <t>Instrument – transmitter / switch</t>
        </is>
      </c>
      <c r="G160" s="15" t="inlineStr">
        <is>
          <t>FTF – Fail to function on demand</t>
        </is>
      </c>
    </row>
    <row r="161">
      <c r="C161" s="15" t="inlineStr">
        <is>
          <t>Switchgear / MCC / circuit breaker</t>
        </is>
      </c>
      <c r="D161" s="15" t="inlineStr">
        <is>
          <t>Control circuit</t>
        </is>
      </c>
      <c r="F161" s="15" t="inlineStr">
        <is>
          <t>Instrument – transmitter / switch</t>
        </is>
      </c>
      <c r="G161" s="15" t="inlineStr">
        <is>
          <t>SPO – Spurious operation / false trip</t>
        </is>
      </c>
    </row>
    <row r="162">
      <c r="C162" s="15" t="inlineStr">
        <is>
          <t>Switchgear / MCC / circuit breaker</t>
        </is>
      </c>
      <c r="D162" s="15" t="inlineStr">
        <is>
          <t>Earthing</t>
        </is>
      </c>
      <c r="F162" s="15" t="inlineStr">
        <is>
          <t>Instrument – transmitter / switch</t>
        </is>
      </c>
      <c r="G162" s="15" t="inlineStr">
        <is>
          <t>AIR – Abnormal instrument reading</t>
        </is>
      </c>
    </row>
    <row r="163">
      <c r="C163" s="15" t="inlineStr">
        <is>
          <t>Variable speed drive / UPS</t>
        </is>
      </c>
      <c r="D163" s="15" t="inlineStr">
        <is>
          <t>Rectifier</t>
        </is>
      </c>
      <c r="F163" s="15" t="inlineStr">
        <is>
          <t>Instrument – transmitter / switch</t>
        </is>
      </c>
      <c r="G163" s="15" t="inlineStr">
        <is>
          <t>HIO – High reading / drift high</t>
        </is>
      </c>
    </row>
    <row r="164">
      <c r="C164" s="15" t="inlineStr">
        <is>
          <t>Variable speed drive / UPS</t>
        </is>
      </c>
      <c r="D164" s="15" t="inlineStr">
        <is>
          <t>DC bus capacitors</t>
        </is>
      </c>
      <c r="F164" s="15" t="inlineStr">
        <is>
          <t>Instrument – transmitter / switch</t>
        </is>
      </c>
      <c r="G164" s="15" t="inlineStr">
        <is>
          <t>LOO – Low reading / drift low</t>
        </is>
      </c>
    </row>
    <row r="165">
      <c r="C165" s="15" t="inlineStr">
        <is>
          <t>Variable speed drive / UPS</t>
        </is>
      </c>
      <c r="D165" s="15" t="inlineStr">
        <is>
          <t>Inverter / IGBTs</t>
        </is>
      </c>
      <c r="F165" s="15" t="inlineStr">
        <is>
          <t>Instrument – transmitter / switch</t>
        </is>
      </c>
      <c r="G165" s="15" t="inlineStr">
        <is>
          <t>NOO – No output / signal</t>
        </is>
      </c>
    </row>
    <row r="166">
      <c r="C166" s="15" t="inlineStr">
        <is>
          <t>Variable speed drive / UPS</t>
        </is>
      </c>
      <c r="D166" s="15" t="inlineStr">
        <is>
          <t>Cooling fans</t>
        </is>
      </c>
      <c r="F166" s="15" t="inlineStr">
        <is>
          <t>Instrument – transmitter / switch</t>
        </is>
      </c>
      <c r="G166" s="15" t="inlineStr">
        <is>
          <t>ERO – Erratic output</t>
        </is>
      </c>
    </row>
    <row r="167">
      <c r="C167" s="15" t="inlineStr">
        <is>
          <t>Variable speed drive / UPS</t>
        </is>
      </c>
      <c r="D167" s="15" t="inlineStr">
        <is>
          <t>Control board</t>
        </is>
      </c>
      <c r="F167" s="15" t="inlineStr">
        <is>
          <t>Instrument – transmitter / switch</t>
        </is>
      </c>
      <c r="G167" s="15" t="inlineStr">
        <is>
          <t>OTH – Other</t>
        </is>
      </c>
    </row>
    <row r="168">
      <c r="C168" s="15" t="inlineStr">
        <is>
          <t>Variable speed drive / UPS</t>
        </is>
      </c>
      <c r="D168" s="15" t="inlineStr">
        <is>
          <t>Batteries (UPS)</t>
        </is>
      </c>
      <c r="F168" s="15" t="inlineStr">
        <is>
          <t>Analyser / gas detector</t>
        </is>
      </c>
      <c r="G168" s="15" t="inlineStr">
        <is>
          <t>FTF – Fail to function on demand</t>
        </is>
      </c>
    </row>
    <row r="169">
      <c r="C169" s="15" t="inlineStr">
        <is>
          <t>Variable speed drive / UPS</t>
        </is>
      </c>
      <c r="D169" s="15" t="inlineStr">
        <is>
          <t>Bypass</t>
        </is>
      </c>
      <c r="F169" s="15" t="inlineStr">
        <is>
          <t>Analyser / gas detector</t>
        </is>
      </c>
      <c r="G169" s="15" t="inlineStr">
        <is>
          <t>SPO – Spurious operation / false trip</t>
        </is>
      </c>
    </row>
    <row r="170">
      <c r="C170" s="15" t="inlineStr">
        <is>
          <t>Hydraulic power unit / system</t>
        </is>
      </c>
      <c r="D170" s="15" t="inlineStr">
        <is>
          <t>Hydraulic pumps</t>
        </is>
      </c>
      <c r="F170" s="15" t="inlineStr">
        <is>
          <t>Analyser / gas detector</t>
        </is>
      </c>
      <c r="G170" s="15" t="inlineStr">
        <is>
          <t>AIR – Abnormal instrument reading</t>
        </is>
      </c>
    </row>
    <row r="171">
      <c r="C171" s="15" t="inlineStr">
        <is>
          <t>Hydraulic power unit / system</t>
        </is>
      </c>
      <c r="D171" s="15" t="inlineStr">
        <is>
          <t>Reservoir</t>
        </is>
      </c>
      <c r="F171" s="15" t="inlineStr">
        <is>
          <t>Analyser / gas detector</t>
        </is>
      </c>
      <c r="G171" s="15" t="inlineStr">
        <is>
          <t>HIO – High reading / drift high</t>
        </is>
      </c>
    </row>
    <row r="172">
      <c r="C172" s="15" t="inlineStr">
        <is>
          <t>Hydraulic power unit / system</t>
        </is>
      </c>
      <c r="D172" s="15" t="inlineStr">
        <is>
          <t>Accumulators</t>
        </is>
      </c>
      <c r="F172" s="15" t="inlineStr">
        <is>
          <t>Analyser / gas detector</t>
        </is>
      </c>
      <c r="G172" s="15" t="inlineStr">
        <is>
          <t>LOO – Low reading / drift low</t>
        </is>
      </c>
    </row>
    <row r="173">
      <c r="C173" s="15" t="inlineStr">
        <is>
          <t>Hydraulic power unit / system</t>
        </is>
      </c>
      <c r="D173" s="15" t="inlineStr">
        <is>
          <t>Directional / proportional valves</t>
        </is>
      </c>
      <c r="F173" s="15" t="inlineStr">
        <is>
          <t>Analyser / gas detector</t>
        </is>
      </c>
      <c r="G173" s="15" t="inlineStr">
        <is>
          <t>NOO – No output / signal</t>
        </is>
      </c>
    </row>
    <row r="174">
      <c r="C174" s="15" t="inlineStr">
        <is>
          <t>Hydraulic power unit / system</t>
        </is>
      </c>
      <c r="D174" s="15" t="inlineStr">
        <is>
          <t>Cylinders</t>
        </is>
      </c>
      <c r="F174" s="15" t="inlineStr">
        <is>
          <t>Analyser / gas detector</t>
        </is>
      </c>
      <c r="G174" s="15" t="inlineStr">
        <is>
          <t>ERO – Erratic output</t>
        </is>
      </c>
    </row>
    <row r="175">
      <c r="C175" s="15" t="inlineStr">
        <is>
          <t>Hydraulic power unit / system</t>
        </is>
      </c>
      <c r="D175" s="15" t="inlineStr">
        <is>
          <t>Hoses</t>
        </is>
      </c>
      <c r="F175" s="15" t="inlineStr">
        <is>
          <t>Analyser / gas detector</t>
        </is>
      </c>
      <c r="G175" s="15" t="inlineStr">
        <is>
          <t>OTH – Other</t>
        </is>
      </c>
    </row>
    <row r="176">
      <c r="C176" s="15" t="inlineStr">
        <is>
          <t>Hydraulic power unit / system</t>
        </is>
      </c>
      <c r="D176" s="15" t="inlineStr">
        <is>
          <t>Filters</t>
        </is>
      </c>
      <c r="F176" s="15" t="inlineStr">
        <is>
          <t>Control system / SIS logic solver</t>
        </is>
      </c>
      <c r="G176" s="15" t="inlineStr">
        <is>
          <t>FTF – Fail to function on demand</t>
        </is>
      </c>
    </row>
    <row r="177">
      <c r="C177" s="15" t="inlineStr">
        <is>
          <t>Hydraulic power unit / system</t>
        </is>
      </c>
      <c r="D177" s="15" t="inlineStr">
        <is>
          <t>Oil cooler</t>
        </is>
      </c>
      <c r="F177" s="15" t="inlineStr">
        <is>
          <t>Control system / SIS logic solver</t>
        </is>
      </c>
      <c r="G177" s="15" t="inlineStr">
        <is>
          <t>SPO – Spurious operation / false trip</t>
        </is>
      </c>
    </row>
    <row r="178">
      <c r="C178" s="15" t="inlineStr">
        <is>
          <t>Hydraulic power unit / system</t>
        </is>
      </c>
      <c r="D178" s="15" t="inlineStr">
        <is>
          <t>Hydraulic fluid</t>
        </is>
      </c>
      <c r="F178" s="15" t="inlineStr">
        <is>
          <t>Control system / SIS logic solver</t>
        </is>
      </c>
      <c r="G178" s="15" t="inlineStr">
        <is>
          <t>BRD – Loss of control</t>
        </is>
      </c>
    </row>
    <row r="179">
      <c r="C179" s="15" t="inlineStr">
        <is>
          <t>Overhead crane / hoist (incl. ladle crane)</t>
        </is>
      </c>
      <c r="D179" s="15" t="inlineStr">
        <is>
          <t>Hoist ropes</t>
        </is>
      </c>
      <c r="F179" s="15" t="inlineStr">
        <is>
          <t>Control system / SIS logic solver</t>
        </is>
      </c>
      <c r="G179" s="15" t="inlineStr">
        <is>
          <t>OTH – Loss of view (HMI)</t>
        </is>
      </c>
    </row>
    <row r="180">
      <c r="C180" s="15" t="inlineStr">
        <is>
          <t>Overhead crane / hoist (incl. ladle crane)</t>
        </is>
      </c>
      <c r="D180" s="15" t="inlineStr">
        <is>
          <t>Hook and block</t>
        </is>
      </c>
      <c r="F180" s="15" t="inlineStr">
        <is>
          <t>Control system / SIS logic solver</t>
        </is>
      </c>
      <c r="G180" s="15" t="inlineStr">
        <is>
          <t>OTH – Software / configuration error</t>
        </is>
      </c>
    </row>
    <row r="181">
      <c r="C181" s="15" t="inlineStr">
        <is>
          <t>Overhead crane / hoist (incl. ladle crane)</t>
        </is>
      </c>
      <c r="D181" s="15" t="inlineStr">
        <is>
          <t>Hoist brakes (primary / emergency)</t>
        </is>
      </c>
      <c r="F181" s="15" t="inlineStr">
        <is>
          <t>Transformer</t>
        </is>
      </c>
      <c r="G181" s="15" t="inlineStr">
        <is>
          <t>BRD – Breakdown / insulation failure</t>
        </is>
      </c>
    </row>
    <row r="182">
      <c r="C182" s="15" t="inlineStr">
        <is>
          <t>Overhead crane / hoist (incl. ladle crane)</t>
        </is>
      </c>
      <c r="D182" s="15" t="inlineStr">
        <is>
          <t>Gearbox / drum</t>
        </is>
      </c>
      <c r="F182" s="15" t="inlineStr">
        <is>
          <t>Transformer</t>
        </is>
      </c>
      <c r="G182" s="15" t="inlineStr">
        <is>
          <t>OHE – Overheating</t>
        </is>
      </c>
    </row>
    <row r="183">
      <c r="C183" s="15" t="inlineStr">
        <is>
          <t>Overhead crane / hoist (incl. ladle crane)</t>
        </is>
      </c>
      <c r="D183" s="15" t="inlineStr">
        <is>
          <t>Travel drives</t>
        </is>
      </c>
      <c r="F183" s="15" t="inlineStr">
        <is>
          <t>Transformer</t>
        </is>
      </c>
      <c r="G183" s="15" t="inlineStr">
        <is>
          <t>ELU – External leakage – insulating oil</t>
        </is>
      </c>
    </row>
    <row r="184">
      <c r="C184" s="15" t="inlineStr">
        <is>
          <t>Overhead crane / hoist (incl. ladle crane)</t>
        </is>
      </c>
      <c r="D184" s="15" t="inlineStr">
        <is>
          <t>Limit switches</t>
        </is>
      </c>
      <c r="F184" s="15" t="inlineStr">
        <is>
          <t>Transformer</t>
        </is>
      </c>
      <c r="G184" s="15" t="inlineStr">
        <is>
          <t>FOV – Faulty output voltage</t>
        </is>
      </c>
    </row>
    <row r="185">
      <c r="C185" s="15" t="inlineStr">
        <is>
          <t>Overhead crane / hoist (incl. ladle crane)</t>
        </is>
      </c>
      <c r="D185" s="15" t="inlineStr">
        <is>
          <t>Overload / load cell</t>
        </is>
      </c>
      <c r="F185" s="15" t="inlineStr">
        <is>
          <t>Transformer</t>
        </is>
      </c>
      <c r="G185" s="15" t="inlineStr">
        <is>
          <t>NOI – Noise</t>
        </is>
      </c>
    </row>
    <row r="186">
      <c r="C186" s="15" t="inlineStr">
        <is>
          <t>Overhead crane / hoist (incl. ladle crane)</t>
        </is>
      </c>
      <c r="D186" s="15" t="inlineStr">
        <is>
          <t>Girders / structure</t>
        </is>
      </c>
      <c r="F186" s="15" t="inlineStr">
        <is>
          <t>Transformer</t>
        </is>
      </c>
      <c r="G186" s="15" t="inlineStr">
        <is>
          <t>OTH – Other</t>
        </is>
      </c>
    </row>
    <row r="187">
      <c r="C187" s="15" t="inlineStr">
        <is>
          <t>Overhead crane / hoist (incl. ladle crane)</t>
        </is>
      </c>
      <c r="D187" s="15" t="inlineStr">
        <is>
          <t>Rails and end stops</t>
        </is>
      </c>
      <c r="F187" s="15" t="inlineStr">
        <is>
          <t>Switchgear / MCC / circuit breaker</t>
        </is>
      </c>
      <c r="G187" s="15" t="inlineStr">
        <is>
          <t>FTO – Fail to open / trip on demand</t>
        </is>
      </c>
    </row>
    <row r="188">
      <c r="C188" s="15" t="inlineStr">
        <is>
          <t>Overhead crane / hoist (incl. ladle crane)</t>
        </is>
      </c>
      <c r="D188" s="15" t="inlineStr">
        <is>
          <t>Controls / radio remote</t>
        </is>
      </c>
      <c r="F188" s="15" t="inlineStr">
        <is>
          <t>Switchgear / MCC / circuit breaker</t>
        </is>
      </c>
      <c r="G188" s="15" t="inlineStr">
        <is>
          <t>FTC – Fail to close on demand</t>
        </is>
      </c>
    </row>
    <row r="189">
      <c r="C189" s="15" t="inlineStr">
        <is>
          <t>Overhead crane / hoist (incl. ladle crane)</t>
        </is>
      </c>
      <c r="D189" s="15" t="inlineStr">
        <is>
          <t>Power supply (festoon / conductor bar)</t>
        </is>
      </c>
      <c r="F189" s="15" t="inlineStr">
        <is>
          <t>Switchgear / MCC / circuit breaker</t>
        </is>
      </c>
      <c r="G189" s="15" t="inlineStr">
        <is>
          <t>SPO – Spurious trip</t>
        </is>
      </c>
    </row>
    <row r="190">
      <c r="C190" s="15" t="inlineStr">
        <is>
          <t>Water-cooled element (panel, roof, lance, tuyere, stave, mould)</t>
        </is>
      </c>
      <c r="D190" s="15" t="inlineStr">
        <is>
          <t>Panel pipes / copper element</t>
        </is>
      </c>
      <c r="F190" s="15" t="inlineStr">
        <is>
          <t>Switchgear / MCC / circuit breaker</t>
        </is>
      </c>
      <c r="G190" s="15" t="inlineStr">
        <is>
          <t>OHE – Overheating (hot joint)</t>
        </is>
      </c>
    </row>
    <row r="191">
      <c r="C191" s="15" t="inlineStr">
        <is>
          <t>Water-cooled element (panel, roof, lance, tuyere, stave, mould)</t>
        </is>
      </c>
      <c r="D191" s="15" t="inlineStr">
        <is>
          <t>Inlet / outlet hoses</t>
        </is>
      </c>
      <c r="F191" s="15" t="inlineStr">
        <is>
          <t>Switchgear / MCC / circuit breaker</t>
        </is>
      </c>
      <c r="G191" s="15" t="inlineStr">
        <is>
          <t>BRD – Short circuit / arc flash</t>
        </is>
      </c>
    </row>
    <row r="192">
      <c r="C192" s="15" t="inlineStr">
        <is>
          <t>Water-cooled element (panel, roof, lance, tuyere, stave, mould)</t>
        </is>
      </c>
      <c r="D192" s="15" t="inlineStr">
        <is>
          <t>Manifolds</t>
        </is>
      </c>
      <c r="F192" s="15" t="inlineStr">
        <is>
          <t>Switchgear / MCC / circuit breaker</t>
        </is>
      </c>
      <c r="G192" s="15" t="inlineStr">
        <is>
          <t>OTH – Other</t>
        </is>
      </c>
    </row>
    <row r="193">
      <c r="C193" s="15" t="inlineStr">
        <is>
          <t>Water-cooled element (panel, roof, lance, tuyere, stave, mould)</t>
        </is>
      </c>
      <c r="D193" s="15" t="inlineStr">
        <is>
          <t>Flow and temperature instruments</t>
        </is>
      </c>
      <c r="F193" s="15" t="inlineStr">
        <is>
          <t>Variable speed drive / UPS</t>
        </is>
      </c>
      <c r="G193" s="15" t="inlineStr">
        <is>
          <t>FTS – Fail to start on demand</t>
        </is>
      </c>
    </row>
    <row r="194">
      <c r="C194" s="15" t="inlineStr">
        <is>
          <t>Water-cooled element (panel, roof, lance, tuyere, stave, mould)</t>
        </is>
      </c>
      <c r="D194" s="15" t="inlineStr">
        <is>
          <t>Leak detection system</t>
        </is>
      </c>
      <c r="F194" s="15" t="inlineStr">
        <is>
          <t>Variable speed drive / UPS</t>
        </is>
      </c>
      <c r="G194" s="15" t="inlineStr">
        <is>
          <t>UST – Spurious stop</t>
        </is>
      </c>
    </row>
    <row r="195">
      <c r="C195" s="15" t="inlineStr">
        <is>
          <t>Water-cooled element (panel, roof, lance, tuyere, stave, mould)</t>
        </is>
      </c>
      <c r="D195" s="15" t="inlineStr">
        <is>
          <t>Supports</t>
        </is>
      </c>
      <c r="F195" s="15" t="inlineStr">
        <is>
          <t>Variable speed drive / UPS</t>
        </is>
      </c>
      <c r="G195" s="15" t="inlineStr">
        <is>
          <t>BRD – Breakdown</t>
        </is>
      </c>
    </row>
    <row r="196">
      <c r="C196" s="15" t="inlineStr">
        <is>
          <t>Refractory lining (furnace, ladle, tundish, kiln)</t>
        </is>
      </c>
      <c r="D196" s="15" t="inlineStr">
        <is>
          <t>Working lining</t>
        </is>
      </c>
      <c r="F196" s="15" t="inlineStr">
        <is>
          <t>Variable speed drive / UPS</t>
        </is>
      </c>
      <c r="G196" s="15" t="inlineStr">
        <is>
          <t>FOV – Faulty output voltage / frequency</t>
        </is>
      </c>
    </row>
    <row r="197">
      <c r="C197" s="15" t="inlineStr">
        <is>
          <t>Refractory lining (furnace, ladle, tundish, kiln)</t>
        </is>
      </c>
      <c r="D197" s="15" t="inlineStr">
        <is>
          <t>Safety / permanent lining</t>
        </is>
      </c>
      <c r="F197" s="15" t="inlineStr">
        <is>
          <t>Variable speed drive / UPS</t>
        </is>
      </c>
      <c r="G197" s="15" t="inlineStr">
        <is>
          <t>OHE – Overheating</t>
        </is>
      </c>
    </row>
    <row r="198">
      <c r="C198" s="15" t="inlineStr">
        <is>
          <t>Refractory lining (furnace, ladle, tundish, kiln)</t>
        </is>
      </c>
      <c r="D198" s="15" t="inlineStr">
        <is>
          <t>Taphole / nozzle / well block</t>
        </is>
      </c>
      <c r="F198" s="15" t="inlineStr">
        <is>
          <t>Variable speed drive / UPS</t>
        </is>
      </c>
      <c r="G198" s="15" t="inlineStr">
        <is>
          <t>SPO – Spurious operation</t>
        </is>
      </c>
    </row>
    <row r="199">
      <c r="C199" s="15" t="inlineStr">
        <is>
          <t>Refractory lining (furnace, ladle, tundish, kiln)</t>
        </is>
      </c>
      <c r="D199" s="15" t="inlineStr">
        <is>
          <t>Purging plug</t>
        </is>
      </c>
      <c r="F199" s="15" t="inlineStr">
        <is>
          <t>Variable speed drive / UPS</t>
        </is>
      </c>
      <c r="G199" s="15" t="inlineStr">
        <is>
          <t>OTH – Other</t>
        </is>
      </c>
    </row>
    <row r="200">
      <c r="C200" s="15" t="inlineStr">
        <is>
          <t>Refractory lining (furnace, ladle, tundish, kiln)</t>
        </is>
      </c>
      <c r="D200" s="15" t="inlineStr">
        <is>
          <t>Anchors</t>
        </is>
      </c>
      <c r="F200" s="15" t="inlineStr">
        <is>
          <t>Hydraulic power unit / system</t>
        </is>
      </c>
      <c r="G200" s="15" t="inlineStr">
        <is>
          <t>LOO – Low pressure / output</t>
        </is>
      </c>
    </row>
    <row r="201">
      <c r="C201" s="15" t="inlineStr">
        <is>
          <t>Refractory lining (furnace, ladle, tundish, kiln)</t>
        </is>
      </c>
      <c r="D201" s="15" t="inlineStr">
        <is>
          <t>Shell</t>
        </is>
      </c>
      <c r="F201" s="15" t="inlineStr">
        <is>
          <t>Hydraulic power unit / system</t>
        </is>
      </c>
      <c r="G201" s="15" t="inlineStr">
        <is>
          <t>ELU – External leakage – hydraulic oil</t>
        </is>
      </c>
    </row>
    <row r="202">
      <c r="C202" s="15" t="inlineStr">
        <is>
          <t>Burner / combustion system</t>
        </is>
      </c>
      <c r="D202" s="15" t="inlineStr">
        <is>
          <t>Burner nozzle</t>
        </is>
      </c>
      <c r="F202" s="15" t="inlineStr">
        <is>
          <t>Hydraulic power unit / system</t>
        </is>
      </c>
      <c r="G202" s="15" t="inlineStr">
        <is>
          <t>BRD – Breakdown</t>
        </is>
      </c>
    </row>
    <row r="203">
      <c r="C203" s="15" t="inlineStr">
        <is>
          <t>Burner / combustion system</t>
        </is>
      </c>
      <c r="D203" s="15" t="inlineStr">
        <is>
          <t>Igniter</t>
        </is>
      </c>
      <c r="F203" s="15" t="inlineStr">
        <is>
          <t>Hydraulic power unit / system</t>
        </is>
      </c>
      <c r="G203" s="15" t="inlineStr">
        <is>
          <t>OHE – Overheating</t>
        </is>
      </c>
    </row>
    <row r="204">
      <c r="C204" s="15" t="inlineStr">
        <is>
          <t>Burner / combustion system</t>
        </is>
      </c>
      <c r="D204" s="15" t="inlineStr">
        <is>
          <t>Flame scanner</t>
        </is>
      </c>
      <c r="F204" s="15" t="inlineStr">
        <is>
          <t>Hydraulic power unit / system</t>
        </is>
      </c>
      <c r="G204" s="15" t="inlineStr">
        <is>
          <t>ERO – Erratic operation</t>
        </is>
      </c>
    </row>
    <row r="205">
      <c r="C205" s="15" t="inlineStr">
        <is>
          <t>Burner / combustion system</t>
        </is>
      </c>
      <c r="D205" s="15" t="inlineStr">
        <is>
          <t>Fuel train valves (double block &amp; bleed)</t>
        </is>
      </c>
      <c r="F205" s="15" t="inlineStr">
        <is>
          <t>Hydraulic power unit / system</t>
        </is>
      </c>
      <c r="G205" s="15" t="inlineStr">
        <is>
          <t>SPO – Uncontrolled movement</t>
        </is>
      </c>
    </row>
    <row r="206">
      <c r="C206" s="15" t="inlineStr">
        <is>
          <t>Burner / combustion system</t>
        </is>
      </c>
      <c r="D206" s="15" t="inlineStr">
        <is>
          <t>Combustion air fan / damper</t>
        </is>
      </c>
      <c r="F206" s="15" t="inlineStr">
        <is>
          <t>Hydraulic power unit / system</t>
        </is>
      </c>
      <c r="G206" s="15" t="inlineStr">
        <is>
          <t>PLU – Filter blocked</t>
        </is>
      </c>
    </row>
    <row r="207">
      <c r="C207" s="15" t="inlineStr">
        <is>
          <t>Burner / combustion system</t>
        </is>
      </c>
      <c r="D207" s="15" t="inlineStr">
        <is>
          <t>Burner management system (BMS)</t>
        </is>
      </c>
      <c r="F207" s="15" t="inlineStr">
        <is>
          <t>Hydraulic power unit / system</t>
        </is>
      </c>
      <c r="G207" s="15" t="inlineStr">
        <is>
          <t>OTH – Other</t>
        </is>
      </c>
    </row>
    <row r="208">
      <c r="C208" s="15" t="inlineStr">
        <is>
          <t>Burner / combustion system</t>
        </is>
      </c>
      <c r="D208" s="15" t="inlineStr">
        <is>
          <t>Pressure switches</t>
        </is>
      </c>
      <c r="F208" s="15" t="inlineStr">
        <is>
          <t>Overhead crane / hoist (incl. ladle crane)</t>
        </is>
      </c>
      <c r="G208" s="15" t="inlineStr">
        <is>
          <t>Load drop / failure to hold load</t>
        </is>
      </c>
    </row>
    <row r="209">
      <c r="C209" s="15" t="inlineStr">
        <is>
          <t>Cooling tower / closed cooling circuit</t>
        </is>
      </c>
      <c r="D209" s="15" t="inlineStr">
        <is>
          <t>Fans and drives</t>
        </is>
      </c>
      <c r="F209" s="15" t="inlineStr">
        <is>
          <t>Overhead crane / hoist (incl. ladle crane)</t>
        </is>
      </c>
      <c r="G209" s="15" t="inlineStr">
        <is>
          <t>Overtravel / failure to stop</t>
        </is>
      </c>
    </row>
    <row r="210">
      <c r="C210" s="15" t="inlineStr">
        <is>
          <t>Cooling tower / closed cooling circuit</t>
        </is>
      </c>
      <c r="D210" s="15" t="inlineStr">
        <is>
          <t>Fill / packing</t>
        </is>
      </c>
      <c r="F210" s="15" t="inlineStr">
        <is>
          <t>Overhead crane / hoist (incl. ladle crane)</t>
        </is>
      </c>
      <c r="G210" s="15" t="inlineStr">
        <is>
          <t>Stoppage with load suspended</t>
        </is>
      </c>
    </row>
    <row r="211">
      <c r="C211" s="15" t="inlineStr">
        <is>
          <t>Cooling tower / closed cooling circuit</t>
        </is>
      </c>
      <c r="D211" s="15" t="inlineStr">
        <is>
          <t>Basin</t>
        </is>
      </c>
      <c r="F211" s="15" t="inlineStr">
        <is>
          <t>Overhead crane / hoist (incl. ladle crane)</t>
        </is>
      </c>
      <c r="G211" s="15" t="inlineStr">
        <is>
          <t>Uncontrolled movement</t>
        </is>
      </c>
    </row>
    <row r="212">
      <c r="C212" s="15" t="inlineStr">
        <is>
          <t>Cooling tower / closed cooling circuit</t>
        </is>
      </c>
      <c r="D212" s="15" t="inlineStr">
        <is>
          <t>Circulation pumps</t>
        </is>
      </c>
      <c r="F212" s="15" t="inlineStr">
        <is>
          <t>Overhead crane / hoist (incl. ladle crane)</t>
        </is>
      </c>
      <c r="G212" s="15" t="inlineStr">
        <is>
          <t>Structural crack / deformation</t>
        </is>
      </c>
    </row>
    <row r="213">
      <c r="C213" s="15" t="inlineStr">
        <is>
          <t>Cooling tower / closed cooling circuit</t>
        </is>
      </c>
      <c r="D213" s="15" t="inlineStr">
        <is>
          <t>Water treatment / dosing</t>
        </is>
      </c>
      <c r="F213" s="15" t="inlineStr">
        <is>
          <t>Overhead crane / hoist (incl. ladle crane)</t>
        </is>
      </c>
      <c r="G213" s="15" t="inlineStr">
        <is>
          <t>Collision</t>
        </is>
      </c>
    </row>
    <row r="214">
      <c r="C214" s="15" t="inlineStr">
        <is>
          <t>Cooling tower / closed cooling circuit</t>
        </is>
      </c>
      <c r="D214" s="15" t="inlineStr">
        <is>
          <t>Drift eliminators</t>
        </is>
      </c>
      <c r="F214" s="15" t="inlineStr">
        <is>
          <t>Overhead crane / hoist (incl. ladle crane)</t>
        </is>
      </c>
      <c r="G214" s="15" t="inlineStr">
        <is>
          <t>OTH – Other</t>
        </is>
      </c>
    </row>
    <row r="215">
      <c r="C215" s="15" t="inlineStr">
        <is>
          <t>Cooling tower / closed cooling circuit</t>
        </is>
      </c>
      <c r="D215" s="15" t="inlineStr">
        <is>
          <t>Plate heat exchanger</t>
        </is>
      </c>
      <c r="F215" s="15" t="inlineStr">
        <is>
          <t>Water-cooled element (panel, roof, lance, tuyere, stave, mould)</t>
        </is>
      </c>
      <c r="G215" s="15" t="inlineStr">
        <is>
          <t>Water leak into furnace / vessel</t>
        </is>
      </c>
    </row>
    <row r="216">
      <c r="C216" s="15" t="inlineStr">
        <is>
          <t>Bag filter / dust collector</t>
        </is>
      </c>
      <c r="D216" s="15" t="inlineStr">
        <is>
          <t>Filter bags</t>
        </is>
      </c>
      <c r="F216" s="15" t="inlineStr">
        <is>
          <t>Water-cooled element (panel, roof, lance, tuyere, stave, mould)</t>
        </is>
      </c>
      <c r="G216" s="15" t="inlineStr">
        <is>
          <t>Low / no cooling flow</t>
        </is>
      </c>
    </row>
    <row r="217">
      <c r="C217" s="15" t="inlineStr">
        <is>
          <t>Bag filter / dust collector</t>
        </is>
      </c>
      <c r="D217" s="15" t="inlineStr">
        <is>
          <t>Cages</t>
        </is>
      </c>
      <c r="F217" s="15" t="inlineStr">
        <is>
          <t>Water-cooled element (panel, roof, lance, tuyere, stave, mould)</t>
        </is>
      </c>
      <c r="G217" s="15" t="inlineStr">
        <is>
          <t>Overheating / hot spot</t>
        </is>
      </c>
    </row>
    <row r="218">
      <c r="C218" s="15" t="inlineStr">
        <is>
          <t>Bag filter / dust collector</t>
        </is>
      </c>
      <c r="D218" s="15" t="inlineStr">
        <is>
          <t>Pulse-jet cleaning valves</t>
        </is>
      </c>
      <c r="F218" s="15" t="inlineStr">
        <is>
          <t>Water-cooled element (panel, roof, lance, tuyere, stave, mould)</t>
        </is>
      </c>
      <c r="G218" s="15" t="inlineStr">
        <is>
          <t>Cracking / burn-through</t>
        </is>
      </c>
    </row>
    <row r="219">
      <c r="C219" s="15" t="inlineStr">
        <is>
          <t>Bag filter / dust collector</t>
        </is>
      </c>
      <c r="D219" s="15" t="inlineStr">
        <is>
          <t>Hopper and rotary valve</t>
        </is>
      </c>
      <c r="F219" s="15" t="inlineStr">
        <is>
          <t>Water-cooled element (panel, roof, lance, tuyere, stave, mould)</t>
        </is>
      </c>
      <c r="G219" s="15" t="inlineStr">
        <is>
          <t>Leak detection fails to alarm</t>
        </is>
      </c>
    </row>
    <row r="220">
      <c r="C220" s="15" t="inlineStr">
        <is>
          <t>Bag filter / dust collector</t>
        </is>
      </c>
      <c r="D220" s="15" t="inlineStr">
        <is>
          <t>Housing</t>
        </is>
      </c>
      <c r="F220" s="15" t="inlineStr">
        <is>
          <t>Water-cooled element (panel, roof, lance, tuyere, stave, mould)</t>
        </is>
      </c>
      <c r="G220" s="15" t="inlineStr">
        <is>
          <t>OTH – Other</t>
        </is>
      </c>
    </row>
    <row r="221">
      <c r="C221" s="15" t="inlineStr">
        <is>
          <t>Bag filter / dust collector</t>
        </is>
      </c>
      <c r="D221" s="15" t="inlineStr">
        <is>
          <t>Explosion vents / isolation</t>
        </is>
      </c>
      <c r="F221" s="15" t="inlineStr">
        <is>
          <t>Refractory lining (furnace, ladle, tundish, kiln)</t>
        </is>
      </c>
      <c r="G221" s="15" t="inlineStr">
        <is>
          <t>Excessive wear / thinning</t>
        </is>
      </c>
    </row>
    <row r="222">
      <c r="C222" s="15" t="inlineStr">
        <is>
          <t>Bag filter / dust collector</t>
        </is>
      </c>
      <c r="D222" s="15" t="inlineStr">
        <is>
          <t>Differential pressure instruments</t>
        </is>
      </c>
      <c r="F222" s="15" t="inlineStr">
        <is>
          <t>Refractory lining (furnace, ladle, tundish, kiln)</t>
        </is>
      </c>
      <c r="G222" s="15" t="inlineStr">
        <is>
          <t>Spalling / cracking</t>
        </is>
      </c>
    </row>
    <row r="223">
      <c r="C223" s="15" t="inlineStr">
        <is>
          <t>Ladle &amp; ladle / transfer car</t>
        </is>
      </c>
      <c r="D223" s="15" t="inlineStr">
        <is>
          <t>Ladle shell and trunnions</t>
        </is>
      </c>
      <c r="F223" s="15" t="inlineStr">
        <is>
          <t>Refractory lining (furnace, ladle, tundish, kiln)</t>
        </is>
      </c>
      <c r="G223" s="15" t="inlineStr">
        <is>
          <t>Breakout / burn-through</t>
        </is>
      </c>
    </row>
    <row r="224">
      <c r="C224" s="15" t="inlineStr">
        <is>
          <t>Ladle &amp; ladle / transfer car</t>
        </is>
      </c>
      <c r="D224" s="15" t="inlineStr">
        <is>
          <t>Slide gate</t>
        </is>
      </c>
      <c r="F224" s="15" t="inlineStr">
        <is>
          <t>Refractory lining (furnace, ladle, tundish, kiln)</t>
        </is>
      </c>
      <c r="G224" s="15" t="inlineStr">
        <is>
          <t>Hot spot on shell</t>
        </is>
      </c>
    </row>
    <row r="225">
      <c r="C225" s="15" t="inlineStr">
        <is>
          <t>Ladle &amp; ladle / transfer car</t>
        </is>
      </c>
      <c r="D225" s="15" t="inlineStr">
        <is>
          <t>Porous plug</t>
        </is>
      </c>
      <c r="F225" s="15" t="inlineStr">
        <is>
          <t>Refractory lining (furnace, ladle, tundish, kiln)</t>
        </is>
      </c>
      <c r="G225" s="15" t="inlineStr">
        <is>
          <t>Moisture in lining</t>
        </is>
      </c>
    </row>
    <row r="226">
      <c r="C226" s="15" t="inlineStr">
        <is>
          <t>Ladle &amp; ladle / transfer car</t>
        </is>
      </c>
      <c r="D226" s="15" t="inlineStr">
        <is>
          <t>Car wheels and rails</t>
        </is>
      </c>
      <c r="F226" s="15" t="inlineStr">
        <is>
          <t>Refractory lining (furnace, ladle, tundish, kiln)</t>
        </is>
      </c>
      <c r="G226" s="15" t="inlineStr">
        <is>
          <t>OTH – Other</t>
        </is>
      </c>
    </row>
    <row r="227">
      <c r="C227" s="15" t="inlineStr">
        <is>
          <t>Ladle &amp; ladle / transfer car</t>
        </is>
      </c>
      <c r="D227" s="15" t="inlineStr">
        <is>
          <t>Car drive</t>
        </is>
      </c>
      <c r="F227" s="15" t="inlineStr">
        <is>
          <t>Burner / combustion system</t>
        </is>
      </c>
      <c r="G227" s="15" t="inlineStr">
        <is>
          <t>FTS – Fail to ignite</t>
        </is>
      </c>
    </row>
    <row r="228">
      <c r="C228" s="15" t="inlineStr">
        <is>
          <t>Ladle &amp; ladle / transfer car</t>
        </is>
      </c>
      <c r="D228" s="15" t="inlineStr">
        <is>
          <t>Tilting mechanism</t>
        </is>
      </c>
      <c r="F228" s="15" t="inlineStr">
        <is>
          <t>Burner / combustion system</t>
        </is>
      </c>
      <c r="G228" s="15" t="inlineStr">
        <is>
          <t>UST – Flame failure / flame-out</t>
        </is>
      </c>
    </row>
    <row r="229">
      <c r="C229" s="15" t="inlineStr">
        <is>
          <t>Ladle &amp; ladle / transfer car</t>
        </is>
      </c>
      <c r="D229" s="15" t="inlineStr">
        <is>
          <t>Power cable / festoon</t>
        </is>
      </c>
      <c r="F229" s="15" t="inlineStr">
        <is>
          <t>Burner / combustion system</t>
        </is>
      </c>
      <c r="G229" s="15" t="inlineStr">
        <is>
          <t>FTC – Fail to shut off fuel</t>
        </is>
      </c>
    </row>
    <row r="230">
      <c r="F230" s="15" t="inlineStr">
        <is>
          <t>Burner / combustion system</t>
        </is>
      </c>
      <c r="G230" s="15" t="inlineStr">
        <is>
          <t>PDE – Incorrect air / fuel ratio</t>
        </is>
      </c>
    </row>
    <row r="231">
      <c r="F231" s="15" t="inlineStr">
        <is>
          <t>Burner / combustion system</t>
        </is>
      </c>
      <c r="G231" s="15" t="inlineStr">
        <is>
          <t>OTH – Flashback / backfire</t>
        </is>
      </c>
    </row>
    <row r="232">
      <c r="F232" s="15" t="inlineStr">
        <is>
          <t>Burner / combustion system</t>
        </is>
      </c>
      <c r="G232" s="15" t="inlineStr">
        <is>
          <t>ELP – Fuel gas leakage</t>
        </is>
      </c>
    </row>
    <row r="233">
      <c r="F233" s="15" t="inlineStr">
        <is>
          <t>Burner / combustion system</t>
        </is>
      </c>
      <c r="G233" s="15" t="inlineStr">
        <is>
          <t>OTH – Other</t>
        </is>
      </c>
    </row>
    <row r="234">
      <c r="F234" s="15" t="inlineStr">
        <is>
          <t>Cooling tower / closed cooling circuit</t>
        </is>
      </c>
      <c r="G234" s="15" t="inlineStr">
        <is>
          <t>LOO – Insufficient cooling</t>
        </is>
      </c>
    </row>
    <row r="235">
      <c r="F235" s="15" t="inlineStr">
        <is>
          <t>Cooling tower / closed cooling circuit</t>
        </is>
      </c>
      <c r="G235" s="15" t="inlineStr">
        <is>
          <t>PLU – Fouling / scaling</t>
        </is>
      </c>
    </row>
    <row r="236">
      <c r="F236" s="15" t="inlineStr">
        <is>
          <t>Cooling tower / closed cooling circuit</t>
        </is>
      </c>
      <c r="G236" s="15" t="inlineStr">
        <is>
          <t>ELP – Water leakage</t>
        </is>
      </c>
    </row>
    <row r="237">
      <c r="F237" s="15" t="inlineStr">
        <is>
          <t>Cooling tower / closed cooling circuit</t>
        </is>
      </c>
      <c r="G237" s="15" t="inlineStr">
        <is>
          <t>VIB – Fan vibration</t>
        </is>
      </c>
    </row>
    <row r="238">
      <c r="F238" s="15" t="inlineStr">
        <is>
          <t>Cooling tower / closed cooling circuit</t>
        </is>
      </c>
      <c r="G238" s="15" t="inlineStr">
        <is>
          <t>PDE – Water chemistry out of specification</t>
        </is>
      </c>
    </row>
    <row r="239">
      <c r="F239" s="15" t="inlineStr">
        <is>
          <t>Cooling tower / closed cooling circuit</t>
        </is>
      </c>
      <c r="G239" s="15" t="inlineStr">
        <is>
          <t>STD – Structural deficiency</t>
        </is>
      </c>
    </row>
    <row r="240">
      <c r="F240" s="15" t="inlineStr">
        <is>
          <t>Cooling tower / closed cooling circuit</t>
        </is>
      </c>
      <c r="G240" s="15" t="inlineStr">
        <is>
          <t>OTH – Other</t>
        </is>
      </c>
    </row>
    <row r="241">
      <c r="F241" s="15" t="inlineStr">
        <is>
          <t>Bag filter / dust collector</t>
        </is>
      </c>
      <c r="G241" s="15" t="inlineStr">
        <is>
          <t>PLU – High differential pressure / bag blinding</t>
        </is>
      </c>
    </row>
    <row r="242">
      <c r="F242" s="15" t="inlineStr">
        <is>
          <t>Bag filter / dust collector</t>
        </is>
      </c>
      <c r="G242" s="15" t="inlineStr">
        <is>
          <t>ELP – Bag rupture – dust emission</t>
        </is>
      </c>
    </row>
    <row r="243">
      <c r="F243" s="15" t="inlineStr">
        <is>
          <t>Bag filter / dust collector</t>
        </is>
      </c>
      <c r="G243" s="15" t="inlineStr">
        <is>
          <t>OTH – Fire / explosion</t>
        </is>
      </c>
    </row>
    <row r="244">
      <c r="F244" s="15" t="inlineStr">
        <is>
          <t>Bag filter / dust collector</t>
        </is>
      </c>
      <c r="G244" s="15" t="inlineStr">
        <is>
          <t>PLU – Hopper blockage</t>
        </is>
      </c>
    </row>
    <row r="245">
      <c r="F245" s="15" t="inlineStr">
        <is>
          <t>Bag filter / dust collector</t>
        </is>
      </c>
      <c r="G245" s="15" t="inlineStr">
        <is>
          <t>FTF – Cleaning system failure</t>
        </is>
      </c>
    </row>
    <row r="246">
      <c r="F246" s="15" t="inlineStr">
        <is>
          <t>Bag filter / dust collector</t>
        </is>
      </c>
      <c r="G246" s="15" t="inlineStr">
        <is>
          <t>OTH – Other</t>
        </is>
      </c>
    </row>
    <row r="247">
      <c r="F247" s="15" t="inlineStr">
        <is>
          <t>Ladle &amp; ladle / transfer car</t>
        </is>
      </c>
      <c r="G247" s="15" t="inlineStr">
        <is>
          <t>STD – Trunnion / shell crack</t>
        </is>
      </c>
    </row>
    <row r="248">
      <c r="F248" s="15" t="inlineStr">
        <is>
          <t>Ladle &amp; ladle / transfer car</t>
        </is>
      </c>
      <c r="G248" s="15" t="inlineStr">
        <is>
          <t>FTC – Slide gate fails to close</t>
        </is>
      </c>
    </row>
    <row r="249">
      <c r="F249" s="15" t="inlineStr">
        <is>
          <t>Ladle &amp; ladle / transfer car</t>
        </is>
      </c>
      <c r="G249" s="15" t="inlineStr">
        <is>
          <t>LCP – Slide gate leakage</t>
        </is>
      </c>
    </row>
    <row r="250">
      <c r="F250" s="15" t="inlineStr">
        <is>
          <t>Ladle &amp; ladle / transfer car</t>
        </is>
      </c>
      <c r="G250" s="15" t="inlineStr">
        <is>
          <t>FTS – Car fails to travel</t>
        </is>
      </c>
    </row>
    <row r="251">
      <c r="F251" s="15" t="inlineStr">
        <is>
          <t>Ladle &amp; ladle / transfer car</t>
        </is>
      </c>
      <c r="G251" s="15" t="inlineStr">
        <is>
          <t>OTH – Derailment / collision</t>
        </is>
      </c>
    </row>
    <row r="252">
      <c r="F252" s="15" t="inlineStr">
        <is>
          <t>Ladle &amp; ladle / transfer car</t>
        </is>
      </c>
      <c r="G252" s="15" t="inlineStr">
        <is>
          <t>BRD – Breakout</t>
        </is>
      </c>
    </row>
    <row r="253">
      <c r="F253" s="15" t="inlineStr">
        <is>
          <t>Ladle &amp; ladle / transfer car</t>
        </is>
      </c>
      <c r="G253" s="15" t="inlineStr">
        <is>
          <t>OTH – 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70" customWidth="1" min="4" max="4"/>
    <col width="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RATING SCALES</t>
        </is>
      </c>
    </row>
    <row r="2">
      <c r="A2" s="2" t="inlineStr">
        <is>
          <t>Typical process-plant scales – calibrate Occurrence with site failure history / reliability data and align Severity with the HAZOP risk matrix before the study.</t>
        </is>
      </c>
    </row>
    <row r="4">
      <c r="B4" s="7" t="inlineStr">
        <is>
          <t>Severity (S)</t>
        </is>
      </c>
      <c r="C4" s="7" t="inlineStr">
        <is>
          <t>Rank</t>
        </is>
      </c>
      <c r="D4" s="7" t="inlineStr">
        <is>
          <t>Criteria</t>
        </is>
      </c>
    </row>
    <row r="5">
      <c r="B5" s="10" t="inlineStr">
        <is>
          <t>10 – Hazardous – without warning</t>
        </is>
      </c>
      <c r="C5" s="12" t="inlineStr">
        <is>
          <t>Hazardous – without warning</t>
        </is>
      </c>
      <c r="D5" s="12" t="inlineStr">
        <is>
          <t>Failure can cause fatality, major fire / explosion or major environmental release without warning</t>
        </is>
      </c>
    </row>
    <row r="6">
      <c r="B6" s="10" t="inlineStr">
        <is>
          <t>9 – Hazardous – with warning</t>
        </is>
      </c>
      <c r="C6" s="12" t="inlineStr">
        <is>
          <t>Hazardous – with warning</t>
        </is>
      </c>
      <c r="D6" s="12" t="inlineStr">
        <is>
          <t>Failure can cause fatality, serious injury or major release, with some warning</t>
        </is>
      </c>
    </row>
    <row r="7">
      <c r="B7" s="10" t="inlineStr">
        <is>
          <t>8 – Very high</t>
        </is>
      </c>
      <c r="C7" s="12" t="inlineStr">
        <is>
          <t>Very high</t>
        </is>
      </c>
      <c r="D7" s="12" t="inlineStr">
        <is>
          <t>Loss of primary function; plant / unit shutdown &gt; 1 week or major equipment damage</t>
        </is>
      </c>
    </row>
    <row r="8">
      <c r="B8" s="10" t="inlineStr">
        <is>
          <t>7 – High</t>
        </is>
      </c>
      <c r="C8" s="12" t="inlineStr">
        <is>
          <t>High</t>
        </is>
      </c>
      <c r="D8" s="12" t="inlineStr">
        <is>
          <t>Loss of function; unit shutdown or major production loss of several days</t>
        </is>
      </c>
    </row>
    <row r="9">
      <c r="B9" s="10" t="inlineStr">
        <is>
          <t>6 – Moderate</t>
        </is>
      </c>
      <c r="C9" s="12" t="inlineStr">
        <is>
          <t>Moderate</t>
        </is>
      </c>
      <c r="D9" s="12" t="inlineStr">
        <is>
          <t>Partial loss of function; reduced throughput or quality; significant repair cost</t>
        </is>
      </c>
    </row>
    <row r="10">
      <c r="B10" s="10" t="inlineStr">
        <is>
          <t>5 – Low</t>
        </is>
      </c>
      <c r="C10" s="12" t="inlineStr">
        <is>
          <t>Low</t>
        </is>
      </c>
      <c r="D10" s="12" t="inlineStr">
        <is>
          <t>Reduced performance; repair without shutdown at notable cost; minor reportable incident</t>
        </is>
      </c>
    </row>
    <row r="11">
      <c r="B11" s="10" t="inlineStr">
        <is>
          <t>4 – Very low</t>
        </is>
      </c>
      <c r="C11" s="12" t="inlineStr">
        <is>
          <t>Very low</t>
        </is>
      </c>
      <c r="D11" s="12" t="inlineStr">
        <is>
          <t>Minor performance degradation noticed by operators; routine repair</t>
        </is>
      </c>
    </row>
    <row r="12">
      <c r="B12" s="10" t="inlineStr">
        <is>
          <t>3 – Minor</t>
        </is>
      </c>
      <c r="C12" s="12" t="inlineStr">
        <is>
          <t>Minor</t>
        </is>
      </c>
      <c r="D12" s="12" t="inlineStr">
        <is>
          <t>Minor effect on performance; repair at next opportunity</t>
        </is>
      </c>
    </row>
    <row r="13">
      <c r="B13" s="10" t="inlineStr">
        <is>
          <t>2 – Very minor</t>
        </is>
      </c>
      <c r="C13" s="12" t="inlineStr">
        <is>
          <t>Very minor</t>
        </is>
      </c>
      <c r="D13" s="12" t="inlineStr">
        <is>
          <t>Negligible effect; cosmetic or nuisance</t>
        </is>
      </c>
    </row>
    <row r="14">
      <c r="B14" s="10" t="inlineStr">
        <is>
          <t>1 – None</t>
        </is>
      </c>
      <c r="C14" s="12" t="inlineStr">
        <is>
          <t>None</t>
        </is>
      </c>
      <c r="D14" s="12" t="inlineStr">
        <is>
          <t>No discernible effect</t>
        </is>
      </c>
    </row>
    <row r="16">
      <c r="B16" s="7" t="inlineStr">
        <is>
          <t>Occurrence (O)</t>
        </is>
      </c>
      <c r="C16" s="7" t="inlineStr">
        <is>
          <t>Rank</t>
        </is>
      </c>
      <c r="D16" s="7" t="inlineStr">
        <is>
          <t>Criteria</t>
        </is>
      </c>
    </row>
    <row r="17">
      <c r="B17" s="10" t="inlineStr">
        <is>
          <t>10 – Very high</t>
        </is>
      </c>
      <c r="C17" s="12" t="inlineStr">
        <is>
          <t>Very high</t>
        </is>
      </c>
      <c r="D17" s="12" t="inlineStr">
        <is>
          <t>More than once per month</t>
        </is>
      </c>
    </row>
    <row r="18">
      <c r="B18" s="10" t="inlineStr">
        <is>
          <t>9 – Very high</t>
        </is>
      </c>
      <c r="C18" s="12" t="inlineStr">
        <is>
          <t>Very high</t>
        </is>
      </c>
      <c r="D18" s="12" t="inlineStr">
        <is>
          <t>Once per 1–3 months</t>
        </is>
      </c>
    </row>
    <row r="19">
      <c r="B19" s="10" t="inlineStr">
        <is>
          <t>8 – High</t>
        </is>
      </c>
      <c r="C19" s="12" t="inlineStr">
        <is>
          <t>High</t>
        </is>
      </c>
      <c r="D19" s="12" t="inlineStr">
        <is>
          <t>Once per 3–6 months</t>
        </is>
      </c>
    </row>
    <row r="20">
      <c r="B20" s="10" t="inlineStr">
        <is>
          <t>7 – High</t>
        </is>
      </c>
      <c r="C20" s="12" t="inlineStr">
        <is>
          <t>High</t>
        </is>
      </c>
      <c r="D20" s="12" t="inlineStr">
        <is>
          <t>Once per 6–12 months</t>
        </is>
      </c>
    </row>
    <row r="21">
      <c r="B21" s="10" t="inlineStr">
        <is>
          <t>6 – Moderate</t>
        </is>
      </c>
      <c r="C21" s="12" t="inlineStr">
        <is>
          <t>Moderate</t>
        </is>
      </c>
      <c r="D21" s="12" t="inlineStr">
        <is>
          <t>Once per 1–2 years</t>
        </is>
      </c>
    </row>
    <row r="22">
      <c r="B22" s="10" t="inlineStr">
        <is>
          <t>5 – Moderate</t>
        </is>
      </c>
      <c r="C22" s="12" t="inlineStr">
        <is>
          <t>Moderate</t>
        </is>
      </c>
      <c r="D22" s="12" t="inlineStr">
        <is>
          <t>Once per 2–5 years</t>
        </is>
      </c>
    </row>
    <row r="23">
      <c r="B23" s="10" t="inlineStr">
        <is>
          <t>4 – Low</t>
        </is>
      </c>
      <c r="C23" s="12" t="inlineStr">
        <is>
          <t>Low</t>
        </is>
      </c>
      <c r="D23" s="12" t="inlineStr">
        <is>
          <t>Once per 5–10 years</t>
        </is>
      </c>
    </row>
    <row r="24">
      <c r="B24" s="10" t="inlineStr">
        <is>
          <t>3 – Low</t>
        </is>
      </c>
      <c r="C24" s="12" t="inlineStr">
        <is>
          <t>Low</t>
        </is>
      </c>
      <c r="D24" s="12" t="inlineStr">
        <is>
          <t>Once per 10–20 years</t>
        </is>
      </c>
    </row>
    <row r="25">
      <c r="B25" s="10" t="inlineStr">
        <is>
          <t>2 – Remote</t>
        </is>
      </c>
      <c r="C25" s="12" t="inlineStr">
        <is>
          <t>Remote</t>
        </is>
      </c>
      <c r="D25" s="12" t="inlineStr">
        <is>
          <t>Once per 20–50 years</t>
        </is>
      </c>
    </row>
    <row r="26">
      <c r="B26" s="10" t="inlineStr">
        <is>
          <t>1 – Extremely remote</t>
        </is>
      </c>
      <c r="C26" s="12" t="inlineStr">
        <is>
          <t>Extremely remote</t>
        </is>
      </c>
      <c r="D26" s="12" t="inlineStr">
        <is>
          <t>Less than once per 50 years</t>
        </is>
      </c>
    </row>
    <row r="28">
      <c r="B28" s="7" t="inlineStr">
        <is>
          <t>Detection (D)</t>
        </is>
      </c>
      <c r="C28" s="7" t="inlineStr">
        <is>
          <t>Rank</t>
        </is>
      </c>
      <c r="D28" s="7" t="inlineStr">
        <is>
          <t>Criteria</t>
        </is>
      </c>
    </row>
    <row r="29">
      <c r="B29" s="10" t="inlineStr">
        <is>
          <t>10 – Absolute uncertainty</t>
        </is>
      </c>
      <c r="C29" s="12" t="inlineStr">
        <is>
          <t>Absolute uncertainty</t>
        </is>
      </c>
      <c r="D29" s="12" t="inlineStr">
        <is>
          <t>Hidden failure – no means of detection before demand / functional failure</t>
        </is>
      </c>
    </row>
    <row r="30">
      <c r="B30" s="10" t="inlineStr">
        <is>
          <t>9 – Very remote</t>
        </is>
      </c>
      <c r="C30" s="12" t="inlineStr">
        <is>
          <t>Very remote</t>
        </is>
      </c>
      <c r="D30" s="12" t="inlineStr">
        <is>
          <t>Detected only after functional failure has occurred</t>
        </is>
      </c>
    </row>
    <row r="31">
      <c r="B31" s="10" t="inlineStr">
        <is>
          <t>8 – Remote</t>
        </is>
      </c>
      <c r="C31" s="12" t="inlineStr">
        <is>
          <t>Remote</t>
        </is>
      </c>
      <c r="D31" s="12" t="inlineStr">
        <is>
          <t>Detected only at proof test or shutdown inspection</t>
        </is>
      </c>
    </row>
    <row r="32">
      <c r="B32" s="10" t="inlineStr">
        <is>
          <t>7 – Very low</t>
        </is>
      </c>
      <c r="C32" s="12" t="inlineStr">
        <is>
          <t>Very low</t>
        </is>
      </c>
      <c r="D32" s="12" t="inlineStr">
        <is>
          <t>Detected only by operator senses (sight, sound, smell) on rounds</t>
        </is>
      </c>
    </row>
    <row r="33">
      <c r="B33" s="10" t="inlineStr">
        <is>
          <t>6 – Low</t>
        </is>
      </c>
      <c r="C33" s="12" t="inlineStr">
        <is>
          <t>Low</t>
        </is>
      </c>
      <c r="D33" s="12" t="inlineStr">
        <is>
          <t>Periodic inspection with limited ability to detect the failure mechanism</t>
        </is>
      </c>
    </row>
    <row r="34">
      <c r="B34" s="10" t="inlineStr">
        <is>
          <t>5 – Moderate</t>
        </is>
      </c>
      <c r="C34" s="12" t="inlineStr">
        <is>
          <t>Moderate</t>
        </is>
      </c>
      <c r="D34" s="12" t="inlineStr">
        <is>
          <t>Periodic condition monitoring (e.g. quarterly) or instrumented operator rounds</t>
        </is>
      </c>
    </row>
    <row r="35">
      <c r="B35" s="10" t="inlineStr">
        <is>
          <t>4 – Moderately high</t>
        </is>
      </c>
      <c r="C35" s="12" t="inlineStr">
        <is>
          <t>Moderately high</t>
        </is>
      </c>
      <c r="D35" s="12" t="inlineStr">
        <is>
          <t>Frequent condition monitoring (e.g. monthly) with good detection capability</t>
        </is>
      </c>
    </row>
    <row r="36">
      <c r="B36" s="10" t="inlineStr">
        <is>
          <t>3 – High</t>
        </is>
      </c>
      <c r="C36" s="12" t="inlineStr">
        <is>
          <t>High</t>
        </is>
      </c>
      <c r="D36" s="12" t="inlineStr">
        <is>
          <t>Online monitoring with alarm; detection with time to act</t>
        </is>
      </c>
    </row>
    <row r="37">
      <c r="B37" s="10" t="inlineStr">
        <is>
          <t>2 – Very high</t>
        </is>
      </c>
      <c r="C37" s="12" t="inlineStr">
        <is>
          <t>Very high</t>
        </is>
      </c>
      <c r="D37" s="12" t="inlineStr">
        <is>
          <t>Online monitoring with alarm and automatic protection; early detection</t>
        </is>
      </c>
    </row>
    <row r="38">
      <c r="B38" s="10" t="inlineStr">
        <is>
          <t>1 – Almost certain</t>
        </is>
      </c>
      <c r="C38" s="12" t="inlineStr">
        <is>
          <t>Almost certain</t>
        </is>
      </c>
      <c r="D38" s="12" t="inlineStr">
        <is>
          <t>Failure mechanism prevented or detected continuously well before functional failure</t>
        </is>
      </c>
    </row>
    <row r="40">
      <c r="B40" s="7" t="inlineStr">
        <is>
          <t>Action thresholds (editable)</t>
        </is>
      </c>
      <c r="C40" s="7" t="inlineStr">
        <is>
          <t>Value</t>
        </is>
      </c>
      <c r="D40" s="7" t="inlineStr">
        <is>
          <t>Meaning</t>
        </is>
      </c>
    </row>
    <row r="41">
      <c r="B41" s="10" t="inlineStr">
        <is>
          <t>Severity threshold</t>
        </is>
      </c>
      <c r="C41" s="16" t="n">
        <v>9</v>
      </c>
      <c r="D41" s="12" t="inlineStr">
        <is>
          <t>Action required for any failure mode with S at or above this value</t>
        </is>
      </c>
    </row>
    <row r="42">
      <c r="B42" s="10" t="inlineStr">
        <is>
          <t>RPN threshold</t>
        </is>
      </c>
      <c r="C42" s="16" t="n">
        <v>125</v>
      </c>
      <c r="D42" s="12" t="inlineStr">
        <is>
          <t>Action required for any failure mode with RPN at or above this value</t>
        </is>
      </c>
    </row>
    <row r="43">
      <c r="B43" s="10" t="inlineStr">
        <is>
          <t>Action Priority</t>
        </is>
      </c>
      <c r="C43" s="16" t="inlineStr">
        <is>
          <t>H</t>
        </is>
      </c>
      <c r="D43" s="12" t="inlineStr">
        <is>
          <t>Action required for every failure mode with Action Priority H (and justify M items left without action)</t>
        </is>
      </c>
    </row>
    <row r="46">
      <c r="B46" s="17" t="inlineStr">
        <is>
          <t>ACTION PRIORITY (AP) TABLE</t>
        </is>
      </c>
    </row>
    <row r="47">
      <c r="B47" s="18" t="inlineStr">
        <is>
          <t>Based on the AIAG-VDA FMEA Handbook (2019) Action Priority logic. Editable – verify against your licensed copy / company standard.</t>
        </is>
      </c>
    </row>
    <row r="49">
      <c r="B49" s="7" t="inlineStr">
        <is>
          <t>Severity band</t>
        </is>
      </c>
      <c r="C49" s="7" t="inlineStr">
        <is>
          <t>Occurrence band</t>
        </is>
      </c>
      <c r="D49" s="7" t="inlineStr">
        <is>
          <t>Detection band →</t>
        </is>
      </c>
      <c r="E49" s="7" t="inlineStr">
        <is>
          <t>D 7–10</t>
        </is>
      </c>
      <c r="F49" s="7" t="inlineStr">
        <is>
          <t>D 5–6</t>
        </is>
      </c>
      <c r="G49" s="7" t="inlineStr">
        <is>
          <t>D 2–4</t>
        </is>
      </c>
      <c r="H49" s="7" t="inlineStr">
        <is>
          <t>D 1</t>
        </is>
      </c>
    </row>
    <row r="50">
      <c r="B50" s="10" t="inlineStr">
        <is>
          <t>S 9–10</t>
        </is>
      </c>
      <c r="C50" s="6" t="inlineStr">
        <is>
          <t>O 8–10</t>
        </is>
      </c>
      <c r="E50" s="19" t="inlineStr">
        <is>
          <t>H</t>
        </is>
      </c>
      <c r="F50" s="19" t="inlineStr">
        <is>
          <t>H</t>
        </is>
      </c>
      <c r="G50" s="19" t="inlineStr">
        <is>
          <t>H</t>
        </is>
      </c>
      <c r="H50" s="19" t="inlineStr">
        <is>
          <t>H</t>
        </is>
      </c>
    </row>
    <row r="51">
      <c r="B51" s="10" t="inlineStr">
        <is>
          <t>S 9–10</t>
        </is>
      </c>
      <c r="C51" s="6" t="inlineStr">
        <is>
          <t>O 6–7</t>
        </is>
      </c>
      <c r="E51" s="19" t="inlineStr">
        <is>
          <t>H</t>
        </is>
      </c>
      <c r="F51" s="19" t="inlineStr">
        <is>
          <t>H</t>
        </is>
      </c>
      <c r="G51" s="19" t="inlineStr">
        <is>
          <t>H</t>
        </is>
      </c>
      <c r="H51" s="19" t="inlineStr">
        <is>
          <t>H</t>
        </is>
      </c>
    </row>
    <row r="52">
      <c r="B52" s="10" t="inlineStr">
        <is>
          <t>S 9–10</t>
        </is>
      </c>
      <c r="C52" s="6" t="inlineStr">
        <is>
          <t>O 4–5</t>
        </is>
      </c>
      <c r="E52" s="19" t="inlineStr">
        <is>
          <t>H</t>
        </is>
      </c>
      <c r="F52" s="19" t="inlineStr">
        <is>
          <t>H</t>
        </is>
      </c>
      <c r="G52" s="19" t="inlineStr">
        <is>
          <t>H</t>
        </is>
      </c>
      <c r="H52" s="19" t="inlineStr">
        <is>
          <t>M</t>
        </is>
      </c>
    </row>
    <row r="53">
      <c r="B53" s="10" t="inlineStr">
        <is>
          <t>S 9–10</t>
        </is>
      </c>
      <c r="C53" s="6" t="inlineStr">
        <is>
          <t>O 2–3</t>
        </is>
      </c>
      <c r="E53" s="19" t="inlineStr">
        <is>
          <t>H</t>
        </is>
      </c>
      <c r="F53" s="19" t="inlineStr">
        <is>
          <t>M</t>
        </is>
      </c>
      <c r="G53" s="19" t="inlineStr">
        <is>
          <t>L</t>
        </is>
      </c>
      <c r="H53" s="19" t="inlineStr">
        <is>
          <t>L</t>
        </is>
      </c>
    </row>
    <row r="54">
      <c r="B54" s="10" t="inlineStr">
        <is>
          <t>S 9–10</t>
        </is>
      </c>
      <c r="C54" s="6" t="inlineStr">
        <is>
          <t>O 1</t>
        </is>
      </c>
      <c r="E54" s="19" t="inlineStr">
        <is>
          <t>L</t>
        </is>
      </c>
      <c r="F54" s="19" t="inlineStr">
        <is>
          <t>L</t>
        </is>
      </c>
      <c r="G54" s="19" t="inlineStr">
        <is>
          <t>L</t>
        </is>
      </c>
      <c r="H54" s="19" t="inlineStr">
        <is>
          <t>L</t>
        </is>
      </c>
    </row>
    <row r="55">
      <c r="B55" s="10" t="inlineStr">
        <is>
          <t>S 7–8</t>
        </is>
      </c>
      <c r="C55" s="6" t="inlineStr">
        <is>
          <t>O 8–10</t>
        </is>
      </c>
      <c r="E55" s="19" t="inlineStr">
        <is>
          <t>H</t>
        </is>
      </c>
      <c r="F55" s="19" t="inlineStr">
        <is>
          <t>H</t>
        </is>
      </c>
      <c r="G55" s="19" t="inlineStr">
        <is>
          <t>H</t>
        </is>
      </c>
      <c r="H55" s="19" t="inlineStr">
        <is>
          <t>H</t>
        </is>
      </c>
    </row>
    <row r="56">
      <c r="B56" s="10" t="inlineStr">
        <is>
          <t>S 7–8</t>
        </is>
      </c>
      <c r="C56" s="6" t="inlineStr">
        <is>
          <t>O 6–7</t>
        </is>
      </c>
      <c r="E56" s="19" t="inlineStr">
        <is>
          <t>H</t>
        </is>
      </c>
      <c r="F56" s="19" t="inlineStr">
        <is>
          <t>H</t>
        </is>
      </c>
      <c r="G56" s="19" t="inlineStr">
        <is>
          <t>H</t>
        </is>
      </c>
      <c r="H56" s="19" t="inlineStr">
        <is>
          <t>M</t>
        </is>
      </c>
    </row>
    <row r="57">
      <c r="B57" s="10" t="inlineStr">
        <is>
          <t>S 7–8</t>
        </is>
      </c>
      <c r="C57" s="6" t="inlineStr">
        <is>
          <t>O 4–5</t>
        </is>
      </c>
      <c r="E57" s="19" t="inlineStr">
        <is>
          <t>H</t>
        </is>
      </c>
      <c r="F57" s="19" t="inlineStr">
        <is>
          <t>M</t>
        </is>
      </c>
      <c r="G57" s="19" t="inlineStr">
        <is>
          <t>M</t>
        </is>
      </c>
      <c r="H57" s="19" t="inlineStr">
        <is>
          <t>M</t>
        </is>
      </c>
    </row>
    <row r="58">
      <c r="B58" s="10" t="inlineStr">
        <is>
          <t>S 7–8</t>
        </is>
      </c>
      <c r="C58" s="6" t="inlineStr">
        <is>
          <t>O 2–3</t>
        </is>
      </c>
      <c r="E58" s="19" t="inlineStr">
        <is>
          <t>M</t>
        </is>
      </c>
      <c r="F58" s="19" t="inlineStr">
        <is>
          <t>M</t>
        </is>
      </c>
      <c r="G58" s="19" t="inlineStr">
        <is>
          <t>L</t>
        </is>
      </c>
      <c r="H58" s="19" t="inlineStr">
        <is>
          <t>L</t>
        </is>
      </c>
    </row>
    <row r="59">
      <c r="B59" s="10" t="inlineStr">
        <is>
          <t>S 7–8</t>
        </is>
      </c>
      <c r="C59" s="6" t="inlineStr">
        <is>
          <t>O 1</t>
        </is>
      </c>
      <c r="E59" s="19" t="inlineStr">
        <is>
          <t>L</t>
        </is>
      </c>
      <c r="F59" s="19" t="inlineStr">
        <is>
          <t>L</t>
        </is>
      </c>
      <c r="G59" s="19" t="inlineStr">
        <is>
          <t>L</t>
        </is>
      </c>
      <c r="H59" s="19" t="inlineStr">
        <is>
          <t>L</t>
        </is>
      </c>
    </row>
    <row r="60">
      <c r="B60" s="10" t="inlineStr">
        <is>
          <t>S 4–6</t>
        </is>
      </c>
      <c r="C60" s="6" t="inlineStr">
        <is>
          <t>O 8–10</t>
        </is>
      </c>
      <c r="E60" s="19" t="inlineStr">
        <is>
          <t>H</t>
        </is>
      </c>
      <c r="F60" s="19" t="inlineStr">
        <is>
          <t>H</t>
        </is>
      </c>
      <c r="G60" s="19" t="inlineStr">
        <is>
          <t>M</t>
        </is>
      </c>
      <c r="H60" s="19" t="inlineStr">
        <is>
          <t>M</t>
        </is>
      </c>
    </row>
    <row r="61">
      <c r="B61" s="10" t="inlineStr">
        <is>
          <t>S 4–6</t>
        </is>
      </c>
      <c r="C61" s="6" t="inlineStr">
        <is>
          <t>O 6–7</t>
        </is>
      </c>
      <c r="E61" s="19" t="inlineStr">
        <is>
          <t>M</t>
        </is>
      </c>
      <c r="F61" s="19" t="inlineStr">
        <is>
          <t>M</t>
        </is>
      </c>
      <c r="G61" s="19" t="inlineStr">
        <is>
          <t>M</t>
        </is>
      </c>
      <c r="H61" s="19" t="inlineStr">
        <is>
          <t>L</t>
        </is>
      </c>
    </row>
    <row r="62">
      <c r="B62" s="10" t="inlineStr">
        <is>
          <t>S 4–6</t>
        </is>
      </c>
      <c r="C62" s="6" t="inlineStr">
        <is>
          <t>O 4–5</t>
        </is>
      </c>
      <c r="E62" s="19" t="inlineStr">
        <is>
          <t>M</t>
        </is>
      </c>
      <c r="F62" s="19" t="inlineStr">
        <is>
          <t>L</t>
        </is>
      </c>
      <c r="G62" s="19" t="inlineStr">
        <is>
          <t>L</t>
        </is>
      </c>
      <c r="H62" s="19" t="inlineStr">
        <is>
          <t>L</t>
        </is>
      </c>
    </row>
    <row r="63">
      <c r="B63" s="10" t="inlineStr">
        <is>
          <t>S 4–6</t>
        </is>
      </c>
      <c r="C63" s="6" t="inlineStr">
        <is>
          <t>O 2–3</t>
        </is>
      </c>
      <c r="E63" s="19" t="inlineStr">
        <is>
          <t>L</t>
        </is>
      </c>
      <c r="F63" s="19" t="inlineStr">
        <is>
          <t>L</t>
        </is>
      </c>
      <c r="G63" s="19" t="inlineStr">
        <is>
          <t>L</t>
        </is>
      </c>
      <c r="H63" s="19" t="inlineStr">
        <is>
          <t>L</t>
        </is>
      </c>
    </row>
    <row r="64">
      <c r="B64" s="10" t="inlineStr">
        <is>
          <t>S 4–6</t>
        </is>
      </c>
      <c r="C64" s="6" t="inlineStr">
        <is>
          <t>O 1</t>
        </is>
      </c>
      <c r="E64" s="19" t="inlineStr">
        <is>
          <t>L</t>
        </is>
      </c>
      <c r="F64" s="19" t="inlineStr">
        <is>
          <t>L</t>
        </is>
      </c>
      <c r="G64" s="19" t="inlineStr">
        <is>
          <t>L</t>
        </is>
      </c>
      <c r="H64" s="19" t="inlineStr">
        <is>
          <t>L</t>
        </is>
      </c>
    </row>
    <row r="65">
      <c r="B65" s="10" t="inlineStr">
        <is>
          <t>S 2–3</t>
        </is>
      </c>
      <c r="C65" s="6" t="inlineStr">
        <is>
          <t>O 8–10</t>
        </is>
      </c>
      <c r="E65" s="19" t="inlineStr">
        <is>
          <t>M</t>
        </is>
      </c>
      <c r="F65" s="19" t="inlineStr">
        <is>
          <t>M</t>
        </is>
      </c>
      <c r="G65" s="19" t="inlineStr">
        <is>
          <t>L</t>
        </is>
      </c>
      <c r="H65" s="19" t="inlineStr">
        <is>
          <t>L</t>
        </is>
      </c>
    </row>
    <row r="66">
      <c r="B66" s="10" t="inlineStr">
        <is>
          <t>S 2–3</t>
        </is>
      </c>
      <c r="C66" s="6" t="inlineStr">
        <is>
          <t>O 6–7</t>
        </is>
      </c>
      <c r="E66" s="19" t="inlineStr">
        <is>
          <t>L</t>
        </is>
      </c>
      <c r="F66" s="19" t="inlineStr">
        <is>
          <t>L</t>
        </is>
      </c>
      <c r="G66" s="19" t="inlineStr">
        <is>
          <t>L</t>
        </is>
      </c>
      <c r="H66" s="19" t="inlineStr">
        <is>
          <t>L</t>
        </is>
      </c>
    </row>
    <row r="67">
      <c r="B67" s="10" t="inlineStr">
        <is>
          <t>S 2–3</t>
        </is>
      </c>
      <c r="C67" s="6" t="inlineStr">
        <is>
          <t>O 4–5</t>
        </is>
      </c>
      <c r="E67" s="19" t="inlineStr">
        <is>
          <t>L</t>
        </is>
      </c>
      <c r="F67" s="19" t="inlineStr">
        <is>
          <t>L</t>
        </is>
      </c>
      <c r="G67" s="19" t="inlineStr">
        <is>
          <t>L</t>
        </is>
      </c>
      <c r="H67" s="19" t="inlineStr">
        <is>
          <t>L</t>
        </is>
      </c>
    </row>
    <row r="68">
      <c r="B68" s="10" t="inlineStr">
        <is>
          <t>S 2–3</t>
        </is>
      </c>
      <c r="C68" s="6" t="inlineStr">
        <is>
          <t>O 2–3</t>
        </is>
      </c>
      <c r="E68" s="19" t="inlineStr">
        <is>
          <t>L</t>
        </is>
      </c>
      <c r="F68" s="19" t="inlineStr">
        <is>
          <t>L</t>
        </is>
      </c>
      <c r="G68" s="19" t="inlineStr">
        <is>
          <t>L</t>
        </is>
      </c>
      <c r="H68" s="19" t="inlineStr">
        <is>
          <t>L</t>
        </is>
      </c>
    </row>
    <row r="69">
      <c r="B69" s="10" t="inlineStr">
        <is>
          <t>S 2–3</t>
        </is>
      </c>
      <c r="C69" s="6" t="inlineStr">
        <is>
          <t>O 1</t>
        </is>
      </c>
      <c r="E69" s="19" t="inlineStr">
        <is>
          <t>L</t>
        </is>
      </c>
      <c r="F69" s="19" t="inlineStr">
        <is>
          <t>L</t>
        </is>
      </c>
      <c r="G69" s="19" t="inlineStr">
        <is>
          <t>L</t>
        </is>
      </c>
      <c r="H69" s="19" t="inlineStr">
        <is>
          <t>L</t>
        </is>
      </c>
    </row>
    <row r="70">
      <c r="B70" s="10" t="inlineStr">
        <is>
          <t>S 1</t>
        </is>
      </c>
      <c r="C70" s="6" t="inlineStr">
        <is>
          <t>O 8–10</t>
        </is>
      </c>
      <c r="E70" s="19" t="inlineStr">
        <is>
          <t>L</t>
        </is>
      </c>
      <c r="F70" s="19" t="inlineStr">
        <is>
          <t>L</t>
        </is>
      </c>
      <c r="G70" s="19" t="inlineStr">
        <is>
          <t>L</t>
        </is>
      </c>
      <c r="H70" s="19" t="inlineStr">
        <is>
          <t>L</t>
        </is>
      </c>
    </row>
    <row r="71">
      <c r="B71" s="10" t="inlineStr">
        <is>
          <t>S 1</t>
        </is>
      </c>
      <c r="C71" s="6" t="inlineStr">
        <is>
          <t>O 6–7</t>
        </is>
      </c>
      <c r="E71" s="19" t="inlineStr">
        <is>
          <t>L</t>
        </is>
      </c>
      <c r="F71" s="19" t="inlineStr">
        <is>
          <t>L</t>
        </is>
      </c>
      <c r="G71" s="19" t="inlineStr">
        <is>
          <t>L</t>
        </is>
      </c>
      <c r="H71" s="19" t="inlineStr">
        <is>
          <t>L</t>
        </is>
      </c>
    </row>
    <row r="72">
      <c r="B72" s="10" t="inlineStr">
        <is>
          <t>S 1</t>
        </is>
      </c>
      <c r="C72" s="6" t="inlineStr">
        <is>
          <t>O 4–5</t>
        </is>
      </c>
      <c r="E72" s="19" t="inlineStr">
        <is>
          <t>L</t>
        </is>
      </c>
      <c r="F72" s="19" t="inlineStr">
        <is>
          <t>L</t>
        </is>
      </c>
      <c r="G72" s="19" t="inlineStr">
        <is>
          <t>L</t>
        </is>
      </c>
      <c r="H72" s="19" t="inlineStr">
        <is>
          <t>L</t>
        </is>
      </c>
    </row>
    <row r="73">
      <c r="B73" s="10" t="inlineStr">
        <is>
          <t>S 1</t>
        </is>
      </c>
      <c r="C73" s="6" t="inlineStr">
        <is>
          <t>O 2–3</t>
        </is>
      </c>
      <c r="E73" s="19" t="inlineStr">
        <is>
          <t>L</t>
        </is>
      </c>
      <c r="F73" s="19" t="inlineStr">
        <is>
          <t>L</t>
        </is>
      </c>
      <c r="G73" s="19" t="inlineStr">
        <is>
          <t>L</t>
        </is>
      </c>
      <c r="H73" s="19" t="inlineStr">
        <is>
          <t>L</t>
        </is>
      </c>
    </row>
    <row r="74">
      <c r="B74" s="10" t="inlineStr">
        <is>
          <t>S 1</t>
        </is>
      </c>
      <c r="C74" s="6" t="inlineStr">
        <is>
          <t>O 1</t>
        </is>
      </c>
      <c r="E74" s="19" t="inlineStr">
        <is>
          <t>L</t>
        </is>
      </c>
      <c r="F74" s="19" t="inlineStr">
        <is>
          <t>L</t>
        </is>
      </c>
      <c r="G74" s="19" t="inlineStr">
        <is>
          <t>L</t>
        </is>
      </c>
      <c r="H74" s="19" t="inlineStr">
        <is>
          <t>L</t>
        </is>
      </c>
    </row>
    <row r="76">
      <c r="B76" s="3" t="inlineStr">
        <is>
          <t>Band lower limits (used by the AP look-up – keep in descending band order as in the table above)</t>
        </is>
      </c>
    </row>
    <row r="77">
      <c r="B77" s="10" t="inlineStr">
        <is>
          <t>S band lower limits</t>
        </is>
      </c>
      <c r="E77" s="16" t="n">
        <v>9</v>
      </c>
      <c r="F77" s="16" t="n">
        <v>7</v>
      </c>
      <c r="G77" s="16" t="n">
        <v>4</v>
      </c>
      <c r="H77" s="16" t="n">
        <v>2</v>
      </c>
      <c r="I77" s="16" t="n">
        <v>1</v>
      </c>
    </row>
    <row r="78">
      <c r="B78" s="10" t="inlineStr">
        <is>
          <t>O band lower limits</t>
        </is>
      </c>
      <c r="E78" s="16" t="n">
        <v>8</v>
      </c>
      <c r="F78" s="16" t="n">
        <v>6</v>
      </c>
      <c r="G78" s="16" t="n">
        <v>4</v>
      </c>
      <c r="H78" s="16" t="n">
        <v>2</v>
      </c>
      <c r="I78" s="16" t="n">
        <v>1</v>
      </c>
    </row>
    <row r="79">
      <c r="B79" s="10" t="inlineStr">
        <is>
          <t>D band lower limits</t>
        </is>
      </c>
      <c r="E79" s="16" t="n">
        <v>7</v>
      </c>
      <c r="F79" s="16" t="n">
        <v>5</v>
      </c>
      <c r="G79" s="16" t="n">
        <v>2</v>
      </c>
      <c r="H79" s="16" t="n">
        <v>1</v>
      </c>
    </row>
  </sheetData>
  <conditionalFormatting sqref="E50:H74">
    <cfRule type="expression" priority="1" dxfId="0">
      <formula>E50="H"</formula>
    </cfRule>
    <cfRule type="expression" priority="2" dxfId="1">
      <formula>E50="M"</formula>
    </cfRule>
    <cfRule type="expression" priority="3" dxfId="2">
      <formula>E50="L"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FMECA SUMMARY</t>
        </is>
      </c>
    </row>
    <row r="2">
      <c r="A2" s="2" t="inlineStr">
        <is>
          <t>Counts per system worksheet (calculated).</t>
        </is>
      </c>
    </row>
    <row r="4">
      <c r="A4" s="7" t="inlineStr">
        <is>
          <t>Worksheet</t>
        </is>
      </c>
      <c r="B4" s="7" t="inlineStr">
        <is>
          <t>System</t>
        </is>
      </c>
      <c r="C4" s="7" t="inlineStr">
        <is>
          <t>Failure modes</t>
        </is>
      </c>
      <c r="D4" s="7" t="inlineStr">
        <is>
          <t>AP – High</t>
        </is>
      </c>
      <c r="E4" s="7" t="inlineStr">
        <is>
          <t>AP – Medium</t>
        </is>
      </c>
      <c r="F4" s="7" t="inlineStr">
        <is>
          <t>AP – Low</t>
        </is>
      </c>
      <c r="G4" s="7" t="inlineStr">
        <is>
          <t>Highest RPN</t>
        </is>
      </c>
      <c r="H4" s="7" t="inlineStr">
        <is>
          <t>Actions required</t>
        </is>
      </c>
      <c r="I4" s="7" t="inlineStr">
        <is>
          <t>Actions without owner</t>
        </is>
      </c>
      <c r="J4" s="7" t="inlineStr">
        <is>
          <t>AP High after action</t>
        </is>
      </c>
    </row>
    <row r="5">
      <c r="A5" s="12" t="inlineStr">
        <is>
          <t>System 01</t>
        </is>
      </c>
      <c r="B5" s="5">
        <f>IF('System 01'!$D$3="","",'System 01'!$D$3)</f>
        <v/>
      </c>
      <c r="C5" s="20">
        <f>COUNTIF('System 01'!$F$14:$F$113,"?*")</f>
        <v/>
      </c>
      <c r="D5" s="20">
        <f>COUNTIF('System 01'!$T$14:$T$113,"H")</f>
        <v/>
      </c>
      <c r="E5" s="20">
        <f>COUNTIF('System 01'!$T$14:$T$113,"M")</f>
        <v/>
      </c>
      <c r="F5" s="20">
        <f>COUNTIF('System 01'!$T$14:$T$113,"L")</f>
        <v/>
      </c>
      <c r="G5" s="20">
        <f>IF(COUNT('System 01'!$S$14:$S$113)=0,"",MAX('System 01'!$S$14:$S$113))</f>
        <v/>
      </c>
      <c r="H5" s="20">
        <f>COUNTIF('System 01'!$U$14:$U$113,"Yes")</f>
        <v/>
      </c>
      <c r="I5" s="20">
        <f>COUNTIFS('System 01'!$U$14:$U$113,"Yes",'System 01'!$X$14:$X$113,"")</f>
        <v/>
      </c>
      <c r="J5" s="20">
        <f>COUNTIF('System 01'!$AD$14:$AD$113,"H")</f>
        <v/>
      </c>
    </row>
    <row r="6">
      <c r="A6" s="12" t="inlineStr">
        <is>
          <t>System 02</t>
        </is>
      </c>
      <c r="B6" s="5">
        <f>IF('System 02'!$D$3="","",'System 02'!$D$3)</f>
        <v/>
      </c>
      <c r="C6" s="20">
        <f>COUNTIF('System 02'!$F$14:$F$113,"?*")</f>
        <v/>
      </c>
      <c r="D6" s="20">
        <f>COUNTIF('System 02'!$T$14:$T$113,"H")</f>
        <v/>
      </c>
      <c r="E6" s="20">
        <f>COUNTIF('System 02'!$T$14:$T$113,"M")</f>
        <v/>
      </c>
      <c r="F6" s="20">
        <f>COUNTIF('System 02'!$T$14:$T$113,"L")</f>
        <v/>
      </c>
      <c r="G6" s="20">
        <f>IF(COUNT('System 02'!$S$14:$S$113)=0,"",MAX('System 02'!$S$14:$S$113))</f>
        <v/>
      </c>
      <c r="H6" s="20">
        <f>COUNTIF('System 02'!$U$14:$U$113,"Yes")</f>
        <v/>
      </c>
      <c r="I6" s="20">
        <f>COUNTIFS('System 02'!$U$14:$U$113,"Yes",'System 02'!$X$14:$X$113,"")</f>
        <v/>
      </c>
      <c r="J6" s="20">
        <f>COUNTIF('System 02'!$AD$14:$AD$113,"H")</f>
        <v/>
      </c>
    </row>
    <row r="7">
      <c r="A7" s="12" t="inlineStr">
        <is>
          <t>System 03</t>
        </is>
      </c>
      <c r="B7" s="5">
        <f>IF('System 03'!$D$3="","",'System 03'!$D$3)</f>
        <v/>
      </c>
      <c r="C7" s="20">
        <f>COUNTIF('System 03'!$F$14:$F$113,"?*")</f>
        <v/>
      </c>
      <c r="D7" s="20">
        <f>COUNTIF('System 03'!$T$14:$T$113,"H")</f>
        <v/>
      </c>
      <c r="E7" s="20">
        <f>COUNTIF('System 03'!$T$14:$T$113,"M")</f>
        <v/>
      </c>
      <c r="F7" s="20">
        <f>COUNTIF('System 03'!$T$14:$T$113,"L")</f>
        <v/>
      </c>
      <c r="G7" s="20">
        <f>IF(COUNT('System 03'!$S$14:$S$113)=0,"",MAX('System 03'!$S$14:$S$113))</f>
        <v/>
      </c>
      <c r="H7" s="20">
        <f>COUNTIF('System 03'!$U$14:$U$113,"Yes")</f>
        <v/>
      </c>
      <c r="I7" s="20">
        <f>COUNTIFS('System 03'!$U$14:$U$113,"Yes",'System 03'!$X$14:$X$113,"")</f>
        <v/>
      </c>
      <c r="J7" s="20">
        <f>COUNTIF('System 03'!$AD$14:$AD$113,"H")</f>
        <v/>
      </c>
    </row>
    <row r="8">
      <c r="A8" s="12" t="inlineStr">
        <is>
          <t>System 04</t>
        </is>
      </c>
      <c r="B8" s="5">
        <f>IF('System 04'!$D$3="","",'System 04'!$D$3)</f>
        <v/>
      </c>
      <c r="C8" s="20">
        <f>COUNTIF('System 04'!$F$14:$F$113,"?*")</f>
        <v/>
      </c>
      <c r="D8" s="20">
        <f>COUNTIF('System 04'!$T$14:$T$113,"H")</f>
        <v/>
      </c>
      <c r="E8" s="20">
        <f>COUNTIF('System 04'!$T$14:$T$113,"M")</f>
        <v/>
      </c>
      <c r="F8" s="20">
        <f>COUNTIF('System 04'!$T$14:$T$113,"L")</f>
        <v/>
      </c>
      <c r="G8" s="20">
        <f>IF(COUNT('System 04'!$S$14:$S$113)=0,"",MAX('System 04'!$S$14:$S$113))</f>
        <v/>
      </c>
      <c r="H8" s="20">
        <f>COUNTIF('System 04'!$U$14:$U$113,"Yes")</f>
        <v/>
      </c>
      <c r="I8" s="20">
        <f>COUNTIFS('System 04'!$U$14:$U$113,"Yes",'System 04'!$X$14:$X$113,"")</f>
        <v/>
      </c>
      <c r="J8" s="20">
        <f>COUNTIF('System 04'!$AD$14:$AD$113,"H")</f>
        <v/>
      </c>
    </row>
    <row r="9">
      <c r="A9" s="12" t="inlineStr">
        <is>
          <t>System 05</t>
        </is>
      </c>
      <c r="B9" s="5">
        <f>IF('System 05'!$D$3="","",'System 05'!$D$3)</f>
        <v/>
      </c>
      <c r="C9" s="20">
        <f>COUNTIF('System 05'!$F$14:$F$113,"?*")</f>
        <v/>
      </c>
      <c r="D9" s="20">
        <f>COUNTIF('System 05'!$T$14:$T$113,"H")</f>
        <v/>
      </c>
      <c r="E9" s="20">
        <f>COUNTIF('System 05'!$T$14:$T$113,"M")</f>
        <v/>
      </c>
      <c r="F9" s="20">
        <f>COUNTIF('System 05'!$T$14:$T$113,"L")</f>
        <v/>
      </c>
      <c r="G9" s="20">
        <f>IF(COUNT('System 05'!$S$14:$S$113)=0,"",MAX('System 05'!$S$14:$S$113))</f>
        <v/>
      </c>
      <c r="H9" s="20">
        <f>COUNTIF('System 05'!$U$14:$U$113,"Yes")</f>
        <v/>
      </c>
      <c r="I9" s="20">
        <f>COUNTIFS('System 05'!$U$14:$U$113,"Yes",'System 05'!$X$14:$X$113,"")</f>
        <v/>
      </c>
      <c r="J9" s="20">
        <f>COUNTIF('System 05'!$AD$14:$AD$113,"H")</f>
        <v/>
      </c>
    </row>
    <row r="10">
      <c r="A10" s="12" t="inlineStr">
        <is>
          <t>System 06</t>
        </is>
      </c>
      <c r="B10" s="5">
        <f>IF('System 06'!$D$3="","",'System 06'!$D$3)</f>
        <v/>
      </c>
      <c r="C10" s="20">
        <f>COUNTIF('System 06'!$F$14:$F$113,"?*")</f>
        <v/>
      </c>
      <c r="D10" s="20">
        <f>COUNTIF('System 06'!$T$14:$T$113,"H")</f>
        <v/>
      </c>
      <c r="E10" s="20">
        <f>COUNTIF('System 06'!$T$14:$T$113,"M")</f>
        <v/>
      </c>
      <c r="F10" s="20">
        <f>COUNTIF('System 06'!$T$14:$T$113,"L")</f>
        <v/>
      </c>
      <c r="G10" s="20">
        <f>IF(COUNT('System 06'!$S$14:$S$113)=0,"",MAX('System 06'!$S$14:$S$113))</f>
        <v/>
      </c>
      <c r="H10" s="20">
        <f>COUNTIF('System 06'!$U$14:$U$113,"Yes")</f>
        <v/>
      </c>
      <c r="I10" s="20">
        <f>COUNTIFS('System 06'!$U$14:$U$113,"Yes",'System 06'!$X$14:$X$113,"")</f>
        <v/>
      </c>
      <c r="J10" s="20">
        <f>COUNTIF('System 06'!$AD$14:$AD$113,"H")</f>
        <v/>
      </c>
    </row>
    <row r="11">
      <c r="A11" s="12" t="inlineStr">
        <is>
          <t>System 07</t>
        </is>
      </c>
      <c r="B11" s="5">
        <f>IF('System 07'!$D$3="","",'System 07'!$D$3)</f>
        <v/>
      </c>
      <c r="C11" s="20">
        <f>COUNTIF('System 07'!$F$14:$F$113,"?*")</f>
        <v/>
      </c>
      <c r="D11" s="20">
        <f>COUNTIF('System 07'!$T$14:$T$113,"H")</f>
        <v/>
      </c>
      <c r="E11" s="20">
        <f>COUNTIF('System 07'!$T$14:$T$113,"M")</f>
        <v/>
      </c>
      <c r="F11" s="20">
        <f>COUNTIF('System 07'!$T$14:$T$113,"L")</f>
        <v/>
      </c>
      <c r="G11" s="20">
        <f>IF(COUNT('System 07'!$S$14:$S$113)=0,"",MAX('System 07'!$S$14:$S$113))</f>
        <v/>
      </c>
      <c r="H11" s="20">
        <f>COUNTIF('System 07'!$U$14:$U$113,"Yes")</f>
        <v/>
      </c>
      <c r="I11" s="20">
        <f>COUNTIFS('System 07'!$U$14:$U$113,"Yes",'System 07'!$X$14:$X$113,"")</f>
        <v/>
      </c>
      <c r="J11" s="20">
        <f>COUNTIF('System 07'!$AD$14:$AD$113,"H")</f>
        <v/>
      </c>
    </row>
    <row r="12">
      <c r="A12" s="12" t="inlineStr">
        <is>
          <t>System 08</t>
        </is>
      </c>
      <c r="B12" s="5">
        <f>IF('System 08'!$D$3="","",'System 08'!$D$3)</f>
        <v/>
      </c>
      <c r="C12" s="20">
        <f>COUNTIF('System 08'!$F$14:$F$113,"?*")</f>
        <v/>
      </c>
      <c r="D12" s="20">
        <f>COUNTIF('System 08'!$T$14:$T$113,"H")</f>
        <v/>
      </c>
      <c r="E12" s="20">
        <f>COUNTIF('System 08'!$T$14:$T$113,"M")</f>
        <v/>
      </c>
      <c r="F12" s="20">
        <f>COUNTIF('System 08'!$T$14:$T$113,"L")</f>
        <v/>
      </c>
      <c r="G12" s="20">
        <f>IF(COUNT('System 08'!$S$14:$S$113)=0,"",MAX('System 08'!$S$14:$S$113))</f>
        <v/>
      </c>
      <c r="H12" s="20">
        <f>COUNTIF('System 08'!$U$14:$U$113,"Yes")</f>
        <v/>
      </c>
      <c r="I12" s="20">
        <f>COUNTIFS('System 08'!$U$14:$U$113,"Yes",'System 08'!$X$14:$X$113,"")</f>
        <v/>
      </c>
      <c r="J12" s="20">
        <f>COUNTIF('System 08'!$AD$14:$AD$113,"H")</f>
        <v/>
      </c>
    </row>
    <row r="13">
      <c r="A13" s="12" t="inlineStr">
        <is>
          <t>System 09</t>
        </is>
      </c>
      <c r="B13" s="5">
        <f>IF('System 09'!$D$3="","",'System 09'!$D$3)</f>
        <v/>
      </c>
      <c r="C13" s="20">
        <f>COUNTIF('System 09'!$F$14:$F$113,"?*")</f>
        <v/>
      </c>
      <c r="D13" s="20">
        <f>COUNTIF('System 09'!$T$14:$T$113,"H")</f>
        <v/>
      </c>
      <c r="E13" s="20">
        <f>COUNTIF('System 09'!$T$14:$T$113,"M")</f>
        <v/>
      </c>
      <c r="F13" s="20">
        <f>COUNTIF('System 09'!$T$14:$T$113,"L")</f>
        <v/>
      </c>
      <c r="G13" s="20">
        <f>IF(COUNT('System 09'!$S$14:$S$113)=0,"",MAX('System 09'!$S$14:$S$113))</f>
        <v/>
      </c>
      <c r="H13" s="20">
        <f>COUNTIF('System 09'!$U$14:$U$113,"Yes")</f>
        <v/>
      </c>
      <c r="I13" s="20">
        <f>COUNTIFS('System 09'!$U$14:$U$113,"Yes",'System 09'!$X$14:$X$113,"")</f>
        <v/>
      </c>
      <c r="J13" s="20">
        <f>COUNTIF('System 09'!$AD$14:$AD$113,"H")</f>
        <v/>
      </c>
    </row>
    <row r="14">
      <c r="A14" s="12" t="inlineStr">
        <is>
          <t>System 10</t>
        </is>
      </c>
      <c r="B14" s="5">
        <f>IF('System 10'!$D$3="","",'System 10'!$D$3)</f>
        <v/>
      </c>
      <c r="C14" s="20">
        <f>COUNTIF('System 10'!$F$14:$F$113,"?*")</f>
        <v/>
      </c>
      <c r="D14" s="20">
        <f>COUNTIF('System 10'!$T$14:$T$113,"H")</f>
        <v/>
      </c>
      <c r="E14" s="20">
        <f>COUNTIF('System 10'!$T$14:$T$113,"M")</f>
        <v/>
      </c>
      <c r="F14" s="20">
        <f>COUNTIF('System 10'!$T$14:$T$113,"L")</f>
        <v/>
      </c>
      <c r="G14" s="20">
        <f>IF(COUNT('System 10'!$S$14:$S$113)=0,"",MAX('System 10'!$S$14:$S$113))</f>
        <v/>
      </c>
      <c r="H14" s="20">
        <f>COUNTIF('System 10'!$U$14:$U$113,"Yes")</f>
        <v/>
      </c>
      <c r="I14" s="20">
        <f>COUNTIFS('System 10'!$U$14:$U$113,"Yes",'System 10'!$X$14:$X$113,"")</f>
        <v/>
      </c>
      <c r="J14" s="20">
        <f>COUNTIF('System 10'!$AD$14:$AD$113,"H")</f>
        <v/>
      </c>
    </row>
    <row r="15">
      <c r="A15" s="10" t="inlineStr">
        <is>
          <t>TOTAL</t>
        </is>
      </c>
      <c r="B15" s="6" t="n"/>
      <c r="C15" s="21">
        <f>SUM(C5:C14)</f>
        <v/>
      </c>
      <c r="D15" s="21">
        <f>SUM(D5:D14)</f>
        <v/>
      </c>
      <c r="E15" s="21">
        <f>SUM(E5:E14)</f>
        <v/>
      </c>
      <c r="F15" s="21">
        <f>SUM(F5:F14)</f>
        <v/>
      </c>
      <c r="G15" s="21">
        <f>MAX(G5:G14)</f>
        <v/>
      </c>
      <c r="H15" s="21">
        <f>SUM(H5:H14)</f>
        <v/>
      </c>
      <c r="I15" s="21">
        <f>SUM(I5:I14)</f>
        <v/>
      </c>
      <c r="J15" s="21">
        <f>SUM(J5:J14)</f>
        <v/>
      </c>
    </row>
    <row r="17">
      <c r="A17" s="18" t="inlineStr">
        <is>
          <t>Add rows here if you copy further System worksheets.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S01 – Gas receiving &amp; metering station (GRMS)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ESDV-1001</t>
        </is>
      </c>
      <c r="C14" s="5">
        <f>IF(B14="","",IFERROR(INDEX(EqTypeCol,MATCH(B14,EqTag,0)),"Tag not in register"))</f>
        <v/>
      </c>
      <c r="D14" s="4" t="inlineStr">
        <is>
          <t>Actuator</t>
        </is>
      </c>
      <c r="E14" s="4" t="inlineStr">
        <is>
          <t>Close on ESD demand</t>
        </is>
      </c>
      <c r="F14" s="4" t="inlineStr">
        <is>
          <t>FTC – Fail to close on demand</t>
        </is>
      </c>
      <c r="G14" s="4" t="inlineStr">
        <is>
          <t>1.6 Sticking / seizure</t>
        </is>
      </c>
      <c r="H14" s="4" t="inlineStr">
        <is>
          <t>5.3 Dust ingress</t>
        </is>
      </c>
      <c r="I14" s="4" t="inlineStr">
        <is>
          <t>Inadequate inspection / maintenance interval</t>
        </is>
      </c>
      <c r="J14" s="5">
        <f>_xlfn.TEXTJOIN(CHAR(10),TRUE,IF(G14="","","• "&amp;G14),IF(H14="","","• "&amp;H14),IF(I14="","","• "&amp;I14))</f>
        <v/>
      </c>
      <c r="K14" s="4" t="inlineStr">
        <is>
          <t>Inlet not isolated</t>
        </is>
      </c>
      <c r="L14" s="4" t="inlineStr">
        <is>
          <t>Release in the GRMS / PRS keeps being fed from the pipeline</t>
        </is>
      </c>
      <c r="M14" s="4" t="inlineStr">
        <is>
          <t>Prolonged jet fire / larger vapour cloud (ETA-GN-01 H2)</t>
        </is>
      </c>
      <c r="N14" s="16" t="inlineStr">
        <is>
          <t>9 – Hazardous – with warning</t>
        </is>
      </c>
      <c r="O14" s="4" t="inlineStr">
        <is>
          <t>Annual full-stroke test</t>
        </is>
      </c>
      <c r="P14" s="16" t="inlineStr">
        <is>
          <t>3 – Low</t>
        </is>
      </c>
      <c r="Q14" s="4" t="inlineStr">
        <is>
          <t>Proof test / function test</t>
        </is>
      </c>
      <c r="R14" s="16" t="inlineStr">
        <is>
          <t>6 – Low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Six-monthly partial-stroke test between annual full-stroke tests (R-001)</t>
        </is>
      </c>
      <c r="W14" s="4" t="inlineStr">
        <is>
          <t>Failure-finding / proof test</t>
        </is>
      </c>
      <c r="X14" s="4" t="inlineStr">
        <is>
          <t>Instrument engineer</t>
        </is>
      </c>
      <c r="Y14" s="29" t="n">
        <v>46477</v>
      </c>
      <c r="Z14" s="16" t="inlineStr">
        <is>
          <t>9 – Hazardous – with warning</t>
        </is>
      </c>
      <c r="AA14" s="16" t="inlineStr">
        <is>
          <t>3 – Low</t>
        </is>
      </c>
      <c r="AB14" s="16" t="inlineStr">
        <is>
          <t>4 – Moderately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N01-05</t>
        </is>
      </c>
      <c r="AF14" s="4" t="inlineStr">
        <is>
          <t>Fault tree FT-GN-02 event ESDV-1001</t>
        </is>
      </c>
      <c r="AG14" s="30" t="n"/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PR-1001</t>
        </is>
      </c>
      <c r="C15" s="5">
        <f>IF(B15="","",IFERROR(INDEX(EqTypeCol,MATCH(B15,EqTag,0)),"Tag not in register"))</f>
        <v/>
      </c>
      <c r="D15" s="4" t="inlineStr">
        <is>
          <t>Manway</t>
        </is>
      </c>
      <c r="E15" s="4" t="inlineStr">
        <is>
          <t>Contain pressure; open only when depressurised</t>
        </is>
      </c>
      <c r="F15" s="4" t="inlineStr">
        <is>
          <t>ELP – External leakage – process medium</t>
        </is>
      </c>
      <c r="G15" s="4" t="inlineStr">
        <is>
          <t>Incorrect operation / operator error</t>
        </is>
      </c>
      <c r="H15" s="4" t="inlineStr">
        <is>
          <t>1.1 Leakage</t>
        </is>
      </c>
      <c r="I15" s="4" t="n"/>
      <c r="J15" s="5">
        <f>_xlfn.TEXTJOIN(CHAR(10),TRUE,IF(G15="","","• "&amp;G15),IF(H15="","","• "&amp;H15),IF(I15="","","• "&amp;I15))</f>
        <v/>
      </c>
      <c r="K15" s="4" t="inlineStr">
        <is>
          <t>Closure opened / leaking under pressure</t>
        </is>
      </c>
      <c r="L15" s="4" t="inlineStr">
        <is>
          <t>Gas release at the GRMS</t>
        </is>
      </c>
      <c r="M15" s="4" t="inlineStr">
        <is>
          <t>Injury to the operator; fire (BT-GN-01 T5)</t>
        </is>
      </c>
      <c r="N15" s="16" t="inlineStr">
        <is>
          <t>10 – Hazardous – without warning</t>
        </is>
      </c>
      <c r="O15" s="4" t="inlineStr">
        <is>
          <t>Pigging procedure OP-GN-010</t>
        </is>
      </c>
      <c r="P15" s="16" t="inlineStr">
        <is>
          <t>3 – Low</t>
        </is>
      </c>
      <c r="Q15" s="4" t="inlineStr">
        <is>
          <t>None – failure evident only on occurrence</t>
        </is>
      </c>
      <c r="R15" s="16" t="inlineStr">
        <is>
          <t>9 – Very remote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inlineStr">
        <is>
          <t>Verify the pressure-warning / key-interlock device and train pigging crews (R-017)</t>
        </is>
      </c>
      <c r="W15" s="4" t="inlineStr">
        <is>
          <t>Redesign / modification (MOC)</t>
        </is>
      </c>
      <c r="X15" s="4" t="inlineStr">
        <is>
          <t>Mechanical engineer</t>
        </is>
      </c>
      <c r="Y15" s="29" t="n">
        <v>46477</v>
      </c>
      <c r="Z15" s="16" t="inlineStr">
        <is>
          <t>10 – Hazardous – without warning</t>
        </is>
      </c>
      <c r="AA15" s="16" t="inlineStr">
        <is>
          <t>2 – Remote</t>
        </is>
      </c>
      <c r="AB15" s="16" t="inlineStr">
        <is>
          <t>4 – Moderately high</t>
        </is>
      </c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N01-07</t>
        </is>
      </c>
      <c r="AF15" s="4" t="n"/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F-1002A</t>
        </is>
      </c>
      <c r="C16" s="5">
        <f>IF(B16="","",IFERROR(INDEX(EqTypeCol,MATCH(B16,EqTag,0)),"Tag not in register"))</f>
        <v/>
      </c>
      <c r="D16" s="4" t="inlineStr">
        <is>
          <t>Internals</t>
        </is>
      </c>
      <c r="E16" s="4" t="inlineStr">
        <is>
          <t>Remove liquids and solids</t>
        </is>
      </c>
      <c r="F16" s="4" t="inlineStr">
        <is>
          <t>PLU – Plugged / fouled</t>
        </is>
      </c>
      <c r="G16" s="4" t="inlineStr">
        <is>
          <t>5.1 Blockage / plugged</t>
        </is>
      </c>
      <c r="H16" s="4" t="inlineStr">
        <is>
          <t>5.2 Contamination (process / lube oil / water)</t>
        </is>
      </c>
      <c r="I16" s="4" t="n"/>
      <c r="J16" s="5">
        <f>_xlfn.TEXTJOIN(CHAR(10),TRUE,IF(G16="","","• "&amp;G16),IF(H16="","","• "&amp;H16),IF(I16="","","• "&amp;I16))</f>
        <v/>
      </c>
      <c r="K16" s="4" t="inlineStr">
        <is>
          <t>High differential pressure</t>
        </is>
      </c>
      <c r="L16" s="4" t="inlineStr">
        <is>
          <t>Change-over to F-1002B; carry-over to regulators if not acted on</t>
        </is>
      </c>
      <c r="M16" s="4" t="inlineStr">
        <is>
          <t>Active regulator may stick open (FT-GN-01 initiating cause)</t>
        </is>
      </c>
      <c r="N16" s="16" t="inlineStr">
        <is>
          <t>6 – Moderate</t>
        </is>
      </c>
      <c r="O16" s="4" t="inlineStr">
        <is>
          <t>Duty / standby; element change on dP</t>
        </is>
      </c>
      <c r="P16" s="16" t="inlineStr">
        <is>
          <t>5 – Moderate</t>
        </is>
      </c>
      <c r="Q16" s="4" t="inlineStr">
        <is>
          <t>Performance monitoring (flow, ΔP, efficiency)</t>
        </is>
      </c>
      <c r="R16" s="16" t="inlineStr">
        <is>
          <t>3 – High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N01-03</t>
        </is>
      </c>
      <c r="AF16" s="4" t="n"/>
      <c r="AH16">
        <f>IFERROR(INDEX(EqTag,_xlfn.AGGREGATE(15,6,(ROW(EqTag)-4)/((EqSys=$D$3)*(EqTag&lt;&gt;"")),ROWS($AH$14:AH16))),"")</f>
        <v/>
      </c>
    </row>
    <row r="17" ht="75" customHeight="1">
      <c r="A17" s="20">
        <f>IF(F17="","",LEFT($D$3,3)&amp;"-"&amp;TEXT(COUNTIF(F$14:F17,"?*"),"00"))</f>
        <v/>
      </c>
      <c r="B17" s="4" t="inlineStr">
        <is>
          <t>FT-1003A</t>
        </is>
      </c>
      <c r="C17" s="5">
        <f>IF(B17="","",IFERROR(INDEX(EqTypeCol,MATCH(B17,EqTag,0)),"Tag not in register"))</f>
        <v/>
      </c>
      <c r="D17" s="4" t="inlineStr">
        <is>
          <t>Transmitter electronics</t>
        </is>
      </c>
      <c r="E17" s="4" t="inlineStr">
        <is>
          <t>Measure custody flow</t>
        </is>
      </c>
      <c r="F17" s="4" t="inlineStr">
        <is>
          <t>AIR – Abnormal instrument reading</t>
        </is>
      </c>
      <c r="G17" s="4" t="inlineStr">
        <is>
          <t>3.4 Out of adjustment / calibration drift</t>
        </is>
      </c>
      <c r="H17" s="4" t="n"/>
      <c r="I17" s="4" t="n"/>
      <c r="J17" s="5">
        <f>_xlfn.TEXTJOIN(CHAR(10),TRUE,IF(G17="","","• "&amp;G17),IF(H17="","","• "&amp;H17),IF(I17="","","• "&amp;I17))</f>
        <v/>
      </c>
      <c r="K17" s="4" t="inlineStr">
        <is>
          <t>Meter error</t>
        </is>
      </c>
      <c r="L17" s="4" t="inlineStr">
        <is>
          <t>Custody-transfer dispute</t>
        </is>
      </c>
      <c r="M17" s="4" t="inlineStr">
        <is>
          <t>Commercial only</t>
        </is>
      </c>
      <c r="N17" s="16" t="inlineStr">
        <is>
          <t>3 – Minor</t>
        </is>
      </c>
      <c r="O17" s="4" t="inlineStr">
        <is>
          <t>Annual verification</t>
        </is>
      </c>
      <c r="P17" s="16" t="inlineStr">
        <is>
          <t>4 – Low</t>
        </is>
      </c>
      <c r="Q17" s="4" t="inlineStr">
        <is>
          <t>Calibration check</t>
        </is>
      </c>
      <c r="R17" s="16" t="inlineStr">
        <is>
          <t>3 – High</t>
        </is>
      </c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inlineStr">
        <is>
          <t>HAZOP N01-01</t>
        </is>
      </c>
      <c r="AF17" s="4" t="n"/>
      <c r="AH17">
        <f>IFERROR(INDEX(EqTag,_xlfn.AGGREGATE(15,6,(ROW(EqTag)-4)/((EqSys=$D$3)*(EqTag&lt;&gt;"")),ROWS($AH$14:AH17))),"")</f>
        <v/>
      </c>
    </row>
    <row r="18" ht="75" customHeight="1">
      <c r="A18" s="20">
        <f>IF(F18="","",LEFT($D$3,3)&amp;"-"&amp;TEXT(COUNTIF(F$14:F18,"?*"),"00"))</f>
        <v/>
      </c>
      <c r="B18" s="4" t="inlineStr">
        <is>
          <t>PSV-1006A</t>
        </is>
      </c>
      <c r="C18" s="5">
        <f>IF(B18="","",IFERROR(INDEX(EqTypeCol,MATCH(B18,EqTag,0)),"Tag not in register"))</f>
        <v/>
      </c>
      <c r="D18" s="4" t="inlineStr">
        <is>
          <t>Nozzle and disc</t>
        </is>
      </c>
      <c r="E18" s="4" t="inlineStr">
        <is>
          <t>Relieve fire / thermal overpressure</t>
        </is>
      </c>
      <c r="F18" s="4" t="inlineStr">
        <is>
          <t>FTO – Fail to open on demand</t>
        </is>
      </c>
      <c r="G18" s="4" t="inlineStr">
        <is>
          <t>2.2 Corrosion (general / pitting / CUI)</t>
        </is>
      </c>
      <c r="H18" s="4" t="inlineStr">
        <is>
          <t>5.1 Blockage / plugged</t>
        </is>
      </c>
      <c r="I18" s="4" t="n"/>
      <c r="J18" s="5">
        <f>_xlfn.TEXTJOIN(CHAR(10),TRUE,IF(G18="","","• "&amp;G18),IF(H18="","","• "&amp;H18),IF(I18="","","• "&amp;I18))</f>
        <v/>
      </c>
      <c r="K18" s="4" t="inlineStr">
        <is>
          <t>No relief</t>
        </is>
      </c>
      <c r="L18" s="4" t="inlineStr">
        <is>
          <t>Filter-separator overpressure in a fire</t>
        </is>
      </c>
      <c r="M18" s="4" t="inlineStr">
        <is>
          <t>Vessel rupture in a fire</t>
        </is>
      </c>
      <c r="N18" s="16" t="inlineStr">
        <is>
          <t>8 – Very high</t>
        </is>
      </c>
      <c r="O18" s="4" t="inlineStr">
        <is>
          <t>Bench test every 4 years</t>
        </is>
      </c>
      <c r="P18" s="16" t="inlineStr">
        <is>
          <t>2 – Remote</t>
        </is>
      </c>
      <c r="Q18" s="4" t="inlineStr">
        <is>
          <t>Proof test / function test</t>
        </is>
      </c>
      <c r="R18" s="16" t="inlineStr">
        <is>
          <t>7 – Very low</t>
        </is>
      </c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inlineStr">
        <is>
          <t>Reduce the bench-test interval to 2 years (fire-case relief only protection)</t>
        </is>
      </c>
      <c r="W18" s="4" t="inlineStr">
        <is>
          <t>Failure-finding / proof test</t>
        </is>
      </c>
      <c r="X18" s="4" t="inlineStr">
        <is>
          <t>Mechanical engineer</t>
        </is>
      </c>
      <c r="Y18" s="29" t="n">
        <v>46477</v>
      </c>
      <c r="Z18" s="16" t="inlineStr">
        <is>
          <t>8 – Very high</t>
        </is>
      </c>
      <c r="AA18" s="16" t="inlineStr">
        <is>
          <t>2 – Remote</t>
        </is>
      </c>
      <c r="AB18" s="16" t="inlineStr">
        <is>
          <t>5 – Moderate</t>
        </is>
      </c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inlineStr">
        <is>
          <t>HAZOP N01-02</t>
        </is>
      </c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S02 – Gas heaters H-1101A/B and pressure reduction station PRS-1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PCV-1104A</t>
        </is>
      </c>
      <c r="C14" s="5">
        <f>IF(B14="","",IFERROR(INDEX(EqTypeCol,MATCH(B14,EqTag,0)),"Tag not in register"))</f>
        <v/>
      </c>
      <c r="D14" s="4" t="inlineStr">
        <is>
          <t>Trim (plug / seat)</t>
        </is>
      </c>
      <c r="E14" s="4" t="inlineStr">
        <is>
          <t>Control PRS outlet at 7.0 barg</t>
        </is>
      </c>
      <c r="F14" s="4" t="inlineStr">
        <is>
          <t>FTC – Fail to close on demand</t>
        </is>
      </c>
      <c r="G14" s="4" t="inlineStr">
        <is>
          <t>5.2 Contamination (process / lube oil / water)</t>
        </is>
      </c>
      <c r="H14" s="4" t="inlineStr">
        <is>
          <t>5.4 Moisture / water ingress</t>
        </is>
      </c>
      <c r="I14" s="4" t="inlineStr">
        <is>
          <t>1.6 Sticking / seizure</t>
        </is>
      </c>
      <c r="J14" s="5">
        <f>_xlfn.TEXTJOIN(CHAR(10),TRUE,IF(G14="","","• "&amp;G14),IF(H14="","","• "&amp;H14),IF(I14="","","• "&amp;I14))</f>
        <v/>
      </c>
      <c r="K14" s="4" t="inlineStr">
        <is>
          <t>Active regulator fails open</t>
        </is>
      </c>
      <c r="L14" s="4" t="inlineStr">
        <is>
          <t>Monitor regulator must take over (demand on protection)</t>
        </is>
      </c>
      <c r="M14" s="4" t="inlineStr">
        <is>
          <t>If monitor and slam-shut also fail – MP network overpressure (HAZOP N02-02)</t>
        </is>
      </c>
      <c r="N14" s="16" t="inlineStr">
        <is>
          <t>9 – Hazardous – with warning</t>
        </is>
      </c>
      <c r="O14" s="4" t="inlineStr">
        <is>
          <t>Pilot filter; heater keeps outlet ≥ 5 °C</t>
        </is>
      </c>
      <c r="P14" s="16" t="inlineStr">
        <is>
          <t>5 – Moderate</t>
        </is>
      </c>
      <c r="Q14" s="4" t="inlineStr">
        <is>
          <t>Process alarm (DCS)</t>
        </is>
      </c>
      <c r="R14" s="16" t="inlineStr">
        <is>
          <t>3 – High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Pilot supply filter change and heater outlet temperature alarm (R-004)</t>
        </is>
      </c>
      <c r="W14" s="4" t="inlineStr">
        <is>
          <t>Time-based maintenance / overhaul</t>
        </is>
      </c>
      <c r="X14" s="4" t="inlineStr">
        <is>
          <t>Instrument engineer</t>
        </is>
      </c>
      <c r="Y14" s="29" t="n">
        <v>46477</v>
      </c>
      <c r="Z14" s="16" t="inlineStr">
        <is>
          <t>9 – Hazardous – with warning</t>
        </is>
      </c>
      <c r="AA14" s="16" t="inlineStr">
        <is>
          <t>4 – Low</t>
        </is>
      </c>
      <c r="AB14" s="16" t="inlineStr">
        <is>
          <t>3 –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N02-02</t>
        </is>
      </c>
      <c r="AF14" s="4" t="inlineStr">
        <is>
          <t>Initiating event in fault tree FT-GN-01 (BE-001)</t>
        </is>
      </c>
      <c r="AG14" s="30" t="n"/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PCV-1103A</t>
        </is>
      </c>
      <c r="C15" s="5">
        <f>IF(B15="","",IFERROR(INDEX(EqTypeCol,MATCH(B15,EqTag,0)),"Tag not in register"))</f>
        <v/>
      </c>
      <c r="D15" s="4" t="inlineStr">
        <is>
          <t>Positioner</t>
        </is>
      </c>
      <c r="E15" s="4" t="inlineStr">
        <is>
          <t>Take over at 7.5 barg if the active regulator fails open</t>
        </is>
      </c>
      <c r="F15" s="4" t="inlineStr">
        <is>
          <t>FTC – Fail to close on demand</t>
        </is>
      </c>
      <c r="G15" s="4" t="inlineStr">
        <is>
          <t>1.6 Sticking / seizure</t>
        </is>
      </c>
      <c r="H15" s="4" t="inlineStr">
        <is>
          <t>3.4 Out of adjustment / calibration drift</t>
        </is>
      </c>
      <c r="I15" s="4" t="n"/>
      <c r="J15" s="5">
        <f>_xlfn.TEXTJOIN(CHAR(10),TRUE,IF(G15="","","• "&amp;G15),IF(H15="","","• "&amp;H15),IF(I15="","","• "&amp;I15))</f>
        <v/>
      </c>
      <c r="K15" s="4" t="inlineStr">
        <is>
          <t>Monitor does not take over</t>
        </is>
      </c>
      <c r="L15" s="4" t="inlineStr">
        <is>
          <t>Only the slam-shut remains</t>
        </is>
      </c>
      <c r="M15" s="4" t="inlineStr">
        <is>
          <t>MP network overpressure if the slam-shut also fails</t>
        </is>
      </c>
      <c r="N15" s="16" t="inlineStr">
        <is>
          <t>10 – Hazardous – without warning</t>
        </is>
      </c>
      <c r="O15" s="4" t="inlineStr">
        <is>
          <t>Set-point check at overhaul</t>
        </is>
      </c>
      <c r="P15" s="16" t="inlineStr">
        <is>
          <t>3 – Low</t>
        </is>
      </c>
      <c r="Q15" s="4" t="inlineStr">
        <is>
          <t>Proof test / function test</t>
        </is>
      </c>
      <c r="R15" s="16" t="inlineStr">
        <is>
          <t>7 – Very low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inlineStr">
        <is>
          <t>Annual lock-up and take-over test of the monitor regulators (R-003)</t>
        </is>
      </c>
      <c r="W15" s="4" t="inlineStr">
        <is>
          <t>Failure-finding / proof test</t>
        </is>
      </c>
      <c r="X15" s="4" t="inlineStr">
        <is>
          <t>Instrument engineer</t>
        </is>
      </c>
      <c r="Y15" s="29" t="n">
        <v>46477</v>
      </c>
      <c r="Z15" s="16" t="inlineStr">
        <is>
          <t>10 – Hazardous – without warning</t>
        </is>
      </c>
      <c r="AA15" s="16" t="inlineStr">
        <is>
          <t>3 – Low</t>
        </is>
      </c>
      <c r="AB15" s="16" t="inlineStr">
        <is>
          <t>4 – Moderately high</t>
        </is>
      </c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N02-02</t>
        </is>
      </c>
      <c r="AF15" s="4" t="inlineStr">
        <is>
          <t>Fault tree FT-GN-01 events BE-004 / BE-005</t>
        </is>
      </c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SSV-1102A</t>
        </is>
      </c>
      <c r="C16" s="5">
        <f>IF(B16="","",IFERROR(INDEX(EqTypeCol,MATCH(B16,EqTag,0)),"Tag not in register"))</f>
        <v/>
      </c>
      <c r="D16" s="4" t="inlineStr">
        <is>
          <t>Actuator</t>
        </is>
      </c>
      <c r="E16" s="4" t="inlineStr">
        <is>
          <t>Close run A at 8.5 barg (OPSO)</t>
        </is>
      </c>
      <c r="F16" s="4" t="inlineStr">
        <is>
          <t>FTC – Fail to close on demand</t>
        </is>
      </c>
      <c r="G16" s="4" t="inlineStr">
        <is>
          <t>1.6 Sticking / seizure</t>
        </is>
      </c>
      <c r="H16" s="4" t="inlineStr">
        <is>
          <t>3.4 Out of adjustment / calibration drift</t>
        </is>
      </c>
      <c r="I16" s="4" t="inlineStr">
        <is>
          <t>Incorrect maintenance / reassembly</t>
        </is>
      </c>
      <c r="J16" s="5">
        <f>_xlfn.TEXTJOIN(CHAR(10),TRUE,IF(G16="","","• "&amp;G16),IF(H16="","","• "&amp;H16),IF(I16="","","• "&amp;I16))</f>
        <v/>
      </c>
      <c r="K16" s="4" t="inlineStr">
        <is>
          <t>Slam-shut does not trip</t>
        </is>
      </c>
      <c r="L16" s="4" t="inlineStr">
        <is>
          <t>No shut-off if the monitor has also failed</t>
        </is>
      </c>
      <c r="M16" s="4" t="inlineStr">
        <is>
          <t>MP network overpressure</t>
        </is>
      </c>
      <c r="N16" s="16" t="inlineStr">
        <is>
          <t>10 – Hazardous – without warning</t>
        </is>
      </c>
      <c r="O16" s="4" t="inlineStr">
        <is>
          <t>Trip test at overhaul</t>
        </is>
      </c>
      <c r="P16" s="16" t="inlineStr">
        <is>
          <t>3 – Low</t>
        </is>
      </c>
      <c r="Q16" s="4" t="inlineStr">
        <is>
          <t>Proof test / function test</t>
        </is>
      </c>
      <c r="R16" s="16" t="inlineStr">
        <is>
          <t>7 – Very low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inlineStr">
        <is>
          <t>Six-monthly trip test with a calibrated test rig (R-003)</t>
        </is>
      </c>
      <c r="W16" s="4" t="inlineStr">
        <is>
          <t>Failure-finding / proof test</t>
        </is>
      </c>
      <c r="X16" s="4" t="inlineStr">
        <is>
          <t>Instrument engineer</t>
        </is>
      </c>
      <c r="Y16" s="29" t="n">
        <v>46477</v>
      </c>
      <c r="Z16" s="16" t="inlineStr">
        <is>
          <t>10 – Hazardous – without warning</t>
        </is>
      </c>
      <c r="AA16" s="16" t="inlineStr">
        <is>
          <t>3 – Low</t>
        </is>
      </c>
      <c r="AB16" s="16" t="inlineStr">
        <is>
          <t>4 – Moderately high</t>
        </is>
      </c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N02-02</t>
        </is>
      </c>
      <c r="AF16" s="4" t="inlineStr">
        <is>
          <t>Fault tree FT-GN-01 events BE-006 / BE-007 / BE-008</t>
        </is>
      </c>
      <c r="AH16">
        <f>IFERROR(INDEX(EqTag,_xlfn.AGGREGATE(15,6,(ROW(EqTag)-4)/((EqSys=$D$3)*(EqTag&lt;&gt;"")),ROWS($AH$14:AH16))),"")</f>
        <v/>
      </c>
    </row>
    <row r="17" ht="75" customHeight="1">
      <c r="A17" s="20">
        <f>IF(F17="","",LEFT($D$3,3)&amp;"-"&amp;TEXT(COUNTIF(F$14:F17,"?*"),"00"))</f>
        <v/>
      </c>
      <c r="B17" s="4" t="inlineStr">
        <is>
          <t>SSV-1102A</t>
        </is>
      </c>
      <c r="C17" s="5">
        <f>IF(B17="","",IFERROR(INDEX(EqTypeCol,MATCH(B17,EqTag,0)),"Tag not in register"))</f>
        <v/>
      </c>
      <c r="D17" s="4" t="inlineStr">
        <is>
          <t>Solenoid valve</t>
        </is>
      </c>
      <c r="E17" s="4" t="inlineStr">
        <is>
          <t>Stay open in normal operation</t>
        </is>
      </c>
      <c r="F17" s="4" t="inlineStr">
        <is>
          <t>SPO – Spurious operation</t>
        </is>
      </c>
      <c r="G17" s="4" t="inlineStr">
        <is>
          <t>3.4 Out of adjustment / calibration drift</t>
        </is>
      </c>
      <c r="H17" s="4" t="inlineStr">
        <is>
          <t>1.2 Vibration</t>
        </is>
      </c>
      <c r="I17" s="4" t="n"/>
      <c r="J17" s="5">
        <f>_xlfn.TEXTJOIN(CHAR(10),TRUE,IF(G17="","","• "&amp;G17),IF(H17="","","• "&amp;H17),IF(I17="","","• "&amp;I17))</f>
        <v/>
      </c>
      <c r="K17" s="4" t="inlineStr">
        <is>
          <t>Run A closes</t>
        </is>
      </c>
      <c r="L17" s="4" t="inlineStr">
        <is>
          <t>Run B takes over (set 0.3 bar lower)</t>
        </is>
      </c>
      <c r="M17" s="4" t="inlineStr">
        <is>
          <t>If run B fails – low header pressure, flame-outs (HAZOP N02-03)</t>
        </is>
      </c>
      <c r="N17" s="16" t="inlineStr">
        <is>
          <t>6 – Moderate</t>
        </is>
      </c>
      <c r="O17" s="4" t="inlineStr">
        <is>
          <t>Run B on automatic</t>
        </is>
      </c>
      <c r="P17" s="16" t="inlineStr">
        <is>
          <t>4 – Low</t>
        </is>
      </c>
      <c r="Q17" s="4" t="inlineStr">
        <is>
          <t>Process alarm (DCS)</t>
        </is>
      </c>
      <c r="R17" s="16" t="inlineStr">
        <is>
          <t>2 – Very high</t>
        </is>
      </c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inlineStr">
        <is>
          <t>HAZOP N02-03</t>
        </is>
      </c>
      <c r="AF17" s="4" t="n"/>
      <c r="AH17">
        <f>IFERROR(INDEX(EqTag,_xlfn.AGGREGATE(15,6,(ROW(EqTag)-4)/((EqSys=$D$3)*(EqTag&lt;&gt;"")),ROWS($AH$14:AH17))),"")</f>
        <v/>
      </c>
    </row>
    <row r="18" ht="75" customHeight="1">
      <c r="A18" s="20">
        <f>IF(F18="","",LEFT($D$3,3)&amp;"-"&amp;TEXT(COUNTIF(F$14:F18,"?*"),"00"))</f>
        <v/>
      </c>
      <c r="B18" s="4" t="inlineStr">
        <is>
          <t>H-1101A</t>
        </is>
      </c>
      <c r="C18" s="5">
        <f>IF(B18="","",IFERROR(INDEX(EqTypeCol,MATCH(B18,EqTag,0)),"Tag not in register"))</f>
        <v/>
      </c>
      <c r="D18" s="4" t="inlineStr">
        <is>
          <t>Burner management system (BMS)</t>
        </is>
      </c>
      <c r="E18" s="4" t="inlineStr">
        <is>
          <t>Keep the bath at temperature; trip safely</t>
        </is>
      </c>
      <c r="F18" s="4" t="inlineStr">
        <is>
          <t>UST – Flame failure / flame-out</t>
        </is>
      </c>
      <c r="G18" s="4" t="inlineStr">
        <is>
          <t>3.1 Control failure</t>
        </is>
      </c>
      <c r="H18" s="4" t="inlineStr">
        <is>
          <t>5.2 Contamination (process / lube oil / water)</t>
        </is>
      </c>
      <c r="I18" s="4" t="n"/>
      <c r="J18" s="5">
        <f>_xlfn.TEXTJOIN(CHAR(10),TRUE,IF(G18="","","• "&amp;G18),IF(H18="","","• "&amp;H18),IF(I18="","","• "&amp;I18))</f>
        <v/>
      </c>
      <c r="K18" s="4" t="inlineStr">
        <is>
          <t>Heater trips</t>
        </is>
      </c>
      <c r="L18" s="4" t="inlineStr">
        <is>
          <t>Gas outlet temperature falls</t>
        </is>
      </c>
      <c r="M18" s="4" t="inlineStr">
        <is>
          <t>Ice / hydrate in regulator pilots; MDMT (HAZOP N02-01)</t>
        </is>
      </c>
      <c r="N18" s="16" t="inlineStr">
        <is>
          <t>6 – Moderate</t>
        </is>
      </c>
      <c r="O18" s="4" t="inlineStr">
        <is>
          <t>Duty / standby heaters</t>
        </is>
      </c>
      <c r="P18" s="16" t="inlineStr">
        <is>
          <t>5 – Moderate</t>
        </is>
      </c>
      <c r="Q18" s="4" t="inlineStr">
        <is>
          <t>Process alarm (DCS)</t>
        </is>
      </c>
      <c r="R18" s="16" t="inlineStr">
        <is>
          <t>3 – High</t>
        </is>
      </c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inlineStr">
        <is>
          <t>Automatic change-over to H-1101B on heater trip (R-004)</t>
        </is>
      </c>
      <c r="W18" s="4" t="inlineStr">
        <is>
          <t>Redesign / modification (MOC)</t>
        </is>
      </c>
      <c r="X18" s="4" t="inlineStr">
        <is>
          <t>Process engineer</t>
        </is>
      </c>
      <c r="Y18" s="29" t="n">
        <v>46477</v>
      </c>
      <c r="Z18" s="16" t="inlineStr">
        <is>
          <t>6 – Moderate</t>
        </is>
      </c>
      <c r="AA18" s="16" t="inlineStr">
        <is>
          <t>3 – Low</t>
        </is>
      </c>
      <c r="AB18" s="16" t="inlineStr">
        <is>
          <t>3 – High</t>
        </is>
      </c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inlineStr">
        <is>
          <t>HAZOP N02-01</t>
        </is>
      </c>
      <c r="AF18" s="4" t="n"/>
      <c r="AH18">
        <f>IFERROR(INDEX(EqTag,_xlfn.AGGREGATE(15,6,(ROW(EqTag)-4)/((EqSys=$D$3)*(EqTag&lt;&gt;"")),ROWS($AH$14:AH18))),"")</f>
        <v/>
      </c>
    </row>
    <row r="19" ht="75" customHeight="1">
      <c r="A19" s="20">
        <f>IF(F19="","",LEFT($D$3,3)&amp;"-"&amp;TEXT(COUNTIF(F$14:F19,"?*"),"00"))</f>
        <v/>
      </c>
      <c r="B19" s="4" t="inlineStr">
        <is>
          <t>TT-1101</t>
        </is>
      </c>
      <c r="C19" s="5">
        <f>IF(B19="","",IFERROR(INDEX(EqTypeCol,MATCH(B19,EqTag,0)),"Tag not in register"))</f>
        <v/>
      </c>
      <c r="D19" s="4" t="inlineStr">
        <is>
          <t>Sensing element</t>
        </is>
      </c>
      <c r="E19" s="4" t="inlineStr">
        <is>
          <t>Measure gas outlet temperature</t>
        </is>
      </c>
      <c r="F19" s="4" t="inlineStr">
        <is>
          <t>HIO – High reading / drift high</t>
        </is>
      </c>
      <c r="G19" s="4" t="inlineStr">
        <is>
          <t>3.4 Out of adjustment / calibration drift</t>
        </is>
      </c>
      <c r="H19" s="4" t="n"/>
      <c r="I19" s="4" t="n"/>
      <c r="J19" s="5">
        <f>_xlfn.TEXTJOIN(CHAR(10),TRUE,IF(G19="","","• "&amp;G19),IF(H19="","","• "&amp;H19),IF(I19="","","• "&amp;I19))</f>
        <v/>
      </c>
      <c r="K19" s="4" t="inlineStr">
        <is>
          <t>Reads high</t>
        </is>
      </c>
      <c r="L19" s="4" t="inlineStr">
        <is>
          <t>TIC under-heats; TSL-1101 does not alarm</t>
        </is>
      </c>
      <c r="M19" s="4" t="inlineStr">
        <is>
          <t>Low gas temperature undetected (HAZOP N02-01)</t>
        </is>
      </c>
      <c r="N19" s="16" t="inlineStr">
        <is>
          <t>6 – Moderate</t>
        </is>
      </c>
      <c r="O19" s="4" t="inlineStr">
        <is>
          <t>Annual calibration</t>
        </is>
      </c>
      <c r="P19" s="16" t="inlineStr">
        <is>
          <t>3 – Low</t>
        </is>
      </c>
      <c r="Q19" s="4" t="inlineStr">
        <is>
          <t>Calibration check</t>
        </is>
      </c>
      <c r="R19" s="16" t="inlineStr">
        <is>
          <t>5 – Moderate</t>
        </is>
      </c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inlineStr">
        <is>
          <t>HAZOP N02-01</t>
        </is>
      </c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S03 – MP ring main (7 barg) and pipe racks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L-1200</t>
        </is>
      </c>
      <c r="C14" s="5">
        <f>IF(B14="","",IFERROR(INDEX(EqTypeCol,MATCH(B14,EqTag,0)),"Tag not in register"))</f>
        <v/>
      </c>
      <c r="D14" s="4" t="inlineStr">
        <is>
          <t>Pipe</t>
        </is>
      </c>
      <c r="E14" s="4" t="inlineStr">
        <is>
          <t>Contain 7 barg gas</t>
        </is>
      </c>
      <c r="F14" s="4" t="inlineStr">
        <is>
          <t>ELP – External leakage – process medium</t>
        </is>
      </c>
      <c r="G14" s="4" t="inlineStr">
        <is>
          <t>2.2 Corrosion (general / pitting / CUI)</t>
        </is>
      </c>
      <c r="H14" s="4" t="inlineStr">
        <is>
          <t>5.6 Mechanical impact / collision</t>
        </is>
      </c>
      <c r="I14" s="4" t="n"/>
      <c r="J14" s="5">
        <f>_xlfn.TEXTJOIN(CHAR(10),TRUE,IF(G14="","","• "&amp;G14),IF(H14="","","• "&amp;H14),IF(I14="","","• "&amp;I14))</f>
        <v/>
      </c>
      <c r="K14" s="4" t="inlineStr">
        <is>
          <t>Leak from the ring main</t>
        </is>
      </c>
      <c r="L14" s="4" t="inlineStr">
        <is>
          <t>Gas release in a plant area</t>
        </is>
      </c>
      <c r="M14" s="4" t="inlineStr">
        <is>
          <t>Fire / explosion (BT-GN-01 T2, T3)</t>
        </is>
      </c>
      <c r="N14" s="16" t="inlineStr">
        <is>
          <t>10 – Hazardous – without warning</t>
        </is>
      </c>
      <c r="O14" s="4" t="inlineStr">
        <is>
          <t>Coating + CP; crash barriers</t>
        </is>
      </c>
      <c r="P14" s="16" t="inlineStr">
        <is>
          <t>3 – Low</t>
        </is>
      </c>
      <c r="Q14" s="4" t="inlineStr">
        <is>
          <t>Ultrasonic thickness / NDT inspection</t>
        </is>
      </c>
      <c r="R14" s="16" t="inlineStr">
        <is>
          <t>5 – Moderate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UT at supports and crossings every 2 years; review crash protection (R-009)</t>
        </is>
      </c>
      <c r="W14" s="4" t="inlineStr">
        <is>
          <t>Condition monitoring task</t>
        </is>
      </c>
      <c r="X14" s="4" t="inlineStr">
        <is>
          <t>Inspection engineer</t>
        </is>
      </c>
      <c r="Y14" s="29" t="n">
        <v>46477</v>
      </c>
      <c r="Z14" s="16" t="inlineStr">
        <is>
          <t>10 – Hazardous – without warning</t>
        </is>
      </c>
      <c r="AA14" s="16" t="inlineStr">
        <is>
          <t>2 – Remote</t>
        </is>
      </c>
      <c r="AB14" s="16" t="inlineStr">
        <is>
          <t>4 – Moderately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N03-01</t>
        </is>
      </c>
      <c r="AF14" s="4" t="n"/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L-1200</t>
        </is>
      </c>
      <c r="C15" s="5">
        <f>IF(B15="","",IFERROR(INDEX(EqTypeCol,MATCH(B15,EqTag,0)),"Tag not in register"))</f>
        <v/>
      </c>
      <c r="D15" s="4" t="inlineStr">
        <is>
          <t>Flanges and gaskets</t>
        </is>
      </c>
      <c r="E15" s="4" t="inlineStr">
        <is>
          <t>Contain 7 barg gas</t>
        </is>
      </c>
      <c r="F15" s="4" t="inlineStr">
        <is>
          <t>ELP – External leakage – process medium</t>
        </is>
      </c>
      <c r="G15" s="4" t="inlineStr">
        <is>
          <t>Installation error</t>
        </is>
      </c>
      <c r="H15" s="4" t="inlineStr">
        <is>
          <t>1.2 Vibration</t>
        </is>
      </c>
      <c r="I15" s="4" t="n"/>
      <c r="J15" s="5">
        <f>_xlfn.TEXTJOIN(CHAR(10),TRUE,IF(G15="","","• "&amp;G15),IF(H15="","","• "&amp;H15),IF(I15="","","• "&amp;I15))</f>
        <v/>
      </c>
      <c r="K15" s="4" t="inlineStr">
        <is>
          <t>Flange leak</t>
        </is>
      </c>
      <c r="L15" s="4" t="inlineStr">
        <is>
          <t>Gas release on the rack</t>
        </is>
      </c>
      <c r="M15" s="4" t="inlineStr">
        <is>
          <t>Fire / explosion (BT-GN-01 T4)</t>
        </is>
      </c>
      <c r="N15" s="16" t="inlineStr">
        <is>
          <t>9 – Hazardous – with warning</t>
        </is>
      </c>
      <c r="O15" s="4" t="inlineStr">
        <is>
          <t>Gasket specification</t>
        </is>
      </c>
      <c r="P15" s="16" t="inlineStr">
        <is>
          <t>4 – Low</t>
        </is>
      </c>
      <c r="Q15" s="4" t="inlineStr">
        <is>
          <t>Operator rounds – visual / sensory</t>
        </is>
      </c>
      <c r="R15" s="16" t="inlineStr">
        <is>
          <t>6 – Low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inlineStr">
        <is>
          <t>Bolt-torque procedure and annual acoustic leak survey</t>
        </is>
      </c>
      <c r="W15" s="4" t="inlineStr">
        <is>
          <t>Condition monitoring task</t>
        </is>
      </c>
      <c r="X15" s="4" t="inlineStr">
        <is>
          <t>Maintenance planner</t>
        </is>
      </c>
      <c r="Y15" s="29" t="n">
        <v>46477</v>
      </c>
      <c r="Z15" s="16" t="inlineStr">
        <is>
          <t>9 – Hazardous – with warning</t>
        </is>
      </c>
      <c r="AA15" s="16" t="inlineStr">
        <is>
          <t>3 – Low</t>
        </is>
      </c>
      <c r="AB15" s="16" t="inlineStr">
        <is>
          <t>3 – High</t>
        </is>
      </c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N03-01</t>
        </is>
      </c>
      <c r="AF15" s="4" t="n"/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CP-1200</t>
        </is>
      </c>
      <c r="C16" s="5">
        <f>IF(B16="","",IFERROR(INDEX(EqTypeCol,MATCH(B16,EqTag,0)),"Tag not in register"))</f>
        <v/>
      </c>
      <c r="D16" s="4" t="inlineStr">
        <is>
          <t>Windings</t>
        </is>
      </c>
      <c r="E16" s="4" t="inlineStr">
        <is>
          <t>Supply CP current</t>
        </is>
      </c>
      <c r="F16" s="4" t="inlineStr">
        <is>
          <t>FOV – Faulty output voltage</t>
        </is>
      </c>
      <c r="G16" s="4" t="inlineStr">
        <is>
          <t>4.3 No power / voltage</t>
        </is>
      </c>
      <c r="H16" s="4" t="inlineStr">
        <is>
          <t>Ageing / end of life</t>
        </is>
      </c>
      <c r="I16" s="4" t="n"/>
      <c r="J16" s="5">
        <f>_xlfn.TEXTJOIN(CHAR(10),TRUE,IF(G16="","","• "&amp;G16),IF(H16="","","• "&amp;H16),IF(I16="","","• "&amp;I16))</f>
        <v/>
      </c>
      <c r="K16" s="4" t="inlineStr">
        <is>
          <t>No / low CP current</t>
        </is>
      </c>
      <c r="L16" s="4" t="inlineStr">
        <is>
          <t>Buried sections unprotected</t>
        </is>
      </c>
      <c r="M16" s="4" t="inlineStr">
        <is>
          <t>Accelerated external corrosion – leak (HAZOP N03-04)</t>
        </is>
      </c>
      <c r="N16" s="16" t="inlineStr">
        <is>
          <t>7 – High</t>
        </is>
      </c>
      <c r="O16" s="4" t="inlineStr">
        <is>
          <t>Annual CP survey</t>
        </is>
      </c>
      <c r="P16" s="16" t="inlineStr">
        <is>
          <t>4 – Low</t>
        </is>
      </c>
      <c r="Q16" s="4" t="inlineStr">
        <is>
          <t>Performance monitoring (flow, ΔP, efficiency)</t>
        </is>
      </c>
      <c r="R16" s="16" t="inlineStr">
        <is>
          <t>6 – Low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inlineStr">
        <is>
          <t>Monthly transformer-rectifier readings with alarm on low output</t>
        </is>
      </c>
      <c r="W16" s="4" t="inlineStr">
        <is>
          <t>Operator round / inspection</t>
        </is>
      </c>
      <c r="X16" s="4" t="inlineStr">
        <is>
          <t>Electrical engineer</t>
        </is>
      </c>
      <c r="Y16" s="29" t="n">
        <v>46477</v>
      </c>
      <c r="Z16" s="16" t="inlineStr">
        <is>
          <t>7 – High</t>
        </is>
      </c>
      <c r="AA16" s="16" t="inlineStr">
        <is>
          <t>4 – Low</t>
        </is>
      </c>
      <c r="AB16" s="16" t="inlineStr">
        <is>
          <t>3 – High</t>
        </is>
      </c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N03-04</t>
        </is>
      </c>
      <c r="AF16" s="4" t="n"/>
      <c r="AH16">
        <f>IFERROR(INDEX(EqTag,_xlfn.AGGREGATE(15,6,(ROW(EqTag)-4)/((EqSys=$D$3)*(EqTag&lt;&gt;"")),ROWS($AH$14:AH16))),"")</f>
        <v/>
      </c>
    </row>
    <row r="17" ht="75" customHeight="1">
      <c r="A17" s="20">
        <f>IF(F17="","",LEFT($D$3,3)&amp;"-"&amp;TEXT(COUNTIF(F$14:F17,"?*"),"00"))</f>
        <v/>
      </c>
      <c r="B17" s="4" t="inlineStr">
        <is>
          <t>XV-1201</t>
        </is>
      </c>
      <c r="C17" s="5">
        <f>IF(B17="","",IFERROR(INDEX(EqTypeCol,MATCH(B17,EqTag,0)),"Tag not in register"))</f>
        <v/>
      </c>
      <c r="D17" s="4" t="inlineStr">
        <is>
          <t>Actuator</t>
        </is>
      </c>
      <c r="E17" s="4" t="inlineStr">
        <is>
          <t>Close for sectional isolation</t>
        </is>
      </c>
      <c r="F17" s="4" t="inlineStr">
        <is>
          <t>FTC – Fail to close on demand</t>
        </is>
      </c>
      <c r="G17" s="4" t="inlineStr">
        <is>
          <t>1.6 Sticking / seizure</t>
        </is>
      </c>
      <c r="H17" s="4" t="n"/>
      <c r="I17" s="4" t="n"/>
      <c r="J17" s="5">
        <f>_xlfn.TEXTJOIN(CHAR(10),TRUE,IF(G17="","","• "&amp;G17),IF(H17="","","• "&amp;H17),IF(I17="","","• "&amp;I17))</f>
        <v/>
      </c>
      <c r="K17" s="4" t="inlineStr">
        <is>
          <t>Section cannot be isolated remotely</t>
        </is>
      </c>
      <c r="L17" s="4" t="inlineStr">
        <is>
          <t>Larger inventory released</t>
        </is>
      </c>
      <c r="M17" s="4" t="inlineStr">
        <is>
          <t>Longer release duration</t>
        </is>
      </c>
      <c r="N17" s="16" t="inlineStr">
        <is>
          <t>7 – High</t>
        </is>
      </c>
      <c r="O17" s="4" t="inlineStr">
        <is>
          <t>None</t>
        </is>
      </c>
      <c r="P17" s="16" t="inlineStr">
        <is>
          <t>3 – Low</t>
        </is>
      </c>
      <c r="Q17" s="4" t="inlineStr">
        <is>
          <t>Proof test / function test</t>
        </is>
      </c>
      <c r="R17" s="16" t="inlineStr">
        <is>
          <t>7 – Very low</t>
        </is>
      </c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inlineStr">
        <is>
          <t>Annual stroke test of sectionalising valves</t>
        </is>
      </c>
      <c r="W17" s="4" t="inlineStr">
        <is>
          <t>Failure-finding / proof test</t>
        </is>
      </c>
      <c r="X17" s="4" t="inlineStr">
        <is>
          <t>Instrument engineer</t>
        </is>
      </c>
      <c r="Y17" s="29" t="n">
        <v>46477</v>
      </c>
      <c r="Z17" s="16" t="inlineStr">
        <is>
          <t>7 – High</t>
        </is>
      </c>
      <c r="AA17" s="16" t="inlineStr">
        <is>
          <t>3 – Low</t>
        </is>
      </c>
      <c r="AB17" s="16" t="inlineStr">
        <is>
          <t>4 – Moderately high</t>
        </is>
      </c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inlineStr">
        <is>
          <t>HAZOP N03-01</t>
        </is>
      </c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S04 – DRI plant gas supply – district station DS-2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FCV-2004</t>
        </is>
      </c>
      <c r="C14" s="5">
        <f>IF(B14="","",IFERROR(INDEX(EqTypeCol,MATCH(B14,EqTag,0)),"Tag not in register"))</f>
        <v/>
      </c>
      <c r="D14" s="4" t="inlineStr">
        <is>
          <t>Positioner</t>
        </is>
      </c>
      <c r="E14" s="4" t="inlineStr">
        <is>
          <t>Control reformer fuel flow</t>
        </is>
      </c>
      <c r="F14" s="4" t="inlineStr">
        <is>
          <t>FTC – Fail to close on demand</t>
        </is>
      </c>
      <c r="G14" s="4" t="inlineStr">
        <is>
          <t>3.1 Control failure</t>
        </is>
      </c>
      <c r="H14" s="4" t="inlineStr">
        <is>
          <t>1.6 Sticking / seizure</t>
        </is>
      </c>
      <c r="I14" s="4" t="n"/>
      <c r="J14" s="5">
        <f>_xlfn.TEXTJOIN(CHAR(10),TRUE,IF(G14="","","• "&amp;G14),IF(H14="","","• "&amp;H14),IF(I14="","","• "&amp;I14))</f>
        <v/>
      </c>
      <c r="K14" s="4" t="inlineStr">
        <is>
          <t>Valve fails open</t>
        </is>
      </c>
      <c r="L14" s="4" t="inlineStr">
        <is>
          <t>Reformer over-firing</t>
        </is>
      </c>
      <c r="M14" s="4" t="inlineStr">
        <is>
          <t>Tube overheating / rupture (HAZOP N04-01)</t>
        </is>
      </c>
      <c r="N14" s="16" t="inlineStr">
        <is>
          <t>8 – Very high</t>
        </is>
      </c>
      <c r="O14" s="4" t="inlineStr">
        <is>
          <t>Reformer BMS high-fuel / tube-temperature trips</t>
        </is>
      </c>
      <c r="P14" s="16" t="inlineStr">
        <is>
          <t>3 – Low</t>
        </is>
      </c>
      <c r="Q14" s="4" t="inlineStr">
        <is>
          <t>Protective trip / interlock</t>
        </is>
      </c>
      <c r="R14" s="16" t="inlineStr">
        <is>
          <t>3 – High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N04-01</t>
        </is>
      </c>
      <c r="AF14" s="4" t="n"/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XV-2008</t>
        </is>
      </c>
      <c r="C15" s="5">
        <f>IF(B15="","",IFERROR(INDEX(EqTypeCol,MATCH(B15,EqTag,0)),"Tag not in register"))</f>
        <v/>
      </c>
      <c r="D15" s="4" t="inlineStr">
        <is>
          <t>Ball / gate / disc</t>
        </is>
      </c>
      <c r="E15" s="4" t="inlineStr">
        <is>
          <t>Shut tight against reverse flow</t>
        </is>
      </c>
      <c r="F15" s="4" t="inlineStr">
        <is>
          <t>LCP – Leakage in closed position</t>
        </is>
      </c>
      <c r="G15" s="4" t="inlineStr">
        <is>
          <t>2.3 Erosion</t>
        </is>
      </c>
      <c r="H15" s="4" t="inlineStr">
        <is>
          <t>5.2 Contamination (process / lube oil / water)</t>
        </is>
      </c>
      <c r="I15" s="4" t="n"/>
      <c r="J15" s="5">
        <f>_xlfn.TEXTJOIN(CHAR(10),TRUE,IF(G15="","","• "&amp;G15),IF(H15="","","• "&amp;H15),IF(I15="","","• "&amp;I15))</f>
        <v/>
      </c>
      <c r="K15" s="4" t="inlineStr">
        <is>
          <t>Passing valve</t>
        </is>
      </c>
      <c r="L15" s="4" t="inlineStr">
        <is>
          <t>Process gas back-flows into NG when NG pressure is low</t>
        </is>
      </c>
      <c r="M15" s="4" t="inlineStr">
        <is>
          <t>CO / H2 in the NG system (HAZOP N04-03)</t>
        </is>
      </c>
      <c r="N15" s="16" t="inlineStr">
        <is>
          <t>9 – Hazardous – with warning</t>
        </is>
      </c>
      <c r="O15" s="4" t="inlineStr">
        <is>
          <t>Double NRV</t>
        </is>
      </c>
      <c r="P15" s="16" t="inlineStr">
        <is>
          <t>3 – Low</t>
        </is>
      </c>
      <c r="Q15" s="4" t="inlineStr">
        <is>
          <t>None – hidden failure</t>
        </is>
      </c>
      <c r="R15" s="16" t="inlineStr">
        <is>
          <t>8 – Remote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inlineStr">
        <is>
          <t>Annual reverse-flow leak test of XV-2008 and the NRVs (R-018)</t>
        </is>
      </c>
      <c r="W15" s="4" t="inlineStr">
        <is>
          <t>Failure-finding / proof test</t>
        </is>
      </c>
      <c r="X15" s="4" t="inlineStr">
        <is>
          <t>DRI maintenance</t>
        </is>
      </c>
      <c r="Y15" s="29" t="n">
        <v>46477</v>
      </c>
      <c r="Z15" s="16" t="inlineStr">
        <is>
          <t>9 – Hazardous – with warning</t>
        </is>
      </c>
      <c r="AA15" s="16" t="inlineStr">
        <is>
          <t>3 – Low</t>
        </is>
      </c>
      <c r="AB15" s="16" t="inlineStr">
        <is>
          <t>4 – Moderately high</t>
        </is>
      </c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N04-03</t>
        </is>
      </c>
      <c r="AF15" s="4" t="n"/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PSLL-2006</t>
        </is>
      </c>
      <c r="C16" s="5">
        <f>IF(B16="","",IFERROR(INDEX(EqTypeCol,MATCH(B16,EqTag,0)),"Tag not in register"))</f>
        <v/>
      </c>
      <c r="D16" s="4" t="inlineStr">
        <is>
          <t>Sensing element</t>
        </is>
      </c>
      <c r="E16" s="4" t="inlineStr">
        <is>
          <t>Trip reformer burners on low gas pressure</t>
        </is>
      </c>
      <c r="F16" s="4" t="inlineStr">
        <is>
          <t>FTF – Fail to function on demand</t>
        </is>
      </c>
      <c r="G16" s="4" t="inlineStr">
        <is>
          <t>3.4 Out of adjustment / calibration drift</t>
        </is>
      </c>
      <c r="H16" s="4" t="inlineStr">
        <is>
          <t>5.1 Blockage / plugged</t>
        </is>
      </c>
      <c r="I16" s="4" t="n"/>
      <c r="J16" s="5">
        <f>_xlfn.TEXTJOIN(CHAR(10),TRUE,IF(G16="","","• "&amp;G16),IF(H16="","","• "&amp;H16),IF(I16="","","• "&amp;I16))</f>
        <v/>
      </c>
      <c r="K16" s="4" t="inlineStr">
        <is>
          <t>No trip</t>
        </is>
      </c>
      <c r="L16" s="4" t="inlineStr">
        <is>
          <t>Reformer burners not tripped on gas loss</t>
        </is>
      </c>
      <c r="M16" s="4" t="inlineStr">
        <is>
          <t>Relight hazard (HAZOP N04-02)</t>
        </is>
      </c>
      <c r="N16" s="16" t="inlineStr">
        <is>
          <t>8 – Very high</t>
        </is>
      </c>
      <c r="O16" s="4" t="inlineStr">
        <is>
          <t>Annual proof test</t>
        </is>
      </c>
      <c r="P16" s="16" t="inlineStr">
        <is>
          <t>3 – Low</t>
        </is>
      </c>
      <c r="Q16" s="4" t="inlineStr">
        <is>
          <t>Proof test / function test</t>
        </is>
      </c>
      <c r="R16" s="16" t="inlineStr">
        <is>
          <t>7 – Very low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N04-02</t>
        </is>
      </c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S05 – Melt shop gas supply – DS-3, EAF oxy-fuel burners and ladle preheaters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NRV-3010</t>
        </is>
      </c>
      <c r="C14" s="5">
        <f>IF(B14="","",IFERROR(INDEX(EqTypeCol,MATCH(B14,EqTag,0)),"Tag not in register"))</f>
        <v/>
      </c>
      <c r="D14" s="4" t="inlineStr">
        <is>
          <t>Seats</t>
        </is>
      </c>
      <c r="E14" s="4" t="inlineStr">
        <is>
          <t>Prevent O2 back-flow into NG</t>
        </is>
      </c>
      <c r="F14" s="4" t="inlineStr">
        <is>
          <t>LCP – Leakage in closed position</t>
        </is>
      </c>
      <c r="G14" s="4" t="inlineStr">
        <is>
          <t>5.1 Blockage / plugged</t>
        </is>
      </c>
      <c r="H14" s="4" t="inlineStr">
        <is>
          <t>5.5 Heat / radiant heat / molten metal splash</t>
        </is>
      </c>
      <c r="I14" s="4" t="n"/>
      <c r="J14" s="5">
        <f>_xlfn.TEXTJOIN(CHAR(10),TRUE,IF(G14="","","• "&amp;G14),IF(H14="","","• "&amp;H14),IF(I14="","","• "&amp;I14))</f>
        <v/>
      </c>
      <c r="K14" s="4" t="inlineStr">
        <is>
          <t>Check valve passing</t>
        </is>
      </c>
      <c r="L14" s="4" t="inlineStr">
        <is>
          <t>O2 can enter the NG line when NG pressure is lost</t>
        </is>
      </c>
      <c r="M14" s="4" t="inlineStr">
        <is>
          <t>Flashback / detonation in the burner line (HAZOP N05-01)</t>
        </is>
      </c>
      <c r="N14" s="16" t="inlineStr">
        <is>
          <t>10 – Hazardous – without warning</t>
        </is>
      </c>
      <c r="O14" s="4" t="inlineStr">
        <is>
          <t>Flashback arrestor in series</t>
        </is>
      </c>
      <c r="P14" s="16" t="inlineStr">
        <is>
          <t>3 – Low</t>
        </is>
      </c>
      <c r="Q14" s="4" t="inlineStr">
        <is>
          <t>None – hidden failure</t>
        </is>
      </c>
      <c r="R14" s="16" t="inlineStr">
        <is>
          <t>8 – Remote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Annual back-flow test of NRVs; prove the 'low NG closes O2' interlock (R-013)</t>
        </is>
      </c>
      <c r="W14" s="4" t="inlineStr">
        <is>
          <t>Failure-finding / proof test</t>
        </is>
      </c>
      <c r="X14" s="4" t="inlineStr">
        <is>
          <t>Melt shop maintenance</t>
        </is>
      </c>
      <c r="Y14" s="29" t="n">
        <v>46477</v>
      </c>
      <c r="Z14" s="16" t="inlineStr">
        <is>
          <t>10 – Hazardous – without warning</t>
        </is>
      </c>
      <c r="AA14" s="16" t="inlineStr">
        <is>
          <t>3 – Low</t>
        </is>
      </c>
      <c r="AB14" s="16" t="inlineStr">
        <is>
          <t>4 – Moderately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N05-01</t>
        </is>
      </c>
      <c r="AF14" s="4" t="n"/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XV-3011</t>
        </is>
      </c>
      <c r="C15" s="5">
        <f>IF(B15="","",IFERROR(INDEX(EqTypeCol,MATCH(B15,EqTag,0)),"Tag not in register"))</f>
        <v/>
      </c>
      <c r="D15" s="4" t="inlineStr">
        <is>
          <t>Solenoid valve</t>
        </is>
      </c>
      <c r="E15" s="4" t="inlineStr">
        <is>
          <t>Shut off NG to the burner on trip</t>
        </is>
      </c>
      <c r="F15" s="4" t="inlineStr">
        <is>
          <t>FTC – Fail to close on demand</t>
        </is>
      </c>
      <c r="G15" s="4" t="inlineStr">
        <is>
          <t>5.3 Dust ingress</t>
        </is>
      </c>
      <c r="H15" s="4" t="inlineStr">
        <is>
          <t>5.5 Heat / radiant heat / molten metal splash</t>
        </is>
      </c>
      <c r="I15" s="4" t="n"/>
      <c r="J15" s="5">
        <f>_xlfn.TEXTJOIN(CHAR(10),TRUE,IF(G15="","","• "&amp;G15),IF(H15="","","• "&amp;H15),IF(I15="","","• "&amp;I15))</f>
        <v/>
      </c>
      <c r="K15" s="4" t="inlineStr">
        <is>
          <t>NG not shut off</t>
        </is>
      </c>
      <c r="L15" s="4" t="inlineStr">
        <is>
          <t>Burner keeps flowing gas after a trip</t>
        </is>
      </c>
      <c r="M15" s="4" t="inlineStr">
        <is>
          <t>Gas accumulation / fire at the EAF (HAZOP N05-02)</t>
        </is>
      </c>
      <c r="N15" s="16" t="inlineStr">
        <is>
          <t>9 – Hazardous – with warning</t>
        </is>
      </c>
      <c r="O15" s="4" t="inlineStr">
        <is>
          <t>Annual function test</t>
        </is>
      </c>
      <c r="P15" s="16" t="inlineStr">
        <is>
          <t>3 – Low</t>
        </is>
      </c>
      <c r="Q15" s="4" t="inlineStr">
        <is>
          <t>Proof test / function test</t>
        </is>
      </c>
      <c r="R15" s="16" t="inlineStr">
        <is>
          <t>6 – Low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inlineStr">
        <is>
          <t>Heat-shield the valve and test six-monthly (R-019)</t>
        </is>
      </c>
      <c r="W15" s="4" t="inlineStr">
        <is>
          <t>Failure-finding / proof test</t>
        </is>
      </c>
      <c r="X15" s="4" t="inlineStr">
        <is>
          <t>Melt shop maintenance</t>
        </is>
      </c>
      <c r="Y15" s="29" t="n">
        <v>46477</v>
      </c>
      <c r="Z15" s="16" t="inlineStr">
        <is>
          <t>9 – Hazardous – with warning</t>
        </is>
      </c>
      <c r="AA15" s="16" t="inlineStr">
        <is>
          <t>3 – Low</t>
        </is>
      </c>
      <c r="AB15" s="16" t="inlineStr">
        <is>
          <t>4 – Moderately high</t>
        </is>
      </c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N05-02</t>
        </is>
      </c>
      <c r="AF15" s="4" t="n"/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LPH-3020</t>
        </is>
      </c>
      <c r="C16" s="5">
        <f>IF(B16="","",IFERROR(INDEX(EqTypeCol,MATCH(B16,EqTag,0)),"Tag not in register"))</f>
        <v/>
      </c>
      <c r="D16" s="4" t="inlineStr">
        <is>
          <t>Flame scanner</t>
        </is>
      </c>
      <c r="E16" s="4" t="inlineStr">
        <is>
          <t>Detect loss of flame</t>
        </is>
      </c>
      <c r="F16" s="4" t="inlineStr">
        <is>
          <t>FTC – Fail to shut off fuel</t>
        </is>
      </c>
      <c r="G16" s="4" t="inlineStr">
        <is>
          <t>3.3 Faulty signal / indication / alarm</t>
        </is>
      </c>
      <c r="H16" s="4" t="inlineStr">
        <is>
          <t>5.3 Dust ingress</t>
        </is>
      </c>
      <c r="I16" s="4" t="n"/>
      <c r="J16" s="5">
        <f>_xlfn.TEXTJOIN(CHAR(10),TRUE,IF(G16="","","• "&amp;G16),IF(H16="","","• "&amp;H16),IF(I16="","","• "&amp;I16))</f>
        <v/>
      </c>
      <c r="K16" s="4" t="inlineStr">
        <is>
          <t>Flame loss not detected</t>
        </is>
      </c>
      <c r="L16" s="4" t="inlineStr">
        <is>
          <t>Gas keeps flowing into the ladle</t>
        </is>
      </c>
      <c r="M16" s="4" t="inlineStr">
        <is>
          <t>Explosion on relight (HAZOP N05-03)</t>
        </is>
      </c>
      <c r="N16" s="16" t="inlineStr">
        <is>
          <t>10 – Hazardous – without warning</t>
        </is>
      </c>
      <c r="O16" s="4" t="inlineStr">
        <is>
          <t>Self-checking UV scanner</t>
        </is>
      </c>
      <c r="P16" s="16" t="inlineStr">
        <is>
          <t>3 – Low</t>
        </is>
      </c>
      <c r="Q16" s="4" t="inlineStr">
        <is>
          <t>Proof test / function test</t>
        </is>
      </c>
      <c r="R16" s="16" t="inlineStr">
        <is>
          <t>6 – Low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N05-03</t>
        </is>
      </c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S06 – Rolling-mill reheat furnace fuel gas train and burner management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BS-4010</t>
        </is>
      </c>
      <c r="C14" s="5">
        <f>IF(B14="","",IFERROR(INDEX(EqTypeCol,MATCH(B14,EqTag,0)),"Tag not in register"))</f>
        <v/>
      </c>
      <c r="D14" s="4" t="inlineStr">
        <is>
          <t>Sensing element</t>
        </is>
      </c>
      <c r="E14" s="4" t="inlineStr">
        <is>
          <t>Detect loss of flame within 1 s</t>
        </is>
      </c>
      <c r="F14" s="4" t="inlineStr">
        <is>
          <t>FTF – Fail to function on demand</t>
        </is>
      </c>
      <c r="G14" s="4" t="inlineStr">
        <is>
          <t>3.3 Faulty signal / indication / alarm</t>
        </is>
      </c>
      <c r="H14" s="4" t="inlineStr">
        <is>
          <t>5.3 Dust ingress</t>
        </is>
      </c>
      <c r="I14" s="4" t="inlineStr">
        <is>
          <t>5.5 Heat / radiant heat / molten metal splash</t>
        </is>
      </c>
      <c r="J14" s="5">
        <f>_xlfn.TEXTJOIN(CHAR(10),TRUE,IF(G14="","","• "&amp;G14),IF(H14="","","• "&amp;H14),IF(I14="","","• "&amp;I14))</f>
        <v/>
      </c>
      <c r="K14" s="4" t="inlineStr">
        <is>
          <t>Scanner keeps reporting flame</t>
        </is>
      </c>
      <c r="L14" s="4" t="inlineStr">
        <is>
          <t>BMS does not shut off fuel</t>
        </is>
      </c>
      <c r="M14" s="4" t="inlineStr">
        <is>
          <t>Explosive mixture in the furnace (FT-GN-03, ETA-GN-02)</t>
        </is>
      </c>
      <c r="N14" s="16" t="inlineStr">
        <is>
          <t>10 – Hazardous – without warning</t>
        </is>
      </c>
      <c r="O14" s="4" t="inlineStr">
        <is>
          <t>Annual scanner check</t>
        </is>
      </c>
      <c r="P14" s="16" t="inlineStr">
        <is>
          <t>4 – Low</t>
        </is>
      </c>
      <c r="Q14" s="4" t="inlineStr">
        <is>
          <t>Proof test / function test</t>
        </is>
      </c>
      <c r="R14" s="16" t="inlineStr">
        <is>
          <t>6 – Low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Self-checking UV scanners, 1oo2 per burner; six-monthly test (R-010)</t>
        </is>
      </c>
      <c r="W14" s="4" t="inlineStr">
        <is>
          <t>Redesign / modification (MOC)</t>
        </is>
      </c>
      <c r="X14" s="4" t="inlineStr">
        <is>
          <t>Instrument engineer</t>
        </is>
      </c>
      <c r="Y14" s="29" t="n">
        <v>46477</v>
      </c>
      <c r="Z14" s="16" t="inlineStr">
        <is>
          <t>10 – Hazardous – without warning</t>
        </is>
      </c>
      <c r="AA14" s="16" t="inlineStr">
        <is>
          <t>2 – Remote</t>
        </is>
      </c>
      <c r="AB14" s="16" t="inlineStr">
        <is>
          <t>4 – Moderately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N06-01</t>
        </is>
      </c>
      <c r="AF14" s="4" t="inlineStr">
        <is>
          <t>Fault tree FT-GN-03 event BE-003</t>
        </is>
      </c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XV-4002A</t>
        </is>
      </c>
      <c r="C15" s="5">
        <f>IF(B15="","",IFERROR(INDEX(EqTypeCol,MATCH(B15,EqTag,0)),"Tag not in register"))</f>
        <v/>
      </c>
      <c r="D15" s="4" t="inlineStr">
        <is>
          <t>Actuator</t>
        </is>
      </c>
      <c r="E15" s="4" t="inlineStr">
        <is>
          <t>Close within 1 s on trip</t>
        </is>
      </c>
      <c r="F15" s="4" t="inlineStr">
        <is>
          <t>FTC – Fail to close on demand</t>
        </is>
      </c>
      <c r="G15" s="4" t="inlineStr">
        <is>
          <t>1.6 Sticking / seizure</t>
        </is>
      </c>
      <c r="H15" s="4" t="inlineStr">
        <is>
          <t>5.2 Contamination (process / lube oil / water)</t>
        </is>
      </c>
      <c r="I15" s="4" t="n"/>
      <c r="J15" s="5">
        <f>_xlfn.TEXTJOIN(CHAR(10),TRUE,IF(G15="","","• "&amp;G15),IF(H15="","","• "&amp;H15),IF(I15="","","• "&amp;I15))</f>
        <v/>
      </c>
      <c r="K15" s="4" t="inlineStr">
        <is>
          <t>SSOV A does not close</t>
        </is>
      </c>
      <c r="L15" s="4" t="inlineStr">
        <is>
          <t>SSOV B must close (1oo2); common cause can fail both</t>
        </is>
      </c>
      <c r="M15" s="4" t="inlineStr">
        <is>
          <t>Explosive mixture if both fail (FT-GN-03)</t>
        </is>
      </c>
      <c r="N15" s="16" t="inlineStr">
        <is>
          <t>10 – Hazardous – without warning</t>
        </is>
      </c>
      <c r="O15" s="4" t="inlineStr">
        <is>
          <t>Annual function test</t>
        </is>
      </c>
      <c r="P15" s="16" t="inlineStr">
        <is>
          <t>3 – Low</t>
        </is>
      </c>
      <c r="Q15" s="4" t="inlineStr">
        <is>
          <t>Proof test / function test</t>
        </is>
      </c>
      <c r="R15" s="16" t="inlineStr">
        <is>
          <t>6 – Low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inlineStr">
        <is>
          <t>Measure closing time at every shutdown; staggered testing (R-010)</t>
        </is>
      </c>
      <c r="W15" s="4" t="inlineStr">
        <is>
          <t>Failure-finding / proof test</t>
        </is>
      </c>
      <c r="X15" s="4" t="inlineStr">
        <is>
          <t>Instrument engineer</t>
        </is>
      </c>
      <c r="Y15" s="29" t="n">
        <v>46477</v>
      </c>
      <c r="Z15" s="16" t="inlineStr">
        <is>
          <t>10 – Hazardous – without warning</t>
        </is>
      </c>
      <c r="AA15" s="16" t="inlineStr">
        <is>
          <t>3 – Low</t>
        </is>
      </c>
      <c r="AB15" s="16" t="inlineStr">
        <is>
          <t>4 – Moderately high</t>
        </is>
      </c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N06-01</t>
        </is>
      </c>
      <c r="AF15" s="4" t="inlineStr">
        <is>
          <t>Fault tree FT-GN-03 events BE-006 / BE-007 (CCF-001)</t>
        </is>
      </c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XV-4002A</t>
        </is>
      </c>
      <c r="C16" s="5">
        <f>IF(B16="","",IFERROR(INDEX(EqTypeCol,MATCH(B16,EqTag,0)),"Tag not in register"))</f>
        <v/>
      </c>
      <c r="D16" s="4" t="inlineStr">
        <is>
          <t>Seats</t>
        </is>
      </c>
      <c r="E16" s="4" t="inlineStr">
        <is>
          <t>Shut tight when the furnace is idle</t>
        </is>
      </c>
      <c r="F16" s="4" t="inlineStr">
        <is>
          <t>LCP – Leakage in closed position</t>
        </is>
      </c>
      <c r="G16" s="4" t="inlineStr">
        <is>
          <t>2.3 Erosion</t>
        </is>
      </c>
      <c r="H16" s="4" t="inlineStr">
        <is>
          <t>5.2 Contamination (process / lube oil / water)</t>
        </is>
      </c>
      <c r="I16" s="4" t="n"/>
      <c r="J16" s="5">
        <f>_xlfn.TEXTJOIN(CHAR(10),TRUE,IF(G16="","","• "&amp;G16),IF(H16="","","• "&amp;H16),IF(I16="","","• "&amp;I16))</f>
        <v/>
      </c>
      <c r="K16" s="4" t="inlineStr">
        <is>
          <t>Passing valve</t>
        </is>
      </c>
      <c r="L16" s="4" t="inlineStr">
        <is>
          <t>Gas accumulates in the idle furnace</t>
        </is>
      </c>
      <c r="M16" s="4" t="inlineStr">
        <is>
          <t>Explosion at light-off (BT-GN-02 T2)</t>
        </is>
      </c>
      <c r="N16" s="16" t="inlineStr">
        <is>
          <t>10 – Hazardous – without warning</t>
        </is>
      </c>
      <c r="O16" s="4" t="inlineStr">
        <is>
          <t>DBB vent XV-4003</t>
        </is>
      </c>
      <c r="P16" s="16" t="inlineStr">
        <is>
          <t>4 – Low</t>
        </is>
      </c>
      <c r="Q16" s="4" t="inlineStr">
        <is>
          <t>Proof test / function test</t>
        </is>
      </c>
      <c r="R16" s="16" t="inlineStr">
        <is>
          <t>4 – Moderately high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inlineStr">
        <is>
          <t>Valve proving VPS-4004 before every light-off (R-011)</t>
        </is>
      </c>
      <c r="W16" s="4" t="inlineStr">
        <is>
          <t>Failure-finding / proof test</t>
        </is>
      </c>
      <c r="X16" s="4" t="inlineStr">
        <is>
          <t>Instrument engineer</t>
        </is>
      </c>
      <c r="Y16" s="29" t="n">
        <v>46477</v>
      </c>
      <c r="Z16" s="16" t="inlineStr">
        <is>
          <t>10 – Hazardous – without warning</t>
        </is>
      </c>
      <c r="AA16" s="16" t="inlineStr">
        <is>
          <t>3 – Low</t>
        </is>
      </c>
      <c r="AB16" s="16" t="inlineStr">
        <is>
          <t>2 – Very high</t>
        </is>
      </c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N06-05</t>
        </is>
      </c>
      <c r="AF16" s="4" t="n"/>
      <c r="AH16">
        <f>IFERROR(INDEX(EqTag,_xlfn.AGGREGATE(15,6,(ROW(EqTag)-4)/((EqSys=$D$3)*(EqTag&lt;&gt;"")),ROWS($AH$14:AH16))),"")</f>
        <v/>
      </c>
    </row>
    <row r="17" ht="75" customHeight="1">
      <c r="A17" s="20">
        <f>IF(F17="","",LEFT($D$3,3)&amp;"-"&amp;TEXT(COUNTIF(F$14:F17,"?*"),"00"))</f>
        <v/>
      </c>
      <c r="B17" s="4" t="inlineStr">
        <is>
          <t>BMS-4000</t>
        </is>
      </c>
      <c r="C17" s="5">
        <f>IF(B17="","",IFERROR(INDEX(EqTypeCol,MATCH(B17,EqTag,0)),"Tag not in register"))</f>
        <v/>
      </c>
      <c r="D17" s="4" t="inlineStr">
        <is>
          <t>Application software</t>
        </is>
      </c>
      <c r="E17" s="4" t="inlineStr">
        <is>
          <t>Execute purge, light-off and flame-failure logic</t>
        </is>
      </c>
      <c r="F17" s="4" t="inlineStr">
        <is>
          <t>OTH – Software / configuration error</t>
        </is>
      </c>
      <c r="G17" s="4" t="inlineStr">
        <is>
          <t>3.5 Software / configuration failure</t>
        </is>
      </c>
      <c r="H17" s="4" t="n"/>
      <c r="I17" s="4" t="n"/>
      <c r="J17" s="5">
        <f>_xlfn.TEXTJOIN(CHAR(10),TRUE,IF(G17="","","• "&amp;G17),IF(H17="","","• "&amp;H17),IF(I17="","","• "&amp;I17))</f>
        <v/>
      </c>
      <c r="K17" s="4" t="inlineStr">
        <is>
          <t>Logic error / unauthorised change</t>
        </is>
      </c>
      <c r="L17" s="4" t="inlineStr">
        <is>
          <t>Trips not executed</t>
        </is>
      </c>
      <c r="M17" s="4" t="inlineStr">
        <is>
          <t>As N06-01 / N06-04</t>
        </is>
      </c>
      <c r="N17" s="16" t="inlineStr">
        <is>
          <t>10 – Hazardous – without warning</t>
        </is>
      </c>
      <c r="O17" s="4" t="inlineStr">
        <is>
          <t>Password protection</t>
        </is>
      </c>
      <c r="P17" s="16" t="inlineStr">
        <is>
          <t>2 – Remote</t>
        </is>
      </c>
      <c r="Q17" s="4" t="inlineStr">
        <is>
          <t>None – hidden failure</t>
        </is>
      </c>
      <c r="R17" s="16" t="inlineStr">
        <is>
          <t>8 – Remote</t>
        </is>
      </c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inlineStr">
        <is>
          <t>Logic changes only under MOC with full function test; bypass register (R-012)</t>
        </is>
      </c>
      <c r="W17" s="4" t="inlineStr">
        <is>
          <t>Procedure / training</t>
        </is>
      </c>
      <c r="X17" s="4" t="inlineStr">
        <is>
          <t>Instrument engineer</t>
        </is>
      </c>
      <c r="Y17" s="29" t="n">
        <v>46477</v>
      </c>
      <c r="Z17" s="16" t="inlineStr">
        <is>
          <t>10 – Hazardous – without warning</t>
        </is>
      </c>
      <c r="AA17" s="16" t="inlineStr">
        <is>
          <t>2 – Remote</t>
        </is>
      </c>
      <c r="AB17" s="16" t="inlineStr">
        <is>
          <t>5 – Moderate</t>
        </is>
      </c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inlineStr">
        <is>
          <t>HAZOP N06-06</t>
        </is>
      </c>
      <c r="AF17" s="4" t="inlineStr">
        <is>
          <t>Fault tree FT-GN-03 event BE-005</t>
        </is>
      </c>
      <c r="AH17">
        <f>IFERROR(INDEX(EqTag,_xlfn.AGGREGATE(15,6,(ROW(EqTag)-4)/((EqSys=$D$3)*(EqTag&lt;&gt;"")),ROWS($AH$14:AH17))),"")</f>
        <v/>
      </c>
    </row>
    <row r="18" ht="75" customHeight="1">
      <c r="A18" s="20">
        <f>IF(F18="","",LEFT($D$3,3)&amp;"-"&amp;TEXT(COUNTIF(F$14:F18,"?*"),"00"))</f>
        <v/>
      </c>
      <c r="B18" s="4" t="inlineStr">
        <is>
          <t>FN-4007</t>
        </is>
      </c>
      <c r="C18" s="5">
        <f>IF(B18="","",IFERROR(INDEX(EqTypeCol,MATCH(B18,EqTag,0)),"Tag not in register"))</f>
        <v/>
      </c>
      <c r="D18" s="4" t="inlineStr">
        <is>
          <t>Bearings</t>
        </is>
      </c>
      <c r="E18" s="4" t="inlineStr">
        <is>
          <t>Supply combustion air</t>
        </is>
      </c>
      <c r="F18" s="4" t="inlineStr">
        <is>
          <t>UST – Spurious stop</t>
        </is>
      </c>
      <c r="G18" s="4" t="inlineStr">
        <is>
          <t>Bearing failure (lubrication / contamination / fatigue)</t>
        </is>
      </c>
      <c r="H18" s="4" t="n"/>
      <c r="I18" s="4" t="n"/>
      <c r="J18" s="5">
        <f>_xlfn.TEXTJOIN(CHAR(10),TRUE,IF(G18="","","• "&amp;G18),IF(H18="","","• "&amp;H18),IF(I18="","","• "&amp;I18))</f>
        <v/>
      </c>
      <c r="K18" s="4" t="inlineStr">
        <is>
          <t>Fan trips</t>
        </is>
      </c>
      <c r="L18" s="4" t="inlineStr">
        <is>
          <t>FSLL-4008 trips the furnace</t>
        </is>
      </c>
      <c r="M18" s="4" t="inlineStr">
        <is>
          <t>Production loss; if trip fails – rich combustion (BT-GN-02 T4)</t>
        </is>
      </c>
      <c r="N18" s="16" t="inlineStr">
        <is>
          <t>6 – Moderate</t>
        </is>
      </c>
      <c r="O18" s="4" t="inlineStr">
        <is>
          <t>Lubrication schedule</t>
        </is>
      </c>
      <c r="P18" s="16" t="inlineStr">
        <is>
          <t>4 – Low</t>
        </is>
      </c>
      <c r="Q18" s="4" t="inlineStr">
        <is>
          <t>Online vibration monitoring with alarm</t>
        </is>
      </c>
      <c r="R18" s="16" t="inlineStr">
        <is>
          <t>2 – Very high</t>
        </is>
      </c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inlineStr">
        <is>
          <t>HAZOP N06-03</t>
        </is>
      </c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S07 – Purge, vent, blowdown and maintenance isolation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N2-1304</t>
        </is>
      </c>
      <c r="C14" s="5">
        <f>IF(B14="","",IFERROR(INDEX(EqTypeCol,MATCH(B14,EqTag,0)),"Tag not in register"))</f>
        <v/>
      </c>
      <c r="D14" s="4" t="inlineStr">
        <is>
          <t>Hoses</t>
        </is>
      </c>
      <c r="E14" s="4" t="inlineStr">
        <is>
          <t>Purge with N2 and then be disconnected</t>
        </is>
      </c>
      <c r="F14" s="4" t="inlineStr">
        <is>
          <t>OTH – Other</t>
        </is>
      </c>
      <c r="G14" s="4" t="inlineStr">
        <is>
          <t>Incorrect operation / operator error</t>
        </is>
      </c>
      <c r="H14" s="4" t="n"/>
      <c r="I14" s="4" t="n"/>
      <c r="J14" s="5">
        <f>_xlfn.TEXTJOIN(CHAR(10),TRUE,IF(G14="","","• "&amp;G14),IF(H14="","","• "&amp;H14),IF(I14="","","• "&amp;I14))</f>
        <v/>
      </c>
      <c r="K14" s="4" t="inlineStr">
        <is>
          <t>Hose left connected after purging</t>
        </is>
      </c>
      <c r="L14" s="4" t="inlineStr">
        <is>
          <t>NG back-flows into the plant N2 header</t>
        </is>
      </c>
      <c r="M14" s="4" t="inlineStr">
        <is>
          <t>Flammable gas in N2 users incl. hot DRI conveyor XS-210 (HAZOP N07-03)</t>
        </is>
      </c>
      <c r="N14" s="16" t="inlineStr">
        <is>
          <t>9 – Hazardous – with warning</t>
        </is>
      </c>
      <c r="O14" s="4" t="inlineStr">
        <is>
          <t>Purge procedure</t>
        </is>
      </c>
      <c r="P14" s="16" t="inlineStr">
        <is>
          <t>4 – Low</t>
        </is>
      </c>
      <c r="Q14" s="4" t="inlineStr">
        <is>
          <t>None – hidden failure</t>
        </is>
      </c>
      <c r="R14" s="16" t="inlineStr">
        <is>
          <t>8 – Remote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Removable spool / hose only, check valve + DBB, disconnect after use (R-014)</t>
        </is>
      </c>
      <c r="W14" s="4" t="inlineStr">
        <is>
          <t>Redesign / modification (MOC)</t>
        </is>
      </c>
      <c r="X14" s="4" t="inlineStr">
        <is>
          <t>Utilities manager</t>
        </is>
      </c>
      <c r="Y14" s="29" t="n">
        <v>46477</v>
      </c>
      <c r="Z14" s="16" t="inlineStr">
        <is>
          <t>9 – Hazardous – with warning</t>
        </is>
      </c>
      <c r="AA14" s="16" t="inlineStr">
        <is>
          <t>2 – Remote</t>
        </is>
      </c>
      <c r="AB14" s="16" t="inlineStr">
        <is>
          <t>4 – Moderately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N07-03</t>
        </is>
      </c>
      <c r="AF14" s="4" t="n"/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BDV-1302</t>
        </is>
      </c>
      <c r="C15" s="5">
        <f>IF(B15="","",IFERROR(INDEX(EqTypeCol,MATCH(B15,EqTag,0)),"Tag not in register"))</f>
        <v/>
      </c>
      <c r="D15" s="4" t="inlineStr">
        <is>
          <t>Seats</t>
        </is>
      </c>
      <c r="E15" s="4" t="inlineStr">
        <is>
          <t>Stay tight when closed</t>
        </is>
      </c>
      <c r="F15" s="4" t="inlineStr">
        <is>
          <t>LCP – Leakage in closed position</t>
        </is>
      </c>
      <c r="G15" s="4" t="inlineStr">
        <is>
          <t>2.3 Erosion</t>
        </is>
      </c>
      <c r="H15" s="4" t="n"/>
      <c r="I15" s="4" t="n"/>
      <c r="J15" s="5">
        <f>_xlfn.TEXTJOIN(CHAR(10),TRUE,IF(G15="","","• "&amp;G15),IF(H15="","","• "&amp;H15),IF(I15="","","• "&amp;I15))</f>
        <v/>
      </c>
      <c r="K15" s="4" t="inlineStr">
        <is>
          <t>Passing blowdown valve</t>
        </is>
      </c>
      <c r="L15" s="4" t="inlineStr">
        <is>
          <t>Continuous small release at VS-1301</t>
        </is>
      </c>
      <c r="M15" s="4" t="inlineStr">
        <is>
          <t>Gas loss; flammable plume at the stack</t>
        </is>
      </c>
      <c r="N15" s="16" t="inlineStr">
        <is>
          <t>5 – Low</t>
        </is>
      </c>
      <c r="O15" s="4" t="inlineStr">
        <is>
          <t>None</t>
        </is>
      </c>
      <c r="P15" s="16" t="inlineStr">
        <is>
          <t>3 – Low</t>
        </is>
      </c>
      <c r="Q15" s="4" t="inlineStr">
        <is>
          <t>Acoustic emission / ultrasonic leak detection</t>
        </is>
      </c>
      <c r="R15" s="16" t="inlineStr">
        <is>
          <t>4 – Moderately high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N07-04</t>
        </is>
      </c>
      <c r="AF15" s="4" t="n"/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VS-1301</t>
        </is>
      </c>
      <c r="C16" s="5">
        <f>IF(B16="","",IFERROR(INDEX(EqTypeCol,MATCH(B16,EqTag,0)),"Tag not in register"))</f>
        <v/>
      </c>
      <c r="D16" s="4" t="inlineStr">
        <is>
          <t>Pipe</t>
        </is>
      </c>
      <c r="E16" s="4" t="inlineStr">
        <is>
          <t>Discharge vented gas to a safe height</t>
        </is>
      </c>
      <c r="F16" s="4" t="inlineStr">
        <is>
          <t>PLU – Plugged / choked</t>
        </is>
      </c>
      <c r="G16" s="4" t="inlineStr">
        <is>
          <t>5.1 Blockage / plugged</t>
        </is>
      </c>
      <c r="H16" s="4" t="n"/>
      <c r="I16" s="4" t="n"/>
      <c r="J16" s="5">
        <f>_xlfn.TEXTJOIN(CHAR(10),TRUE,IF(G16="","","• "&amp;G16),IF(H16="","","• "&amp;H16),IF(I16="","","• "&amp;I16))</f>
        <v/>
      </c>
      <c r="K16" s="4" t="inlineStr">
        <is>
          <t>Stack blocked (rain cap, nest)</t>
        </is>
      </c>
      <c r="L16" s="4" t="inlineStr">
        <is>
          <t>Back-pressure on vents / PSV-1105</t>
        </is>
      </c>
      <c r="M16" s="4" t="inlineStr">
        <is>
          <t>Gas vented inside the shelter</t>
        </is>
      </c>
      <c r="N16" s="16" t="inlineStr">
        <is>
          <t>7 – High</t>
        </is>
      </c>
      <c r="O16" s="4" t="inlineStr">
        <is>
          <t>None</t>
        </is>
      </c>
      <c r="P16" s="16" t="inlineStr">
        <is>
          <t>2 – Remote</t>
        </is>
      </c>
      <c r="Q16" s="4" t="inlineStr">
        <is>
          <t>Shutdown inspection</t>
        </is>
      </c>
      <c r="R16" s="16" t="inlineStr">
        <is>
          <t>6 – Low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N07-04</t>
        </is>
      </c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I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S08 – Gas detection, F&amp;G and ESD system</t>
        </is>
      </c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GD-1110A</t>
        </is>
      </c>
      <c r="C14" s="5">
        <f>IF(B14="","",IFERROR(INDEX(EqTypeCol,MATCH(B14,EqTag,0)),"Tag not in register"))</f>
        <v/>
      </c>
      <c r="D14" s="4" t="inlineStr">
        <is>
          <t>Sensor</t>
        </is>
      </c>
      <c r="E14" s="4" t="inlineStr">
        <is>
          <t>Detect gas at 20 % / 40 % LEL</t>
        </is>
      </c>
      <c r="F14" s="4" t="inlineStr">
        <is>
          <t>FTF – Fail to function on demand</t>
        </is>
      </c>
      <c r="G14" s="4" t="inlineStr">
        <is>
          <t>3.4 Out of adjustment / calibration drift</t>
        </is>
      </c>
      <c r="H14" s="4" t="inlineStr">
        <is>
          <t>5.3 Dust ingress</t>
        </is>
      </c>
      <c r="I14" s="4" t="inlineStr">
        <is>
          <t>Ageing / end of life</t>
        </is>
      </c>
      <c r="J14" s="5">
        <f>_xlfn.TEXTJOIN(CHAR(10),TRUE,IF(G14="","","• "&amp;G14),IF(H14="","","• "&amp;H14),IF(I14="","","• "&amp;I14))</f>
        <v/>
      </c>
      <c r="K14" s="4" t="inlineStr">
        <is>
          <t>Detector does not respond</t>
        </is>
      </c>
      <c r="L14" s="4" t="inlineStr">
        <is>
          <t>2oo3 vote degraded; a common cause can blind all three</t>
        </is>
      </c>
      <c r="M14" s="4" t="inlineStr">
        <is>
          <t>ESD not initiated automatically (FT-GN-02)</t>
        </is>
      </c>
      <c r="N14" s="16" t="inlineStr">
        <is>
          <t>9 – Hazardous – with warning</t>
        </is>
      </c>
      <c r="O14" s="4" t="inlineStr">
        <is>
          <t>Six-monthly calibration</t>
        </is>
      </c>
      <c r="P14" s="16" t="inlineStr">
        <is>
          <t>4 – Low</t>
        </is>
      </c>
      <c r="Q14" s="4" t="inlineStr">
        <is>
          <t>Calibration check</t>
        </is>
      </c>
      <c r="R14" s="16" t="inlineStr">
        <is>
          <t>5 – Moderate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Quarterly bump test; sensor replacement on age (R-001)</t>
        </is>
      </c>
      <c r="W14" s="4" t="inlineStr">
        <is>
          <t>Failure-finding / proof test</t>
        </is>
      </c>
      <c r="X14" s="4" t="inlineStr">
        <is>
          <t>Instrument engineer</t>
        </is>
      </c>
      <c r="Y14" s="29" t="n">
        <v>46477</v>
      </c>
      <c r="Z14" s="16" t="inlineStr">
        <is>
          <t>9 – Hazardous – with warning</t>
        </is>
      </c>
      <c r="AA14" s="16" t="inlineStr">
        <is>
          <t>3 – Low</t>
        </is>
      </c>
      <c r="AB14" s="16" t="inlineStr">
        <is>
          <t>3 –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N08-04</t>
        </is>
      </c>
      <c r="AF14" s="4" t="inlineStr">
        <is>
          <t>Fault tree FT-GN-02 events BE-001…003, CCF-001</t>
        </is>
      </c>
      <c r="AH14">
        <f>IFERROR(INDEX(EqTag,_xlfn.AGGREGATE(15,6,(ROW(EqTag)-4)/((EqSys=$D$3)*(EqTag&lt;&gt;"")),ROWS($AH$14:AH14))),"")</f>
        <v/>
      </c>
    </row>
    <row r="15" ht="75" customHeight="1">
      <c r="A15" s="20">
        <f>IF(F15="","",LEFT($D$3,3)&amp;"-"&amp;TEXT(COUNTIF(F$14:F15,"?*"),"00"))</f>
        <v/>
      </c>
      <c r="B15" s="4" t="inlineStr">
        <is>
          <t>UCP-1000</t>
        </is>
      </c>
      <c r="C15" s="5">
        <f>IF(B15="","",IFERROR(INDEX(EqTypeCol,MATCH(B15,EqTag,0)),"Tag not in register"))</f>
        <v/>
      </c>
      <c r="D15" s="4" t="inlineStr">
        <is>
          <t>I/O cards</t>
        </is>
      </c>
      <c r="E15" s="4" t="inlineStr">
        <is>
          <t>Execute the ESD logic</t>
        </is>
      </c>
      <c r="F15" s="4" t="inlineStr">
        <is>
          <t>FTF – Fail to function on demand</t>
        </is>
      </c>
      <c r="G15" s="4" t="inlineStr">
        <is>
          <t>4.0 Electrical failure – general</t>
        </is>
      </c>
      <c r="H15" s="4" t="n"/>
      <c r="I15" s="4" t="n"/>
      <c r="J15" s="5">
        <f>_xlfn.TEXTJOIN(CHAR(10),TRUE,IF(G15="","","• "&amp;G15),IF(H15="","","• "&amp;H15),IF(I15="","","• "&amp;I15))</f>
        <v/>
      </c>
      <c r="K15" s="4" t="inlineStr">
        <is>
          <t>Output not de-energised</t>
        </is>
      </c>
      <c r="L15" s="4" t="inlineStr">
        <is>
          <t>ESD valves not commanded closed</t>
        </is>
      </c>
      <c r="M15" s="4" t="inlineStr">
        <is>
          <t>Release not isolated (FT-GN-02)</t>
        </is>
      </c>
      <c r="N15" s="16" t="inlineStr">
        <is>
          <t>10 – Hazardous – without warning</t>
        </is>
      </c>
      <c r="O15" s="4" t="inlineStr">
        <is>
          <t>Certified SIS with diagnostics</t>
        </is>
      </c>
      <c r="P15" s="16" t="inlineStr">
        <is>
          <t>2 – Remote</t>
        </is>
      </c>
      <c r="Q15" s="4" t="inlineStr">
        <is>
          <t>Protective trip / interlock</t>
        </is>
      </c>
      <c r="R15" s="16" t="inlineStr">
        <is>
          <t>3 – High</t>
        </is>
      </c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inlineStr">
        <is>
          <t>HAZOP N08-01</t>
        </is>
      </c>
      <c r="AF15" s="4" t="inlineStr">
        <is>
          <t>Fault tree FT-GN-02 event BE-004</t>
        </is>
      </c>
      <c r="AH15">
        <f>IFERROR(INDEX(EqTag,_xlfn.AGGREGATE(15,6,(ROW(EqTag)-4)/((EqSys=$D$3)*(EqTag&lt;&gt;"")),ROWS($AH$14:AH15))),"")</f>
        <v/>
      </c>
    </row>
    <row r="16" ht="75" customHeight="1">
      <c r="A16" s="20">
        <f>IF(F16="","",LEFT($D$3,3)&amp;"-"&amp;TEXT(COUNTIF(F$14:F16,"?*"),"00"))</f>
        <v/>
      </c>
      <c r="B16" s="4" t="inlineStr">
        <is>
          <t>UPS-1000</t>
        </is>
      </c>
      <c r="C16" s="5">
        <f>IF(B16="","",IFERROR(INDEX(EqTypeCol,MATCH(B16,EqTag,0)),"Tag not in register"))</f>
        <v/>
      </c>
      <c r="D16" s="4" t="inlineStr">
        <is>
          <t>Batteries (UPS)</t>
        </is>
      </c>
      <c r="E16" s="4" t="inlineStr">
        <is>
          <t>Back up SIS / F&amp;G power for 30 min</t>
        </is>
      </c>
      <c r="F16" s="4" t="inlineStr">
        <is>
          <t>BRD – Breakdown</t>
        </is>
      </c>
      <c r="G16" s="4" t="inlineStr">
        <is>
          <t>Ageing / end of life</t>
        </is>
      </c>
      <c r="H16" s="4" t="n"/>
      <c r="I16" s="4" t="n"/>
      <c r="J16" s="5">
        <f>_xlfn.TEXTJOIN(CHAR(10),TRUE,IF(G16="","","• "&amp;G16),IF(H16="","","• "&amp;H16),IF(I16="","","• "&amp;I16))</f>
        <v/>
      </c>
      <c r="K16" s="4" t="inlineStr">
        <is>
          <t>UPS fails on mains loss</t>
        </is>
      </c>
      <c r="L16" s="4" t="inlineStr">
        <is>
          <t>SIS de-energises – ESD valves close (fail-safe)</t>
        </is>
      </c>
      <c r="M16" s="4" t="inlineStr">
        <is>
          <t>Total gas loss to the works (HAZOP N08-02)</t>
        </is>
      </c>
      <c r="N16" s="16" t="inlineStr">
        <is>
          <t>7 – High</t>
        </is>
      </c>
      <c r="O16" s="4" t="inlineStr">
        <is>
          <t>Annual discharge test</t>
        </is>
      </c>
      <c r="P16" s="16" t="inlineStr">
        <is>
          <t>3 – Low</t>
        </is>
      </c>
      <c r="Q16" s="4" t="inlineStr">
        <is>
          <t>Performance monitoring (flow, ΔP, efficiency)</t>
        </is>
      </c>
      <c r="R16" s="16" t="inlineStr">
        <is>
          <t>3 – High</t>
        </is>
      </c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inlineStr">
        <is>
          <t>HAZOP N08-02</t>
        </is>
      </c>
      <c r="AF16" s="4" t="n"/>
      <c r="AH16">
        <f>IFERROR(INDEX(EqTag,_xlfn.AGGREGATE(15,6,(ROW(EqTag)-4)/((EqSys=$D$3)*(EqTag&lt;&gt;"")),ROWS($AH$14:AH16))),"")</f>
        <v/>
      </c>
    </row>
    <row r="17" ht="75" customHeight="1">
      <c r="A17" s="20">
        <f>IF(F17="","",LEFT($D$3,3)&amp;"-"&amp;TEXT(COUNTIF(F$14:F17,"?*"),"00"))</f>
        <v/>
      </c>
      <c r="B17" s="4" t="inlineStr">
        <is>
          <t>HS-1000</t>
        </is>
      </c>
      <c r="C17" s="5">
        <f>IF(B17="","",IFERROR(INDEX(EqTypeCol,MATCH(B17,EqTag,0)),"Tag not in register"))</f>
        <v/>
      </c>
      <c r="D17" s="4" t="inlineStr">
        <is>
          <t>Cabling and junction box</t>
        </is>
      </c>
      <c r="E17" s="4" t="inlineStr">
        <is>
          <t>Transmit the manual ESD demand</t>
        </is>
      </c>
      <c r="F17" s="4" t="inlineStr">
        <is>
          <t>FTF – Fail to function on demand</t>
        </is>
      </c>
      <c r="G17" s="4" t="inlineStr">
        <is>
          <t>4.2 Open circuit</t>
        </is>
      </c>
      <c r="H17" s="4" t="inlineStr">
        <is>
          <t>5.4 Moisture / water ingress</t>
        </is>
      </c>
      <c r="I17" s="4" t="n"/>
      <c r="J17" s="5">
        <f>_xlfn.TEXTJOIN(CHAR(10),TRUE,IF(G17="","","• "&amp;G17),IF(H17="","","• "&amp;H17),IF(I17="","","• "&amp;I17))</f>
        <v/>
      </c>
      <c r="K17" s="4" t="inlineStr">
        <is>
          <t>Push button circuit fails</t>
        </is>
      </c>
      <c r="L17" s="4" t="inlineStr">
        <is>
          <t>Manual ESD unavailable</t>
        </is>
      </c>
      <c r="M17" s="4" t="inlineStr">
        <is>
          <t>As FT-GN-02 gate G-004</t>
        </is>
      </c>
      <c r="N17" s="16" t="inlineStr">
        <is>
          <t>8 – Very high</t>
        </is>
      </c>
      <c r="O17" s="4" t="inlineStr">
        <is>
          <t>Supervised circuit</t>
        </is>
      </c>
      <c r="P17" s="16" t="inlineStr">
        <is>
          <t>2 – Remote</t>
        </is>
      </c>
      <c r="Q17" s="4" t="inlineStr">
        <is>
          <t>Proof test / function test</t>
        </is>
      </c>
      <c r="R17" s="16" t="inlineStr">
        <is>
          <t>6 – Low</t>
        </is>
      </c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inlineStr">
        <is>
          <t>HAZOP N08-03</t>
        </is>
      </c>
      <c r="AF17" s="4" t="inlineStr">
        <is>
          <t>Fault tree FT-GN-02 event BE-008</t>
        </is>
      </c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E3" s="8" t="n"/>
      <c r="F3" s="8" t="n"/>
      <c r="G3" s="8" t="n"/>
      <c r="H3" s="8" t="n"/>
      <c r="I3" s="8" t="n"/>
      <c r="J3" s="9" t="n"/>
      <c r="K3" s="24" t="inlineStr">
        <is>
          <t>Session date</t>
        </is>
      </c>
      <c r="L3" s="13" t="n"/>
      <c r="M3" s="9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B4" s="8" t="n"/>
      <c r="C4" s="9" t="n"/>
      <c r="D4" s="6">
        <f>IF($D$3="","",IFERROR(INDEX(Systems!$B$5:$B$34,MATCH($D$3,Systems!$C$5:$C$34,0))&amp;"",""))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 t="n"/>
    </row>
    <row r="5" ht="30" customHeight="1">
      <c r="A5" s="10" t="inlineStr">
        <is>
          <t>Function / performance standard</t>
        </is>
      </c>
      <c r="B5" s="8" t="n"/>
      <c r="C5" s="9" t="n"/>
      <c r="D5" s="6">
        <f>IF($D$3="","",IFERROR(INDEX(Systems!$D$5:$D$34,MATCH($D$3,Systems!$C$5:$C$34,0))&amp;"",""))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 ht="30" customHeight="1">
      <c r="A6" s="10" t="inlineStr">
        <is>
          <t>Operating context</t>
        </is>
      </c>
      <c r="B6" s="8" t="n"/>
      <c r="C6" s="9" t="n"/>
      <c r="D6" s="6">
        <f>IF($D$3="","",IFERROR(INDEX(Systems!$E$5:$E$34,MATCH($D$3,Systems!$C$5:$C$34,0))&amp;"",""))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 t="n"/>
    </row>
    <row r="7" ht="30" customHeight="1">
      <c r="A7" s="10" t="inlineStr">
        <is>
          <t>System boundaries</t>
        </is>
      </c>
      <c r="B7" s="8" t="n"/>
      <c r="C7" s="9" t="n"/>
      <c r="D7" s="6">
        <f>IF($D$3="","",IFERROR(INDEX(Systems!$F$5:$F$34,MATCH($D$3,Systems!$C$5:$C$34,0))&amp;"",""))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n"/>
    </row>
    <row r="8" ht="16" customHeight="1">
      <c r="A8" s="10" t="inlineStr">
        <is>
          <t>P&amp;IDs / drawings</t>
        </is>
      </c>
      <c r="B8" s="8" t="n"/>
      <c r="C8" s="9" t="n"/>
      <c r="D8" s="6">
        <f>IF($D$3="","",IFERROR(INDEX(Systems!$G$5:$G$34,MATCH($D$3,Systems!$C$5:$C$34,0))&amp;"",""))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 t="n"/>
    </row>
    <row r="9" ht="16" customHeight="1">
      <c r="A9" s="10" t="inlineStr">
        <is>
          <t>Related HAZOP node(s)</t>
        </is>
      </c>
      <c r="B9" s="8" t="n"/>
      <c r="C9" s="9" t="n"/>
      <c r="D9" s="6">
        <f>IF($D$3="","",IFERROR(INDEX(Systems!$H$5:$H$34,MATCH($D$3,Systems!$C$5:$C$34,0))&amp;"",""))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 t="n"/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8" t="n"/>
      <c r="C12" s="8" t="n"/>
      <c r="D12" s="8" t="n"/>
      <c r="E12" s="8" t="n"/>
      <c r="F12" s="9" t="n"/>
      <c r="G12" s="7" t="inlineStr">
        <is>
          <t>CAUSE PICK-LIST</t>
        </is>
      </c>
      <c r="H12" s="8" t="n"/>
      <c r="I12" s="9" t="n"/>
      <c r="J12" s="7" t="inlineStr">
        <is>
          <t>CAUSES &amp; EFFECTS</t>
        </is>
      </c>
      <c r="K12" s="8" t="n"/>
      <c r="L12" s="8" t="n"/>
      <c r="M12" s="9" t="n"/>
      <c r="N12" s="7" t="inlineStr">
        <is>
          <t>CRITICALITY – CURRENT</t>
        </is>
      </c>
      <c r="O12" s="8" t="n"/>
      <c r="P12" s="8" t="n"/>
      <c r="Q12" s="8" t="n"/>
      <c r="R12" s="8" t="n"/>
      <c r="S12" s="8" t="n"/>
      <c r="T12" s="8" t="n"/>
      <c r="U12" s="9" t="n"/>
      <c r="V12" s="7" t="inlineStr">
        <is>
          <t>RECOMMENDED ACTIONS</t>
        </is>
      </c>
      <c r="W12" s="8" t="n"/>
      <c r="X12" s="8" t="n"/>
      <c r="Y12" s="9" t="n"/>
      <c r="Z12" s="7" t="inlineStr">
        <is>
          <t>CRITICALITY – AFTER ACTION</t>
        </is>
      </c>
      <c r="AA12" s="8" t="n"/>
      <c r="AB12" s="8" t="n"/>
      <c r="AC12" s="8" t="n"/>
      <c r="AD12" s="9" t="n"/>
      <c r="AE12" s="7" t="inlineStr">
        <is>
          <t>LINKS</t>
        </is>
      </c>
      <c r="AF12" s="9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2026-10-05T19:26:14Z</dcterms:created>
  <dcterms:modified xmlns:dcterms="http://purl.org/dc/terms/" xmlns:xsi="http://www.w3.org/2001/XMLSchema-instance" xsi:type="dcterms:W3CDTF">2026-10-05T20:22:10Z</dcterms:modified>
</cp:coreProperties>
</file>