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stectraining-my.sharepoint.com/personal/chris_istecsafety_com/Documents/Claude/Hadeed PSM/Claude Outputs/Process Safety Analysis Toolkit/Workbooks/"/>
    </mc:Choice>
  </mc:AlternateContent>
  <xr:revisionPtr revIDLastSave="28" documentId="11_71B43E5F6F5A176F5691CC3633D2979D9919EE08" xr6:coauthVersionLast="47" xr6:coauthVersionMax="47" xr10:uidLastSave="{9F2223FF-7EF4-104C-9993-8648EF76CE08}"/>
  <bookViews>
    <workbookView xWindow="0" yWindow="0" windowWidth="25600" windowHeight="14400" activeTab="7" xr2:uid="{00000000-000D-0000-FFFF-FFFF00000000}"/>
  </bookViews>
  <sheets>
    <sheet name="Cover" sheetId="1" r:id="rId1"/>
    <sheet name="Reference Docs" sheetId="2" r:id="rId2"/>
    <sheet name="Systems" sheetId="3" r:id="rId3"/>
    <sheet name="Equipment Register" sheetId="4" r:id="rId4"/>
    <sheet name="Lists" sheetId="5" r:id="rId5"/>
    <sheet name="Rating Scales" sheetId="6" r:id="rId6"/>
    <sheet name="Summary" sheetId="7" r:id="rId7"/>
    <sheet name="System 01" sheetId="8" r:id="rId8"/>
    <sheet name="System 02" sheetId="9" r:id="rId9"/>
    <sheet name="System 03" sheetId="10" r:id="rId10"/>
    <sheet name="System 04" sheetId="11" r:id="rId11"/>
    <sheet name="System 05" sheetId="12" r:id="rId12"/>
    <sheet name="System 06" sheetId="13" r:id="rId13"/>
    <sheet name="System 07" sheetId="14" r:id="rId14"/>
    <sheet name="System 08" sheetId="15" r:id="rId15"/>
    <sheet name="System 09" sheetId="16" r:id="rId16"/>
    <sheet name="System 10" sheetId="17" r:id="rId17"/>
  </sheets>
  <functionGroups builtInGroupCount="19"/>
  <definedNames>
    <definedName name="_xlnm._FilterDatabase" localSheetId="3" hidden="1">'Equipment Register'!$A$4:$I$204</definedName>
    <definedName name="_xlnm._FilterDatabase" localSheetId="1" hidden="1">'Reference Docs'!$A$4:$J$44</definedName>
    <definedName name="APD">'Rating Scales'!$E$79:$H$79</definedName>
    <definedName name="APGrid">'Rating Scales'!$E$50:$H$74</definedName>
    <definedName name="APO">'Rating Scales'!$E$78:$I$78</definedName>
    <definedName name="APS">'Rating Scales'!$E$77:$I$77</definedName>
    <definedName name="CompStart">Lists!$D$5</definedName>
    <definedName name="CompType">Lists!$C$5:$C$329</definedName>
    <definedName name="DetList">Lists!$K$5:$K$25</definedName>
    <definedName name="DetScaleList">'Rating Scales'!$B$29:$B$38</definedName>
    <definedName name="DocCategories">Lists!$O$5:$O$11</definedName>
    <definedName name="EqSys">'Equipment Register'!$B$5:$B$204</definedName>
    <definedName name="EqTag">'Equipment Register'!$C$5:$C$204</definedName>
    <definedName name="EqTypeCol">'Equipment Register'!$E$5:$E$204</definedName>
    <definedName name="EqTypeList">Lists!$A$5:$A$33</definedName>
    <definedName name="FMStart">Lists!$G$5</definedName>
    <definedName name="FMType">Lists!$F$5:$F$353</definedName>
    <definedName name="MechList">Lists!$I$5:$I$62</definedName>
    <definedName name="OccList">'Rating Scales'!$B$17:$B$26</definedName>
    <definedName name="_xlnm.Print_Area" localSheetId="7">'System 01'!$A$1:$AC$163</definedName>
    <definedName name="_xlnm.Print_Area" localSheetId="8">'System 02'!$A$1:$AC$163</definedName>
    <definedName name="_xlnm.Print_Area" localSheetId="9">'System 03'!$A$1:$AC$163</definedName>
    <definedName name="_xlnm.Print_Area" localSheetId="10">'System 04'!$A$1:$AC$163</definedName>
    <definedName name="_xlnm.Print_Area" localSheetId="11">'System 05'!$A$1:$AC$163</definedName>
    <definedName name="_xlnm.Print_Area" localSheetId="12">'System 06'!$A$1:$AC$163</definedName>
    <definedName name="_xlnm.Print_Area" localSheetId="13">'System 07'!$A$1:$AC$163</definedName>
    <definedName name="_xlnm.Print_Area" localSheetId="14">'System 08'!$A$1:$AC$163</definedName>
    <definedName name="_xlnm.Print_Area" localSheetId="15">'System 09'!$A$1:$AC$163</definedName>
    <definedName name="_xlnm.Print_Area" localSheetId="16">'System 10'!$A$1:$AC$163</definedName>
    <definedName name="_xlnm.Print_Titles" localSheetId="7">'System 01'!$12:$13</definedName>
    <definedName name="_xlnm.Print_Titles" localSheetId="8">'System 02'!$12:$13</definedName>
    <definedName name="_xlnm.Print_Titles" localSheetId="9">'System 03'!$12:$13</definedName>
    <definedName name="_xlnm.Print_Titles" localSheetId="10">'System 04'!$12:$13</definedName>
    <definedName name="_xlnm.Print_Titles" localSheetId="11">'System 05'!$12:$13</definedName>
    <definedName name="_xlnm.Print_Titles" localSheetId="12">'System 06'!$12:$13</definedName>
    <definedName name="_xlnm.Print_Titles" localSheetId="13">'System 07'!$12:$13</definedName>
    <definedName name="_xlnm.Print_Titles" localSheetId="14">'System 08'!$12:$13</definedName>
    <definedName name="_xlnm.Print_Titles" localSheetId="15">'System 09'!$12:$13</definedName>
    <definedName name="_xlnm.Print_Titles" localSheetId="16">'System 10'!$12:$13</definedName>
    <definedName name="RPNThr">'Rating Scales'!$C$42</definedName>
    <definedName name="SevList">'Rating Scales'!$B$5:$B$14</definedName>
    <definedName name="SThr">'Rating Scales'!$C$41</definedName>
    <definedName name="SystemList">Systems!$C$5:$C$34</definedName>
    <definedName name="TaskList">Lists!$M$5:$M$13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8" l="1"/>
  <c r="AE163" i="17"/>
  <c r="AA163" i="17"/>
  <c r="Z163" i="17"/>
  <c r="Q163" i="17"/>
  <c r="P163" i="17"/>
  <c r="R163" i="17" s="1"/>
  <c r="C163" i="17"/>
  <c r="A163" i="17"/>
  <c r="AE162" i="17"/>
  <c r="AA162" i="17"/>
  <c r="Z162" i="17"/>
  <c r="Q162" i="17"/>
  <c r="P162" i="17"/>
  <c r="R162" i="17" s="1"/>
  <c r="C162" i="17"/>
  <c r="A162" i="17"/>
  <c r="AE161" i="17"/>
  <c r="AA161" i="17"/>
  <c r="Z161" i="17"/>
  <c r="Q161" i="17"/>
  <c r="P161" i="17"/>
  <c r="R161" i="17" s="1"/>
  <c r="C161" i="17"/>
  <c r="A161" i="17"/>
  <c r="AE160" i="17"/>
  <c r="AA160" i="17"/>
  <c r="Z160" i="17"/>
  <c r="Q160" i="17"/>
  <c r="P160" i="17"/>
  <c r="R160" i="17" s="1"/>
  <c r="C160" i="17"/>
  <c r="A160" i="17"/>
  <c r="AE159" i="17"/>
  <c r="AA159" i="17"/>
  <c r="Z159" i="17"/>
  <c r="Q159" i="17"/>
  <c r="P159" i="17"/>
  <c r="R159" i="17" s="1"/>
  <c r="C159" i="17"/>
  <c r="A159" i="17"/>
  <c r="AE158" i="17"/>
  <c r="AA158" i="17"/>
  <c r="Z158" i="17"/>
  <c r="Q158" i="17"/>
  <c r="P158" i="17"/>
  <c r="R158" i="17" s="1"/>
  <c r="C158" i="17"/>
  <c r="A158" i="17"/>
  <c r="AE157" i="17"/>
  <c r="AA157" i="17"/>
  <c r="Z157" i="17"/>
  <c r="Q157" i="17"/>
  <c r="P157" i="17"/>
  <c r="R157" i="17" s="1"/>
  <c r="C157" i="17"/>
  <c r="A157" i="17"/>
  <c r="AE156" i="17"/>
  <c r="AA156" i="17"/>
  <c r="Z156" i="17"/>
  <c r="Q156" i="17"/>
  <c r="P156" i="17"/>
  <c r="R156" i="17" s="1"/>
  <c r="C156" i="17"/>
  <c r="A156" i="17"/>
  <c r="AE155" i="17"/>
  <c r="AA155" i="17"/>
  <c r="Z155" i="17"/>
  <c r="Q155" i="17"/>
  <c r="P155" i="17"/>
  <c r="R155" i="17" s="1"/>
  <c r="C155" i="17"/>
  <c r="A155" i="17"/>
  <c r="AE154" i="17"/>
  <c r="AA154" i="17"/>
  <c r="Z154" i="17"/>
  <c r="Q154" i="17"/>
  <c r="P154" i="17"/>
  <c r="R154" i="17" s="1"/>
  <c r="C154" i="17"/>
  <c r="A154" i="17"/>
  <c r="AE153" i="17"/>
  <c r="AA153" i="17"/>
  <c r="Z153" i="17"/>
  <c r="Q153" i="17"/>
  <c r="P153" i="17"/>
  <c r="R153" i="17" s="1"/>
  <c r="C153" i="17"/>
  <c r="A153" i="17"/>
  <c r="AE152" i="17"/>
  <c r="AA152" i="17"/>
  <c r="Z152" i="17"/>
  <c r="Q152" i="17"/>
  <c r="P152" i="17"/>
  <c r="R152" i="17" s="1"/>
  <c r="C152" i="17"/>
  <c r="A152" i="17"/>
  <c r="AE151" i="17"/>
  <c r="AA151" i="17"/>
  <c r="Z151" i="17"/>
  <c r="Q151" i="17"/>
  <c r="P151" i="17"/>
  <c r="R151" i="17" s="1"/>
  <c r="C151" i="17"/>
  <c r="A151" i="17"/>
  <c r="AE150" i="17"/>
  <c r="AA150" i="17"/>
  <c r="Z150" i="17"/>
  <c r="Q150" i="17"/>
  <c r="P150" i="17"/>
  <c r="R150" i="17" s="1"/>
  <c r="C150" i="17"/>
  <c r="A150" i="17"/>
  <c r="AE149" i="17"/>
  <c r="AA149" i="17"/>
  <c r="Z149" i="17"/>
  <c r="Q149" i="17"/>
  <c r="P149" i="17"/>
  <c r="R149" i="17" s="1"/>
  <c r="C149" i="17"/>
  <c r="A149" i="17"/>
  <c r="AE148" i="17"/>
  <c r="AA148" i="17"/>
  <c r="Z148" i="17"/>
  <c r="Q148" i="17"/>
  <c r="P148" i="17"/>
  <c r="R148" i="17" s="1"/>
  <c r="C148" i="17"/>
  <c r="A148" i="17"/>
  <c r="AE147" i="17"/>
  <c r="AA147" i="17"/>
  <c r="Z147" i="17"/>
  <c r="Q147" i="17"/>
  <c r="P147" i="17"/>
  <c r="R147" i="17" s="1"/>
  <c r="C147" i="17"/>
  <c r="A147" i="17"/>
  <c r="AE146" i="17"/>
  <c r="AA146" i="17"/>
  <c r="Z146" i="17"/>
  <c r="Q146" i="17"/>
  <c r="P146" i="17"/>
  <c r="R146" i="17" s="1"/>
  <c r="C146" i="17"/>
  <c r="A146" i="17"/>
  <c r="AE145" i="17"/>
  <c r="AA145" i="17"/>
  <c r="Z145" i="17"/>
  <c r="Q145" i="17"/>
  <c r="P145" i="17"/>
  <c r="R145" i="17" s="1"/>
  <c r="C145" i="17"/>
  <c r="A145" i="17"/>
  <c r="AE144" i="17"/>
  <c r="AA144" i="17"/>
  <c r="Z144" i="17"/>
  <c r="Q144" i="17"/>
  <c r="P144" i="17"/>
  <c r="R144" i="17" s="1"/>
  <c r="C144" i="17"/>
  <c r="A144" i="17"/>
  <c r="AE143" i="17"/>
  <c r="AA143" i="17"/>
  <c r="Z143" i="17"/>
  <c r="Q143" i="17"/>
  <c r="P143" i="17"/>
  <c r="R143" i="17" s="1"/>
  <c r="C143" i="17"/>
  <c r="A143" i="17"/>
  <c r="AE142" i="17"/>
  <c r="AA142" i="17"/>
  <c r="Z142" i="17"/>
  <c r="Q142" i="17"/>
  <c r="P142" i="17"/>
  <c r="R142" i="17" s="1"/>
  <c r="C142" i="17"/>
  <c r="A142" i="17"/>
  <c r="AE141" i="17"/>
  <c r="AA141" i="17"/>
  <c r="Z141" i="17"/>
  <c r="Q141" i="17"/>
  <c r="P141" i="17"/>
  <c r="R141" i="17" s="1"/>
  <c r="C141" i="17"/>
  <c r="A141" i="17"/>
  <c r="AE140" i="17"/>
  <c r="AA140" i="17"/>
  <c r="Z140" i="17"/>
  <c r="Q140" i="17"/>
  <c r="P140" i="17"/>
  <c r="R140" i="17" s="1"/>
  <c r="C140" i="17"/>
  <c r="A140" i="17"/>
  <c r="AE139" i="17"/>
  <c r="AA139" i="17"/>
  <c r="Z139" i="17"/>
  <c r="Q139" i="17"/>
  <c r="P139" i="17"/>
  <c r="R139" i="17" s="1"/>
  <c r="C139" i="17"/>
  <c r="A139" i="17"/>
  <c r="AE138" i="17"/>
  <c r="AA138" i="17"/>
  <c r="Z138" i="17"/>
  <c r="Q138" i="17"/>
  <c r="P138" i="17"/>
  <c r="R138" i="17" s="1"/>
  <c r="C138" i="17"/>
  <c r="A138" i="17"/>
  <c r="AE137" i="17"/>
  <c r="AA137" i="17"/>
  <c r="Z137" i="17"/>
  <c r="Q137" i="17"/>
  <c r="P137" i="17"/>
  <c r="R137" i="17" s="1"/>
  <c r="C137" i="17"/>
  <c r="A137" i="17"/>
  <c r="AE136" i="17"/>
  <c r="AA136" i="17"/>
  <c r="Z136" i="17"/>
  <c r="Q136" i="17"/>
  <c r="P136" i="17"/>
  <c r="R136" i="17" s="1"/>
  <c r="C136" i="17"/>
  <c r="A136" i="17"/>
  <c r="AE135" i="17"/>
  <c r="AA135" i="17"/>
  <c r="Z135" i="17"/>
  <c r="Q135" i="17"/>
  <c r="P135" i="17"/>
  <c r="R135" i="17" s="1"/>
  <c r="C135" i="17"/>
  <c r="A135" i="17"/>
  <c r="AE134" i="17"/>
  <c r="AA134" i="17"/>
  <c r="Z134" i="17"/>
  <c r="Q134" i="17"/>
  <c r="P134" i="17"/>
  <c r="R134" i="17" s="1"/>
  <c r="C134" i="17"/>
  <c r="A134" i="17"/>
  <c r="AE133" i="17"/>
  <c r="AA133" i="17"/>
  <c r="Z133" i="17"/>
  <c r="Q133" i="17"/>
  <c r="P133" i="17"/>
  <c r="R133" i="17" s="1"/>
  <c r="C133" i="17"/>
  <c r="A133" i="17"/>
  <c r="AE132" i="17"/>
  <c r="AA132" i="17"/>
  <c r="Z132" i="17"/>
  <c r="Q132" i="17"/>
  <c r="P132" i="17"/>
  <c r="R132" i="17" s="1"/>
  <c r="C132" i="17"/>
  <c r="A132" i="17"/>
  <c r="AE131" i="17"/>
  <c r="AA131" i="17"/>
  <c r="Z131" i="17"/>
  <c r="Q131" i="17"/>
  <c r="P131" i="17"/>
  <c r="R131" i="17" s="1"/>
  <c r="C131" i="17"/>
  <c r="A131" i="17"/>
  <c r="AE130" i="17"/>
  <c r="AA130" i="17"/>
  <c r="Z130" i="17"/>
  <c r="Q130" i="17"/>
  <c r="P130" i="17"/>
  <c r="R130" i="17" s="1"/>
  <c r="C130" i="17"/>
  <c r="A130" i="17"/>
  <c r="AE129" i="17"/>
  <c r="AA129" i="17"/>
  <c r="Z129" i="17"/>
  <c r="Q129" i="17"/>
  <c r="P129" i="17"/>
  <c r="R129" i="17" s="1"/>
  <c r="C129" i="17"/>
  <c r="A129" i="17"/>
  <c r="AE128" i="17"/>
  <c r="AA128" i="17"/>
  <c r="Z128" i="17"/>
  <c r="Q128" i="17"/>
  <c r="P128" i="17"/>
  <c r="R128" i="17" s="1"/>
  <c r="C128" i="17"/>
  <c r="A128" i="17"/>
  <c r="AE127" i="17"/>
  <c r="AA127" i="17"/>
  <c r="Z127" i="17"/>
  <c r="Q127" i="17"/>
  <c r="P127" i="17"/>
  <c r="R127" i="17" s="1"/>
  <c r="C127" i="17"/>
  <c r="A127" i="17"/>
  <c r="AE126" i="17"/>
  <c r="AA126" i="17"/>
  <c r="Z126" i="17"/>
  <c r="Q126" i="17"/>
  <c r="P126" i="17"/>
  <c r="R126" i="17" s="1"/>
  <c r="C126" i="17"/>
  <c r="A126" i="17"/>
  <c r="AE125" i="17"/>
  <c r="AA125" i="17"/>
  <c r="Z125" i="17"/>
  <c r="Q125" i="17"/>
  <c r="P125" i="17"/>
  <c r="R125" i="17" s="1"/>
  <c r="C125" i="17"/>
  <c r="A125" i="17"/>
  <c r="AE124" i="17"/>
  <c r="AA124" i="17"/>
  <c r="Z124" i="17"/>
  <c r="Q124" i="17"/>
  <c r="P124" i="17"/>
  <c r="R124" i="17" s="1"/>
  <c r="C124" i="17"/>
  <c r="A124" i="17"/>
  <c r="AE123" i="17"/>
  <c r="AA123" i="17"/>
  <c r="Z123" i="17"/>
  <c r="Q123" i="17"/>
  <c r="P123" i="17"/>
  <c r="R123" i="17" s="1"/>
  <c r="C123" i="17"/>
  <c r="A123" i="17"/>
  <c r="AE122" i="17"/>
  <c r="AA122" i="17"/>
  <c r="Z122" i="17"/>
  <c r="Q122" i="17"/>
  <c r="P122" i="17"/>
  <c r="R122" i="17" s="1"/>
  <c r="C122" i="17"/>
  <c r="A122" i="17"/>
  <c r="AE121" i="17"/>
  <c r="AA121" i="17"/>
  <c r="Z121" i="17"/>
  <c r="Q121" i="17"/>
  <c r="P121" i="17"/>
  <c r="R121" i="17" s="1"/>
  <c r="C121" i="17"/>
  <c r="A121" i="17"/>
  <c r="AE120" i="17"/>
  <c r="AA120" i="17"/>
  <c r="Z120" i="17"/>
  <c r="Q120" i="17"/>
  <c r="P120" i="17"/>
  <c r="R120" i="17" s="1"/>
  <c r="C120" i="17"/>
  <c r="A120" i="17"/>
  <c r="AE119" i="17"/>
  <c r="AA119" i="17"/>
  <c r="Z119" i="17"/>
  <c r="Q119" i="17"/>
  <c r="P119" i="17"/>
  <c r="R119" i="17" s="1"/>
  <c r="C119" i="17"/>
  <c r="A119" i="17"/>
  <c r="AE118" i="17"/>
  <c r="AA118" i="17"/>
  <c r="Z118" i="17"/>
  <c r="Q118" i="17"/>
  <c r="P118" i="17"/>
  <c r="R118" i="17" s="1"/>
  <c r="C118" i="17"/>
  <c r="A118" i="17"/>
  <c r="AE117" i="17"/>
  <c r="AA117" i="17"/>
  <c r="Z117" i="17"/>
  <c r="Q117" i="17"/>
  <c r="P117" i="17"/>
  <c r="R117" i="17" s="1"/>
  <c r="C117" i="17"/>
  <c r="A117" i="17"/>
  <c r="AE116" i="17"/>
  <c r="AA116" i="17"/>
  <c r="Z116" i="17"/>
  <c r="Q116" i="17"/>
  <c r="P116" i="17"/>
  <c r="R116" i="17" s="1"/>
  <c r="C116" i="17"/>
  <c r="A116" i="17"/>
  <c r="AE115" i="17"/>
  <c r="AA115" i="17"/>
  <c r="Z115" i="17"/>
  <c r="Q115" i="17"/>
  <c r="P115" i="17"/>
  <c r="R115" i="17" s="1"/>
  <c r="C115" i="17"/>
  <c r="A115" i="17"/>
  <c r="AE114" i="17"/>
  <c r="AA114" i="17"/>
  <c r="Z114" i="17"/>
  <c r="Q114" i="17"/>
  <c r="P114" i="17"/>
  <c r="R114" i="17" s="1"/>
  <c r="C114" i="17"/>
  <c r="A114" i="17"/>
  <c r="AE113" i="17"/>
  <c r="AA113" i="17"/>
  <c r="Z113" i="17"/>
  <c r="Q113" i="17"/>
  <c r="P113" i="17"/>
  <c r="R113" i="17" s="1"/>
  <c r="C113" i="17"/>
  <c r="A113" i="17"/>
  <c r="AE112" i="17"/>
  <c r="AA112" i="17"/>
  <c r="Z112" i="17"/>
  <c r="Q112" i="17"/>
  <c r="P112" i="17"/>
  <c r="R112" i="17" s="1"/>
  <c r="C112" i="17"/>
  <c r="A112" i="17"/>
  <c r="AE111" i="17"/>
  <c r="AA111" i="17"/>
  <c r="Z111" i="17"/>
  <c r="Q111" i="17"/>
  <c r="P111" i="17"/>
  <c r="R111" i="17" s="1"/>
  <c r="C111" i="17"/>
  <c r="A111" i="17"/>
  <c r="AE110" i="17"/>
  <c r="AA110" i="17"/>
  <c r="Z110" i="17"/>
  <c r="Q110" i="17"/>
  <c r="P110" i="17"/>
  <c r="R110" i="17" s="1"/>
  <c r="C110" i="17"/>
  <c r="A110" i="17"/>
  <c r="AE109" i="17"/>
  <c r="AA109" i="17"/>
  <c r="Z109" i="17"/>
  <c r="Q109" i="17"/>
  <c r="P109" i="17"/>
  <c r="R109" i="17" s="1"/>
  <c r="C109" i="17"/>
  <c r="A109" i="17"/>
  <c r="AE108" i="17"/>
  <c r="AA108" i="17"/>
  <c r="Z108" i="17"/>
  <c r="Q108" i="17"/>
  <c r="P108" i="17"/>
  <c r="R108" i="17" s="1"/>
  <c r="C108" i="17"/>
  <c r="A108" i="17"/>
  <c r="AE107" i="17"/>
  <c r="AA107" i="17"/>
  <c r="Z107" i="17"/>
  <c r="Q107" i="17"/>
  <c r="P107" i="17"/>
  <c r="R107" i="17" s="1"/>
  <c r="C107" i="17"/>
  <c r="A107" i="17"/>
  <c r="AE106" i="17"/>
  <c r="AA106" i="17"/>
  <c r="Z106" i="17"/>
  <c r="Q106" i="17"/>
  <c r="P106" i="17"/>
  <c r="R106" i="17" s="1"/>
  <c r="C106" i="17"/>
  <c r="A106" i="17"/>
  <c r="AE105" i="17"/>
  <c r="AA105" i="17"/>
  <c r="Z105" i="17"/>
  <c r="Q105" i="17"/>
  <c r="P105" i="17"/>
  <c r="R105" i="17" s="1"/>
  <c r="C105" i="17"/>
  <c r="A105" i="17"/>
  <c r="AE104" i="17"/>
  <c r="AA104" i="17"/>
  <c r="Z104" i="17"/>
  <c r="Q104" i="17"/>
  <c r="P104" i="17"/>
  <c r="R104" i="17" s="1"/>
  <c r="C104" i="17"/>
  <c r="A104" i="17"/>
  <c r="AE103" i="17"/>
  <c r="AA103" i="17"/>
  <c r="Z103" i="17"/>
  <c r="Q103" i="17"/>
  <c r="P103" i="17"/>
  <c r="R103" i="17" s="1"/>
  <c r="C103" i="17"/>
  <c r="A103" i="17"/>
  <c r="AE102" i="17"/>
  <c r="AA102" i="17"/>
  <c r="Z102" i="17"/>
  <c r="Q102" i="17"/>
  <c r="P102" i="17"/>
  <c r="R102" i="17" s="1"/>
  <c r="C102" i="17"/>
  <c r="A102" i="17"/>
  <c r="AE101" i="17"/>
  <c r="AA101" i="17"/>
  <c r="Z101" i="17"/>
  <c r="Q101" i="17"/>
  <c r="P101" i="17"/>
  <c r="R101" i="17" s="1"/>
  <c r="C101" i="17"/>
  <c r="A101" i="17"/>
  <c r="AE100" i="17"/>
  <c r="AA100" i="17"/>
  <c r="Z100" i="17"/>
  <c r="Q100" i="17"/>
  <c r="P100" i="17"/>
  <c r="R100" i="17" s="1"/>
  <c r="C100" i="17"/>
  <c r="A100" i="17"/>
  <c r="AE99" i="17"/>
  <c r="AA99" i="17"/>
  <c r="Z99" i="17"/>
  <c r="Q99" i="17"/>
  <c r="P99" i="17"/>
  <c r="R99" i="17" s="1"/>
  <c r="C99" i="17"/>
  <c r="A99" i="17"/>
  <c r="AE98" i="17"/>
  <c r="AA98" i="17"/>
  <c r="Z98" i="17"/>
  <c r="Q98" i="17"/>
  <c r="P98" i="17"/>
  <c r="R98" i="17" s="1"/>
  <c r="C98" i="17"/>
  <c r="A98" i="17"/>
  <c r="AE97" i="17"/>
  <c r="AA97" i="17"/>
  <c r="Z97" i="17"/>
  <c r="Q97" i="17"/>
  <c r="P97" i="17"/>
  <c r="R97" i="17" s="1"/>
  <c r="C97" i="17"/>
  <c r="A97" i="17"/>
  <c r="AE96" i="17"/>
  <c r="AA96" i="17"/>
  <c r="Z96" i="17"/>
  <c r="Q96" i="17"/>
  <c r="P96" i="17"/>
  <c r="R96" i="17" s="1"/>
  <c r="C96" i="17"/>
  <c r="A96" i="17"/>
  <c r="AE95" i="17"/>
  <c r="AA95" i="17"/>
  <c r="Z95" i="17"/>
  <c r="Q95" i="17"/>
  <c r="P95" i="17"/>
  <c r="R95" i="17" s="1"/>
  <c r="C95" i="17"/>
  <c r="A95" i="17"/>
  <c r="AE94" i="17"/>
  <c r="AA94" i="17"/>
  <c r="Z94" i="17"/>
  <c r="Q94" i="17"/>
  <c r="P94" i="17"/>
  <c r="R94" i="17" s="1"/>
  <c r="C94" i="17"/>
  <c r="A94" i="17"/>
  <c r="AE93" i="17"/>
  <c r="AA93" i="17"/>
  <c r="Z93" i="17"/>
  <c r="Q93" i="17"/>
  <c r="P93" i="17"/>
  <c r="R93" i="17" s="1"/>
  <c r="C93" i="17"/>
  <c r="A93" i="17"/>
  <c r="AE92" i="17"/>
  <c r="AA92" i="17"/>
  <c r="Z92" i="17"/>
  <c r="Q92" i="17"/>
  <c r="P92" i="17"/>
  <c r="R92" i="17" s="1"/>
  <c r="C92" i="17"/>
  <c r="A92" i="17"/>
  <c r="AE91" i="17"/>
  <c r="AA91" i="17"/>
  <c r="Z91" i="17"/>
  <c r="Q91" i="17"/>
  <c r="P91" i="17"/>
  <c r="R91" i="17" s="1"/>
  <c r="C91" i="17"/>
  <c r="A91" i="17"/>
  <c r="AE90" i="17"/>
  <c r="AA90" i="17"/>
  <c r="Z90" i="17"/>
  <c r="Q90" i="17"/>
  <c r="P90" i="17"/>
  <c r="R90" i="17" s="1"/>
  <c r="C90" i="17"/>
  <c r="A90" i="17"/>
  <c r="AE89" i="17"/>
  <c r="AA89" i="17"/>
  <c r="Z89" i="17"/>
  <c r="Q89" i="17"/>
  <c r="P89" i="17"/>
  <c r="R89" i="17" s="1"/>
  <c r="C89" i="17"/>
  <c r="A89" i="17"/>
  <c r="AE88" i="17"/>
  <c r="AA88" i="17"/>
  <c r="Z88" i="17"/>
  <c r="Q88" i="17"/>
  <c r="P88" i="17"/>
  <c r="R88" i="17" s="1"/>
  <c r="C88" i="17"/>
  <c r="A88" i="17"/>
  <c r="AE87" i="17"/>
  <c r="AA87" i="17"/>
  <c r="Z87" i="17"/>
  <c r="Q87" i="17"/>
  <c r="P87" i="17"/>
  <c r="R87" i="17" s="1"/>
  <c r="C87" i="17"/>
  <c r="A87" i="17"/>
  <c r="AE86" i="17"/>
  <c r="AA86" i="17"/>
  <c r="Z86" i="17"/>
  <c r="Q86" i="17"/>
  <c r="P86" i="17"/>
  <c r="R86" i="17" s="1"/>
  <c r="C86" i="17"/>
  <c r="A86" i="17"/>
  <c r="AE85" i="17"/>
  <c r="AA85" i="17"/>
  <c r="Z85" i="17"/>
  <c r="Q85" i="17"/>
  <c r="P85" i="17"/>
  <c r="R85" i="17" s="1"/>
  <c r="C85" i="17"/>
  <c r="A85" i="17"/>
  <c r="AE84" i="17"/>
  <c r="AA84" i="17"/>
  <c r="Z84" i="17"/>
  <c r="Q84" i="17"/>
  <c r="P84" i="17"/>
  <c r="R84" i="17" s="1"/>
  <c r="C84" i="17"/>
  <c r="A84" i="17"/>
  <c r="AE83" i="17"/>
  <c r="AA83" i="17"/>
  <c r="Z83" i="17"/>
  <c r="Q83" i="17"/>
  <c r="P83" i="17"/>
  <c r="R83" i="17" s="1"/>
  <c r="C83" i="17"/>
  <c r="A83" i="17"/>
  <c r="AE82" i="17"/>
  <c r="AA82" i="17"/>
  <c r="Z82" i="17"/>
  <c r="Q82" i="17"/>
  <c r="P82" i="17"/>
  <c r="R82" i="17" s="1"/>
  <c r="C82" i="17"/>
  <c r="A82" i="17"/>
  <c r="AE81" i="17"/>
  <c r="AA81" i="17"/>
  <c r="Z81" i="17"/>
  <c r="Q81" i="17"/>
  <c r="P81" i="17"/>
  <c r="R81" i="17" s="1"/>
  <c r="C81" i="17"/>
  <c r="A81" i="17"/>
  <c r="AE80" i="17"/>
  <c r="AA80" i="17"/>
  <c r="Z80" i="17"/>
  <c r="Q80" i="17"/>
  <c r="P80" i="17"/>
  <c r="R80" i="17" s="1"/>
  <c r="C80" i="17"/>
  <c r="A80" i="17"/>
  <c r="AE79" i="17"/>
  <c r="AA79" i="17"/>
  <c r="Z79" i="17"/>
  <c r="Q79" i="17"/>
  <c r="P79" i="17"/>
  <c r="R79" i="17" s="1"/>
  <c r="C79" i="17"/>
  <c r="A79" i="17"/>
  <c r="AE78" i="17"/>
  <c r="AA78" i="17"/>
  <c r="Z78" i="17"/>
  <c r="R78" i="17"/>
  <c r="Q78" i="17"/>
  <c r="P78" i="17"/>
  <c r="C78" i="17"/>
  <c r="A78" i="17"/>
  <c r="AE77" i="17"/>
  <c r="AA77" i="17"/>
  <c r="Z77" i="17"/>
  <c r="R77" i="17"/>
  <c r="Q77" i="17"/>
  <c r="P77" i="17"/>
  <c r="C77" i="17"/>
  <c r="A77" i="17"/>
  <c r="AE76" i="17"/>
  <c r="AA76" i="17"/>
  <c r="Z76" i="17"/>
  <c r="R76" i="17"/>
  <c r="Q76" i="17"/>
  <c r="P76" i="17"/>
  <c r="C76" i="17"/>
  <c r="A76" i="17"/>
  <c r="AE75" i="17"/>
  <c r="AA75" i="17"/>
  <c r="Z75" i="17"/>
  <c r="R75" i="17"/>
  <c r="Q75" i="17"/>
  <c r="P75" i="17"/>
  <c r="C75" i="17"/>
  <c r="A75" i="17"/>
  <c r="AE74" i="17"/>
  <c r="AA74" i="17"/>
  <c r="Z74" i="17"/>
  <c r="R74" i="17"/>
  <c r="Q74" i="17"/>
  <c r="P74" i="17"/>
  <c r="C74" i="17"/>
  <c r="A74" i="17"/>
  <c r="AE73" i="17"/>
  <c r="AA73" i="17"/>
  <c r="Z73" i="17"/>
  <c r="R73" i="17"/>
  <c r="Q73" i="17"/>
  <c r="P73" i="17"/>
  <c r="C73" i="17"/>
  <c r="A73" i="17"/>
  <c r="AE72" i="17"/>
  <c r="AA72" i="17"/>
  <c r="Z72" i="17"/>
  <c r="R72" i="17"/>
  <c r="Q72" i="17"/>
  <c r="P72" i="17"/>
  <c r="C72" i="17"/>
  <c r="A72" i="17"/>
  <c r="AE71" i="17"/>
  <c r="AA71" i="17"/>
  <c r="Z71" i="17"/>
  <c r="R71" i="17"/>
  <c r="Q71" i="17"/>
  <c r="P71" i="17"/>
  <c r="C71" i="17"/>
  <c r="A71" i="17"/>
  <c r="AE70" i="17"/>
  <c r="AA70" i="17"/>
  <c r="Z70" i="17"/>
  <c r="R70" i="17"/>
  <c r="Q70" i="17"/>
  <c r="P70" i="17"/>
  <c r="C70" i="17"/>
  <c r="A70" i="17"/>
  <c r="AE69" i="17"/>
  <c r="AA69" i="17"/>
  <c r="Z69" i="17"/>
  <c r="R69" i="17"/>
  <c r="Q69" i="17"/>
  <c r="P69" i="17"/>
  <c r="C69" i="17"/>
  <c r="A69" i="17"/>
  <c r="AE68" i="17"/>
  <c r="AA68" i="17"/>
  <c r="Z68" i="17"/>
  <c r="R68" i="17"/>
  <c r="Q68" i="17"/>
  <c r="P68" i="17"/>
  <c r="C68" i="17"/>
  <c r="A68" i="17"/>
  <c r="AE67" i="17"/>
  <c r="AA67" i="17"/>
  <c r="Z67" i="17"/>
  <c r="R67" i="17"/>
  <c r="Q67" i="17"/>
  <c r="P67" i="17"/>
  <c r="C67" i="17"/>
  <c r="A67" i="17"/>
  <c r="AE66" i="17"/>
  <c r="AA66" i="17"/>
  <c r="Z66" i="17"/>
  <c r="R66" i="17"/>
  <c r="Q66" i="17"/>
  <c r="P66" i="17"/>
  <c r="C66" i="17"/>
  <c r="A66" i="17"/>
  <c r="AE65" i="17"/>
  <c r="AA65" i="17"/>
  <c r="Z65" i="17"/>
  <c r="R65" i="17"/>
  <c r="Q65" i="17"/>
  <c r="P65" i="17"/>
  <c r="C65" i="17"/>
  <c r="A65" i="17"/>
  <c r="AE64" i="17"/>
  <c r="AA64" i="17"/>
  <c r="Z64" i="17"/>
  <c r="R64" i="17"/>
  <c r="Q64" i="17"/>
  <c r="P64" i="17"/>
  <c r="C64" i="17"/>
  <c r="A64" i="17"/>
  <c r="AE63" i="17"/>
  <c r="AA63" i="17"/>
  <c r="Z63" i="17"/>
  <c r="R63" i="17"/>
  <c r="Q63" i="17"/>
  <c r="P63" i="17"/>
  <c r="C63" i="17"/>
  <c r="A63" i="17"/>
  <c r="AE62" i="17"/>
  <c r="AA62" i="17"/>
  <c r="Z62" i="17"/>
  <c r="R62" i="17"/>
  <c r="Q62" i="17"/>
  <c r="P62" i="17"/>
  <c r="C62" i="17"/>
  <c r="A62" i="17"/>
  <c r="AE61" i="17"/>
  <c r="AA61" i="17"/>
  <c r="Z61" i="17"/>
  <c r="R61" i="17"/>
  <c r="Q61" i="17"/>
  <c r="P61" i="17"/>
  <c r="C61" i="17"/>
  <c r="A61" i="17"/>
  <c r="AE60" i="17"/>
  <c r="AA60" i="17"/>
  <c r="Z60" i="17"/>
  <c r="R60" i="17"/>
  <c r="Q60" i="17"/>
  <c r="P60" i="17"/>
  <c r="C60" i="17"/>
  <c r="A60" i="17"/>
  <c r="AE59" i="17"/>
  <c r="AA59" i="17"/>
  <c r="Z59" i="17"/>
  <c r="R59" i="17"/>
  <c r="Q59" i="17"/>
  <c r="P59" i="17"/>
  <c r="C59" i="17"/>
  <c r="A59" i="17"/>
  <c r="AE58" i="17"/>
  <c r="AA58" i="17"/>
  <c r="Z58" i="17"/>
  <c r="R58" i="17"/>
  <c r="Q58" i="17"/>
  <c r="P58" i="17"/>
  <c r="C58" i="17"/>
  <c r="A58" i="17"/>
  <c r="AE57" i="17"/>
  <c r="AA57" i="17"/>
  <c r="Z57" i="17"/>
  <c r="R57" i="17"/>
  <c r="Q57" i="17"/>
  <c r="P57" i="17"/>
  <c r="C57" i="17"/>
  <c r="A57" i="17"/>
  <c r="AE56" i="17"/>
  <c r="AA56" i="17"/>
  <c r="Z56" i="17"/>
  <c r="R56" i="17"/>
  <c r="Q56" i="17"/>
  <c r="P56" i="17"/>
  <c r="C56" i="17"/>
  <c r="A56" i="17"/>
  <c r="AE55" i="17"/>
  <c r="AA55" i="17"/>
  <c r="Z55" i="17"/>
  <c r="R55" i="17"/>
  <c r="Q55" i="17"/>
  <c r="P55" i="17"/>
  <c r="C55" i="17"/>
  <c r="A55" i="17"/>
  <c r="AE54" i="17"/>
  <c r="AA54" i="17"/>
  <c r="Z54" i="17"/>
  <c r="R54" i="17"/>
  <c r="Q54" i="17"/>
  <c r="P54" i="17"/>
  <c r="C54" i="17"/>
  <c r="A54" i="17"/>
  <c r="AE53" i="17"/>
  <c r="AA53" i="17"/>
  <c r="Z53" i="17"/>
  <c r="R53" i="17"/>
  <c r="Q53" i="17"/>
  <c r="P53" i="17"/>
  <c r="C53" i="17"/>
  <c r="A53" i="17"/>
  <c r="AE52" i="17"/>
  <c r="AA52" i="17"/>
  <c r="Z52" i="17"/>
  <c r="R52" i="17"/>
  <c r="Q52" i="17"/>
  <c r="P52" i="17"/>
  <c r="C52" i="17"/>
  <c r="A52" i="17"/>
  <c r="AE51" i="17"/>
  <c r="AA51" i="17"/>
  <c r="Z51" i="17"/>
  <c r="R51" i="17"/>
  <c r="Q51" i="17"/>
  <c r="P51" i="17"/>
  <c r="C51" i="17"/>
  <c r="A51" i="17"/>
  <c r="AE50" i="17"/>
  <c r="AA50" i="17"/>
  <c r="Z50" i="17"/>
  <c r="R50" i="17"/>
  <c r="Q50" i="17"/>
  <c r="P50" i="17"/>
  <c r="C50" i="17"/>
  <c r="A50" i="17"/>
  <c r="AE49" i="17"/>
  <c r="AA49" i="17"/>
  <c r="Z49" i="17"/>
  <c r="R49" i="17"/>
  <c r="Q49" i="17"/>
  <c r="P49" i="17"/>
  <c r="C49" i="17"/>
  <c r="A49" i="17"/>
  <c r="AE48" i="17"/>
  <c r="AA48" i="17"/>
  <c r="Z48" i="17"/>
  <c r="R48" i="17"/>
  <c r="Q48" i="17"/>
  <c r="P48" i="17"/>
  <c r="C48" i="17"/>
  <c r="A48" i="17"/>
  <c r="AE47" i="17"/>
  <c r="AA47" i="17"/>
  <c r="Z47" i="17"/>
  <c r="R47" i="17"/>
  <c r="Q47" i="17"/>
  <c r="P47" i="17"/>
  <c r="C47" i="17"/>
  <c r="A47" i="17"/>
  <c r="AE46" i="17"/>
  <c r="AA46" i="17"/>
  <c r="Z46" i="17"/>
  <c r="R46" i="17"/>
  <c r="Q46" i="17"/>
  <c r="P46" i="17"/>
  <c r="C46" i="17"/>
  <c r="A46" i="17"/>
  <c r="AE45" i="17"/>
  <c r="AA45" i="17"/>
  <c r="Z45" i="17"/>
  <c r="R45" i="17"/>
  <c r="Q45" i="17"/>
  <c r="P45" i="17"/>
  <c r="C45" i="17"/>
  <c r="A45" i="17"/>
  <c r="AE44" i="17"/>
  <c r="AA44" i="17"/>
  <c r="Z44" i="17"/>
  <c r="R44" i="17"/>
  <c r="Q44" i="17"/>
  <c r="P44" i="17"/>
  <c r="C44" i="17"/>
  <c r="A44" i="17"/>
  <c r="AE43" i="17"/>
  <c r="AA43" i="17"/>
  <c r="Z43" i="17"/>
  <c r="R43" i="17"/>
  <c r="Q43" i="17"/>
  <c r="P43" i="17"/>
  <c r="C43" i="17"/>
  <c r="A43" i="17"/>
  <c r="AE42" i="17"/>
  <c r="AA42" i="17"/>
  <c r="Z42" i="17"/>
  <c r="R42" i="17"/>
  <c r="Q42" i="17"/>
  <c r="P42" i="17"/>
  <c r="C42" i="17"/>
  <c r="A42" i="17"/>
  <c r="AE41" i="17"/>
  <c r="AA41" i="17"/>
  <c r="Z41" i="17"/>
  <c r="R41" i="17"/>
  <c r="Q41" i="17"/>
  <c r="P41" i="17"/>
  <c r="C41" i="17"/>
  <c r="A41" i="17"/>
  <c r="AE40" i="17"/>
  <c r="AA40" i="17"/>
  <c r="Z40" i="17"/>
  <c r="R40" i="17"/>
  <c r="Q40" i="17"/>
  <c r="P40" i="17"/>
  <c r="C40" i="17"/>
  <c r="A40" i="17"/>
  <c r="AE39" i="17"/>
  <c r="AA39" i="17"/>
  <c r="Z39" i="17"/>
  <c r="R39" i="17"/>
  <c r="Q39" i="17"/>
  <c r="P39" i="17"/>
  <c r="C39" i="17"/>
  <c r="A39" i="17"/>
  <c r="AE38" i="17"/>
  <c r="AA38" i="17"/>
  <c r="Z38" i="17"/>
  <c r="R38" i="17"/>
  <c r="Q38" i="17"/>
  <c r="P38" i="17"/>
  <c r="C38" i="17"/>
  <c r="A38" i="17"/>
  <c r="AE37" i="17"/>
  <c r="AA37" i="17"/>
  <c r="Z37" i="17"/>
  <c r="R37" i="17"/>
  <c r="Q37" i="17"/>
  <c r="P37" i="17"/>
  <c r="C37" i="17"/>
  <c r="A37" i="17"/>
  <c r="AE36" i="17"/>
  <c r="AA36" i="17"/>
  <c r="Z36" i="17"/>
  <c r="R36" i="17"/>
  <c r="Q36" i="17"/>
  <c r="P36" i="17"/>
  <c r="C36" i="17"/>
  <c r="A36" i="17"/>
  <c r="AE35" i="17"/>
  <c r="AA35" i="17"/>
  <c r="Z35" i="17"/>
  <c r="R35" i="17"/>
  <c r="Q35" i="17"/>
  <c r="P35" i="17"/>
  <c r="C35" i="17"/>
  <c r="A35" i="17"/>
  <c r="AE34" i="17"/>
  <c r="AA34" i="17"/>
  <c r="Z34" i="17"/>
  <c r="R34" i="17"/>
  <c r="Q34" i="17"/>
  <c r="P34" i="17"/>
  <c r="C34" i="17"/>
  <c r="A34" i="17"/>
  <c r="AE33" i="17"/>
  <c r="AA33" i="17"/>
  <c r="Z33" i="17"/>
  <c r="R33" i="17"/>
  <c r="Q33" i="17"/>
  <c r="P33" i="17"/>
  <c r="C33" i="17"/>
  <c r="A33" i="17"/>
  <c r="AE32" i="17"/>
  <c r="AA32" i="17"/>
  <c r="Z32" i="17"/>
  <c r="R32" i="17"/>
  <c r="Q32" i="17"/>
  <c r="P32" i="17"/>
  <c r="C32" i="17"/>
  <c r="A32" i="17"/>
  <c r="AE31" i="17"/>
  <c r="AA31" i="17"/>
  <c r="Z31" i="17"/>
  <c r="R31" i="17"/>
  <c r="Q31" i="17"/>
  <c r="P31" i="17"/>
  <c r="C31" i="17"/>
  <c r="A31" i="17"/>
  <c r="AE30" i="17"/>
  <c r="AA30" i="17"/>
  <c r="Z30" i="17"/>
  <c r="R30" i="17"/>
  <c r="Q30" i="17"/>
  <c r="P30" i="17"/>
  <c r="C30" i="17"/>
  <c r="A30" i="17"/>
  <c r="AE29" i="17"/>
  <c r="AA29" i="17"/>
  <c r="Z29" i="17"/>
  <c r="R29" i="17"/>
  <c r="Q29" i="17"/>
  <c r="P29" i="17"/>
  <c r="C29" i="17"/>
  <c r="A29" i="17"/>
  <c r="AE28" i="17"/>
  <c r="AA28" i="17"/>
  <c r="Z28" i="17"/>
  <c r="R28" i="17"/>
  <c r="Q28" i="17"/>
  <c r="P28" i="17"/>
  <c r="C28" i="17"/>
  <c r="A28" i="17"/>
  <c r="AE27" i="17"/>
  <c r="AA27" i="17"/>
  <c r="Z27" i="17"/>
  <c r="R27" i="17"/>
  <c r="Q27" i="17"/>
  <c r="P27" i="17"/>
  <c r="C27" i="17"/>
  <c r="A27" i="17"/>
  <c r="AE26" i="17"/>
  <c r="AA26" i="17"/>
  <c r="Z26" i="17"/>
  <c r="R26" i="17"/>
  <c r="Q26" i="17"/>
  <c r="P26" i="17"/>
  <c r="C26" i="17"/>
  <c r="A26" i="17"/>
  <c r="AE25" i="17"/>
  <c r="AA25" i="17"/>
  <c r="Z25" i="17"/>
  <c r="R25" i="17"/>
  <c r="Q25" i="17"/>
  <c r="P25" i="17"/>
  <c r="C25" i="17"/>
  <c r="A25" i="17"/>
  <c r="AE24" i="17"/>
  <c r="AA24" i="17"/>
  <c r="Z24" i="17"/>
  <c r="R24" i="17"/>
  <c r="Q24" i="17"/>
  <c r="P24" i="17"/>
  <c r="C24" i="17"/>
  <c r="A24" i="17"/>
  <c r="AE23" i="17"/>
  <c r="AA23" i="17"/>
  <c r="Z23" i="17"/>
  <c r="R23" i="17"/>
  <c r="Q23" i="17"/>
  <c r="P23" i="17"/>
  <c r="C23" i="17"/>
  <c r="A23" i="17"/>
  <c r="AE22" i="17"/>
  <c r="AA22" i="17"/>
  <c r="Z22" i="17"/>
  <c r="R22" i="17"/>
  <c r="Q22" i="17"/>
  <c r="P22" i="17"/>
  <c r="C22" i="17"/>
  <c r="A22" i="17"/>
  <c r="AE21" i="17"/>
  <c r="AA21" i="17"/>
  <c r="Z21" i="17"/>
  <c r="R21" i="17"/>
  <c r="Q21" i="17"/>
  <c r="P21" i="17"/>
  <c r="C21" i="17"/>
  <c r="A21" i="17"/>
  <c r="AE20" i="17"/>
  <c r="AA20" i="17"/>
  <c r="Z20" i="17"/>
  <c r="R20" i="17"/>
  <c r="Q20" i="17"/>
  <c r="P20" i="17"/>
  <c r="C20" i="17"/>
  <c r="A20" i="17"/>
  <c r="AE19" i="17"/>
  <c r="AA19" i="17"/>
  <c r="Z19" i="17"/>
  <c r="R19" i="17"/>
  <c r="Q19" i="17"/>
  <c r="P19" i="17"/>
  <c r="C19" i="17"/>
  <c r="A19" i="17"/>
  <c r="AE18" i="17"/>
  <c r="AA18" i="17"/>
  <c r="Z18" i="17"/>
  <c r="R18" i="17"/>
  <c r="Q18" i="17"/>
  <c r="P18" i="17"/>
  <c r="C18" i="17"/>
  <c r="A18" i="17"/>
  <c r="AE17" i="17"/>
  <c r="AA17" i="17"/>
  <c r="Z17" i="17"/>
  <c r="R17" i="17"/>
  <c r="Q17" i="17"/>
  <c r="P17" i="17"/>
  <c r="C17" i="17"/>
  <c r="A17" i="17"/>
  <c r="AE16" i="17"/>
  <c r="AA16" i="17"/>
  <c r="Z16" i="17"/>
  <c r="R16" i="17"/>
  <c r="Q16" i="17"/>
  <c r="P16" i="17"/>
  <c r="C16" i="17"/>
  <c r="A16" i="17"/>
  <c r="AE15" i="17"/>
  <c r="AA15" i="17"/>
  <c r="Z15" i="17"/>
  <c r="R15" i="17"/>
  <c r="Q15" i="17"/>
  <c r="P15" i="17"/>
  <c r="C15" i="17"/>
  <c r="A15" i="17"/>
  <c r="AE14" i="17"/>
  <c r="AA14" i="17"/>
  <c r="Z14" i="17"/>
  <c r="R14" i="17"/>
  <c r="Q14" i="17"/>
  <c r="P14" i="17"/>
  <c r="C14" i="17"/>
  <c r="A14" i="17"/>
  <c r="D9" i="17"/>
  <c r="D8" i="17"/>
  <c r="D7" i="17"/>
  <c r="D6" i="17"/>
  <c r="D5" i="17"/>
  <c r="D4" i="17"/>
  <c r="O3" i="17"/>
  <c r="F1" i="17"/>
  <c r="AE163" i="16"/>
  <c r="AA163" i="16"/>
  <c r="Z163" i="16"/>
  <c r="R163" i="16"/>
  <c r="Q163" i="16"/>
  <c r="P163" i="16"/>
  <c r="C163" i="16"/>
  <c r="A163" i="16"/>
  <c r="AE162" i="16"/>
  <c r="AA162" i="16"/>
  <c r="Z162" i="16"/>
  <c r="R162" i="16"/>
  <c r="Q162" i="16"/>
  <c r="P162" i="16"/>
  <c r="C162" i="16"/>
  <c r="A162" i="16"/>
  <c r="AE161" i="16"/>
  <c r="AA161" i="16"/>
  <c r="Z161" i="16"/>
  <c r="R161" i="16"/>
  <c r="Q161" i="16"/>
  <c r="P161" i="16"/>
  <c r="C161" i="16"/>
  <c r="A161" i="16"/>
  <c r="AE160" i="16"/>
  <c r="AA160" i="16"/>
  <c r="Z160" i="16"/>
  <c r="R160" i="16"/>
  <c r="Q160" i="16"/>
  <c r="P160" i="16"/>
  <c r="C160" i="16"/>
  <c r="A160" i="16"/>
  <c r="AE159" i="16"/>
  <c r="AA159" i="16"/>
  <c r="Z159" i="16"/>
  <c r="R159" i="16"/>
  <c r="Q159" i="16"/>
  <c r="P159" i="16"/>
  <c r="C159" i="16"/>
  <c r="A159" i="16"/>
  <c r="AE158" i="16"/>
  <c r="AA158" i="16"/>
  <c r="Z158" i="16"/>
  <c r="R158" i="16"/>
  <c r="Q158" i="16"/>
  <c r="P158" i="16"/>
  <c r="C158" i="16"/>
  <c r="A158" i="16"/>
  <c r="AE157" i="16"/>
  <c r="AA157" i="16"/>
  <c r="Z157" i="16"/>
  <c r="R157" i="16"/>
  <c r="Q157" i="16"/>
  <c r="P157" i="16"/>
  <c r="C157" i="16"/>
  <c r="A157" i="16"/>
  <c r="AE156" i="16"/>
  <c r="AA156" i="16"/>
  <c r="Z156" i="16"/>
  <c r="R156" i="16"/>
  <c r="Q156" i="16"/>
  <c r="P156" i="16"/>
  <c r="C156" i="16"/>
  <c r="A156" i="16"/>
  <c r="AE155" i="16"/>
  <c r="AA155" i="16"/>
  <c r="Z155" i="16"/>
  <c r="R155" i="16"/>
  <c r="Q155" i="16"/>
  <c r="P155" i="16"/>
  <c r="C155" i="16"/>
  <c r="A155" i="16"/>
  <c r="AE154" i="16"/>
  <c r="AA154" i="16"/>
  <c r="Z154" i="16"/>
  <c r="R154" i="16"/>
  <c r="Q154" i="16"/>
  <c r="P154" i="16"/>
  <c r="C154" i="16"/>
  <c r="A154" i="16"/>
  <c r="AE153" i="16"/>
  <c r="AA153" i="16"/>
  <c r="Z153" i="16"/>
  <c r="R153" i="16"/>
  <c r="Q153" i="16"/>
  <c r="P153" i="16"/>
  <c r="C153" i="16"/>
  <c r="A153" i="16"/>
  <c r="AE152" i="16"/>
  <c r="AA152" i="16"/>
  <c r="Z152" i="16"/>
  <c r="R152" i="16"/>
  <c r="Q152" i="16"/>
  <c r="P152" i="16"/>
  <c r="C152" i="16"/>
  <c r="A152" i="16"/>
  <c r="AE151" i="16"/>
  <c r="AA151" i="16"/>
  <c r="Z151" i="16"/>
  <c r="R151" i="16"/>
  <c r="Q151" i="16"/>
  <c r="P151" i="16"/>
  <c r="C151" i="16"/>
  <c r="A151" i="16"/>
  <c r="AE150" i="16"/>
  <c r="AA150" i="16"/>
  <c r="Z150" i="16"/>
  <c r="R150" i="16"/>
  <c r="Q150" i="16"/>
  <c r="P150" i="16"/>
  <c r="C150" i="16"/>
  <c r="A150" i="16"/>
  <c r="AE149" i="16"/>
  <c r="AA149" i="16"/>
  <c r="Z149" i="16"/>
  <c r="R149" i="16"/>
  <c r="Q149" i="16"/>
  <c r="P149" i="16"/>
  <c r="C149" i="16"/>
  <c r="A149" i="16"/>
  <c r="AE148" i="16"/>
  <c r="AA148" i="16"/>
  <c r="Z148" i="16"/>
  <c r="R148" i="16"/>
  <c r="Q148" i="16"/>
  <c r="P148" i="16"/>
  <c r="C148" i="16"/>
  <c r="A148" i="16"/>
  <c r="AE147" i="16"/>
  <c r="AA147" i="16"/>
  <c r="Z147" i="16"/>
  <c r="R147" i="16"/>
  <c r="Q147" i="16"/>
  <c r="P147" i="16"/>
  <c r="C147" i="16"/>
  <c r="A147" i="16"/>
  <c r="AE146" i="16"/>
  <c r="AA146" i="16"/>
  <c r="Z146" i="16"/>
  <c r="R146" i="16"/>
  <c r="Q146" i="16"/>
  <c r="P146" i="16"/>
  <c r="C146" i="16"/>
  <c r="A146" i="16"/>
  <c r="AE145" i="16"/>
  <c r="AA145" i="16"/>
  <c r="Z145" i="16"/>
  <c r="R145" i="16"/>
  <c r="Q145" i="16"/>
  <c r="P145" i="16"/>
  <c r="C145" i="16"/>
  <c r="A145" i="16"/>
  <c r="AE144" i="16"/>
  <c r="AA144" i="16"/>
  <c r="Z144" i="16"/>
  <c r="R144" i="16"/>
  <c r="Q144" i="16"/>
  <c r="P144" i="16"/>
  <c r="C144" i="16"/>
  <c r="A144" i="16"/>
  <c r="AE143" i="16"/>
  <c r="AA143" i="16"/>
  <c r="Z143" i="16"/>
  <c r="R143" i="16"/>
  <c r="Q143" i="16"/>
  <c r="P143" i="16"/>
  <c r="C143" i="16"/>
  <c r="A143" i="16"/>
  <c r="AE142" i="16"/>
  <c r="AA142" i="16"/>
  <c r="Z142" i="16"/>
  <c r="R142" i="16"/>
  <c r="Q142" i="16"/>
  <c r="P142" i="16"/>
  <c r="C142" i="16"/>
  <c r="A142" i="16"/>
  <c r="AE141" i="16"/>
  <c r="AA141" i="16"/>
  <c r="Z141" i="16"/>
  <c r="R141" i="16"/>
  <c r="Q141" i="16"/>
  <c r="P141" i="16"/>
  <c r="C141" i="16"/>
  <c r="A141" i="16"/>
  <c r="AE140" i="16"/>
  <c r="AA140" i="16"/>
  <c r="Z140" i="16"/>
  <c r="R140" i="16"/>
  <c r="Q140" i="16"/>
  <c r="P140" i="16"/>
  <c r="C140" i="16"/>
  <c r="A140" i="16"/>
  <c r="AE139" i="16"/>
  <c r="AA139" i="16"/>
  <c r="Z139" i="16"/>
  <c r="R139" i="16"/>
  <c r="Q139" i="16"/>
  <c r="P139" i="16"/>
  <c r="C139" i="16"/>
  <c r="A139" i="16"/>
  <c r="AE138" i="16"/>
  <c r="AA138" i="16"/>
  <c r="Z138" i="16"/>
  <c r="R138" i="16"/>
  <c r="Q138" i="16"/>
  <c r="P138" i="16"/>
  <c r="C138" i="16"/>
  <c r="A138" i="16"/>
  <c r="AE137" i="16"/>
  <c r="AA137" i="16"/>
  <c r="Z137" i="16"/>
  <c r="R137" i="16"/>
  <c r="Q137" i="16"/>
  <c r="P137" i="16"/>
  <c r="C137" i="16"/>
  <c r="A137" i="16"/>
  <c r="AE136" i="16"/>
  <c r="AA136" i="16"/>
  <c r="Z136" i="16"/>
  <c r="R136" i="16"/>
  <c r="Q136" i="16"/>
  <c r="P136" i="16"/>
  <c r="C136" i="16"/>
  <c r="A136" i="16"/>
  <c r="AE135" i="16"/>
  <c r="AA135" i="16"/>
  <c r="Z135" i="16"/>
  <c r="R135" i="16"/>
  <c r="Q135" i="16"/>
  <c r="P135" i="16"/>
  <c r="C135" i="16"/>
  <c r="A135" i="16"/>
  <c r="AE134" i="16"/>
  <c r="AA134" i="16"/>
  <c r="Z134" i="16"/>
  <c r="R134" i="16"/>
  <c r="Q134" i="16"/>
  <c r="P134" i="16"/>
  <c r="C134" i="16"/>
  <c r="A134" i="16"/>
  <c r="AE133" i="16"/>
  <c r="AA133" i="16"/>
  <c r="Z133" i="16"/>
  <c r="R133" i="16"/>
  <c r="Q133" i="16"/>
  <c r="P133" i="16"/>
  <c r="C133" i="16"/>
  <c r="A133" i="16"/>
  <c r="AE132" i="16"/>
  <c r="AA132" i="16"/>
  <c r="Z132" i="16"/>
  <c r="R132" i="16"/>
  <c r="Q132" i="16"/>
  <c r="P132" i="16"/>
  <c r="C132" i="16"/>
  <c r="A132" i="16"/>
  <c r="AE131" i="16"/>
  <c r="AA131" i="16"/>
  <c r="Z131" i="16"/>
  <c r="R131" i="16"/>
  <c r="Q131" i="16"/>
  <c r="P131" i="16"/>
  <c r="C131" i="16"/>
  <c r="A131" i="16"/>
  <c r="AE130" i="16"/>
  <c r="AA130" i="16"/>
  <c r="Z130" i="16"/>
  <c r="R130" i="16"/>
  <c r="Q130" i="16"/>
  <c r="P130" i="16"/>
  <c r="C130" i="16"/>
  <c r="A130" i="16"/>
  <c r="AE129" i="16"/>
  <c r="AA129" i="16"/>
  <c r="Z129" i="16"/>
  <c r="R129" i="16"/>
  <c r="Q129" i="16"/>
  <c r="P129" i="16"/>
  <c r="C129" i="16"/>
  <c r="A129" i="16"/>
  <c r="AE128" i="16"/>
  <c r="AA128" i="16"/>
  <c r="Z128" i="16"/>
  <c r="R128" i="16"/>
  <c r="Q128" i="16"/>
  <c r="P128" i="16"/>
  <c r="C128" i="16"/>
  <c r="A128" i="16"/>
  <c r="AE127" i="16"/>
  <c r="AA127" i="16"/>
  <c r="Z127" i="16"/>
  <c r="R127" i="16"/>
  <c r="Q127" i="16"/>
  <c r="P127" i="16"/>
  <c r="C127" i="16"/>
  <c r="A127" i="16"/>
  <c r="AE126" i="16"/>
  <c r="AA126" i="16"/>
  <c r="Z126" i="16"/>
  <c r="R126" i="16"/>
  <c r="Q126" i="16"/>
  <c r="P126" i="16"/>
  <c r="C126" i="16"/>
  <c r="A126" i="16"/>
  <c r="AE125" i="16"/>
  <c r="AA125" i="16"/>
  <c r="Z125" i="16"/>
  <c r="R125" i="16"/>
  <c r="Q125" i="16"/>
  <c r="P125" i="16"/>
  <c r="C125" i="16"/>
  <c r="A125" i="16"/>
  <c r="AE124" i="16"/>
  <c r="AA124" i="16"/>
  <c r="Z124" i="16"/>
  <c r="R124" i="16"/>
  <c r="Q124" i="16"/>
  <c r="P124" i="16"/>
  <c r="C124" i="16"/>
  <c r="A124" i="16"/>
  <c r="AE123" i="16"/>
  <c r="AA123" i="16"/>
  <c r="Z123" i="16"/>
  <c r="R123" i="16"/>
  <c r="Q123" i="16"/>
  <c r="P123" i="16"/>
  <c r="C123" i="16"/>
  <c r="A123" i="16"/>
  <c r="AE122" i="16"/>
  <c r="AA122" i="16"/>
  <c r="Z122" i="16"/>
  <c r="R122" i="16"/>
  <c r="Q122" i="16"/>
  <c r="P122" i="16"/>
  <c r="C122" i="16"/>
  <c r="A122" i="16"/>
  <c r="AE121" i="16"/>
  <c r="AA121" i="16"/>
  <c r="Z121" i="16"/>
  <c r="R121" i="16"/>
  <c r="Q121" i="16"/>
  <c r="P121" i="16"/>
  <c r="C121" i="16"/>
  <c r="A121" i="16"/>
  <c r="AE120" i="16"/>
  <c r="AA120" i="16"/>
  <c r="Z120" i="16"/>
  <c r="R120" i="16"/>
  <c r="Q120" i="16"/>
  <c r="P120" i="16"/>
  <c r="C120" i="16"/>
  <c r="A120" i="16"/>
  <c r="AE119" i="16"/>
  <c r="AA119" i="16"/>
  <c r="Z119" i="16"/>
  <c r="R119" i="16"/>
  <c r="Q119" i="16"/>
  <c r="P119" i="16"/>
  <c r="C119" i="16"/>
  <c r="A119" i="16"/>
  <c r="AE118" i="16"/>
  <c r="AA118" i="16"/>
  <c r="Z118" i="16"/>
  <c r="R118" i="16"/>
  <c r="Q118" i="16"/>
  <c r="P118" i="16"/>
  <c r="C118" i="16"/>
  <c r="A118" i="16"/>
  <c r="AE117" i="16"/>
  <c r="AA117" i="16"/>
  <c r="Z117" i="16"/>
  <c r="R117" i="16"/>
  <c r="Q117" i="16"/>
  <c r="P117" i="16"/>
  <c r="C117" i="16"/>
  <c r="A117" i="16"/>
  <c r="AE116" i="16"/>
  <c r="AA116" i="16"/>
  <c r="Z116" i="16"/>
  <c r="R116" i="16"/>
  <c r="Q116" i="16"/>
  <c r="P116" i="16"/>
  <c r="C116" i="16"/>
  <c r="A116" i="16"/>
  <c r="AE115" i="16"/>
  <c r="AA115" i="16"/>
  <c r="Z115" i="16"/>
  <c r="R115" i="16"/>
  <c r="Q115" i="16"/>
  <c r="P115" i="16"/>
  <c r="C115" i="16"/>
  <c r="A115" i="16"/>
  <c r="AE114" i="16"/>
  <c r="AA114" i="16"/>
  <c r="Z114" i="16"/>
  <c r="R114" i="16"/>
  <c r="Q114" i="16"/>
  <c r="P114" i="16"/>
  <c r="C114" i="16"/>
  <c r="A114" i="16"/>
  <c r="AE113" i="16"/>
  <c r="AA113" i="16"/>
  <c r="Z113" i="16"/>
  <c r="R113" i="16"/>
  <c r="Q113" i="16"/>
  <c r="P113" i="16"/>
  <c r="C113" i="16"/>
  <c r="A113" i="16"/>
  <c r="AE112" i="16"/>
  <c r="AA112" i="16"/>
  <c r="Z112" i="16"/>
  <c r="R112" i="16"/>
  <c r="Q112" i="16"/>
  <c r="P112" i="16"/>
  <c r="C112" i="16"/>
  <c r="A112" i="16"/>
  <c r="AE111" i="16"/>
  <c r="AA111" i="16"/>
  <c r="Z111" i="16"/>
  <c r="R111" i="16"/>
  <c r="Q111" i="16"/>
  <c r="P111" i="16"/>
  <c r="C111" i="16"/>
  <c r="A111" i="16"/>
  <c r="AE110" i="16"/>
  <c r="AA110" i="16"/>
  <c r="Z110" i="16"/>
  <c r="R110" i="16"/>
  <c r="Q110" i="16"/>
  <c r="P110" i="16"/>
  <c r="C110" i="16"/>
  <c r="A110" i="16"/>
  <c r="AE109" i="16"/>
  <c r="AA109" i="16"/>
  <c r="Z109" i="16"/>
  <c r="R109" i="16"/>
  <c r="Q109" i="16"/>
  <c r="P109" i="16"/>
  <c r="C109" i="16"/>
  <c r="A109" i="16"/>
  <c r="AE108" i="16"/>
  <c r="AA108" i="16"/>
  <c r="Z108" i="16"/>
  <c r="R108" i="16"/>
  <c r="Q108" i="16"/>
  <c r="P108" i="16"/>
  <c r="C108" i="16"/>
  <c r="A108" i="16"/>
  <c r="AE107" i="16"/>
  <c r="AA107" i="16"/>
  <c r="Z107" i="16"/>
  <c r="R107" i="16"/>
  <c r="Q107" i="16"/>
  <c r="P107" i="16"/>
  <c r="C107" i="16"/>
  <c r="A107" i="16"/>
  <c r="AE106" i="16"/>
  <c r="AA106" i="16"/>
  <c r="Z106" i="16"/>
  <c r="R106" i="16"/>
  <c r="Q106" i="16"/>
  <c r="P106" i="16"/>
  <c r="C106" i="16"/>
  <c r="A106" i="16"/>
  <c r="AE105" i="16"/>
  <c r="AA105" i="16"/>
  <c r="Z105" i="16"/>
  <c r="R105" i="16"/>
  <c r="Q105" i="16"/>
  <c r="P105" i="16"/>
  <c r="C105" i="16"/>
  <c r="A105" i="16"/>
  <c r="AE104" i="16"/>
  <c r="AA104" i="16"/>
  <c r="Z104" i="16"/>
  <c r="R104" i="16"/>
  <c r="Q104" i="16"/>
  <c r="P104" i="16"/>
  <c r="C104" i="16"/>
  <c r="A104" i="16"/>
  <c r="AE103" i="16"/>
  <c r="AA103" i="16"/>
  <c r="Z103" i="16"/>
  <c r="R103" i="16"/>
  <c r="Q103" i="16"/>
  <c r="P103" i="16"/>
  <c r="C103" i="16"/>
  <c r="A103" i="16"/>
  <c r="AE102" i="16"/>
  <c r="AA102" i="16"/>
  <c r="Z102" i="16"/>
  <c r="R102" i="16"/>
  <c r="Q102" i="16"/>
  <c r="P102" i="16"/>
  <c r="C102" i="16"/>
  <c r="A102" i="16"/>
  <c r="AE101" i="16"/>
  <c r="AA101" i="16"/>
  <c r="Z101" i="16"/>
  <c r="R101" i="16"/>
  <c r="Q101" i="16"/>
  <c r="P101" i="16"/>
  <c r="C101" i="16"/>
  <c r="A101" i="16"/>
  <c r="AE100" i="16"/>
  <c r="AA100" i="16"/>
  <c r="Z100" i="16"/>
  <c r="R100" i="16"/>
  <c r="Q100" i="16"/>
  <c r="P100" i="16"/>
  <c r="C100" i="16"/>
  <c r="A100" i="16"/>
  <c r="AE99" i="16"/>
  <c r="AA99" i="16"/>
  <c r="Z99" i="16"/>
  <c r="R99" i="16"/>
  <c r="Q99" i="16"/>
  <c r="P99" i="16"/>
  <c r="C99" i="16"/>
  <c r="A99" i="16"/>
  <c r="AE98" i="16"/>
  <c r="AA98" i="16"/>
  <c r="Z98" i="16"/>
  <c r="R98" i="16"/>
  <c r="Q98" i="16"/>
  <c r="P98" i="16"/>
  <c r="C98" i="16"/>
  <c r="A98" i="16"/>
  <c r="AE97" i="16"/>
  <c r="AA97" i="16"/>
  <c r="Z97" i="16"/>
  <c r="R97" i="16"/>
  <c r="Q97" i="16"/>
  <c r="P97" i="16"/>
  <c r="C97" i="16"/>
  <c r="A97" i="16"/>
  <c r="AE96" i="16"/>
  <c r="AA96" i="16"/>
  <c r="Z96" i="16"/>
  <c r="R96" i="16"/>
  <c r="Q96" i="16"/>
  <c r="P96" i="16"/>
  <c r="C96" i="16"/>
  <c r="A96" i="16"/>
  <c r="AE95" i="16"/>
  <c r="AA95" i="16"/>
  <c r="Z95" i="16"/>
  <c r="R95" i="16"/>
  <c r="Q95" i="16"/>
  <c r="P95" i="16"/>
  <c r="C95" i="16"/>
  <c r="A95" i="16"/>
  <c r="AE94" i="16"/>
  <c r="AA94" i="16"/>
  <c r="Z94" i="16"/>
  <c r="R94" i="16"/>
  <c r="Q94" i="16"/>
  <c r="P94" i="16"/>
  <c r="C94" i="16"/>
  <c r="A94" i="16"/>
  <c r="AE93" i="16"/>
  <c r="AA93" i="16"/>
  <c r="Z93" i="16"/>
  <c r="R93" i="16"/>
  <c r="Q93" i="16"/>
  <c r="P93" i="16"/>
  <c r="C93" i="16"/>
  <c r="A93" i="16"/>
  <c r="AE92" i="16"/>
  <c r="AA92" i="16"/>
  <c r="Z92" i="16"/>
  <c r="R92" i="16"/>
  <c r="Q92" i="16"/>
  <c r="P92" i="16"/>
  <c r="C92" i="16"/>
  <c r="A92" i="16"/>
  <c r="AE91" i="16"/>
  <c r="AA91" i="16"/>
  <c r="Z91" i="16"/>
  <c r="R91" i="16"/>
  <c r="Q91" i="16"/>
  <c r="P91" i="16"/>
  <c r="C91" i="16"/>
  <c r="A91" i="16"/>
  <c r="AE90" i="16"/>
  <c r="AA90" i="16"/>
  <c r="Z90" i="16"/>
  <c r="R90" i="16"/>
  <c r="Q90" i="16"/>
  <c r="P90" i="16"/>
  <c r="C90" i="16"/>
  <c r="A90" i="16"/>
  <c r="AE89" i="16"/>
  <c r="AA89" i="16"/>
  <c r="Z89" i="16"/>
  <c r="R89" i="16"/>
  <c r="Q89" i="16"/>
  <c r="P89" i="16"/>
  <c r="C89" i="16"/>
  <c r="A89" i="16"/>
  <c r="AE88" i="16"/>
  <c r="AA88" i="16"/>
  <c r="Z88" i="16"/>
  <c r="R88" i="16"/>
  <c r="Q88" i="16"/>
  <c r="P88" i="16"/>
  <c r="C88" i="16"/>
  <c r="A88" i="16"/>
  <c r="AE87" i="16"/>
  <c r="AA87" i="16"/>
  <c r="Z87" i="16"/>
  <c r="R87" i="16"/>
  <c r="Q87" i="16"/>
  <c r="P87" i="16"/>
  <c r="C87" i="16"/>
  <c r="A87" i="16"/>
  <c r="AE86" i="16"/>
  <c r="AA86" i="16"/>
  <c r="Z86" i="16"/>
  <c r="R86" i="16"/>
  <c r="Q86" i="16"/>
  <c r="P86" i="16"/>
  <c r="C86" i="16"/>
  <c r="A86" i="16"/>
  <c r="AE85" i="16"/>
  <c r="AA85" i="16"/>
  <c r="Z85" i="16"/>
  <c r="R85" i="16"/>
  <c r="Q85" i="16"/>
  <c r="P85" i="16"/>
  <c r="C85" i="16"/>
  <c r="A85" i="16"/>
  <c r="AE84" i="16"/>
  <c r="AA84" i="16"/>
  <c r="Z84" i="16"/>
  <c r="R84" i="16"/>
  <c r="Q84" i="16"/>
  <c r="P84" i="16"/>
  <c r="C84" i="16"/>
  <c r="A84" i="16"/>
  <c r="AE83" i="16"/>
  <c r="AA83" i="16"/>
  <c r="Z83" i="16"/>
  <c r="R83" i="16"/>
  <c r="Q83" i="16"/>
  <c r="P83" i="16"/>
  <c r="C83" i="16"/>
  <c r="A83" i="16"/>
  <c r="AE82" i="16"/>
  <c r="AA82" i="16"/>
  <c r="Z82" i="16"/>
  <c r="R82" i="16"/>
  <c r="Q82" i="16"/>
  <c r="P82" i="16"/>
  <c r="C82" i="16"/>
  <c r="A82" i="16"/>
  <c r="AE81" i="16"/>
  <c r="AA81" i="16"/>
  <c r="Z81" i="16"/>
  <c r="R81" i="16"/>
  <c r="Q81" i="16"/>
  <c r="P81" i="16"/>
  <c r="C81" i="16"/>
  <c r="A81" i="16"/>
  <c r="AE80" i="16"/>
  <c r="AA80" i="16"/>
  <c r="Z80" i="16"/>
  <c r="R80" i="16"/>
  <c r="Q80" i="16"/>
  <c r="P80" i="16"/>
  <c r="C80" i="16"/>
  <c r="A80" i="16"/>
  <c r="AE79" i="16"/>
  <c r="AA79" i="16"/>
  <c r="Z79" i="16"/>
  <c r="R79" i="16"/>
  <c r="Q79" i="16"/>
  <c r="P79" i="16"/>
  <c r="C79" i="16"/>
  <c r="A79" i="16"/>
  <c r="AE78" i="16"/>
  <c r="AA78" i="16"/>
  <c r="Z78" i="16"/>
  <c r="R78" i="16"/>
  <c r="Q78" i="16"/>
  <c r="P78" i="16"/>
  <c r="C78" i="16"/>
  <c r="A78" i="16"/>
  <c r="AE77" i="16"/>
  <c r="AA77" i="16"/>
  <c r="Z77" i="16"/>
  <c r="R77" i="16"/>
  <c r="Q77" i="16"/>
  <c r="P77" i="16"/>
  <c r="C77" i="16"/>
  <c r="A77" i="16"/>
  <c r="AE76" i="16"/>
  <c r="AA76" i="16"/>
  <c r="Z76" i="16"/>
  <c r="R76" i="16"/>
  <c r="Q76" i="16"/>
  <c r="P76" i="16"/>
  <c r="C76" i="16"/>
  <c r="A76" i="16"/>
  <c r="AE75" i="16"/>
  <c r="AA75" i="16"/>
  <c r="Z75" i="16"/>
  <c r="R75" i="16"/>
  <c r="Q75" i="16"/>
  <c r="P75" i="16"/>
  <c r="C75" i="16"/>
  <c r="A75" i="16"/>
  <c r="AE74" i="16"/>
  <c r="AA74" i="16"/>
  <c r="Z74" i="16"/>
  <c r="R74" i="16"/>
  <c r="Q74" i="16"/>
  <c r="P74" i="16"/>
  <c r="C74" i="16"/>
  <c r="A74" i="16"/>
  <c r="AE73" i="16"/>
  <c r="AA73" i="16"/>
  <c r="Z73" i="16"/>
  <c r="R73" i="16"/>
  <c r="Q73" i="16"/>
  <c r="P73" i="16"/>
  <c r="C73" i="16"/>
  <c r="A73" i="16"/>
  <c r="AE72" i="16"/>
  <c r="AA72" i="16"/>
  <c r="Z72" i="16"/>
  <c r="R72" i="16"/>
  <c r="Q72" i="16"/>
  <c r="P72" i="16"/>
  <c r="C72" i="16"/>
  <c r="A72" i="16"/>
  <c r="AE71" i="16"/>
  <c r="AA71" i="16"/>
  <c r="Z71" i="16"/>
  <c r="R71" i="16"/>
  <c r="Q71" i="16"/>
  <c r="P71" i="16"/>
  <c r="C71" i="16"/>
  <c r="A71" i="16"/>
  <c r="AE70" i="16"/>
  <c r="AA70" i="16"/>
  <c r="Z70" i="16"/>
  <c r="R70" i="16"/>
  <c r="Q70" i="16"/>
  <c r="P70" i="16"/>
  <c r="C70" i="16"/>
  <c r="A70" i="16"/>
  <c r="AE69" i="16"/>
  <c r="AA69" i="16"/>
  <c r="Z69" i="16"/>
  <c r="R69" i="16"/>
  <c r="Q69" i="16"/>
  <c r="P69" i="16"/>
  <c r="C69" i="16"/>
  <c r="A69" i="16"/>
  <c r="AE68" i="16"/>
  <c r="AA68" i="16"/>
  <c r="Z68" i="16"/>
  <c r="R68" i="16"/>
  <c r="Q68" i="16"/>
  <c r="P68" i="16"/>
  <c r="C68" i="16"/>
  <c r="A68" i="16"/>
  <c r="AE67" i="16"/>
  <c r="AA67" i="16"/>
  <c r="Z67" i="16"/>
  <c r="R67" i="16"/>
  <c r="Q67" i="16"/>
  <c r="P67" i="16"/>
  <c r="C67" i="16"/>
  <c r="A67" i="16"/>
  <c r="AE66" i="16"/>
  <c r="AA66" i="16"/>
  <c r="Z66" i="16"/>
  <c r="R66" i="16"/>
  <c r="Q66" i="16"/>
  <c r="P66" i="16"/>
  <c r="C66" i="16"/>
  <c r="A66" i="16"/>
  <c r="AE65" i="16"/>
  <c r="AA65" i="16"/>
  <c r="Z65" i="16"/>
  <c r="R65" i="16"/>
  <c r="Q65" i="16"/>
  <c r="P65" i="16"/>
  <c r="C65" i="16"/>
  <c r="A65" i="16"/>
  <c r="AE64" i="16"/>
  <c r="AA64" i="16"/>
  <c r="Z64" i="16"/>
  <c r="R64" i="16"/>
  <c r="Q64" i="16"/>
  <c r="P64" i="16"/>
  <c r="C64" i="16"/>
  <c r="A64" i="16"/>
  <c r="AE63" i="16"/>
  <c r="AA63" i="16"/>
  <c r="Z63" i="16"/>
  <c r="R63" i="16"/>
  <c r="Q63" i="16"/>
  <c r="P63" i="16"/>
  <c r="C63" i="16"/>
  <c r="A63" i="16"/>
  <c r="AE62" i="16"/>
  <c r="AA62" i="16"/>
  <c r="Z62" i="16"/>
  <c r="R62" i="16"/>
  <c r="Q62" i="16"/>
  <c r="P62" i="16"/>
  <c r="C62" i="16"/>
  <c r="A62" i="16"/>
  <c r="AE61" i="16"/>
  <c r="AA61" i="16"/>
  <c r="Z61" i="16"/>
  <c r="R61" i="16"/>
  <c r="Q61" i="16"/>
  <c r="P61" i="16"/>
  <c r="C61" i="16"/>
  <c r="A61" i="16"/>
  <c r="AE60" i="16"/>
  <c r="AA60" i="16"/>
  <c r="Z60" i="16"/>
  <c r="R60" i="16"/>
  <c r="Q60" i="16"/>
  <c r="P60" i="16"/>
  <c r="C60" i="16"/>
  <c r="A60" i="16"/>
  <c r="AE59" i="16"/>
  <c r="AA59" i="16"/>
  <c r="Z59" i="16"/>
  <c r="R59" i="16"/>
  <c r="Q59" i="16"/>
  <c r="P59" i="16"/>
  <c r="C59" i="16"/>
  <c r="A59" i="16"/>
  <c r="AE58" i="16"/>
  <c r="AA58" i="16"/>
  <c r="Z58" i="16"/>
  <c r="R58" i="16"/>
  <c r="Q58" i="16"/>
  <c r="P58" i="16"/>
  <c r="C58" i="16"/>
  <c r="A58" i="16"/>
  <c r="AE57" i="16"/>
  <c r="AA57" i="16"/>
  <c r="Z57" i="16"/>
  <c r="R57" i="16"/>
  <c r="Q57" i="16"/>
  <c r="P57" i="16"/>
  <c r="C57" i="16"/>
  <c r="A57" i="16"/>
  <c r="AE56" i="16"/>
  <c r="AA56" i="16"/>
  <c r="Z56" i="16"/>
  <c r="R56" i="16"/>
  <c r="Q56" i="16"/>
  <c r="P56" i="16"/>
  <c r="C56" i="16"/>
  <c r="A56" i="16"/>
  <c r="AE55" i="16"/>
  <c r="AA55" i="16"/>
  <c r="Z55" i="16"/>
  <c r="R55" i="16"/>
  <c r="Q55" i="16"/>
  <c r="P55" i="16"/>
  <c r="C55" i="16"/>
  <c r="A55" i="16"/>
  <c r="AE54" i="16"/>
  <c r="AA54" i="16"/>
  <c r="Z54" i="16"/>
  <c r="R54" i="16"/>
  <c r="Q54" i="16"/>
  <c r="P54" i="16"/>
  <c r="C54" i="16"/>
  <c r="A54" i="16"/>
  <c r="AE53" i="16"/>
  <c r="AA53" i="16"/>
  <c r="Z53" i="16"/>
  <c r="R53" i="16"/>
  <c r="Q53" i="16"/>
  <c r="P53" i="16"/>
  <c r="C53" i="16"/>
  <c r="A53" i="16"/>
  <c r="AE52" i="16"/>
  <c r="AA52" i="16"/>
  <c r="Z52" i="16"/>
  <c r="R52" i="16"/>
  <c r="Q52" i="16"/>
  <c r="P52" i="16"/>
  <c r="C52" i="16"/>
  <c r="A52" i="16"/>
  <c r="AE51" i="16"/>
  <c r="AA51" i="16"/>
  <c r="Z51" i="16"/>
  <c r="R51" i="16"/>
  <c r="Q51" i="16"/>
  <c r="P51" i="16"/>
  <c r="C51" i="16"/>
  <c r="A51" i="16"/>
  <c r="AE50" i="16"/>
  <c r="AA50" i="16"/>
  <c r="Z50" i="16"/>
  <c r="R50" i="16"/>
  <c r="Q50" i="16"/>
  <c r="P50" i="16"/>
  <c r="C50" i="16"/>
  <c r="A50" i="16"/>
  <c r="AE49" i="16"/>
  <c r="AA49" i="16"/>
  <c r="Z49" i="16"/>
  <c r="R49" i="16"/>
  <c r="Q49" i="16"/>
  <c r="P49" i="16"/>
  <c r="C49" i="16"/>
  <c r="A49" i="16"/>
  <c r="AE48" i="16"/>
  <c r="AA48" i="16"/>
  <c r="Z48" i="16"/>
  <c r="R48" i="16"/>
  <c r="Q48" i="16"/>
  <c r="P48" i="16"/>
  <c r="C48" i="16"/>
  <c r="A48" i="16"/>
  <c r="AE47" i="16"/>
  <c r="AA47" i="16"/>
  <c r="Z47" i="16"/>
  <c r="R47" i="16"/>
  <c r="Q47" i="16"/>
  <c r="P47" i="16"/>
  <c r="C47" i="16"/>
  <c r="A47" i="16"/>
  <c r="AE46" i="16"/>
  <c r="AA46" i="16"/>
  <c r="Z46" i="16"/>
  <c r="R46" i="16"/>
  <c r="Q46" i="16"/>
  <c r="P46" i="16"/>
  <c r="C46" i="16"/>
  <c r="A46" i="16"/>
  <c r="AE45" i="16"/>
  <c r="AA45" i="16"/>
  <c r="Z45" i="16"/>
  <c r="R45" i="16"/>
  <c r="Q45" i="16"/>
  <c r="P45" i="16"/>
  <c r="C45" i="16"/>
  <c r="A45" i="16"/>
  <c r="AE44" i="16"/>
  <c r="AA44" i="16"/>
  <c r="Z44" i="16"/>
  <c r="R44" i="16"/>
  <c r="Q44" i="16"/>
  <c r="P44" i="16"/>
  <c r="C44" i="16"/>
  <c r="A44" i="16"/>
  <c r="AE43" i="16"/>
  <c r="AA43" i="16"/>
  <c r="Z43" i="16"/>
  <c r="R43" i="16"/>
  <c r="Q43" i="16"/>
  <c r="P43" i="16"/>
  <c r="C43" i="16"/>
  <c r="A43" i="16"/>
  <c r="AE42" i="16"/>
  <c r="AA42" i="16"/>
  <c r="Z42" i="16"/>
  <c r="R42" i="16"/>
  <c r="Q42" i="16"/>
  <c r="P42" i="16"/>
  <c r="C42" i="16"/>
  <c r="A42" i="16"/>
  <c r="AE41" i="16"/>
  <c r="AA41" i="16"/>
  <c r="Z41" i="16"/>
  <c r="R41" i="16"/>
  <c r="Q41" i="16"/>
  <c r="P41" i="16"/>
  <c r="C41" i="16"/>
  <c r="A41" i="16"/>
  <c r="AE40" i="16"/>
  <c r="AA40" i="16"/>
  <c r="Z40" i="16"/>
  <c r="R40" i="16"/>
  <c r="Q40" i="16"/>
  <c r="P40" i="16"/>
  <c r="C40" i="16"/>
  <c r="A40" i="16"/>
  <c r="AE39" i="16"/>
  <c r="AA39" i="16"/>
  <c r="Z39" i="16"/>
  <c r="R39" i="16"/>
  <c r="Q39" i="16"/>
  <c r="P39" i="16"/>
  <c r="C39" i="16"/>
  <c r="A39" i="16"/>
  <c r="AE38" i="16"/>
  <c r="AA38" i="16"/>
  <c r="Z38" i="16"/>
  <c r="R38" i="16"/>
  <c r="Q38" i="16"/>
  <c r="P38" i="16"/>
  <c r="C38" i="16"/>
  <c r="A38" i="16"/>
  <c r="AE37" i="16"/>
  <c r="AA37" i="16"/>
  <c r="Z37" i="16"/>
  <c r="R37" i="16"/>
  <c r="Q37" i="16"/>
  <c r="P37" i="16"/>
  <c r="C37" i="16"/>
  <c r="A37" i="16"/>
  <c r="AE36" i="16"/>
  <c r="AA36" i="16"/>
  <c r="Z36" i="16"/>
  <c r="R36" i="16"/>
  <c r="Q36" i="16"/>
  <c r="P36" i="16"/>
  <c r="C36" i="16"/>
  <c r="A36" i="16"/>
  <c r="AE35" i="16"/>
  <c r="AA35" i="16"/>
  <c r="Z35" i="16"/>
  <c r="R35" i="16"/>
  <c r="Q35" i="16"/>
  <c r="P35" i="16"/>
  <c r="C35" i="16"/>
  <c r="A35" i="16"/>
  <c r="AE34" i="16"/>
  <c r="AA34" i="16"/>
  <c r="Z34" i="16"/>
  <c r="R34" i="16"/>
  <c r="Q34" i="16"/>
  <c r="P34" i="16"/>
  <c r="C34" i="16"/>
  <c r="A34" i="16"/>
  <c r="AE33" i="16"/>
  <c r="AA33" i="16"/>
  <c r="Z33" i="16"/>
  <c r="R33" i="16"/>
  <c r="Q33" i="16"/>
  <c r="P33" i="16"/>
  <c r="C33" i="16"/>
  <c r="A33" i="16"/>
  <c r="AE32" i="16"/>
  <c r="AA32" i="16"/>
  <c r="Z32" i="16"/>
  <c r="R32" i="16"/>
  <c r="Q32" i="16"/>
  <c r="P32" i="16"/>
  <c r="C32" i="16"/>
  <c r="A32" i="16"/>
  <c r="AE31" i="16"/>
  <c r="AA31" i="16"/>
  <c r="Z31" i="16"/>
  <c r="R31" i="16"/>
  <c r="Q31" i="16"/>
  <c r="P31" i="16"/>
  <c r="C31" i="16"/>
  <c r="A31" i="16"/>
  <c r="AE30" i="16"/>
  <c r="AA30" i="16"/>
  <c r="Z30" i="16"/>
  <c r="R30" i="16"/>
  <c r="Q30" i="16"/>
  <c r="P30" i="16"/>
  <c r="C30" i="16"/>
  <c r="A30" i="16"/>
  <c r="AE29" i="16"/>
  <c r="AA29" i="16"/>
  <c r="Z29" i="16"/>
  <c r="R29" i="16"/>
  <c r="Q29" i="16"/>
  <c r="P29" i="16"/>
  <c r="C29" i="16"/>
  <c r="A29" i="16"/>
  <c r="AE28" i="16"/>
  <c r="AA28" i="16"/>
  <c r="Z28" i="16"/>
  <c r="R28" i="16"/>
  <c r="Q28" i="16"/>
  <c r="P28" i="16"/>
  <c r="C28" i="16"/>
  <c r="A28" i="16"/>
  <c r="AE27" i="16"/>
  <c r="AA27" i="16"/>
  <c r="Z27" i="16"/>
  <c r="R27" i="16"/>
  <c r="Q27" i="16"/>
  <c r="P27" i="16"/>
  <c r="C27" i="16"/>
  <c r="A27" i="16"/>
  <c r="AE26" i="16"/>
  <c r="AA26" i="16"/>
  <c r="Z26" i="16"/>
  <c r="R26" i="16"/>
  <c r="Q26" i="16"/>
  <c r="P26" i="16"/>
  <c r="C26" i="16"/>
  <c r="A26" i="16"/>
  <c r="AE25" i="16"/>
  <c r="AA25" i="16"/>
  <c r="Z25" i="16"/>
  <c r="R25" i="16"/>
  <c r="Q25" i="16"/>
  <c r="P25" i="16"/>
  <c r="C25" i="16"/>
  <c r="A25" i="16"/>
  <c r="AE24" i="16"/>
  <c r="AA24" i="16"/>
  <c r="Z24" i="16"/>
  <c r="R24" i="16"/>
  <c r="Q24" i="16"/>
  <c r="P24" i="16"/>
  <c r="C24" i="16"/>
  <c r="A24" i="16"/>
  <c r="AE23" i="16"/>
  <c r="AA23" i="16"/>
  <c r="Z23" i="16"/>
  <c r="R23" i="16"/>
  <c r="Q23" i="16"/>
  <c r="P23" i="16"/>
  <c r="C23" i="16"/>
  <c r="A23" i="16"/>
  <c r="AE22" i="16"/>
  <c r="AA22" i="16"/>
  <c r="Z22" i="16"/>
  <c r="R22" i="16"/>
  <c r="Q22" i="16"/>
  <c r="P22" i="16"/>
  <c r="C22" i="16"/>
  <c r="A22" i="16"/>
  <c r="AE21" i="16"/>
  <c r="AA21" i="16"/>
  <c r="Z21" i="16"/>
  <c r="R21" i="16"/>
  <c r="Q21" i="16"/>
  <c r="P21" i="16"/>
  <c r="C21" i="16"/>
  <c r="A21" i="16"/>
  <c r="AE20" i="16"/>
  <c r="AA20" i="16"/>
  <c r="Z20" i="16"/>
  <c r="R20" i="16"/>
  <c r="Q20" i="16"/>
  <c r="P20" i="16"/>
  <c r="C20" i="16"/>
  <c r="A20" i="16"/>
  <c r="AE19" i="16"/>
  <c r="AA19" i="16"/>
  <c r="Z19" i="16"/>
  <c r="R19" i="16"/>
  <c r="Q19" i="16"/>
  <c r="P19" i="16"/>
  <c r="C19" i="16"/>
  <c r="A19" i="16"/>
  <c r="AE18" i="16"/>
  <c r="AA18" i="16"/>
  <c r="Z18" i="16"/>
  <c r="R18" i="16"/>
  <c r="Q18" i="16"/>
  <c r="P18" i="16"/>
  <c r="C18" i="16"/>
  <c r="A18" i="16"/>
  <c r="AE17" i="16"/>
  <c r="AA17" i="16"/>
  <c r="Z17" i="16"/>
  <c r="R17" i="16"/>
  <c r="Q17" i="16"/>
  <c r="P17" i="16"/>
  <c r="C17" i="16"/>
  <c r="A17" i="16"/>
  <c r="AE16" i="16"/>
  <c r="AA16" i="16"/>
  <c r="Z16" i="16"/>
  <c r="R16" i="16"/>
  <c r="Q16" i="16"/>
  <c r="P16" i="16"/>
  <c r="C16" i="16"/>
  <c r="A16" i="16"/>
  <c r="AE15" i="16"/>
  <c r="AA15" i="16"/>
  <c r="Z15" i="16"/>
  <c r="R15" i="16"/>
  <c r="Q15" i="16"/>
  <c r="P15" i="16"/>
  <c r="C15" i="16"/>
  <c r="A15" i="16"/>
  <c r="AE14" i="16"/>
  <c r="AA14" i="16"/>
  <c r="Z14" i="16"/>
  <c r="R14" i="16"/>
  <c r="Q14" i="16"/>
  <c r="P14" i="16"/>
  <c r="C14" i="16"/>
  <c r="A14" i="16"/>
  <c r="D9" i="16"/>
  <c r="D8" i="16"/>
  <c r="D7" i="16"/>
  <c r="D6" i="16"/>
  <c r="D5" i="16"/>
  <c r="D4" i="16"/>
  <c r="O3" i="16"/>
  <c r="F1" i="16"/>
  <c r="AE163" i="15"/>
  <c r="AA163" i="15"/>
  <c r="Z163" i="15"/>
  <c r="R163" i="15"/>
  <c r="Q163" i="15"/>
  <c r="P163" i="15"/>
  <c r="C163" i="15"/>
  <c r="A163" i="15"/>
  <c r="AE162" i="15"/>
  <c r="AA162" i="15"/>
  <c r="Z162" i="15"/>
  <c r="R162" i="15"/>
  <c r="Q162" i="15"/>
  <c r="P162" i="15"/>
  <c r="C162" i="15"/>
  <c r="A162" i="15"/>
  <c r="AE161" i="15"/>
  <c r="AA161" i="15"/>
  <c r="Z161" i="15"/>
  <c r="R161" i="15"/>
  <c r="Q161" i="15"/>
  <c r="P161" i="15"/>
  <c r="C161" i="15"/>
  <c r="A161" i="15"/>
  <c r="AE160" i="15"/>
  <c r="AA160" i="15"/>
  <c r="Z160" i="15"/>
  <c r="R160" i="15"/>
  <c r="Q160" i="15"/>
  <c r="P160" i="15"/>
  <c r="C160" i="15"/>
  <c r="A160" i="15"/>
  <c r="AE159" i="15"/>
  <c r="AA159" i="15"/>
  <c r="Z159" i="15"/>
  <c r="R159" i="15"/>
  <c r="Q159" i="15"/>
  <c r="P159" i="15"/>
  <c r="C159" i="15"/>
  <c r="A159" i="15"/>
  <c r="AE158" i="15"/>
  <c r="AA158" i="15"/>
  <c r="Z158" i="15"/>
  <c r="R158" i="15"/>
  <c r="Q158" i="15"/>
  <c r="P158" i="15"/>
  <c r="C158" i="15"/>
  <c r="A158" i="15"/>
  <c r="AE157" i="15"/>
  <c r="AA157" i="15"/>
  <c r="Z157" i="15"/>
  <c r="R157" i="15"/>
  <c r="Q157" i="15"/>
  <c r="P157" i="15"/>
  <c r="C157" i="15"/>
  <c r="A157" i="15"/>
  <c r="AE156" i="15"/>
  <c r="AA156" i="15"/>
  <c r="Z156" i="15"/>
  <c r="R156" i="15"/>
  <c r="Q156" i="15"/>
  <c r="P156" i="15"/>
  <c r="C156" i="15"/>
  <c r="A156" i="15"/>
  <c r="AE155" i="15"/>
  <c r="AA155" i="15"/>
  <c r="Z155" i="15"/>
  <c r="R155" i="15"/>
  <c r="Q155" i="15"/>
  <c r="P155" i="15"/>
  <c r="C155" i="15"/>
  <c r="A155" i="15"/>
  <c r="AE154" i="15"/>
  <c r="AA154" i="15"/>
  <c r="Z154" i="15"/>
  <c r="R154" i="15"/>
  <c r="Q154" i="15"/>
  <c r="P154" i="15"/>
  <c r="C154" i="15"/>
  <c r="A154" i="15"/>
  <c r="AE153" i="15"/>
  <c r="AA153" i="15"/>
  <c r="Z153" i="15"/>
  <c r="R153" i="15"/>
  <c r="Q153" i="15"/>
  <c r="P153" i="15"/>
  <c r="C153" i="15"/>
  <c r="A153" i="15"/>
  <c r="AE152" i="15"/>
  <c r="AA152" i="15"/>
  <c r="Z152" i="15"/>
  <c r="R152" i="15"/>
  <c r="Q152" i="15"/>
  <c r="P152" i="15"/>
  <c r="C152" i="15"/>
  <c r="A152" i="15"/>
  <c r="AE151" i="15"/>
  <c r="AA151" i="15"/>
  <c r="Z151" i="15"/>
  <c r="R151" i="15"/>
  <c r="Q151" i="15"/>
  <c r="P151" i="15"/>
  <c r="C151" i="15"/>
  <c r="A151" i="15"/>
  <c r="AE150" i="15"/>
  <c r="AA150" i="15"/>
  <c r="Z150" i="15"/>
  <c r="R150" i="15"/>
  <c r="Q150" i="15"/>
  <c r="P150" i="15"/>
  <c r="C150" i="15"/>
  <c r="A150" i="15"/>
  <c r="AE149" i="15"/>
  <c r="AA149" i="15"/>
  <c r="Z149" i="15"/>
  <c r="R149" i="15"/>
  <c r="Q149" i="15"/>
  <c r="P149" i="15"/>
  <c r="C149" i="15"/>
  <c r="A149" i="15"/>
  <c r="AE148" i="15"/>
  <c r="AA148" i="15"/>
  <c r="Z148" i="15"/>
  <c r="R148" i="15"/>
  <c r="Q148" i="15"/>
  <c r="P148" i="15"/>
  <c r="C148" i="15"/>
  <c r="A148" i="15"/>
  <c r="AE147" i="15"/>
  <c r="AA147" i="15"/>
  <c r="Z147" i="15"/>
  <c r="R147" i="15"/>
  <c r="Q147" i="15"/>
  <c r="P147" i="15"/>
  <c r="C147" i="15"/>
  <c r="A147" i="15"/>
  <c r="AE146" i="15"/>
  <c r="AA146" i="15"/>
  <c r="Z146" i="15"/>
  <c r="R146" i="15"/>
  <c r="Q146" i="15"/>
  <c r="P146" i="15"/>
  <c r="C146" i="15"/>
  <c r="A146" i="15"/>
  <c r="AE145" i="15"/>
  <c r="AA145" i="15"/>
  <c r="Z145" i="15"/>
  <c r="R145" i="15"/>
  <c r="Q145" i="15"/>
  <c r="P145" i="15"/>
  <c r="C145" i="15"/>
  <c r="A145" i="15"/>
  <c r="AE144" i="15"/>
  <c r="AA144" i="15"/>
  <c r="Z144" i="15"/>
  <c r="R144" i="15"/>
  <c r="Q144" i="15"/>
  <c r="P144" i="15"/>
  <c r="C144" i="15"/>
  <c r="A144" i="15"/>
  <c r="AE143" i="15"/>
  <c r="AA143" i="15"/>
  <c r="Z143" i="15"/>
  <c r="R143" i="15"/>
  <c r="Q143" i="15"/>
  <c r="P143" i="15"/>
  <c r="C143" i="15"/>
  <c r="A143" i="15"/>
  <c r="AE142" i="15"/>
  <c r="AA142" i="15"/>
  <c r="Z142" i="15"/>
  <c r="R142" i="15"/>
  <c r="Q142" i="15"/>
  <c r="P142" i="15"/>
  <c r="C142" i="15"/>
  <c r="A142" i="15"/>
  <c r="AE141" i="15"/>
  <c r="AA141" i="15"/>
  <c r="Z141" i="15"/>
  <c r="R141" i="15"/>
  <c r="Q141" i="15"/>
  <c r="P141" i="15"/>
  <c r="C141" i="15"/>
  <c r="A141" i="15"/>
  <c r="AE140" i="15"/>
  <c r="AA140" i="15"/>
  <c r="Z140" i="15"/>
  <c r="R140" i="15"/>
  <c r="Q140" i="15"/>
  <c r="P140" i="15"/>
  <c r="C140" i="15"/>
  <c r="A140" i="15"/>
  <c r="AE139" i="15"/>
  <c r="AA139" i="15"/>
  <c r="Z139" i="15"/>
  <c r="R139" i="15"/>
  <c r="Q139" i="15"/>
  <c r="P139" i="15"/>
  <c r="C139" i="15"/>
  <c r="A139" i="15"/>
  <c r="AE138" i="15"/>
  <c r="AA138" i="15"/>
  <c r="Z138" i="15"/>
  <c r="R138" i="15"/>
  <c r="Q138" i="15"/>
  <c r="P138" i="15"/>
  <c r="C138" i="15"/>
  <c r="A138" i="15"/>
  <c r="AE137" i="15"/>
  <c r="AA137" i="15"/>
  <c r="Z137" i="15"/>
  <c r="R137" i="15"/>
  <c r="Q137" i="15"/>
  <c r="P137" i="15"/>
  <c r="C137" i="15"/>
  <c r="A137" i="15"/>
  <c r="AE136" i="15"/>
  <c r="AA136" i="15"/>
  <c r="Z136" i="15"/>
  <c r="R136" i="15"/>
  <c r="Q136" i="15"/>
  <c r="P136" i="15"/>
  <c r="C136" i="15"/>
  <c r="A136" i="15"/>
  <c r="AE135" i="15"/>
  <c r="AA135" i="15"/>
  <c r="Z135" i="15"/>
  <c r="R135" i="15"/>
  <c r="Q135" i="15"/>
  <c r="P135" i="15"/>
  <c r="C135" i="15"/>
  <c r="A135" i="15"/>
  <c r="AE134" i="15"/>
  <c r="AA134" i="15"/>
  <c r="Z134" i="15"/>
  <c r="R134" i="15"/>
  <c r="Q134" i="15"/>
  <c r="P134" i="15"/>
  <c r="C134" i="15"/>
  <c r="A134" i="15"/>
  <c r="AE133" i="15"/>
  <c r="AA133" i="15"/>
  <c r="Z133" i="15"/>
  <c r="R133" i="15"/>
  <c r="Q133" i="15"/>
  <c r="P133" i="15"/>
  <c r="C133" i="15"/>
  <c r="A133" i="15"/>
  <c r="AE132" i="15"/>
  <c r="AA132" i="15"/>
  <c r="Z132" i="15"/>
  <c r="R132" i="15"/>
  <c r="Q132" i="15"/>
  <c r="P132" i="15"/>
  <c r="C132" i="15"/>
  <c r="A132" i="15"/>
  <c r="AE131" i="15"/>
  <c r="AA131" i="15"/>
  <c r="Z131" i="15"/>
  <c r="R131" i="15"/>
  <c r="Q131" i="15"/>
  <c r="P131" i="15"/>
  <c r="C131" i="15"/>
  <c r="A131" i="15"/>
  <c r="AE130" i="15"/>
  <c r="AA130" i="15"/>
  <c r="Z130" i="15"/>
  <c r="R130" i="15"/>
  <c r="Q130" i="15"/>
  <c r="P130" i="15"/>
  <c r="C130" i="15"/>
  <c r="A130" i="15"/>
  <c r="AE129" i="15"/>
  <c r="AA129" i="15"/>
  <c r="Z129" i="15"/>
  <c r="R129" i="15"/>
  <c r="Q129" i="15"/>
  <c r="P129" i="15"/>
  <c r="C129" i="15"/>
  <c r="A129" i="15"/>
  <c r="AE128" i="15"/>
  <c r="AA128" i="15"/>
  <c r="Z128" i="15"/>
  <c r="R128" i="15"/>
  <c r="Q128" i="15"/>
  <c r="P128" i="15"/>
  <c r="C128" i="15"/>
  <c r="A128" i="15"/>
  <c r="AE127" i="15"/>
  <c r="AA127" i="15"/>
  <c r="Z127" i="15"/>
  <c r="R127" i="15"/>
  <c r="Q127" i="15"/>
  <c r="P127" i="15"/>
  <c r="C127" i="15"/>
  <c r="A127" i="15"/>
  <c r="AE126" i="15"/>
  <c r="AA126" i="15"/>
  <c r="Z126" i="15"/>
  <c r="R126" i="15"/>
  <c r="Q126" i="15"/>
  <c r="P126" i="15"/>
  <c r="C126" i="15"/>
  <c r="A126" i="15"/>
  <c r="AE125" i="15"/>
  <c r="AA125" i="15"/>
  <c r="Z125" i="15"/>
  <c r="R125" i="15"/>
  <c r="Q125" i="15"/>
  <c r="P125" i="15"/>
  <c r="C125" i="15"/>
  <c r="A125" i="15"/>
  <c r="AE124" i="15"/>
  <c r="AA124" i="15"/>
  <c r="Z124" i="15"/>
  <c r="R124" i="15"/>
  <c r="Q124" i="15"/>
  <c r="P124" i="15"/>
  <c r="C124" i="15"/>
  <c r="A124" i="15"/>
  <c r="AE123" i="15"/>
  <c r="AA123" i="15"/>
  <c r="Z123" i="15"/>
  <c r="R123" i="15"/>
  <c r="Q123" i="15"/>
  <c r="P123" i="15"/>
  <c r="C123" i="15"/>
  <c r="A123" i="15"/>
  <c r="AE122" i="15"/>
  <c r="AA122" i="15"/>
  <c r="Z122" i="15"/>
  <c r="R122" i="15"/>
  <c r="Q122" i="15"/>
  <c r="P122" i="15"/>
  <c r="C122" i="15"/>
  <c r="A122" i="15"/>
  <c r="AE121" i="15"/>
  <c r="AA121" i="15"/>
  <c r="Z121" i="15"/>
  <c r="R121" i="15"/>
  <c r="Q121" i="15"/>
  <c r="P121" i="15"/>
  <c r="C121" i="15"/>
  <c r="A121" i="15"/>
  <c r="AE120" i="15"/>
  <c r="AA120" i="15"/>
  <c r="Z120" i="15"/>
  <c r="R120" i="15"/>
  <c r="Q120" i="15"/>
  <c r="P120" i="15"/>
  <c r="C120" i="15"/>
  <c r="A120" i="15"/>
  <c r="AE119" i="15"/>
  <c r="AA119" i="15"/>
  <c r="Z119" i="15"/>
  <c r="R119" i="15"/>
  <c r="Q119" i="15"/>
  <c r="P119" i="15"/>
  <c r="C119" i="15"/>
  <c r="A119" i="15"/>
  <c r="AE118" i="15"/>
  <c r="AA118" i="15"/>
  <c r="Z118" i="15"/>
  <c r="R118" i="15"/>
  <c r="Q118" i="15"/>
  <c r="P118" i="15"/>
  <c r="C118" i="15"/>
  <c r="A118" i="15"/>
  <c r="AE117" i="15"/>
  <c r="AA117" i="15"/>
  <c r="Z117" i="15"/>
  <c r="R117" i="15"/>
  <c r="Q117" i="15"/>
  <c r="P117" i="15"/>
  <c r="C117" i="15"/>
  <c r="A117" i="15"/>
  <c r="AE116" i="15"/>
  <c r="AA116" i="15"/>
  <c r="Z116" i="15"/>
  <c r="R116" i="15"/>
  <c r="Q116" i="15"/>
  <c r="P116" i="15"/>
  <c r="C116" i="15"/>
  <c r="A116" i="15"/>
  <c r="AE115" i="15"/>
  <c r="AA115" i="15"/>
  <c r="Z115" i="15"/>
  <c r="R115" i="15"/>
  <c r="Q115" i="15"/>
  <c r="P115" i="15"/>
  <c r="C115" i="15"/>
  <c r="A115" i="15"/>
  <c r="AE114" i="15"/>
  <c r="AA114" i="15"/>
  <c r="Z114" i="15"/>
  <c r="R114" i="15"/>
  <c r="Q114" i="15"/>
  <c r="P114" i="15"/>
  <c r="C114" i="15"/>
  <c r="A114" i="15"/>
  <c r="AE113" i="15"/>
  <c r="AA113" i="15"/>
  <c r="Z113" i="15"/>
  <c r="R113" i="15"/>
  <c r="Q113" i="15"/>
  <c r="P113" i="15"/>
  <c r="C113" i="15"/>
  <c r="A113" i="15"/>
  <c r="AE112" i="15"/>
  <c r="AA112" i="15"/>
  <c r="Z112" i="15"/>
  <c r="R112" i="15"/>
  <c r="Q112" i="15"/>
  <c r="P112" i="15"/>
  <c r="C112" i="15"/>
  <c r="A112" i="15"/>
  <c r="AE111" i="15"/>
  <c r="AA111" i="15"/>
  <c r="Z111" i="15"/>
  <c r="R111" i="15"/>
  <c r="Q111" i="15"/>
  <c r="P111" i="15"/>
  <c r="C111" i="15"/>
  <c r="A111" i="15"/>
  <c r="AE110" i="15"/>
  <c r="AA110" i="15"/>
  <c r="Z110" i="15"/>
  <c r="R110" i="15"/>
  <c r="Q110" i="15"/>
  <c r="P110" i="15"/>
  <c r="C110" i="15"/>
  <c r="A110" i="15"/>
  <c r="AE109" i="15"/>
  <c r="AA109" i="15"/>
  <c r="Z109" i="15"/>
  <c r="R109" i="15"/>
  <c r="Q109" i="15"/>
  <c r="P109" i="15"/>
  <c r="C109" i="15"/>
  <c r="A109" i="15"/>
  <c r="AE108" i="15"/>
  <c r="AA108" i="15"/>
  <c r="Z108" i="15"/>
  <c r="R108" i="15"/>
  <c r="Q108" i="15"/>
  <c r="P108" i="15"/>
  <c r="C108" i="15"/>
  <c r="A108" i="15"/>
  <c r="AE107" i="15"/>
  <c r="AA107" i="15"/>
  <c r="Z107" i="15"/>
  <c r="R107" i="15"/>
  <c r="Q107" i="15"/>
  <c r="P107" i="15"/>
  <c r="C107" i="15"/>
  <c r="A107" i="15"/>
  <c r="AE106" i="15"/>
  <c r="AA106" i="15"/>
  <c r="Z106" i="15"/>
  <c r="R106" i="15"/>
  <c r="Q106" i="15"/>
  <c r="P106" i="15"/>
  <c r="C106" i="15"/>
  <c r="A106" i="15"/>
  <c r="AE105" i="15"/>
  <c r="AA105" i="15"/>
  <c r="Z105" i="15"/>
  <c r="R105" i="15"/>
  <c r="Q105" i="15"/>
  <c r="P105" i="15"/>
  <c r="C105" i="15"/>
  <c r="A105" i="15"/>
  <c r="AE104" i="15"/>
  <c r="AA104" i="15"/>
  <c r="Z104" i="15"/>
  <c r="R104" i="15"/>
  <c r="Q104" i="15"/>
  <c r="P104" i="15"/>
  <c r="C104" i="15"/>
  <c r="A104" i="15"/>
  <c r="AE103" i="15"/>
  <c r="AA103" i="15"/>
  <c r="Z103" i="15"/>
  <c r="R103" i="15"/>
  <c r="Q103" i="15"/>
  <c r="P103" i="15"/>
  <c r="C103" i="15"/>
  <c r="A103" i="15"/>
  <c r="AE102" i="15"/>
  <c r="AA102" i="15"/>
  <c r="Z102" i="15"/>
  <c r="R102" i="15"/>
  <c r="Q102" i="15"/>
  <c r="P102" i="15"/>
  <c r="C102" i="15"/>
  <c r="A102" i="15"/>
  <c r="AE101" i="15"/>
  <c r="AA101" i="15"/>
  <c r="Z101" i="15"/>
  <c r="R101" i="15"/>
  <c r="Q101" i="15"/>
  <c r="P101" i="15"/>
  <c r="C101" i="15"/>
  <c r="A101" i="15"/>
  <c r="AE100" i="15"/>
  <c r="AA100" i="15"/>
  <c r="Z100" i="15"/>
  <c r="R100" i="15"/>
  <c r="Q100" i="15"/>
  <c r="P100" i="15"/>
  <c r="C100" i="15"/>
  <c r="A100" i="15"/>
  <c r="AE99" i="15"/>
  <c r="AA99" i="15"/>
  <c r="Z99" i="15"/>
  <c r="R99" i="15"/>
  <c r="Q99" i="15"/>
  <c r="P99" i="15"/>
  <c r="C99" i="15"/>
  <c r="A99" i="15"/>
  <c r="AE98" i="15"/>
  <c r="AA98" i="15"/>
  <c r="Z98" i="15"/>
  <c r="R98" i="15"/>
  <c r="Q98" i="15"/>
  <c r="P98" i="15"/>
  <c r="C98" i="15"/>
  <c r="A98" i="15"/>
  <c r="AE97" i="15"/>
  <c r="AA97" i="15"/>
  <c r="Z97" i="15"/>
  <c r="R97" i="15"/>
  <c r="Q97" i="15"/>
  <c r="P97" i="15"/>
  <c r="C97" i="15"/>
  <c r="A97" i="15"/>
  <c r="AE96" i="15"/>
  <c r="AA96" i="15"/>
  <c r="Z96" i="15"/>
  <c r="R96" i="15"/>
  <c r="Q96" i="15"/>
  <c r="P96" i="15"/>
  <c r="C96" i="15"/>
  <c r="A96" i="15"/>
  <c r="AE95" i="15"/>
  <c r="AA95" i="15"/>
  <c r="Z95" i="15"/>
  <c r="R95" i="15"/>
  <c r="Q95" i="15"/>
  <c r="P95" i="15"/>
  <c r="C95" i="15"/>
  <c r="A95" i="15"/>
  <c r="AE94" i="15"/>
  <c r="AA94" i="15"/>
  <c r="Z94" i="15"/>
  <c r="R94" i="15"/>
  <c r="Q94" i="15"/>
  <c r="P94" i="15"/>
  <c r="C94" i="15"/>
  <c r="A94" i="15"/>
  <c r="AE93" i="15"/>
  <c r="AA93" i="15"/>
  <c r="Z93" i="15"/>
  <c r="R93" i="15"/>
  <c r="Q93" i="15"/>
  <c r="P93" i="15"/>
  <c r="C93" i="15"/>
  <c r="A93" i="15"/>
  <c r="AE92" i="15"/>
  <c r="AA92" i="15"/>
  <c r="Z92" i="15"/>
  <c r="R92" i="15"/>
  <c r="Q92" i="15"/>
  <c r="P92" i="15"/>
  <c r="C92" i="15"/>
  <c r="A92" i="15"/>
  <c r="AE91" i="15"/>
  <c r="AA91" i="15"/>
  <c r="Z91" i="15"/>
  <c r="R91" i="15"/>
  <c r="Q91" i="15"/>
  <c r="P91" i="15"/>
  <c r="C91" i="15"/>
  <c r="A91" i="15"/>
  <c r="AE90" i="15"/>
  <c r="AA90" i="15"/>
  <c r="Z90" i="15"/>
  <c r="R90" i="15"/>
  <c r="Q90" i="15"/>
  <c r="P90" i="15"/>
  <c r="C90" i="15"/>
  <c r="A90" i="15"/>
  <c r="AE89" i="15"/>
  <c r="AA89" i="15"/>
  <c r="Z89" i="15"/>
  <c r="R89" i="15"/>
  <c r="Q89" i="15"/>
  <c r="P89" i="15"/>
  <c r="C89" i="15"/>
  <c r="A89" i="15"/>
  <c r="AE88" i="15"/>
  <c r="AA88" i="15"/>
  <c r="Z88" i="15"/>
  <c r="R88" i="15"/>
  <c r="Q88" i="15"/>
  <c r="P88" i="15"/>
  <c r="C88" i="15"/>
  <c r="A88" i="15"/>
  <c r="AE87" i="15"/>
  <c r="AA87" i="15"/>
  <c r="Z87" i="15"/>
  <c r="R87" i="15"/>
  <c r="Q87" i="15"/>
  <c r="P87" i="15"/>
  <c r="C87" i="15"/>
  <c r="A87" i="15"/>
  <c r="AE86" i="15"/>
  <c r="AA86" i="15"/>
  <c r="Z86" i="15"/>
  <c r="R86" i="15"/>
  <c r="Q86" i="15"/>
  <c r="P86" i="15"/>
  <c r="C86" i="15"/>
  <c r="A86" i="15"/>
  <c r="AE85" i="15"/>
  <c r="AA85" i="15"/>
  <c r="Z85" i="15"/>
  <c r="R85" i="15"/>
  <c r="Q85" i="15"/>
  <c r="P85" i="15"/>
  <c r="C85" i="15"/>
  <c r="A85" i="15"/>
  <c r="AE84" i="15"/>
  <c r="AA84" i="15"/>
  <c r="Z84" i="15"/>
  <c r="R84" i="15"/>
  <c r="Q84" i="15"/>
  <c r="P84" i="15"/>
  <c r="C84" i="15"/>
  <c r="A84" i="15"/>
  <c r="AE83" i="15"/>
  <c r="AA83" i="15"/>
  <c r="Z83" i="15"/>
  <c r="R83" i="15"/>
  <c r="Q83" i="15"/>
  <c r="P83" i="15"/>
  <c r="C83" i="15"/>
  <c r="A83" i="15"/>
  <c r="AE82" i="15"/>
  <c r="AA82" i="15"/>
  <c r="Z82" i="15"/>
  <c r="R82" i="15"/>
  <c r="Q82" i="15"/>
  <c r="P82" i="15"/>
  <c r="C82" i="15"/>
  <c r="A82" i="15"/>
  <c r="AE81" i="15"/>
  <c r="AA81" i="15"/>
  <c r="Z81" i="15"/>
  <c r="R81" i="15"/>
  <c r="Q81" i="15"/>
  <c r="P81" i="15"/>
  <c r="C81" i="15"/>
  <c r="A81" i="15"/>
  <c r="AE80" i="15"/>
  <c r="AA80" i="15"/>
  <c r="Z80" i="15"/>
  <c r="R80" i="15"/>
  <c r="Q80" i="15"/>
  <c r="P80" i="15"/>
  <c r="C80" i="15"/>
  <c r="A80" i="15"/>
  <c r="AE79" i="15"/>
  <c r="AA79" i="15"/>
  <c r="Z79" i="15"/>
  <c r="R79" i="15"/>
  <c r="Q79" i="15"/>
  <c r="P79" i="15"/>
  <c r="C79" i="15"/>
  <c r="A79" i="15"/>
  <c r="AE78" i="15"/>
  <c r="AA78" i="15"/>
  <c r="Z78" i="15"/>
  <c r="R78" i="15"/>
  <c r="Q78" i="15"/>
  <c r="P78" i="15"/>
  <c r="C78" i="15"/>
  <c r="A78" i="15"/>
  <c r="AE77" i="15"/>
  <c r="AA77" i="15"/>
  <c r="Z77" i="15"/>
  <c r="R77" i="15"/>
  <c r="Q77" i="15"/>
  <c r="P77" i="15"/>
  <c r="C77" i="15"/>
  <c r="A77" i="15"/>
  <c r="AE76" i="15"/>
  <c r="AA76" i="15"/>
  <c r="Z76" i="15"/>
  <c r="R76" i="15"/>
  <c r="Q76" i="15"/>
  <c r="P76" i="15"/>
  <c r="C76" i="15"/>
  <c r="A76" i="15"/>
  <c r="AE75" i="15"/>
  <c r="AA75" i="15"/>
  <c r="Z75" i="15"/>
  <c r="R75" i="15"/>
  <c r="Q75" i="15"/>
  <c r="P75" i="15"/>
  <c r="C75" i="15"/>
  <c r="A75" i="15"/>
  <c r="AE74" i="15"/>
  <c r="AA74" i="15"/>
  <c r="Z74" i="15"/>
  <c r="R74" i="15"/>
  <c r="Q74" i="15"/>
  <c r="P74" i="15"/>
  <c r="C74" i="15"/>
  <c r="A74" i="15"/>
  <c r="AE73" i="15"/>
  <c r="AA73" i="15"/>
  <c r="Z73" i="15"/>
  <c r="R73" i="15"/>
  <c r="Q73" i="15"/>
  <c r="P73" i="15"/>
  <c r="C73" i="15"/>
  <c r="A73" i="15"/>
  <c r="AE72" i="15"/>
  <c r="AA72" i="15"/>
  <c r="Z72" i="15"/>
  <c r="R72" i="15"/>
  <c r="Q72" i="15"/>
  <c r="P72" i="15"/>
  <c r="C72" i="15"/>
  <c r="A72" i="15"/>
  <c r="AE71" i="15"/>
  <c r="AA71" i="15"/>
  <c r="Z71" i="15"/>
  <c r="R71" i="15"/>
  <c r="Q71" i="15"/>
  <c r="P71" i="15"/>
  <c r="C71" i="15"/>
  <c r="A71" i="15"/>
  <c r="AE70" i="15"/>
  <c r="AA70" i="15"/>
  <c r="Z70" i="15"/>
  <c r="R70" i="15"/>
  <c r="Q70" i="15"/>
  <c r="P70" i="15"/>
  <c r="C70" i="15"/>
  <c r="A70" i="15"/>
  <c r="AE69" i="15"/>
  <c r="AA69" i="15"/>
  <c r="Z69" i="15"/>
  <c r="R69" i="15"/>
  <c r="Q69" i="15"/>
  <c r="P69" i="15"/>
  <c r="C69" i="15"/>
  <c r="A69" i="15"/>
  <c r="AE68" i="15"/>
  <c r="AA68" i="15"/>
  <c r="Z68" i="15"/>
  <c r="R68" i="15"/>
  <c r="Q68" i="15"/>
  <c r="P68" i="15"/>
  <c r="C68" i="15"/>
  <c r="A68" i="15"/>
  <c r="AE67" i="15"/>
  <c r="AA67" i="15"/>
  <c r="Z67" i="15"/>
  <c r="R67" i="15"/>
  <c r="Q67" i="15"/>
  <c r="P67" i="15"/>
  <c r="C67" i="15"/>
  <c r="A67" i="15"/>
  <c r="AE66" i="15"/>
  <c r="AA66" i="15"/>
  <c r="Z66" i="15"/>
  <c r="R66" i="15"/>
  <c r="Q66" i="15"/>
  <c r="P66" i="15"/>
  <c r="C66" i="15"/>
  <c r="A66" i="15"/>
  <c r="AE65" i="15"/>
  <c r="AA65" i="15"/>
  <c r="Z65" i="15"/>
  <c r="R65" i="15"/>
  <c r="Q65" i="15"/>
  <c r="P65" i="15"/>
  <c r="C65" i="15"/>
  <c r="A65" i="15"/>
  <c r="AE64" i="15"/>
  <c r="AA64" i="15"/>
  <c r="Z64" i="15"/>
  <c r="R64" i="15"/>
  <c r="Q64" i="15"/>
  <c r="P64" i="15"/>
  <c r="C64" i="15"/>
  <c r="A64" i="15"/>
  <c r="AE63" i="15"/>
  <c r="AA63" i="15"/>
  <c r="Z63" i="15"/>
  <c r="R63" i="15"/>
  <c r="Q63" i="15"/>
  <c r="P63" i="15"/>
  <c r="C63" i="15"/>
  <c r="A63" i="15"/>
  <c r="AE62" i="15"/>
  <c r="AA62" i="15"/>
  <c r="Z62" i="15"/>
  <c r="R62" i="15"/>
  <c r="Q62" i="15"/>
  <c r="P62" i="15"/>
  <c r="C62" i="15"/>
  <c r="A62" i="15"/>
  <c r="AE61" i="15"/>
  <c r="AA61" i="15"/>
  <c r="Z61" i="15"/>
  <c r="R61" i="15"/>
  <c r="Q61" i="15"/>
  <c r="P61" i="15"/>
  <c r="C61" i="15"/>
  <c r="A61" i="15"/>
  <c r="AE60" i="15"/>
  <c r="AA60" i="15"/>
  <c r="Z60" i="15"/>
  <c r="R60" i="15"/>
  <c r="Q60" i="15"/>
  <c r="P60" i="15"/>
  <c r="C60" i="15"/>
  <c r="A60" i="15"/>
  <c r="AE59" i="15"/>
  <c r="AA59" i="15"/>
  <c r="Z59" i="15"/>
  <c r="R59" i="15"/>
  <c r="Q59" i="15"/>
  <c r="P59" i="15"/>
  <c r="C59" i="15"/>
  <c r="A59" i="15"/>
  <c r="AE58" i="15"/>
  <c r="AA58" i="15"/>
  <c r="Z58" i="15"/>
  <c r="R58" i="15"/>
  <c r="Q58" i="15"/>
  <c r="P58" i="15"/>
  <c r="C58" i="15"/>
  <c r="A58" i="15"/>
  <c r="AE57" i="15"/>
  <c r="AA57" i="15"/>
  <c r="Z57" i="15"/>
  <c r="R57" i="15"/>
  <c r="Q57" i="15"/>
  <c r="P57" i="15"/>
  <c r="C57" i="15"/>
  <c r="A57" i="15"/>
  <c r="AE56" i="15"/>
  <c r="AA56" i="15"/>
  <c r="Z56" i="15"/>
  <c r="R56" i="15"/>
  <c r="Q56" i="15"/>
  <c r="P56" i="15"/>
  <c r="C56" i="15"/>
  <c r="A56" i="15"/>
  <c r="AE55" i="15"/>
  <c r="AA55" i="15"/>
  <c r="Z55" i="15"/>
  <c r="R55" i="15"/>
  <c r="Q55" i="15"/>
  <c r="P55" i="15"/>
  <c r="C55" i="15"/>
  <c r="A55" i="15"/>
  <c r="AE54" i="15"/>
  <c r="AA54" i="15"/>
  <c r="Z54" i="15"/>
  <c r="R54" i="15"/>
  <c r="Q54" i="15"/>
  <c r="P54" i="15"/>
  <c r="C54" i="15"/>
  <c r="A54" i="15"/>
  <c r="AE53" i="15"/>
  <c r="AA53" i="15"/>
  <c r="Z53" i="15"/>
  <c r="R53" i="15"/>
  <c r="Q53" i="15"/>
  <c r="P53" i="15"/>
  <c r="C53" i="15"/>
  <c r="A53" i="15"/>
  <c r="AE52" i="15"/>
  <c r="AA52" i="15"/>
  <c r="Z52" i="15"/>
  <c r="R52" i="15"/>
  <c r="Q52" i="15"/>
  <c r="P52" i="15"/>
  <c r="C52" i="15"/>
  <c r="A52" i="15"/>
  <c r="AE51" i="15"/>
  <c r="AA51" i="15"/>
  <c r="Z51" i="15"/>
  <c r="R51" i="15"/>
  <c r="Q51" i="15"/>
  <c r="P51" i="15"/>
  <c r="C51" i="15"/>
  <c r="A51" i="15"/>
  <c r="AE50" i="15"/>
  <c r="AA50" i="15"/>
  <c r="Z50" i="15"/>
  <c r="R50" i="15"/>
  <c r="Q50" i="15"/>
  <c r="P50" i="15"/>
  <c r="C50" i="15"/>
  <c r="A50" i="15"/>
  <c r="AE49" i="15"/>
  <c r="AA49" i="15"/>
  <c r="Z49" i="15"/>
  <c r="R49" i="15"/>
  <c r="Q49" i="15"/>
  <c r="P49" i="15"/>
  <c r="C49" i="15"/>
  <c r="A49" i="15"/>
  <c r="AE48" i="15"/>
  <c r="AA48" i="15"/>
  <c r="Z48" i="15"/>
  <c r="R48" i="15"/>
  <c r="Q48" i="15"/>
  <c r="P48" i="15"/>
  <c r="C48" i="15"/>
  <c r="A48" i="15"/>
  <c r="AE47" i="15"/>
  <c r="AA47" i="15"/>
  <c r="Z47" i="15"/>
  <c r="R47" i="15"/>
  <c r="Q47" i="15"/>
  <c r="P47" i="15"/>
  <c r="C47" i="15"/>
  <c r="A47" i="15"/>
  <c r="AE46" i="15"/>
  <c r="AA46" i="15"/>
  <c r="Z46" i="15"/>
  <c r="R46" i="15"/>
  <c r="Q46" i="15"/>
  <c r="P46" i="15"/>
  <c r="C46" i="15"/>
  <c r="A46" i="15"/>
  <c r="AE45" i="15"/>
  <c r="AA45" i="15"/>
  <c r="Z45" i="15"/>
  <c r="R45" i="15"/>
  <c r="Q45" i="15"/>
  <c r="P45" i="15"/>
  <c r="C45" i="15"/>
  <c r="A45" i="15"/>
  <c r="AE44" i="15"/>
  <c r="AA44" i="15"/>
  <c r="Z44" i="15"/>
  <c r="R44" i="15"/>
  <c r="Q44" i="15"/>
  <c r="P44" i="15"/>
  <c r="C44" i="15"/>
  <c r="A44" i="15"/>
  <c r="AE43" i="15"/>
  <c r="AA43" i="15"/>
  <c r="Z43" i="15"/>
  <c r="R43" i="15"/>
  <c r="Q43" i="15"/>
  <c r="P43" i="15"/>
  <c r="C43" i="15"/>
  <c r="A43" i="15"/>
  <c r="AE42" i="15"/>
  <c r="AA42" i="15"/>
  <c r="Z42" i="15"/>
  <c r="R42" i="15"/>
  <c r="Q42" i="15"/>
  <c r="P42" i="15"/>
  <c r="C42" i="15"/>
  <c r="A42" i="15"/>
  <c r="AE41" i="15"/>
  <c r="AA41" i="15"/>
  <c r="Z41" i="15"/>
  <c r="R41" i="15"/>
  <c r="Q41" i="15"/>
  <c r="P41" i="15"/>
  <c r="C41" i="15"/>
  <c r="A41" i="15"/>
  <c r="AE40" i="15"/>
  <c r="AA40" i="15"/>
  <c r="Z40" i="15"/>
  <c r="R40" i="15"/>
  <c r="Q40" i="15"/>
  <c r="P40" i="15"/>
  <c r="C40" i="15"/>
  <c r="A40" i="15"/>
  <c r="AE39" i="15"/>
  <c r="AA39" i="15"/>
  <c r="Z39" i="15"/>
  <c r="R39" i="15"/>
  <c r="Q39" i="15"/>
  <c r="P39" i="15"/>
  <c r="C39" i="15"/>
  <c r="A39" i="15"/>
  <c r="AE38" i="15"/>
  <c r="AA38" i="15"/>
  <c r="Z38" i="15"/>
  <c r="R38" i="15"/>
  <c r="Q38" i="15"/>
  <c r="P38" i="15"/>
  <c r="C38" i="15"/>
  <c r="A38" i="15"/>
  <c r="AE37" i="15"/>
  <c r="AA37" i="15"/>
  <c r="Z37" i="15"/>
  <c r="R37" i="15"/>
  <c r="Q37" i="15"/>
  <c r="P37" i="15"/>
  <c r="C37" i="15"/>
  <c r="A37" i="15"/>
  <c r="AE36" i="15"/>
  <c r="AA36" i="15"/>
  <c r="Z36" i="15"/>
  <c r="R36" i="15"/>
  <c r="Q36" i="15"/>
  <c r="P36" i="15"/>
  <c r="C36" i="15"/>
  <c r="A36" i="15"/>
  <c r="AE35" i="15"/>
  <c r="AA35" i="15"/>
  <c r="Z35" i="15"/>
  <c r="R35" i="15"/>
  <c r="Q35" i="15"/>
  <c r="P35" i="15"/>
  <c r="C35" i="15"/>
  <c r="A35" i="15"/>
  <c r="AE34" i="15"/>
  <c r="AA34" i="15"/>
  <c r="Z34" i="15"/>
  <c r="R34" i="15"/>
  <c r="Q34" i="15"/>
  <c r="P34" i="15"/>
  <c r="C34" i="15"/>
  <c r="A34" i="15"/>
  <c r="AE33" i="15"/>
  <c r="AA33" i="15"/>
  <c r="Z33" i="15"/>
  <c r="R33" i="15"/>
  <c r="Q33" i="15"/>
  <c r="P33" i="15"/>
  <c r="C33" i="15"/>
  <c r="A33" i="15"/>
  <c r="AE32" i="15"/>
  <c r="AA32" i="15"/>
  <c r="Z32" i="15"/>
  <c r="R32" i="15"/>
  <c r="Q32" i="15"/>
  <c r="P32" i="15"/>
  <c r="C32" i="15"/>
  <c r="A32" i="15"/>
  <c r="AE31" i="15"/>
  <c r="AA31" i="15"/>
  <c r="Z31" i="15"/>
  <c r="R31" i="15"/>
  <c r="Q31" i="15"/>
  <c r="P31" i="15"/>
  <c r="C31" i="15"/>
  <c r="A31" i="15"/>
  <c r="AE30" i="15"/>
  <c r="AA30" i="15"/>
  <c r="Z30" i="15"/>
  <c r="R30" i="15"/>
  <c r="Q30" i="15"/>
  <c r="P30" i="15"/>
  <c r="C30" i="15"/>
  <c r="A30" i="15"/>
  <c r="AE29" i="15"/>
  <c r="AA29" i="15"/>
  <c r="Z29" i="15"/>
  <c r="R29" i="15"/>
  <c r="Q29" i="15"/>
  <c r="P29" i="15"/>
  <c r="C29" i="15"/>
  <c r="A29" i="15"/>
  <c r="AE28" i="15"/>
  <c r="AA28" i="15"/>
  <c r="Z28" i="15"/>
  <c r="R28" i="15"/>
  <c r="Q28" i="15"/>
  <c r="P28" i="15"/>
  <c r="C28" i="15"/>
  <c r="A28" i="15"/>
  <c r="AE27" i="15"/>
  <c r="AA27" i="15"/>
  <c r="Z27" i="15"/>
  <c r="R27" i="15"/>
  <c r="Q27" i="15"/>
  <c r="P27" i="15"/>
  <c r="C27" i="15"/>
  <c r="A27" i="15"/>
  <c r="AE26" i="15"/>
  <c r="AA26" i="15"/>
  <c r="Z26" i="15"/>
  <c r="R26" i="15"/>
  <c r="Q26" i="15"/>
  <c r="P26" i="15"/>
  <c r="C26" i="15"/>
  <c r="A26" i="15"/>
  <c r="AE25" i="15"/>
  <c r="AA25" i="15"/>
  <c r="Z25" i="15"/>
  <c r="R25" i="15"/>
  <c r="Q25" i="15"/>
  <c r="P25" i="15"/>
  <c r="C25" i="15"/>
  <c r="A25" i="15"/>
  <c r="AE24" i="15"/>
  <c r="AA24" i="15"/>
  <c r="Z24" i="15"/>
  <c r="R24" i="15"/>
  <c r="Q24" i="15"/>
  <c r="P24" i="15"/>
  <c r="C24" i="15"/>
  <c r="A24" i="15"/>
  <c r="AE23" i="15"/>
  <c r="AA23" i="15"/>
  <c r="Z23" i="15"/>
  <c r="R23" i="15"/>
  <c r="Q23" i="15"/>
  <c r="P23" i="15"/>
  <c r="C23" i="15"/>
  <c r="A23" i="15"/>
  <c r="AE22" i="15"/>
  <c r="AA22" i="15"/>
  <c r="Z22" i="15"/>
  <c r="R22" i="15"/>
  <c r="Q22" i="15"/>
  <c r="P22" i="15"/>
  <c r="C22" i="15"/>
  <c r="A22" i="15"/>
  <c r="AE21" i="15"/>
  <c r="AA21" i="15"/>
  <c r="Z21" i="15"/>
  <c r="R21" i="15"/>
  <c r="Q21" i="15"/>
  <c r="P21" i="15"/>
  <c r="C21" i="15"/>
  <c r="A21" i="15"/>
  <c r="AE20" i="15"/>
  <c r="AA20" i="15"/>
  <c r="Z20" i="15"/>
  <c r="R20" i="15"/>
  <c r="Q20" i="15"/>
  <c r="P20" i="15"/>
  <c r="C20" i="15"/>
  <c r="A20" i="15"/>
  <c r="AE19" i="15"/>
  <c r="AA19" i="15"/>
  <c r="Z19" i="15"/>
  <c r="R19" i="15"/>
  <c r="Q19" i="15"/>
  <c r="P19" i="15"/>
  <c r="C19" i="15"/>
  <c r="A19" i="15"/>
  <c r="AE18" i="15"/>
  <c r="AA18" i="15"/>
  <c r="Z18" i="15"/>
  <c r="R18" i="15"/>
  <c r="Q18" i="15"/>
  <c r="P18" i="15"/>
  <c r="C18" i="15"/>
  <c r="A18" i="15"/>
  <c r="AE17" i="15"/>
  <c r="AA17" i="15"/>
  <c r="Z17" i="15"/>
  <c r="R17" i="15"/>
  <c r="Q17" i="15"/>
  <c r="P17" i="15"/>
  <c r="C17" i="15"/>
  <c r="A17" i="15"/>
  <c r="AE16" i="15"/>
  <c r="AA16" i="15"/>
  <c r="Z16" i="15"/>
  <c r="R16" i="15"/>
  <c r="Q16" i="15"/>
  <c r="P16" i="15"/>
  <c r="C16" i="15"/>
  <c r="A16" i="15"/>
  <c r="AE15" i="15"/>
  <c r="AA15" i="15"/>
  <c r="Z15" i="15"/>
  <c r="R15" i="15"/>
  <c r="Q15" i="15"/>
  <c r="P15" i="15"/>
  <c r="C15" i="15"/>
  <c r="A15" i="15"/>
  <c r="AE14" i="15"/>
  <c r="AA14" i="15"/>
  <c r="Z14" i="15"/>
  <c r="R14" i="15"/>
  <c r="Q14" i="15"/>
  <c r="P14" i="15"/>
  <c r="C14" i="15"/>
  <c r="A14" i="15"/>
  <c r="D9" i="15"/>
  <c r="D8" i="15"/>
  <c r="D7" i="15"/>
  <c r="D6" i="15"/>
  <c r="D5" i="15"/>
  <c r="D4" i="15"/>
  <c r="O3" i="15"/>
  <c r="F1" i="15"/>
  <c r="AE163" i="14"/>
  <c r="AA163" i="14"/>
  <c r="Z163" i="14"/>
  <c r="R163" i="14"/>
  <c r="Q163" i="14"/>
  <c r="P163" i="14"/>
  <c r="C163" i="14"/>
  <c r="A163" i="14"/>
  <c r="AE162" i="14"/>
  <c r="AA162" i="14"/>
  <c r="Z162" i="14"/>
  <c r="R162" i="14"/>
  <c r="Q162" i="14"/>
  <c r="P162" i="14"/>
  <c r="C162" i="14"/>
  <c r="A162" i="14"/>
  <c r="AE161" i="14"/>
  <c r="AA161" i="14"/>
  <c r="Z161" i="14"/>
  <c r="R161" i="14"/>
  <c r="Q161" i="14"/>
  <c r="P161" i="14"/>
  <c r="C161" i="14"/>
  <c r="A161" i="14"/>
  <c r="AE160" i="14"/>
  <c r="AA160" i="14"/>
  <c r="Z160" i="14"/>
  <c r="R160" i="14"/>
  <c r="Q160" i="14"/>
  <c r="P160" i="14"/>
  <c r="C160" i="14"/>
  <c r="A160" i="14"/>
  <c r="AE159" i="14"/>
  <c r="AA159" i="14"/>
  <c r="Z159" i="14"/>
  <c r="R159" i="14"/>
  <c r="Q159" i="14"/>
  <c r="P159" i="14"/>
  <c r="C159" i="14"/>
  <c r="A159" i="14"/>
  <c r="AE158" i="14"/>
  <c r="AA158" i="14"/>
  <c r="Z158" i="14"/>
  <c r="R158" i="14"/>
  <c r="Q158" i="14"/>
  <c r="P158" i="14"/>
  <c r="C158" i="14"/>
  <c r="A158" i="14"/>
  <c r="AE157" i="14"/>
  <c r="AA157" i="14"/>
  <c r="Z157" i="14"/>
  <c r="R157" i="14"/>
  <c r="Q157" i="14"/>
  <c r="P157" i="14"/>
  <c r="C157" i="14"/>
  <c r="A157" i="14"/>
  <c r="AE156" i="14"/>
  <c r="AA156" i="14"/>
  <c r="Z156" i="14"/>
  <c r="R156" i="14"/>
  <c r="Q156" i="14"/>
  <c r="P156" i="14"/>
  <c r="C156" i="14"/>
  <c r="A156" i="14"/>
  <c r="AE155" i="14"/>
  <c r="AA155" i="14"/>
  <c r="Z155" i="14"/>
  <c r="R155" i="14"/>
  <c r="Q155" i="14"/>
  <c r="P155" i="14"/>
  <c r="C155" i="14"/>
  <c r="A155" i="14"/>
  <c r="AE154" i="14"/>
  <c r="AA154" i="14"/>
  <c r="Z154" i="14"/>
  <c r="R154" i="14"/>
  <c r="Q154" i="14"/>
  <c r="P154" i="14"/>
  <c r="C154" i="14"/>
  <c r="A154" i="14"/>
  <c r="AE153" i="14"/>
  <c r="AA153" i="14"/>
  <c r="Z153" i="14"/>
  <c r="R153" i="14"/>
  <c r="Q153" i="14"/>
  <c r="P153" i="14"/>
  <c r="C153" i="14"/>
  <c r="A153" i="14"/>
  <c r="AE152" i="14"/>
  <c r="AA152" i="14"/>
  <c r="Z152" i="14"/>
  <c r="R152" i="14"/>
  <c r="Q152" i="14"/>
  <c r="P152" i="14"/>
  <c r="C152" i="14"/>
  <c r="A152" i="14"/>
  <c r="AE151" i="14"/>
  <c r="AA151" i="14"/>
  <c r="Z151" i="14"/>
  <c r="R151" i="14"/>
  <c r="Q151" i="14"/>
  <c r="P151" i="14"/>
  <c r="C151" i="14"/>
  <c r="A151" i="14"/>
  <c r="AE150" i="14"/>
  <c r="AA150" i="14"/>
  <c r="Z150" i="14"/>
  <c r="R150" i="14"/>
  <c r="Q150" i="14"/>
  <c r="P150" i="14"/>
  <c r="C150" i="14"/>
  <c r="A150" i="14"/>
  <c r="AE149" i="14"/>
  <c r="AA149" i="14"/>
  <c r="Z149" i="14"/>
  <c r="R149" i="14"/>
  <c r="Q149" i="14"/>
  <c r="P149" i="14"/>
  <c r="C149" i="14"/>
  <c r="A149" i="14"/>
  <c r="AE148" i="14"/>
  <c r="AA148" i="14"/>
  <c r="Z148" i="14"/>
  <c r="R148" i="14"/>
  <c r="Q148" i="14"/>
  <c r="P148" i="14"/>
  <c r="C148" i="14"/>
  <c r="A148" i="14"/>
  <c r="AE147" i="14"/>
  <c r="AA147" i="14"/>
  <c r="Z147" i="14"/>
  <c r="R147" i="14"/>
  <c r="Q147" i="14"/>
  <c r="P147" i="14"/>
  <c r="C147" i="14"/>
  <c r="A147" i="14"/>
  <c r="AE146" i="14"/>
  <c r="AA146" i="14"/>
  <c r="Z146" i="14"/>
  <c r="R146" i="14"/>
  <c r="Q146" i="14"/>
  <c r="P146" i="14"/>
  <c r="C146" i="14"/>
  <c r="A146" i="14"/>
  <c r="AE145" i="14"/>
  <c r="AA145" i="14"/>
  <c r="Z145" i="14"/>
  <c r="R145" i="14"/>
  <c r="Q145" i="14"/>
  <c r="P145" i="14"/>
  <c r="C145" i="14"/>
  <c r="A145" i="14"/>
  <c r="AE144" i="14"/>
  <c r="AA144" i="14"/>
  <c r="Z144" i="14"/>
  <c r="R144" i="14"/>
  <c r="Q144" i="14"/>
  <c r="P144" i="14"/>
  <c r="C144" i="14"/>
  <c r="A144" i="14"/>
  <c r="AE143" i="14"/>
  <c r="AA143" i="14"/>
  <c r="Z143" i="14"/>
  <c r="R143" i="14"/>
  <c r="Q143" i="14"/>
  <c r="P143" i="14"/>
  <c r="C143" i="14"/>
  <c r="A143" i="14"/>
  <c r="AE142" i="14"/>
  <c r="AA142" i="14"/>
  <c r="Z142" i="14"/>
  <c r="R142" i="14"/>
  <c r="Q142" i="14"/>
  <c r="P142" i="14"/>
  <c r="C142" i="14"/>
  <c r="A142" i="14"/>
  <c r="AE141" i="14"/>
  <c r="AA141" i="14"/>
  <c r="Z141" i="14"/>
  <c r="R141" i="14"/>
  <c r="Q141" i="14"/>
  <c r="P141" i="14"/>
  <c r="C141" i="14"/>
  <c r="A141" i="14"/>
  <c r="AE140" i="14"/>
  <c r="AA140" i="14"/>
  <c r="Z140" i="14"/>
  <c r="R140" i="14"/>
  <c r="Q140" i="14"/>
  <c r="P140" i="14"/>
  <c r="C140" i="14"/>
  <c r="A140" i="14"/>
  <c r="AE139" i="14"/>
  <c r="AA139" i="14"/>
  <c r="Z139" i="14"/>
  <c r="R139" i="14"/>
  <c r="Q139" i="14"/>
  <c r="P139" i="14"/>
  <c r="C139" i="14"/>
  <c r="A139" i="14"/>
  <c r="AE138" i="14"/>
  <c r="AA138" i="14"/>
  <c r="Z138" i="14"/>
  <c r="R138" i="14"/>
  <c r="Q138" i="14"/>
  <c r="P138" i="14"/>
  <c r="C138" i="14"/>
  <c r="A138" i="14"/>
  <c r="AE137" i="14"/>
  <c r="AA137" i="14"/>
  <c r="Z137" i="14"/>
  <c r="R137" i="14"/>
  <c r="Q137" i="14"/>
  <c r="P137" i="14"/>
  <c r="C137" i="14"/>
  <c r="A137" i="14"/>
  <c r="AE136" i="14"/>
  <c r="AA136" i="14"/>
  <c r="Z136" i="14"/>
  <c r="R136" i="14"/>
  <c r="Q136" i="14"/>
  <c r="P136" i="14"/>
  <c r="C136" i="14"/>
  <c r="A136" i="14"/>
  <c r="AE135" i="14"/>
  <c r="AA135" i="14"/>
  <c r="Z135" i="14"/>
  <c r="R135" i="14"/>
  <c r="Q135" i="14"/>
  <c r="P135" i="14"/>
  <c r="C135" i="14"/>
  <c r="A135" i="14"/>
  <c r="AE134" i="14"/>
  <c r="AA134" i="14"/>
  <c r="Z134" i="14"/>
  <c r="R134" i="14"/>
  <c r="Q134" i="14"/>
  <c r="P134" i="14"/>
  <c r="C134" i="14"/>
  <c r="A134" i="14"/>
  <c r="AE133" i="14"/>
  <c r="AA133" i="14"/>
  <c r="Z133" i="14"/>
  <c r="R133" i="14"/>
  <c r="Q133" i="14"/>
  <c r="P133" i="14"/>
  <c r="C133" i="14"/>
  <c r="A133" i="14"/>
  <c r="AE132" i="14"/>
  <c r="AA132" i="14"/>
  <c r="Z132" i="14"/>
  <c r="R132" i="14"/>
  <c r="Q132" i="14"/>
  <c r="P132" i="14"/>
  <c r="C132" i="14"/>
  <c r="A132" i="14"/>
  <c r="AE131" i="14"/>
  <c r="AA131" i="14"/>
  <c r="Z131" i="14"/>
  <c r="R131" i="14"/>
  <c r="Q131" i="14"/>
  <c r="P131" i="14"/>
  <c r="C131" i="14"/>
  <c r="A131" i="14"/>
  <c r="AE130" i="14"/>
  <c r="AA130" i="14"/>
  <c r="Z130" i="14"/>
  <c r="R130" i="14"/>
  <c r="Q130" i="14"/>
  <c r="P130" i="14"/>
  <c r="C130" i="14"/>
  <c r="A130" i="14"/>
  <c r="AE129" i="14"/>
  <c r="AA129" i="14"/>
  <c r="Z129" i="14"/>
  <c r="R129" i="14"/>
  <c r="Q129" i="14"/>
  <c r="P129" i="14"/>
  <c r="C129" i="14"/>
  <c r="A129" i="14"/>
  <c r="AE128" i="14"/>
  <c r="AA128" i="14"/>
  <c r="Z128" i="14"/>
  <c r="R128" i="14"/>
  <c r="Q128" i="14"/>
  <c r="P128" i="14"/>
  <c r="C128" i="14"/>
  <c r="A128" i="14"/>
  <c r="AE127" i="14"/>
  <c r="AA127" i="14"/>
  <c r="Z127" i="14"/>
  <c r="R127" i="14"/>
  <c r="Q127" i="14"/>
  <c r="P127" i="14"/>
  <c r="C127" i="14"/>
  <c r="A127" i="14"/>
  <c r="AE126" i="14"/>
  <c r="AA126" i="14"/>
  <c r="Z126" i="14"/>
  <c r="R126" i="14"/>
  <c r="Q126" i="14"/>
  <c r="P126" i="14"/>
  <c r="C126" i="14"/>
  <c r="A126" i="14"/>
  <c r="AE125" i="14"/>
  <c r="AA125" i="14"/>
  <c r="Z125" i="14"/>
  <c r="R125" i="14"/>
  <c r="Q125" i="14"/>
  <c r="P125" i="14"/>
  <c r="C125" i="14"/>
  <c r="A125" i="14"/>
  <c r="AE124" i="14"/>
  <c r="AA124" i="14"/>
  <c r="Z124" i="14"/>
  <c r="R124" i="14"/>
  <c r="Q124" i="14"/>
  <c r="P124" i="14"/>
  <c r="C124" i="14"/>
  <c r="A124" i="14"/>
  <c r="AE123" i="14"/>
  <c r="AA123" i="14"/>
  <c r="Z123" i="14"/>
  <c r="R123" i="14"/>
  <c r="Q123" i="14"/>
  <c r="P123" i="14"/>
  <c r="C123" i="14"/>
  <c r="A123" i="14"/>
  <c r="AE122" i="14"/>
  <c r="AA122" i="14"/>
  <c r="Z122" i="14"/>
  <c r="R122" i="14"/>
  <c r="Q122" i="14"/>
  <c r="P122" i="14"/>
  <c r="C122" i="14"/>
  <c r="A122" i="14"/>
  <c r="AE121" i="14"/>
  <c r="AA121" i="14"/>
  <c r="Z121" i="14"/>
  <c r="R121" i="14"/>
  <c r="Q121" i="14"/>
  <c r="P121" i="14"/>
  <c r="C121" i="14"/>
  <c r="A121" i="14"/>
  <c r="AE120" i="14"/>
  <c r="AA120" i="14"/>
  <c r="Z120" i="14"/>
  <c r="R120" i="14"/>
  <c r="Q120" i="14"/>
  <c r="P120" i="14"/>
  <c r="C120" i="14"/>
  <c r="A120" i="14"/>
  <c r="AE119" i="14"/>
  <c r="AA119" i="14"/>
  <c r="Z119" i="14"/>
  <c r="R119" i="14"/>
  <c r="Q119" i="14"/>
  <c r="P119" i="14"/>
  <c r="C119" i="14"/>
  <c r="A119" i="14"/>
  <c r="AE118" i="14"/>
  <c r="AA118" i="14"/>
  <c r="Z118" i="14"/>
  <c r="R118" i="14"/>
  <c r="Q118" i="14"/>
  <c r="P118" i="14"/>
  <c r="C118" i="14"/>
  <c r="A118" i="14"/>
  <c r="AE117" i="14"/>
  <c r="AA117" i="14"/>
  <c r="Z117" i="14"/>
  <c r="R117" i="14"/>
  <c r="Q117" i="14"/>
  <c r="P117" i="14"/>
  <c r="C117" i="14"/>
  <c r="A117" i="14"/>
  <c r="AE116" i="14"/>
  <c r="AA116" i="14"/>
  <c r="Z116" i="14"/>
  <c r="R116" i="14"/>
  <c r="Q116" i="14"/>
  <c r="P116" i="14"/>
  <c r="C116" i="14"/>
  <c r="A116" i="14"/>
  <c r="AE115" i="14"/>
  <c r="AA115" i="14"/>
  <c r="Z115" i="14"/>
  <c r="R115" i="14"/>
  <c r="Q115" i="14"/>
  <c r="P115" i="14"/>
  <c r="C115" i="14"/>
  <c r="A115" i="14"/>
  <c r="AE114" i="14"/>
  <c r="AA114" i="14"/>
  <c r="Z114" i="14"/>
  <c r="R114" i="14"/>
  <c r="Q114" i="14"/>
  <c r="P114" i="14"/>
  <c r="C114" i="14"/>
  <c r="A114" i="14"/>
  <c r="AE113" i="14"/>
  <c r="AA113" i="14"/>
  <c r="Z113" i="14"/>
  <c r="R113" i="14"/>
  <c r="Q113" i="14"/>
  <c r="P113" i="14"/>
  <c r="C113" i="14"/>
  <c r="A113" i="14"/>
  <c r="AE112" i="14"/>
  <c r="AA112" i="14"/>
  <c r="Z112" i="14"/>
  <c r="R112" i="14"/>
  <c r="Q112" i="14"/>
  <c r="P112" i="14"/>
  <c r="C112" i="14"/>
  <c r="A112" i="14"/>
  <c r="AE111" i="14"/>
  <c r="AA111" i="14"/>
  <c r="Z111" i="14"/>
  <c r="R111" i="14"/>
  <c r="Q111" i="14"/>
  <c r="P111" i="14"/>
  <c r="C111" i="14"/>
  <c r="A111" i="14"/>
  <c r="AE110" i="14"/>
  <c r="AA110" i="14"/>
  <c r="Z110" i="14"/>
  <c r="R110" i="14"/>
  <c r="Q110" i="14"/>
  <c r="P110" i="14"/>
  <c r="C110" i="14"/>
  <c r="A110" i="14"/>
  <c r="AE109" i="14"/>
  <c r="AA109" i="14"/>
  <c r="Z109" i="14"/>
  <c r="R109" i="14"/>
  <c r="Q109" i="14"/>
  <c r="P109" i="14"/>
  <c r="C109" i="14"/>
  <c r="A109" i="14"/>
  <c r="AE108" i="14"/>
  <c r="AA108" i="14"/>
  <c r="Z108" i="14"/>
  <c r="R108" i="14"/>
  <c r="Q108" i="14"/>
  <c r="P108" i="14"/>
  <c r="C108" i="14"/>
  <c r="A108" i="14"/>
  <c r="AE107" i="14"/>
  <c r="AA107" i="14"/>
  <c r="Z107" i="14"/>
  <c r="R107" i="14"/>
  <c r="Q107" i="14"/>
  <c r="P107" i="14"/>
  <c r="C107" i="14"/>
  <c r="A107" i="14"/>
  <c r="AE106" i="14"/>
  <c r="AA106" i="14"/>
  <c r="Z106" i="14"/>
  <c r="R106" i="14"/>
  <c r="Q106" i="14"/>
  <c r="P106" i="14"/>
  <c r="C106" i="14"/>
  <c r="A106" i="14"/>
  <c r="AE105" i="14"/>
  <c r="AA105" i="14"/>
  <c r="Z105" i="14"/>
  <c r="R105" i="14"/>
  <c r="Q105" i="14"/>
  <c r="P105" i="14"/>
  <c r="C105" i="14"/>
  <c r="A105" i="14"/>
  <c r="AE104" i="14"/>
  <c r="AA104" i="14"/>
  <c r="Z104" i="14"/>
  <c r="R104" i="14"/>
  <c r="Q104" i="14"/>
  <c r="P104" i="14"/>
  <c r="C104" i="14"/>
  <c r="A104" i="14"/>
  <c r="AE103" i="14"/>
  <c r="AA103" i="14"/>
  <c r="Z103" i="14"/>
  <c r="R103" i="14"/>
  <c r="Q103" i="14"/>
  <c r="P103" i="14"/>
  <c r="C103" i="14"/>
  <c r="A103" i="14"/>
  <c r="AE102" i="14"/>
  <c r="AA102" i="14"/>
  <c r="Z102" i="14"/>
  <c r="R102" i="14"/>
  <c r="Q102" i="14"/>
  <c r="P102" i="14"/>
  <c r="C102" i="14"/>
  <c r="A102" i="14"/>
  <c r="AE101" i="14"/>
  <c r="AA101" i="14"/>
  <c r="Z101" i="14"/>
  <c r="R101" i="14"/>
  <c r="Q101" i="14"/>
  <c r="P101" i="14"/>
  <c r="C101" i="14"/>
  <c r="A101" i="14"/>
  <c r="AE100" i="14"/>
  <c r="AA100" i="14"/>
  <c r="Z100" i="14"/>
  <c r="R100" i="14"/>
  <c r="Q100" i="14"/>
  <c r="P100" i="14"/>
  <c r="C100" i="14"/>
  <c r="A100" i="14"/>
  <c r="AE99" i="14"/>
  <c r="AA99" i="14"/>
  <c r="Z99" i="14"/>
  <c r="R99" i="14"/>
  <c r="Q99" i="14"/>
  <c r="P99" i="14"/>
  <c r="C99" i="14"/>
  <c r="A99" i="14"/>
  <c r="AE98" i="14"/>
  <c r="AA98" i="14"/>
  <c r="Z98" i="14"/>
  <c r="R98" i="14"/>
  <c r="Q98" i="14"/>
  <c r="P98" i="14"/>
  <c r="C98" i="14"/>
  <c r="A98" i="14"/>
  <c r="AE97" i="14"/>
  <c r="AA97" i="14"/>
  <c r="Z97" i="14"/>
  <c r="R97" i="14"/>
  <c r="Q97" i="14"/>
  <c r="P97" i="14"/>
  <c r="C97" i="14"/>
  <c r="A97" i="14"/>
  <c r="AE96" i="14"/>
  <c r="AA96" i="14"/>
  <c r="Z96" i="14"/>
  <c r="R96" i="14"/>
  <c r="Q96" i="14"/>
  <c r="P96" i="14"/>
  <c r="C96" i="14"/>
  <c r="A96" i="14"/>
  <c r="AE95" i="14"/>
  <c r="AA95" i="14"/>
  <c r="Z95" i="14"/>
  <c r="R95" i="14"/>
  <c r="Q95" i="14"/>
  <c r="P95" i="14"/>
  <c r="C95" i="14"/>
  <c r="A95" i="14"/>
  <c r="AE94" i="14"/>
  <c r="AA94" i="14"/>
  <c r="Z94" i="14"/>
  <c r="R94" i="14"/>
  <c r="Q94" i="14"/>
  <c r="P94" i="14"/>
  <c r="C94" i="14"/>
  <c r="A94" i="14"/>
  <c r="AE93" i="14"/>
  <c r="AA93" i="14"/>
  <c r="Z93" i="14"/>
  <c r="R93" i="14"/>
  <c r="Q93" i="14"/>
  <c r="P93" i="14"/>
  <c r="C93" i="14"/>
  <c r="A93" i="14"/>
  <c r="AE92" i="14"/>
  <c r="AA92" i="14"/>
  <c r="Z92" i="14"/>
  <c r="R92" i="14"/>
  <c r="Q92" i="14"/>
  <c r="P92" i="14"/>
  <c r="C92" i="14"/>
  <c r="A92" i="14"/>
  <c r="AE91" i="14"/>
  <c r="AA91" i="14"/>
  <c r="Z91" i="14"/>
  <c r="R91" i="14"/>
  <c r="Q91" i="14"/>
  <c r="P91" i="14"/>
  <c r="C91" i="14"/>
  <c r="A91" i="14"/>
  <c r="AE90" i="14"/>
  <c r="AA90" i="14"/>
  <c r="Z90" i="14"/>
  <c r="R90" i="14"/>
  <c r="Q90" i="14"/>
  <c r="P90" i="14"/>
  <c r="C90" i="14"/>
  <c r="A90" i="14"/>
  <c r="AE89" i="14"/>
  <c r="AA89" i="14"/>
  <c r="Z89" i="14"/>
  <c r="R89" i="14"/>
  <c r="Q89" i="14"/>
  <c r="P89" i="14"/>
  <c r="C89" i="14"/>
  <c r="A89" i="14"/>
  <c r="AE88" i="14"/>
  <c r="AA88" i="14"/>
  <c r="Z88" i="14"/>
  <c r="R88" i="14"/>
  <c r="Q88" i="14"/>
  <c r="P88" i="14"/>
  <c r="C88" i="14"/>
  <c r="A88" i="14"/>
  <c r="AE87" i="14"/>
  <c r="AA87" i="14"/>
  <c r="Z87" i="14"/>
  <c r="R87" i="14"/>
  <c r="Q87" i="14"/>
  <c r="P87" i="14"/>
  <c r="C87" i="14"/>
  <c r="A87" i="14"/>
  <c r="AE86" i="14"/>
  <c r="AA86" i="14"/>
  <c r="Z86" i="14"/>
  <c r="R86" i="14"/>
  <c r="Q86" i="14"/>
  <c r="P86" i="14"/>
  <c r="C86" i="14"/>
  <c r="A86" i="14"/>
  <c r="AE85" i="14"/>
  <c r="AA85" i="14"/>
  <c r="Z85" i="14"/>
  <c r="R85" i="14"/>
  <c r="Q85" i="14"/>
  <c r="P85" i="14"/>
  <c r="C85" i="14"/>
  <c r="A85" i="14"/>
  <c r="AE84" i="14"/>
  <c r="AA84" i="14"/>
  <c r="Z84" i="14"/>
  <c r="R84" i="14"/>
  <c r="Q84" i="14"/>
  <c r="P84" i="14"/>
  <c r="C84" i="14"/>
  <c r="A84" i="14"/>
  <c r="AE83" i="14"/>
  <c r="AA83" i="14"/>
  <c r="Z83" i="14"/>
  <c r="R83" i="14"/>
  <c r="Q83" i="14"/>
  <c r="P83" i="14"/>
  <c r="C83" i="14"/>
  <c r="A83" i="14"/>
  <c r="AE82" i="14"/>
  <c r="AA82" i="14"/>
  <c r="Z82" i="14"/>
  <c r="R82" i="14"/>
  <c r="Q82" i="14"/>
  <c r="P82" i="14"/>
  <c r="C82" i="14"/>
  <c r="A82" i="14"/>
  <c r="AE81" i="14"/>
  <c r="AA81" i="14"/>
  <c r="Z81" i="14"/>
  <c r="R81" i="14"/>
  <c r="Q81" i="14"/>
  <c r="P81" i="14"/>
  <c r="C81" i="14"/>
  <c r="A81" i="14"/>
  <c r="AE80" i="14"/>
  <c r="AA80" i="14"/>
  <c r="Z80" i="14"/>
  <c r="R80" i="14"/>
  <c r="Q80" i="14"/>
  <c r="P80" i="14"/>
  <c r="C80" i="14"/>
  <c r="A80" i="14"/>
  <c r="AE79" i="14"/>
  <c r="AA79" i="14"/>
  <c r="Z79" i="14"/>
  <c r="R79" i="14"/>
  <c r="Q79" i="14"/>
  <c r="P79" i="14"/>
  <c r="C79" i="14"/>
  <c r="A79" i="14"/>
  <c r="AE78" i="14"/>
  <c r="AA78" i="14"/>
  <c r="Z78" i="14"/>
  <c r="R78" i="14"/>
  <c r="Q78" i="14"/>
  <c r="P78" i="14"/>
  <c r="C78" i="14"/>
  <c r="A78" i="14"/>
  <c r="AE77" i="14"/>
  <c r="AA77" i="14"/>
  <c r="Z77" i="14"/>
  <c r="R77" i="14"/>
  <c r="Q77" i="14"/>
  <c r="P77" i="14"/>
  <c r="C77" i="14"/>
  <c r="A77" i="14"/>
  <c r="AE76" i="14"/>
  <c r="AA76" i="14"/>
  <c r="Z76" i="14"/>
  <c r="R76" i="14"/>
  <c r="Q76" i="14"/>
  <c r="P76" i="14"/>
  <c r="C76" i="14"/>
  <c r="A76" i="14"/>
  <c r="AE75" i="14"/>
  <c r="AA75" i="14"/>
  <c r="Z75" i="14"/>
  <c r="R75" i="14"/>
  <c r="Q75" i="14"/>
  <c r="P75" i="14"/>
  <c r="C75" i="14"/>
  <c r="A75" i="14"/>
  <c r="AE74" i="14"/>
  <c r="AA74" i="14"/>
  <c r="Z74" i="14"/>
  <c r="R74" i="14"/>
  <c r="Q74" i="14"/>
  <c r="P74" i="14"/>
  <c r="C74" i="14"/>
  <c r="A74" i="14"/>
  <c r="AE73" i="14"/>
  <c r="AA73" i="14"/>
  <c r="Z73" i="14"/>
  <c r="R73" i="14"/>
  <c r="Q73" i="14"/>
  <c r="P73" i="14"/>
  <c r="C73" i="14"/>
  <c r="A73" i="14"/>
  <c r="AE72" i="14"/>
  <c r="AA72" i="14"/>
  <c r="Z72" i="14"/>
  <c r="R72" i="14"/>
  <c r="Q72" i="14"/>
  <c r="P72" i="14"/>
  <c r="C72" i="14"/>
  <c r="A72" i="14"/>
  <c r="AE71" i="14"/>
  <c r="AA71" i="14"/>
  <c r="Z71" i="14"/>
  <c r="R71" i="14"/>
  <c r="Q71" i="14"/>
  <c r="P71" i="14"/>
  <c r="C71" i="14"/>
  <c r="A71" i="14"/>
  <c r="AE70" i="14"/>
  <c r="AA70" i="14"/>
  <c r="Z70" i="14"/>
  <c r="R70" i="14"/>
  <c r="Q70" i="14"/>
  <c r="P70" i="14"/>
  <c r="C70" i="14"/>
  <c r="A70" i="14"/>
  <c r="AE69" i="14"/>
  <c r="AA69" i="14"/>
  <c r="Z69" i="14"/>
  <c r="R69" i="14"/>
  <c r="Q69" i="14"/>
  <c r="P69" i="14"/>
  <c r="C69" i="14"/>
  <c r="A69" i="14"/>
  <c r="AE68" i="14"/>
  <c r="AA68" i="14"/>
  <c r="Z68" i="14"/>
  <c r="R68" i="14"/>
  <c r="Q68" i="14"/>
  <c r="P68" i="14"/>
  <c r="C68" i="14"/>
  <c r="A68" i="14"/>
  <c r="AE67" i="14"/>
  <c r="AA67" i="14"/>
  <c r="Z67" i="14"/>
  <c r="R67" i="14"/>
  <c r="Q67" i="14"/>
  <c r="P67" i="14"/>
  <c r="C67" i="14"/>
  <c r="A67" i="14"/>
  <c r="AE66" i="14"/>
  <c r="AA66" i="14"/>
  <c r="Z66" i="14"/>
  <c r="R66" i="14"/>
  <c r="Q66" i="14"/>
  <c r="P66" i="14"/>
  <c r="C66" i="14"/>
  <c r="A66" i="14"/>
  <c r="AE65" i="14"/>
  <c r="AA65" i="14"/>
  <c r="Z65" i="14"/>
  <c r="R65" i="14"/>
  <c r="Q65" i="14"/>
  <c r="P65" i="14"/>
  <c r="C65" i="14"/>
  <c r="A65" i="14"/>
  <c r="AE64" i="14"/>
  <c r="AA64" i="14"/>
  <c r="Z64" i="14"/>
  <c r="R64" i="14"/>
  <c r="Q64" i="14"/>
  <c r="P64" i="14"/>
  <c r="C64" i="14"/>
  <c r="A64" i="14"/>
  <c r="AE63" i="14"/>
  <c r="AA63" i="14"/>
  <c r="Z63" i="14"/>
  <c r="R63" i="14"/>
  <c r="Q63" i="14"/>
  <c r="P63" i="14"/>
  <c r="C63" i="14"/>
  <c r="A63" i="14"/>
  <c r="AE62" i="14"/>
  <c r="AA62" i="14"/>
  <c r="Z62" i="14"/>
  <c r="R62" i="14"/>
  <c r="Q62" i="14"/>
  <c r="P62" i="14"/>
  <c r="C62" i="14"/>
  <c r="A62" i="14"/>
  <c r="AE61" i="14"/>
  <c r="AA61" i="14"/>
  <c r="Z61" i="14"/>
  <c r="R61" i="14"/>
  <c r="Q61" i="14"/>
  <c r="P61" i="14"/>
  <c r="C61" i="14"/>
  <c r="A61" i="14"/>
  <c r="AE60" i="14"/>
  <c r="AA60" i="14"/>
  <c r="Z60" i="14"/>
  <c r="R60" i="14"/>
  <c r="Q60" i="14"/>
  <c r="P60" i="14"/>
  <c r="C60" i="14"/>
  <c r="A60" i="14"/>
  <c r="AE59" i="14"/>
  <c r="AA59" i="14"/>
  <c r="Z59" i="14"/>
  <c r="R59" i="14"/>
  <c r="Q59" i="14"/>
  <c r="P59" i="14"/>
  <c r="C59" i="14"/>
  <c r="A59" i="14"/>
  <c r="AE58" i="14"/>
  <c r="AA58" i="14"/>
  <c r="Z58" i="14"/>
  <c r="R58" i="14"/>
  <c r="Q58" i="14"/>
  <c r="P58" i="14"/>
  <c r="C58" i="14"/>
  <c r="A58" i="14"/>
  <c r="AE57" i="14"/>
  <c r="AA57" i="14"/>
  <c r="Z57" i="14"/>
  <c r="R57" i="14"/>
  <c r="Q57" i="14"/>
  <c r="P57" i="14"/>
  <c r="C57" i="14"/>
  <c r="A57" i="14"/>
  <c r="AE56" i="14"/>
  <c r="AA56" i="14"/>
  <c r="Z56" i="14"/>
  <c r="R56" i="14"/>
  <c r="Q56" i="14"/>
  <c r="P56" i="14"/>
  <c r="C56" i="14"/>
  <c r="A56" i="14"/>
  <c r="AE55" i="14"/>
  <c r="AA55" i="14"/>
  <c r="Z55" i="14"/>
  <c r="R55" i="14"/>
  <c r="Q55" i="14"/>
  <c r="P55" i="14"/>
  <c r="C55" i="14"/>
  <c r="A55" i="14"/>
  <c r="AE54" i="14"/>
  <c r="AA54" i="14"/>
  <c r="Z54" i="14"/>
  <c r="R54" i="14"/>
  <c r="Q54" i="14"/>
  <c r="P54" i="14"/>
  <c r="C54" i="14"/>
  <c r="A54" i="14"/>
  <c r="AE53" i="14"/>
  <c r="AA53" i="14"/>
  <c r="Z53" i="14"/>
  <c r="R53" i="14"/>
  <c r="Q53" i="14"/>
  <c r="P53" i="14"/>
  <c r="C53" i="14"/>
  <c r="A53" i="14"/>
  <c r="AE52" i="14"/>
  <c r="AA52" i="14"/>
  <c r="Z52" i="14"/>
  <c r="R52" i="14"/>
  <c r="Q52" i="14"/>
  <c r="P52" i="14"/>
  <c r="C52" i="14"/>
  <c r="A52" i="14"/>
  <c r="AE51" i="14"/>
  <c r="AA51" i="14"/>
  <c r="Z51" i="14"/>
  <c r="R51" i="14"/>
  <c r="Q51" i="14"/>
  <c r="P51" i="14"/>
  <c r="C51" i="14"/>
  <c r="A51" i="14"/>
  <c r="AE50" i="14"/>
  <c r="AA50" i="14"/>
  <c r="Z50" i="14"/>
  <c r="R50" i="14"/>
  <c r="Q50" i="14"/>
  <c r="P50" i="14"/>
  <c r="C50" i="14"/>
  <c r="A50" i="14"/>
  <c r="AE49" i="14"/>
  <c r="AA49" i="14"/>
  <c r="Z49" i="14"/>
  <c r="R49" i="14"/>
  <c r="Q49" i="14"/>
  <c r="P49" i="14"/>
  <c r="C49" i="14"/>
  <c r="A49" i="14"/>
  <c r="AE48" i="14"/>
  <c r="AA48" i="14"/>
  <c r="Z48" i="14"/>
  <c r="R48" i="14"/>
  <c r="Q48" i="14"/>
  <c r="P48" i="14"/>
  <c r="C48" i="14"/>
  <c r="A48" i="14"/>
  <c r="AE47" i="14"/>
  <c r="AA47" i="14"/>
  <c r="Z47" i="14"/>
  <c r="R47" i="14"/>
  <c r="Q47" i="14"/>
  <c r="P47" i="14"/>
  <c r="C47" i="14"/>
  <c r="A47" i="14"/>
  <c r="AE46" i="14"/>
  <c r="AA46" i="14"/>
  <c r="Z46" i="14"/>
  <c r="R46" i="14"/>
  <c r="Q46" i="14"/>
  <c r="P46" i="14"/>
  <c r="C46" i="14"/>
  <c r="A46" i="14"/>
  <c r="AE45" i="14"/>
  <c r="AA45" i="14"/>
  <c r="Z45" i="14"/>
  <c r="R45" i="14"/>
  <c r="Q45" i="14"/>
  <c r="P45" i="14"/>
  <c r="C45" i="14"/>
  <c r="A45" i="14"/>
  <c r="AE44" i="14"/>
  <c r="AA44" i="14"/>
  <c r="Z44" i="14"/>
  <c r="R44" i="14"/>
  <c r="Q44" i="14"/>
  <c r="P44" i="14"/>
  <c r="C44" i="14"/>
  <c r="A44" i="14"/>
  <c r="AE43" i="14"/>
  <c r="AA43" i="14"/>
  <c r="Z43" i="14"/>
  <c r="R43" i="14"/>
  <c r="Q43" i="14"/>
  <c r="P43" i="14"/>
  <c r="C43" i="14"/>
  <c r="A43" i="14"/>
  <c r="AE42" i="14"/>
  <c r="AA42" i="14"/>
  <c r="Z42" i="14"/>
  <c r="R42" i="14"/>
  <c r="Q42" i="14"/>
  <c r="P42" i="14"/>
  <c r="C42" i="14"/>
  <c r="A42" i="14"/>
  <c r="AE41" i="14"/>
  <c r="AA41" i="14"/>
  <c r="Z41" i="14"/>
  <c r="R41" i="14"/>
  <c r="Q41" i="14"/>
  <c r="P41" i="14"/>
  <c r="C41" i="14"/>
  <c r="A41" i="14"/>
  <c r="AE40" i="14"/>
  <c r="AA40" i="14"/>
  <c r="Z40" i="14"/>
  <c r="R40" i="14"/>
  <c r="Q40" i="14"/>
  <c r="P40" i="14"/>
  <c r="C40" i="14"/>
  <c r="A40" i="14"/>
  <c r="AE39" i="14"/>
  <c r="AA39" i="14"/>
  <c r="Z39" i="14"/>
  <c r="R39" i="14"/>
  <c r="Q39" i="14"/>
  <c r="P39" i="14"/>
  <c r="C39" i="14"/>
  <c r="A39" i="14"/>
  <c r="AE38" i="14"/>
  <c r="AA38" i="14"/>
  <c r="Z38" i="14"/>
  <c r="R38" i="14"/>
  <c r="Q38" i="14"/>
  <c r="P38" i="14"/>
  <c r="C38" i="14"/>
  <c r="A38" i="14"/>
  <c r="AE37" i="14"/>
  <c r="AA37" i="14"/>
  <c r="Z37" i="14"/>
  <c r="R37" i="14"/>
  <c r="Q37" i="14"/>
  <c r="P37" i="14"/>
  <c r="C37" i="14"/>
  <c r="A37" i="14"/>
  <c r="AE36" i="14"/>
  <c r="AA36" i="14"/>
  <c r="Z36" i="14"/>
  <c r="R36" i="14"/>
  <c r="Q36" i="14"/>
  <c r="P36" i="14"/>
  <c r="C36" i="14"/>
  <c r="A36" i="14"/>
  <c r="AE35" i="14"/>
  <c r="AA35" i="14"/>
  <c r="Z35" i="14"/>
  <c r="R35" i="14"/>
  <c r="Q35" i="14"/>
  <c r="P35" i="14"/>
  <c r="C35" i="14"/>
  <c r="A35" i="14"/>
  <c r="AE34" i="14"/>
  <c r="AA34" i="14"/>
  <c r="Z34" i="14"/>
  <c r="R34" i="14"/>
  <c r="Q34" i="14"/>
  <c r="P34" i="14"/>
  <c r="C34" i="14"/>
  <c r="A34" i="14"/>
  <c r="AE33" i="14"/>
  <c r="AA33" i="14"/>
  <c r="Z33" i="14"/>
  <c r="R33" i="14"/>
  <c r="Q33" i="14"/>
  <c r="P33" i="14"/>
  <c r="C33" i="14"/>
  <c r="A33" i="14"/>
  <c r="AE32" i="14"/>
  <c r="AA32" i="14"/>
  <c r="Z32" i="14"/>
  <c r="R32" i="14"/>
  <c r="Q32" i="14"/>
  <c r="P32" i="14"/>
  <c r="C32" i="14"/>
  <c r="A32" i="14"/>
  <c r="AE31" i="14"/>
  <c r="AA31" i="14"/>
  <c r="Z31" i="14"/>
  <c r="R31" i="14"/>
  <c r="Q31" i="14"/>
  <c r="P31" i="14"/>
  <c r="C31" i="14"/>
  <c r="A31" i="14"/>
  <c r="AE30" i="14"/>
  <c r="AA30" i="14"/>
  <c r="Z30" i="14"/>
  <c r="R30" i="14"/>
  <c r="Q30" i="14"/>
  <c r="P30" i="14"/>
  <c r="C30" i="14"/>
  <c r="A30" i="14"/>
  <c r="AE29" i="14"/>
  <c r="AA29" i="14"/>
  <c r="Z29" i="14"/>
  <c r="R29" i="14"/>
  <c r="Q29" i="14"/>
  <c r="P29" i="14"/>
  <c r="C29" i="14"/>
  <c r="A29" i="14"/>
  <c r="AE28" i="14"/>
  <c r="AA28" i="14"/>
  <c r="Z28" i="14"/>
  <c r="R28" i="14"/>
  <c r="Q28" i="14"/>
  <c r="P28" i="14"/>
  <c r="C28" i="14"/>
  <c r="A28" i="14"/>
  <c r="AE27" i="14"/>
  <c r="AA27" i="14"/>
  <c r="Z27" i="14"/>
  <c r="R27" i="14"/>
  <c r="Q27" i="14"/>
  <c r="P27" i="14"/>
  <c r="C27" i="14"/>
  <c r="A27" i="14"/>
  <c r="AE26" i="14"/>
  <c r="AA26" i="14"/>
  <c r="Z26" i="14"/>
  <c r="R26" i="14"/>
  <c r="Q26" i="14"/>
  <c r="P26" i="14"/>
  <c r="C26" i="14"/>
  <c r="A26" i="14"/>
  <c r="AE25" i="14"/>
  <c r="AA25" i="14"/>
  <c r="Z25" i="14"/>
  <c r="R25" i="14"/>
  <c r="Q25" i="14"/>
  <c r="P25" i="14"/>
  <c r="C25" i="14"/>
  <c r="A25" i="14"/>
  <c r="AE24" i="14"/>
  <c r="AA24" i="14"/>
  <c r="Z24" i="14"/>
  <c r="R24" i="14"/>
  <c r="Q24" i="14"/>
  <c r="P24" i="14"/>
  <c r="C24" i="14"/>
  <c r="A24" i="14"/>
  <c r="AE23" i="14"/>
  <c r="AA23" i="14"/>
  <c r="Z23" i="14"/>
  <c r="R23" i="14"/>
  <c r="Q23" i="14"/>
  <c r="P23" i="14"/>
  <c r="C23" i="14"/>
  <c r="A23" i="14"/>
  <c r="AE22" i="14"/>
  <c r="AA22" i="14"/>
  <c r="Z22" i="14"/>
  <c r="R22" i="14"/>
  <c r="Q22" i="14"/>
  <c r="P22" i="14"/>
  <c r="C22" i="14"/>
  <c r="A22" i="14"/>
  <c r="AE21" i="14"/>
  <c r="AA21" i="14"/>
  <c r="Z21" i="14"/>
  <c r="R21" i="14"/>
  <c r="Q21" i="14"/>
  <c r="P21" i="14"/>
  <c r="C21" i="14"/>
  <c r="A21" i="14"/>
  <c r="AE20" i="14"/>
  <c r="AA20" i="14"/>
  <c r="Z20" i="14"/>
  <c r="R20" i="14"/>
  <c r="Q20" i="14"/>
  <c r="P20" i="14"/>
  <c r="C20" i="14"/>
  <c r="A20" i="14"/>
  <c r="AE19" i="14"/>
  <c r="AA19" i="14"/>
  <c r="Z19" i="14"/>
  <c r="R19" i="14"/>
  <c r="Q19" i="14"/>
  <c r="P19" i="14"/>
  <c r="C19" i="14"/>
  <c r="A19" i="14"/>
  <c r="AE18" i="14"/>
  <c r="AA18" i="14"/>
  <c r="Z18" i="14"/>
  <c r="R18" i="14"/>
  <c r="Q18" i="14"/>
  <c r="P18" i="14"/>
  <c r="C18" i="14"/>
  <c r="A18" i="14"/>
  <c r="AE17" i="14"/>
  <c r="AA17" i="14"/>
  <c r="Z17" i="14"/>
  <c r="R17" i="14"/>
  <c r="Q17" i="14"/>
  <c r="P17" i="14"/>
  <c r="C17" i="14"/>
  <c r="A17" i="14"/>
  <c r="AE16" i="14"/>
  <c r="AA16" i="14"/>
  <c r="Z16" i="14"/>
  <c r="R16" i="14"/>
  <c r="Q16" i="14"/>
  <c r="P16" i="14"/>
  <c r="C16" i="14"/>
  <c r="A16" i="14"/>
  <c r="AE15" i="14"/>
  <c r="AA15" i="14"/>
  <c r="Z15" i="14"/>
  <c r="R15" i="14"/>
  <c r="Q15" i="14"/>
  <c r="P15" i="14"/>
  <c r="C15" i="14"/>
  <c r="A15" i="14"/>
  <c r="AE14" i="14"/>
  <c r="AA14" i="14"/>
  <c r="Z14" i="14"/>
  <c r="R14" i="14"/>
  <c r="Q14" i="14"/>
  <c r="P14" i="14"/>
  <c r="C14" i="14"/>
  <c r="A14" i="14"/>
  <c r="D9" i="14"/>
  <c r="D8" i="14"/>
  <c r="D7" i="14"/>
  <c r="D6" i="14"/>
  <c r="D5" i="14"/>
  <c r="D4" i="14"/>
  <c r="O3" i="14"/>
  <c r="F1" i="14"/>
  <c r="AE163" i="13"/>
  <c r="AA163" i="13"/>
  <c r="Z163" i="13"/>
  <c r="R163" i="13"/>
  <c r="Q163" i="13"/>
  <c r="P163" i="13"/>
  <c r="C163" i="13"/>
  <c r="A163" i="13"/>
  <c r="AE162" i="13"/>
  <c r="AA162" i="13"/>
  <c r="Z162" i="13"/>
  <c r="R162" i="13"/>
  <c r="Q162" i="13"/>
  <c r="P162" i="13"/>
  <c r="C162" i="13"/>
  <c r="A162" i="13"/>
  <c r="AE161" i="13"/>
  <c r="AA161" i="13"/>
  <c r="Z161" i="13"/>
  <c r="R161" i="13"/>
  <c r="Q161" i="13"/>
  <c r="P161" i="13"/>
  <c r="C161" i="13"/>
  <c r="A161" i="13"/>
  <c r="AE160" i="13"/>
  <c r="AA160" i="13"/>
  <c r="Z160" i="13"/>
  <c r="R160" i="13"/>
  <c r="Q160" i="13"/>
  <c r="P160" i="13"/>
  <c r="C160" i="13"/>
  <c r="A160" i="13"/>
  <c r="AE159" i="13"/>
  <c r="AA159" i="13"/>
  <c r="Z159" i="13"/>
  <c r="R159" i="13"/>
  <c r="Q159" i="13"/>
  <c r="P159" i="13"/>
  <c r="C159" i="13"/>
  <c r="A159" i="13"/>
  <c r="AE158" i="13"/>
  <c r="AA158" i="13"/>
  <c r="Z158" i="13"/>
  <c r="R158" i="13"/>
  <c r="Q158" i="13"/>
  <c r="P158" i="13"/>
  <c r="C158" i="13"/>
  <c r="A158" i="13"/>
  <c r="AE157" i="13"/>
  <c r="AA157" i="13"/>
  <c r="Z157" i="13"/>
  <c r="R157" i="13"/>
  <c r="Q157" i="13"/>
  <c r="P157" i="13"/>
  <c r="C157" i="13"/>
  <c r="A157" i="13"/>
  <c r="AE156" i="13"/>
  <c r="AA156" i="13"/>
  <c r="Z156" i="13"/>
  <c r="R156" i="13"/>
  <c r="Q156" i="13"/>
  <c r="P156" i="13"/>
  <c r="C156" i="13"/>
  <c r="A156" i="13"/>
  <c r="AE155" i="13"/>
  <c r="AA155" i="13"/>
  <c r="Z155" i="13"/>
  <c r="R155" i="13"/>
  <c r="Q155" i="13"/>
  <c r="P155" i="13"/>
  <c r="C155" i="13"/>
  <c r="A155" i="13"/>
  <c r="AE154" i="13"/>
  <c r="AA154" i="13"/>
  <c r="Z154" i="13"/>
  <c r="R154" i="13"/>
  <c r="Q154" i="13"/>
  <c r="P154" i="13"/>
  <c r="C154" i="13"/>
  <c r="A154" i="13"/>
  <c r="AE153" i="13"/>
  <c r="AA153" i="13"/>
  <c r="Z153" i="13"/>
  <c r="R153" i="13"/>
  <c r="Q153" i="13"/>
  <c r="P153" i="13"/>
  <c r="C153" i="13"/>
  <c r="A153" i="13"/>
  <c r="AE152" i="13"/>
  <c r="AA152" i="13"/>
  <c r="Z152" i="13"/>
  <c r="R152" i="13"/>
  <c r="Q152" i="13"/>
  <c r="P152" i="13"/>
  <c r="C152" i="13"/>
  <c r="A152" i="13"/>
  <c r="AE151" i="13"/>
  <c r="AA151" i="13"/>
  <c r="Z151" i="13"/>
  <c r="R151" i="13"/>
  <c r="Q151" i="13"/>
  <c r="P151" i="13"/>
  <c r="C151" i="13"/>
  <c r="A151" i="13"/>
  <c r="AE150" i="13"/>
  <c r="AA150" i="13"/>
  <c r="Z150" i="13"/>
  <c r="R150" i="13"/>
  <c r="Q150" i="13"/>
  <c r="P150" i="13"/>
  <c r="C150" i="13"/>
  <c r="A150" i="13"/>
  <c r="AE149" i="13"/>
  <c r="AA149" i="13"/>
  <c r="Z149" i="13"/>
  <c r="R149" i="13"/>
  <c r="Q149" i="13"/>
  <c r="P149" i="13"/>
  <c r="C149" i="13"/>
  <c r="A149" i="13"/>
  <c r="AE148" i="13"/>
  <c r="AA148" i="13"/>
  <c r="Z148" i="13"/>
  <c r="R148" i="13"/>
  <c r="Q148" i="13"/>
  <c r="P148" i="13"/>
  <c r="C148" i="13"/>
  <c r="A148" i="13"/>
  <c r="AE147" i="13"/>
  <c r="AA147" i="13"/>
  <c r="Z147" i="13"/>
  <c r="R147" i="13"/>
  <c r="Q147" i="13"/>
  <c r="P147" i="13"/>
  <c r="C147" i="13"/>
  <c r="A147" i="13"/>
  <c r="AE146" i="13"/>
  <c r="AA146" i="13"/>
  <c r="Z146" i="13"/>
  <c r="R146" i="13"/>
  <c r="Q146" i="13"/>
  <c r="P146" i="13"/>
  <c r="C146" i="13"/>
  <c r="A146" i="13"/>
  <c r="AE145" i="13"/>
  <c r="AA145" i="13"/>
  <c r="Z145" i="13"/>
  <c r="R145" i="13"/>
  <c r="Q145" i="13"/>
  <c r="P145" i="13"/>
  <c r="C145" i="13"/>
  <c r="A145" i="13"/>
  <c r="AE144" i="13"/>
  <c r="AA144" i="13"/>
  <c r="Z144" i="13"/>
  <c r="R144" i="13"/>
  <c r="Q144" i="13"/>
  <c r="P144" i="13"/>
  <c r="C144" i="13"/>
  <c r="A144" i="13"/>
  <c r="AE143" i="13"/>
  <c r="AA143" i="13"/>
  <c r="Z143" i="13"/>
  <c r="R143" i="13"/>
  <c r="Q143" i="13"/>
  <c r="P143" i="13"/>
  <c r="C143" i="13"/>
  <c r="A143" i="13"/>
  <c r="AE142" i="13"/>
  <c r="AA142" i="13"/>
  <c r="Z142" i="13"/>
  <c r="R142" i="13"/>
  <c r="Q142" i="13"/>
  <c r="P142" i="13"/>
  <c r="C142" i="13"/>
  <c r="A142" i="13"/>
  <c r="AE141" i="13"/>
  <c r="AA141" i="13"/>
  <c r="Z141" i="13"/>
  <c r="R141" i="13"/>
  <c r="Q141" i="13"/>
  <c r="P141" i="13"/>
  <c r="C141" i="13"/>
  <c r="A141" i="13"/>
  <c r="AE140" i="13"/>
  <c r="AA140" i="13"/>
  <c r="Z140" i="13"/>
  <c r="R140" i="13"/>
  <c r="Q140" i="13"/>
  <c r="P140" i="13"/>
  <c r="C140" i="13"/>
  <c r="A140" i="13"/>
  <c r="AE139" i="13"/>
  <c r="AA139" i="13"/>
  <c r="Z139" i="13"/>
  <c r="R139" i="13"/>
  <c r="Q139" i="13"/>
  <c r="P139" i="13"/>
  <c r="C139" i="13"/>
  <c r="A139" i="13"/>
  <c r="AE138" i="13"/>
  <c r="AA138" i="13"/>
  <c r="Z138" i="13"/>
  <c r="R138" i="13"/>
  <c r="Q138" i="13"/>
  <c r="P138" i="13"/>
  <c r="C138" i="13"/>
  <c r="A138" i="13"/>
  <c r="AE137" i="13"/>
  <c r="AA137" i="13"/>
  <c r="Z137" i="13"/>
  <c r="R137" i="13"/>
  <c r="Q137" i="13"/>
  <c r="P137" i="13"/>
  <c r="C137" i="13"/>
  <c r="A137" i="13"/>
  <c r="AE136" i="13"/>
  <c r="AA136" i="13"/>
  <c r="Z136" i="13"/>
  <c r="R136" i="13"/>
  <c r="Q136" i="13"/>
  <c r="P136" i="13"/>
  <c r="C136" i="13"/>
  <c r="A136" i="13"/>
  <c r="AE135" i="13"/>
  <c r="AA135" i="13"/>
  <c r="Z135" i="13"/>
  <c r="R135" i="13"/>
  <c r="Q135" i="13"/>
  <c r="P135" i="13"/>
  <c r="C135" i="13"/>
  <c r="A135" i="13"/>
  <c r="AE134" i="13"/>
  <c r="AA134" i="13"/>
  <c r="Z134" i="13"/>
  <c r="R134" i="13"/>
  <c r="Q134" i="13"/>
  <c r="P134" i="13"/>
  <c r="C134" i="13"/>
  <c r="A134" i="13"/>
  <c r="AE133" i="13"/>
  <c r="AA133" i="13"/>
  <c r="Z133" i="13"/>
  <c r="R133" i="13"/>
  <c r="Q133" i="13"/>
  <c r="P133" i="13"/>
  <c r="C133" i="13"/>
  <c r="A133" i="13"/>
  <c r="AE132" i="13"/>
  <c r="AA132" i="13"/>
  <c r="Z132" i="13"/>
  <c r="R132" i="13"/>
  <c r="Q132" i="13"/>
  <c r="P132" i="13"/>
  <c r="C132" i="13"/>
  <c r="A132" i="13"/>
  <c r="AE131" i="13"/>
  <c r="AA131" i="13"/>
  <c r="Z131" i="13"/>
  <c r="R131" i="13"/>
  <c r="Q131" i="13"/>
  <c r="P131" i="13"/>
  <c r="C131" i="13"/>
  <c r="A131" i="13"/>
  <c r="AE130" i="13"/>
  <c r="AA130" i="13"/>
  <c r="Z130" i="13"/>
  <c r="R130" i="13"/>
  <c r="Q130" i="13"/>
  <c r="P130" i="13"/>
  <c r="C130" i="13"/>
  <c r="A130" i="13"/>
  <c r="AE129" i="13"/>
  <c r="AA129" i="13"/>
  <c r="Z129" i="13"/>
  <c r="R129" i="13"/>
  <c r="Q129" i="13"/>
  <c r="P129" i="13"/>
  <c r="C129" i="13"/>
  <c r="A129" i="13"/>
  <c r="AE128" i="13"/>
  <c r="AA128" i="13"/>
  <c r="Z128" i="13"/>
  <c r="R128" i="13"/>
  <c r="Q128" i="13"/>
  <c r="P128" i="13"/>
  <c r="C128" i="13"/>
  <c r="A128" i="13"/>
  <c r="AE127" i="13"/>
  <c r="AA127" i="13"/>
  <c r="Z127" i="13"/>
  <c r="R127" i="13"/>
  <c r="Q127" i="13"/>
  <c r="P127" i="13"/>
  <c r="C127" i="13"/>
  <c r="A127" i="13"/>
  <c r="AE126" i="13"/>
  <c r="AA126" i="13"/>
  <c r="Z126" i="13"/>
  <c r="R126" i="13"/>
  <c r="Q126" i="13"/>
  <c r="P126" i="13"/>
  <c r="C126" i="13"/>
  <c r="A126" i="13"/>
  <c r="AE125" i="13"/>
  <c r="AA125" i="13"/>
  <c r="Z125" i="13"/>
  <c r="R125" i="13"/>
  <c r="Q125" i="13"/>
  <c r="P125" i="13"/>
  <c r="C125" i="13"/>
  <c r="A125" i="13"/>
  <c r="AE124" i="13"/>
  <c r="AA124" i="13"/>
  <c r="Z124" i="13"/>
  <c r="R124" i="13"/>
  <c r="Q124" i="13"/>
  <c r="P124" i="13"/>
  <c r="C124" i="13"/>
  <c r="A124" i="13"/>
  <c r="AE123" i="13"/>
  <c r="AA123" i="13"/>
  <c r="Z123" i="13"/>
  <c r="R123" i="13"/>
  <c r="Q123" i="13"/>
  <c r="P123" i="13"/>
  <c r="C123" i="13"/>
  <c r="A123" i="13"/>
  <c r="AE122" i="13"/>
  <c r="AA122" i="13"/>
  <c r="Z122" i="13"/>
  <c r="R122" i="13"/>
  <c r="Q122" i="13"/>
  <c r="P122" i="13"/>
  <c r="C122" i="13"/>
  <c r="A122" i="13"/>
  <c r="AE121" i="13"/>
  <c r="AA121" i="13"/>
  <c r="Z121" i="13"/>
  <c r="R121" i="13"/>
  <c r="Q121" i="13"/>
  <c r="P121" i="13"/>
  <c r="C121" i="13"/>
  <c r="A121" i="13"/>
  <c r="AE120" i="13"/>
  <c r="AA120" i="13"/>
  <c r="Z120" i="13"/>
  <c r="R120" i="13"/>
  <c r="Q120" i="13"/>
  <c r="P120" i="13"/>
  <c r="C120" i="13"/>
  <c r="A120" i="13"/>
  <c r="AE119" i="13"/>
  <c r="AA119" i="13"/>
  <c r="Z119" i="13"/>
  <c r="R119" i="13"/>
  <c r="Q119" i="13"/>
  <c r="P119" i="13"/>
  <c r="C119" i="13"/>
  <c r="A119" i="13"/>
  <c r="AE118" i="13"/>
  <c r="AA118" i="13"/>
  <c r="Z118" i="13"/>
  <c r="R118" i="13"/>
  <c r="Q118" i="13"/>
  <c r="P118" i="13"/>
  <c r="C118" i="13"/>
  <c r="A118" i="13"/>
  <c r="AE117" i="13"/>
  <c r="AA117" i="13"/>
  <c r="Z117" i="13"/>
  <c r="R117" i="13"/>
  <c r="Q117" i="13"/>
  <c r="P117" i="13"/>
  <c r="C117" i="13"/>
  <c r="A117" i="13"/>
  <c r="AE116" i="13"/>
  <c r="AA116" i="13"/>
  <c r="Z116" i="13"/>
  <c r="R116" i="13"/>
  <c r="Q116" i="13"/>
  <c r="P116" i="13"/>
  <c r="C116" i="13"/>
  <c r="A116" i="13"/>
  <c r="AE115" i="13"/>
  <c r="AA115" i="13"/>
  <c r="Z115" i="13"/>
  <c r="R115" i="13"/>
  <c r="Q115" i="13"/>
  <c r="P115" i="13"/>
  <c r="C115" i="13"/>
  <c r="A115" i="13"/>
  <c r="AE114" i="13"/>
  <c r="AA114" i="13"/>
  <c r="Z114" i="13"/>
  <c r="R114" i="13"/>
  <c r="Q114" i="13"/>
  <c r="P114" i="13"/>
  <c r="C114" i="13"/>
  <c r="A114" i="13"/>
  <c r="AE113" i="13"/>
  <c r="AA113" i="13"/>
  <c r="Z113" i="13"/>
  <c r="R113" i="13"/>
  <c r="Q113" i="13"/>
  <c r="P113" i="13"/>
  <c r="C113" i="13"/>
  <c r="A113" i="13"/>
  <c r="AE112" i="13"/>
  <c r="AA112" i="13"/>
  <c r="Z112" i="13"/>
  <c r="R112" i="13"/>
  <c r="Q112" i="13"/>
  <c r="P112" i="13"/>
  <c r="C112" i="13"/>
  <c r="A112" i="13"/>
  <c r="AE111" i="13"/>
  <c r="AA111" i="13"/>
  <c r="Z111" i="13"/>
  <c r="R111" i="13"/>
  <c r="Q111" i="13"/>
  <c r="P111" i="13"/>
  <c r="C111" i="13"/>
  <c r="A111" i="13"/>
  <c r="AE110" i="13"/>
  <c r="AA110" i="13"/>
  <c r="Z110" i="13"/>
  <c r="R110" i="13"/>
  <c r="Q110" i="13"/>
  <c r="P110" i="13"/>
  <c r="C110" i="13"/>
  <c r="A110" i="13"/>
  <c r="AE109" i="13"/>
  <c r="AA109" i="13"/>
  <c r="Z109" i="13"/>
  <c r="R109" i="13"/>
  <c r="Q109" i="13"/>
  <c r="P109" i="13"/>
  <c r="C109" i="13"/>
  <c r="A109" i="13"/>
  <c r="AE108" i="13"/>
  <c r="AA108" i="13"/>
  <c r="Z108" i="13"/>
  <c r="R108" i="13"/>
  <c r="Q108" i="13"/>
  <c r="P108" i="13"/>
  <c r="C108" i="13"/>
  <c r="A108" i="13"/>
  <c r="AE107" i="13"/>
  <c r="AA107" i="13"/>
  <c r="Z107" i="13"/>
  <c r="R107" i="13"/>
  <c r="Q107" i="13"/>
  <c r="P107" i="13"/>
  <c r="C107" i="13"/>
  <c r="A107" i="13"/>
  <c r="AE106" i="13"/>
  <c r="AA106" i="13"/>
  <c r="Z106" i="13"/>
  <c r="R106" i="13"/>
  <c r="Q106" i="13"/>
  <c r="P106" i="13"/>
  <c r="C106" i="13"/>
  <c r="A106" i="13"/>
  <c r="AE105" i="13"/>
  <c r="AA105" i="13"/>
  <c r="Z105" i="13"/>
  <c r="R105" i="13"/>
  <c r="Q105" i="13"/>
  <c r="P105" i="13"/>
  <c r="C105" i="13"/>
  <c r="A105" i="13"/>
  <c r="AE104" i="13"/>
  <c r="AA104" i="13"/>
  <c r="Z104" i="13"/>
  <c r="R104" i="13"/>
  <c r="Q104" i="13"/>
  <c r="P104" i="13"/>
  <c r="C104" i="13"/>
  <c r="A104" i="13"/>
  <c r="AE103" i="13"/>
  <c r="AA103" i="13"/>
  <c r="Z103" i="13"/>
  <c r="R103" i="13"/>
  <c r="Q103" i="13"/>
  <c r="P103" i="13"/>
  <c r="C103" i="13"/>
  <c r="A103" i="13"/>
  <c r="AE102" i="13"/>
  <c r="AA102" i="13"/>
  <c r="Z102" i="13"/>
  <c r="R102" i="13"/>
  <c r="Q102" i="13"/>
  <c r="P102" i="13"/>
  <c r="C102" i="13"/>
  <c r="A102" i="13"/>
  <c r="AE101" i="13"/>
  <c r="AA101" i="13"/>
  <c r="Z101" i="13"/>
  <c r="R101" i="13"/>
  <c r="Q101" i="13"/>
  <c r="P101" i="13"/>
  <c r="C101" i="13"/>
  <c r="A101" i="13"/>
  <c r="AE100" i="13"/>
  <c r="AA100" i="13"/>
  <c r="Z100" i="13"/>
  <c r="R100" i="13"/>
  <c r="Q100" i="13"/>
  <c r="P100" i="13"/>
  <c r="C100" i="13"/>
  <c r="A100" i="13"/>
  <c r="AE99" i="13"/>
  <c r="AA99" i="13"/>
  <c r="Z99" i="13"/>
  <c r="R99" i="13"/>
  <c r="Q99" i="13"/>
  <c r="P99" i="13"/>
  <c r="C99" i="13"/>
  <c r="A99" i="13"/>
  <c r="AE98" i="13"/>
  <c r="AA98" i="13"/>
  <c r="Z98" i="13"/>
  <c r="R98" i="13"/>
  <c r="Q98" i="13"/>
  <c r="P98" i="13"/>
  <c r="C98" i="13"/>
  <c r="A98" i="13"/>
  <c r="AE97" i="13"/>
  <c r="AA97" i="13"/>
  <c r="Z97" i="13"/>
  <c r="R97" i="13"/>
  <c r="Q97" i="13"/>
  <c r="P97" i="13"/>
  <c r="C97" i="13"/>
  <c r="A97" i="13"/>
  <c r="AE96" i="13"/>
  <c r="AA96" i="13"/>
  <c r="Z96" i="13"/>
  <c r="R96" i="13"/>
  <c r="Q96" i="13"/>
  <c r="P96" i="13"/>
  <c r="C96" i="13"/>
  <c r="A96" i="13"/>
  <c r="AE95" i="13"/>
  <c r="AA95" i="13"/>
  <c r="Z95" i="13"/>
  <c r="R95" i="13"/>
  <c r="Q95" i="13"/>
  <c r="P95" i="13"/>
  <c r="C95" i="13"/>
  <c r="A95" i="13"/>
  <c r="AE94" i="13"/>
  <c r="AA94" i="13"/>
  <c r="Z94" i="13"/>
  <c r="R94" i="13"/>
  <c r="Q94" i="13"/>
  <c r="P94" i="13"/>
  <c r="C94" i="13"/>
  <c r="A94" i="13"/>
  <c r="AE93" i="13"/>
  <c r="AA93" i="13"/>
  <c r="Z93" i="13"/>
  <c r="R93" i="13"/>
  <c r="Q93" i="13"/>
  <c r="P93" i="13"/>
  <c r="C93" i="13"/>
  <c r="A93" i="13"/>
  <c r="AE92" i="13"/>
  <c r="AA92" i="13"/>
  <c r="Z92" i="13"/>
  <c r="R92" i="13"/>
  <c r="Q92" i="13"/>
  <c r="P92" i="13"/>
  <c r="C92" i="13"/>
  <c r="A92" i="13"/>
  <c r="AE91" i="13"/>
  <c r="AA91" i="13"/>
  <c r="Z91" i="13"/>
  <c r="R91" i="13"/>
  <c r="Q91" i="13"/>
  <c r="P91" i="13"/>
  <c r="C91" i="13"/>
  <c r="A91" i="13"/>
  <c r="AE90" i="13"/>
  <c r="AA90" i="13"/>
  <c r="Z90" i="13"/>
  <c r="R90" i="13"/>
  <c r="Q90" i="13"/>
  <c r="P90" i="13"/>
  <c r="C90" i="13"/>
  <c r="A90" i="13"/>
  <c r="AE89" i="13"/>
  <c r="AA89" i="13"/>
  <c r="Z89" i="13"/>
  <c r="R89" i="13"/>
  <c r="Q89" i="13"/>
  <c r="P89" i="13"/>
  <c r="C89" i="13"/>
  <c r="A89" i="13"/>
  <c r="AE88" i="13"/>
  <c r="AA88" i="13"/>
  <c r="Z88" i="13"/>
  <c r="R88" i="13"/>
  <c r="Q88" i="13"/>
  <c r="P88" i="13"/>
  <c r="C88" i="13"/>
  <c r="A88" i="13"/>
  <c r="AE87" i="13"/>
  <c r="AA87" i="13"/>
  <c r="Z87" i="13"/>
  <c r="R87" i="13"/>
  <c r="Q87" i="13"/>
  <c r="P87" i="13"/>
  <c r="C87" i="13"/>
  <c r="A87" i="13"/>
  <c r="AE86" i="13"/>
  <c r="AA86" i="13"/>
  <c r="Z86" i="13"/>
  <c r="R86" i="13"/>
  <c r="Q86" i="13"/>
  <c r="P86" i="13"/>
  <c r="C86" i="13"/>
  <c r="A86" i="13"/>
  <c r="AE85" i="13"/>
  <c r="AA85" i="13"/>
  <c r="Z85" i="13"/>
  <c r="R85" i="13"/>
  <c r="Q85" i="13"/>
  <c r="P85" i="13"/>
  <c r="C85" i="13"/>
  <c r="A85" i="13"/>
  <c r="AE84" i="13"/>
  <c r="AA84" i="13"/>
  <c r="Z84" i="13"/>
  <c r="R84" i="13"/>
  <c r="Q84" i="13"/>
  <c r="P84" i="13"/>
  <c r="C84" i="13"/>
  <c r="A84" i="13"/>
  <c r="AE83" i="13"/>
  <c r="AA83" i="13"/>
  <c r="Z83" i="13"/>
  <c r="R83" i="13"/>
  <c r="Q83" i="13"/>
  <c r="P83" i="13"/>
  <c r="C83" i="13"/>
  <c r="A83" i="13"/>
  <c r="AE82" i="13"/>
  <c r="AA82" i="13"/>
  <c r="Z82" i="13"/>
  <c r="R82" i="13"/>
  <c r="Q82" i="13"/>
  <c r="P82" i="13"/>
  <c r="C82" i="13"/>
  <c r="A82" i="13"/>
  <c r="AE81" i="13"/>
  <c r="AA81" i="13"/>
  <c r="Z81" i="13"/>
  <c r="R81" i="13"/>
  <c r="Q81" i="13"/>
  <c r="P81" i="13"/>
  <c r="C81" i="13"/>
  <c r="A81" i="13"/>
  <c r="AE80" i="13"/>
  <c r="AA80" i="13"/>
  <c r="Z80" i="13"/>
  <c r="R80" i="13"/>
  <c r="Q80" i="13"/>
  <c r="P80" i="13"/>
  <c r="C80" i="13"/>
  <c r="A80" i="13"/>
  <c r="AE79" i="13"/>
  <c r="AA79" i="13"/>
  <c r="Z79" i="13"/>
  <c r="R79" i="13"/>
  <c r="Q79" i="13"/>
  <c r="P79" i="13"/>
  <c r="C79" i="13"/>
  <c r="A79" i="13"/>
  <c r="AE78" i="13"/>
  <c r="AA78" i="13"/>
  <c r="Z78" i="13"/>
  <c r="R78" i="13"/>
  <c r="Q78" i="13"/>
  <c r="P78" i="13"/>
  <c r="C78" i="13"/>
  <c r="A78" i="13"/>
  <c r="AE77" i="13"/>
  <c r="AA77" i="13"/>
  <c r="Z77" i="13"/>
  <c r="R77" i="13"/>
  <c r="Q77" i="13"/>
  <c r="P77" i="13"/>
  <c r="C77" i="13"/>
  <c r="A77" i="13"/>
  <c r="AE76" i="13"/>
  <c r="AA76" i="13"/>
  <c r="Z76" i="13"/>
  <c r="R76" i="13"/>
  <c r="Q76" i="13"/>
  <c r="P76" i="13"/>
  <c r="C76" i="13"/>
  <c r="A76" i="13"/>
  <c r="AE75" i="13"/>
  <c r="AA75" i="13"/>
  <c r="Z75" i="13"/>
  <c r="R75" i="13"/>
  <c r="Q75" i="13"/>
  <c r="P75" i="13"/>
  <c r="C75" i="13"/>
  <c r="A75" i="13"/>
  <c r="AE74" i="13"/>
  <c r="AA74" i="13"/>
  <c r="Z74" i="13"/>
  <c r="R74" i="13"/>
  <c r="Q74" i="13"/>
  <c r="P74" i="13"/>
  <c r="C74" i="13"/>
  <c r="A74" i="13"/>
  <c r="AE73" i="13"/>
  <c r="AA73" i="13"/>
  <c r="Z73" i="13"/>
  <c r="R73" i="13"/>
  <c r="Q73" i="13"/>
  <c r="P73" i="13"/>
  <c r="C73" i="13"/>
  <c r="A73" i="13"/>
  <c r="AE72" i="13"/>
  <c r="AA72" i="13"/>
  <c r="Z72" i="13"/>
  <c r="R72" i="13"/>
  <c r="Q72" i="13"/>
  <c r="P72" i="13"/>
  <c r="C72" i="13"/>
  <c r="A72" i="13"/>
  <c r="AE71" i="13"/>
  <c r="AA71" i="13"/>
  <c r="Z71" i="13"/>
  <c r="R71" i="13"/>
  <c r="Q71" i="13"/>
  <c r="P71" i="13"/>
  <c r="C71" i="13"/>
  <c r="A71" i="13"/>
  <c r="AE70" i="13"/>
  <c r="AA70" i="13"/>
  <c r="Z70" i="13"/>
  <c r="R70" i="13"/>
  <c r="Q70" i="13"/>
  <c r="P70" i="13"/>
  <c r="C70" i="13"/>
  <c r="A70" i="13"/>
  <c r="AE69" i="13"/>
  <c r="AA69" i="13"/>
  <c r="Z69" i="13"/>
  <c r="R69" i="13"/>
  <c r="Q69" i="13"/>
  <c r="P69" i="13"/>
  <c r="C69" i="13"/>
  <c r="A69" i="13"/>
  <c r="AE68" i="13"/>
  <c r="AA68" i="13"/>
  <c r="Z68" i="13"/>
  <c r="R68" i="13"/>
  <c r="Q68" i="13"/>
  <c r="P68" i="13"/>
  <c r="C68" i="13"/>
  <c r="A68" i="13"/>
  <c r="AE67" i="13"/>
  <c r="AA67" i="13"/>
  <c r="Z67" i="13"/>
  <c r="R67" i="13"/>
  <c r="Q67" i="13"/>
  <c r="P67" i="13"/>
  <c r="C67" i="13"/>
  <c r="A67" i="13"/>
  <c r="AE66" i="13"/>
  <c r="AA66" i="13"/>
  <c r="Z66" i="13"/>
  <c r="R66" i="13"/>
  <c r="Q66" i="13"/>
  <c r="P66" i="13"/>
  <c r="C66" i="13"/>
  <c r="A66" i="13"/>
  <c r="AE65" i="13"/>
  <c r="AA65" i="13"/>
  <c r="Z65" i="13"/>
  <c r="R65" i="13"/>
  <c r="Q65" i="13"/>
  <c r="P65" i="13"/>
  <c r="C65" i="13"/>
  <c r="A65" i="13"/>
  <c r="AE64" i="13"/>
  <c r="AA64" i="13"/>
  <c r="Z64" i="13"/>
  <c r="R64" i="13"/>
  <c r="Q64" i="13"/>
  <c r="P64" i="13"/>
  <c r="C64" i="13"/>
  <c r="A64" i="13"/>
  <c r="AE63" i="13"/>
  <c r="AA63" i="13"/>
  <c r="Z63" i="13"/>
  <c r="R63" i="13"/>
  <c r="Q63" i="13"/>
  <c r="P63" i="13"/>
  <c r="C63" i="13"/>
  <c r="A63" i="13"/>
  <c r="AE62" i="13"/>
  <c r="AA62" i="13"/>
  <c r="Z62" i="13"/>
  <c r="R62" i="13"/>
  <c r="Q62" i="13"/>
  <c r="P62" i="13"/>
  <c r="C62" i="13"/>
  <c r="A62" i="13"/>
  <c r="AE61" i="13"/>
  <c r="AA61" i="13"/>
  <c r="Z61" i="13"/>
  <c r="R61" i="13"/>
  <c r="Q61" i="13"/>
  <c r="P61" i="13"/>
  <c r="C61" i="13"/>
  <c r="A61" i="13"/>
  <c r="AE60" i="13"/>
  <c r="AA60" i="13"/>
  <c r="Z60" i="13"/>
  <c r="R60" i="13"/>
  <c r="Q60" i="13"/>
  <c r="P60" i="13"/>
  <c r="C60" i="13"/>
  <c r="A60" i="13"/>
  <c r="AE59" i="13"/>
  <c r="AA59" i="13"/>
  <c r="Z59" i="13"/>
  <c r="R59" i="13"/>
  <c r="Q59" i="13"/>
  <c r="P59" i="13"/>
  <c r="C59" i="13"/>
  <c r="A59" i="13"/>
  <c r="AE58" i="13"/>
  <c r="AA58" i="13"/>
  <c r="Z58" i="13"/>
  <c r="R58" i="13"/>
  <c r="Q58" i="13"/>
  <c r="P58" i="13"/>
  <c r="C58" i="13"/>
  <c r="A58" i="13"/>
  <c r="AE57" i="13"/>
  <c r="AA57" i="13"/>
  <c r="Z57" i="13"/>
  <c r="R57" i="13"/>
  <c r="Q57" i="13"/>
  <c r="P57" i="13"/>
  <c r="C57" i="13"/>
  <c r="A57" i="13"/>
  <c r="AE56" i="13"/>
  <c r="AA56" i="13"/>
  <c r="Z56" i="13"/>
  <c r="R56" i="13"/>
  <c r="Q56" i="13"/>
  <c r="P56" i="13"/>
  <c r="C56" i="13"/>
  <c r="A56" i="13"/>
  <c r="AE55" i="13"/>
  <c r="AA55" i="13"/>
  <c r="Z55" i="13"/>
  <c r="R55" i="13"/>
  <c r="Q55" i="13"/>
  <c r="P55" i="13"/>
  <c r="C55" i="13"/>
  <c r="A55" i="13"/>
  <c r="AE54" i="13"/>
  <c r="AA54" i="13"/>
  <c r="Z54" i="13"/>
  <c r="R54" i="13"/>
  <c r="Q54" i="13"/>
  <c r="P54" i="13"/>
  <c r="C54" i="13"/>
  <c r="A54" i="13"/>
  <c r="AE53" i="13"/>
  <c r="AA53" i="13"/>
  <c r="Z53" i="13"/>
  <c r="R53" i="13"/>
  <c r="Q53" i="13"/>
  <c r="P53" i="13"/>
  <c r="C53" i="13"/>
  <c r="A53" i="13"/>
  <c r="AE52" i="13"/>
  <c r="AA52" i="13"/>
  <c r="Z52" i="13"/>
  <c r="R52" i="13"/>
  <c r="Q52" i="13"/>
  <c r="P52" i="13"/>
  <c r="C52" i="13"/>
  <c r="A52" i="13"/>
  <c r="AE51" i="13"/>
  <c r="AA51" i="13"/>
  <c r="Z51" i="13"/>
  <c r="R51" i="13"/>
  <c r="Q51" i="13"/>
  <c r="P51" i="13"/>
  <c r="C51" i="13"/>
  <c r="A51" i="13"/>
  <c r="AE50" i="13"/>
  <c r="AA50" i="13"/>
  <c r="Z50" i="13"/>
  <c r="R50" i="13"/>
  <c r="Q50" i="13"/>
  <c r="P50" i="13"/>
  <c r="C50" i="13"/>
  <c r="A50" i="13"/>
  <c r="AE49" i="13"/>
  <c r="AA49" i="13"/>
  <c r="Z49" i="13"/>
  <c r="R49" i="13"/>
  <c r="Q49" i="13"/>
  <c r="P49" i="13"/>
  <c r="C49" i="13"/>
  <c r="A49" i="13"/>
  <c r="AE48" i="13"/>
  <c r="AA48" i="13"/>
  <c r="Z48" i="13"/>
  <c r="R48" i="13"/>
  <c r="Q48" i="13"/>
  <c r="P48" i="13"/>
  <c r="C48" i="13"/>
  <c r="A48" i="13"/>
  <c r="AE47" i="13"/>
  <c r="AA47" i="13"/>
  <c r="Z47" i="13"/>
  <c r="R47" i="13"/>
  <c r="Q47" i="13"/>
  <c r="P47" i="13"/>
  <c r="C47" i="13"/>
  <c r="A47" i="13"/>
  <c r="AE46" i="13"/>
  <c r="AA46" i="13"/>
  <c r="Z46" i="13"/>
  <c r="R46" i="13"/>
  <c r="Q46" i="13"/>
  <c r="P46" i="13"/>
  <c r="C46" i="13"/>
  <c r="A46" i="13"/>
  <c r="AE45" i="13"/>
  <c r="AA45" i="13"/>
  <c r="Z45" i="13"/>
  <c r="R45" i="13"/>
  <c r="Q45" i="13"/>
  <c r="P45" i="13"/>
  <c r="C45" i="13"/>
  <c r="A45" i="13"/>
  <c r="AE44" i="13"/>
  <c r="AA44" i="13"/>
  <c r="Z44" i="13"/>
  <c r="R44" i="13"/>
  <c r="Q44" i="13"/>
  <c r="P44" i="13"/>
  <c r="C44" i="13"/>
  <c r="A44" i="13"/>
  <c r="AE43" i="13"/>
  <c r="AA43" i="13"/>
  <c r="Z43" i="13"/>
  <c r="R43" i="13"/>
  <c r="Q43" i="13"/>
  <c r="P43" i="13"/>
  <c r="C43" i="13"/>
  <c r="A43" i="13"/>
  <c r="AE42" i="13"/>
  <c r="AA42" i="13"/>
  <c r="Z42" i="13"/>
  <c r="R42" i="13"/>
  <c r="Q42" i="13"/>
  <c r="P42" i="13"/>
  <c r="C42" i="13"/>
  <c r="A42" i="13"/>
  <c r="AE41" i="13"/>
  <c r="AA41" i="13"/>
  <c r="Z41" i="13"/>
  <c r="R41" i="13"/>
  <c r="Q41" i="13"/>
  <c r="P41" i="13"/>
  <c r="C41" i="13"/>
  <c r="A41" i="13"/>
  <c r="AE40" i="13"/>
  <c r="AA40" i="13"/>
  <c r="Z40" i="13"/>
  <c r="R40" i="13"/>
  <c r="Q40" i="13"/>
  <c r="P40" i="13"/>
  <c r="C40" i="13"/>
  <c r="A40" i="13"/>
  <c r="AE39" i="13"/>
  <c r="AA39" i="13"/>
  <c r="Z39" i="13"/>
  <c r="R39" i="13"/>
  <c r="Q39" i="13"/>
  <c r="P39" i="13"/>
  <c r="C39" i="13"/>
  <c r="A39" i="13"/>
  <c r="AE38" i="13"/>
  <c r="AA38" i="13"/>
  <c r="Z38" i="13"/>
  <c r="R38" i="13"/>
  <c r="Q38" i="13"/>
  <c r="P38" i="13"/>
  <c r="C38" i="13"/>
  <c r="A38" i="13"/>
  <c r="AE37" i="13"/>
  <c r="AA37" i="13"/>
  <c r="Z37" i="13"/>
  <c r="R37" i="13"/>
  <c r="Q37" i="13"/>
  <c r="P37" i="13"/>
  <c r="C37" i="13"/>
  <c r="A37" i="13"/>
  <c r="AE36" i="13"/>
  <c r="AA36" i="13"/>
  <c r="Z36" i="13"/>
  <c r="R36" i="13"/>
  <c r="Q36" i="13"/>
  <c r="P36" i="13"/>
  <c r="C36" i="13"/>
  <c r="A36" i="13"/>
  <c r="AE35" i="13"/>
  <c r="AA35" i="13"/>
  <c r="Z35" i="13"/>
  <c r="R35" i="13"/>
  <c r="Q35" i="13"/>
  <c r="P35" i="13"/>
  <c r="C35" i="13"/>
  <c r="A35" i="13"/>
  <c r="AE34" i="13"/>
  <c r="AA34" i="13"/>
  <c r="Z34" i="13"/>
  <c r="R34" i="13"/>
  <c r="Q34" i="13"/>
  <c r="P34" i="13"/>
  <c r="C34" i="13"/>
  <c r="A34" i="13"/>
  <c r="AE33" i="13"/>
  <c r="AA33" i="13"/>
  <c r="Z33" i="13"/>
  <c r="R33" i="13"/>
  <c r="Q33" i="13"/>
  <c r="P33" i="13"/>
  <c r="C33" i="13"/>
  <c r="A33" i="13"/>
  <c r="AE32" i="13"/>
  <c r="AA32" i="13"/>
  <c r="Z32" i="13"/>
  <c r="R32" i="13"/>
  <c r="Q32" i="13"/>
  <c r="P32" i="13"/>
  <c r="C32" i="13"/>
  <c r="A32" i="13"/>
  <c r="AE31" i="13"/>
  <c r="AA31" i="13"/>
  <c r="Z31" i="13"/>
  <c r="R31" i="13"/>
  <c r="Q31" i="13"/>
  <c r="P31" i="13"/>
  <c r="C31" i="13"/>
  <c r="A31" i="13"/>
  <c r="AE30" i="13"/>
  <c r="AA30" i="13"/>
  <c r="Z30" i="13"/>
  <c r="R30" i="13"/>
  <c r="Q30" i="13"/>
  <c r="P30" i="13"/>
  <c r="C30" i="13"/>
  <c r="A30" i="13"/>
  <c r="AE29" i="13"/>
  <c r="AA29" i="13"/>
  <c r="Z29" i="13"/>
  <c r="R29" i="13"/>
  <c r="Q29" i="13"/>
  <c r="P29" i="13"/>
  <c r="C29" i="13"/>
  <c r="A29" i="13"/>
  <c r="AE28" i="13"/>
  <c r="AA28" i="13"/>
  <c r="Z28" i="13"/>
  <c r="R28" i="13"/>
  <c r="Q28" i="13"/>
  <c r="P28" i="13"/>
  <c r="C28" i="13"/>
  <c r="A28" i="13"/>
  <c r="AE27" i="13"/>
  <c r="AA27" i="13"/>
  <c r="Z27" i="13"/>
  <c r="R27" i="13"/>
  <c r="Q27" i="13"/>
  <c r="P27" i="13"/>
  <c r="C27" i="13"/>
  <c r="A27" i="13"/>
  <c r="AE26" i="13"/>
  <c r="AA26" i="13"/>
  <c r="Z26" i="13"/>
  <c r="R26" i="13"/>
  <c r="Q26" i="13"/>
  <c r="P26" i="13"/>
  <c r="C26" i="13"/>
  <c r="A26" i="13"/>
  <c r="AE25" i="13"/>
  <c r="AA25" i="13"/>
  <c r="Z25" i="13"/>
  <c r="R25" i="13"/>
  <c r="Q25" i="13"/>
  <c r="P25" i="13"/>
  <c r="C25" i="13"/>
  <c r="A25" i="13"/>
  <c r="AE24" i="13"/>
  <c r="AA24" i="13"/>
  <c r="Z24" i="13"/>
  <c r="R24" i="13"/>
  <c r="Q24" i="13"/>
  <c r="P24" i="13"/>
  <c r="C24" i="13"/>
  <c r="A24" i="13"/>
  <c r="AE23" i="13"/>
  <c r="AA23" i="13"/>
  <c r="Z23" i="13"/>
  <c r="R23" i="13"/>
  <c r="Q23" i="13"/>
  <c r="P23" i="13"/>
  <c r="C23" i="13"/>
  <c r="A23" i="13"/>
  <c r="AE22" i="13"/>
  <c r="AA22" i="13"/>
  <c r="Z22" i="13"/>
  <c r="R22" i="13"/>
  <c r="Q22" i="13"/>
  <c r="P22" i="13"/>
  <c r="C22" i="13"/>
  <c r="A22" i="13"/>
  <c r="AE21" i="13"/>
  <c r="AA21" i="13"/>
  <c r="Z21" i="13"/>
  <c r="R21" i="13"/>
  <c r="Q21" i="13"/>
  <c r="P21" i="13"/>
  <c r="C21" i="13"/>
  <c r="A21" i="13"/>
  <c r="AE20" i="13"/>
  <c r="AA20" i="13"/>
  <c r="Z20" i="13"/>
  <c r="R20" i="13"/>
  <c r="Q20" i="13"/>
  <c r="P20" i="13"/>
  <c r="C20" i="13"/>
  <c r="A20" i="13"/>
  <c r="AE19" i="13"/>
  <c r="AA19" i="13"/>
  <c r="Z19" i="13"/>
  <c r="R19" i="13"/>
  <c r="Q19" i="13"/>
  <c r="P19" i="13"/>
  <c r="C19" i="13"/>
  <c r="A19" i="13"/>
  <c r="AE18" i="13"/>
  <c r="AA18" i="13"/>
  <c r="Z18" i="13"/>
  <c r="R18" i="13"/>
  <c r="Q18" i="13"/>
  <c r="P18" i="13"/>
  <c r="C18" i="13"/>
  <c r="A18" i="13"/>
  <c r="AE17" i="13"/>
  <c r="AA17" i="13"/>
  <c r="Z17" i="13"/>
  <c r="R17" i="13"/>
  <c r="Q17" i="13"/>
  <c r="P17" i="13"/>
  <c r="C17" i="13"/>
  <c r="A17" i="13"/>
  <c r="AE16" i="13"/>
  <c r="AA16" i="13"/>
  <c r="Z16" i="13"/>
  <c r="R16" i="13"/>
  <c r="Q16" i="13"/>
  <c r="P16" i="13"/>
  <c r="C16" i="13"/>
  <c r="A16" i="13"/>
  <c r="AE15" i="13"/>
  <c r="AA15" i="13"/>
  <c r="Z15" i="13"/>
  <c r="R15" i="13"/>
  <c r="Q15" i="13"/>
  <c r="P15" i="13"/>
  <c r="C15" i="13"/>
  <c r="A15" i="13"/>
  <c r="AE14" i="13"/>
  <c r="AA14" i="13"/>
  <c r="Z14" i="13"/>
  <c r="R14" i="13"/>
  <c r="Q14" i="13"/>
  <c r="P14" i="13"/>
  <c r="C14" i="13"/>
  <c r="A14" i="13"/>
  <c r="D9" i="13"/>
  <c r="D8" i="13"/>
  <c r="D7" i="13"/>
  <c r="D6" i="13"/>
  <c r="D5" i="13"/>
  <c r="D4" i="13"/>
  <c r="O3" i="13"/>
  <c r="F1" i="13"/>
  <c r="AE163" i="12"/>
  <c r="AA163" i="12"/>
  <c r="Z163" i="12"/>
  <c r="R163" i="12"/>
  <c r="Q163" i="12"/>
  <c r="P163" i="12"/>
  <c r="C163" i="12"/>
  <c r="A163" i="12"/>
  <c r="AE162" i="12"/>
  <c r="AA162" i="12"/>
  <c r="Z162" i="12"/>
  <c r="R162" i="12"/>
  <c r="Q162" i="12"/>
  <c r="P162" i="12"/>
  <c r="C162" i="12"/>
  <c r="A162" i="12"/>
  <c r="AE161" i="12"/>
  <c r="AA161" i="12"/>
  <c r="Z161" i="12"/>
  <c r="R161" i="12"/>
  <c r="Q161" i="12"/>
  <c r="P161" i="12"/>
  <c r="C161" i="12"/>
  <c r="A161" i="12"/>
  <c r="AE160" i="12"/>
  <c r="AA160" i="12"/>
  <c r="Z160" i="12"/>
  <c r="R160" i="12"/>
  <c r="Q160" i="12"/>
  <c r="P160" i="12"/>
  <c r="C160" i="12"/>
  <c r="A160" i="12"/>
  <c r="AE159" i="12"/>
  <c r="AA159" i="12"/>
  <c r="Z159" i="12"/>
  <c r="R159" i="12"/>
  <c r="Q159" i="12"/>
  <c r="P159" i="12"/>
  <c r="C159" i="12"/>
  <c r="A159" i="12"/>
  <c r="AE158" i="12"/>
  <c r="AA158" i="12"/>
  <c r="Z158" i="12"/>
  <c r="R158" i="12"/>
  <c r="Q158" i="12"/>
  <c r="P158" i="12"/>
  <c r="C158" i="12"/>
  <c r="A158" i="12"/>
  <c r="AE157" i="12"/>
  <c r="AA157" i="12"/>
  <c r="Z157" i="12"/>
  <c r="R157" i="12"/>
  <c r="Q157" i="12"/>
  <c r="P157" i="12"/>
  <c r="C157" i="12"/>
  <c r="A157" i="12"/>
  <c r="AE156" i="12"/>
  <c r="AA156" i="12"/>
  <c r="Z156" i="12"/>
  <c r="R156" i="12"/>
  <c r="Q156" i="12"/>
  <c r="P156" i="12"/>
  <c r="C156" i="12"/>
  <c r="A156" i="12"/>
  <c r="AE155" i="12"/>
  <c r="AA155" i="12"/>
  <c r="Z155" i="12"/>
  <c r="R155" i="12"/>
  <c r="Q155" i="12"/>
  <c r="P155" i="12"/>
  <c r="C155" i="12"/>
  <c r="A155" i="12"/>
  <c r="AE154" i="12"/>
  <c r="AA154" i="12"/>
  <c r="Z154" i="12"/>
  <c r="R154" i="12"/>
  <c r="Q154" i="12"/>
  <c r="P154" i="12"/>
  <c r="C154" i="12"/>
  <c r="A154" i="12"/>
  <c r="AE153" i="12"/>
  <c r="AA153" i="12"/>
  <c r="Z153" i="12"/>
  <c r="R153" i="12"/>
  <c r="Q153" i="12"/>
  <c r="P153" i="12"/>
  <c r="C153" i="12"/>
  <c r="A153" i="12"/>
  <c r="AE152" i="12"/>
  <c r="AA152" i="12"/>
  <c r="Z152" i="12"/>
  <c r="R152" i="12"/>
  <c r="Q152" i="12"/>
  <c r="P152" i="12"/>
  <c r="C152" i="12"/>
  <c r="A152" i="12"/>
  <c r="AE151" i="12"/>
  <c r="AA151" i="12"/>
  <c r="Z151" i="12"/>
  <c r="R151" i="12"/>
  <c r="Q151" i="12"/>
  <c r="P151" i="12"/>
  <c r="C151" i="12"/>
  <c r="A151" i="12"/>
  <c r="AE150" i="12"/>
  <c r="AA150" i="12"/>
  <c r="Z150" i="12"/>
  <c r="R150" i="12"/>
  <c r="Q150" i="12"/>
  <c r="P150" i="12"/>
  <c r="C150" i="12"/>
  <c r="A150" i="12"/>
  <c r="AE149" i="12"/>
  <c r="AA149" i="12"/>
  <c r="Z149" i="12"/>
  <c r="R149" i="12"/>
  <c r="Q149" i="12"/>
  <c r="P149" i="12"/>
  <c r="C149" i="12"/>
  <c r="A149" i="12"/>
  <c r="AE148" i="12"/>
  <c r="AA148" i="12"/>
  <c r="Z148" i="12"/>
  <c r="R148" i="12"/>
  <c r="Q148" i="12"/>
  <c r="P148" i="12"/>
  <c r="C148" i="12"/>
  <c r="A148" i="12"/>
  <c r="AE147" i="12"/>
  <c r="AA147" i="12"/>
  <c r="Z147" i="12"/>
  <c r="R147" i="12"/>
  <c r="Q147" i="12"/>
  <c r="P147" i="12"/>
  <c r="C147" i="12"/>
  <c r="A147" i="12"/>
  <c r="AE146" i="12"/>
  <c r="AA146" i="12"/>
  <c r="Z146" i="12"/>
  <c r="R146" i="12"/>
  <c r="Q146" i="12"/>
  <c r="P146" i="12"/>
  <c r="C146" i="12"/>
  <c r="A146" i="12"/>
  <c r="AE145" i="12"/>
  <c r="AA145" i="12"/>
  <c r="Z145" i="12"/>
  <c r="R145" i="12"/>
  <c r="Q145" i="12"/>
  <c r="P145" i="12"/>
  <c r="C145" i="12"/>
  <c r="A145" i="12"/>
  <c r="AE144" i="12"/>
  <c r="AA144" i="12"/>
  <c r="Z144" i="12"/>
  <c r="R144" i="12"/>
  <c r="Q144" i="12"/>
  <c r="P144" i="12"/>
  <c r="C144" i="12"/>
  <c r="A144" i="12"/>
  <c r="AE143" i="12"/>
  <c r="AA143" i="12"/>
  <c r="Z143" i="12"/>
  <c r="R143" i="12"/>
  <c r="Q143" i="12"/>
  <c r="P143" i="12"/>
  <c r="C143" i="12"/>
  <c r="A143" i="12"/>
  <c r="AE142" i="12"/>
  <c r="AA142" i="12"/>
  <c r="Z142" i="12"/>
  <c r="R142" i="12"/>
  <c r="Q142" i="12"/>
  <c r="P142" i="12"/>
  <c r="C142" i="12"/>
  <c r="A142" i="12"/>
  <c r="AE141" i="12"/>
  <c r="AA141" i="12"/>
  <c r="Z141" i="12"/>
  <c r="R141" i="12"/>
  <c r="Q141" i="12"/>
  <c r="P141" i="12"/>
  <c r="C141" i="12"/>
  <c r="A141" i="12"/>
  <c r="AE140" i="12"/>
  <c r="AA140" i="12"/>
  <c r="Z140" i="12"/>
  <c r="R140" i="12"/>
  <c r="Q140" i="12"/>
  <c r="P140" i="12"/>
  <c r="C140" i="12"/>
  <c r="A140" i="12"/>
  <c r="AE139" i="12"/>
  <c r="AA139" i="12"/>
  <c r="Z139" i="12"/>
  <c r="R139" i="12"/>
  <c r="Q139" i="12"/>
  <c r="P139" i="12"/>
  <c r="C139" i="12"/>
  <c r="A139" i="12"/>
  <c r="AE138" i="12"/>
  <c r="AA138" i="12"/>
  <c r="Z138" i="12"/>
  <c r="R138" i="12"/>
  <c r="Q138" i="12"/>
  <c r="P138" i="12"/>
  <c r="C138" i="12"/>
  <c r="A138" i="12"/>
  <c r="AE137" i="12"/>
  <c r="AA137" i="12"/>
  <c r="Z137" i="12"/>
  <c r="R137" i="12"/>
  <c r="Q137" i="12"/>
  <c r="P137" i="12"/>
  <c r="C137" i="12"/>
  <c r="A137" i="12"/>
  <c r="AE136" i="12"/>
  <c r="AA136" i="12"/>
  <c r="Z136" i="12"/>
  <c r="R136" i="12"/>
  <c r="Q136" i="12"/>
  <c r="P136" i="12"/>
  <c r="C136" i="12"/>
  <c r="A136" i="12"/>
  <c r="AE135" i="12"/>
  <c r="AA135" i="12"/>
  <c r="Z135" i="12"/>
  <c r="R135" i="12"/>
  <c r="Q135" i="12"/>
  <c r="P135" i="12"/>
  <c r="C135" i="12"/>
  <c r="A135" i="12"/>
  <c r="AE134" i="12"/>
  <c r="AA134" i="12"/>
  <c r="Z134" i="12"/>
  <c r="R134" i="12"/>
  <c r="Q134" i="12"/>
  <c r="P134" i="12"/>
  <c r="C134" i="12"/>
  <c r="A134" i="12"/>
  <c r="AE133" i="12"/>
  <c r="AA133" i="12"/>
  <c r="Z133" i="12"/>
  <c r="R133" i="12"/>
  <c r="Q133" i="12"/>
  <c r="P133" i="12"/>
  <c r="C133" i="12"/>
  <c r="A133" i="12"/>
  <c r="AE132" i="12"/>
  <c r="AA132" i="12"/>
  <c r="Z132" i="12"/>
  <c r="R132" i="12"/>
  <c r="Q132" i="12"/>
  <c r="P132" i="12"/>
  <c r="C132" i="12"/>
  <c r="A132" i="12"/>
  <c r="AE131" i="12"/>
  <c r="AA131" i="12"/>
  <c r="Z131" i="12"/>
  <c r="R131" i="12"/>
  <c r="Q131" i="12"/>
  <c r="P131" i="12"/>
  <c r="C131" i="12"/>
  <c r="A131" i="12"/>
  <c r="AE130" i="12"/>
  <c r="AA130" i="12"/>
  <c r="Z130" i="12"/>
  <c r="R130" i="12"/>
  <c r="Q130" i="12"/>
  <c r="P130" i="12"/>
  <c r="C130" i="12"/>
  <c r="A130" i="12"/>
  <c r="AE129" i="12"/>
  <c r="AA129" i="12"/>
  <c r="Z129" i="12"/>
  <c r="R129" i="12"/>
  <c r="Q129" i="12"/>
  <c r="P129" i="12"/>
  <c r="C129" i="12"/>
  <c r="A129" i="12"/>
  <c r="AE128" i="12"/>
  <c r="AA128" i="12"/>
  <c r="Z128" i="12"/>
  <c r="R128" i="12"/>
  <c r="Q128" i="12"/>
  <c r="P128" i="12"/>
  <c r="C128" i="12"/>
  <c r="A128" i="12"/>
  <c r="AE127" i="12"/>
  <c r="AA127" i="12"/>
  <c r="Z127" i="12"/>
  <c r="R127" i="12"/>
  <c r="Q127" i="12"/>
  <c r="P127" i="12"/>
  <c r="C127" i="12"/>
  <c r="A127" i="12"/>
  <c r="AE126" i="12"/>
  <c r="AA126" i="12"/>
  <c r="Z126" i="12"/>
  <c r="R126" i="12"/>
  <c r="Q126" i="12"/>
  <c r="P126" i="12"/>
  <c r="C126" i="12"/>
  <c r="A126" i="12"/>
  <c r="AE125" i="12"/>
  <c r="AA125" i="12"/>
  <c r="Z125" i="12"/>
  <c r="R125" i="12"/>
  <c r="Q125" i="12"/>
  <c r="P125" i="12"/>
  <c r="C125" i="12"/>
  <c r="A125" i="12"/>
  <c r="AE124" i="12"/>
  <c r="AA124" i="12"/>
  <c r="Z124" i="12"/>
  <c r="R124" i="12"/>
  <c r="Q124" i="12"/>
  <c r="P124" i="12"/>
  <c r="C124" i="12"/>
  <c r="A124" i="12"/>
  <c r="AE123" i="12"/>
  <c r="AA123" i="12"/>
  <c r="Z123" i="12"/>
  <c r="R123" i="12"/>
  <c r="Q123" i="12"/>
  <c r="P123" i="12"/>
  <c r="C123" i="12"/>
  <c r="A123" i="12"/>
  <c r="AE122" i="12"/>
  <c r="AA122" i="12"/>
  <c r="Z122" i="12"/>
  <c r="R122" i="12"/>
  <c r="Q122" i="12"/>
  <c r="P122" i="12"/>
  <c r="C122" i="12"/>
  <c r="A122" i="12"/>
  <c r="AE121" i="12"/>
  <c r="AA121" i="12"/>
  <c r="Z121" i="12"/>
  <c r="R121" i="12"/>
  <c r="Q121" i="12"/>
  <c r="P121" i="12"/>
  <c r="C121" i="12"/>
  <c r="A121" i="12"/>
  <c r="AE120" i="12"/>
  <c r="AA120" i="12"/>
  <c r="Z120" i="12"/>
  <c r="R120" i="12"/>
  <c r="Q120" i="12"/>
  <c r="P120" i="12"/>
  <c r="C120" i="12"/>
  <c r="A120" i="12"/>
  <c r="AE119" i="12"/>
  <c r="AA119" i="12"/>
  <c r="Z119" i="12"/>
  <c r="R119" i="12"/>
  <c r="Q119" i="12"/>
  <c r="P119" i="12"/>
  <c r="C119" i="12"/>
  <c r="A119" i="12"/>
  <c r="AE118" i="12"/>
  <c r="AA118" i="12"/>
  <c r="Z118" i="12"/>
  <c r="R118" i="12"/>
  <c r="Q118" i="12"/>
  <c r="P118" i="12"/>
  <c r="C118" i="12"/>
  <c r="A118" i="12"/>
  <c r="AE117" i="12"/>
  <c r="AA117" i="12"/>
  <c r="Z117" i="12"/>
  <c r="R117" i="12"/>
  <c r="Q117" i="12"/>
  <c r="P117" i="12"/>
  <c r="C117" i="12"/>
  <c r="A117" i="12"/>
  <c r="AE116" i="12"/>
  <c r="AA116" i="12"/>
  <c r="Z116" i="12"/>
  <c r="R116" i="12"/>
  <c r="Q116" i="12"/>
  <c r="P116" i="12"/>
  <c r="C116" i="12"/>
  <c r="A116" i="12"/>
  <c r="AE115" i="12"/>
  <c r="AA115" i="12"/>
  <c r="Z115" i="12"/>
  <c r="R115" i="12"/>
  <c r="Q115" i="12"/>
  <c r="P115" i="12"/>
  <c r="C115" i="12"/>
  <c r="A115" i="12"/>
  <c r="AE114" i="12"/>
  <c r="AA114" i="12"/>
  <c r="Z114" i="12"/>
  <c r="R114" i="12"/>
  <c r="Q114" i="12"/>
  <c r="P114" i="12"/>
  <c r="C114" i="12"/>
  <c r="A114" i="12"/>
  <c r="AE113" i="12"/>
  <c r="AA113" i="12"/>
  <c r="Z113" i="12"/>
  <c r="R113" i="12"/>
  <c r="Q113" i="12"/>
  <c r="P113" i="12"/>
  <c r="C113" i="12"/>
  <c r="A113" i="12"/>
  <c r="AE112" i="12"/>
  <c r="AA112" i="12"/>
  <c r="Z112" i="12"/>
  <c r="R112" i="12"/>
  <c r="Q112" i="12"/>
  <c r="P112" i="12"/>
  <c r="C112" i="12"/>
  <c r="A112" i="12"/>
  <c r="AE111" i="12"/>
  <c r="AA111" i="12"/>
  <c r="Z111" i="12"/>
  <c r="R111" i="12"/>
  <c r="Q111" i="12"/>
  <c r="P111" i="12"/>
  <c r="C111" i="12"/>
  <c r="A111" i="12"/>
  <c r="AE110" i="12"/>
  <c r="AA110" i="12"/>
  <c r="Z110" i="12"/>
  <c r="R110" i="12"/>
  <c r="Q110" i="12"/>
  <c r="P110" i="12"/>
  <c r="C110" i="12"/>
  <c r="A110" i="12"/>
  <c r="AE109" i="12"/>
  <c r="AA109" i="12"/>
  <c r="Z109" i="12"/>
  <c r="R109" i="12"/>
  <c r="Q109" i="12"/>
  <c r="P109" i="12"/>
  <c r="C109" i="12"/>
  <c r="A109" i="12"/>
  <c r="AE108" i="12"/>
  <c r="AA108" i="12"/>
  <c r="Z108" i="12"/>
  <c r="R108" i="12"/>
  <c r="Q108" i="12"/>
  <c r="P108" i="12"/>
  <c r="C108" i="12"/>
  <c r="A108" i="12"/>
  <c r="AE107" i="12"/>
  <c r="AA107" i="12"/>
  <c r="Z107" i="12"/>
  <c r="R107" i="12"/>
  <c r="Q107" i="12"/>
  <c r="P107" i="12"/>
  <c r="C107" i="12"/>
  <c r="A107" i="12"/>
  <c r="AE106" i="12"/>
  <c r="AA106" i="12"/>
  <c r="Z106" i="12"/>
  <c r="R106" i="12"/>
  <c r="Q106" i="12"/>
  <c r="P106" i="12"/>
  <c r="C106" i="12"/>
  <c r="A106" i="12"/>
  <c r="AE105" i="12"/>
  <c r="AA105" i="12"/>
  <c r="Z105" i="12"/>
  <c r="R105" i="12"/>
  <c r="Q105" i="12"/>
  <c r="P105" i="12"/>
  <c r="C105" i="12"/>
  <c r="A105" i="12"/>
  <c r="AE104" i="12"/>
  <c r="AA104" i="12"/>
  <c r="Z104" i="12"/>
  <c r="R104" i="12"/>
  <c r="Q104" i="12"/>
  <c r="P104" i="12"/>
  <c r="C104" i="12"/>
  <c r="A104" i="12"/>
  <c r="AE103" i="12"/>
  <c r="AA103" i="12"/>
  <c r="Z103" i="12"/>
  <c r="R103" i="12"/>
  <c r="Q103" i="12"/>
  <c r="P103" i="12"/>
  <c r="C103" i="12"/>
  <c r="A103" i="12"/>
  <c r="AE102" i="12"/>
  <c r="AA102" i="12"/>
  <c r="Z102" i="12"/>
  <c r="R102" i="12"/>
  <c r="Q102" i="12"/>
  <c r="P102" i="12"/>
  <c r="C102" i="12"/>
  <c r="A102" i="12"/>
  <c r="AE101" i="12"/>
  <c r="AA101" i="12"/>
  <c r="Z101" i="12"/>
  <c r="R101" i="12"/>
  <c r="Q101" i="12"/>
  <c r="P101" i="12"/>
  <c r="C101" i="12"/>
  <c r="A101" i="12"/>
  <c r="AE100" i="12"/>
  <c r="AA100" i="12"/>
  <c r="Z100" i="12"/>
  <c r="R100" i="12"/>
  <c r="Q100" i="12"/>
  <c r="P100" i="12"/>
  <c r="C100" i="12"/>
  <c r="A100" i="12"/>
  <c r="AE99" i="12"/>
  <c r="AA99" i="12"/>
  <c r="Z99" i="12"/>
  <c r="R99" i="12"/>
  <c r="Q99" i="12"/>
  <c r="P99" i="12"/>
  <c r="C99" i="12"/>
  <c r="A99" i="12"/>
  <c r="AE98" i="12"/>
  <c r="AA98" i="12"/>
  <c r="Z98" i="12"/>
  <c r="R98" i="12"/>
  <c r="Q98" i="12"/>
  <c r="P98" i="12"/>
  <c r="C98" i="12"/>
  <c r="A98" i="12"/>
  <c r="AE97" i="12"/>
  <c r="AA97" i="12"/>
  <c r="Z97" i="12"/>
  <c r="R97" i="12"/>
  <c r="Q97" i="12"/>
  <c r="P97" i="12"/>
  <c r="C97" i="12"/>
  <c r="A97" i="12"/>
  <c r="AE96" i="12"/>
  <c r="AA96" i="12"/>
  <c r="Z96" i="12"/>
  <c r="R96" i="12"/>
  <c r="Q96" i="12"/>
  <c r="P96" i="12"/>
  <c r="C96" i="12"/>
  <c r="A96" i="12"/>
  <c r="AE95" i="12"/>
  <c r="AA95" i="12"/>
  <c r="Z95" i="12"/>
  <c r="R95" i="12"/>
  <c r="Q95" i="12"/>
  <c r="P95" i="12"/>
  <c r="C95" i="12"/>
  <c r="A95" i="12"/>
  <c r="AE94" i="12"/>
  <c r="AA94" i="12"/>
  <c r="Z94" i="12"/>
  <c r="R94" i="12"/>
  <c r="Q94" i="12"/>
  <c r="P94" i="12"/>
  <c r="C94" i="12"/>
  <c r="A94" i="12"/>
  <c r="AE93" i="12"/>
  <c r="AA93" i="12"/>
  <c r="Z93" i="12"/>
  <c r="R93" i="12"/>
  <c r="Q93" i="12"/>
  <c r="P93" i="12"/>
  <c r="C93" i="12"/>
  <c r="A93" i="12"/>
  <c r="AE92" i="12"/>
  <c r="AA92" i="12"/>
  <c r="Z92" i="12"/>
  <c r="R92" i="12"/>
  <c r="Q92" i="12"/>
  <c r="P92" i="12"/>
  <c r="C92" i="12"/>
  <c r="A92" i="12"/>
  <c r="AE91" i="12"/>
  <c r="AA91" i="12"/>
  <c r="Z91" i="12"/>
  <c r="R91" i="12"/>
  <c r="Q91" i="12"/>
  <c r="P91" i="12"/>
  <c r="C91" i="12"/>
  <c r="A91" i="12"/>
  <c r="AE90" i="12"/>
  <c r="AA90" i="12"/>
  <c r="Z90" i="12"/>
  <c r="R90" i="12"/>
  <c r="Q90" i="12"/>
  <c r="P90" i="12"/>
  <c r="C90" i="12"/>
  <c r="A90" i="12"/>
  <c r="AE89" i="12"/>
  <c r="AA89" i="12"/>
  <c r="Z89" i="12"/>
  <c r="R89" i="12"/>
  <c r="Q89" i="12"/>
  <c r="P89" i="12"/>
  <c r="C89" i="12"/>
  <c r="A89" i="12"/>
  <c r="AE88" i="12"/>
  <c r="AA88" i="12"/>
  <c r="Z88" i="12"/>
  <c r="R88" i="12"/>
  <c r="Q88" i="12"/>
  <c r="P88" i="12"/>
  <c r="C88" i="12"/>
  <c r="A88" i="12"/>
  <c r="AE87" i="12"/>
  <c r="AA87" i="12"/>
  <c r="Z87" i="12"/>
  <c r="R87" i="12"/>
  <c r="Q87" i="12"/>
  <c r="P87" i="12"/>
  <c r="C87" i="12"/>
  <c r="A87" i="12"/>
  <c r="AE86" i="12"/>
  <c r="AA86" i="12"/>
  <c r="Z86" i="12"/>
  <c r="R86" i="12"/>
  <c r="Q86" i="12"/>
  <c r="P86" i="12"/>
  <c r="C86" i="12"/>
  <c r="A86" i="12"/>
  <c r="AE85" i="12"/>
  <c r="AA85" i="12"/>
  <c r="Z85" i="12"/>
  <c r="R85" i="12"/>
  <c r="Q85" i="12"/>
  <c r="P85" i="12"/>
  <c r="C85" i="12"/>
  <c r="A85" i="12"/>
  <c r="AE84" i="12"/>
  <c r="AA84" i="12"/>
  <c r="Z84" i="12"/>
  <c r="R84" i="12"/>
  <c r="Q84" i="12"/>
  <c r="P84" i="12"/>
  <c r="C84" i="12"/>
  <c r="A84" i="12"/>
  <c r="AE83" i="12"/>
  <c r="AA83" i="12"/>
  <c r="Z83" i="12"/>
  <c r="R83" i="12"/>
  <c r="Q83" i="12"/>
  <c r="P83" i="12"/>
  <c r="C83" i="12"/>
  <c r="A83" i="12"/>
  <c r="AE82" i="12"/>
  <c r="AA82" i="12"/>
  <c r="Z82" i="12"/>
  <c r="R82" i="12"/>
  <c r="Q82" i="12"/>
  <c r="P82" i="12"/>
  <c r="C82" i="12"/>
  <c r="A82" i="12"/>
  <c r="AE81" i="12"/>
  <c r="AA81" i="12"/>
  <c r="Z81" i="12"/>
  <c r="R81" i="12"/>
  <c r="Q81" i="12"/>
  <c r="P81" i="12"/>
  <c r="C81" i="12"/>
  <c r="A81" i="12"/>
  <c r="AE80" i="12"/>
  <c r="AA80" i="12"/>
  <c r="Z80" i="12"/>
  <c r="R80" i="12"/>
  <c r="Q80" i="12"/>
  <c r="P80" i="12"/>
  <c r="C80" i="12"/>
  <c r="A80" i="12"/>
  <c r="AE79" i="12"/>
  <c r="AA79" i="12"/>
  <c r="Z79" i="12"/>
  <c r="R79" i="12"/>
  <c r="Q79" i="12"/>
  <c r="P79" i="12"/>
  <c r="C79" i="12"/>
  <c r="A79" i="12"/>
  <c r="AE78" i="12"/>
  <c r="AA78" i="12"/>
  <c r="Z78" i="12"/>
  <c r="R78" i="12"/>
  <c r="Q78" i="12"/>
  <c r="P78" i="12"/>
  <c r="C78" i="12"/>
  <c r="A78" i="12"/>
  <c r="AE77" i="12"/>
  <c r="AA77" i="12"/>
  <c r="Z77" i="12"/>
  <c r="R77" i="12"/>
  <c r="Q77" i="12"/>
  <c r="P77" i="12"/>
  <c r="C77" i="12"/>
  <c r="A77" i="12"/>
  <c r="AE76" i="12"/>
  <c r="AA76" i="12"/>
  <c r="Z76" i="12"/>
  <c r="R76" i="12"/>
  <c r="Q76" i="12"/>
  <c r="P76" i="12"/>
  <c r="C76" i="12"/>
  <c r="A76" i="12"/>
  <c r="AE75" i="12"/>
  <c r="AA75" i="12"/>
  <c r="Z75" i="12"/>
  <c r="R75" i="12"/>
  <c r="Q75" i="12"/>
  <c r="P75" i="12"/>
  <c r="C75" i="12"/>
  <c r="A75" i="12"/>
  <c r="AE74" i="12"/>
  <c r="AA74" i="12"/>
  <c r="Z74" i="12"/>
  <c r="R74" i="12"/>
  <c r="Q74" i="12"/>
  <c r="P74" i="12"/>
  <c r="C74" i="12"/>
  <c r="A74" i="12"/>
  <c r="AE73" i="12"/>
  <c r="AA73" i="12"/>
  <c r="Z73" i="12"/>
  <c r="R73" i="12"/>
  <c r="Q73" i="12"/>
  <c r="P73" i="12"/>
  <c r="C73" i="12"/>
  <c r="A73" i="12"/>
  <c r="AE72" i="12"/>
  <c r="AA72" i="12"/>
  <c r="Z72" i="12"/>
  <c r="R72" i="12"/>
  <c r="Q72" i="12"/>
  <c r="P72" i="12"/>
  <c r="C72" i="12"/>
  <c r="A72" i="12"/>
  <c r="AE71" i="12"/>
  <c r="AA71" i="12"/>
  <c r="Z71" i="12"/>
  <c r="R71" i="12"/>
  <c r="Q71" i="12"/>
  <c r="P71" i="12"/>
  <c r="C71" i="12"/>
  <c r="A71" i="12"/>
  <c r="AE70" i="12"/>
  <c r="AA70" i="12"/>
  <c r="Z70" i="12"/>
  <c r="R70" i="12"/>
  <c r="Q70" i="12"/>
  <c r="P70" i="12"/>
  <c r="C70" i="12"/>
  <c r="A70" i="12"/>
  <c r="AE69" i="12"/>
  <c r="AA69" i="12"/>
  <c r="Z69" i="12"/>
  <c r="R69" i="12"/>
  <c r="Q69" i="12"/>
  <c r="P69" i="12"/>
  <c r="C69" i="12"/>
  <c r="A69" i="12"/>
  <c r="AE68" i="12"/>
  <c r="AA68" i="12"/>
  <c r="Z68" i="12"/>
  <c r="R68" i="12"/>
  <c r="Q68" i="12"/>
  <c r="P68" i="12"/>
  <c r="C68" i="12"/>
  <c r="A68" i="12"/>
  <c r="AE67" i="12"/>
  <c r="AA67" i="12"/>
  <c r="Z67" i="12"/>
  <c r="R67" i="12"/>
  <c r="Q67" i="12"/>
  <c r="P67" i="12"/>
  <c r="C67" i="12"/>
  <c r="A67" i="12"/>
  <c r="AE66" i="12"/>
  <c r="AA66" i="12"/>
  <c r="Z66" i="12"/>
  <c r="R66" i="12"/>
  <c r="Q66" i="12"/>
  <c r="P66" i="12"/>
  <c r="C66" i="12"/>
  <c r="A66" i="12"/>
  <c r="AE65" i="12"/>
  <c r="AA65" i="12"/>
  <c r="Z65" i="12"/>
  <c r="R65" i="12"/>
  <c r="Q65" i="12"/>
  <c r="P65" i="12"/>
  <c r="C65" i="12"/>
  <c r="A65" i="12"/>
  <c r="AE64" i="12"/>
  <c r="AA64" i="12"/>
  <c r="Z64" i="12"/>
  <c r="R64" i="12"/>
  <c r="Q64" i="12"/>
  <c r="P64" i="12"/>
  <c r="C64" i="12"/>
  <c r="A64" i="12"/>
  <c r="AE63" i="12"/>
  <c r="AA63" i="12"/>
  <c r="Z63" i="12"/>
  <c r="R63" i="12"/>
  <c r="Q63" i="12"/>
  <c r="P63" i="12"/>
  <c r="C63" i="12"/>
  <c r="A63" i="12"/>
  <c r="AE62" i="12"/>
  <c r="AA62" i="12"/>
  <c r="Z62" i="12"/>
  <c r="R62" i="12"/>
  <c r="Q62" i="12"/>
  <c r="P62" i="12"/>
  <c r="C62" i="12"/>
  <c r="A62" i="12"/>
  <c r="AE61" i="12"/>
  <c r="AA61" i="12"/>
  <c r="Z61" i="12"/>
  <c r="R61" i="12"/>
  <c r="Q61" i="12"/>
  <c r="P61" i="12"/>
  <c r="C61" i="12"/>
  <c r="A61" i="12"/>
  <c r="AE60" i="12"/>
  <c r="AA60" i="12"/>
  <c r="Z60" i="12"/>
  <c r="R60" i="12"/>
  <c r="Q60" i="12"/>
  <c r="P60" i="12"/>
  <c r="C60" i="12"/>
  <c r="A60" i="12"/>
  <c r="AE59" i="12"/>
  <c r="AA59" i="12"/>
  <c r="Z59" i="12"/>
  <c r="R59" i="12"/>
  <c r="Q59" i="12"/>
  <c r="P59" i="12"/>
  <c r="C59" i="12"/>
  <c r="A59" i="12"/>
  <c r="AE58" i="12"/>
  <c r="AA58" i="12"/>
  <c r="Z58" i="12"/>
  <c r="R58" i="12"/>
  <c r="Q58" i="12"/>
  <c r="P58" i="12"/>
  <c r="C58" i="12"/>
  <c r="A58" i="12"/>
  <c r="AE57" i="12"/>
  <c r="AA57" i="12"/>
  <c r="Z57" i="12"/>
  <c r="R57" i="12"/>
  <c r="Q57" i="12"/>
  <c r="P57" i="12"/>
  <c r="C57" i="12"/>
  <c r="A57" i="12"/>
  <c r="AE56" i="12"/>
  <c r="AA56" i="12"/>
  <c r="Z56" i="12"/>
  <c r="R56" i="12"/>
  <c r="Q56" i="12"/>
  <c r="P56" i="12"/>
  <c r="C56" i="12"/>
  <c r="A56" i="12"/>
  <c r="AE55" i="12"/>
  <c r="AA55" i="12"/>
  <c r="Z55" i="12"/>
  <c r="R55" i="12"/>
  <c r="Q55" i="12"/>
  <c r="P55" i="12"/>
  <c r="C55" i="12"/>
  <c r="A55" i="12"/>
  <c r="AE54" i="12"/>
  <c r="AA54" i="12"/>
  <c r="Z54" i="12"/>
  <c r="R54" i="12"/>
  <c r="Q54" i="12"/>
  <c r="P54" i="12"/>
  <c r="C54" i="12"/>
  <c r="A54" i="12"/>
  <c r="AE53" i="12"/>
  <c r="AA53" i="12"/>
  <c r="Z53" i="12"/>
  <c r="R53" i="12"/>
  <c r="Q53" i="12"/>
  <c r="P53" i="12"/>
  <c r="C53" i="12"/>
  <c r="A53" i="12"/>
  <c r="AE52" i="12"/>
  <c r="AA52" i="12"/>
  <c r="Z52" i="12"/>
  <c r="R52" i="12"/>
  <c r="Q52" i="12"/>
  <c r="P52" i="12"/>
  <c r="C52" i="12"/>
  <c r="A52" i="12"/>
  <c r="AE51" i="12"/>
  <c r="AA51" i="12"/>
  <c r="Z51" i="12"/>
  <c r="R51" i="12"/>
  <c r="Q51" i="12"/>
  <c r="P51" i="12"/>
  <c r="C51" i="12"/>
  <c r="A51" i="12"/>
  <c r="AE50" i="12"/>
  <c r="AA50" i="12"/>
  <c r="Z50" i="12"/>
  <c r="R50" i="12"/>
  <c r="Q50" i="12"/>
  <c r="P50" i="12"/>
  <c r="C50" i="12"/>
  <c r="A50" i="12"/>
  <c r="AE49" i="12"/>
  <c r="AA49" i="12"/>
  <c r="Z49" i="12"/>
  <c r="R49" i="12"/>
  <c r="Q49" i="12"/>
  <c r="P49" i="12"/>
  <c r="C49" i="12"/>
  <c r="A49" i="12"/>
  <c r="AE48" i="12"/>
  <c r="AA48" i="12"/>
  <c r="Z48" i="12"/>
  <c r="R48" i="12"/>
  <c r="Q48" i="12"/>
  <c r="P48" i="12"/>
  <c r="C48" i="12"/>
  <c r="A48" i="12"/>
  <c r="AE47" i="12"/>
  <c r="AA47" i="12"/>
  <c r="Z47" i="12"/>
  <c r="R47" i="12"/>
  <c r="Q47" i="12"/>
  <c r="P47" i="12"/>
  <c r="C47" i="12"/>
  <c r="A47" i="12"/>
  <c r="AE46" i="12"/>
  <c r="AA46" i="12"/>
  <c r="Z46" i="12"/>
  <c r="R46" i="12"/>
  <c r="Q46" i="12"/>
  <c r="P46" i="12"/>
  <c r="C46" i="12"/>
  <c r="A46" i="12"/>
  <c r="AE45" i="12"/>
  <c r="AA45" i="12"/>
  <c r="Z45" i="12"/>
  <c r="R45" i="12"/>
  <c r="Q45" i="12"/>
  <c r="P45" i="12"/>
  <c r="C45" i="12"/>
  <c r="A45" i="12"/>
  <c r="AE44" i="12"/>
  <c r="AA44" i="12"/>
  <c r="Z44" i="12"/>
  <c r="R44" i="12"/>
  <c r="Q44" i="12"/>
  <c r="P44" i="12"/>
  <c r="C44" i="12"/>
  <c r="A44" i="12"/>
  <c r="AE43" i="12"/>
  <c r="AA43" i="12"/>
  <c r="Z43" i="12"/>
  <c r="R43" i="12"/>
  <c r="Q43" i="12"/>
  <c r="P43" i="12"/>
  <c r="C43" i="12"/>
  <c r="A43" i="12"/>
  <c r="AE42" i="12"/>
  <c r="AA42" i="12"/>
  <c r="Z42" i="12"/>
  <c r="R42" i="12"/>
  <c r="Q42" i="12"/>
  <c r="P42" i="12"/>
  <c r="C42" i="12"/>
  <c r="A42" i="12"/>
  <c r="AE41" i="12"/>
  <c r="AA41" i="12"/>
  <c r="Z41" i="12"/>
  <c r="R41" i="12"/>
  <c r="Q41" i="12"/>
  <c r="P41" i="12"/>
  <c r="C41" i="12"/>
  <c r="A41" i="12"/>
  <c r="AE40" i="12"/>
  <c r="AA40" i="12"/>
  <c r="Z40" i="12"/>
  <c r="R40" i="12"/>
  <c r="Q40" i="12"/>
  <c r="P40" i="12"/>
  <c r="C40" i="12"/>
  <c r="A40" i="12"/>
  <c r="AE39" i="12"/>
  <c r="AA39" i="12"/>
  <c r="Z39" i="12"/>
  <c r="R39" i="12"/>
  <c r="Q39" i="12"/>
  <c r="P39" i="12"/>
  <c r="C39" i="12"/>
  <c r="A39" i="12"/>
  <c r="AE38" i="12"/>
  <c r="AA38" i="12"/>
  <c r="Z38" i="12"/>
  <c r="R38" i="12"/>
  <c r="Q38" i="12"/>
  <c r="P38" i="12"/>
  <c r="C38" i="12"/>
  <c r="A38" i="12"/>
  <c r="AE37" i="12"/>
  <c r="AA37" i="12"/>
  <c r="Z37" i="12"/>
  <c r="R37" i="12"/>
  <c r="Q37" i="12"/>
  <c r="P37" i="12"/>
  <c r="C37" i="12"/>
  <c r="A37" i="12"/>
  <c r="AE36" i="12"/>
  <c r="AA36" i="12"/>
  <c r="Z36" i="12"/>
  <c r="R36" i="12"/>
  <c r="Q36" i="12"/>
  <c r="P36" i="12"/>
  <c r="C36" i="12"/>
  <c r="A36" i="12"/>
  <c r="AE35" i="12"/>
  <c r="AA35" i="12"/>
  <c r="Z35" i="12"/>
  <c r="R35" i="12"/>
  <c r="Q35" i="12"/>
  <c r="P35" i="12"/>
  <c r="C35" i="12"/>
  <c r="A35" i="12"/>
  <c r="AE34" i="12"/>
  <c r="AA34" i="12"/>
  <c r="Z34" i="12"/>
  <c r="R34" i="12"/>
  <c r="Q34" i="12"/>
  <c r="P34" i="12"/>
  <c r="C34" i="12"/>
  <c r="A34" i="12"/>
  <c r="AE33" i="12"/>
  <c r="AA33" i="12"/>
  <c r="Z33" i="12"/>
  <c r="R33" i="12"/>
  <c r="Q33" i="12"/>
  <c r="P33" i="12"/>
  <c r="C33" i="12"/>
  <c r="A33" i="12"/>
  <c r="AE32" i="12"/>
  <c r="AA32" i="12"/>
  <c r="Z32" i="12"/>
  <c r="R32" i="12"/>
  <c r="Q32" i="12"/>
  <c r="P32" i="12"/>
  <c r="C32" i="12"/>
  <c r="A32" i="12"/>
  <c r="AE31" i="12"/>
  <c r="AA31" i="12"/>
  <c r="Z31" i="12"/>
  <c r="R31" i="12"/>
  <c r="Q31" i="12"/>
  <c r="P31" i="12"/>
  <c r="C31" i="12"/>
  <c r="A31" i="12"/>
  <c r="AE30" i="12"/>
  <c r="AA30" i="12"/>
  <c r="Z30" i="12"/>
  <c r="R30" i="12"/>
  <c r="Q30" i="12"/>
  <c r="P30" i="12"/>
  <c r="C30" i="12"/>
  <c r="A30" i="12"/>
  <c r="AE29" i="12"/>
  <c r="AA29" i="12"/>
  <c r="Z29" i="12"/>
  <c r="R29" i="12"/>
  <c r="Q29" i="12"/>
  <c r="P29" i="12"/>
  <c r="C29" i="12"/>
  <c r="A29" i="12"/>
  <c r="AE28" i="12"/>
  <c r="AA28" i="12"/>
  <c r="Z28" i="12"/>
  <c r="R28" i="12"/>
  <c r="Q28" i="12"/>
  <c r="P28" i="12"/>
  <c r="C28" i="12"/>
  <c r="A28" i="12"/>
  <c r="AE27" i="12"/>
  <c r="AA27" i="12"/>
  <c r="Z27" i="12"/>
  <c r="R27" i="12"/>
  <c r="Q27" i="12"/>
  <c r="P27" i="12"/>
  <c r="C27" i="12"/>
  <c r="A27" i="12"/>
  <c r="AE26" i="12"/>
  <c r="AA26" i="12"/>
  <c r="Z26" i="12"/>
  <c r="R26" i="12"/>
  <c r="Q26" i="12"/>
  <c r="P26" i="12"/>
  <c r="C26" i="12"/>
  <c r="A26" i="12"/>
  <c r="AE25" i="12"/>
  <c r="AA25" i="12"/>
  <c r="Z25" i="12"/>
  <c r="R25" i="12"/>
  <c r="Q25" i="12"/>
  <c r="P25" i="12"/>
  <c r="C25" i="12"/>
  <c r="A25" i="12"/>
  <c r="AE24" i="12"/>
  <c r="AA24" i="12"/>
  <c r="Z24" i="12"/>
  <c r="R24" i="12"/>
  <c r="Q24" i="12"/>
  <c r="P24" i="12"/>
  <c r="C24" i="12"/>
  <c r="A24" i="12"/>
  <c r="AE23" i="12"/>
  <c r="AA23" i="12"/>
  <c r="Z23" i="12"/>
  <c r="R23" i="12"/>
  <c r="Q23" i="12"/>
  <c r="P23" i="12"/>
  <c r="C23" i="12"/>
  <c r="A23" i="12"/>
  <c r="AE22" i="12"/>
  <c r="AA22" i="12"/>
  <c r="Z22" i="12"/>
  <c r="R22" i="12"/>
  <c r="Q22" i="12"/>
  <c r="P22" i="12"/>
  <c r="C22" i="12"/>
  <c r="A22" i="12"/>
  <c r="AE21" i="12"/>
  <c r="AA21" i="12"/>
  <c r="Z21" i="12"/>
  <c r="R21" i="12"/>
  <c r="Q21" i="12"/>
  <c r="P21" i="12"/>
  <c r="C21" i="12"/>
  <c r="A21" i="12"/>
  <c r="AE20" i="12"/>
  <c r="AA20" i="12"/>
  <c r="Z20" i="12"/>
  <c r="R20" i="12"/>
  <c r="Q20" i="12"/>
  <c r="P20" i="12"/>
  <c r="C20" i="12"/>
  <c r="A20" i="12"/>
  <c r="AE19" i="12"/>
  <c r="AA19" i="12"/>
  <c r="Z19" i="12"/>
  <c r="R19" i="12"/>
  <c r="Q19" i="12"/>
  <c r="P19" i="12"/>
  <c r="C19" i="12"/>
  <c r="A19" i="12"/>
  <c r="AE18" i="12"/>
  <c r="AA18" i="12"/>
  <c r="Z18" i="12"/>
  <c r="R18" i="12"/>
  <c r="Q18" i="12"/>
  <c r="P18" i="12"/>
  <c r="C18" i="12"/>
  <c r="A18" i="12"/>
  <c r="AE17" i="12"/>
  <c r="AA17" i="12"/>
  <c r="Z17" i="12"/>
  <c r="R17" i="12"/>
  <c r="Q17" i="12"/>
  <c r="P17" i="12"/>
  <c r="C17" i="12"/>
  <c r="A17" i="12"/>
  <c r="AE16" i="12"/>
  <c r="AA16" i="12"/>
  <c r="Z16" i="12"/>
  <c r="R16" i="12"/>
  <c r="Q16" i="12"/>
  <c r="P16" i="12"/>
  <c r="C16" i="12"/>
  <c r="A16" i="12"/>
  <c r="AE15" i="12"/>
  <c r="AA15" i="12"/>
  <c r="Z15" i="12"/>
  <c r="R15" i="12"/>
  <c r="Q15" i="12"/>
  <c r="P15" i="12"/>
  <c r="C15" i="12"/>
  <c r="A15" i="12"/>
  <c r="AE14" i="12"/>
  <c r="AA14" i="12"/>
  <c r="Z14" i="12"/>
  <c r="R14" i="12"/>
  <c r="Q14" i="12"/>
  <c r="P14" i="12"/>
  <c r="C14" i="12"/>
  <c r="A14" i="12"/>
  <c r="D9" i="12"/>
  <c r="D8" i="12"/>
  <c r="D7" i="12"/>
  <c r="D6" i="12"/>
  <c r="D5" i="12"/>
  <c r="D4" i="12"/>
  <c r="O3" i="12"/>
  <c r="F1" i="12"/>
  <c r="AE163" i="11"/>
  <c r="AA163" i="11"/>
  <c r="Z163" i="11"/>
  <c r="R163" i="11"/>
  <c r="Q163" i="11"/>
  <c r="P163" i="11"/>
  <c r="C163" i="11"/>
  <c r="A163" i="11"/>
  <c r="AE162" i="11"/>
  <c r="AA162" i="11"/>
  <c r="Z162" i="11"/>
  <c r="R162" i="11"/>
  <c r="Q162" i="11"/>
  <c r="P162" i="11"/>
  <c r="C162" i="11"/>
  <c r="A162" i="11"/>
  <c r="AE161" i="11"/>
  <c r="AA161" i="11"/>
  <c r="Z161" i="11"/>
  <c r="R161" i="11"/>
  <c r="Q161" i="11"/>
  <c r="P161" i="11"/>
  <c r="C161" i="11"/>
  <c r="A161" i="11"/>
  <c r="AE160" i="11"/>
  <c r="AA160" i="11"/>
  <c r="Z160" i="11"/>
  <c r="R160" i="11"/>
  <c r="Q160" i="11"/>
  <c r="P160" i="11"/>
  <c r="C160" i="11"/>
  <c r="A160" i="11"/>
  <c r="AE159" i="11"/>
  <c r="AA159" i="11"/>
  <c r="Z159" i="11"/>
  <c r="R159" i="11"/>
  <c r="Q159" i="11"/>
  <c r="P159" i="11"/>
  <c r="C159" i="11"/>
  <c r="A159" i="11"/>
  <c r="AE158" i="11"/>
  <c r="AA158" i="11"/>
  <c r="Z158" i="11"/>
  <c r="R158" i="11"/>
  <c r="Q158" i="11"/>
  <c r="P158" i="11"/>
  <c r="C158" i="11"/>
  <c r="A158" i="11"/>
  <c r="AE157" i="11"/>
  <c r="AA157" i="11"/>
  <c r="Z157" i="11"/>
  <c r="R157" i="11"/>
  <c r="Q157" i="11"/>
  <c r="P157" i="11"/>
  <c r="C157" i="11"/>
  <c r="A157" i="11"/>
  <c r="AE156" i="11"/>
  <c r="AA156" i="11"/>
  <c r="Z156" i="11"/>
  <c r="R156" i="11"/>
  <c r="Q156" i="11"/>
  <c r="P156" i="11"/>
  <c r="C156" i="11"/>
  <c r="A156" i="11"/>
  <c r="AE155" i="11"/>
  <c r="AA155" i="11"/>
  <c r="Z155" i="11"/>
  <c r="R155" i="11"/>
  <c r="Q155" i="11"/>
  <c r="P155" i="11"/>
  <c r="C155" i="11"/>
  <c r="A155" i="11"/>
  <c r="AE154" i="11"/>
  <c r="AA154" i="11"/>
  <c r="Z154" i="11"/>
  <c r="R154" i="11"/>
  <c r="Q154" i="11"/>
  <c r="P154" i="11"/>
  <c r="C154" i="11"/>
  <c r="A154" i="11"/>
  <c r="AE153" i="11"/>
  <c r="AA153" i="11"/>
  <c r="Z153" i="11"/>
  <c r="R153" i="11"/>
  <c r="Q153" i="11"/>
  <c r="P153" i="11"/>
  <c r="C153" i="11"/>
  <c r="A153" i="11"/>
  <c r="AE152" i="11"/>
  <c r="AA152" i="11"/>
  <c r="Z152" i="11"/>
  <c r="R152" i="11"/>
  <c r="Q152" i="11"/>
  <c r="P152" i="11"/>
  <c r="C152" i="11"/>
  <c r="A152" i="11"/>
  <c r="AE151" i="11"/>
  <c r="AA151" i="11"/>
  <c r="Z151" i="11"/>
  <c r="R151" i="11"/>
  <c r="Q151" i="11"/>
  <c r="P151" i="11"/>
  <c r="C151" i="11"/>
  <c r="A151" i="11"/>
  <c r="AE150" i="11"/>
  <c r="AA150" i="11"/>
  <c r="Z150" i="11"/>
  <c r="R150" i="11"/>
  <c r="Q150" i="11"/>
  <c r="P150" i="11"/>
  <c r="C150" i="11"/>
  <c r="A150" i="11"/>
  <c r="AE149" i="11"/>
  <c r="AA149" i="11"/>
  <c r="Z149" i="11"/>
  <c r="R149" i="11"/>
  <c r="Q149" i="11"/>
  <c r="P149" i="11"/>
  <c r="C149" i="11"/>
  <c r="A149" i="11"/>
  <c r="AE148" i="11"/>
  <c r="AA148" i="11"/>
  <c r="Z148" i="11"/>
  <c r="R148" i="11"/>
  <c r="Q148" i="11"/>
  <c r="P148" i="11"/>
  <c r="C148" i="11"/>
  <c r="A148" i="11"/>
  <c r="AE147" i="11"/>
  <c r="AA147" i="11"/>
  <c r="Z147" i="11"/>
  <c r="R147" i="11"/>
  <c r="Q147" i="11"/>
  <c r="P147" i="11"/>
  <c r="C147" i="11"/>
  <c r="A147" i="11"/>
  <c r="AE146" i="11"/>
  <c r="AA146" i="11"/>
  <c r="Z146" i="11"/>
  <c r="R146" i="11"/>
  <c r="Q146" i="11"/>
  <c r="P146" i="11"/>
  <c r="C146" i="11"/>
  <c r="A146" i="11"/>
  <c r="AE145" i="11"/>
  <c r="AA145" i="11"/>
  <c r="Z145" i="11"/>
  <c r="R145" i="11"/>
  <c r="Q145" i="11"/>
  <c r="P145" i="11"/>
  <c r="C145" i="11"/>
  <c r="A145" i="11"/>
  <c r="AE144" i="11"/>
  <c r="AA144" i="11"/>
  <c r="Z144" i="11"/>
  <c r="R144" i="11"/>
  <c r="Q144" i="11"/>
  <c r="P144" i="11"/>
  <c r="C144" i="11"/>
  <c r="A144" i="11"/>
  <c r="AE143" i="11"/>
  <c r="AA143" i="11"/>
  <c r="Z143" i="11"/>
  <c r="R143" i="11"/>
  <c r="Q143" i="11"/>
  <c r="P143" i="11"/>
  <c r="C143" i="11"/>
  <c r="A143" i="11"/>
  <c r="AE142" i="11"/>
  <c r="AA142" i="11"/>
  <c r="Z142" i="11"/>
  <c r="R142" i="11"/>
  <c r="Q142" i="11"/>
  <c r="P142" i="11"/>
  <c r="C142" i="11"/>
  <c r="A142" i="11"/>
  <c r="AE141" i="11"/>
  <c r="AA141" i="11"/>
  <c r="Z141" i="11"/>
  <c r="R141" i="11"/>
  <c r="Q141" i="11"/>
  <c r="P141" i="11"/>
  <c r="C141" i="11"/>
  <c r="A141" i="11"/>
  <c r="AE140" i="11"/>
  <c r="AA140" i="11"/>
  <c r="Z140" i="11"/>
  <c r="R140" i="11"/>
  <c r="Q140" i="11"/>
  <c r="P140" i="11"/>
  <c r="C140" i="11"/>
  <c r="A140" i="11"/>
  <c r="AE139" i="11"/>
  <c r="AA139" i="11"/>
  <c r="Z139" i="11"/>
  <c r="R139" i="11"/>
  <c r="Q139" i="11"/>
  <c r="P139" i="11"/>
  <c r="C139" i="11"/>
  <c r="A139" i="11"/>
  <c r="AE138" i="11"/>
  <c r="AA138" i="11"/>
  <c r="Z138" i="11"/>
  <c r="R138" i="11"/>
  <c r="Q138" i="11"/>
  <c r="P138" i="11"/>
  <c r="C138" i="11"/>
  <c r="A138" i="11"/>
  <c r="AE137" i="11"/>
  <c r="AA137" i="11"/>
  <c r="Z137" i="11"/>
  <c r="R137" i="11"/>
  <c r="Q137" i="11"/>
  <c r="P137" i="11"/>
  <c r="C137" i="11"/>
  <c r="A137" i="11"/>
  <c r="AE136" i="11"/>
  <c r="AA136" i="11"/>
  <c r="Z136" i="11"/>
  <c r="R136" i="11"/>
  <c r="Q136" i="11"/>
  <c r="P136" i="11"/>
  <c r="C136" i="11"/>
  <c r="A136" i="11"/>
  <c r="AE135" i="11"/>
  <c r="AA135" i="11"/>
  <c r="Z135" i="11"/>
  <c r="R135" i="11"/>
  <c r="Q135" i="11"/>
  <c r="P135" i="11"/>
  <c r="C135" i="11"/>
  <c r="A135" i="11"/>
  <c r="AE134" i="11"/>
  <c r="AA134" i="11"/>
  <c r="Z134" i="11"/>
  <c r="R134" i="11"/>
  <c r="Q134" i="11"/>
  <c r="P134" i="11"/>
  <c r="C134" i="11"/>
  <c r="A134" i="11"/>
  <c r="AE133" i="11"/>
  <c r="AA133" i="11"/>
  <c r="Z133" i="11"/>
  <c r="R133" i="11"/>
  <c r="Q133" i="11"/>
  <c r="P133" i="11"/>
  <c r="C133" i="11"/>
  <c r="A133" i="11"/>
  <c r="AE132" i="11"/>
  <c r="AA132" i="11"/>
  <c r="Z132" i="11"/>
  <c r="R132" i="11"/>
  <c r="Q132" i="11"/>
  <c r="P132" i="11"/>
  <c r="C132" i="11"/>
  <c r="A132" i="11"/>
  <c r="AE131" i="11"/>
  <c r="AA131" i="11"/>
  <c r="Z131" i="11"/>
  <c r="R131" i="11"/>
  <c r="Q131" i="11"/>
  <c r="P131" i="11"/>
  <c r="C131" i="11"/>
  <c r="A131" i="11"/>
  <c r="AE130" i="11"/>
  <c r="AA130" i="11"/>
  <c r="Z130" i="11"/>
  <c r="R130" i="11"/>
  <c r="Q130" i="11"/>
  <c r="P130" i="11"/>
  <c r="C130" i="11"/>
  <c r="A130" i="11"/>
  <c r="AE129" i="11"/>
  <c r="AA129" i="11"/>
  <c r="Z129" i="11"/>
  <c r="R129" i="11"/>
  <c r="Q129" i="11"/>
  <c r="P129" i="11"/>
  <c r="C129" i="11"/>
  <c r="A129" i="11"/>
  <c r="AE128" i="11"/>
  <c r="AA128" i="11"/>
  <c r="Z128" i="11"/>
  <c r="R128" i="11"/>
  <c r="Q128" i="11"/>
  <c r="P128" i="11"/>
  <c r="C128" i="11"/>
  <c r="A128" i="11"/>
  <c r="AE127" i="11"/>
  <c r="AA127" i="11"/>
  <c r="Z127" i="11"/>
  <c r="R127" i="11"/>
  <c r="Q127" i="11"/>
  <c r="P127" i="11"/>
  <c r="C127" i="11"/>
  <c r="A127" i="11"/>
  <c r="AE126" i="11"/>
  <c r="AA126" i="11"/>
  <c r="Z126" i="11"/>
  <c r="R126" i="11"/>
  <c r="Q126" i="11"/>
  <c r="P126" i="11"/>
  <c r="C126" i="11"/>
  <c r="A126" i="11"/>
  <c r="AE125" i="11"/>
  <c r="AA125" i="11"/>
  <c r="Z125" i="11"/>
  <c r="R125" i="11"/>
  <c r="Q125" i="11"/>
  <c r="P125" i="11"/>
  <c r="C125" i="11"/>
  <c r="A125" i="11"/>
  <c r="AE124" i="11"/>
  <c r="AA124" i="11"/>
  <c r="Z124" i="11"/>
  <c r="R124" i="11"/>
  <c r="Q124" i="11"/>
  <c r="P124" i="11"/>
  <c r="C124" i="11"/>
  <c r="A124" i="11"/>
  <c r="AE123" i="11"/>
  <c r="AA123" i="11"/>
  <c r="Z123" i="11"/>
  <c r="R123" i="11"/>
  <c r="Q123" i="11"/>
  <c r="P123" i="11"/>
  <c r="C123" i="11"/>
  <c r="A123" i="11"/>
  <c r="AE122" i="11"/>
  <c r="AA122" i="11"/>
  <c r="Z122" i="11"/>
  <c r="R122" i="11"/>
  <c r="Q122" i="11"/>
  <c r="P122" i="11"/>
  <c r="C122" i="11"/>
  <c r="A122" i="11"/>
  <c r="AE121" i="11"/>
  <c r="AA121" i="11"/>
  <c r="Z121" i="11"/>
  <c r="R121" i="11"/>
  <c r="Q121" i="11"/>
  <c r="P121" i="11"/>
  <c r="C121" i="11"/>
  <c r="A121" i="11"/>
  <c r="AE120" i="11"/>
  <c r="AA120" i="11"/>
  <c r="Z120" i="11"/>
  <c r="R120" i="11"/>
  <c r="Q120" i="11"/>
  <c r="P120" i="11"/>
  <c r="C120" i="11"/>
  <c r="A120" i="11"/>
  <c r="AE119" i="11"/>
  <c r="AA119" i="11"/>
  <c r="Z119" i="11"/>
  <c r="R119" i="11"/>
  <c r="Q119" i="11"/>
  <c r="P119" i="11"/>
  <c r="C119" i="11"/>
  <c r="A119" i="11"/>
  <c r="AE118" i="11"/>
  <c r="AA118" i="11"/>
  <c r="Z118" i="11"/>
  <c r="R118" i="11"/>
  <c r="Q118" i="11"/>
  <c r="P118" i="11"/>
  <c r="C118" i="11"/>
  <c r="A118" i="11"/>
  <c r="AE117" i="11"/>
  <c r="AA117" i="11"/>
  <c r="Z117" i="11"/>
  <c r="R117" i="11"/>
  <c r="Q117" i="11"/>
  <c r="P117" i="11"/>
  <c r="C117" i="11"/>
  <c r="A117" i="11"/>
  <c r="AE116" i="11"/>
  <c r="AA116" i="11"/>
  <c r="Z116" i="11"/>
  <c r="R116" i="11"/>
  <c r="Q116" i="11"/>
  <c r="P116" i="11"/>
  <c r="C116" i="11"/>
  <c r="A116" i="11"/>
  <c r="AE115" i="11"/>
  <c r="AA115" i="11"/>
  <c r="Z115" i="11"/>
  <c r="R115" i="11"/>
  <c r="Q115" i="11"/>
  <c r="P115" i="11"/>
  <c r="C115" i="11"/>
  <c r="A115" i="11"/>
  <c r="AE114" i="11"/>
  <c r="AA114" i="11"/>
  <c r="Z114" i="11"/>
  <c r="R114" i="11"/>
  <c r="Q114" i="11"/>
  <c r="P114" i="11"/>
  <c r="C114" i="11"/>
  <c r="A114" i="11"/>
  <c r="AE113" i="11"/>
  <c r="AA113" i="11"/>
  <c r="Z113" i="11"/>
  <c r="R113" i="11"/>
  <c r="Q113" i="11"/>
  <c r="P113" i="11"/>
  <c r="C113" i="11"/>
  <c r="A113" i="11"/>
  <c r="AE112" i="11"/>
  <c r="AA112" i="11"/>
  <c r="Z112" i="11"/>
  <c r="R112" i="11"/>
  <c r="Q112" i="11"/>
  <c r="P112" i="11"/>
  <c r="C112" i="11"/>
  <c r="A112" i="11"/>
  <c r="AE111" i="11"/>
  <c r="AA111" i="11"/>
  <c r="Z111" i="11"/>
  <c r="R111" i="11"/>
  <c r="Q111" i="11"/>
  <c r="P111" i="11"/>
  <c r="C111" i="11"/>
  <c r="A111" i="11"/>
  <c r="AE110" i="11"/>
  <c r="AA110" i="11"/>
  <c r="Z110" i="11"/>
  <c r="R110" i="11"/>
  <c r="Q110" i="11"/>
  <c r="P110" i="11"/>
  <c r="C110" i="11"/>
  <c r="A110" i="11"/>
  <c r="AE109" i="11"/>
  <c r="AA109" i="11"/>
  <c r="Z109" i="11"/>
  <c r="R109" i="11"/>
  <c r="Q109" i="11"/>
  <c r="P109" i="11"/>
  <c r="C109" i="11"/>
  <c r="A109" i="11"/>
  <c r="AE108" i="11"/>
  <c r="AA108" i="11"/>
  <c r="Z108" i="11"/>
  <c r="R108" i="11"/>
  <c r="Q108" i="11"/>
  <c r="P108" i="11"/>
  <c r="C108" i="11"/>
  <c r="A108" i="11"/>
  <c r="AE107" i="11"/>
  <c r="AA107" i="11"/>
  <c r="Z107" i="11"/>
  <c r="R107" i="11"/>
  <c r="Q107" i="11"/>
  <c r="P107" i="11"/>
  <c r="C107" i="11"/>
  <c r="A107" i="11"/>
  <c r="AE106" i="11"/>
  <c r="AA106" i="11"/>
  <c r="Z106" i="11"/>
  <c r="R106" i="11"/>
  <c r="Q106" i="11"/>
  <c r="P106" i="11"/>
  <c r="C106" i="11"/>
  <c r="A106" i="11"/>
  <c r="AE105" i="11"/>
  <c r="AA105" i="11"/>
  <c r="Z105" i="11"/>
  <c r="R105" i="11"/>
  <c r="Q105" i="11"/>
  <c r="P105" i="11"/>
  <c r="C105" i="11"/>
  <c r="A105" i="11"/>
  <c r="AE104" i="11"/>
  <c r="AA104" i="11"/>
  <c r="Z104" i="11"/>
  <c r="R104" i="11"/>
  <c r="Q104" i="11"/>
  <c r="P104" i="11"/>
  <c r="C104" i="11"/>
  <c r="A104" i="11"/>
  <c r="AE103" i="11"/>
  <c r="AA103" i="11"/>
  <c r="Z103" i="11"/>
  <c r="R103" i="11"/>
  <c r="Q103" i="11"/>
  <c r="P103" i="11"/>
  <c r="C103" i="11"/>
  <c r="A103" i="11"/>
  <c r="AE102" i="11"/>
  <c r="AA102" i="11"/>
  <c r="Z102" i="11"/>
  <c r="R102" i="11"/>
  <c r="Q102" i="11"/>
  <c r="P102" i="11"/>
  <c r="C102" i="11"/>
  <c r="A102" i="11"/>
  <c r="AE101" i="11"/>
  <c r="AA101" i="11"/>
  <c r="Z101" i="11"/>
  <c r="R101" i="11"/>
  <c r="Q101" i="11"/>
  <c r="P101" i="11"/>
  <c r="C101" i="11"/>
  <c r="A101" i="11"/>
  <c r="AE100" i="11"/>
  <c r="AA100" i="11"/>
  <c r="Z100" i="11"/>
  <c r="R100" i="11"/>
  <c r="Q100" i="11"/>
  <c r="P100" i="11"/>
  <c r="C100" i="11"/>
  <c r="A100" i="11"/>
  <c r="AE99" i="11"/>
  <c r="AA99" i="11"/>
  <c r="Z99" i="11"/>
  <c r="R99" i="11"/>
  <c r="Q99" i="11"/>
  <c r="P99" i="11"/>
  <c r="C99" i="11"/>
  <c r="A99" i="11"/>
  <c r="AE98" i="11"/>
  <c r="AA98" i="11"/>
  <c r="Z98" i="11"/>
  <c r="R98" i="11"/>
  <c r="Q98" i="11"/>
  <c r="P98" i="11"/>
  <c r="C98" i="11"/>
  <c r="A98" i="11"/>
  <c r="AE97" i="11"/>
  <c r="AA97" i="11"/>
  <c r="Z97" i="11"/>
  <c r="R97" i="11"/>
  <c r="Q97" i="11"/>
  <c r="P97" i="11"/>
  <c r="C97" i="11"/>
  <c r="A97" i="11"/>
  <c r="AE96" i="11"/>
  <c r="AA96" i="11"/>
  <c r="Z96" i="11"/>
  <c r="R96" i="11"/>
  <c r="Q96" i="11"/>
  <c r="P96" i="11"/>
  <c r="C96" i="11"/>
  <c r="A96" i="11"/>
  <c r="AE95" i="11"/>
  <c r="AA95" i="11"/>
  <c r="Z95" i="11"/>
  <c r="R95" i="11"/>
  <c r="Q95" i="11"/>
  <c r="P95" i="11"/>
  <c r="C95" i="11"/>
  <c r="A95" i="11"/>
  <c r="AE94" i="11"/>
  <c r="AA94" i="11"/>
  <c r="Z94" i="11"/>
  <c r="R94" i="11"/>
  <c r="Q94" i="11"/>
  <c r="P94" i="11"/>
  <c r="C94" i="11"/>
  <c r="A94" i="11"/>
  <c r="AE93" i="11"/>
  <c r="AA93" i="11"/>
  <c r="Z93" i="11"/>
  <c r="R93" i="11"/>
  <c r="Q93" i="11"/>
  <c r="P93" i="11"/>
  <c r="C93" i="11"/>
  <c r="A93" i="11"/>
  <c r="AE92" i="11"/>
  <c r="AA92" i="11"/>
  <c r="Z92" i="11"/>
  <c r="R92" i="11"/>
  <c r="Q92" i="11"/>
  <c r="P92" i="11"/>
  <c r="C92" i="11"/>
  <c r="A92" i="11"/>
  <c r="AE91" i="11"/>
  <c r="AA91" i="11"/>
  <c r="Z91" i="11"/>
  <c r="R91" i="11"/>
  <c r="Q91" i="11"/>
  <c r="P91" i="11"/>
  <c r="C91" i="11"/>
  <c r="A91" i="11"/>
  <c r="AE90" i="11"/>
  <c r="AA90" i="11"/>
  <c r="Z90" i="11"/>
  <c r="R90" i="11"/>
  <c r="Q90" i="11"/>
  <c r="P90" i="11"/>
  <c r="C90" i="11"/>
  <c r="A90" i="11"/>
  <c r="AE89" i="11"/>
  <c r="AA89" i="11"/>
  <c r="Z89" i="11"/>
  <c r="R89" i="11"/>
  <c r="Q89" i="11"/>
  <c r="P89" i="11"/>
  <c r="C89" i="11"/>
  <c r="A89" i="11"/>
  <c r="AE88" i="11"/>
  <c r="AA88" i="11"/>
  <c r="Z88" i="11"/>
  <c r="R88" i="11"/>
  <c r="Q88" i="11"/>
  <c r="P88" i="11"/>
  <c r="C88" i="11"/>
  <c r="A88" i="11"/>
  <c r="AE87" i="11"/>
  <c r="AA87" i="11"/>
  <c r="Z87" i="11"/>
  <c r="R87" i="11"/>
  <c r="Q87" i="11"/>
  <c r="P87" i="11"/>
  <c r="C87" i="11"/>
  <c r="A87" i="11"/>
  <c r="AE86" i="11"/>
  <c r="AA86" i="11"/>
  <c r="Z86" i="11"/>
  <c r="R86" i="11"/>
  <c r="Q86" i="11"/>
  <c r="P86" i="11"/>
  <c r="C86" i="11"/>
  <c r="A86" i="11"/>
  <c r="AE85" i="11"/>
  <c r="AA85" i="11"/>
  <c r="Z85" i="11"/>
  <c r="R85" i="11"/>
  <c r="Q85" i="11"/>
  <c r="P85" i="11"/>
  <c r="C85" i="11"/>
  <c r="A85" i="11"/>
  <c r="AE84" i="11"/>
  <c r="AA84" i="11"/>
  <c r="Z84" i="11"/>
  <c r="R84" i="11"/>
  <c r="Q84" i="11"/>
  <c r="P84" i="11"/>
  <c r="C84" i="11"/>
  <c r="A84" i="11"/>
  <c r="AE83" i="11"/>
  <c r="AA83" i="11"/>
  <c r="Z83" i="11"/>
  <c r="R83" i="11"/>
  <c r="Q83" i="11"/>
  <c r="P83" i="11"/>
  <c r="C83" i="11"/>
  <c r="A83" i="11"/>
  <c r="AE82" i="11"/>
  <c r="AA82" i="11"/>
  <c r="Z82" i="11"/>
  <c r="R82" i="11"/>
  <c r="Q82" i="11"/>
  <c r="P82" i="11"/>
  <c r="C82" i="11"/>
  <c r="A82" i="11"/>
  <c r="AE81" i="11"/>
  <c r="AA81" i="11"/>
  <c r="Z81" i="11"/>
  <c r="R81" i="11"/>
  <c r="Q81" i="11"/>
  <c r="P81" i="11"/>
  <c r="C81" i="11"/>
  <c r="A81" i="11"/>
  <c r="AE80" i="11"/>
  <c r="AA80" i="11"/>
  <c r="Z80" i="11"/>
  <c r="R80" i="11"/>
  <c r="Q80" i="11"/>
  <c r="P80" i="11"/>
  <c r="C80" i="11"/>
  <c r="A80" i="11"/>
  <c r="AE79" i="11"/>
  <c r="AA79" i="11"/>
  <c r="Z79" i="11"/>
  <c r="R79" i="11"/>
  <c r="Q79" i="11"/>
  <c r="P79" i="11"/>
  <c r="C79" i="11"/>
  <c r="A79" i="11"/>
  <c r="AE78" i="11"/>
  <c r="AA78" i="11"/>
  <c r="Z78" i="11"/>
  <c r="R78" i="11"/>
  <c r="Q78" i="11"/>
  <c r="P78" i="11"/>
  <c r="C78" i="11"/>
  <c r="A78" i="11"/>
  <c r="AE77" i="11"/>
  <c r="AA77" i="11"/>
  <c r="Z77" i="11"/>
  <c r="R77" i="11"/>
  <c r="Q77" i="11"/>
  <c r="P77" i="11"/>
  <c r="C77" i="11"/>
  <c r="A77" i="11"/>
  <c r="AE76" i="11"/>
  <c r="AA76" i="11"/>
  <c r="Z76" i="11"/>
  <c r="R76" i="11"/>
  <c r="Q76" i="11"/>
  <c r="P76" i="11"/>
  <c r="C76" i="11"/>
  <c r="A76" i="11"/>
  <c r="AE75" i="11"/>
  <c r="AA75" i="11"/>
  <c r="Z75" i="11"/>
  <c r="R75" i="11"/>
  <c r="Q75" i="11"/>
  <c r="P75" i="11"/>
  <c r="C75" i="11"/>
  <c r="A75" i="11"/>
  <c r="AE74" i="11"/>
  <c r="AA74" i="11"/>
  <c r="Z74" i="11"/>
  <c r="R74" i="11"/>
  <c r="Q74" i="11"/>
  <c r="P74" i="11"/>
  <c r="C74" i="11"/>
  <c r="A74" i="11"/>
  <c r="AE73" i="11"/>
  <c r="AA73" i="11"/>
  <c r="Z73" i="11"/>
  <c r="R73" i="11"/>
  <c r="Q73" i="11"/>
  <c r="P73" i="11"/>
  <c r="C73" i="11"/>
  <c r="A73" i="11"/>
  <c r="AE72" i="11"/>
  <c r="AA72" i="11"/>
  <c r="Z72" i="11"/>
  <c r="R72" i="11"/>
  <c r="Q72" i="11"/>
  <c r="P72" i="11"/>
  <c r="C72" i="11"/>
  <c r="A72" i="11"/>
  <c r="AE71" i="11"/>
  <c r="AA71" i="11"/>
  <c r="Z71" i="11"/>
  <c r="R71" i="11"/>
  <c r="Q71" i="11"/>
  <c r="P71" i="11"/>
  <c r="C71" i="11"/>
  <c r="A71" i="11"/>
  <c r="AE70" i="11"/>
  <c r="AA70" i="11"/>
  <c r="Z70" i="11"/>
  <c r="R70" i="11"/>
  <c r="Q70" i="11"/>
  <c r="P70" i="11"/>
  <c r="C70" i="11"/>
  <c r="A70" i="11"/>
  <c r="AE69" i="11"/>
  <c r="AA69" i="11"/>
  <c r="Z69" i="11"/>
  <c r="R69" i="11"/>
  <c r="Q69" i="11"/>
  <c r="P69" i="11"/>
  <c r="C69" i="11"/>
  <c r="A69" i="11"/>
  <c r="AE68" i="11"/>
  <c r="AA68" i="11"/>
  <c r="Z68" i="11"/>
  <c r="R68" i="11"/>
  <c r="Q68" i="11"/>
  <c r="P68" i="11"/>
  <c r="C68" i="11"/>
  <c r="A68" i="11"/>
  <c r="AE67" i="11"/>
  <c r="AA67" i="11"/>
  <c r="Z67" i="11"/>
  <c r="R67" i="11"/>
  <c r="Q67" i="11"/>
  <c r="P67" i="11"/>
  <c r="C67" i="11"/>
  <c r="A67" i="11"/>
  <c r="AE66" i="11"/>
  <c r="AA66" i="11"/>
  <c r="Z66" i="11"/>
  <c r="R66" i="11"/>
  <c r="Q66" i="11"/>
  <c r="P66" i="11"/>
  <c r="C66" i="11"/>
  <c r="A66" i="11"/>
  <c r="AE65" i="11"/>
  <c r="AA65" i="11"/>
  <c r="Z65" i="11"/>
  <c r="R65" i="11"/>
  <c r="Q65" i="11"/>
  <c r="P65" i="11"/>
  <c r="C65" i="11"/>
  <c r="A65" i="11"/>
  <c r="AE64" i="11"/>
  <c r="AA64" i="11"/>
  <c r="Z64" i="11"/>
  <c r="R64" i="11"/>
  <c r="Q64" i="11"/>
  <c r="P64" i="11"/>
  <c r="C64" i="11"/>
  <c r="A64" i="11"/>
  <c r="AE63" i="11"/>
  <c r="AA63" i="11"/>
  <c r="Z63" i="11"/>
  <c r="R63" i="11"/>
  <c r="Q63" i="11"/>
  <c r="P63" i="11"/>
  <c r="C63" i="11"/>
  <c r="A63" i="11"/>
  <c r="AE62" i="11"/>
  <c r="AA62" i="11"/>
  <c r="Z62" i="11"/>
  <c r="R62" i="11"/>
  <c r="Q62" i="11"/>
  <c r="P62" i="11"/>
  <c r="C62" i="11"/>
  <c r="A62" i="11"/>
  <c r="AE61" i="11"/>
  <c r="AA61" i="11"/>
  <c r="Z61" i="11"/>
  <c r="R61" i="11"/>
  <c r="Q61" i="11"/>
  <c r="P61" i="11"/>
  <c r="C61" i="11"/>
  <c r="A61" i="11"/>
  <c r="AE60" i="11"/>
  <c r="AA60" i="11"/>
  <c r="Z60" i="11"/>
  <c r="R60" i="11"/>
  <c r="Q60" i="11"/>
  <c r="P60" i="11"/>
  <c r="C60" i="11"/>
  <c r="A60" i="11"/>
  <c r="AE59" i="11"/>
  <c r="AA59" i="11"/>
  <c r="Z59" i="11"/>
  <c r="R59" i="11"/>
  <c r="Q59" i="11"/>
  <c r="P59" i="11"/>
  <c r="C59" i="11"/>
  <c r="A59" i="11"/>
  <c r="AE58" i="11"/>
  <c r="AA58" i="11"/>
  <c r="Z58" i="11"/>
  <c r="R58" i="11"/>
  <c r="Q58" i="11"/>
  <c r="P58" i="11"/>
  <c r="C58" i="11"/>
  <c r="A58" i="11"/>
  <c r="AE57" i="11"/>
  <c r="AA57" i="11"/>
  <c r="Z57" i="11"/>
  <c r="R57" i="11"/>
  <c r="Q57" i="11"/>
  <c r="P57" i="11"/>
  <c r="C57" i="11"/>
  <c r="A57" i="11"/>
  <c r="AE56" i="11"/>
  <c r="AA56" i="11"/>
  <c r="Z56" i="11"/>
  <c r="R56" i="11"/>
  <c r="Q56" i="11"/>
  <c r="P56" i="11"/>
  <c r="C56" i="11"/>
  <c r="A56" i="11"/>
  <c r="AE55" i="11"/>
  <c r="AA55" i="11"/>
  <c r="Z55" i="11"/>
  <c r="R55" i="11"/>
  <c r="Q55" i="11"/>
  <c r="P55" i="11"/>
  <c r="C55" i="11"/>
  <c r="A55" i="11"/>
  <c r="AE54" i="11"/>
  <c r="AA54" i="11"/>
  <c r="Z54" i="11"/>
  <c r="R54" i="11"/>
  <c r="Q54" i="11"/>
  <c r="P54" i="11"/>
  <c r="C54" i="11"/>
  <c r="A54" i="11"/>
  <c r="AE53" i="11"/>
  <c r="AA53" i="11"/>
  <c r="Z53" i="11"/>
  <c r="R53" i="11"/>
  <c r="Q53" i="11"/>
  <c r="P53" i="11"/>
  <c r="C53" i="11"/>
  <c r="A53" i="11"/>
  <c r="AE52" i="11"/>
  <c r="AA52" i="11"/>
  <c r="Z52" i="11"/>
  <c r="R52" i="11"/>
  <c r="Q52" i="11"/>
  <c r="P52" i="11"/>
  <c r="C52" i="11"/>
  <c r="A52" i="11"/>
  <c r="AE51" i="11"/>
  <c r="AA51" i="11"/>
  <c r="Z51" i="11"/>
  <c r="R51" i="11"/>
  <c r="Q51" i="11"/>
  <c r="P51" i="11"/>
  <c r="C51" i="11"/>
  <c r="A51" i="11"/>
  <c r="AE50" i="11"/>
  <c r="AA50" i="11"/>
  <c r="Z50" i="11"/>
  <c r="R50" i="11"/>
  <c r="Q50" i="11"/>
  <c r="P50" i="11"/>
  <c r="C50" i="11"/>
  <c r="A50" i="11"/>
  <c r="AE49" i="11"/>
  <c r="AA49" i="11"/>
  <c r="Z49" i="11"/>
  <c r="R49" i="11"/>
  <c r="Q49" i="11"/>
  <c r="P49" i="11"/>
  <c r="C49" i="11"/>
  <c r="A49" i="11"/>
  <c r="AE48" i="11"/>
  <c r="AA48" i="11"/>
  <c r="Z48" i="11"/>
  <c r="R48" i="11"/>
  <c r="Q48" i="11"/>
  <c r="P48" i="11"/>
  <c r="C48" i="11"/>
  <c r="A48" i="11"/>
  <c r="AE47" i="11"/>
  <c r="AA47" i="11"/>
  <c r="Z47" i="11"/>
  <c r="R47" i="11"/>
  <c r="Q47" i="11"/>
  <c r="P47" i="11"/>
  <c r="C47" i="11"/>
  <c r="A47" i="11"/>
  <c r="AE46" i="11"/>
  <c r="AA46" i="11"/>
  <c r="Z46" i="11"/>
  <c r="R46" i="11"/>
  <c r="Q46" i="11"/>
  <c r="P46" i="11"/>
  <c r="C46" i="11"/>
  <c r="A46" i="11"/>
  <c r="AE45" i="11"/>
  <c r="AA45" i="11"/>
  <c r="Z45" i="11"/>
  <c r="R45" i="11"/>
  <c r="Q45" i="11"/>
  <c r="P45" i="11"/>
  <c r="C45" i="11"/>
  <c r="A45" i="11"/>
  <c r="AE44" i="11"/>
  <c r="AA44" i="11"/>
  <c r="Z44" i="11"/>
  <c r="R44" i="11"/>
  <c r="Q44" i="11"/>
  <c r="P44" i="11"/>
  <c r="C44" i="11"/>
  <c r="A44" i="11"/>
  <c r="AE43" i="11"/>
  <c r="AA43" i="11"/>
  <c r="Z43" i="11"/>
  <c r="R43" i="11"/>
  <c r="Q43" i="11"/>
  <c r="P43" i="11"/>
  <c r="C43" i="11"/>
  <c r="A43" i="11"/>
  <c r="AE42" i="11"/>
  <c r="AA42" i="11"/>
  <c r="Z42" i="11"/>
  <c r="R42" i="11"/>
  <c r="Q42" i="11"/>
  <c r="P42" i="11"/>
  <c r="C42" i="11"/>
  <c r="A42" i="11"/>
  <c r="AE41" i="11"/>
  <c r="AA41" i="11"/>
  <c r="Z41" i="11"/>
  <c r="R41" i="11"/>
  <c r="Q41" i="11"/>
  <c r="P41" i="11"/>
  <c r="C41" i="11"/>
  <c r="A41" i="11"/>
  <c r="AE40" i="11"/>
  <c r="AA40" i="11"/>
  <c r="Z40" i="11"/>
  <c r="R40" i="11"/>
  <c r="Q40" i="11"/>
  <c r="P40" i="11"/>
  <c r="C40" i="11"/>
  <c r="A40" i="11"/>
  <c r="AE39" i="11"/>
  <c r="AA39" i="11"/>
  <c r="Z39" i="11"/>
  <c r="R39" i="11"/>
  <c r="Q39" i="11"/>
  <c r="P39" i="11"/>
  <c r="C39" i="11"/>
  <c r="A39" i="11"/>
  <c r="AE38" i="11"/>
  <c r="AA38" i="11"/>
  <c r="Z38" i="11"/>
  <c r="R38" i="11"/>
  <c r="Q38" i="11"/>
  <c r="P38" i="11"/>
  <c r="C38" i="11"/>
  <c r="A38" i="11"/>
  <c r="AE37" i="11"/>
  <c r="AA37" i="11"/>
  <c r="Z37" i="11"/>
  <c r="R37" i="11"/>
  <c r="Q37" i="11"/>
  <c r="P37" i="11"/>
  <c r="C37" i="11"/>
  <c r="A37" i="11"/>
  <c r="AE36" i="11"/>
  <c r="AA36" i="11"/>
  <c r="Z36" i="11"/>
  <c r="R36" i="11"/>
  <c r="Q36" i="11"/>
  <c r="P36" i="11"/>
  <c r="C36" i="11"/>
  <c r="A36" i="11"/>
  <c r="AE35" i="11"/>
  <c r="AA35" i="11"/>
  <c r="Z35" i="11"/>
  <c r="R35" i="11"/>
  <c r="Q35" i="11"/>
  <c r="P35" i="11"/>
  <c r="C35" i="11"/>
  <c r="A35" i="11"/>
  <c r="AE34" i="11"/>
  <c r="AA34" i="11"/>
  <c r="Z34" i="11"/>
  <c r="R34" i="11"/>
  <c r="Q34" i="11"/>
  <c r="P34" i="11"/>
  <c r="C34" i="11"/>
  <c r="A34" i="11"/>
  <c r="AE33" i="11"/>
  <c r="AA33" i="11"/>
  <c r="Z33" i="11"/>
  <c r="R33" i="11"/>
  <c r="Q33" i="11"/>
  <c r="P33" i="11"/>
  <c r="C33" i="11"/>
  <c r="A33" i="11"/>
  <c r="AE32" i="11"/>
  <c r="AA32" i="11"/>
  <c r="Z32" i="11"/>
  <c r="R32" i="11"/>
  <c r="Q32" i="11"/>
  <c r="P32" i="11"/>
  <c r="C32" i="11"/>
  <c r="A32" i="11"/>
  <c r="AE31" i="11"/>
  <c r="AA31" i="11"/>
  <c r="Z31" i="11"/>
  <c r="R31" i="11"/>
  <c r="Q31" i="11"/>
  <c r="P31" i="11"/>
  <c r="C31" i="11"/>
  <c r="A31" i="11"/>
  <c r="AE30" i="11"/>
  <c r="AA30" i="11"/>
  <c r="Z30" i="11"/>
  <c r="R30" i="11"/>
  <c r="Q30" i="11"/>
  <c r="P30" i="11"/>
  <c r="C30" i="11"/>
  <c r="A30" i="11"/>
  <c r="AE29" i="11"/>
  <c r="AA29" i="11"/>
  <c r="Z29" i="11"/>
  <c r="R29" i="11"/>
  <c r="Q29" i="11"/>
  <c r="P29" i="11"/>
  <c r="C29" i="11"/>
  <c r="A29" i="11"/>
  <c r="AE28" i="11"/>
  <c r="AA28" i="11"/>
  <c r="Z28" i="11"/>
  <c r="R28" i="11"/>
  <c r="Q28" i="11"/>
  <c r="P28" i="11"/>
  <c r="C28" i="11"/>
  <c r="A28" i="11"/>
  <c r="AE27" i="11"/>
  <c r="AA27" i="11"/>
  <c r="Z27" i="11"/>
  <c r="R27" i="11"/>
  <c r="Q27" i="11"/>
  <c r="P27" i="11"/>
  <c r="C27" i="11"/>
  <c r="A27" i="11"/>
  <c r="AE26" i="11"/>
  <c r="AA26" i="11"/>
  <c r="Z26" i="11"/>
  <c r="R26" i="11"/>
  <c r="Q26" i="11"/>
  <c r="P26" i="11"/>
  <c r="C26" i="11"/>
  <c r="A26" i="11"/>
  <c r="AE25" i="11"/>
  <c r="AA25" i="11"/>
  <c r="Z25" i="11"/>
  <c r="R25" i="11"/>
  <c r="Q25" i="11"/>
  <c r="P25" i="11"/>
  <c r="C25" i="11"/>
  <c r="A25" i="11"/>
  <c r="AE24" i="11"/>
  <c r="AA24" i="11"/>
  <c r="Z24" i="11"/>
  <c r="R24" i="11"/>
  <c r="Q24" i="11"/>
  <c r="P24" i="11"/>
  <c r="C24" i="11"/>
  <c r="A24" i="11"/>
  <c r="AE23" i="11"/>
  <c r="AA23" i="11"/>
  <c r="Z23" i="11"/>
  <c r="R23" i="11"/>
  <c r="Q23" i="11"/>
  <c r="P23" i="11"/>
  <c r="C23" i="11"/>
  <c r="A23" i="11"/>
  <c r="AE22" i="11"/>
  <c r="AA22" i="11"/>
  <c r="Z22" i="11"/>
  <c r="R22" i="11"/>
  <c r="Q22" i="11"/>
  <c r="P22" i="11"/>
  <c r="C22" i="11"/>
  <c r="A22" i="11"/>
  <c r="AE21" i="11"/>
  <c r="AA21" i="11"/>
  <c r="Z21" i="11"/>
  <c r="R21" i="11"/>
  <c r="Q21" i="11"/>
  <c r="P21" i="11"/>
  <c r="C21" i="11"/>
  <c r="A21" i="11"/>
  <c r="AE20" i="11"/>
  <c r="AA20" i="11"/>
  <c r="Z20" i="11"/>
  <c r="R20" i="11"/>
  <c r="Q20" i="11"/>
  <c r="P20" i="11"/>
  <c r="C20" i="11"/>
  <c r="A20" i="11"/>
  <c r="AE19" i="11"/>
  <c r="AA19" i="11"/>
  <c r="Z19" i="11"/>
  <c r="R19" i="11"/>
  <c r="Q19" i="11"/>
  <c r="P19" i="11"/>
  <c r="C19" i="11"/>
  <c r="A19" i="11"/>
  <c r="AE18" i="11"/>
  <c r="AA18" i="11"/>
  <c r="Z18" i="11"/>
  <c r="R18" i="11"/>
  <c r="Q18" i="11"/>
  <c r="P18" i="11"/>
  <c r="C18" i="11"/>
  <c r="A18" i="11"/>
  <c r="AE17" i="11"/>
  <c r="AA17" i="11"/>
  <c r="Z17" i="11"/>
  <c r="R17" i="11"/>
  <c r="Q17" i="11"/>
  <c r="P17" i="11"/>
  <c r="C17" i="11"/>
  <c r="A17" i="11"/>
  <c r="AE16" i="11"/>
  <c r="AA16" i="11"/>
  <c r="Z16" i="11"/>
  <c r="R16" i="11"/>
  <c r="Q16" i="11"/>
  <c r="P16" i="11"/>
  <c r="C16" i="11"/>
  <c r="A16" i="11"/>
  <c r="AE15" i="11"/>
  <c r="AA15" i="11"/>
  <c r="Z15" i="11"/>
  <c r="R15" i="11"/>
  <c r="Q15" i="11"/>
  <c r="P15" i="11"/>
  <c r="C15" i="11"/>
  <c r="A15" i="11"/>
  <c r="AE14" i="11"/>
  <c r="AA14" i="11"/>
  <c r="J8" i="7" s="1"/>
  <c r="Z14" i="11"/>
  <c r="R14" i="11"/>
  <c r="Q14" i="11"/>
  <c r="P14" i="11"/>
  <c r="C14" i="11"/>
  <c r="A14" i="11"/>
  <c r="D9" i="11"/>
  <c r="D8" i="11"/>
  <c r="D7" i="11"/>
  <c r="D6" i="11"/>
  <c r="D5" i="11"/>
  <c r="D4" i="11"/>
  <c r="O3" i="11"/>
  <c r="F1" i="11"/>
  <c r="AE163" i="10"/>
  <c r="AA163" i="10"/>
  <c r="Z163" i="10"/>
  <c r="R163" i="10"/>
  <c r="Q163" i="10"/>
  <c r="P163" i="10"/>
  <c r="C163" i="10"/>
  <c r="A163" i="10"/>
  <c r="AE162" i="10"/>
  <c r="AA162" i="10"/>
  <c r="Z162" i="10"/>
  <c r="R162" i="10"/>
  <c r="Q162" i="10"/>
  <c r="P162" i="10"/>
  <c r="C162" i="10"/>
  <c r="A162" i="10"/>
  <c r="AE161" i="10"/>
  <c r="AA161" i="10"/>
  <c r="Z161" i="10"/>
  <c r="R161" i="10"/>
  <c r="Q161" i="10"/>
  <c r="P161" i="10"/>
  <c r="C161" i="10"/>
  <c r="A161" i="10"/>
  <c r="AE160" i="10"/>
  <c r="AA160" i="10"/>
  <c r="Z160" i="10"/>
  <c r="R160" i="10"/>
  <c r="Q160" i="10"/>
  <c r="P160" i="10"/>
  <c r="C160" i="10"/>
  <c r="A160" i="10"/>
  <c r="AE159" i="10"/>
  <c r="AA159" i="10"/>
  <c r="Z159" i="10"/>
  <c r="R159" i="10"/>
  <c r="Q159" i="10"/>
  <c r="P159" i="10"/>
  <c r="C159" i="10"/>
  <c r="A159" i="10"/>
  <c r="AE158" i="10"/>
  <c r="AA158" i="10"/>
  <c r="Z158" i="10"/>
  <c r="R158" i="10"/>
  <c r="Q158" i="10"/>
  <c r="P158" i="10"/>
  <c r="C158" i="10"/>
  <c r="A158" i="10"/>
  <c r="AE157" i="10"/>
  <c r="AA157" i="10"/>
  <c r="Z157" i="10"/>
  <c r="R157" i="10"/>
  <c r="Q157" i="10"/>
  <c r="P157" i="10"/>
  <c r="C157" i="10"/>
  <c r="A157" i="10"/>
  <c r="AE156" i="10"/>
  <c r="AA156" i="10"/>
  <c r="Z156" i="10"/>
  <c r="R156" i="10"/>
  <c r="Q156" i="10"/>
  <c r="P156" i="10"/>
  <c r="C156" i="10"/>
  <c r="A156" i="10"/>
  <c r="AE155" i="10"/>
  <c r="AA155" i="10"/>
  <c r="Z155" i="10"/>
  <c r="R155" i="10"/>
  <c r="Q155" i="10"/>
  <c r="P155" i="10"/>
  <c r="C155" i="10"/>
  <c r="A155" i="10"/>
  <c r="AE154" i="10"/>
  <c r="AA154" i="10"/>
  <c r="Z154" i="10"/>
  <c r="R154" i="10"/>
  <c r="Q154" i="10"/>
  <c r="P154" i="10"/>
  <c r="C154" i="10"/>
  <c r="A154" i="10"/>
  <c r="AE153" i="10"/>
  <c r="AA153" i="10"/>
  <c r="Z153" i="10"/>
  <c r="R153" i="10"/>
  <c r="Q153" i="10"/>
  <c r="P153" i="10"/>
  <c r="C153" i="10"/>
  <c r="A153" i="10"/>
  <c r="AE152" i="10"/>
  <c r="AA152" i="10"/>
  <c r="Z152" i="10"/>
  <c r="R152" i="10"/>
  <c r="Q152" i="10"/>
  <c r="P152" i="10"/>
  <c r="C152" i="10"/>
  <c r="A152" i="10"/>
  <c r="AE151" i="10"/>
  <c r="AA151" i="10"/>
  <c r="Z151" i="10"/>
  <c r="R151" i="10"/>
  <c r="Q151" i="10"/>
  <c r="P151" i="10"/>
  <c r="C151" i="10"/>
  <c r="A151" i="10"/>
  <c r="AE150" i="10"/>
  <c r="AA150" i="10"/>
  <c r="Z150" i="10"/>
  <c r="R150" i="10"/>
  <c r="Q150" i="10"/>
  <c r="P150" i="10"/>
  <c r="C150" i="10"/>
  <c r="A150" i="10"/>
  <c r="AE149" i="10"/>
  <c r="AA149" i="10"/>
  <c r="Z149" i="10"/>
  <c r="R149" i="10"/>
  <c r="Q149" i="10"/>
  <c r="P149" i="10"/>
  <c r="C149" i="10"/>
  <c r="A149" i="10"/>
  <c r="AE148" i="10"/>
  <c r="AA148" i="10"/>
  <c r="Z148" i="10"/>
  <c r="R148" i="10"/>
  <c r="Q148" i="10"/>
  <c r="P148" i="10"/>
  <c r="C148" i="10"/>
  <c r="A148" i="10"/>
  <c r="AE147" i="10"/>
  <c r="AA147" i="10"/>
  <c r="Z147" i="10"/>
  <c r="R147" i="10"/>
  <c r="Q147" i="10"/>
  <c r="P147" i="10"/>
  <c r="C147" i="10"/>
  <c r="A147" i="10"/>
  <c r="AE146" i="10"/>
  <c r="AA146" i="10"/>
  <c r="Z146" i="10"/>
  <c r="R146" i="10"/>
  <c r="Q146" i="10"/>
  <c r="P146" i="10"/>
  <c r="C146" i="10"/>
  <c r="A146" i="10"/>
  <c r="AE145" i="10"/>
  <c r="AA145" i="10"/>
  <c r="Z145" i="10"/>
  <c r="R145" i="10"/>
  <c r="Q145" i="10"/>
  <c r="P145" i="10"/>
  <c r="C145" i="10"/>
  <c r="A145" i="10"/>
  <c r="AE144" i="10"/>
  <c r="AA144" i="10"/>
  <c r="Z144" i="10"/>
  <c r="R144" i="10"/>
  <c r="Q144" i="10"/>
  <c r="P144" i="10"/>
  <c r="C144" i="10"/>
  <c r="A144" i="10"/>
  <c r="AE143" i="10"/>
  <c r="AA143" i="10"/>
  <c r="Z143" i="10"/>
  <c r="R143" i="10"/>
  <c r="Q143" i="10"/>
  <c r="P143" i="10"/>
  <c r="C143" i="10"/>
  <c r="A143" i="10"/>
  <c r="AE142" i="10"/>
  <c r="AA142" i="10"/>
  <c r="Z142" i="10"/>
  <c r="R142" i="10"/>
  <c r="Q142" i="10"/>
  <c r="P142" i="10"/>
  <c r="C142" i="10"/>
  <c r="A142" i="10"/>
  <c r="AE141" i="10"/>
  <c r="AA141" i="10"/>
  <c r="Z141" i="10"/>
  <c r="R141" i="10"/>
  <c r="Q141" i="10"/>
  <c r="P141" i="10"/>
  <c r="C141" i="10"/>
  <c r="A141" i="10"/>
  <c r="AE140" i="10"/>
  <c r="AA140" i="10"/>
  <c r="Z140" i="10"/>
  <c r="R140" i="10"/>
  <c r="Q140" i="10"/>
  <c r="P140" i="10"/>
  <c r="C140" i="10"/>
  <c r="A140" i="10"/>
  <c r="AE139" i="10"/>
  <c r="AA139" i="10"/>
  <c r="Z139" i="10"/>
  <c r="R139" i="10"/>
  <c r="Q139" i="10"/>
  <c r="P139" i="10"/>
  <c r="C139" i="10"/>
  <c r="A139" i="10"/>
  <c r="AE138" i="10"/>
  <c r="AA138" i="10"/>
  <c r="Z138" i="10"/>
  <c r="R138" i="10"/>
  <c r="Q138" i="10"/>
  <c r="P138" i="10"/>
  <c r="C138" i="10"/>
  <c r="A138" i="10"/>
  <c r="AE137" i="10"/>
  <c r="AA137" i="10"/>
  <c r="Z137" i="10"/>
  <c r="R137" i="10"/>
  <c r="Q137" i="10"/>
  <c r="P137" i="10"/>
  <c r="C137" i="10"/>
  <c r="A137" i="10"/>
  <c r="AE136" i="10"/>
  <c r="AA136" i="10"/>
  <c r="Z136" i="10"/>
  <c r="R136" i="10"/>
  <c r="Q136" i="10"/>
  <c r="P136" i="10"/>
  <c r="C136" i="10"/>
  <c r="A136" i="10"/>
  <c r="AE135" i="10"/>
  <c r="AA135" i="10"/>
  <c r="Z135" i="10"/>
  <c r="R135" i="10"/>
  <c r="Q135" i="10"/>
  <c r="P135" i="10"/>
  <c r="C135" i="10"/>
  <c r="A135" i="10"/>
  <c r="AE134" i="10"/>
  <c r="AA134" i="10"/>
  <c r="Z134" i="10"/>
  <c r="R134" i="10"/>
  <c r="Q134" i="10"/>
  <c r="P134" i="10"/>
  <c r="C134" i="10"/>
  <c r="A134" i="10"/>
  <c r="AE133" i="10"/>
  <c r="AA133" i="10"/>
  <c r="Z133" i="10"/>
  <c r="R133" i="10"/>
  <c r="Q133" i="10"/>
  <c r="P133" i="10"/>
  <c r="C133" i="10"/>
  <c r="A133" i="10"/>
  <c r="AE132" i="10"/>
  <c r="AA132" i="10"/>
  <c r="Z132" i="10"/>
  <c r="R132" i="10"/>
  <c r="Q132" i="10"/>
  <c r="P132" i="10"/>
  <c r="C132" i="10"/>
  <c r="A132" i="10"/>
  <c r="AE131" i="10"/>
  <c r="AA131" i="10"/>
  <c r="Z131" i="10"/>
  <c r="R131" i="10"/>
  <c r="Q131" i="10"/>
  <c r="P131" i="10"/>
  <c r="C131" i="10"/>
  <c r="A131" i="10"/>
  <c r="AE130" i="10"/>
  <c r="AA130" i="10"/>
  <c r="Z130" i="10"/>
  <c r="R130" i="10"/>
  <c r="Q130" i="10"/>
  <c r="P130" i="10"/>
  <c r="C130" i="10"/>
  <c r="A130" i="10"/>
  <c r="AE129" i="10"/>
  <c r="AA129" i="10"/>
  <c r="Z129" i="10"/>
  <c r="R129" i="10"/>
  <c r="Q129" i="10"/>
  <c r="P129" i="10"/>
  <c r="C129" i="10"/>
  <c r="A129" i="10"/>
  <c r="AE128" i="10"/>
  <c r="AA128" i="10"/>
  <c r="Z128" i="10"/>
  <c r="R128" i="10"/>
  <c r="Q128" i="10"/>
  <c r="P128" i="10"/>
  <c r="C128" i="10"/>
  <c r="A128" i="10"/>
  <c r="AE127" i="10"/>
  <c r="AA127" i="10"/>
  <c r="Z127" i="10"/>
  <c r="R127" i="10"/>
  <c r="Q127" i="10"/>
  <c r="P127" i="10"/>
  <c r="C127" i="10"/>
  <c r="A127" i="10"/>
  <c r="AE126" i="10"/>
  <c r="AA126" i="10"/>
  <c r="Z126" i="10"/>
  <c r="R126" i="10"/>
  <c r="Q126" i="10"/>
  <c r="P126" i="10"/>
  <c r="C126" i="10"/>
  <c r="A126" i="10"/>
  <c r="AE125" i="10"/>
  <c r="AA125" i="10"/>
  <c r="Z125" i="10"/>
  <c r="R125" i="10"/>
  <c r="Q125" i="10"/>
  <c r="P125" i="10"/>
  <c r="C125" i="10"/>
  <c r="A125" i="10"/>
  <c r="AE124" i="10"/>
  <c r="AA124" i="10"/>
  <c r="Z124" i="10"/>
  <c r="R124" i="10"/>
  <c r="Q124" i="10"/>
  <c r="P124" i="10"/>
  <c r="C124" i="10"/>
  <c r="A124" i="10"/>
  <c r="AE123" i="10"/>
  <c r="AA123" i="10"/>
  <c r="Z123" i="10"/>
  <c r="R123" i="10"/>
  <c r="Q123" i="10"/>
  <c r="P123" i="10"/>
  <c r="C123" i="10"/>
  <c r="A123" i="10"/>
  <c r="AE122" i="10"/>
  <c r="AA122" i="10"/>
  <c r="Z122" i="10"/>
  <c r="R122" i="10"/>
  <c r="Q122" i="10"/>
  <c r="P122" i="10"/>
  <c r="C122" i="10"/>
  <c r="A122" i="10"/>
  <c r="AE121" i="10"/>
  <c r="AA121" i="10"/>
  <c r="Z121" i="10"/>
  <c r="R121" i="10"/>
  <c r="Q121" i="10"/>
  <c r="P121" i="10"/>
  <c r="C121" i="10"/>
  <c r="A121" i="10"/>
  <c r="AE120" i="10"/>
  <c r="AA120" i="10"/>
  <c r="Z120" i="10"/>
  <c r="R120" i="10"/>
  <c r="Q120" i="10"/>
  <c r="P120" i="10"/>
  <c r="C120" i="10"/>
  <c r="A120" i="10"/>
  <c r="AE119" i="10"/>
  <c r="AA119" i="10"/>
  <c r="Z119" i="10"/>
  <c r="R119" i="10"/>
  <c r="Q119" i="10"/>
  <c r="P119" i="10"/>
  <c r="C119" i="10"/>
  <c r="A119" i="10"/>
  <c r="AE118" i="10"/>
  <c r="AA118" i="10"/>
  <c r="Z118" i="10"/>
  <c r="R118" i="10"/>
  <c r="Q118" i="10"/>
  <c r="P118" i="10"/>
  <c r="C118" i="10"/>
  <c r="A118" i="10"/>
  <c r="AE117" i="10"/>
  <c r="AA117" i="10"/>
  <c r="Z117" i="10"/>
  <c r="R117" i="10"/>
  <c r="Q117" i="10"/>
  <c r="P117" i="10"/>
  <c r="C117" i="10"/>
  <c r="A117" i="10"/>
  <c r="AE116" i="10"/>
  <c r="AA116" i="10"/>
  <c r="Z116" i="10"/>
  <c r="R116" i="10"/>
  <c r="Q116" i="10"/>
  <c r="P116" i="10"/>
  <c r="C116" i="10"/>
  <c r="A116" i="10"/>
  <c r="AE115" i="10"/>
  <c r="AA115" i="10"/>
  <c r="Z115" i="10"/>
  <c r="R115" i="10"/>
  <c r="Q115" i="10"/>
  <c r="P115" i="10"/>
  <c r="C115" i="10"/>
  <c r="A115" i="10"/>
  <c r="AE114" i="10"/>
  <c r="AA114" i="10"/>
  <c r="Z114" i="10"/>
  <c r="R114" i="10"/>
  <c r="Q114" i="10"/>
  <c r="P114" i="10"/>
  <c r="C114" i="10"/>
  <c r="A114" i="10"/>
  <c r="AE113" i="10"/>
  <c r="AA113" i="10"/>
  <c r="Z113" i="10"/>
  <c r="R113" i="10"/>
  <c r="Q113" i="10"/>
  <c r="P113" i="10"/>
  <c r="C113" i="10"/>
  <c r="A113" i="10"/>
  <c r="AE112" i="10"/>
  <c r="AA112" i="10"/>
  <c r="Z112" i="10"/>
  <c r="R112" i="10"/>
  <c r="Q112" i="10"/>
  <c r="P112" i="10"/>
  <c r="C112" i="10"/>
  <c r="A112" i="10"/>
  <c r="AE111" i="10"/>
  <c r="AA111" i="10"/>
  <c r="Z111" i="10"/>
  <c r="R111" i="10"/>
  <c r="Q111" i="10"/>
  <c r="P111" i="10"/>
  <c r="C111" i="10"/>
  <c r="A111" i="10"/>
  <c r="AE110" i="10"/>
  <c r="AA110" i="10"/>
  <c r="Z110" i="10"/>
  <c r="R110" i="10"/>
  <c r="Q110" i="10"/>
  <c r="P110" i="10"/>
  <c r="C110" i="10"/>
  <c r="A110" i="10"/>
  <c r="AE109" i="10"/>
  <c r="AA109" i="10"/>
  <c r="Z109" i="10"/>
  <c r="R109" i="10"/>
  <c r="Q109" i="10"/>
  <c r="P109" i="10"/>
  <c r="C109" i="10"/>
  <c r="A109" i="10"/>
  <c r="AE108" i="10"/>
  <c r="AA108" i="10"/>
  <c r="Z108" i="10"/>
  <c r="R108" i="10"/>
  <c r="Q108" i="10"/>
  <c r="P108" i="10"/>
  <c r="C108" i="10"/>
  <c r="A108" i="10"/>
  <c r="AE107" i="10"/>
  <c r="AA107" i="10"/>
  <c r="Z107" i="10"/>
  <c r="R107" i="10"/>
  <c r="Q107" i="10"/>
  <c r="P107" i="10"/>
  <c r="C107" i="10"/>
  <c r="A107" i="10"/>
  <c r="AE106" i="10"/>
  <c r="AA106" i="10"/>
  <c r="Z106" i="10"/>
  <c r="R106" i="10"/>
  <c r="Q106" i="10"/>
  <c r="P106" i="10"/>
  <c r="C106" i="10"/>
  <c r="A106" i="10"/>
  <c r="AE105" i="10"/>
  <c r="AA105" i="10"/>
  <c r="Z105" i="10"/>
  <c r="R105" i="10"/>
  <c r="Q105" i="10"/>
  <c r="P105" i="10"/>
  <c r="C105" i="10"/>
  <c r="A105" i="10"/>
  <c r="AE104" i="10"/>
  <c r="AA104" i="10"/>
  <c r="Z104" i="10"/>
  <c r="R104" i="10"/>
  <c r="Q104" i="10"/>
  <c r="P104" i="10"/>
  <c r="C104" i="10"/>
  <c r="A104" i="10"/>
  <c r="AE103" i="10"/>
  <c r="AA103" i="10"/>
  <c r="Z103" i="10"/>
  <c r="R103" i="10"/>
  <c r="Q103" i="10"/>
  <c r="P103" i="10"/>
  <c r="C103" i="10"/>
  <c r="A103" i="10"/>
  <c r="AE102" i="10"/>
  <c r="AA102" i="10"/>
  <c r="Z102" i="10"/>
  <c r="R102" i="10"/>
  <c r="Q102" i="10"/>
  <c r="P102" i="10"/>
  <c r="C102" i="10"/>
  <c r="A102" i="10"/>
  <c r="AE101" i="10"/>
  <c r="AA101" i="10"/>
  <c r="Z101" i="10"/>
  <c r="R101" i="10"/>
  <c r="Q101" i="10"/>
  <c r="P101" i="10"/>
  <c r="C101" i="10"/>
  <c r="A101" i="10"/>
  <c r="AE100" i="10"/>
  <c r="AA100" i="10"/>
  <c r="Z100" i="10"/>
  <c r="R100" i="10"/>
  <c r="Q100" i="10"/>
  <c r="P100" i="10"/>
  <c r="C100" i="10"/>
  <c r="A100" i="10"/>
  <c r="AE99" i="10"/>
  <c r="AA99" i="10"/>
  <c r="Z99" i="10"/>
  <c r="R99" i="10"/>
  <c r="Q99" i="10"/>
  <c r="P99" i="10"/>
  <c r="C99" i="10"/>
  <c r="A99" i="10"/>
  <c r="AE98" i="10"/>
  <c r="AA98" i="10"/>
  <c r="Z98" i="10"/>
  <c r="R98" i="10"/>
  <c r="Q98" i="10"/>
  <c r="P98" i="10"/>
  <c r="C98" i="10"/>
  <c r="A98" i="10"/>
  <c r="AE97" i="10"/>
  <c r="AA97" i="10"/>
  <c r="Z97" i="10"/>
  <c r="R97" i="10"/>
  <c r="Q97" i="10"/>
  <c r="P97" i="10"/>
  <c r="C97" i="10"/>
  <c r="A97" i="10"/>
  <c r="AE96" i="10"/>
  <c r="AA96" i="10"/>
  <c r="Z96" i="10"/>
  <c r="R96" i="10"/>
  <c r="Q96" i="10"/>
  <c r="P96" i="10"/>
  <c r="C96" i="10"/>
  <c r="A96" i="10"/>
  <c r="AE95" i="10"/>
  <c r="AA95" i="10"/>
  <c r="Z95" i="10"/>
  <c r="R95" i="10"/>
  <c r="Q95" i="10"/>
  <c r="P95" i="10"/>
  <c r="C95" i="10"/>
  <c r="A95" i="10"/>
  <c r="AE94" i="10"/>
  <c r="AA94" i="10"/>
  <c r="Z94" i="10"/>
  <c r="R94" i="10"/>
  <c r="Q94" i="10"/>
  <c r="P94" i="10"/>
  <c r="C94" i="10"/>
  <c r="A94" i="10"/>
  <c r="AE93" i="10"/>
  <c r="AA93" i="10"/>
  <c r="Z93" i="10"/>
  <c r="R93" i="10"/>
  <c r="Q93" i="10"/>
  <c r="P93" i="10"/>
  <c r="C93" i="10"/>
  <c r="A93" i="10"/>
  <c r="AE92" i="10"/>
  <c r="AA92" i="10"/>
  <c r="Z92" i="10"/>
  <c r="R92" i="10"/>
  <c r="Q92" i="10"/>
  <c r="P92" i="10"/>
  <c r="C92" i="10"/>
  <c r="A92" i="10"/>
  <c r="AE91" i="10"/>
  <c r="AA91" i="10"/>
  <c r="Z91" i="10"/>
  <c r="R91" i="10"/>
  <c r="Q91" i="10"/>
  <c r="P91" i="10"/>
  <c r="C91" i="10"/>
  <c r="A91" i="10"/>
  <c r="AE90" i="10"/>
  <c r="AA90" i="10"/>
  <c r="Z90" i="10"/>
  <c r="R90" i="10"/>
  <c r="Q90" i="10"/>
  <c r="P90" i="10"/>
  <c r="C90" i="10"/>
  <c r="A90" i="10"/>
  <c r="AE89" i="10"/>
  <c r="AA89" i="10"/>
  <c r="Z89" i="10"/>
  <c r="R89" i="10"/>
  <c r="Q89" i="10"/>
  <c r="P89" i="10"/>
  <c r="C89" i="10"/>
  <c r="A89" i="10"/>
  <c r="AE88" i="10"/>
  <c r="AA88" i="10"/>
  <c r="Z88" i="10"/>
  <c r="R88" i="10"/>
  <c r="Q88" i="10"/>
  <c r="P88" i="10"/>
  <c r="C88" i="10"/>
  <c r="A88" i="10"/>
  <c r="AE87" i="10"/>
  <c r="AA87" i="10"/>
  <c r="Z87" i="10"/>
  <c r="R87" i="10"/>
  <c r="Q87" i="10"/>
  <c r="P87" i="10"/>
  <c r="C87" i="10"/>
  <c r="A87" i="10"/>
  <c r="AE86" i="10"/>
  <c r="AA86" i="10"/>
  <c r="Z86" i="10"/>
  <c r="R86" i="10"/>
  <c r="Q86" i="10"/>
  <c r="P86" i="10"/>
  <c r="C86" i="10"/>
  <c r="A86" i="10"/>
  <c r="AE85" i="10"/>
  <c r="AA85" i="10"/>
  <c r="Z85" i="10"/>
  <c r="R85" i="10"/>
  <c r="Q85" i="10"/>
  <c r="P85" i="10"/>
  <c r="C85" i="10"/>
  <c r="A85" i="10"/>
  <c r="AE84" i="10"/>
  <c r="AA84" i="10"/>
  <c r="Z84" i="10"/>
  <c r="R84" i="10"/>
  <c r="Q84" i="10"/>
  <c r="P84" i="10"/>
  <c r="C84" i="10"/>
  <c r="A84" i="10"/>
  <c r="AE83" i="10"/>
  <c r="AA83" i="10"/>
  <c r="Z83" i="10"/>
  <c r="R83" i="10"/>
  <c r="Q83" i="10"/>
  <c r="P83" i="10"/>
  <c r="C83" i="10"/>
  <c r="A83" i="10"/>
  <c r="AE82" i="10"/>
  <c r="AA82" i="10"/>
  <c r="Z82" i="10"/>
  <c r="R82" i="10"/>
  <c r="Q82" i="10"/>
  <c r="P82" i="10"/>
  <c r="C82" i="10"/>
  <c r="A82" i="10"/>
  <c r="AE81" i="10"/>
  <c r="AA81" i="10"/>
  <c r="Z81" i="10"/>
  <c r="R81" i="10"/>
  <c r="Q81" i="10"/>
  <c r="P81" i="10"/>
  <c r="C81" i="10"/>
  <c r="A81" i="10"/>
  <c r="AE80" i="10"/>
  <c r="AA80" i="10"/>
  <c r="Z80" i="10"/>
  <c r="R80" i="10"/>
  <c r="Q80" i="10"/>
  <c r="P80" i="10"/>
  <c r="C80" i="10"/>
  <c r="A80" i="10"/>
  <c r="AE79" i="10"/>
  <c r="AA79" i="10"/>
  <c r="Z79" i="10"/>
  <c r="R79" i="10"/>
  <c r="Q79" i="10"/>
  <c r="P79" i="10"/>
  <c r="C79" i="10"/>
  <c r="A79" i="10"/>
  <c r="AE78" i="10"/>
  <c r="AA78" i="10"/>
  <c r="Z78" i="10"/>
  <c r="R78" i="10"/>
  <c r="Q78" i="10"/>
  <c r="P78" i="10"/>
  <c r="C78" i="10"/>
  <c r="A78" i="10"/>
  <c r="AE77" i="10"/>
  <c r="AA77" i="10"/>
  <c r="Z77" i="10"/>
  <c r="R77" i="10"/>
  <c r="Q77" i="10"/>
  <c r="P77" i="10"/>
  <c r="C77" i="10"/>
  <c r="A77" i="10"/>
  <c r="AE76" i="10"/>
  <c r="AA76" i="10"/>
  <c r="Z76" i="10"/>
  <c r="R76" i="10"/>
  <c r="Q76" i="10"/>
  <c r="P76" i="10"/>
  <c r="C76" i="10"/>
  <c r="A76" i="10"/>
  <c r="AE75" i="10"/>
  <c r="AA75" i="10"/>
  <c r="Z75" i="10"/>
  <c r="R75" i="10"/>
  <c r="Q75" i="10"/>
  <c r="P75" i="10"/>
  <c r="C75" i="10"/>
  <c r="A75" i="10"/>
  <c r="AE74" i="10"/>
  <c r="AA74" i="10"/>
  <c r="Z74" i="10"/>
  <c r="R74" i="10"/>
  <c r="Q74" i="10"/>
  <c r="P74" i="10"/>
  <c r="C74" i="10"/>
  <c r="A74" i="10"/>
  <c r="AE73" i="10"/>
  <c r="AA73" i="10"/>
  <c r="Z73" i="10"/>
  <c r="R73" i="10"/>
  <c r="Q73" i="10"/>
  <c r="P73" i="10"/>
  <c r="C73" i="10"/>
  <c r="A73" i="10"/>
  <c r="AE72" i="10"/>
  <c r="AA72" i="10"/>
  <c r="Z72" i="10"/>
  <c r="R72" i="10"/>
  <c r="Q72" i="10"/>
  <c r="P72" i="10"/>
  <c r="C72" i="10"/>
  <c r="A72" i="10"/>
  <c r="AE71" i="10"/>
  <c r="AA71" i="10"/>
  <c r="Z71" i="10"/>
  <c r="R71" i="10"/>
  <c r="Q71" i="10"/>
  <c r="P71" i="10"/>
  <c r="C71" i="10"/>
  <c r="A71" i="10"/>
  <c r="AE70" i="10"/>
  <c r="AA70" i="10"/>
  <c r="Z70" i="10"/>
  <c r="R70" i="10"/>
  <c r="Q70" i="10"/>
  <c r="P70" i="10"/>
  <c r="C70" i="10"/>
  <c r="A70" i="10"/>
  <c r="AE69" i="10"/>
  <c r="AA69" i="10"/>
  <c r="Z69" i="10"/>
  <c r="R69" i="10"/>
  <c r="Q69" i="10"/>
  <c r="P69" i="10"/>
  <c r="C69" i="10"/>
  <c r="A69" i="10"/>
  <c r="AE68" i="10"/>
  <c r="AA68" i="10"/>
  <c r="Z68" i="10"/>
  <c r="R68" i="10"/>
  <c r="Q68" i="10"/>
  <c r="P68" i="10"/>
  <c r="C68" i="10"/>
  <c r="A68" i="10"/>
  <c r="AE67" i="10"/>
  <c r="AA67" i="10"/>
  <c r="Z67" i="10"/>
  <c r="R67" i="10"/>
  <c r="Q67" i="10"/>
  <c r="P67" i="10"/>
  <c r="C67" i="10"/>
  <c r="A67" i="10"/>
  <c r="AE66" i="10"/>
  <c r="AA66" i="10"/>
  <c r="Z66" i="10"/>
  <c r="R66" i="10"/>
  <c r="Q66" i="10"/>
  <c r="P66" i="10"/>
  <c r="C66" i="10"/>
  <c r="A66" i="10"/>
  <c r="AE65" i="10"/>
  <c r="AA65" i="10"/>
  <c r="Z65" i="10"/>
  <c r="R65" i="10"/>
  <c r="Q65" i="10"/>
  <c r="P65" i="10"/>
  <c r="C65" i="10"/>
  <c r="A65" i="10"/>
  <c r="AE64" i="10"/>
  <c r="AA64" i="10"/>
  <c r="Z64" i="10"/>
  <c r="R64" i="10"/>
  <c r="Q64" i="10"/>
  <c r="P64" i="10"/>
  <c r="C64" i="10"/>
  <c r="A64" i="10"/>
  <c r="AE63" i="10"/>
  <c r="AA63" i="10"/>
  <c r="Z63" i="10"/>
  <c r="R63" i="10"/>
  <c r="Q63" i="10"/>
  <c r="P63" i="10"/>
  <c r="C63" i="10"/>
  <c r="A63" i="10"/>
  <c r="AE62" i="10"/>
  <c r="AA62" i="10"/>
  <c r="Z62" i="10"/>
  <c r="R62" i="10"/>
  <c r="Q62" i="10"/>
  <c r="P62" i="10"/>
  <c r="C62" i="10"/>
  <c r="A62" i="10"/>
  <c r="AE61" i="10"/>
  <c r="AA61" i="10"/>
  <c r="Z61" i="10"/>
  <c r="R61" i="10"/>
  <c r="Q61" i="10"/>
  <c r="P61" i="10"/>
  <c r="C61" i="10"/>
  <c r="A61" i="10"/>
  <c r="AE60" i="10"/>
  <c r="AA60" i="10"/>
  <c r="Z60" i="10"/>
  <c r="R60" i="10"/>
  <c r="Q60" i="10"/>
  <c r="P60" i="10"/>
  <c r="C60" i="10"/>
  <c r="A60" i="10"/>
  <c r="AE59" i="10"/>
  <c r="AA59" i="10"/>
  <c r="Z59" i="10"/>
  <c r="R59" i="10"/>
  <c r="Q59" i="10"/>
  <c r="P59" i="10"/>
  <c r="C59" i="10"/>
  <c r="A59" i="10"/>
  <c r="AE58" i="10"/>
  <c r="AA58" i="10"/>
  <c r="Z58" i="10"/>
  <c r="R58" i="10"/>
  <c r="Q58" i="10"/>
  <c r="P58" i="10"/>
  <c r="C58" i="10"/>
  <c r="A58" i="10"/>
  <c r="AE57" i="10"/>
  <c r="AA57" i="10"/>
  <c r="Z57" i="10"/>
  <c r="R57" i="10"/>
  <c r="Q57" i="10"/>
  <c r="P57" i="10"/>
  <c r="C57" i="10"/>
  <c r="A57" i="10"/>
  <c r="AE56" i="10"/>
  <c r="AA56" i="10"/>
  <c r="Z56" i="10"/>
  <c r="R56" i="10"/>
  <c r="Q56" i="10"/>
  <c r="P56" i="10"/>
  <c r="C56" i="10"/>
  <c r="A56" i="10"/>
  <c r="AE55" i="10"/>
  <c r="AA55" i="10"/>
  <c r="Z55" i="10"/>
  <c r="R55" i="10"/>
  <c r="Q55" i="10"/>
  <c r="P55" i="10"/>
  <c r="C55" i="10"/>
  <c r="A55" i="10"/>
  <c r="AE54" i="10"/>
  <c r="AA54" i="10"/>
  <c r="Z54" i="10"/>
  <c r="R54" i="10"/>
  <c r="Q54" i="10"/>
  <c r="P54" i="10"/>
  <c r="C54" i="10"/>
  <c r="A54" i="10"/>
  <c r="AE53" i="10"/>
  <c r="AA53" i="10"/>
  <c r="Z53" i="10"/>
  <c r="R53" i="10"/>
  <c r="Q53" i="10"/>
  <c r="P53" i="10"/>
  <c r="C53" i="10"/>
  <c r="A53" i="10"/>
  <c r="AE52" i="10"/>
  <c r="AA52" i="10"/>
  <c r="Z52" i="10"/>
  <c r="R52" i="10"/>
  <c r="Q52" i="10"/>
  <c r="P52" i="10"/>
  <c r="C52" i="10"/>
  <c r="A52" i="10"/>
  <c r="AE51" i="10"/>
  <c r="AA51" i="10"/>
  <c r="Z51" i="10"/>
  <c r="R51" i="10"/>
  <c r="Q51" i="10"/>
  <c r="P51" i="10"/>
  <c r="C51" i="10"/>
  <c r="A51" i="10"/>
  <c r="AE50" i="10"/>
  <c r="AA50" i="10"/>
  <c r="Z50" i="10"/>
  <c r="R50" i="10"/>
  <c r="Q50" i="10"/>
  <c r="P50" i="10"/>
  <c r="C50" i="10"/>
  <c r="A50" i="10"/>
  <c r="AE49" i="10"/>
  <c r="AA49" i="10"/>
  <c r="Z49" i="10"/>
  <c r="R49" i="10"/>
  <c r="Q49" i="10"/>
  <c r="P49" i="10"/>
  <c r="C49" i="10"/>
  <c r="A49" i="10"/>
  <c r="AE48" i="10"/>
  <c r="AA48" i="10"/>
  <c r="Z48" i="10"/>
  <c r="R48" i="10"/>
  <c r="Q48" i="10"/>
  <c r="P48" i="10"/>
  <c r="C48" i="10"/>
  <c r="A48" i="10"/>
  <c r="AE47" i="10"/>
  <c r="AA47" i="10"/>
  <c r="Z47" i="10"/>
  <c r="R47" i="10"/>
  <c r="Q47" i="10"/>
  <c r="P47" i="10"/>
  <c r="C47" i="10"/>
  <c r="A47" i="10"/>
  <c r="AE46" i="10"/>
  <c r="AA46" i="10"/>
  <c r="Z46" i="10"/>
  <c r="R46" i="10"/>
  <c r="Q46" i="10"/>
  <c r="P46" i="10"/>
  <c r="C46" i="10"/>
  <c r="A46" i="10"/>
  <c r="AE45" i="10"/>
  <c r="AA45" i="10"/>
  <c r="Z45" i="10"/>
  <c r="R45" i="10"/>
  <c r="Q45" i="10"/>
  <c r="P45" i="10"/>
  <c r="C45" i="10"/>
  <c r="A45" i="10"/>
  <c r="AE44" i="10"/>
  <c r="AA44" i="10"/>
  <c r="Z44" i="10"/>
  <c r="R44" i="10"/>
  <c r="Q44" i="10"/>
  <c r="P44" i="10"/>
  <c r="C44" i="10"/>
  <c r="A44" i="10"/>
  <c r="AE43" i="10"/>
  <c r="AA43" i="10"/>
  <c r="Z43" i="10"/>
  <c r="R43" i="10"/>
  <c r="Q43" i="10"/>
  <c r="P43" i="10"/>
  <c r="C43" i="10"/>
  <c r="A43" i="10"/>
  <c r="AE42" i="10"/>
  <c r="AA42" i="10"/>
  <c r="Z42" i="10"/>
  <c r="R42" i="10"/>
  <c r="Q42" i="10"/>
  <c r="P42" i="10"/>
  <c r="C42" i="10"/>
  <c r="A42" i="10"/>
  <c r="AE41" i="10"/>
  <c r="AA41" i="10"/>
  <c r="Z41" i="10"/>
  <c r="R41" i="10"/>
  <c r="Q41" i="10"/>
  <c r="P41" i="10"/>
  <c r="C41" i="10"/>
  <c r="A41" i="10"/>
  <c r="AE40" i="10"/>
  <c r="AA40" i="10"/>
  <c r="Z40" i="10"/>
  <c r="R40" i="10"/>
  <c r="Q40" i="10"/>
  <c r="P40" i="10"/>
  <c r="C40" i="10"/>
  <c r="A40" i="10"/>
  <c r="AE39" i="10"/>
  <c r="AA39" i="10"/>
  <c r="Z39" i="10"/>
  <c r="R39" i="10"/>
  <c r="Q39" i="10"/>
  <c r="P39" i="10"/>
  <c r="C39" i="10"/>
  <c r="A39" i="10"/>
  <c r="AE38" i="10"/>
  <c r="AA38" i="10"/>
  <c r="Z38" i="10"/>
  <c r="R38" i="10"/>
  <c r="Q38" i="10"/>
  <c r="P38" i="10"/>
  <c r="C38" i="10"/>
  <c r="A38" i="10"/>
  <c r="AE37" i="10"/>
  <c r="AA37" i="10"/>
  <c r="Z37" i="10"/>
  <c r="R37" i="10"/>
  <c r="Q37" i="10"/>
  <c r="P37" i="10"/>
  <c r="C37" i="10"/>
  <c r="A37" i="10"/>
  <c r="AE36" i="10"/>
  <c r="AA36" i="10"/>
  <c r="Z36" i="10"/>
  <c r="R36" i="10"/>
  <c r="Q36" i="10"/>
  <c r="P36" i="10"/>
  <c r="C36" i="10"/>
  <c r="A36" i="10"/>
  <c r="AE35" i="10"/>
  <c r="AA35" i="10"/>
  <c r="Z35" i="10"/>
  <c r="R35" i="10"/>
  <c r="Q35" i="10"/>
  <c r="P35" i="10"/>
  <c r="C35" i="10"/>
  <c r="A35" i="10"/>
  <c r="AE34" i="10"/>
  <c r="AA34" i="10"/>
  <c r="Z34" i="10"/>
  <c r="R34" i="10"/>
  <c r="Q34" i="10"/>
  <c r="P34" i="10"/>
  <c r="C34" i="10"/>
  <c r="A34" i="10"/>
  <c r="AE33" i="10"/>
  <c r="AA33" i="10"/>
  <c r="Z33" i="10"/>
  <c r="R33" i="10"/>
  <c r="Q33" i="10"/>
  <c r="P33" i="10"/>
  <c r="C33" i="10"/>
  <c r="A33" i="10"/>
  <c r="AE32" i="10"/>
  <c r="AA32" i="10"/>
  <c r="Z32" i="10"/>
  <c r="R32" i="10"/>
  <c r="Q32" i="10"/>
  <c r="P32" i="10"/>
  <c r="C32" i="10"/>
  <c r="A32" i="10"/>
  <c r="AE31" i="10"/>
  <c r="AA31" i="10"/>
  <c r="Z31" i="10"/>
  <c r="R31" i="10"/>
  <c r="Q31" i="10"/>
  <c r="P31" i="10"/>
  <c r="C31" i="10"/>
  <c r="A31" i="10"/>
  <c r="AE30" i="10"/>
  <c r="AA30" i="10"/>
  <c r="Z30" i="10"/>
  <c r="R30" i="10"/>
  <c r="Q30" i="10"/>
  <c r="P30" i="10"/>
  <c r="C30" i="10"/>
  <c r="A30" i="10"/>
  <c r="AE29" i="10"/>
  <c r="AA29" i="10"/>
  <c r="Z29" i="10"/>
  <c r="R29" i="10"/>
  <c r="Q29" i="10"/>
  <c r="P29" i="10"/>
  <c r="C29" i="10"/>
  <c r="A29" i="10"/>
  <c r="AE28" i="10"/>
  <c r="AA28" i="10"/>
  <c r="Z28" i="10"/>
  <c r="R28" i="10"/>
  <c r="Q28" i="10"/>
  <c r="P28" i="10"/>
  <c r="C28" i="10"/>
  <c r="A28" i="10"/>
  <c r="AE27" i="10"/>
  <c r="AA27" i="10"/>
  <c r="Z27" i="10"/>
  <c r="R27" i="10"/>
  <c r="Q27" i="10"/>
  <c r="P27" i="10"/>
  <c r="C27" i="10"/>
  <c r="A27" i="10"/>
  <c r="AE26" i="10"/>
  <c r="AA26" i="10"/>
  <c r="Z26" i="10"/>
  <c r="R26" i="10"/>
  <c r="Q26" i="10"/>
  <c r="P26" i="10"/>
  <c r="C26" i="10"/>
  <c r="A26" i="10"/>
  <c r="AE25" i="10"/>
  <c r="AA25" i="10"/>
  <c r="Z25" i="10"/>
  <c r="R25" i="10"/>
  <c r="Q25" i="10"/>
  <c r="P25" i="10"/>
  <c r="C25" i="10"/>
  <c r="A25" i="10"/>
  <c r="AE24" i="10"/>
  <c r="AA24" i="10"/>
  <c r="Z24" i="10"/>
  <c r="R24" i="10"/>
  <c r="Q24" i="10"/>
  <c r="P24" i="10"/>
  <c r="C24" i="10"/>
  <c r="A24" i="10"/>
  <c r="AE23" i="10"/>
  <c r="AA23" i="10"/>
  <c r="Z23" i="10"/>
  <c r="R23" i="10"/>
  <c r="Q23" i="10"/>
  <c r="P23" i="10"/>
  <c r="C23" i="10"/>
  <c r="A23" i="10"/>
  <c r="AE22" i="10"/>
  <c r="AA22" i="10"/>
  <c r="Z22" i="10"/>
  <c r="R22" i="10"/>
  <c r="Q22" i="10"/>
  <c r="P22" i="10"/>
  <c r="C22" i="10"/>
  <c r="A22" i="10"/>
  <c r="AE21" i="10"/>
  <c r="AA21" i="10"/>
  <c r="Z21" i="10"/>
  <c r="R21" i="10"/>
  <c r="Q21" i="10"/>
  <c r="P21" i="10"/>
  <c r="C21" i="10"/>
  <c r="A21" i="10"/>
  <c r="AE20" i="10"/>
  <c r="AA20" i="10"/>
  <c r="Z20" i="10"/>
  <c r="R20" i="10"/>
  <c r="Q20" i="10"/>
  <c r="P20" i="10"/>
  <c r="C20" i="10"/>
  <c r="A20" i="10"/>
  <c r="AE19" i="10"/>
  <c r="AA19" i="10"/>
  <c r="Z19" i="10"/>
  <c r="R19" i="10"/>
  <c r="Q19" i="10"/>
  <c r="P19" i="10"/>
  <c r="C19" i="10"/>
  <c r="A19" i="10"/>
  <c r="AE18" i="10"/>
  <c r="AA18" i="10"/>
  <c r="Z18" i="10"/>
  <c r="R18" i="10"/>
  <c r="Q18" i="10"/>
  <c r="P18" i="10"/>
  <c r="C18" i="10"/>
  <c r="A18" i="10"/>
  <c r="AE17" i="10"/>
  <c r="AA17" i="10"/>
  <c r="Z17" i="10"/>
  <c r="R17" i="10"/>
  <c r="Q17" i="10"/>
  <c r="P17" i="10"/>
  <c r="C17" i="10"/>
  <c r="A17" i="10"/>
  <c r="AE16" i="10"/>
  <c r="AA16" i="10"/>
  <c r="Z16" i="10"/>
  <c r="R16" i="10"/>
  <c r="Q16" i="10"/>
  <c r="P16" i="10"/>
  <c r="C16" i="10"/>
  <c r="A16" i="10"/>
  <c r="AE15" i="10"/>
  <c r="AA15" i="10"/>
  <c r="Z15" i="10"/>
  <c r="R15" i="10"/>
  <c r="Q15" i="10"/>
  <c r="P15" i="10"/>
  <c r="C15" i="10"/>
  <c r="A15" i="10"/>
  <c r="AE14" i="10"/>
  <c r="AA14" i="10"/>
  <c r="J7" i="7" s="1"/>
  <c r="Z14" i="10"/>
  <c r="R14" i="10"/>
  <c r="Q14" i="10"/>
  <c r="P14" i="10"/>
  <c r="C14" i="10"/>
  <c r="A14" i="10"/>
  <c r="D9" i="10"/>
  <c r="D8" i="10"/>
  <c r="D7" i="10"/>
  <c r="D6" i="10"/>
  <c r="D5" i="10"/>
  <c r="D4" i="10"/>
  <c r="O3" i="10"/>
  <c r="F1" i="10"/>
  <c r="AE163" i="9"/>
  <c r="AA163" i="9"/>
  <c r="Z163" i="9"/>
  <c r="R163" i="9"/>
  <c r="Q163" i="9"/>
  <c r="P163" i="9"/>
  <c r="C163" i="9"/>
  <c r="A163" i="9"/>
  <c r="AE162" i="9"/>
  <c r="AA162" i="9"/>
  <c r="Z162" i="9"/>
  <c r="R162" i="9"/>
  <c r="Q162" i="9"/>
  <c r="P162" i="9"/>
  <c r="C162" i="9"/>
  <c r="A162" i="9"/>
  <c r="AE161" i="9"/>
  <c r="AA161" i="9"/>
  <c r="Z161" i="9"/>
  <c r="R161" i="9"/>
  <c r="Q161" i="9"/>
  <c r="P161" i="9"/>
  <c r="C161" i="9"/>
  <c r="A161" i="9"/>
  <c r="AE160" i="9"/>
  <c r="AA160" i="9"/>
  <c r="Z160" i="9"/>
  <c r="R160" i="9"/>
  <c r="Q160" i="9"/>
  <c r="P160" i="9"/>
  <c r="C160" i="9"/>
  <c r="A160" i="9"/>
  <c r="AE159" i="9"/>
  <c r="AA159" i="9"/>
  <c r="Z159" i="9"/>
  <c r="R159" i="9"/>
  <c r="Q159" i="9"/>
  <c r="P159" i="9"/>
  <c r="C159" i="9"/>
  <c r="A159" i="9"/>
  <c r="AE158" i="9"/>
  <c r="AA158" i="9"/>
  <c r="Z158" i="9"/>
  <c r="R158" i="9"/>
  <c r="Q158" i="9"/>
  <c r="P158" i="9"/>
  <c r="C158" i="9"/>
  <c r="A158" i="9"/>
  <c r="AE157" i="9"/>
  <c r="AA157" i="9"/>
  <c r="Z157" i="9"/>
  <c r="R157" i="9"/>
  <c r="Q157" i="9"/>
  <c r="P157" i="9"/>
  <c r="C157" i="9"/>
  <c r="A157" i="9"/>
  <c r="AE156" i="9"/>
  <c r="AA156" i="9"/>
  <c r="Z156" i="9"/>
  <c r="R156" i="9"/>
  <c r="Q156" i="9"/>
  <c r="P156" i="9"/>
  <c r="C156" i="9"/>
  <c r="A156" i="9"/>
  <c r="AE155" i="9"/>
  <c r="AA155" i="9"/>
  <c r="Z155" i="9"/>
  <c r="R155" i="9"/>
  <c r="Q155" i="9"/>
  <c r="P155" i="9"/>
  <c r="C155" i="9"/>
  <c r="A155" i="9"/>
  <c r="AE154" i="9"/>
  <c r="AA154" i="9"/>
  <c r="Z154" i="9"/>
  <c r="R154" i="9"/>
  <c r="Q154" i="9"/>
  <c r="P154" i="9"/>
  <c r="C154" i="9"/>
  <c r="A154" i="9"/>
  <c r="AE153" i="9"/>
  <c r="AA153" i="9"/>
  <c r="Z153" i="9"/>
  <c r="R153" i="9"/>
  <c r="Q153" i="9"/>
  <c r="P153" i="9"/>
  <c r="C153" i="9"/>
  <c r="A153" i="9"/>
  <c r="AE152" i="9"/>
  <c r="AA152" i="9"/>
  <c r="Z152" i="9"/>
  <c r="R152" i="9"/>
  <c r="Q152" i="9"/>
  <c r="P152" i="9"/>
  <c r="C152" i="9"/>
  <c r="A152" i="9"/>
  <c r="AE151" i="9"/>
  <c r="AA151" i="9"/>
  <c r="Z151" i="9"/>
  <c r="R151" i="9"/>
  <c r="Q151" i="9"/>
  <c r="P151" i="9"/>
  <c r="C151" i="9"/>
  <c r="A151" i="9"/>
  <c r="AE150" i="9"/>
  <c r="AA150" i="9"/>
  <c r="Z150" i="9"/>
  <c r="R150" i="9"/>
  <c r="Q150" i="9"/>
  <c r="P150" i="9"/>
  <c r="C150" i="9"/>
  <c r="A150" i="9"/>
  <c r="AE149" i="9"/>
  <c r="AA149" i="9"/>
  <c r="Z149" i="9"/>
  <c r="R149" i="9"/>
  <c r="Q149" i="9"/>
  <c r="P149" i="9"/>
  <c r="C149" i="9"/>
  <c r="A149" i="9"/>
  <c r="AE148" i="9"/>
  <c r="AA148" i="9"/>
  <c r="Z148" i="9"/>
  <c r="R148" i="9"/>
  <c r="Q148" i="9"/>
  <c r="P148" i="9"/>
  <c r="C148" i="9"/>
  <c r="A148" i="9"/>
  <c r="AE147" i="9"/>
  <c r="AA147" i="9"/>
  <c r="Z147" i="9"/>
  <c r="R147" i="9"/>
  <c r="Q147" i="9"/>
  <c r="P147" i="9"/>
  <c r="C147" i="9"/>
  <c r="A147" i="9"/>
  <c r="AE146" i="9"/>
  <c r="AA146" i="9"/>
  <c r="Z146" i="9"/>
  <c r="R146" i="9"/>
  <c r="Q146" i="9"/>
  <c r="P146" i="9"/>
  <c r="C146" i="9"/>
  <c r="A146" i="9"/>
  <c r="AE145" i="9"/>
  <c r="AA145" i="9"/>
  <c r="Z145" i="9"/>
  <c r="R145" i="9"/>
  <c r="Q145" i="9"/>
  <c r="P145" i="9"/>
  <c r="C145" i="9"/>
  <c r="A145" i="9"/>
  <c r="AE144" i="9"/>
  <c r="AA144" i="9"/>
  <c r="Z144" i="9"/>
  <c r="R144" i="9"/>
  <c r="Q144" i="9"/>
  <c r="P144" i="9"/>
  <c r="C144" i="9"/>
  <c r="A144" i="9"/>
  <c r="AE143" i="9"/>
  <c r="AA143" i="9"/>
  <c r="Z143" i="9"/>
  <c r="R143" i="9"/>
  <c r="Q143" i="9"/>
  <c r="P143" i="9"/>
  <c r="C143" i="9"/>
  <c r="A143" i="9"/>
  <c r="AE142" i="9"/>
  <c r="AA142" i="9"/>
  <c r="Z142" i="9"/>
  <c r="R142" i="9"/>
  <c r="Q142" i="9"/>
  <c r="P142" i="9"/>
  <c r="C142" i="9"/>
  <c r="A142" i="9"/>
  <c r="AE141" i="9"/>
  <c r="AA141" i="9"/>
  <c r="Z141" i="9"/>
  <c r="R141" i="9"/>
  <c r="Q141" i="9"/>
  <c r="P141" i="9"/>
  <c r="C141" i="9"/>
  <c r="A141" i="9"/>
  <c r="AE140" i="9"/>
  <c r="AA140" i="9"/>
  <c r="Z140" i="9"/>
  <c r="R140" i="9"/>
  <c r="Q140" i="9"/>
  <c r="P140" i="9"/>
  <c r="C140" i="9"/>
  <c r="A140" i="9"/>
  <c r="AE139" i="9"/>
  <c r="AA139" i="9"/>
  <c r="Z139" i="9"/>
  <c r="R139" i="9"/>
  <c r="Q139" i="9"/>
  <c r="P139" i="9"/>
  <c r="C139" i="9"/>
  <c r="A139" i="9"/>
  <c r="AE138" i="9"/>
  <c r="AA138" i="9"/>
  <c r="Z138" i="9"/>
  <c r="R138" i="9"/>
  <c r="Q138" i="9"/>
  <c r="P138" i="9"/>
  <c r="C138" i="9"/>
  <c r="A138" i="9"/>
  <c r="AE137" i="9"/>
  <c r="AA137" i="9"/>
  <c r="Z137" i="9"/>
  <c r="R137" i="9"/>
  <c r="Q137" i="9"/>
  <c r="P137" i="9"/>
  <c r="C137" i="9"/>
  <c r="A137" i="9"/>
  <c r="AE136" i="9"/>
  <c r="AA136" i="9"/>
  <c r="Z136" i="9"/>
  <c r="R136" i="9"/>
  <c r="Q136" i="9"/>
  <c r="P136" i="9"/>
  <c r="C136" i="9"/>
  <c r="A136" i="9"/>
  <c r="AE135" i="9"/>
  <c r="AA135" i="9"/>
  <c r="Z135" i="9"/>
  <c r="R135" i="9"/>
  <c r="Q135" i="9"/>
  <c r="P135" i="9"/>
  <c r="C135" i="9"/>
  <c r="A135" i="9"/>
  <c r="AE134" i="9"/>
  <c r="AA134" i="9"/>
  <c r="Z134" i="9"/>
  <c r="R134" i="9"/>
  <c r="Q134" i="9"/>
  <c r="P134" i="9"/>
  <c r="C134" i="9"/>
  <c r="A134" i="9"/>
  <c r="AE133" i="9"/>
  <c r="AA133" i="9"/>
  <c r="Z133" i="9"/>
  <c r="R133" i="9"/>
  <c r="Q133" i="9"/>
  <c r="P133" i="9"/>
  <c r="C133" i="9"/>
  <c r="A133" i="9"/>
  <c r="AE132" i="9"/>
  <c r="AA132" i="9"/>
  <c r="Z132" i="9"/>
  <c r="R132" i="9"/>
  <c r="Q132" i="9"/>
  <c r="P132" i="9"/>
  <c r="C132" i="9"/>
  <c r="A132" i="9"/>
  <c r="AE131" i="9"/>
  <c r="AA131" i="9"/>
  <c r="Z131" i="9"/>
  <c r="R131" i="9"/>
  <c r="Q131" i="9"/>
  <c r="P131" i="9"/>
  <c r="C131" i="9"/>
  <c r="A131" i="9"/>
  <c r="AE130" i="9"/>
  <c r="AA130" i="9"/>
  <c r="Z130" i="9"/>
  <c r="R130" i="9"/>
  <c r="Q130" i="9"/>
  <c r="P130" i="9"/>
  <c r="C130" i="9"/>
  <c r="A130" i="9"/>
  <c r="AE129" i="9"/>
  <c r="AA129" i="9"/>
  <c r="Z129" i="9"/>
  <c r="R129" i="9"/>
  <c r="Q129" i="9"/>
  <c r="P129" i="9"/>
  <c r="C129" i="9"/>
  <c r="A129" i="9"/>
  <c r="AE128" i="9"/>
  <c r="AA128" i="9"/>
  <c r="Z128" i="9"/>
  <c r="R128" i="9"/>
  <c r="Q128" i="9"/>
  <c r="P128" i="9"/>
  <c r="C128" i="9"/>
  <c r="A128" i="9"/>
  <c r="AE127" i="9"/>
  <c r="AA127" i="9"/>
  <c r="Z127" i="9"/>
  <c r="R127" i="9"/>
  <c r="Q127" i="9"/>
  <c r="P127" i="9"/>
  <c r="C127" i="9"/>
  <c r="A127" i="9"/>
  <c r="AE126" i="9"/>
  <c r="AA126" i="9"/>
  <c r="Z126" i="9"/>
  <c r="R126" i="9"/>
  <c r="Q126" i="9"/>
  <c r="P126" i="9"/>
  <c r="C126" i="9"/>
  <c r="A126" i="9"/>
  <c r="AE125" i="9"/>
  <c r="AA125" i="9"/>
  <c r="Z125" i="9"/>
  <c r="R125" i="9"/>
  <c r="Q125" i="9"/>
  <c r="P125" i="9"/>
  <c r="C125" i="9"/>
  <c r="A125" i="9"/>
  <c r="AE124" i="9"/>
  <c r="AA124" i="9"/>
  <c r="Z124" i="9"/>
  <c r="R124" i="9"/>
  <c r="Q124" i="9"/>
  <c r="P124" i="9"/>
  <c r="C124" i="9"/>
  <c r="A124" i="9"/>
  <c r="AE123" i="9"/>
  <c r="AA123" i="9"/>
  <c r="Z123" i="9"/>
  <c r="R123" i="9"/>
  <c r="Q123" i="9"/>
  <c r="P123" i="9"/>
  <c r="C123" i="9"/>
  <c r="A123" i="9"/>
  <c r="AE122" i="9"/>
  <c r="AA122" i="9"/>
  <c r="Z122" i="9"/>
  <c r="R122" i="9"/>
  <c r="Q122" i="9"/>
  <c r="P122" i="9"/>
  <c r="C122" i="9"/>
  <c r="A122" i="9"/>
  <c r="AE121" i="9"/>
  <c r="AA121" i="9"/>
  <c r="Z121" i="9"/>
  <c r="R121" i="9"/>
  <c r="Q121" i="9"/>
  <c r="P121" i="9"/>
  <c r="C121" i="9"/>
  <c r="A121" i="9"/>
  <c r="AE120" i="9"/>
  <c r="AA120" i="9"/>
  <c r="Z120" i="9"/>
  <c r="R120" i="9"/>
  <c r="Q120" i="9"/>
  <c r="P120" i="9"/>
  <c r="C120" i="9"/>
  <c r="A120" i="9"/>
  <c r="AE119" i="9"/>
  <c r="AA119" i="9"/>
  <c r="Z119" i="9"/>
  <c r="R119" i="9"/>
  <c r="Q119" i="9"/>
  <c r="P119" i="9"/>
  <c r="C119" i="9"/>
  <c r="A119" i="9"/>
  <c r="AE118" i="9"/>
  <c r="AA118" i="9"/>
  <c r="Z118" i="9"/>
  <c r="R118" i="9"/>
  <c r="Q118" i="9"/>
  <c r="P118" i="9"/>
  <c r="C118" i="9"/>
  <c r="A118" i="9"/>
  <c r="AE117" i="9"/>
  <c r="AA117" i="9"/>
  <c r="Z117" i="9"/>
  <c r="R117" i="9"/>
  <c r="Q117" i="9"/>
  <c r="P117" i="9"/>
  <c r="C117" i="9"/>
  <c r="A117" i="9"/>
  <c r="AE116" i="9"/>
  <c r="AA116" i="9"/>
  <c r="Z116" i="9"/>
  <c r="R116" i="9"/>
  <c r="Q116" i="9"/>
  <c r="P116" i="9"/>
  <c r="C116" i="9"/>
  <c r="A116" i="9"/>
  <c r="AE115" i="9"/>
  <c r="AA115" i="9"/>
  <c r="Z115" i="9"/>
  <c r="R115" i="9"/>
  <c r="Q115" i="9"/>
  <c r="P115" i="9"/>
  <c r="C115" i="9"/>
  <c r="A115" i="9"/>
  <c r="AE114" i="9"/>
  <c r="AA114" i="9"/>
  <c r="Z114" i="9"/>
  <c r="R114" i="9"/>
  <c r="Q114" i="9"/>
  <c r="P114" i="9"/>
  <c r="C114" i="9"/>
  <c r="A114" i="9"/>
  <c r="AE113" i="9"/>
  <c r="AA113" i="9"/>
  <c r="Z113" i="9"/>
  <c r="R113" i="9"/>
  <c r="Q113" i="9"/>
  <c r="P113" i="9"/>
  <c r="C113" i="9"/>
  <c r="A113" i="9"/>
  <c r="AE112" i="9"/>
  <c r="AA112" i="9"/>
  <c r="Z112" i="9"/>
  <c r="R112" i="9"/>
  <c r="Q112" i="9"/>
  <c r="P112" i="9"/>
  <c r="C112" i="9"/>
  <c r="A112" i="9"/>
  <c r="AE111" i="9"/>
  <c r="AA111" i="9"/>
  <c r="Z111" i="9"/>
  <c r="R111" i="9"/>
  <c r="Q111" i="9"/>
  <c r="P111" i="9"/>
  <c r="C111" i="9"/>
  <c r="A111" i="9"/>
  <c r="AE110" i="9"/>
  <c r="AA110" i="9"/>
  <c r="Z110" i="9"/>
  <c r="R110" i="9"/>
  <c r="Q110" i="9"/>
  <c r="P110" i="9"/>
  <c r="C110" i="9"/>
  <c r="A110" i="9"/>
  <c r="AE109" i="9"/>
  <c r="AA109" i="9"/>
  <c r="Z109" i="9"/>
  <c r="R109" i="9"/>
  <c r="Q109" i="9"/>
  <c r="P109" i="9"/>
  <c r="C109" i="9"/>
  <c r="A109" i="9"/>
  <c r="AE108" i="9"/>
  <c r="AA108" i="9"/>
  <c r="Z108" i="9"/>
  <c r="R108" i="9"/>
  <c r="Q108" i="9"/>
  <c r="P108" i="9"/>
  <c r="C108" i="9"/>
  <c r="A108" i="9"/>
  <c r="AE107" i="9"/>
  <c r="AA107" i="9"/>
  <c r="Z107" i="9"/>
  <c r="R107" i="9"/>
  <c r="Q107" i="9"/>
  <c r="P107" i="9"/>
  <c r="C107" i="9"/>
  <c r="A107" i="9"/>
  <c r="AE106" i="9"/>
  <c r="AA106" i="9"/>
  <c r="Z106" i="9"/>
  <c r="R106" i="9"/>
  <c r="Q106" i="9"/>
  <c r="P106" i="9"/>
  <c r="C106" i="9"/>
  <c r="A106" i="9"/>
  <c r="AE105" i="9"/>
  <c r="AA105" i="9"/>
  <c r="Z105" i="9"/>
  <c r="R105" i="9"/>
  <c r="Q105" i="9"/>
  <c r="P105" i="9"/>
  <c r="C105" i="9"/>
  <c r="A105" i="9"/>
  <c r="AE104" i="9"/>
  <c r="AA104" i="9"/>
  <c r="Z104" i="9"/>
  <c r="R104" i="9"/>
  <c r="Q104" i="9"/>
  <c r="P104" i="9"/>
  <c r="C104" i="9"/>
  <c r="A104" i="9"/>
  <c r="AE103" i="9"/>
  <c r="AA103" i="9"/>
  <c r="Z103" i="9"/>
  <c r="R103" i="9"/>
  <c r="Q103" i="9"/>
  <c r="P103" i="9"/>
  <c r="C103" i="9"/>
  <c r="A103" i="9"/>
  <c r="AE102" i="9"/>
  <c r="AA102" i="9"/>
  <c r="Z102" i="9"/>
  <c r="R102" i="9"/>
  <c r="Q102" i="9"/>
  <c r="P102" i="9"/>
  <c r="C102" i="9"/>
  <c r="A102" i="9"/>
  <c r="AE101" i="9"/>
  <c r="AA101" i="9"/>
  <c r="Z101" i="9"/>
  <c r="R101" i="9"/>
  <c r="Q101" i="9"/>
  <c r="P101" i="9"/>
  <c r="C101" i="9"/>
  <c r="A101" i="9"/>
  <c r="AE100" i="9"/>
  <c r="AA100" i="9"/>
  <c r="Z100" i="9"/>
  <c r="R100" i="9"/>
  <c r="Q100" i="9"/>
  <c r="P100" i="9"/>
  <c r="C100" i="9"/>
  <c r="A100" i="9"/>
  <c r="AE99" i="9"/>
  <c r="AA99" i="9"/>
  <c r="Z99" i="9"/>
  <c r="R99" i="9"/>
  <c r="Q99" i="9"/>
  <c r="P99" i="9"/>
  <c r="C99" i="9"/>
  <c r="A99" i="9"/>
  <c r="AE98" i="9"/>
  <c r="AA98" i="9"/>
  <c r="Z98" i="9"/>
  <c r="R98" i="9"/>
  <c r="Q98" i="9"/>
  <c r="P98" i="9"/>
  <c r="C98" i="9"/>
  <c r="A98" i="9"/>
  <c r="AE97" i="9"/>
  <c r="AA97" i="9"/>
  <c r="Z97" i="9"/>
  <c r="R97" i="9"/>
  <c r="Q97" i="9"/>
  <c r="P97" i="9"/>
  <c r="C97" i="9"/>
  <c r="A97" i="9"/>
  <c r="AE96" i="9"/>
  <c r="AA96" i="9"/>
  <c r="Z96" i="9"/>
  <c r="R96" i="9"/>
  <c r="Q96" i="9"/>
  <c r="P96" i="9"/>
  <c r="C96" i="9"/>
  <c r="A96" i="9"/>
  <c r="AE95" i="9"/>
  <c r="AA95" i="9"/>
  <c r="Z95" i="9"/>
  <c r="R95" i="9"/>
  <c r="Q95" i="9"/>
  <c r="P95" i="9"/>
  <c r="C95" i="9"/>
  <c r="A95" i="9"/>
  <c r="AE94" i="9"/>
  <c r="AA94" i="9"/>
  <c r="Z94" i="9"/>
  <c r="R94" i="9"/>
  <c r="Q94" i="9"/>
  <c r="P94" i="9"/>
  <c r="C94" i="9"/>
  <c r="A94" i="9"/>
  <c r="AE93" i="9"/>
  <c r="AA93" i="9"/>
  <c r="Z93" i="9"/>
  <c r="R93" i="9"/>
  <c r="Q93" i="9"/>
  <c r="P93" i="9"/>
  <c r="C93" i="9"/>
  <c r="A93" i="9"/>
  <c r="AE92" i="9"/>
  <c r="AA92" i="9"/>
  <c r="Z92" i="9"/>
  <c r="R92" i="9"/>
  <c r="Q92" i="9"/>
  <c r="P92" i="9"/>
  <c r="C92" i="9"/>
  <c r="A92" i="9"/>
  <c r="AE91" i="9"/>
  <c r="AA91" i="9"/>
  <c r="Z91" i="9"/>
  <c r="R91" i="9"/>
  <c r="Q91" i="9"/>
  <c r="P91" i="9"/>
  <c r="C91" i="9"/>
  <c r="A91" i="9"/>
  <c r="AE90" i="9"/>
  <c r="AA90" i="9"/>
  <c r="Z90" i="9"/>
  <c r="R90" i="9"/>
  <c r="Q90" i="9"/>
  <c r="P90" i="9"/>
  <c r="C90" i="9"/>
  <c r="A90" i="9"/>
  <c r="AE89" i="9"/>
  <c r="AA89" i="9"/>
  <c r="Z89" i="9"/>
  <c r="R89" i="9"/>
  <c r="Q89" i="9"/>
  <c r="P89" i="9"/>
  <c r="C89" i="9"/>
  <c r="A89" i="9"/>
  <c r="AE88" i="9"/>
  <c r="AA88" i="9"/>
  <c r="Z88" i="9"/>
  <c r="R88" i="9"/>
  <c r="Q88" i="9"/>
  <c r="P88" i="9"/>
  <c r="C88" i="9"/>
  <c r="A88" i="9"/>
  <c r="AE87" i="9"/>
  <c r="AA87" i="9"/>
  <c r="Z87" i="9"/>
  <c r="R87" i="9"/>
  <c r="Q87" i="9"/>
  <c r="P87" i="9"/>
  <c r="C87" i="9"/>
  <c r="A87" i="9"/>
  <c r="AE86" i="9"/>
  <c r="AA86" i="9"/>
  <c r="Z86" i="9"/>
  <c r="R86" i="9"/>
  <c r="Q86" i="9"/>
  <c r="P86" i="9"/>
  <c r="C86" i="9"/>
  <c r="A86" i="9"/>
  <c r="AE85" i="9"/>
  <c r="AA85" i="9"/>
  <c r="Z85" i="9"/>
  <c r="R85" i="9"/>
  <c r="Q85" i="9"/>
  <c r="P85" i="9"/>
  <c r="C85" i="9"/>
  <c r="A85" i="9"/>
  <c r="AE84" i="9"/>
  <c r="AA84" i="9"/>
  <c r="Z84" i="9"/>
  <c r="R84" i="9"/>
  <c r="Q84" i="9"/>
  <c r="P84" i="9"/>
  <c r="C84" i="9"/>
  <c r="A84" i="9"/>
  <c r="AE83" i="9"/>
  <c r="AA83" i="9"/>
  <c r="Z83" i="9"/>
  <c r="R83" i="9"/>
  <c r="Q83" i="9"/>
  <c r="P83" i="9"/>
  <c r="C83" i="9"/>
  <c r="A83" i="9"/>
  <c r="AE82" i="9"/>
  <c r="AA82" i="9"/>
  <c r="Z82" i="9"/>
  <c r="R82" i="9"/>
  <c r="Q82" i="9"/>
  <c r="P82" i="9"/>
  <c r="C82" i="9"/>
  <c r="A82" i="9"/>
  <c r="AE81" i="9"/>
  <c r="AA81" i="9"/>
  <c r="Z81" i="9"/>
  <c r="R81" i="9"/>
  <c r="Q81" i="9"/>
  <c r="P81" i="9"/>
  <c r="C81" i="9"/>
  <c r="A81" i="9"/>
  <c r="AE80" i="9"/>
  <c r="AA80" i="9"/>
  <c r="Z80" i="9"/>
  <c r="R80" i="9"/>
  <c r="Q80" i="9"/>
  <c r="P80" i="9"/>
  <c r="C80" i="9"/>
  <c r="A80" i="9"/>
  <c r="AE79" i="9"/>
  <c r="AA79" i="9"/>
  <c r="Z79" i="9"/>
  <c r="R79" i="9"/>
  <c r="Q79" i="9"/>
  <c r="P79" i="9"/>
  <c r="C79" i="9"/>
  <c r="A79" i="9"/>
  <c r="AE78" i="9"/>
  <c r="AA78" i="9"/>
  <c r="Z78" i="9"/>
  <c r="R78" i="9"/>
  <c r="Q78" i="9"/>
  <c r="P78" i="9"/>
  <c r="C78" i="9"/>
  <c r="A78" i="9"/>
  <c r="AE77" i="9"/>
  <c r="AA77" i="9"/>
  <c r="Z77" i="9"/>
  <c r="R77" i="9"/>
  <c r="Q77" i="9"/>
  <c r="P77" i="9"/>
  <c r="C77" i="9"/>
  <c r="A77" i="9"/>
  <c r="AE76" i="9"/>
  <c r="AA76" i="9"/>
  <c r="Z76" i="9"/>
  <c r="R76" i="9"/>
  <c r="Q76" i="9"/>
  <c r="P76" i="9"/>
  <c r="C76" i="9"/>
  <c r="A76" i="9"/>
  <c r="AE75" i="9"/>
  <c r="AA75" i="9"/>
  <c r="Z75" i="9"/>
  <c r="R75" i="9"/>
  <c r="Q75" i="9"/>
  <c r="P75" i="9"/>
  <c r="C75" i="9"/>
  <c r="A75" i="9"/>
  <c r="AE74" i="9"/>
  <c r="AA74" i="9"/>
  <c r="Z74" i="9"/>
  <c r="R74" i="9"/>
  <c r="Q74" i="9"/>
  <c r="P74" i="9"/>
  <c r="C74" i="9"/>
  <c r="A74" i="9"/>
  <c r="AE73" i="9"/>
  <c r="AA73" i="9"/>
  <c r="Z73" i="9"/>
  <c r="R73" i="9"/>
  <c r="Q73" i="9"/>
  <c r="P73" i="9"/>
  <c r="C73" i="9"/>
  <c r="A73" i="9"/>
  <c r="AE72" i="9"/>
  <c r="AA72" i="9"/>
  <c r="Z72" i="9"/>
  <c r="R72" i="9"/>
  <c r="Q72" i="9"/>
  <c r="P72" i="9"/>
  <c r="C72" i="9"/>
  <c r="A72" i="9"/>
  <c r="AE71" i="9"/>
  <c r="AA71" i="9"/>
  <c r="Z71" i="9"/>
  <c r="R71" i="9"/>
  <c r="Q71" i="9"/>
  <c r="P71" i="9"/>
  <c r="C71" i="9"/>
  <c r="A71" i="9"/>
  <c r="AE70" i="9"/>
  <c r="AA70" i="9"/>
  <c r="Z70" i="9"/>
  <c r="R70" i="9"/>
  <c r="Q70" i="9"/>
  <c r="P70" i="9"/>
  <c r="C70" i="9"/>
  <c r="A70" i="9"/>
  <c r="AE69" i="9"/>
  <c r="AA69" i="9"/>
  <c r="Z69" i="9"/>
  <c r="R69" i="9"/>
  <c r="Q69" i="9"/>
  <c r="P69" i="9"/>
  <c r="C69" i="9"/>
  <c r="A69" i="9"/>
  <c r="AE68" i="9"/>
  <c r="AA68" i="9"/>
  <c r="Z68" i="9"/>
  <c r="R68" i="9"/>
  <c r="Q68" i="9"/>
  <c r="P68" i="9"/>
  <c r="C68" i="9"/>
  <c r="A68" i="9"/>
  <c r="AE67" i="9"/>
  <c r="AA67" i="9"/>
  <c r="Z67" i="9"/>
  <c r="R67" i="9"/>
  <c r="Q67" i="9"/>
  <c r="P67" i="9"/>
  <c r="C67" i="9"/>
  <c r="A67" i="9"/>
  <c r="AE66" i="9"/>
  <c r="AA66" i="9"/>
  <c r="Z66" i="9"/>
  <c r="R66" i="9"/>
  <c r="Q66" i="9"/>
  <c r="P66" i="9"/>
  <c r="C66" i="9"/>
  <c r="A66" i="9"/>
  <c r="AE65" i="9"/>
  <c r="AA65" i="9"/>
  <c r="Z65" i="9"/>
  <c r="R65" i="9"/>
  <c r="Q65" i="9"/>
  <c r="P65" i="9"/>
  <c r="C65" i="9"/>
  <c r="A65" i="9"/>
  <c r="AE64" i="9"/>
  <c r="AA64" i="9"/>
  <c r="Z64" i="9"/>
  <c r="R64" i="9"/>
  <c r="Q64" i="9"/>
  <c r="P64" i="9"/>
  <c r="C64" i="9"/>
  <c r="A64" i="9"/>
  <c r="AE63" i="9"/>
  <c r="AA63" i="9"/>
  <c r="Z63" i="9"/>
  <c r="R63" i="9"/>
  <c r="Q63" i="9"/>
  <c r="P63" i="9"/>
  <c r="C63" i="9"/>
  <c r="A63" i="9"/>
  <c r="AE62" i="9"/>
  <c r="AA62" i="9"/>
  <c r="Z62" i="9"/>
  <c r="R62" i="9"/>
  <c r="Q62" i="9"/>
  <c r="P62" i="9"/>
  <c r="C62" i="9"/>
  <c r="A62" i="9"/>
  <c r="AE61" i="9"/>
  <c r="AA61" i="9"/>
  <c r="Z61" i="9"/>
  <c r="R61" i="9"/>
  <c r="Q61" i="9"/>
  <c r="P61" i="9"/>
  <c r="C61" i="9"/>
  <c r="A61" i="9"/>
  <c r="AE60" i="9"/>
  <c r="AA60" i="9"/>
  <c r="Z60" i="9"/>
  <c r="R60" i="9"/>
  <c r="Q60" i="9"/>
  <c r="P60" i="9"/>
  <c r="C60" i="9"/>
  <c r="A60" i="9"/>
  <c r="AE59" i="9"/>
  <c r="AA59" i="9"/>
  <c r="Z59" i="9"/>
  <c r="R59" i="9"/>
  <c r="Q59" i="9"/>
  <c r="P59" i="9"/>
  <c r="C59" i="9"/>
  <c r="A59" i="9"/>
  <c r="AE58" i="9"/>
  <c r="AA58" i="9"/>
  <c r="Z58" i="9"/>
  <c r="R58" i="9"/>
  <c r="Q58" i="9"/>
  <c r="P58" i="9"/>
  <c r="C58" i="9"/>
  <c r="A58" i="9"/>
  <c r="AE57" i="9"/>
  <c r="AA57" i="9"/>
  <c r="Z57" i="9"/>
  <c r="R57" i="9"/>
  <c r="Q57" i="9"/>
  <c r="P57" i="9"/>
  <c r="C57" i="9"/>
  <c r="A57" i="9"/>
  <c r="AE56" i="9"/>
  <c r="AA56" i="9"/>
  <c r="Z56" i="9"/>
  <c r="R56" i="9"/>
  <c r="Q56" i="9"/>
  <c r="P56" i="9"/>
  <c r="C56" i="9"/>
  <c r="A56" i="9"/>
  <c r="AE55" i="9"/>
  <c r="AA55" i="9"/>
  <c r="Z55" i="9"/>
  <c r="R55" i="9"/>
  <c r="Q55" i="9"/>
  <c r="P55" i="9"/>
  <c r="C55" i="9"/>
  <c r="A55" i="9"/>
  <c r="AE54" i="9"/>
  <c r="AA54" i="9"/>
  <c r="Z54" i="9"/>
  <c r="R54" i="9"/>
  <c r="Q54" i="9"/>
  <c r="P54" i="9"/>
  <c r="C54" i="9"/>
  <c r="A54" i="9"/>
  <c r="AE53" i="9"/>
  <c r="AA53" i="9"/>
  <c r="Z53" i="9"/>
  <c r="R53" i="9"/>
  <c r="Q53" i="9"/>
  <c r="P53" i="9"/>
  <c r="C53" i="9"/>
  <c r="A53" i="9"/>
  <c r="AE52" i="9"/>
  <c r="AA52" i="9"/>
  <c r="Z52" i="9"/>
  <c r="R52" i="9"/>
  <c r="Q52" i="9"/>
  <c r="P52" i="9"/>
  <c r="C52" i="9"/>
  <c r="A52" i="9"/>
  <c r="AE51" i="9"/>
  <c r="AA51" i="9"/>
  <c r="Z51" i="9"/>
  <c r="R51" i="9"/>
  <c r="Q51" i="9"/>
  <c r="P51" i="9"/>
  <c r="C51" i="9"/>
  <c r="A51" i="9"/>
  <c r="AE50" i="9"/>
  <c r="AA50" i="9"/>
  <c r="Z50" i="9"/>
  <c r="R50" i="9"/>
  <c r="Q50" i="9"/>
  <c r="P50" i="9"/>
  <c r="C50" i="9"/>
  <c r="A50" i="9"/>
  <c r="AE49" i="9"/>
  <c r="AA49" i="9"/>
  <c r="Z49" i="9"/>
  <c r="R49" i="9"/>
  <c r="Q49" i="9"/>
  <c r="P49" i="9"/>
  <c r="C49" i="9"/>
  <c r="A49" i="9"/>
  <c r="AE48" i="9"/>
  <c r="AA48" i="9"/>
  <c r="Z48" i="9"/>
  <c r="R48" i="9"/>
  <c r="Q48" i="9"/>
  <c r="P48" i="9"/>
  <c r="C48" i="9"/>
  <c r="A48" i="9"/>
  <c r="AE47" i="9"/>
  <c r="AA47" i="9"/>
  <c r="Z47" i="9"/>
  <c r="R47" i="9"/>
  <c r="Q47" i="9"/>
  <c r="P47" i="9"/>
  <c r="C47" i="9"/>
  <c r="A47" i="9"/>
  <c r="AE46" i="9"/>
  <c r="AA46" i="9"/>
  <c r="Z46" i="9"/>
  <c r="R46" i="9"/>
  <c r="Q46" i="9"/>
  <c r="P46" i="9"/>
  <c r="C46" i="9"/>
  <c r="A46" i="9"/>
  <c r="AE45" i="9"/>
  <c r="AA45" i="9"/>
  <c r="Z45" i="9"/>
  <c r="R45" i="9"/>
  <c r="Q45" i="9"/>
  <c r="P45" i="9"/>
  <c r="C45" i="9"/>
  <c r="A45" i="9"/>
  <c r="AE44" i="9"/>
  <c r="AA44" i="9"/>
  <c r="Z44" i="9"/>
  <c r="R44" i="9"/>
  <c r="Q44" i="9"/>
  <c r="P44" i="9"/>
  <c r="C44" i="9"/>
  <c r="A44" i="9"/>
  <c r="AE43" i="9"/>
  <c r="AA43" i="9"/>
  <c r="Z43" i="9"/>
  <c r="R43" i="9"/>
  <c r="Q43" i="9"/>
  <c r="P43" i="9"/>
  <c r="C43" i="9"/>
  <c r="A43" i="9"/>
  <c r="AE42" i="9"/>
  <c r="AA42" i="9"/>
  <c r="Z42" i="9"/>
  <c r="R42" i="9"/>
  <c r="Q42" i="9"/>
  <c r="P42" i="9"/>
  <c r="C42" i="9"/>
  <c r="A42" i="9"/>
  <c r="AE41" i="9"/>
  <c r="AA41" i="9"/>
  <c r="Z41" i="9"/>
  <c r="R41" i="9"/>
  <c r="Q41" i="9"/>
  <c r="P41" i="9"/>
  <c r="C41" i="9"/>
  <c r="A41" i="9"/>
  <c r="AE40" i="9"/>
  <c r="AA40" i="9"/>
  <c r="Z40" i="9"/>
  <c r="R40" i="9"/>
  <c r="Q40" i="9"/>
  <c r="P40" i="9"/>
  <c r="C40" i="9"/>
  <c r="A40" i="9"/>
  <c r="AE39" i="9"/>
  <c r="AA39" i="9"/>
  <c r="Z39" i="9"/>
  <c r="R39" i="9"/>
  <c r="Q39" i="9"/>
  <c r="P39" i="9"/>
  <c r="C39" i="9"/>
  <c r="A39" i="9"/>
  <c r="AE38" i="9"/>
  <c r="AA38" i="9"/>
  <c r="Z38" i="9"/>
  <c r="R38" i="9"/>
  <c r="Q38" i="9"/>
  <c r="P38" i="9"/>
  <c r="C38" i="9"/>
  <c r="A38" i="9"/>
  <c r="AE37" i="9"/>
  <c r="AA37" i="9"/>
  <c r="Z37" i="9"/>
  <c r="R37" i="9"/>
  <c r="Q37" i="9"/>
  <c r="P37" i="9"/>
  <c r="C37" i="9"/>
  <c r="A37" i="9"/>
  <c r="AE36" i="9"/>
  <c r="AA36" i="9"/>
  <c r="Z36" i="9"/>
  <c r="R36" i="9"/>
  <c r="Q36" i="9"/>
  <c r="P36" i="9"/>
  <c r="C36" i="9"/>
  <c r="A36" i="9"/>
  <c r="AE35" i="9"/>
  <c r="AA35" i="9"/>
  <c r="Z35" i="9"/>
  <c r="R35" i="9"/>
  <c r="Q35" i="9"/>
  <c r="P35" i="9"/>
  <c r="C35" i="9"/>
  <c r="A35" i="9"/>
  <c r="AE34" i="9"/>
  <c r="AA34" i="9"/>
  <c r="Z34" i="9"/>
  <c r="R34" i="9"/>
  <c r="Q34" i="9"/>
  <c r="P34" i="9"/>
  <c r="C34" i="9"/>
  <c r="A34" i="9"/>
  <c r="AE33" i="9"/>
  <c r="AA33" i="9"/>
  <c r="Z33" i="9"/>
  <c r="R33" i="9"/>
  <c r="Q33" i="9"/>
  <c r="P33" i="9"/>
  <c r="C33" i="9"/>
  <c r="A33" i="9"/>
  <c r="AE32" i="9"/>
  <c r="AA32" i="9"/>
  <c r="Z32" i="9"/>
  <c r="R32" i="9"/>
  <c r="Q32" i="9"/>
  <c r="P32" i="9"/>
  <c r="C32" i="9"/>
  <c r="A32" i="9"/>
  <c r="AE31" i="9"/>
  <c r="AA31" i="9"/>
  <c r="Z31" i="9"/>
  <c r="R31" i="9"/>
  <c r="Q31" i="9"/>
  <c r="P31" i="9"/>
  <c r="C31" i="9"/>
  <c r="A31" i="9"/>
  <c r="AE30" i="9"/>
  <c r="AA30" i="9"/>
  <c r="Z30" i="9"/>
  <c r="R30" i="9"/>
  <c r="Q30" i="9"/>
  <c r="P30" i="9"/>
  <c r="C30" i="9"/>
  <c r="A30" i="9"/>
  <c r="AE29" i="9"/>
  <c r="AA29" i="9"/>
  <c r="Z29" i="9"/>
  <c r="R29" i="9"/>
  <c r="Q29" i="9"/>
  <c r="P29" i="9"/>
  <c r="C29" i="9"/>
  <c r="A29" i="9"/>
  <c r="AE28" i="9"/>
  <c r="AA28" i="9"/>
  <c r="Z28" i="9"/>
  <c r="R28" i="9"/>
  <c r="Q28" i="9"/>
  <c r="P28" i="9"/>
  <c r="C28" i="9"/>
  <c r="A28" i="9"/>
  <c r="AE27" i="9"/>
  <c r="AA27" i="9"/>
  <c r="Z27" i="9"/>
  <c r="R27" i="9"/>
  <c r="Q27" i="9"/>
  <c r="P27" i="9"/>
  <c r="C27" i="9"/>
  <c r="A27" i="9"/>
  <c r="AE26" i="9"/>
  <c r="AA26" i="9"/>
  <c r="Z26" i="9"/>
  <c r="R26" i="9"/>
  <c r="Q26" i="9"/>
  <c r="P26" i="9"/>
  <c r="C26" i="9"/>
  <c r="A26" i="9"/>
  <c r="AE25" i="9"/>
  <c r="AA25" i="9"/>
  <c r="Z25" i="9"/>
  <c r="R25" i="9"/>
  <c r="Q25" i="9"/>
  <c r="P25" i="9"/>
  <c r="C25" i="9"/>
  <c r="A25" i="9"/>
  <c r="AE24" i="9"/>
  <c r="AA24" i="9"/>
  <c r="Z24" i="9"/>
  <c r="R24" i="9"/>
  <c r="Q24" i="9"/>
  <c r="P24" i="9"/>
  <c r="C24" i="9"/>
  <c r="A24" i="9"/>
  <c r="AE23" i="9"/>
  <c r="AA23" i="9"/>
  <c r="Z23" i="9"/>
  <c r="R23" i="9"/>
  <c r="Q23" i="9"/>
  <c r="P23" i="9"/>
  <c r="C23" i="9"/>
  <c r="A23" i="9"/>
  <c r="AE22" i="9"/>
  <c r="AA22" i="9"/>
  <c r="Z22" i="9"/>
  <c r="R22" i="9"/>
  <c r="Q22" i="9"/>
  <c r="P22" i="9"/>
  <c r="C22" i="9"/>
  <c r="A22" i="9"/>
  <c r="AE21" i="9"/>
  <c r="AA21" i="9"/>
  <c r="Z21" i="9"/>
  <c r="R21" i="9"/>
  <c r="Q21" i="9"/>
  <c r="P21" i="9"/>
  <c r="C21" i="9"/>
  <c r="A21" i="9"/>
  <c r="AE20" i="9"/>
  <c r="AA20" i="9"/>
  <c r="Z20" i="9"/>
  <c r="R20" i="9"/>
  <c r="Q20" i="9"/>
  <c r="P20" i="9"/>
  <c r="C20" i="9"/>
  <c r="A20" i="9"/>
  <c r="AE19" i="9"/>
  <c r="AA19" i="9"/>
  <c r="Z19" i="9"/>
  <c r="R19" i="9"/>
  <c r="Q19" i="9"/>
  <c r="P19" i="9"/>
  <c r="C19" i="9"/>
  <c r="A19" i="9"/>
  <c r="AE18" i="9"/>
  <c r="AA18" i="9"/>
  <c r="Z18" i="9"/>
  <c r="R18" i="9"/>
  <c r="Q18" i="9"/>
  <c r="P18" i="9"/>
  <c r="C18" i="9"/>
  <c r="A18" i="9"/>
  <c r="AE17" i="9"/>
  <c r="AA17" i="9"/>
  <c r="Z17" i="9"/>
  <c r="R17" i="9"/>
  <c r="Q17" i="9"/>
  <c r="P17" i="9"/>
  <c r="C17" i="9"/>
  <c r="A17" i="9"/>
  <c r="AE16" i="9"/>
  <c r="AA16" i="9"/>
  <c r="Z16" i="9"/>
  <c r="R16" i="9"/>
  <c r="Q16" i="9"/>
  <c r="P16" i="9"/>
  <c r="C16" i="9"/>
  <c r="A16" i="9"/>
  <c r="AE15" i="9"/>
  <c r="AA15" i="9"/>
  <c r="Z15" i="9"/>
  <c r="R15" i="9"/>
  <c r="Q15" i="9"/>
  <c r="P15" i="9"/>
  <c r="C15" i="9"/>
  <c r="A15" i="9"/>
  <c r="AE14" i="9"/>
  <c r="AA14" i="9"/>
  <c r="Z14" i="9"/>
  <c r="Q14" i="9"/>
  <c r="R14" i="9" s="1"/>
  <c r="P14" i="9"/>
  <c r="C14" i="9"/>
  <c r="A14" i="9"/>
  <c r="D9" i="9"/>
  <c r="D8" i="9"/>
  <c r="D7" i="9"/>
  <c r="O3" i="9"/>
  <c r="F1" i="9"/>
  <c r="AE163" i="8"/>
  <c r="AA163" i="8"/>
  <c r="Z163" i="8"/>
  <c r="R163" i="8"/>
  <c r="Q163" i="8"/>
  <c r="P163" i="8"/>
  <c r="C163" i="8"/>
  <c r="A163" i="8"/>
  <c r="AE162" i="8"/>
  <c r="AA162" i="8"/>
  <c r="Z162" i="8"/>
  <c r="R162" i="8"/>
  <c r="Q162" i="8"/>
  <c r="P162" i="8"/>
  <c r="C162" i="8"/>
  <c r="A162" i="8"/>
  <c r="AE161" i="8"/>
  <c r="AA161" i="8"/>
  <c r="Z161" i="8"/>
  <c r="R161" i="8"/>
  <c r="Q161" i="8"/>
  <c r="P161" i="8"/>
  <c r="C161" i="8"/>
  <c r="A161" i="8"/>
  <c r="AE160" i="8"/>
  <c r="AA160" i="8"/>
  <c r="Z160" i="8"/>
  <c r="R160" i="8"/>
  <c r="Q160" i="8"/>
  <c r="P160" i="8"/>
  <c r="C160" i="8"/>
  <c r="A160" i="8"/>
  <c r="AE159" i="8"/>
  <c r="AA159" i="8"/>
  <c r="Z159" i="8"/>
  <c r="R159" i="8"/>
  <c r="Q159" i="8"/>
  <c r="P159" i="8"/>
  <c r="C159" i="8"/>
  <c r="A159" i="8"/>
  <c r="AE158" i="8"/>
  <c r="AA158" i="8"/>
  <c r="Z158" i="8"/>
  <c r="R158" i="8"/>
  <c r="Q158" i="8"/>
  <c r="P158" i="8"/>
  <c r="C158" i="8"/>
  <c r="A158" i="8"/>
  <c r="AE157" i="8"/>
  <c r="AA157" i="8"/>
  <c r="Z157" i="8"/>
  <c r="R157" i="8"/>
  <c r="Q157" i="8"/>
  <c r="P157" i="8"/>
  <c r="C157" i="8"/>
  <c r="A157" i="8"/>
  <c r="AE156" i="8"/>
  <c r="AA156" i="8"/>
  <c r="Z156" i="8"/>
  <c r="R156" i="8"/>
  <c r="Q156" i="8"/>
  <c r="P156" i="8"/>
  <c r="C156" i="8"/>
  <c r="A156" i="8"/>
  <c r="AE155" i="8"/>
  <c r="AA155" i="8"/>
  <c r="Z155" i="8"/>
  <c r="R155" i="8"/>
  <c r="Q155" i="8"/>
  <c r="P155" i="8"/>
  <c r="C155" i="8"/>
  <c r="A155" i="8"/>
  <c r="AE154" i="8"/>
  <c r="AA154" i="8"/>
  <c r="Z154" i="8"/>
  <c r="R154" i="8"/>
  <c r="Q154" i="8"/>
  <c r="P154" i="8"/>
  <c r="C154" i="8"/>
  <c r="A154" i="8"/>
  <c r="AE153" i="8"/>
  <c r="AA153" i="8"/>
  <c r="Z153" i="8"/>
  <c r="R153" i="8"/>
  <c r="Q153" i="8"/>
  <c r="P153" i="8"/>
  <c r="C153" i="8"/>
  <c r="A153" i="8"/>
  <c r="AE152" i="8"/>
  <c r="AA152" i="8"/>
  <c r="Z152" i="8"/>
  <c r="R152" i="8"/>
  <c r="Q152" i="8"/>
  <c r="P152" i="8"/>
  <c r="C152" i="8"/>
  <c r="A152" i="8"/>
  <c r="AE151" i="8"/>
  <c r="AA151" i="8"/>
  <c r="Z151" i="8"/>
  <c r="R151" i="8"/>
  <c r="Q151" i="8"/>
  <c r="P151" i="8"/>
  <c r="C151" i="8"/>
  <c r="A151" i="8"/>
  <c r="AE150" i="8"/>
  <c r="AA150" i="8"/>
  <c r="Z150" i="8"/>
  <c r="R150" i="8"/>
  <c r="Q150" i="8"/>
  <c r="P150" i="8"/>
  <c r="C150" i="8"/>
  <c r="A150" i="8"/>
  <c r="AE149" i="8"/>
  <c r="AA149" i="8"/>
  <c r="Z149" i="8"/>
  <c r="R149" i="8"/>
  <c r="Q149" i="8"/>
  <c r="P149" i="8"/>
  <c r="C149" i="8"/>
  <c r="A149" i="8"/>
  <c r="AE148" i="8"/>
  <c r="AA148" i="8"/>
  <c r="Z148" i="8"/>
  <c r="R148" i="8"/>
  <c r="Q148" i="8"/>
  <c r="P148" i="8"/>
  <c r="C148" i="8"/>
  <c r="A148" i="8"/>
  <c r="AE147" i="8"/>
  <c r="AA147" i="8"/>
  <c r="Z147" i="8"/>
  <c r="R147" i="8"/>
  <c r="Q147" i="8"/>
  <c r="P147" i="8"/>
  <c r="C147" i="8"/>
  <c r="A147" i="8"/>
  <c r="AE146" i="8"/>
  <c r="AA146" i="8"/>
  <c r="Z146" i="8"/>
  <c r="R146" i="8"/>
  <c r="Q146" i="8"/>
  <c r="P146" i="8"/>
  <c r="C146" i="8"/>
  <c r="A146" i="8"/>
  <c r="AE145" i="8"/>
  <c r="AA145" i="8"/>
  <c r="Z145" i="8"/>
  <c r="R145" i="8"/>
  <c r="Q145" i="8"/>
  <c r="P145" i="8"/>
  <c r="C145" i="8"/>
  <c r="A145" i="8"/>
  <c r="AE144" i="8"/>
  <c r="AA144" i="8"/>
  <c r="Z144" i="8"/>
  <c r="R144" i="8"/>
  <c r="Q144" i="8"/>
  <c r="P144" i="8"/>
  <c r="C144" i="8"/>
  <c r="A144" i="8"/>
  <c r="AE143" i="8"/>
  <c r="AA143" i="8"/>
  <c r="Z143" i="8"/>
  <c r="R143" i="8"/>
  <c r="Q143" i="8"/>
  <c r="P143" i="8"/>
  <c r="C143" i="8"/>
  <c r="A143" i="8"/>
  <c r="AE142" i="8"/>
  <c r="AA142" i="8"/>
  <c r="Z142" i="8"/>
  <c r="R142" i="8"/>
  <c r="Q142" i="8"/>
  <c r="P142" i="8"/>
  <c r="C142" i="8"/>
  <c r="A142" i="8"/>
  <c r="AE141" i="8"/>
  <c r="AA141" i="8"/>
  <c r="Z141" i="8"/>
  <c r="R141" i="8"/>
  <c r="Q141" i="8"/>
  <c r="P141" i="8"/>
  <c r="C141" i="8"/>
  <c r="A141" i="8"/>
  <c r="AE140" i="8"/>
  <c r="AA140" i="8"/>
  <c r="Z140" i="8"/>
  <c r="R140" i="8"/>
  <c r="Q140" i="8"/>
  <c r="P140" i="8"/>
  <c r="C140" i="8"/>
  <c r="A140" i="8"/>
  <c r="AE139" i="8"/>
  <c r="AA139" i="8"/>
  <c r="Z139" i="8"/>
  <c r="R139" i="8"/>
  <c r="Q139" i="8"/>
  <c r="P139" i="8"/>
  <c r="C139" i="8"/>
  <c r="A139" i="8"/>
  <c r="AE138" i="8"/>
  <c r="AA138" i="8"/>
  <c r="Z138" i="8"/>
  <c r="R138" i="8"/>
  <c r="Q138" i="8"/>
  <c r="P138" i="8"/>
  <c r="C138" i="8"/>
  <c r="A138" i="8"/>
  <c r="AE137" i="8"/>
  <c r="AA137" i="8"/>
  <c r="Z137" i="8"/>
  <c r="R137" i="8"/>
  <c r="Q137" i="8"/>
  <c r="P137" i="8"/>
  <c r="C137" i="8"/>
  <c r="A137" i="8"/>
  <c r="AE136" i="8"/>
  <c r="AA136" i="8"/>
  <c r="Z136" i="8"/>
  <c r="R136" i="8"/>
  <c r="Q136" i="8"/>
  <c r="P136" i="8"/>
  <c r="C136" i="8"/>
  <c r="A136" i="8"/>
  <c r="AE135" i="8"/>
  <c r="AA135" i="8"/>
  <c r="Z135" i="8"/>
  <c r="R135" i="8"/>
  <c r="Q135" i="8"/>
  <c r="P135" i="8"/>
  <c r="C135" i="8"/>
  <c r="A135" i="8"/>
  <c r="AE134" i="8"/>
  <c r="AA134" i="8"/>
  <c r="Z134" i="8"/>
  <c r="R134" i="8"/>
  <c r="Q134" i="8"/>
  <c r="P134" i="8"/>
  <c r="C134" i="8"/>
  <c r="A134" i="8"/>
  <c r="AE133" i="8"/>
  <c r="AA133" i="8"/>
  <c r="Z133" i="8"/>
  <c r="R133" i="8"/>
  <c r="Q133" i="8"/>
  <c r="P133" i="8"/>
  <c r="C133" i="8"/>
  <c r="A133" i="8"/>
  <c r="AE132" i="8"/>
  <c r="AA132" i="8"/>
  <c r="Z132" i="8"/>
  <c r="R132" i="8"/>
  <c r="Q132" i="8"/>
  <c r="P132" i="8"/>
  <c r="C132" i="8"/>
  <c r="A132" i="8"/>
  <c r="AE131" i="8"/>
  <c r="AA131" i="8"/>
  <c r="Z131" i="8"/>
  <c r="R131" i="8"/>
  <c r="Q131" i="8"/>
  <c r="P131" i="8"/>
  <c r="C131" i="8"/>
  <c r="A131" i="8"/>
  <c r="AE130" i="8"/>
  <c r="AA130" i="8"/>
  <c r="Z130" i="8"/>
  <c r="R130" i="8"/>
  <c r="Q130" i="8"/>
  <c r="P130" i="8"/>
  <c r="C130" i="8"/>
  <c r="A130" i="8"/>
  <c r="AE129" i="8"/>
  <c r="AA129" i="8"/>
  <c r="Z129" i="8"/>
  <c r="R129" i="8"/>
  <c r="Q129" i="8"/>
  <c r="P129" i="8"/>
  <c r="C129" i="8"/>
  <c r="A129" i="8"/>
  <c r="AE128" i="8"/>
  <c r="AA128" i="8"/>
  <c r="Z128" i="8"/>
  <c r="R128" i="8"/>
  <c r="Q128" i="8"/>
  <c r="P128" i="8"/>
  <c r="C128" i="8"/>
  <c r="A128" i="8"/>
  <c r="AE127" i="8"/>
  <c r="AA127" i="8"/>
  <c r="Z127" i="8"/>
  <c r="R127" i="8"/>
  <c r="Q127" i="8"/>
  <c r="P127" i="8"/>
  <c r="C127" i="8"/>
  <c r="A127" i="8"/>
  <c r="AE126" i="8"/>
  <c r="AA126" i="8"/>
  <c r="Z126" i="8"/>
  <c r="R126" i="8"/>
  <c r="Q126" i="8"/>
  <c r="P126" i="8"/>
  <c r="C126" i="8"/>
  <c r="A126" i="8"/>
  <c r="AE125" i="8"/>
  <c r="AA125" i="8"/>
  <c r="Z125" i="8"/>
  <c r="R125" i="8"/>
  <c r="Q125" i="8"/>
  <c r="P125" i="8"/>
  <c r="C125" i="8"/>
  <c r="A125" i="8"/>
  <c r="AE124" i="8"/>
  <c r="AA124" i="8"/>
  <c r="Z124" i="8"/>
  <c r="R124" i="8"/>
  <c r="Q124" i="8"/>
  <c r="P124" i="8"/>
  <c r="C124" i="8"/>
  <c r="A124" i="8"/>
  <c r="AE123" i="8"/>
  <c r="AA123" i="8"/>
  <c r="Z123" i="8"/>
  <c r="R123" i="8"/>
  <c r="Q123" i="8"/>
  <c r="P123" i="8"/>
  <c r="C123" i="8"/>
  <c r="A123" i="8"/>
  <c r="AE122" i="8"/>
  <c r="AA122" i="8"/>
  <c r="Z122" i="8"/>
  <c r="R122" i="8"/>
  <c r="Q122" i="8"/>
  <c r="P122" i="8"/>
  <c r="C122" i="8"/>
  <c r="A122" i="8"/>
  <c r="AE121" i="8"/>
  <c r="AA121" i="8"/>
  <c r="Z121" i="8"/>
  <c r="R121" i="8"/>
  <c r="Q121" i="8"/>
  <c r="P121" i="8"/>
  <c r="C121" i="8"/>
  <c r="A121" i="8"/>
  <c r="AE120" i="8"/>
  <c r="AA120" i="8"/>
  <c r="Z120" i="8"/>
  <c r="R120" i="8"/>
  <c r="Q120" i="8"/>
  <c r="P120" i="8"/>
  <c r="C120" i="8"/>
  <c r="A120" i="8"/>
  <c r="AE119" i="8"/>
  <c r="AA119" i="8"/>
  <c r="Z119" i="8"/>
  <c r="R119" i="8"/>
  <c r="Q119" i="8"/>
  <c r="P119" i="8"/>
  <c r="C119" i="8"/>
  <c r="A119" i="8"/>
  <c r="AE118" i="8"/>
  <c r="AA118" i="8"/>
  <c r="Z118" i="8"/>
  <c r="R118" i="8"/>
  <c r="Q118" i="8"/>
  <c r="P118" i="8"/>
  <c r="C118" i="8"/>
  <c r="A118" i="8"/>
  <c r="AE117" i="8"/>
  <c r="AA117" i="8"/>
  <c r="Z117" i="8"/>
  <c r="R117" i="8"/>
  <c r="Q117" i="8"/>
  <c r="P117" i="8"/>
  <c r="C117" i="8"/>
  <c r="A117" i="8"/>
  <c r="AE116" i="8"/>
  <c r="AA116" i="8"/>
  <c r="Z116" i="8"/>
  <c r="R116" i="8"/>
  <c r="Q116" i="8"/>
  <c r="P116" i="8"/>
  <c r="C116" i="8"/>
  <c r="A116" i="8"/>
  <c r="AE115" i="8"/>
  <c r="AA115" i="8"/>
  <c r="Z115" i="8"/>
  <c r="R115" i="8"/>
  <c r="Q115" i="8"/>
  <c r="P115" i="8"/>
  <c r="C115" i="8"/>
  <c r="A115" i="8"/>
  <c r="AE114" i="8"/>
  <c r="AA114" i="8"/>
  <c r="Z114" i="8"/>
  <c r="R114" i="8"/>
  <c r="Q114" i="8"/>
  <c r="P114" i="8"/>
  <c r="C114" i="8"/>
  <c r="A114" i="8"/>
  <c r="AE113" i="8"/>
  <c r="AA113" i="8"/>
  <c r="Z113" i="8"/>
  <c r="R113" i="8"/>
  <c r="Q113" i="8"/>
  <c r="P113" i="8"/>
  <c r="C113" i="8"/>
  <c r="A113" i="8"/>
  <c r="AE112" i="8"/>
  <c r="AA112" i="8"/>
  <c r="Z112" i="8"/>
  <c r="R112" i="8"/>
  <c r="Q112" i="8"/>
  <c r="P112" i="8"/>
  <c r="C112" i="8"/>
  <c r="A112" i="8"/>
  <c r="AE111" i="8"/>
  <c r="AA111" i="8"/>
  <c r="Z111" i="8"/>
  <c r="R111" i="8"/>
  <c r="Q111" i="8"/>
  <c r="P111" i="8"/>
  <c r="C111" i="8"/>
  <c r="A111" i="8"/>
  <c r="AE110" i="8"/>
  <c r="AA110" i="8"/>
  <c r="Z110" i="8"/>
  <c r="R110" i="8"/>
  <c r="Q110" i="8"/>
  <c r="P110" i="8"/>
  <c r="C110" i="8"/>
  <c r="A110" i="8"/>
  <c r="AE109" i="8"/>
  <c r="AA109" i="8"/>
  <c r="Z109" i="8"/>
  <c r="R109" i="8"/>
  <c r="Q109" i="8"/>
  <c r="P109" i="8"/>
  <c r="C109" i="8"/>
  <c r="A109" i="8"/>
  <c r="AE108" i="8"/>
  <c r="AA108" i="8"/>
  <c r="Z108" i="8"/>
  <c r="R108" i="8"/>
  <c r="Q108" i="8"/>
  <c r="P108" i="8"/>
  <c r="C108" i="8"/>
  <c r="A108" i="8"/>
  <c r="AE107" i="8"/>
  <c r="AA107" i="8"/>
  <c r="Z107" i="8"/>
  <c r="R107" i="8"/>
  <c r="Q107" i="8"/>
  <c r="P107" i="8"/>
  <c r="C107" i="8"/>
  <c r="A107" i="8"/>
  <c r="AE106" i="8"/>
  <c r="AA106" i="8"/>
  <c r="Z106" i="8"/>
  <c r="R106" i="8"/>
  <c r="Q106" i="8"/>
  <c r="P106" i="8"/>
  <c r="C106" i="8"/>
  <c r="A106" i="8"/>
  <c r="AE105" i="8"/>
  <c r="AA105" i="8"/>
  <c r="Z105" i="8"/>
  <c r="R105" i="8"/>
  <c r="Q105" i="8"/>
  <c r="P105" i="8"/>
  <c r="C105" i="8"/>
  <c r="A105" i="8"/>
  <c r="AE104" i="8"/>
  <c r="AA104" i="8"/>
  <c r="Z104" i="8"/>
  <c r="R104" i="8"/>
  <c r="Q104" i="8"/>
  <c r="P104" i="8"/>
  <c r="C104" i="8"/>
  <c r="A104" i="8"/>
  <c r="AE103" i="8"/>
  <c r="AA103" i="8"/>
  <c r="Z103" i="8"/>
  <c r="R103" i="8"/>
  <c r="Q103" i="8"/>
  <c r="P103" i="8"/>
  <c r="C103" i="8"/>
  <c r="A103" i="8"/>
  <c r="AE102" i="8"/>
  <c r="AA102" i="8"/>
  <c r="Z102" i="8"/>
  <c r="R102" i="8"/>
  <c r="Q102" i="8"/>
  <c r="P102" i="8"/>
  <c r="C102" i="8"/>
  <c r="A102" i="8"/>
  <c r="AE101" i="8"/>
  <c r="AA101" i="8"/>
  <c r="Z101" i="8"/>
  <c r="R101" i="8"/>
  <c r="Q101" i="8"/>
  <c r="P101" i="8"/>
  <c r="C101" i="8"/>
  <c r="A101" i="8"/>
  <c r="AE100" i="8"/>
  <c r="AA100" i="8"/>
  <c r="Z100" i="8"/>
  <c r="R100" i="8"/>
  <c r="Q100" i="8"/>
  <c r="P100" i="8"/>
  <c r="C100" i="8"/>
  <c r="A100" i="8"/>
  <c r="AE99" i="8"/>
  <c r="AA99" i="8"/>
  <c r="Z99" i="8"/>
  <c r="R99" i="8"/>
  <c r="Q99" i="8"/>
  <c r="P99" i="8"/>
  <c r="C99" i="8"/>
  <c r="A99" i="8"/>
  <c r="AE98" i="8"/>
  <c r="AA98" i="8"/>
  <c r="Z98" i="8"/>
  <c r="R98" i="8"/>
  <c r="Q98" i="8"/>
  <c r="P98" i="8"/>
  <c r="C98" i="8"/>
  <c r="A98" i="8"/>
  <c r="AE97" i="8"/>
  <c r="AA97" i="8"/>
  <c r="Z97" i="8"/>
  <c r="R97" i="8"/>
  <c r="Q97" i="8"/>
  <c r="P97" i="8"/>
  <c r="C97" i="8"/>
  <c r="A97" i="8"/>
  <c r="AE96" i="8"/>
  <c r="AA96" i="8"/>
  <c r="Z96" i="8"/>
  <c r="R96" i="8"/>
  <c r="Q96" i="8"/>
  <c r="P96" i="8"/>
  <c r="C96" i="8"/>
  <c r="A96" i="8"/>
  <c r="AE95" i="8"/>
  <c r="AA95" i="8"/>
  <c r="Z95" i="8"/>
  <c r="R95" i="8"/>
  <c r="Q95" i="8"/>
  <c r="P95" i="8"/>
  <c r="C95" i="8"/>
  <c r="A95" i="8"/>
  <c r="AE94" i="8"/>
  <c r="AA94" i="8"/>
  <c r="Z94" i="8"/>
  <c r="R94" i="8"/>
  <c r="Q94" i="8"/>
  <c r="P94" i="8"/>
  <c r="C94" i="8"/>
  <c r="A94" i="8"/>
  <c r="AE93" i="8"/>
  <c r="AA93" i="8"/>
  <c r="Z93" i="8"/>
  <c r="R93" i="8"/>
  <c r="Q93" i="8"/>
  <c r="P93" i="8"/>
  <c r="C93" i="8"/>
  <c r="A93" i="8"/>
  <c r="AE92" i="8"/>
  <c r="AA92" i="8"/>
  <c r="Z92" i="8"/>
  <c r="R92" i="8"/>
  <c r="Q92" i="8"/>
  <c r="P92" i="8"/>
  <c r="C92" i="8"/>
  <c r="A92" i="8"/>
  <c r="AE91" i="8"/>
  <c r="AA91" i="8"/>
  <c r="Z91" i="8"/>
  <c r="R91" i="8"/>
  <c r="Q91" i="8"/>
  <c r="P91" i="8"/>
  <c r="C91" i="8"/>
  <c r="A91" i="8"/>
  <c r="AE90" i="8"/>
  <c r="AA90" i="8"/>
  <c r="Z90" i="8"/>
  <c r="R90" i="8"/>
  <c r="Q90" i="8"/>
  <c r="P90" i="8"/>
  <c r="C90" i="8"/>
  <c r="A90" i="8"/>
  <c r="AE89" i="8"/>
  <c r="AA89" i="8"/>
  <c r="Z89" i="8"/>
  <c r="R89" i="8"/>
  <c r="Q89" i="8"/>
  <c r="P89" i="8"/>
  <c r="C89" i="8"/>
  <c r="A89" i="8"/>
  <c r="AE88" i="8"/>
  <c r="AA88" i="8"/>
  <c r="Z88" i="8"/>
  <c r="R88" i="8"/>
  <c r="Q88" i="8"/>
  <c r="P88" i="8"/>
  <c r="C88" i="8"/>
  <c r="A88" i="8"/>
  <c r="AE87" i="8"/>
  <c r="AA87" i="8"/>
  <c r="Z87" i="8"/>
  <c r="R87" i="8"/>
  <c r="Q87" i="8"/>
  <c r="P87" i="8"/>
  <c r="C87" i="8"/>
  <c r="A87" i="8"/>
  <c r="AE86" i="8"/>
  <c r="AA86" i="8"/>
  <c r="Z86" i="8"/>
  <c r="R86" i="8"/>
  <c r="Q86" i="8"/>
  <c r="P86" i="8"/>
  <c r="C86" i="8"/>
  <c r="A86" i="8"/>
  <c r="AE85" i="8"/>
  <c r="AA85" i="8"/>
  <c r="Z85" i="8"/>
  <c r="R85" i="8"/>
  <c r="Q85" i="8"/>
  <c r="P85" i="8"/>
  <c r="C85" i="8"/>
  <c r="A85" i="8"/>
  <c r="AE84" i="8"/>
  <c r="AA84" i="8"/>
  <c r="Z84" i="8"/>
  <c r="R84" i="8"/>
  <c r="Q84" i="8"/>
  <c r="P84" i="8"/>
  <c r="C84" i="8"/>
  <c r="A84" i="8"/>
  <c r="AE83" i="8"/>
  <c r="AA83" i="8"/>
  <c r="Z83" i="8"/>
  <c r="R83" i="8"/>
  <c r="Q83" i="8"/>
  <c r="P83" i="8"/>
  <c r="C83" i="8"/>
  <c r="A83" i="8"/>
  <c r="AE82" i="8"/>
  <c r="AA82" i="8"/>
  <c r="Z82" i="8"/>
  <c r="R82" i="8"/>
  <c r="Q82" i="8"/>
  <c r="P82" i="8"/>
  <c r="C82" i="8"/>
  <c r="A82" i="8"/>
  <c r="AE81" i="8"/>
  <c r="AA81" i="8"/>
  <c r="Z81" i="8"/>
  <c r="R81" i="8"/>
  <c r="Q81" i="8"/>
  <c r="P81" i="8"/>
  <c r="C81" i="8"/>
  <c r="A81" i="8"/>
  <c r="AE80" i="8"/>
  <c r="AA80" i="8"/>
  <c r="Z80" i="8"/>
  <c r="R80" i="8"/>
  <c r="Q80" i="8"/>
  <c r="P80" i="8"/>
  <c r="C80" i="8"/>
  <c r="A80" i="8"/>
  <c r="AE79" i="8"/>
  <c r="AA79" i="8"/>
  <c r="Z79" i="8"/>
  <c r="R79" i="8"/>
  <c r="Q79" i="8"/>
  <c r="P79" i="8"/>
  <c r="C79" i="8"/>
  <c r="A79" i="8"/>
  <c r="AE78" i="8"/>
  <c r="AA78" i="8"/>
  <c r="Z78" i="8"/>
  <c r="R78" i="8"/>
  <c r="Q78" i="8"/>
  <c r="P78" i="8"/>
  <c r="C78" i="8"/>
  <c r="A78" i="8"/>
  <c r="AE77" i="8"/>
  <c r="AA77" i="8"/>
  <c r="Z77" i="8"/>
  <c r="R77" i="8"/>
  <c r="Q77" i="8"/>
  <c r="P77" i="8"/>
  <c r="C77" i="8"/>
  <c r="A77" i="8"/>
  <c r="AE76" i="8"/>
  <c r="AA76" i="8"/>
  <c r="Z76" i="8"/>
  <c r="R76" i="8"/>
  <c r="Q76" i="8"/>
  <c r="P76" i="8"/>
  <c r="C76" i="8"/>
  <c r="A76" i="8"/>
  <c r="AE75" i="8"/>
  <c r="AA75" i="8"/>
  <c r="Z75" i="8"/>
  <c r="R75" i="8"/>
  <c r="Q75" i="8"/>
  <c r="P75" i="8"/>
  <c r="C75" i="8"/>
  <c r="A75" i="8"/>
  <c r="AE74" i="8"/>
  <c r="AA74" i="8"/>
  <c r="Z74" i="8"/>
  <c r="R74" i="8"/>
  <c r="Q74" i="8"/>
  <c r="P74" i="8"/>
  <c r="C74" i="8"/>
  <c r="A74" i="8"/>
  <c r="AE73" i="8"/>
  <c r="AA73" i="8"/>
  <c r="Z73" i="8"/>
  <c r="R73" i="8"/>
  <c r="Q73" i="8"/>
  <c r="P73" i="8"/>
  <c r="C73" i="8"/>
  <c r="A73" i="8"/>
  <c r="AE72" i="8"/>
  <c r="AA72" i="8"/>
  <c r="Z72" i="8"/>
  <c r="R72" i="8"/>
  <c r="Q72" i="8"/>
  <c r="P72" i="8"/>
  <c r="C72" i="8"/>
  <c r="A72" i="8"/>
  <c r="AE71" i="8"/>
  <c r="AA71" i="8"/>
  <c r="Z71" i="8"/>
  <c r="R71" i="8"/>
  <c r="Q71" i="8"/>
  <c r="P71" i="8"/>
  <c r="C71" i="8"/>
  <c r="A71" i="8"/>
  <c r="AE70" i="8"/>
  <c r="AA70" i="8"/>
  <c r="Z70" i="8"/>
  <c r="R70" i="8"/>
  <c r="Q70" i="8"/>
  <c r="P70" i="8"/>
  <c r="C70" i="8"/>
  <c r="A70" i="8"/>
  <c r="AE69" i="8"/>
  <c r="AA69" i="8"/>
  <c r="Z69" i="8"/>
  <c r="R69" i="8"/>
  <c r="Q69" i="8"/>
  <c r="P69" i="8"/>
  <c r="C69" i="8"/>
  <c r="A69" i="8"/>
  <c r="AE68" i="8"/>
  <c r="AA68" i="8"/>
  <c r="Z68" i="8"/>
  <c r="R68" i="8"/>
  <c r="Q68" i="8"/>
  <c r="P68" i="8"/>
  <c r="C68" i="8"/>
  <c r="A68" i="8"/>
  <c r="AE67" i="8"/>
  <c r="AA67" i="8"/>
  <c r="Z67" i="8"/>
  <c r="R67" i="8"/>
  <c r="Q67" i="8"/>
  <c r="P67" i="8"/>
  <c r="C67" i="8"/>
  <c r="A67" i="8"/>
  <c r="AE66" i="8"/>
  <c r="AA66" i="8"/>
  <c r="Z66" i="8"/>
  <c r="R66" i="8"/>
  <c r="Q66" i="8"/>
  <c r="P66" i="8"/>
  <c r="C66" i="8"/>
  <c r="A66" i="8"/>
  <c r="AE65" i="8"/>
  <c r="AA65" i="8"/>
  <c r="Z65" i="8"/>
  <c r="R65" i="8"/>
  <c r="Q65" i="8"/>
  <c r="P65" i="8"/>
  <c r="C65" i="8"/>
  <c r="A65" i="8"/>
  <c r="AE64" i="8"/>
  <c r="AA64" i="8"/>
  <c r="Z64" i="8"/>
  <c r="R64" i="8"/>
  <c r="Q64" i="8"/>
  <c r="P64" i="8"/>
  <c r="C64" i="8"/>
  <c r="A64" i="8"/>
  <c r="AE63" i="8"/>
  <c r="AA63" i="8"/>
  <c r="Z63" i="8"/>
  <c r="R63" i="8"/>
  <c r="Q63" i="8"/>
  <c r="P63" i="8"/>
  <c r="C63" i="8"/>
  <c r="A63" i="8"/>
  <c r="AE62" i="8"/>
  <c r="AA62" i="8"/>
  <c r="Z62" i="8"/>
  <c r="R62" i="8"/>
  <c r="Q62" i="8"/>
  <c r="P62" i="8"/>
  <c r="C62" i="8"/>
  <c r="A62" i="8"/>
  <c r="AE61" i="8"/>
  <c r="AA61" i="8"/>
  <c r="Z61" i="8"/>
  <c r="R61" i="8"/>
  <c r="Q61" i="8"/>
  <c r="P61" i="8"/>
  <c r="C61" i="8"/>
  <c r="A61" i="8"/>
  <c r="AE60" i="8"/>
  <c r="AA60" i="8"/>
  <c r="Z60" i="8"/>
  <c r="R60" i="8"/>
  <c r="Q60" i="8"/>
  <c r="P60" i="8"/>
  <c r="C60" i="8"/>
  <c r="A60" i="8"/>
  <c r="AE59" i="8"/>
  <c r="AA59" i="8"/>
  <c r="Z59" i="8"/>
  <c r="R59" i="8"/>
  <c r="Q59" i="8"/>
  <c r="P59" i="8"/>
  <c r="C59" i="8"/>
  <c r="A59" i="8"/>
  <c r="AE58" i="8"/>
  <c r="AA58" i="8"/>
  <c r="Z58" i="8"/>
  <c r="R58" i="8"/>
  <c r="Q58" i="8"/>
  <c r="P58" i="8"/>
  <c r="C58" i="8"/>
  <c r="A58" i="8"/>
  <c r="AE57" i="8"/>
  <c r="AA57" i="8"/>
  <c r="Z57" i="8"/>
  <c r="R57" i="8"/>
  <c r="Q57" i="8"/>
  <c r="P57" i="8"/>
  <c r="C57" i="8"/>
  <c r="A57" i="8"/>
  <c r="AE56" i="8"/>
  <c r="AA56" i="8"/>
  <c r="Z56" i="8"/>
  <c r="R56" i="8"/>
  <c r="Q56" i="8"/>
  <c r="P56" i="8"/>
  <c r="C56" i="8"/>
  <c r="A56" i="8"/>
  <c r="AE55" i="8"/>
  <c r="AA55" i="8"/>
  <c r="Z55" i="8"/>
  <c r="R55" i="8"/>
  <c r="Q55" i="8"/>
  <c r="P55" i="8"/>
  <c r="C55" i="8"/>
  <c r="A55" i="8"/>
  <c r="AE54" i="8"/>
  <c r="AA54" i="8"/>
  <c r="Z54" i="8"/>
  <c r="R54" i="8"/>
  <c r="Q54" i="8"/>
  <c r="P54" i="8"/>
  <c r="C54" i="8"/>
  <c r="A54" i="8"/>
  <c r="AE53" i="8"/>
  <c r="AA53" i="8"/>
  <c r="Z53" i="8"/>
  <c r="R53" i="8"/>
  <c r="Q53" i="8"/>
  <c r="P53" i="8"/>
  <c r="C53" i="8"/>
  <c r="A53" i="8"/>
  <c r="AE52" i="8"/>
  <c r="AA52" i="8"/>
  <c r="Z52" i="8"/>
  <c r="R52" i="8"/>
  <c r="Q52" i="8"/>
  <c r="P52" i="8"/>
  <c r="C52" i="8"/>
  <c r="A52" i="8"/>
  <c r="AE51" i="8"/>
  <c r="AA51" i="8"/>
  <c r="Z51" i="8"/>
  <c r="R51" i="8"/>
  <c r="Q51" i="8"/>
  <c r="P51" i="8"/>
  <c r="C51" i="8"/>
  <c r="A51" i="8"/>
  <c r="AE50" i="8"/>
  <c r="AA50" i="8"/>
  <c r="Z50" i="8"/>
  <c r="R50" i="8"/>
  <c r="Q50" i="8"/>
  <c r="P50" i="8"/>
  <c r="C50" i="8"/>
  <c r="A50" i="8"/>
  <c r="AE49" i="8"/>
  <c r="AA49" i="8"/>
  <c r="Z49" i="8"/>
  <c r="R49" i="8"/>
  <c r="Q49" i="8"/>
  <c r="P49" i="8"/>
  <c r="C49" i="8"/>
  <c r="A49" i="8"/>
  <c r="AE48" i="8"/>
  <c r="AA48" i="8"/>
  <c r="Z48" i="8"/>
  <c r="R48" i="8"/>
  <c r="Q48" i="8"/>
  <c r="P48" i="8"/>
  <c r="C48" i="8"/>
  <c r="A48" i="8"/>
  <c r="AE47" i="8"/>
  <c r="AA47" i="8"/>
  <c r="Z47" i="8"/>
  <c r="R47" i="8"/>
  <c r="Q47" i="8"/>
  <c r="P47" i="8"/>
  <c r="C47" i="8"/>
  <c r="A47" i="8"/>
  <c r="AE46" i="8"/>
  <c r="AA46" i="8"/>
  <c r="Z46" i="8"/>
  <c r="R46" i="8"/>
  <c r="Q46" i="8"/>
  <c r="P46" i="8"/>
  <c r="C46" i="8"/>
  <c r="A46" i="8"/>
  <c r="AE45" i="8"/>
  <c r="AA45" i="8"/>
  <c r="Z45" i="8"/>
  <c r="R45" i="8"/>
  <c r="Q45" i="8"/>
  <c r="P45" i="8"/>
  <c r="C45" i="8"/>
  <c r="A45" i="8"/>
  <c r="AE44" i="8"/>
  <c r="AA44" i="8"/>
  <c r="Z44" i="8"/>
  <c r="R44" i="8"/>
  <c r="Q44" i="8"/>
  <c r="P44" i="8"/>
  <c r="C44" i="8"/>
  <c r="A44" i="8"/>
  <c r="AE43" i="8"/>
  <c r="AA43" i="8"/>
  <c r="Z43" i="8"/>
  <c r="R43" i="8"/>
  <c r="Q43" i="8"/>
  <c r="P43" i="8"/>
  <c r="C43" i="8"/>
  <c r="A43" i="8"/>
  <c r="AE42" i="8"/>
  <c r="AA42" i="8"/>
  <c r="Z42" i="8"/>
  <c r="R42" i="8"/>
  <c r="Q42" i="8"/>
  <c r="P42" i="8"/>
  <c r="C42" i="8"/>
  <c r="A42" i="8"/>
  <c r="AE41" i="8"/>
  <c r="AA41" i="8"/>
  <c r="Z41" i="8"/>
  <c r="R41" i="8"/>
  <c r="Q41" i="8"/>
  <c r="P41" i="8"/>
  <c r="C41" i="8"/>
  <c r="A41" i="8"/>
  <c r="AE40" i="8"/>
  <c r="AA40" i="8"/>
  <c r="Z40" i="8"/>
  <c r="R40" i="8"/>
  <c r="Q40" i="8"/>
  <c r="P40" i="8"/>
  <c r="C40" i="8"/>
  <c r="A40" i="8"/>
  <c r="AE39" i="8"/>
  <c r="AA39" i="8"/>
  <c r="Z39" i="8"/>
  <c r="R39" i="8"/>
  <c r="Q39" i="8"/>
  <c r="P39" i="8"/>
  <c r="C39" i="8"/>
  <c r="A39" i="8"/>
  <c r="AE38" i="8"/>
  <c r="AA38" i="8"/>
  <c r="Z38" i="8"/>
  <c r="R38" i="8"/>
  <c r="Q38" i="8"/>
  <c r="P38" i="8"/>
  <c r="C38" i="8"/>
  <c r="A38" i="8"/>
  <c r="AE37" i="8"/>
  <c r="AA37" i="8"/>
  <c r="Z37" i="8"/>
  <c r="R37" i="8"/>
  <c r="Q37" i="8"/>
  <c r="P37" i="8"/>
  <c r="C37" i="8"/>
  <c r="A37" i="8"/>
  <c r="AE36" i="8"/>
  <c r="AA36" i="8"/>
  <c r="Z36" i="8"/>
  <c r="R36" i="8"/>
  <c r="Q36" i="8"/>
  <c r="P36" i="8"/>
  <c r="C36" i="8"/>
  <c r="A36" i="8"/>
  <c r="AE35" i="8"/>
  <c r="AA35" i="8"/>
  <c r="Z35" i="8"/>
  <c r="R35" i="8"/>
  <c r="Q35" i="8"/>
  <c r="P35" i="8"/>
  <c r="C35" i="8"/>
  <c r="A35" i="8"/>
  <c r="AE34" i="8"/>
  <c r="AA34" i="8"/>
  <c r="Z34" i="8"/>
  <c r="R34" i="8"/>
  <c r="Q34" i="8"/>
  <c r="P34" i="8"/>
  <c r="C34" i="8"/>
  <c r="A34" i="8"/>
  <c r="AE33" i="8"/>
  <c r="AA33" i="8"/>
  <c r="Z33" i="8"/>
  <c r="R33" i="8"/>
  <c r="Q33" i="8"/>
  <c r="P33" i="8"/>
  <c r="C33" i="8"/>
  <c r="A33" i="8"/>
  <c r="AE32" i="8"/>
  <c r="AA32" i="8"/>
  <c r="Z32" i="8"/>
  <c r="R32" i="8"/>
  <c r="Q32" i="8"/>
  <c r="P32" i="8"/>
  <c r="C32" i="8"/>
  <c r="A32" i="8"/>
  <c r="AE31" i="8"/>
  <c r="AA31" i="8"/>
  <c r="Z31" i="8"/>
  <c r="R31" i="8"/>
  <c r="Q31" i="8"/>
  <c r="P31" i="8"/>
  <c r="C31" i="8"/>
  <c r="A31" i="8"/>
  <c r="AE30" i="8"/>
  <c r="AA30" i="8"/>
  <c r="Z30" i="8"/>
  <c r="R30" i="8"/>
  <c r="Q30" i="8"/>
  <c r="P30" i="8"/>
  <c r="C30" i="8"/>
  <c r="A30" i="8"/>
  <c r="AE29" i="8"/>
  <c r="AA29" i="8"/>
  <c r="Z29" i="8"/>
  <c r="R29" i="8"/>
  <c r="Q29" i="8"/>
  <c r="P29" i="8"/>
  <c r="C29" i="8"/>
  <c r="A29" i="8"/>
  <c r="AE28" i="8"/>
  <c r="AA28" i="8"/>
  <c r="Z28" i="8"/>
  <c r="R28" i="8"/>
  <c r="Q28" i="8"/>
  <c r="P28" i="8"/>
  <c r="C28" i="8"/>
  <c r="A28" i="8"/>
  <c r="AE27" i="8"/>
  <c r="AA27" i="8"/>
  <c r="Z27" i="8"/>
  <c r="R27" i="8"/>
  <c r="Q27" i="8"/>
  <c r="P27" i="8"/>
  <c r="C27" i="8"/>
  <c r="A27" i="8"/>
  <c r="AE26" i="8"/>
  <c r="AA26" i="8"/>
  <c r="Z26" i="8"/>
  <c r="R26" i="8"/>
  <c r="Q26" i="8"/>
  <c r="P26" i="8"/>
  <c r="C26" i="8"/>
  <c r="A26" i="8"/>
  <c r="AE25" i="8"/>
  <c r="AA25" i="8"/>
  <c r="Z25" i="8"/>
  <c r="R25" i="8"/>
  <c r="Q25" i="8"/>
  <c r="P25" i="8"/>
  <c r="C25" i="8"/>
  <c r="A25" i="8"/>
  <c r="AE24" i="8"/>
  <c r="AA24" i="8"/>
  <c r="Z24" i="8"/>
  <c r="R24" i="8"/>
  <c r="Q24" i="8"/>
  <c r="P24" i="8"/>
  <c r="C24" i="8"/>
  <c r="A24" i="8"/>
  <c r="AE23" i="8"/>
  <c r="AA23" i="8"/>
  <c r="Z23" i="8"/>
  <c r="R23" i="8"/>
  <c r="Q23" i="8"/>
  <c r="P23" i="8"/>
  <c r="C23" i="8"/>
  <c r="A23" i="8"/>
  <c r="AE22" i="8"/>
  <c r="AA22" i="8"/>
  <c r="Z22" i="8"/>
  <c r="R22" i="8"/>
  <c r="Q22" i="8"/>
  <c r="P22" i="8"/>
  <c r="C22" i="8"/>
  <c r="A22" i="8"/>
  <c r="AE21" i="8"/>
  <c r="AA21" i="8"/>
  <c r="Z21" i="8"/>
  <c r="R21" i="8"/>
  <c r="Q21" i="8"/>
  <c r="P21" i="8"/>
  <c r="C21" i="8"/>
  <c r="A21" i="8"/>
  <c r="AE20" i="8"/>
  <c r="AA20" i="8"/>
  <c r="Z20" i="8"/>
  <c r="R20" i="8"/>
  <c r="Q20" i="8"/>
  <c r="P20" i="8"/>
  <c r="C20" i="8"/>
  <c r="A20" i="8"/>
  <c r="AE19" i="8"/>
  <c r="AA19" i="8"/>
  <c r="Z19" i="8"/>
  <c r="R19" i="8"/>
  <c r="Q19" i="8"/>
  <c r="P19" i="8"/>
  <c r="C19" i="8"/>
  <c r="A19" i="8"/>
  <c r="AE18" i="8"/>
  <c r="AA18" i="8"/>
  <c r="Z18" i="8"/>
  <c r="R18" i="8"/>
  <c r="Q18" i="8"/>
  <c r="P18" i="8"/>
  <c r="C18" i="8"/>
  <c r="A18" i="8"/>
  <c r="AE17" i="8"/>
  <c r="AA17" i="8"/>
  <c r="Z17" i="8"/>
  <c r="R17" i="8"/>
  <c r="Q17" i="8"/>
  <c r="P17" i="8"/>
  <c r="C17" i="8"/>
  <c r="A17" i="8"/>
  <c r="AE16" i="8"/>
  <c r="AA16" i="8"/>
  <c r="Z16" i="8"/>
  <c r="R16" i="8"/>
  <c r="Q16" i="8"/>
  <c r="P16" i="8"/>
  <c r="C16" i="8"/>
  <c r="A16" i="8"/>
  <c r="AE15" i="8"/>
  <c r="AA15" i="8"/>
  <c r="Z15" i="8"/>
  <c r="Q15" i="8"/>
  <c r="E5" i="7" s="1"/>
  <c r="E15" i="7" s="1"/>
  <c r="P15" i="8"/>
  <c r="G5" i="7" s="1"/>
  <c r="G15" i="7" s="1"/>
  <c r="A15" i="8"/>
  <c r="AE14" i="8"/>
  <c r="AA14" i="8"/>
  <c r="Z14" i="8"/>
  <c r="Q14" i="8"/>
  <c r="P14" i="8"/>
  <c r="C14" i="8"/>
  <c r="A14" i="8"/>
  <c r="D9" i="8"/>
  <c r="D8" i="8"/>
  <c r="D7" i="8"/>
  <c r="O3" i="8"/>
  <c r="F1" i="8"/>
  <c r="J14" i="7"/>
  <c r="I14" i="7"/>
  <c r="H14" i="7"/>
  <c r="G14" i="7"/>
  <c r="F14" i="7"/>
  <c r="E14" i="7"/>
  <c r="D14" i="7"/>
  <c r="C14" i="7"/>
  <c r="B14" i="7"/>
  <c r="J13" i="7"/>
  <c r="I13" i="7"/>
  <c r="H13" i="7"/>
  <c r="G13" i="7"/>
  <c r="F13" i="7"/>
  <c r="E13" i="7"/>
  <c r="D13" i="7"/>
  <c r="C13" i="7"/>
  <c r="B13" i="7"/>
  <c r="J12" i="7"/>
  <c r="I12" i="7"/>
  <c r="H12" i="7"/>
  <c r="G12" i="7"/>
  <c r="F12" i="7"/>
  <c r="E12" i="7"/>
  <c r="D12" i="7"/>
  <c r="C12" i="7"/>
  <c r="B12" i="7"/>
  <c r="J11" i="7"/>
  <c r="I11" i="7"/>
  <c r="H11" i="7"/>
  <c r="G11" i="7"/>
  <c r="F11" i="7"/>
  <c r="E11" i="7"/>
  <c r="D11" i="7"/>
  <c r="C11" i="7"/>
  <c r="B11" i="7"/>
  <c r="J10" i="7"/>
  <c r="I10" i="7"/>
  <c r="H10" i="7"/>
  <c r="G10" i="7"/>
  <c r="F10" i="7"/>
  <c r="E10" i="7"/>
  <c r="D10" i="7"/>
  <c r="C10" i="7"/>
  <c r="B10" i="7"/>
  <c r="J9" i="7"/>
  <c r="I9" i="7"/>
  <c r="H9" i="7"/>
  <c r="G9" i="7"/>
  <c r="F9" i="7"/>
  <c r="E9" i="7"/>
  <c r="D9" i="7"/>
  <c r="C9" i="7"/>
  <c r="B9" i="7"/>
  <c r="I8" i="7"/>
  <c r="H8" i="7"/>
  <c r="G8" i="7"/>
  <c r="F8" i="7"/>
  <c r="E8" i="7"/>
  <c r="D8" i="7"/>
  <c r="C8" i="7"/>
  <c r="B8" i="7"/>
  <c r="I7" i="7"/>
  <c r="H7" i="7"/>
  <c r="G7" i="7"/>
  <c r="F7" i="7"/>
  <c r="E7" i="7"/>
  <c r="D7" i="7"/>
  <c r="C7" i="7"/>
  <c r="B7" i="7"/>
  <c r="J6" i="7"/>
  <c r="G6" i="7"/>
  <c r="F6" i="7"/>
  <c r="E6" i="7"/>
  <c r="D6" i="7"/>
  <c r="C6" i="7"/>
  <c r="B6" i="7"/>
  <c r="J5" i="7"/>
  <c r="C5" i="7"/>
  <c r="C15" i="7" s="1"/>
  <c r="B5" i="7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D4" i="9" s="1"/>
  <c r="B24" i="1"/>
  <c r="B23" i="1"/>
  <c r="D5" i="7" l="1"/>
  <c r="D15" i="7" s="1"/>
  <c r="R15" i="8"/>
  <c r="F5" i="7"/>
  <c r="F15" i="7" s="1"/>
  <c r="I6" i="7"/>
  <c r="H6" i="7"/>
  <c r="J15" i="7"/>
  <c r="D5" i="9"/>
  <c r="D5" i="8"/>
  <c r="D6" i="8"/>
  <c r="R14" i="8"/>
  <c r="D6" i="9"/>
  <c r="D4" i="8"/>
  <c r="I5" i="7" l="1"/>
  <c r="I15" i="7" s="1"/>
  <c r="H5" i="7"/>
  <c r="H15" i="7" s="1"/>
</calcChain>
</file>

<file path=xl/sharedStrings.xml><?xml version="1.0" encoding="utf-8"?>
<sst xmlns="http://schemas.openxmlformats.org/spreadsheetml/2006/main" count="2209" uniqueCount="875">
  <si>
    <t>FMECA WORKBOOK</t>
  </si>
  <si>
    <t>Failure Modes, Effects and Criticality Analysis – companion to the HAZOP Study Workbook (IEC 60812 approach)</t>
  </si>
  <si>
    <t>MACRO-ENABLED VERSION – click 'Enable Content' / 'Enable Macros' when opening, otherwise the multi-select cells will not work.</t>
  </si>
  <si>
    <t>Legend:</t>
  </si>
  <si>
    <t>Yellow = enter / select data</t>
  </si>
  <si>
    <t>Grey = formula (do not overwrite)</t>
  </si>
  <si>
    <t>Blue = returned from another sheet</t>
  </si>
  <si>
    <t>STUDY DETAILS</t>
  </si>
  <si>
    <t>Study title</t>
  </si>
  <si>
    <t>FMECA – [Plant / Unit name]</t>
  </si>
  <si>
    <t>Company / site</t>
  </si>
  <si>
    <t>Plant / unit / area</t>
  </si>
  <si>
    <t>Related HAZOP study (document no.)</t>
  </si>
  <si>
    <t>Study type</t>
  </si>
  <si>
    <t>FMECA – existing plant</t>
  </si>
  <si>
    <t>Document number</t>
  </si>
  <si>
    <t>Revision</t>
  </si>
  <si>
    <t>0</t>
  </si>
  <si>
    <t>Study start date</t>
  </si>
  <si>
    <t>Study end date</t>
  </si>
  <si>
    <t>Scope – systems included</t>
  </si>
  <si>
    <t>Exclusions</t>
  </si>
  <si>
    <t>Level of analysis</t>
  </si>
  <si>
    <t>Equipment / maintainable item</t>
  </si>
  <si>
    <t>Operating context</t>
  </si>
  <si>
    <t>Facilitator</t>
  </si>
  <si>
    <t>Scribe</t>
  </si>
  <si>
    <t>Rating method</t>
  </si>
  <si>
    <t>Severity, Occurrence, Detection 1–10; RPN = S x O x D; AIAG-VDA Action Priority (see 'Rating Scales')</t>
  </si>
  <si>
    <t>Number of systems</t>
  </si>
  <si>
    <t>Number of equipment items</t>
  </si>
  <si>
    <t>STUDY TEAM</t>
  </si>
  <si>
    <t>Name</t>
  </si>
  <si>
    <t>Company</t>
  </si>
  <si>
    <t>Discipline / role</t>
  </si>
  <si>
    <t>Sessions / days attended</t>
  </si>
  <si>
    <t>Signature</t>
  </si>
  <si>
    <t>APPROVAL</t>
  </si>
  <si>
    <t>Position</t>
  </si>
  <si>
    <t>Date</t>
  </si>
  <si>
    <t>Prepared by</t>
  </si>
  <si>
    <t>Reviewed by</t>
  </si>
  <si>
    <t>Approved by</t>
  </si>
  <si>
    <t>WORKBOOK CONTENTS</t>
  </si>
  <si>
    <t>Cover</t>
  </si>
  <si>
    <t>Study details, team, approval</t>
  </si>
  <si>
    <t>Reference Docs</t>
  </si>
  <si>
    <t>Drawings, equipment data, maintenance history and reliability data used in the study</t>
  </si>
  <si>
    <t>Systems</t>
  </si>
  <si>
    <t>System list: function, operating context, boundaries, drawings, related HAZOP nodes</t>
  </si>
  <si>
    <t>Equipment Register</t>
  </si>
  <si>
    <t>Equipment tags per system with equipment type (drives the drop-downs on the system sheets)</t>
  </si>
  <si>
    <t>Lists</t>
  </si>
  <si>
    <t>Drop-down sources: equipment types, components, failure modes, causes / mechanisms, detection methods (editable)</t>
  </si>
  <si>
    <t>Rating Scales</t>
  </si>
  <si>
    <t>Severity, Occurrence, Detection 1–10 scales, RPN / severity thresholds and Action Priority table (editable)</t>
  </si>
  <si>
    <t>Summary</t>
  </si>
  <si>
    <t>Failure modes, Action Priority counts, highest RPN and open actions per system</t>
  </si>
  <si>
    <t>System 01 … System 10</t>
  </si>
  <si>
    <t>One FMECA worksheet per system – one row per failure mode. Macro AddSystemSheet adds a new system sheet and its Summary row.</t>
  </si>
  <si>
    <t>REFERENCE DOCUMENT REGISTER</t>
  </si>
  <si>
    <t>Pre-filled with a typical FMECA checklist – delete or add rows as required.</t>
  </si>
  <si>
    <t>Ref</t>
  </si>
  <si>
    <t>Category</t>
  </si>
  <si>
    <t>Title / description</t>
  </si>
  <si>
    <t>Owner / custodian</t>
  </si>
  <si>
    <t>Status</t>
  </si>
  <si>
    <t>Applicable systems</t>
  </si>
  <si>
    <t>Comments</t>
  </si>
  <si>
    <t>REF-01</t>
  </si>
  <si>
    <t>Drawings</t>
  </si>
  <si>
    <t>P&amp;IDs for all systems in scope</t>
  </si>
  <si>
    <t>REF-02</t>
  </si>
  <si>
    <t>PFDs / system block diagrams</t>
  </si>
  <si>
    <t>REF-03</t>
  </si>
  <si>
    <t>Electrical single-line diagrams</t>
  </si>
  <si>
    <t>REF-04</t>
  </si>
  <si>
    <t>General arrangement / layout drawings</t>
  </si>
  <si>
    <t>REF-05</t>
  </si>
  <si>
    <t>Equipment data</t>
  </si>
  <si>
    <t>Equipment data sheets</t>
  </si>
  <si>
    <t>REF-06</t>
  </si>
  <si>
    <t>OEM manuals and recommended maintenance</t>
  </si>
  <si>
    <t>REF-07</t>
  </si>
  <si>
    <t>Equipment register / asset hierarchy (CMMS)</t>
  </si>
  <si>
    <t>REF-08</t>
  </si>
  <si>
    <t>Materials of construction / piping specifications</t>
  </si>
  <si>
    <t>REF-09</t>
  </si>
  <si>
    <t>Cause &amp; effect diagrams and trip settings</t>
  </si>
  <si>
    <t>REF-10</t>
  </si>
  <si>
    <t>SIL / SRS documentation for safety functions</t>
  </si>
  <si>
    <t>REF-11</t>
  </si>
  <si>
    <t>Maintenance history</t>
  </si>
  <si>
    <t>CMMS work-order and failure history (last 3–5 years)</t>
  </si>
  <si>
    <t>REF-12</t>
  </si>
  <si>
    <t>Condition monitoring reports</t>
  </si>
  <si>
    <t>REF-13</t>
  </si>
  <si>
    <t>Inspection reports (incl. refractory, water-cooled elements, cranes)</t>
  </si>
  <si>
    <t>REF-14</t>
  </si>
  <si>
    <t>Reliability data</t>
  </si>
  <si>
    <t>Generic failure-rate data (e.g. OREDA, CCPS process equipment reliability data)</t>
  </si>
  <si>
    <t>REF-15</t>
  </si>
  <si>
    <t>Site bad-actor list / downtime analysis</t>
  </si>
  <si>
    <t>REF-16</t>
  </si>
  <si>
    <t>Procedures</t>
  </si>
  <si>
    <t>Operating procedures</t>
  </si>
  <si>
    <t>REF-17</t>
  </si>
  <si>
    <t>Maintenance procedures and PM task lists</t>
  </si>
  <si>
    <t>REF-18</t>
  </si>
  <si>
    <t>Previous studies</t>
  </si>
  <si>
    <t>HAZOP report for the same systems (see HAZOP Study Workbook)</t>
  </si>
  <si>
    <t>REF-19</t>
  </si>
  <si>
    <t>Previous FMECA / RCM studies</t>
  </si>
  <si>
    <t>REF-20</t>
  </si>
  <si>
    <t>Root cause analyses of significant failures</t>
  </si>
  <si>
    <t>REF-21</t>
  </si>
  <si>
    <t>REF-22</t>
  </si>
  <si>
    <t>REF-23</t>
  </si>
  <si>
    <t>REF-24</t>
  </si>
  <si>
    <t>REF-25</t>
  </si>
  <si>
    <t>REF-26</t>
  </si>
  <si>
    <t>REF-27</t>
  </si>
  <si>
    <t>REF-28</t>
  </si>
  <si>
    <t>REF-29</t>
  </si>
  <si>
    <t>REF-30</t>
  </si>
  <si>
    <t>REF-31</t>
  </si>
  <si>
    <t>REF-32</t>
  </si>
  <si>
    <t>REF-33</t>
  </si>
  <si>
    <t>REF-34</t>
  </si>
  <si>
    <t>REF-35</t>
  </si>
  <si>
    <t>REF-36</t>
  </si>
  <si>
    <t>REF-37</t>
  </si>
  <si>
    <t>REF-38</t>
  </si>
  <si>
    <t>REF-39</t>
  </si>
  <si>
    <t>REF-40</t>
  </si>
  <si>
    <t>SYSTEM LIST</t>
  </si>
  <si>
    <t>One row per system. System title (column C) feeds the drop-down at the top of each FMECA worksheet and the Equipment Register.</t>
  </si>
  <si>
    <t>System No.</t>
  </si>
  <si>
    <t>System name</t>
  </si>
  <si>
    <t>System title (auto)</t>
  </si>
  <si>
    <t>Function / performance standard</t>
  </si>
  <si>
    <t>Operating context (duty, redundancy, environment)</t>
  </si>
  <si>
    <t>System boundaries</t>
  </si>
  <si>
    <t>P&amp;IDs / drawings</t>
  </si>
  <si>
    <t>Related HAZOP node(s)</t>
  </si>
  <si>
    <t>S01</t>
  </si>
  <si>
    <t>Hot DRI transfer conveyor</t>
  </si>
  <si>
    <t>Transfer hot DRI from the reduction shaft discharge to the EAF charging bin at design rate, without stoppage under load, spillage or belt damage</t>
  </si>
  <si>
    <t>Continuous duty; single conveyor (no standby); enclosed hood and gallery; hot, dusty environment; about 6 trips under load per year</t>
  </si>
  <si>
    <t>From the shaft hot DRI discharge chute to the EAF charging bin inlet: belt, drive, idlers, hood, dust extraction, emergency discharge chute, speed / load / temperature instruments</t>
  </si>
  <si>
    <t>P&amp;ID-DRI-301, 302</t>
  </si>
  <si>
    <t>HAZOP N01</t>
  </si>
  <si>
    <t>Example rows – overwrite with your systems.</t>
  </si>
  <si>
    <t>S02</t>
  </si>
  <si>
    <t>N2 fire detection, inerting &amp; extinguishing system</t>
  </si>
  <si>
    <t>Detect a stoppage under load or a fire and flood the conveyor enclosure with N2 within the design time (PFDavg target per fault tree / LOPA)</t>
  </si>
  <si>
    <t>Standby protection system on demand; 1oo2 release valves; buffer vessel from plant N2; six-monthly function and blow-through test</t>
  </si>
  <si>
    <t>From the plant N2 isolation valve via buffer vessel V-212, PCV-211, XV-210A/B to nozzles in the hood; detectors and control panel UCP-210</t>
  </si>
  <si>
    <t>P&amp;ID-N2-305</t>
  </si>
  <si>
    <t>HAZOP N02</t>
  </si>
  <si>
    <t>S03</t>
  </si>
  <si>
    <t>S04</t>
  </si>
  <si>
    <t>S05</t>
  </si>
  <si>
    <t>S06</t>
  </si>
  <si>
    <t>S07</t>
  </si>
  <si>
    <t>S08</t>
  </si>
  <si>
    <t>S09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</si>
  <si>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</si>
  <si>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</si>
  <si>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</si>
  <si>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</si>
  <si>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</si>
  <si>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</si>
  <si>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</si>
  <si>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</si>
  <si>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</si>
  <si>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</si>
  <si>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</si>
  <si>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</si>
  <si>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</si>
  <si>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</si>
  <si>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</si>
  <si>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</si>
  <si>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</si>
  <si>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</si>
  <si>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</si>
  <si>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</si>
  <si>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</si>
  <si>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EQUIPMENT REGISTER</t>
  </si>
  <si>
    <t>List every equipment item in scope against its system. Equipment type selects the component and failure-mode lists on the FMECA sheets.</t>
  </si>
  <si>
    <t>Item</t>
  </si>
  <si>
    <t>System</t>
  </si>
  <si>
    <t>Equipment tag</t>
  </si>
  <si>
    <t>Equipment description</t>
  </si>
  <si>
    <t>Equipment type</t>
  </si>
  <si>
    <t>Manufacturer / model</t>
  </si>
  <si>
    <t>Configuration</t>
  </si>
  <si>
    <t>Function</t>
  </si>
  <si>
    <t>S01 – Hot DRI transfer conveyor</t>
  </si>
  <si>
    <t>CV-201</t>
  </si>
  <si>
    <t>Hot DRI transfer belt conveyor</t>
  </si>
  <si>
    <t>Belt conveyor</t>
  </si>
  <si>
    <t>Single</t>
  </si>
  <si>
    <t>Carry hot DRI in the enclosed hood to the EAF charging bin</t>
  </si>
  <si>
    <t>Example rows – overwrite.</t>
  </si>
  <si>
    <t>M-201</t>
  </si>
  <si>
    <t>Conveyor drive motor</t>
  </si>
  <si>
    <t>Electric motor</t>
  </si>
  <si>
    <t>Drive CV-201</t>
  </si>
  <si>
    <t>GB-201</t>
  </si>
  <si>
    <t>Conveyor drive gearbox</t>
  </si>
  <si>
    <t>Gearbox</t>
  </si>
  <si>
    <t>Speed reduction for CV-201</t>
  </si>
  <si>
    <t>SS-201</t>
  </si>
  <si>
    <t>Zero-speed switch on tail pulley</t>
  </si>
  <si>
    <t>Instrument – transmitter / switch</t>
  </si>
  <si>
    <t>Detect belt stop – stoppage-under-load logic</t>
  </si>
  <si>
    <t>WT-201</t>
  </si>
  <si>
    <t>Belt weigher</t>
  </si>
  <si>
    <t>Detect load on belt – stoppage-under-load logic</t>
  </si>
  <si>
    <t>TSHH-202</t>
  </si>
  <si>
    <t>DRI discharge temperature transmitter / trip</t>
  </si>
  <si>
    <t>Stop feed on high-high DRI temperature</t>
  </si>
  <si>
    <t>DC-203</t>
  </si>
  <si>
    <t>Conveyor hood dust collector</t>
  </si>
  <si>
    <t>Bag filter / dust collector</t>
  </si>
  <si>
    <t>Extract dust and fines from the hood</t>
  </si>
  <si>
    <t>S02 – N2 fire detection, inerting &amp; extinguishing system</t>
  </si>
  <si>
    <t>V-212</t>
  </si>
  <si>
    <t>N2 buffer vessel</t>
  </si>
  <si>
    <t>Pressure vessel / separator / column</t>
  </si>
  <si>
    <t>Hold N2 inventory for one release</t>
  </si>
  <si>
    <t>PCV-211</t>
  </si>
  <si>
    <t>N2 pressure regulator</t>
  </si>
  <si>
    <t>Control valve</t>
  </si>
  <si>
    <t>Regulate N2 delivery pressure to the hood</t>
  </si>
  <si>
    <t>XV-210A</t>
  </si>
  <si>
    <t>N2 release valve A</t>
  </si>
  <si>
    <t>Isolation / ESD valve</t>
  </si>
  <si>
    <t>Duty</t>
  </si>
  <si>
    <t>Open on release demand (1oo2 with XV-210B)</t>
  </si>
  <si>
    <t>XV-210B</t>
  </si>
  <si>
    <t>N2 release valve B</t>
  </si>
  <si>
    <t>Open on release demand (1oo2 with XV-210A)</t>
  </si>
  <si>
    <t>GD-201A</t>
  </si>
  <si>
    <t>CO detector in hood A</t>
  </si>
  <si>
    <t>Analyser / gas detector</t>
  </si>
  <si>
    <t>Fire detection (1oo2)</t>
  </si>
  <si>
    <t>GD-201B</t>
  </si>
  <si>
    <t>CO detector in hood B</t>
  </si>
  <si>
    <t>PSL-205</t>
  </si>
  <si>
    <t>Low N2 buffer pressure switch</t>
  </si>
  <si>
    <t>Alarm on low N2 inventory</t>
  </si>
  <si>
    <t>UCP-210</t>
  </si>
  <si>
    <t>Extinguishing control panel</t>
  </si>
  <si>
    <t>Control system / SIS logic solver</t>
  </si>
  <si>
    <t>Initiate release from stoppage-under-load or fire detection</t>
  </si>
  <si>
    <t>DROP-DOWN LISTS</t>
  </si>
  <si>
    <t>Editable. To add a component or failure mode, INSERT a row inside its equipment-type block (blocks must stay together). Failure-mode codes follow ISO 14224 where applicable.</t>
  </si>
  <si>
    <t>Equipment types</t>
  </si>
  <si>
    <t>Component / maintainable item</t>
  </si>
  <si>
    <t>Failure mode</t>
  </si>
  <si>
    <t>Failure causes / mechanisms</t>
  </si>
  <si>
    <t>Detection methods</t>
  </si>
  <si>
    <t>Action / task type</t>
  </si>
  <si>
    <t>Document category</t>
  </si>
  <si>
    <t>Centrifugal pump</t>
  </si>
  <si>
    <t>Impeller</t>
  </si>
  <si>
    <t>FTS – Fail to start on demand</t>
  </si>
  <si>
    <t>1.0 Mechanical failure – general</t>
  </si>
  <si>
    <t>Online vibration monitoring with alarm</t>
  </si>
  <si>
    <t>Condition monitoring task</t>
  </si>
  <si>
    <t>Positive displacement pump</t>
  </si>
  <si>
    <t>Casing</t>
  </si>
  <si>
    <t>STP – Fail to stop on demand</t>
  </si>
  <si>
    <t>1.1 Leakage</t>
  </si>
  <si>
    <t>Periodic vibration analysis (route)</t>
  </si>
  <si>
    <t>Time-based maintenance / overhaul</t>
  </si>
  <si>
    <t>Centrifugal compressor</t>
  </si>
  <si>
    <t>Shaft</t>
  </si>
  <si>
    <t>UST – Spurious stop</t>
  </si>
  <si>
    <t>1.2 Vibration</t>
  </si>
  <si>
    <t>Infrared thermography</t>
  </si>
  <si>
    <t>Failure-finding / proof test</t>
  </si>
  <si>
    <t>Reciprocating compressor</t>
  </si>
  <si>
    <t>Bearings</t>
  </si>
  <si>
    <t>BRD – Breakdown</t>
  </si>
  <si>
    <t>1.3 Clearance / alignment failure</t>
  </si>
  <si>
    <t>Oil / lubricant analysis</t>
  </si>
  <si>
    <t>Operator round / inspection</t>
  </si>
  <si>
    <t>Fan / blower (incl. ID fan)</t>
  </si>
  <si>
    <t>Mechanical seal</t>
  </si>
  <si>
    <t>LOO – Low output (flow / head)</t>
  </si>
  <si>
    <t>1.4 Deformation</t>
  </si>
  <si>
    <t>Ultrasonic thickness / NDT inspection</t>
  </si>
  <si>
    <t>Redesign / modification (MOC)</t>
  </si>
  <si>
    <t>Coupling</t>
  </si>
  <si>
    <t>HIO – High output</t>
  </si>
  <si>
    <t>1.5 Looseness</t>
  </si>
  <si>
    <t>Acoustic emission / ultrasonic leak detection</t>
  </si>
  <si>
    <t>Spares holding</t>
  </si>
  <si>
    <t>Wear rings</t>
  </si>
  <si>
    <t>ELP – External leakage – process medium</t>
  </si>
  <si>
    <t>1.6 Sticking / seizure</t>
  </si>
  <si>
    <t>Motor current signature analysis</t>
  </si>
  <si>
    <t>Procedure / training</t>
  </si>
  <si>
    <t>Other</t>
  </si>
  <si>
    <t>Baseplate / holding-down</t>
  </si>
  <si>
    <t>ELU – External leakage – utility medium</t>
  </si>
  <si>
    <t>2.0 Material failure – general</t>
  </si>
  <si>
    <t>Partial discharge / insulation testing</t>
  </si>
  <si>
    <t>Run to failure (accepted)</t>
  </si>
  <si>
    <t>Lubrication system</t>
  </si>
  <si>
    <t>INL – Internal leakage / recirculation</t>
  </si>
  <si>
    <t>2.1 Cavitation</t>
  </si>
  <si>
    <t>Process alarm (DCS)</t>
  </si>
  <si>
    <t>Further study</t>
  </si>
  <si>
    <t>Shell &amp; tube heat exchanger</t>
  </si>
  <si>
    <t>Suction strainer</t>
  </si>
  <si>
    <t>VIB – Vibration</t>
  </si>
  <si>
    <t>2.2 Corrosion (general / pitting / CUI)</t>
  </si>
  <si>
    <t>Protective trip / interlock</t>
  </si>
  <si>
    <t>Atmospheric storage tank</t>
  </si>
  <si>
    <t>Rotors / gears / pistons</t>
  </si>
  <si>
    <t>NOI – Noise</t>
  </si>
  <si>
    <t>2.3 Erosion</t>
  </si>
  <si>
    <t>Performance monitoring (flow, ΔP, efficiency)</t>
  </si>
  <si>
    <t>Piping, flanges &amp; hoses</t>
  </si>
  <si>
    <t>Suction / discharge valves</t>
  </si>
  <si>
    <t>OHE – Overheating</t>
  </si>
  <si>
    <t>2.4 Wear</t>
  </si>
  <si>
    <t>Operator rounds – visual / sensory</t>
  </si>
  <si>
    <t>Packing / seals</t>
  </si>
  <si>
    <t>PDE – Parameter deviation</t>
  </si>
  <si>
    <t>2.5 Breakage / fracture</t>
  </si>
  <si>
    <t>Proof test / function test</t>
  </si>
  <si>
    <t>STD – Structural deficiency</t>
  </si>
  <si>
    <t>2.6 Fatigue (mechanical / thermal)</t>
  </si>
  <si>
    <t>Leak detection system (flow in / out)</t>
  </si>
  <si>
    <t>Pressure relief device (PSV / rupture disc)</t>
  </si>
  <si>
    <t>Drive (gearbox / coupling)</t>
  </si>
  <si>
    <t>PLU – Plugged / choked</t>
  </si>
  <si>
    <t>2.7 Overheating</t>
  </si>
  <si>
    <t>Gas / fire detection</t>
  </si>
  <si>
    <t>Pulsation damper</t>
  </si>
  <si>
    <t>OTH – Other</t>
  </si>
  <si>
    <t>2.8 Burst</t>
  </si>
  <si>
    <t>Shell temperature scanning (refractory)</t>
  </si>
  <si>
    <t>Integral relief valve</t>
  </si>
  <si>
    <t>3.0 Instrument failure – general</t>
  </si>
  <si>
    <t>Rope / brake / structural inspection (cranes)</t>
  </si>
  <si>
    <t>3.1 Control failure</t>
  </si>
  <si>
    <t>Calibration check</t>
  </si>
  <si>
    <t>Transformer</t>
  </si>
  <si>
    <t>Impellers</t>
  </si>
  <si>
    <t>3.2 No signal / indication / alarm</t>
  </si>
  <si>
    <t>Shutdown inspection</t>
  </si>
  <si>
    <t>Switchgear / MCC / circuit breaker</t>
  </si>
  <si>
    <t>Rotor / shaft</t>
  </si>
  <si>
    <t>3.3 Faulty signal / indication / alarm</t>
  </si>
  <si>
    <t>None – failure evident only on occurrence</t>
  </si>
  <si>
    <t>Variable speed drive / UPS</t>
  </si>
  <si>
    <t>Journal and thrust bearings</t>
  </si>
  <si>
    <t>3.4 Out of adjustment / calibration drift</t>
  </si>
  <si>
    <t>None – hidden failure</t>
  </si>
  <si>
    <t>Hydraulic power unit / system</t>
  </si>
  <si>
    <t>Dry gas / oil seals</t>
  </si>
  <si>
    <t>3.5 Software / configuration failure</t>
  </si>
  <si>
    <t>Overhead crane / hoist (incl. ladle crane)</t>
  </si>
  <si>
    <t>Lube oil system</t>
  </si>
  <si>
    <t>3.6 Common cause / mode failure</t>
  </si>
  <si>
    <t>Water-cooled element (panel, roof, lance, tuyere, stave, mould)</t>
  </si>
  <si>
    <t>Anti-surge valve and control</t>
  </si>
  <si>
    <t>4.0 Electrical failure – general</t>
  </si>
  <si>
    <t>Refractory lining (furnace, ladle, tundish, kiln)</t>
  </si>
  <si>
    <t>4.1 Short circuiting</t>
  </si>
  <si>
    <t>Burner / combustion system</t>
  </si>
  <si>
    <t>4.2 Open circuit</t>
  </si>
  <si>
    <t>Cooling tower / closed cooling circuit</t>
  </si>
  <si>
    <t>Inlet guide vanes</t>
  </si>
  <si>
    <t>4.3 No power / voltage</t>
  </si>
  <si>
    <t>Protection instrumentation</t>
  </si>
  <si>
    <t>4.4 Faulty power / voltage</t>
  </si>
  <si>
    <t>Ladle &amp; ladle / transfer car</t>
  </si>
  <si>
    <t>Cylinders and liners</t>
  </si>
  <si>
    <t>4.5 Earth / insulation fault</t>
  </si>
  <si>
    <t>Pistons and rings</t>
  </si>
  <si>
    <t>5.0 External influence – general</t>
  </si>
  <si>
    <t>Valves</t>
  </si>
  <si>
    <t>5.1 Blockage / plugged</t>
  </si>
  <si>
    <t>Rod packing</t>
  </si>
  <si>
    <t>5.2 Contamination (process / lube oil / water)</t>
  </si>
  <si>
    <t>Crankshaft and bearings</t>
  </si>
  <si>
    <t>5.3 Dust ingress</t>
  </si>
  <si>
    <t>Crosshead</t>
  </si>
  <si>
    <t>5.4 Moisture / water ingress</t>
  </si>
  <si>
    <t>Lube system</t>
  </si>
  <si>
    <t>5.5 Heat / radiant heat / molten metal splash</t>
  </si>
  <si>
    <t>Pulsation dampers</t>
  </si>
  <si>
    <t>5.6 Mechanical impact / collision</t>
  </si>
  <si>
    <t>Cooling system</t>
  </si>
  <si>
    <t>LOO – Low output</t>
  </si>
  <si>
    <t>6.0 Miscellaneous – general</t>
  </si>
  <si>
    <t>Frame / foundation</t>
  </si>
  <si>
    <t>6.1 No cause found</t>
  </si>
  <si>
    <t>Impeller / rotor</t>
  </si>
  <si>
    <t>ERO – Erratic output / surge</t>
  </si>
  <si>
    <t>6.2 Combined causes</t>
  </si>
  <si>
    <t>Housing</t>
  </si>
  <si>
    <t>6.3 Other</t>
  </si>
  <si>
    <t>6.4 Unknown</t>
  </si>
  <si>
    <t>INL – Internal leakage</t>
  </si>
  <si>
    <t>Bearing failure (lubrication / contamination / fatigue)</t>
  </si>
  <si>
    <t>Coupling / belt drive</t>
  </si>
  <si>
    <t>Seal failure (dry running / wear / misalignment)</t>
  </si>
  <si>
    <t>Dampers / inlet vanes</t>
  </si>
  <si>
    <t>Misalignment</t>
  </si>
  <si>
    <t>Foundation</t>
  </si>
  <si>
    <t>Unbalance</t>
  </si>
  <si>
    <t>Lubrication</t>
  </si>
  <si>
    <t>Lubrication failure (loss / wrong / degraded lubricant)</t>
  </si>
  <si>
    <t>Stator winding</t>
  </si>
  <si>
    <t>Overload / operation outside design envelope</t>
  </si>
  <si>
    <t>Rotor</t>
  </si>
  <si>
    <t>Thermal cycling</t>
  </si>
  <si>
    <t>Scale / fouling of cooling passages</t>
  </si>
  <si>
    <t>Cooling fan</t>
  </si>
  <si>
    <t>Slag attack / chemical attack on refractory</t>
  </si>
  <si>
    <t>Terminal box / cables</t>
  </si>
  <si>
    <t>Abrasive wear (ore, sinter, DRI, slag)</t>
  </si>
  <si>
    <t>Enclosure (Ex protection)</t>
  </si>
  <si>
    <t>Incorrect operation / operator error</t>
  </si>
  <si>
    <t>Anti-condensation heater</t>
  </si>
  <si>
    <t>Incorrect maintenance / reassembly</t>
  </si>
  <si>
    <t>Motor protection relay</t>
  </si>
  <si>
    <t>Design deficiency</t>
  </si>
  <si>
    <t>Gears</t>
  </si>
  <si>
    <t>Material / fabrication defect</t>
  </si>
  <si>
    <t>Shafts</t>
  </si>
  <si>
    <t>Installation error</t>
  </si>
  <si>
    <t>Ageing / end of life</t>
  </si>
  <si>
    <t>Seals</t>
  </si>
  <si>
    <t>Inadequate inspection / maintenance interval</t>
  </si>
  <si>
    <t>Couplings</t>
  </si>
  <si>
    <t>Belt</t>
  </si>
  <si>
    <t>Belt splice</t>
  </si>
  <si>
    <t>Drive pulley</t>
  </si>
  <si>
    <t>Tail pulley</t>
  </si>
  <si>
    <t>Idlers</t>
  </si>
  <si>
    <t>Drive (motor / gearbox)</t>
  </si>
  <si>
    <t>Take-up</t>
  </si>
  <si>
    <t>Belt scrapers</t>
  </si>
  <si>
    <t>Chutes</t>
  </si>
  <si>
    <t>Pull-wire / belt-sway switches</t>
  </si>
  <si>
    <t>Fire detection</t>
  </si>
  <si>
    <t>PLU – Plugged / dust build-up</t>
  </si>
  <si>
    <t>Shell</t>
  </si>
  <si>
    <t>Heads</t>
  </si>
  <si>
    <t>Nozzles</t>
  </si>
  <si>
    <t>Internals</t>
  </si>
  <si>
    <t>Supports / skirt</t>
  </si>
  <si>
    <t>Insulation</t>
  </si>
  <si>
    <t>Level instruments</t>
  </si>
  <si>
    <t>Relief device</t>
  </si>
  <si>
    <t>Manway</t>
  </si>
  <si>
    <t>PDE – Parameter deviation (high current)</t>
  </si>
  <si>
    <t>Tubes</t>
  </si>
  <si>
    <t>SER – Minor in-service problem</t>
  </si>
  <si>
    <t>Tube sheet</t>
  </si>
  <si>
    <t>Channel / heads</t>
  </si>
  <si>
    <t>Gaskets</t>
  </si>
  <si>
    <t>Baffles</t>
  </si>
  <si>
    <t>Supports</t>
  </si>
  <si>
    <t>ELU – External leakage – lube oil</t>
  </si>
  <si>
    <t>Bottom</t>
  </si>
  <si>
    <t>Roof</t>
  </si>
  <si>
    <t>Vents / PV valves</t>
  </si>
  <si>
    <t>Level gauges and alarms</t>
  </si>
  <si>
    <t>Bund</t>
  </si>
  <si>
    <t>STD – Belt tear / damage</t>
  </si>
  <si>
    <t>Heating coils</t>
  </si>
  <si>
    <t>PDE – Belt mistracking / misalignment</t>
  </si>
  <si>
    <t>SLP – Belt slippage</t>
  </si>
  <si>
    <t>Pipe</t>
  </si>
  <si>
    <t>PLU – Chute blockage</t>
  </si>
  <si>
    <t>Flanges and gaskets</t>
  </si>
  <si>
    <t>OHE – Overheating / belt fire</t>
  </si>
  <si>
    <t>Fittings</t>
  </si>
  <si>
    <t>OTH – Spillage</t>
  </si>
  <si>
    <t>Expansion joints / bellows</t>
  </si>
  <si>
    <t>Hoses</t>
  </si>
  <si>
    <t>Insulation / tracing</t>
  </si>
  <si>
    <t>INL – Internal failure (internals)</t>
  </si>
  <si>
    <t>Body</t>
  </si>
  <si>
    <t>Trim (plug / seat)</t>
  </si>
  <si>
    <t>PLU – Plugged / fouled</t>
  </si>
  <si>
    <t>Stem and packing</t>
  </si>
  <si>
    <t>PDE – Parameter deviation (level / pressure)</t>
  </si>
  <si>
    <t>Actuator</t>
  </si>
  <si>
    <t>AIR – Abnormal instrument reading</t>
  </si>
  <si>
    <t>Positioner</t>
  </si>
  <si>
    <t>Solenoid valve</t>
  </si>
  <si>
    <t>Air supply</t>
  </si>
  <si>
    <t>Limit switches</t>
  </si>
  <si>
    <t>INL – Internal leakage (tube leak)</t>
  </si>
  <si>
    <t>Ball / gate / disc</t>
  </si>
  <si>
    <t>PDE – Reduced heat transfer</t>
  </si>
  <si>
    <t>Seats</t>
  </si>
  <si>
    <t>PDE – Overfill</t>
  </si>
  <si>
    <t>Handwheel / gearbox</t>
  </si>
  <si>
    <t>STD – Vacuum / pressure collapse</t>
  </si>
  <si>
    <t>PLU – Vent blocked</t>
  </si>
  <si>
    <t>Nozzle and disc</t>
  </si>
  <si>
    <t>AIR – Abnormal level reading</t>
  </si>
  <si>
    <t>Spring</t>
  </si>
  <si>
    <t>Bellows</t>
  </si>
  <si>
    <t>Inlet / outlet piping</t>
  </si>
  <si>
    <t>Rupture disc</t>
  </si>
  <si>
    <t>Isolation valves (locked open)</t>
  </si>
  <si>
    <t>Sensing element</t>
  </si>
  <si>
    <t>Transmitter electronics</t>
  </si>
  <si>
    <t>FTO – Fail to open on demand</t>
  </si>
  <si>
    <t>Impulse lines / process connection</t>
  </si>
  <si>
    <t>FTC – Fail to close on demand</t>
  </si>
  <si>
    <t>Cabling and junction box</t>
  </si>
  <si>
    <t>ERO – Erratic output / hunting</t>
  </si>
  <si>
    <t>Power supply</t>
  </si>
  <si>
    <t>DOP – Delayed operation</t>
  </si>
  <si>
    <t>Calibration</t>
  </si>
  <si>
    <t>LCP – Leakage in closed position</t>
  </si>
  <si>
    <t>Sensor</t>
  </si>
  <si>
    <t>Sample system</t>
  </si>
  <si>
    <t>SPO – Spurious operation</t>
  </si>
  <si>
    <t>Electronics</t>
  </si>
  <si>
    <t>Calibration gas</t>
  </si>
  <si>
    <t>AIR – Abnormal position indication</t>
  </si>
  <si>
    <t>CPU</t>
  </si>
  <si>
    <t>I/O cards</t>
  </si>
  <si>
    <t>Power supplies</t>
  </si>
  <si>
    <t>Network / communications</t>
  </si>
  <si>
    <t>Application software</t>
  </si>
  <si>
    <t>HMI / operator station</t>
  </si>
  <si>
    <t>Windings</t>
  </si>
  <si>
    <t>Core</t>
  </si>
  <si>
    <t>Bushings</t>
  </si>
  <si>
    <t>Tap changer</t>
  </si>
  <si>
    <t>Cooling (oil / fans)</t>
  </si>
  <si>
    <t>Insulating oil</t>
  </si>
  <si>
    <t>PDE – Opens above set pressure</t>
  </si>
  <si>
    <t>Protection (Buchholz / temperature)</t>
  </si>
  <si>
    <t>SPO – Spurious / premature opening</t>
  </si>
  <si>
    <t>Circuit breaker</t>
  </si>
  <si>
    <t>LCP – Leakage through / simmering</t>
  </si>
  <si>
    <t>Contactors</t>
  </si>
  <si>
    <t>FTC – Fail to reseat</t>
  </si>
  <si>
    <t>Busbars</t>
  </si>
  <si>
    <t>PLU – Plugged inlet / outlet</t>
  </si>
  <si>
    <t>Protection relays</t>
  </si>
  <si>
    <t>Cables / terminations</t>
  </si>
  <si>
    <t>FTF – Fail to function on demand</t>
  </si>
  <si>
    <t>Control circuit</t>
  </si>
  <si>
    <t>SPO – Spurious operation / false trip</t>
  </si>
  <si>
    <t>Earthing</t>
  </si>
  <si>
    <t>Rectifier</t>
  </si>
  <si>
    <t>HIO – High reading / drift high</t>
  </si>
  <si>
    <t>DC bus capacitors</t>
  </si>
  <si>
    <t>LOO – Low reading / drift low</t>
  </si>
  <si>
    <t>Inverter / IGBTs</t>
  </si>
  <si>
    <t>NOO – No output / signal</t>
  </si>
  <si>
    <t>Cooling fans</t>
  </si>
  <si>
    <t>ERO – Erratic output</t>
  </si>
  <si>
    <t>Control board</t>
  </si>
  <si>
    <t>Batteries (UPS)</t>
  </si>
  <si>
    <t>Bypass</t>
  </si>
  <si>
    <t>Hydraulic pumps</t>
  </si>
  <si>
    <t>Reservoir</t>
  </si>
  <si>
    <t>Accumulators</t>
  </si>
  <si>
    <t>Directional / proportional valves</t>
  </si>
  <si>
    <t>Cylinders</t>
  </si>
  <si>
    <t>Filters</t>
  </si>
  <si>
    <t>Oil cooler</t>
  </si>
  <si>
    <t>Hydraulic fluid</t>
  </si>
  <si>
    <t>BRD – Loss of control</t>
  </si>
  <si>
    <t>Hoist ropes</t>
  </si>
  <si>
    <t>OTH – Loss of view (HMI)</t>
  </si>
  <si>
    <t>Hook and block</t>
  </si>
  <si>
    <t>OTH – Software / configuration error</t>
  </si>
  <si>
    <t>Hoist brakes (primary / emergency)</t>
  </si>
  <si>
    <t>BRD – Breakdown / insulation failure</t>
  </si>
  <si>
    <t>Gearbox / drum</t>
  </si>
  <si>
    <t>Travel drives</t>
  </si>
  <si>
    <t>ELU – External leakage – insulating oil</t>
  </si>
  <si>
    <t>FOV – Faulty output voltage</t>
  </si>
  <si>
    <t>Overload / load cell</t>
  </si>
  <si>
    <t>Girders / structure</t>
  </si>
  <si>
    <t>Rails and end stops</t>
  </si>
  <si>
    <t>FTO – Fail to open / trip on demand</t>
  </si>
  <si>
    <t>Controls / radio remote</t>
  </si>
  <si>
    <t>Power supply (festoon / conductor bar)</t>
  </si>
  <si>
    <t>SPO – Spurious trip</t>
  </si>
  <si>
    <t>Panel pipes / copper element</t>
  </si>
  <si>
    <t>OHE – Overheating (hot joint)</t>
  </si>
  <si>
    <t>Inlet / outlet hoses</t>
  </si>
  <si>
    <t>BRD – Short circuit / arc flash</t>
  </si>
  <si>
    <t>Manifolds</t>
  </si>
  <si>
    <t>Flow and temperature instruments</t>
  </si>
  <si>
    <t>Leak detection system</t>
  </si>
  <si>
    <t>Working lining</t>
  </si>
  <si>
    <t>FOV – Faulty output voltage / frequency</t>
  </si>
  <si>
    <t>Safety / permanent lining</t>
  </si>
  <si>
    <t>Taphole / nozzle / well block</t>
  </si>
  <si>
    <t>Purging plug</t>
  </si>
  <si>
    <t>Anchors</t>
  </si>
  <si>
    <t>LOO – Low pressure / output</t>
  </si>
  <si>
    <t>ELU – External leakage – hydraulic oil</t>
  </si>
  <si>
    <t>Burner nozzle</t>
  </si>
  <si>
    <t>Igniter</t>
  </si>
  <si>
    <t>Flame scanner</t>
  </si>
  <si>
    <t>ERO – Erratic operation</t>
  </si>
  <si>
    <t>Fuel train valves (double block &amp; bleed)</t>
  </si>
  <si>
    <t>SPO – Uncontrolled movement</t>
  </si>
  <si>
    <t>Combustion air fan / damper</t>
  </si>
  <si>
    <t>PLU – Filter blocked</t>
  </si>
  <si>
    <t>Burner management system (BMS)</t>
  </si>
  <si>
    <t>Pressure switches</t>
  </si>
  <si>
    <t>Load drop / failure to hold load</t>
  </si>
  <si>
    <t>Fans and drives</t>
  </si>
  <si>
    <t>Overtravel / failure to stop</t>
  </si>
  <si>
    <t>Fill / packing</t>
  </si>
  <si>
    <t>Stoppage with load suspended</t>
  </si>
  <si>
    <t>Basin</t>
  </si>
  <si>
    <t>Uncontrolled movement</t>
  </si>
  <si>
    <t>Circulation pumps</t>
  </si>
  <si>
    <t>Structural crack / deformation</t>
  </si>
  <si>
    <t>Water treatment / dosing</t>
  </si>
  <si>
    <t>Collision</t>
  </si>
  <si>
    <t>Drift eliminators</t>
  </si>
  <si>
    <t>Plate heat exchanger</t>
  </si>
  <si>
    <t>Water leak into furnace / vessel</t>
  </si>
  <si>
    <t>Filter bags</t>
  </si>
  <si>
    <t>Low / no cooling flow</t>
  </si>
  <si>
    <t>Cages</t>
  </si>
  <si>
    <t>Overheating / hot spot</t>
  </si>
  <si>
    <t>Pulse-jet cleaning valves</t>
  </si>
  <si>
    <t>Cracking / burn-through</t>
  </si>
  <si>
    <t>Hopper and rotary valve</t>
  </si>
  <si>
    <t>Leak detection fails to alarm</t>
  </si>
  <si>
    <t>Explosion vents / isolation</t>
  </si>
  <si>
    <t>Excessive wear / thinning</t>
  </si>
  <si>
    <t>Differential pressure instruments</t>
  </si>
  <si>
    <t>Spalling / cracking</t>
  </si>
  <si>
    <t>Ladle shell and trunnions</t>
  </si>
  <si>
    <t>Breakout / burn-through</t>
  </si>
  <si>
    <t>Slide gate</t>
  </si>
  <si>
    <t>Hot spot on shell</t>
  </si>
  <si>
    <t>Porous plug</t>
  </si>
  <si>
    <t>Moisture in lining</t>
  </si>
  <si>
    <t>Car wheels and rails</t>
  </si>
  <si>
    <t>Car drive</t>
  </si>
  <si>
    <t>FTS – Fail to ignite</t>
  </si>
  <si>
    <t>Tilting mechanism</t>
  </si>
  <si>
    <t>UST – Flame failure / flame-out</t>
  </si>
  <si>
    <t>Power cable / festoon</t>
  </si>
  <si>
    <t>FTC – Fail to shut off fuel</t>
  </si>
  <si>
    <t>PDE – Incorrect air / fuel ratio</t>
  </si>
  <si>
    <t>OTH – Flashback / backfire</t>
  </si>
  <si>
    <t>ELP – Fuel gas leakage</t>
  </si>
  <si>
    <t>LOO – Insufficient cooling</t>
  </si>
  <si>
    <t>PLU – Fouling / scaling</t>
  </si>
  <si>
    <t>ELP – Water leakage</t>
  </si>
  <si>
    <t>VIB – Fan vibration</t>
  </si>
  <si>
    <t>PDE – Water chemistry out of specification</t>
  </si>
  <si>
    <t>PLU – High differential pressure / bag blinding</t>
  </si>
  <si>
    <t>ELP – Bag rupture – dust emission</t>
  </si>
  <si>
    <t>OTH – Fire / explosion</t>
  </si>
  <si>
    <t>PLU – Hopper blockage</t>
  </si>
  <si>
    <t>FTF – Cleaning system failure</t>
  </si>
  <si>
    <t>STD – Trunnion / shell crack</t>
  </si>
  <si>
    <t>FTC – Slide gate fails to close</t>
  </si>
  <si>
    <t>LCP – Slide gate leakage</t>
  </si>
  <si>
    <t>FTS – Car fails to travel</t>
  </si>
  <si>
    <t>OTH – Derailment / collision</t>
  </si>
  <si>
    <t>BRD – Breakout</t>
  </si>
  <si>
    <t>RATING SCALES</t>
  </si>
  <si>
    <t>Typical process-plant scales – calibrate Occurrence with site failure history / reliability data and align Severity with the HAZOP risk matrix before the study.</t>
  </si>
  <si>
    <t>Severity (S)</t>
  </si>
  <si>
    <t>Rank</t>
  </si>
  <si>
    <t>Criteria</t>
  </si>
  <si>
    <t>10 – Hazardous – without warning</t>
  </si>
  <si>
    <t>Hazardous – without warning</t>
  </si>
  <si>
    <t>Failure can cause fatality, major fire / explosion or major environmental release without warning</t>
  </si>
  <si>
    <t>9 – Hazardous – with warning</t>
  </si>
  <si>
    <t>Hazardous – with warning</t>
  </si>
  <si>
    <t>Failure can cause fatality, serious injury or major release, with some warning</t>
  </si>
  <si>
    <t>8 – Very high</t>
  </si>
  <si>
    <t>Very high</t>
  </si>
  <si>
    <t>Loss of primary function; plant / unit shutdown &gt; 1 week or major equipment damage</t>
  </si>
  <si>
    <t>7 – High</t>
  </si>
  <si>
    <t>High</t>
  </si>
  <si>
    <t>Loss of function; unit shutdown or major production loss of several days</t>
  </si>
  <si>
    <t>6 – Moderate</t>
  </si>
  <si>
    <t>Moderate</t>
  </si>
  <si>
    <t>Partial loss of function; reduced throughput or quality; significant repair cost</t>
  </si>
  <si>
    <t>5 – Low</t>
  </si>
  <si>
    <t>Low</t>
  </si>
  <si>
    <t>Reduced performance; repair without shutdown at notable cost; minor reportable incident</t>
  </si>
  <si>
    <t>4 – Very low</t>
  </si>
  <si>
    <t>Very low</t>
  </si>
  <si>
    <t>Minor performance degradation noticed by operators; routine repair</t>
  </si>
  <si>
    <t>3 – Minor</t>
  </si>
  <si>
    <t>Minor</t>
  </si>
  <si>
    <t>Minor effect on performance; repair at next opportunity</t>
  </si>
  <si>
    <t>2 – Very minor</t>
  </si>
  <si>
    <t>Very minor</t>
  </si>
  <si>
    <t>Negligible effect; cosmetic or nuisance</t>
  </si>
  <si>
    <t>1 – None</t>
  </si>
  <si>
    <t>None</t>
  </si>
  <si>
    <t>No discernible effect</t>
  </si>
  <si>
    <t>Occurrence (O)</t>
  </si>
  <si>
    <t>10 – Very high</t>
  </si>
  <si>
    <t>More than once per month</t>
  </si>
  <si>
    <t>9 – Very high</t>
  </si>
  <si>
    <t>Once per 1–3 months</t>
  </si>
  <si>
    <t>8 – High</t>
  </si>
  <si>
    <t>Once per 3–6 months</t>
  </si>
  <si>
    <t>Once per 6–12 months</t>
  </si>
  <si>
    <t>Once per 1–2 years</t>
  </si>
  <si>
    <t>5 – Moderate</t>
  </si>
  <si>
    <t>Once per 2–5 years</t>
  </si>
  <si>
    <t>4 – Low</t>
  </si>
  <si>
    <t>Once per 5–10 years</t>
  </si>
  <si>
    <t>3 – Low</t>
  </si>
  <si>
    <t>Once per 10–20 years</t>
  </si>
  <si>
    <t>2 – Remote</t>
  </si>
  <si>
    <t>Remote</t>
  </si>
  <si>
    <t>Once per 20–50 years</t>
  </si>
  <si>
    <t>1 – Extremely remote</t>
  </si>
  <si>
    <t>Extremely remote</t>
  </si>
  <si>
    <t>Less than once per 50 years</t>
  </si>
  <si>
    <t>Detection (D)</t>
  </si>
  <si>
    <t>10 – Absolute uncertainty</t>
  </si>
  <si>
    <t>Absolute uncertainty</t>
  </si>
  <si>
    <t>Hidden failure – no means of detection before demand / functional failure</t>
  </si>
  <si>
    <t>9 – Very remote</t>
  </si>
  <si>
    <t>Very remote</t>
  </si>
  <si>
    <t>Detected only after functional failure has occurred</t>
  </si>
  <si>
    <t>8 – Remote</t>
  </si>
  <si>
    <t>Detected only at proof test or shutdown inspection</t>
  </si>
  <si>
    <t>7 – Very low</t>
  </si>
  <si>
    <t>Detected only by operator senses (sight, sound, smell) on rounds</t>
  </si>
  <si>
    <t>6 – Low</t>
  </si>
  <si>
    <t>Periodic inspection with limited ability to detect the failure mechanism</t>
  </si>
  <si>
    <t>Periodic condition monitoring (e.g. quarterly) or instrumented operator rounds</t>
  </si>
  <si>
    <t>4 – Moderately high</t>
  </si>
  <si>
    <t>Moderately high</t>
  </si>
  <si>
    <t>Frequent condition monitoring (e.g. monthly) with good detection capability</t>
  </si>
  <si>
    <t>3 – High</t>
  </si>
  <si>
    <t>Online monitoring with alarm; detection with time to act</t>
  </si>
  <si>
    <t>2 – Very high</t>
  </si>
  <si>
    <t>Online monitoring with alarm and automatic protection; early detection</t>
  </si>
  <si>
    <t>1 – Almost certain</t>
  </si>
  <si>
    <t>Almost certain</t>
  </si>
  <si>
    <t>Failure mechanism prevented or detected continuously well before functional failure</t>
  </si>
  <si>
    <t>Action thresholds (editable)</t>
  </si>
  <si>
    <t>Value</t>
  </si>
  <si>
    <t>Meaning</t>
  </si>
  <si>
    <t>Severity threshold</t>
  </si>
  <si>
    <t>Action required for any failure mode with S at or above this value</t>
  </si>
  <si>
    <t>RPN threshold</t>
  </si>
  <si>
    <t>Action required for any failure mode with RPN at or above this value</t>
  </si>
  <si>
    <t>Action Priority</t>
  </si>
  <si>
    <t>H</t>
  </si>
  <si>
    <t>Action required for every failure mode with Action Priority H (and justify M items left without action)</t>
  </si>
  <si>
    <t>ACTION PRIORITY (AP) TABLE</t>
  </si>
  <si>
    <t>Based on the AIAG-VDA FMEA Handbook (2019) Action Priority logic. Editable – verify against your licensed copy / company standard.</t>
  </si>
  <si>
    <t>Severity band</t>
  </si>
  <si>
    <t>Occurrence band</t>
  </si>
  <si>
    <t>Detection band →</t>
  </si>
  <si>
    <t>D 7–10</t>
  </si>
  <si>
    <t>D 5–6</t>
  </si>
  <si>
    <t>D 2–4</t>
  </si>
  <si>
    <t>D 1</t>
  </si>
  <si>
    <t>S 9–10</t>
  </si>
  <si>
    <t>O 8–10</t>
  </si>
  <si>
    <t>O 6–7</t>
  </si>
  <si>
    <t>O 4–5</t>
  </si>
  <si>
    <t>M</t>
  </si>
  <si>
    <t>O 2–3</t>
  </si>
  <si>
    <t>L</t>
  </si>
  <si>
    <t>O 1</t>
  </si>
  <si>
    <t>S 7–8</t>
  </si>
  <si>
    <t>S 4–6</t>
  </si>
  <si>
    <t>S 2–3</t>
  </si>
  <si>
    <t>S 1</t>
  </si>
  <si>
    <t>Band lower limits (used by the AP look-up – keep in descending band order as in the table above)</t>
  </si>
  <si>
    <t>S band lower limits</t>
  </si>
  <si>
    <t>O band lower limits</t>
  </si>
  <si>
    <t>D band lower limits</t>
  </si>
  <si>
    <t>FMECA SUMMARY</t>
  </si>
  <si>
    <t>Counts per system worksheet (calculated). AddSystemSheet adds a row here automatically.</t>
  </si>
  <si>
    <t>Worksheet</t>
  </si>
  <si>
    <t>Failure modes</t>
  </si>
  <si>
    <t>AP – High</t>
  </si>
  <si>
    <t>AP – Medium</t>
  </si>
  <si>
    <t>AP – Low</t>
  </si>
  <si>
    <t>Highest RPN</t>
  </si>
  <si>
    <t>Actions required</t>
  </si>
  <si>
    <t>Actions without owner</t>
  </si>
  <si>
    <t>AP High after action</t>
  </si>
  <si>
    <t>System 01</t>
  </si>
  <si>
    <t>System 02</t>
  </si>
  <si>
    <t>System 03</t>
  </si>
  <si>
    <t>System 04</t>
  </si>
  <si>
    <t>System 05</t>
  </si>
  <si>
    <t>System 06</t>
  </si>
  <si>
    <t>System 07</t>
  </si>
  <si>
    <t>System 08</t>
  </si>
  <si>
    <t>System 09</t>
  </si>
  <si>
    <t>System 10</t>
  </si>
  <si>
    <t>TOTAL</t>
  </si>
  <si>
    <t>FMECA WORKSHEET</t>
  </si>
  <si>
    <t>Select system ▸</t>
  </si>
  <si>
    <t>Session date</t>
  </si>
  <si>
    <t>Equipment items</t>
  </si>
  <si>
    <t>System title</t>
  </si>
  <si>
    <t>ONE ROW PER FAILURE MODE. Pick the equipment tag (tags of the selected system), component and failure mode. Failure causes and detection methods: pick from the drop-down as many times as needed – each pick is added on a new line (pick again to remove; typed text can be added or replace). Rate S, O, D – RPN, Action Priority and 'Action required?' are calculated.</t>
  </si>
  <si>
    <t>ITEM / FAILURE MODE</t>
  </si>
  <si>
    <t>CAUSES &amp; EFFECTS</t>
  </si>
  <si>
    <t>CRITICALITY – CURRENT</t>
  </si>
  <si>
    <t>RECOMMENDED ACTIONS</t>
  </si>
  <si>
    <t>CRITICALITY – AFTER ACTION</t>
  </si>
  <si>
    <t>LINKS</t>
  </si>
  <si>
    <t>Equipment type (auto)</t>
  </si>
  <si>
    <t>Function of item</t>
  </si>
  <si>
    <t>Failure causes / mechanisms (pick repeatedly – one per line)</t>
  </si>
  <si>
    <t>Local effect</t>
  </si>
  <si>
    <t>System effect</t>
  </si>
  <si>
    <t>End effect (safety / environment / production)</t>
  </si>
  <si>
    <t>Current prevention controls</t>
  </si>
  <si>
    <t>Current detection methods (pick repeatedly – one per line)</t>
  </si>
  <si>
    <t>RPN</t>
  </si>
  <si>
    <t>AP</t>
  </si>
  <si>
    <t>Action required?</t>
  </si>
  <si>
    <t>Recommended action</t>
  </si>
  <si>
    <t>Action by</t>
  </si>
  <si>
    <t>Due date</t>
  </si>
  <si>
    <t>RPN after</t>
  </si>
  <si>
    <t>AP after</t>
  </si>
  <si>
    <t>HAZOP ref.</t>
  </si>
  <si>
    <t>Carry hot DRI in the enclosed hood</t>
  </si>
  <si>
    <t>Belt cover burned or torn; spillage of hot DRI in the hood</t>
  </si>
  <si>
    <t>Conveyor trip under load – hot DRI stationary on the belt (HAZOP N01-01)</t>
  </si>
  <si>
    <t>Fire risk on the stationary DRI; loss of hot DRI transfer to the EAF</t>
  </si>
  <si>
    <t>Belt rated for hot DRI service; belt condition inspection</t>
  </si>
  <si>
    <t>• Operator rounds – visual / sensory</t>
  </si>
  <si>
    <t>Monthly belt thermography and cover-thickness measurement; confirm belt temperature rating against the design DRI discharge temperature (HAZOP R-004)</t>
  </si>
  <si>
    <t>Maintenance planner</t>
  </si>
  <si>
    <t>HAZOP N01-01</t>
  </si>
  <si>
    <t>◂ Example row – delete before use</t>
  </si>
  <si>
    <t>Open on N2 release demand</t>
  </si>
  <si>
    <t>• 1.6 Sticking / seizure
• 5.2 Contamination (process / lube oil / water)
• 5.3 Dust ingress</t>
  </si>
  <si>
    <t>Release valve A does not open</t>
  </si>
  <si>
    <t>N2 delivered through XV-210B only (1oo2); a common cause can fail both valves</t>
  </si>
  <si>
    <t>If both valves fail: no N2 inerting – conveyor fire escalates (HAZOP N02-01)</t>
  </si>
  <si>
    <t>Dry, filtered instrument air; dust-protected actuator</t>
  </si>
  <si>
    <t>• Proof test / function test</t>
  </si>
  <si>
    <t>Six-monthly function test of both valves (staggered); partial-stroke test where possible; model as fault-tree basic event with CCF β = 10 %</t>
  </si>
  <si>
    <t>Instrument engineer</t>
  </si>
  <si>
    <t>HAZOP N02-01</t>
  </si>
  <si>
    <t>Connecting two ends of conveyor belting</t>
  </si>
  <si>
    <t>• 1.0 Mechanical failure – general</t>
  </si>
  <si>
    <t>Material spilled on structure and floor</t>
  </si>
  <si>
    <t>Belt stopped under load of hot dri</t>
  </si>
  <si>
    <t>Daily visual Inspection , Approved splicing contratcor</t>
  </si>
  <si>
    <t>• 2.7 Overheating
• Abrasive wear (ore, sinter, DRI, slag)
• Incorrect maintenance / reassembly
• 1.1 Leakage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</si>
</sst>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15" x14ac:knownFonts="1">
    <font>
      <sz val="11"/>
      <color theme="1"/>
      <name val="Calibri"/>
      <family val="2"/>
      <scheme val="minor"/>
    </font>
    <font>
      <b/>
      <sz val="16"/>
      <color rgb="FF1F3864"/>
      <name val="Arial"/>
      <family val="2"/>
    </font>
    <font>
      <i/>
      <sz val="9"/>
      <color rgb="FF595959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b/>
      <sz val="12"/>
      <color rgb="FF1F3864"/>
      <name val="Arial"/>
      <family val="2"/>
    </font>
    <font>
      <i/>
      <sz val="9"/>
      <color rgb="FF808080"/>
      <name val="Arial"/>
      <family val="2"/>
    </font>
    <font>
      <b/>
      <sz val="10"/>
      <color rgb="FFC00000"/>
      <name val="Arial"/>
      <family val="2"/>
    </font>
    <font>
      <b/>
      <sz val="14"/>
      <color rgb="FF1F3864"/>
      <name val="Arial"/>
      <family val="2"/>
    </font>
    <font>
      <b/>
      <sz val="11"/>
      <color rgb="FF1F3864"/>
      <name val="Arial"/>
      <family val="2"/>
    </font>
    <font>
      <b/>
      <sz val="12"/>
      <color rgb="FF000000"/>
      <name val="Arial"/>
      <family val="2"/>
    </font>
    <font>
      <i/>
      <sz val="10"/>
      <color rgb="FFC00000"/>
      <name val="Arial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2CC"/>
        <bgColor rgb="FFFFF2CC"/>
      </patternFill>
    </fill>
    <fill>
      <patternFill patternType="solid">
        <fgColor rgb="FFF2F2F2"/>
        <bgColor rgb="FFF2F2F2"/>
      </patternFill>
    </fill>
    <fill>
      <patternFill patternType="solid">
        <fgColor rgb="FFD9E2F3"/>
        <bgColor rgb="FFD9E2F3"/>
      </patternFill>
    </fill>
    <fill>
      <patternFill patternType="solid">
        <fgColor rgb="FF1F3864"/>
        <bgColor rgb="FF1F3864"/>
      </patternFill>
    </fill>
  </fills>
  <borders count="4">
    <border>
      <left/>
      <right/>
      <top/>
      <bottom/>
      <diagonal/>
    </border>
    <border>
      <left style="thin">
        <color rgb="FF8EA9DB"/>
      </left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2" fillId="0" borderId="0" xfId="0" applyFont="1"/>
    <xf numFmtId="0" fontId="9" fillId="0" borderId="0" xfId="0" applyFont="1"/>
    <xf numFmtId="0" fontId="3" fillId="0" borderId="0" xfId="0" applyFont="1"/>
    <xf numFmtId="0" fontId="4" fillId="2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/>
    </xf>
    <xf numFmtId="0" fontId="4" fillId="4" borderId="1" xfId="0" applyFont="1" applyFill="1" applyBorder="1" applyAlignment="1">
      <alignment vertical="top" wrapText="1"/>
    </xf>
    <xf numFmtId="0" fontId="5" fillId="5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164" fontId="4" fillId="2" borderId="1" xfId="0" applyNumberFormat="1" applyFont="1" applyFill="1" applyBorder="1" applyAlignment="1">
      <alignment vertical="top" wrapText="1"/>
    </xf>
    <xf numFmtId="0" fontId="6" fillId="2" borderId="1" xfId="0" applyFont="1" applyFill="1" applyBorder="1" applyAlignment="1">
      <alignment vertical="top" wrapText="1"/>
    </xf>
    <xf numFmtId="0" fontId="4" fillId="0" borderId="0" xfId="0" applyFont="1"/>
    <xf numFmtId="0" fontId="4" fillId="2" borderId="1" xfId="0" applyFont="1" applyFill="1" applyBorder="1" applyAlignment="1">
      <alignment horizontal="center" vertical="center" wrapText="1"/>
    </xf>
    <xf numFmtId="0" fontId="7" fillId="0" borderId="0" xfId="0" applyFont="1"/>
    <xf numFmtId="0" fontId="8" fillId="0" borderId="0" xfId="0" applyFont="1"/>
    <xf numFmtId="0" fontId="3" fillId="2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10" fillId="0" borderId="0" xfId="0" applyFont="1"/>
    <xf numFmtId="0" fontId="11" fillId="0" borderId="0" xfId="0" applyFont="1"/>
    <xf numFmtId="0" fontId="5" fillId="5" borderId="1" xfId="0" applyFont="1" applyFill="1" applyBorder="1" applyAlignment="1">
      <alignment vertical="top" wrapText="1"/>
    </xf>
    <xf numFmtId="164" fontId="4" fillId="2" borderId="1" xfId="0" applyNumberFormat="1" applyFont="1" applyFill="1" applyBorder="1" applyAlignment="1">
      <alignment horizontal="center" vertical="center" wrapText="1"/>
    </xf>
    <xf numFmtId="0" fontId="13" fillId="0" borderId="0" xfId="0" applyFont="1"/>
    <xf numFmtId="0" fontId="12" fillId="2" borderId="1" xfId="0" applyFont="1" applyFill="1" applyBorder="1" applyAlignment="1">
      <alignment vertical="top" wrapText="1"/>
    </xf>
    <xf numFmtId="0" fontId="0" fillId="0" borderId="0" xfId="0"/>
    <xf numFmtId="0" fontId="5" fillId="5" borderId="1" xfId="0" applyFont="1" applyFill="1" applyBorder="1" applyAlignment="1">
      <alignment vertical="top" wrapText="1"/>
    </xf>
    <xf numFmtId="0" fontId="0" fillId="0" borderId="2" xfId="0" applyBorder="1"/>
    <xf numFmtId="0" fontId="0" fillId="0" borderId="3" xfId="0" applyBorder="1"/>
    <xf numFmtId="0" fontId="5" fillId="5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4" fillId="4" borderId="1" xfId="0" applyFont="1" applyFill="1" applyBorder="1" applyAlignment="1">
      <alignment vertical="top" wrapText="1"/>
    </xf>
    <xf numFmtId="164" fontId="4" fillId="2" borderId="1" xfId="0" applyNumberFormat="1" applyFont="1" applyFill="1" applyBorder="1" applyAlignment="1">
      <alignment vertical="top" wrapText="1"/>
    </xf>
    <xf numFmtId="0" fontId="3" fillId="4" borderId="1" xfId="0" applyFont="1" applyFill="1" applyBorder="1" applyAlignment="1">
      <alignment vertical="top" wrapText="1"/>
    </xf>
    <xf numFmtId="0" fontId="2" fillId="0" borderId="0" xfId="0" applyFont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3" borderId="1" xfId="0" applyFont="1" applyFill="1" applyBorder="1" applyAlignment="1">
      <alignment vertical="top" wrapText="1"/>
    </xf>
    <xf numFmtId="0" fontId="4" fillId="2" borderId="1" xfId="0" applyFont="1" applyFill="1" applyBorder="1" applyAlignment="1">
      <alignment vertical="top" wrapText="1"/>
    </xf>
  </cellXfs>
  <cellStyles count="1">
    <cellStyle name="Normal" xfId="0" builtinId="0"/>
  </cellStyles>
  <dxfs count="93">
    <dxf>
      <font>
        <b/>
        <color rgb="FFC00000"/>
      </font>
    </dxf>
    <dxf>
      <font>
        <b/>
        <color rgb="FFC00000"/>
      </font>
    </dxf>
    <dxf>
      <font>
        <b/>
      </font>
      <fill>
        <patternFill patternType="solid">
          <fgColor rgb="FFFF7C80"/>
          <bgColor rgb="FFFF7C80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7C80"/>
          <bgColor rgb="FFFF7C80"/>
        </patternFill>
      </fill>
    </dxf>
    <dxf>
      <font>
        <b/>
        <color rgb="FFC00000"/>
      </font>
    </dxf>
    <dxf>
      <font>
        <b/>
        <color rgb="FFC00000"/>
      </font>
    </dxf>
    <dxf>
      <font>
        <b/>
      </font>
      <fill>
        <patternFill patternType="solid">
          <fgColor rgb="FFFF7C80"/>
          <bgColor rgb="FFFF7C80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7C80"/>
          <bgColor rgb="FFFF7C80"/>
        </patternFill>
      </fill>
    </dxf>
    <dxf>
      <font>
        <b/>
        <color rgb="FFC00000"/>
      </font>
    </dxf>
    <dxf>
      <font>
        <b/>
        <color rgb="FFC00000"/>
      </font>
    </dxf>
    <dxf>
      <font>
        <b/>
      </font>
      <fill>
        <patternFill patternType="solid">
          <fgColor rgb="FFFF7C80"/>
          <bgColor rgb="FFFF7C80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7C80"/>
          <bgColor rgb="FFFF7C80"/>
        </patternFill>
      </fill>
    </dxf>
    <dxf>
      <font>
        <b/>
        <color rgb="FFC00000"/>
      </font>
    </dxf>
    <dxf>
      <font>
        <b/>
        <color rgb="FFC00000"/>
      </font>
    </dxf>
    <dxf>
      <font>
        <b/>
      </font>
      <fill>
        <patternFill patternType="solid">
          <fgColor rgb="FFFF7C80"/>
          <bgColor rgb="FFFF7C80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7C80"/>
          <bgColor rgb="FFFF7C80"/>
        </patternFill>
      </fill>
    </dxf>
    <dxf>
      <font>
        <b/>
        <color rgb="FFC00000"/>
      </font>
    </dxf>
    <dxf>
      <font>
        <b/>
        <color rgb="FFC00000"/>
      </font>
    </dxf>
    <dxf>
      <font>
        <b/>
      </font>
      <fill>
        <patternFill patternType="solid">
          <fgColor rgb="FFFF7C80"/>
          <bgColor rgb="FFFF7C80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7C80"/>
          <bgColor rgb="FFFF7C80"/>
        </patternFill>
      </fill>
    </dxf>
    <dxf>
      <font>
        <b/>
        <color rgb="FFC00000"/>
      </font>
    </dxf>
    <dxf>
      <font>
        <b/>
        <color rgb="FFC00000"/>
      </font>
    </dxf>
    <dxf>
      <font>
        <b/>
      </font>
      <fill>
        <patternFill patternType="solid">
          <fgColor rgb="FFFF7C80"/>
          <bgColor rgb="FFFF7C80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7C80"/>
          <bgColor rgb="FFFF7C80"/>
        </patternFill>
      </fill>
    </dxf>
    <dxf>
      <font>
        <b/>
        <color rgb="FFC00000"/>
      </font>
    </dxf>
    <dxf>
      <font>
        <b/>
        <color rgb="FFC00000"/>
      </font>
    </dxf>
    <dxf>
      <font>
        <b/>
      </font>
      <fill>
        <patternFill patternType="solid">
          <fgColor rgb="FFFF7C80"/>
          <bgColor rgb="FFFF7C80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7C80"/>
          <bgColor rgb="FFFF7C80"/>
        </patternFill>
      </fill>
    </dxf>
    <dxf>
      <font>
        <b/>
        <color rgb="FFC00000"/>
      </font>
    </dxf>
    <dxf>
      <font>
        <b/>
        <color rgb="FFC00000"/>
      </font>
    </dxf>
    <dxf>
      <font>
        <b/>
      </font>
      <fill>
        <patternFill patternType="solid">
          <fgColor rgb="FFFF7C80"/>
          <bgColor rgb="FFFF7C80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7C80"/>
          <bgColor rgb="FFFF7C80"/>
        </patternFill>
      </fill>
    </dxf>
    <dxf>
      <font>
        <b/>
        <color rgb="FFC00000"/>
      </font>
    </dxf>
    <dxf>
      <font>
        <b/>
        <color rgb="FFC00000"/>
      </font>
    </dxf>
    <dxf>
      <font>
        <b/>
      </font>
      <fill>
        <patternFill patternType="solid">
          <fgColor rgb="FFFF7C80"/>
          <bgColor rgb="FFFF7C80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7C80"/>
          <bgColor rgb="FFFF7C80"/>
        </patternFill>
      </fill>
    </dxf>
    <dxf>
      <font>
        <b/>
        <color rgb="FFC00000"/>
      </font>
    </dxf>
    <dxf>
      <font>
        <b/>
        <color rgb="FFC00000"/>
      </font>
    </dxf>
    <dxf>
      <font>
        <b/>
      </font>
      <fill>
        <patternFill patternType="solid">
          <fgColor rgb="FFFF7C80"/>
          <bgColor rgb="FFFF7C80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7C80"/>
          <bgColor rgb="FFFF7C8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5"/>
  <sheetViews>
    <sheetView zoomScale="232" zoomScaleNormal="232" workbookViewId="0">
      <pane ySplit="5" topLeftCell="A51" activePane="bottomLeft" state="frozen"/>
      <selection pane="bottomLeft" activeCell="B4" sqref="B4"/>
    </sheetView>
  </sheetViews>
  <sheetFormatPr baseColWidth="10" defaultColWidth="8.83203125" defaultRowHeight="15" x14ac:dyDescent="0.2"/>
  <cols>
    <col min="1" max="1" width="30" customWidth="1"/>
    <col min="2" max="2" width="34" customWidth="1"/>
    <col min="3" max="4" width="26" customWidth="1"/>
    <col min="5" max="5" width="18" customWidth="1"/>
  </cols>
  <sheetData>
    <row r="1" spans="1:5" ht="20" x14ac:dyDescent="0.2">
      <c r="A1" s="1" t="s">
        <v>0</v>
      </c>
    </row>
    <row r="2" spans="1:5" x14ac:dyDescent="0.2">
      <c r="A2" s="2" t="s">
        <v>1</v>
      </c>
    </row>
    <row r="3" spans="1:5" x14ac:dyDescent="0.2">
      <c r="A3" s="3" t="s">
        <v>2</v>
      </c>
    </row>
    <row r="4" spans="1:5" ht="28" x14ac:dyDescent="0.2">
      <c r="A4" s="4" t="s">
        <v>3</v>
      </c>
      <c r="B4" s="5" t="s">
        <v>4</v>
      </c>
      <c r="C4" s="6" t="s">
        <v>5</v>
      </c>
      <c r="D4" s="7" t="s">
        <v>6</v>
      </c>
    </row>
    <row r="6" spans="1:5" x14ac:dyDescent="0.2">
      <c r="A6" s="31" t="s">
        <v>7</v>
      </c>
      <c r="B6" s="29"/>
      <c r="C6" s="29"/>
      <c r="D6" s="29"/>
      <c r="E6" s="30"/>
    </row>
    <row r="7" spans="1:5" x14ac:dyDescent="0.2">
      <c r="A7" s="9" t="s">
        <v>8</v>
      </c>
      <c r="B7" s="39" t="s">
        <v>9</v>
      </c>
      <c r="C7" s="27"/>
      <c r="D7" s="27"/>
      <c r="E7" s="27"/>
    </row>
    <row r="8" spans="1:5" x14ac:dyDescent="0.2">
      <c r="A8" s="9" t="s">
        <v>10</v>
      </c>
      <c r="B8" s="39"/>
      <c r="C8" s="27"/>
      <c r="D8" s="27"/>
      <c r="E8" s="27"/>
    </row>
    <row r="9" spans="1:5" x14ac:dyDescent="0.2">
      <c r="A9" s="9" t="s">
        <v>11</v>
      </c>
      <c r="B9" s="39"/>
      <c r="C9" s="27"/>
      <c r="D9" s="27"/>
      <c r="E9" s="27"/>
    </row>
    <row r="10" spans="1:5" ht="28" x14ac:dyDescent="0.2">
      <c r="A10" s="9" t="s">
        <v>12</v>
      </c>
      <c r="B10" s="39"/>
      <c r="C10" s="27"/>
      <c r="D10" s="27"/>
      <c r="E10" s="27"/>
    </row>
    <row r="11" spans="1:5" x14ac:dyDescent="0.2">
      <c r="A11" s="9" t="s">
        <v>13</v>
      </c>
      <c r="B11" s="39" t="s">
        <v>14</v>
      </c>
      <c r="C11" s="27"/>
      <c r="D11" s="27"/>
      <c r="E11" s="27"/>
    </row>
    <row r="12" spans="1:5" x14ac:dyDescent="0.2">
      <c r="A12" s="9" t="s">
        <v>15</v>
      </c>
      <c r="B12" s="39"/>
      <c r="C12" s="27"/>
      <c r="D12" s="27"/>
      <c r="E12" s="27"/>
    </row>
    <row r="13" spans="1:5" x14ac:dyDescent="0.2">
      <c r="A13" s="9" t="s">
        <v>16</v>
      </c>
      <c r="B13" s="39" t="s">
        <v>17</v>
      </c>
      <c r="C13" s="27"/>
      <c r="D13" s="27"/>
      <c r="E13" s="27"/>
    </row>
    <row r="14" spans="1:5" x14ac:dyDescent="0.2">
      <c r="A14" s="9" t="s">
        <v>18</v>
      </c>
      <c r="B14" s="39"/>
      <c r="C14" s="27"/>
      <c r="D14" s="27"/>
      <c r="E14" s="27"/>
    </row>
    <row r="15" spans="1:5" x14ac:dyDescent="0.2">
      <c r="A15" s="9" t="s">
        <v>19</v>
      </c>
      <c r="B15" s="39"/>
      <c r="C15" s="27"/>
      <c r="D15" s="27"/>
      <c r="E15" s="27"/>
    </row>
    <row r="16" spans="1:5" ht="45" customHeight="1" x14ac:dyDescent="0.2">
      <c r="A16" s="9" t="s">
        <v>20</v>
      </c>
      <c r="B16" s="39"/>
      <c r="C16" s="27"/>
      <c r="D16" s="27"/>
      <c r="E16" s="27"/>
    </row>
    <row r="17" spans="1:5" ht="45" customHeight="1" x14ac:dyDescent="0.2">
      <c r="A17" s="9" t="s">
        <v>21</v>
      </c>
      <c r="B17" s="39"/>
      <c r="C17" s="27"/>
      <c r="D17" s="27"/>
      <c r="E17" s="27"/>
    </row>
    <row r="18" spans="1:5" x14ac:dyDescent="0.2">
      <c r="A18" s="9" t="s">
        <v>22</v>
      </c>
      <c r="B18" s="39" t="s">
        <v>23</v>
      </c>
      <c r="C18" s="27"/>
      <c r="D18" s="27"/>
      <c r="E18" s="27"/>
    </row>
    <row r="19" spans="1:5" ht="45" customHeight="1" x14ac:dyDescent="0.2">
      <c r="A19" s="9" t="s">
        <v>24</v>
      </c>
      <c r="B19" s="39"/>
      <c r="C19" s="27"/>
      <c r="D19" s="27"/>
      <c r="E19" s="27"/>
    </row>
    <row r="20" spans="1:5" x14ac:dyDescent="0.2">
      <c r="A20" s="9" t="s">
        <v>25</v>
      </c>
      <c r="B20" s="39"/>
      <c r="C20" s="27"/>
      <c r="D20" s="27"/>
      <c r="E20" s="27"/>
    </row>
    <row r="21" spans="1:5" x14ac:dyDescent="0.2">
      <c r="A21" s="9" t="s">
        <v>26</v>
      </c>
      <c r="B21" s="39"/>
      <c r="C21" s="27"/>
      <c r="D21" s="27"/>
      <c r="E21" s="27"/>
    </row>
    <row r="22" spans="1:5" x14ac:dyDescent="0.2">
      <c r="A22" s="9" t="s">
        <v>27</v>
      </c>
      <c r="B22" s="39" t="s">
        <v>28</v>
      </c>
      <c r="C22" s="27"/>
      <c r="D22" s="27"/>
      <c r="E22" s="27"/>
    </row>
    <row r="23" spans="1:5" x14ac:dyDescent="0.2">
      <c r="A23" s="9" t="s">
        <v>29</v>
      </c>
      <c r="B23" s="38">
        <f>COUNTA(Systems!B5:B34)</f>
        <v>2</v>
      </c>
      <c r="C23" s="27"/>
      <c r="D23" s="27"/>
      <c r="E23" s="27"/>
    </row>
    <row r="24" spans="1:5" x14ac:dyDescent="0.2">
      <c r="A24" s="9" t="s">
        <v>30</v>
      </c>
      <c r="B24" s="38">
        <f>COUNTA('Equipment Register'!C5:C204)</f>
        <v>15</v>
      </c>
      <c r="C24" s="27"/>
      <c r="D24" s="27"/>
      <c r="E24" s="27"/>
    </row>
    <row r="26" spans="1:5" x14ac:dyDescent="0.2">
      <c r="A26" s="31" t="s">
        <v>31</v>
      </c>
      <c r="B26" s="29"/>
      <c r="C26" s="29"/>
      <c r="D26" s="29"/>
      <c r="E26" s="30"/>
    </row>
    <row r="27" spans="1:5" x14ac:dyDescent="0.2">
      <c r="A27" s="8" t="s">
        <v>32</v>
      </c>
      <c r="B27" s="8" t="s">
        <v>33</v>
      </c>
      <c r="C27" s="8" t="s">
        <v>34</v>
      </c>
      <c r="D27" s="8" t="s">
        <v>35</v>
      </c>
      <c r="E27" s="8" t="s">
        <v>36</v>
      </c>
    </row>
    <row r="28" spans="1:5" x14ac:dyDescent="0.2">
      <c r="A28" s="5"/>
      <c r="B28" s="5"/>
      <c r="C28" s="5"/>
      <c r="D28" s="5"/>
      <c r="E28" s="5"/>
    </row>
    <row r="29" spans="1:5" x14ac:dyDescent="0.2">
      <c r="A29" s="5"/>
      <c r="B29" s="5"/>
      <c r="C29" s="5"/>
      <c r="D29" s="5"/>
      <c r="E29" s="5"/>
    </row>
    <row r="30" spans="1:5" x14ac:dyDescent="0.2">
      <c r="A30" s="5"/>
      <c r="B30" s="5"/>
      <c r="C30" s="5"/>
      <c r="D30" s="5"/>
      <c r="E30" s="5"/>
    </row>
    <row r="31" spans="1:5" x14ac:dyDescent="0.2">
      <c r="A31" s="5"/>
      <c r="B31" s="5"/>
      <c r="C31" s="5"/>
      <c r="D31" s="5"/>
      <c r="E31" s="5"/>
    </row>
    <row r="32" spans="1:5" x14ac:dyDescent="0.2">
      <c r="A32" s="5"/>
      <c r="B32" s="5"/>
      <c r="C32" s="5"/>
      <c r="D32" s="5"/>
      <c r="E32" s="5"/>
    </row>
    <row r="33" spans="1:5" x14ac:dyDescent="0.2">
      <c r="A33" s="5"/>
      <c r="B33" s="5"/>
      <c r="C33" s="5"/>
      <c r="D33" s="5"/>
      <c r="E33" s="5"/>
    </row>
    <row r="34" spans="1:5" x14ac:dyDescent="0.2">
      <c r="A34" s="5"/>
      <c r="B34" s="5"/>
      <c r="C34" s="5"/>
      <c r="D34" s="5"/>
      <c r="E34" s="5"/>
    </row>
    <row r="35" spans="1:5" x14ac:dyDescent="0.2">
      <c r="A35" s="5"/>
      <c r="B35" s="5"/>
      <c r="C35" s="5"/>
      <c r="D35" s="5"/>
      <c r="E35" s="5"/>
    </row>
    <row r="36" spans="1:5" x14ac:dyDescent="0.2">
      <c r="A36" s="5"/>
      <c r="B36" s="5"/>
      <c r="C36" s="5"/>
      <c r="D36" s="5"/>
      <c r="E36" s="5"/>
    </row>
    <row r="37" spans="1:5" x14ac:dyDescent="0.2">
      <c r="A37" s="5"/>
      <c r="B37" s="5"/>
      <c r="C37" s="5"/>
      <c r="D37" s="5"/>
      <c r="E37" s="5"/>
    </row>
    <row r="38" spans="1:5" x14ac:dyDescent="0.2">
      <c r="A38" s="5"/>
      <c r="B38" s="5"/>
      <c r="C38" s="5"/>
      <c r="D38" s="5"/>
      <c r="E38" s="5"/>
    </row>
    <row r="39" spans="1:5" x14ac:dyDescent="0.2">
      <c r="A39" s="5"/>
      <c r="B39" s="5"/>
      <c r="C39" s="5"/>
      <c r="D39" s="5"/>
      <c r="E39" s="5"/>
    </row>
    <row r="41" spans="1:5" x14ac:dyDescent="0.2">
      <c r="A41" s="31" t="s">
        <v>37</v>
      </c>
      <c r="B41" s="29"/>
      <c r="C41" s="29"/>
      <c r="D41" s="29"/>
      <c r="E41" s="30"/>
    </row>
    <row r="42" spans="1:5" x14ac:dyDescent="0.2">
      <c r="A42" s="8"/>
      <c r="B42" s="8" t="s">
        <v>32</v>
      </c>
      <c r="C42" s="8" t="s">
        <v>38</v>
      </c>
      <c r="D42" s="8" t="s">
        <v>36</v>
      </c>
      <c r="E42" s="8" t="s">
        <v>39</v>
      </c>
    </row>
    <row r="43" spans="1:5" x14ac:dyDescent="0.2">
      <c r="A43" s="9" t="s">
        <v>40</v>
      </c>
      <c r="B43" s="5"/>
      <c r="C43" s="5"/>
      <c r="D43" s="5"/>
      <c r="E43" s="5"/>
    </row>
    <row r="44" spans="1:5" x14ac:dyDescent="0.2">
      <c r="A44" s="9" t="s">
        <v>41</v>
      </c>
      <c r="B44" s="5"/>
      <c r="C44" s="5"/>
      <c r="D44" s="5"/>
      <c r="E44" s="5"/>
    </row>
    <row r="45" spans="1:5" x14ac:dyDescent="0.2">
      <c r="A45" s="9" t="s">
        <v>42</v>
      </c>
      <c r="B45" s="5"/>
      <c r="C45" s="5"/>
      <c r="D45" s="5"/>
      <c r="E45" s="5"/>
    </row>
    <row r="47" spans="1:5" x14ac:dyDescent="0.2">
      <c r="A47" s="31" t="s">
        <v>43</v>
      </c>
      <c r="B47" s="29"/>
      <c r="C47" s="29"/>
      <c r="D47" s="29"/>
      <c r="E47" s="30"/>
    </row>
    <row r="48" spans="1:5" x14ac:dyDescent="0.2">
      <c r="A48" s="10" t="s">
        <v>44</v>
      </c>
      <c r="B48" s="37" t="s">
        <v>45</v>
      </c>
      <c r="C48" s="27"/>
      <c r="D48" s="27"/>
      <c r="E48" s="27"/>
    </row>
    <row r="49" spans="1:5" x14ac:dyDescent="0.2">
      <c r="A49" s="10" t="s">
        <v>46</v>
      </c>
      <c r="B49" s="37" t="s">
        <v>47</v>
      </c>
      <c r="C49" s="27"/>
      <c r="D49" s="27"/>
      <c r="E49" s="27"/>
    </row>
    <row r="50" spans="1:5" x14ac:dyDescent="0.2">
      <c r="A50" s="10" t="s">
        <v>48</v>
      </c>
      <c r="B50" s="37" t="s">
        <v>49</v>
      </c>
      <c r="C50" s="27"/>
      <c r="D50" s="27"/>
      <c r="E50" s="27"/>
    </row>
    <row r="51" spans="1:5" x14ac:dyDescent="0.2">
      <c r="A51" s="10" t="s">
        <v>50</v>
      </c>
      <c r="B51" s="37" t="s">
        <v>51</v>
      </c>
      <c r="C51" s="27"/>
      <c r="D51" s="27"/>
      <c r="E51" s="27"/>
    </row>
    <row r="52" spans="1:5" x14ac:dyDescent="0.2">
      <c r="A52" s="10" t="s">
        <v>52</v>
      </c>
      <c r="B52" s="37" t="s">
        <v>53</v>
      </c>
      <c r="C52" s="27"/>
      <c r="D52" s="27"/>
      <c r="E52" s="27"/>
    </row>
    <row r="53" spans="1:5" x14ac:dyDescent="0.2">
      <c r="A53" s="10" t="s">
        <v>54</v>
      </c>
      <c r="B53" s="37" t="s">
        <v>55</v>
      </c>
      <c r="C53" s="27"/>
      <c r="D53" s="27"/>
      <c r="E53" s="27"/>
    </row>
    <row r="54" spans="1:5" x14ac:dyDescent="0.2">
      <c r="A54" s="10" t="s">
        <v>56</v>
      </c>
      <c r="B54" s="37" t="s">
        <v>57</v>
      </c>
      <c r="C54" s="27"/>
      <c r="D54" s="27"/>
      <c r="E54" s="27"/>
    </row>
    <row r="55" spans="1:5" x14ac:dyDescent="0.2">
      <c r="A55" s="10" t="s">
        <v>58</v>
      </c>
      <c r="B55" s="37" t="s">
        <v>59</v>
      </c>
      <c r="C55" s="27"/>
      <c r="D55" s="27"/>
      <c r="E55" s="27"/>
    </row>
  </sheetData>
  <mergeCells count="30">
    <mergeCell ref="B8:E8"/>
    <mergeCell ref="B53:E53"/>
    <mergeCell ref="B13:E13"/>
    <mergeCell ref="B19:E19"/>
    <mergeCell ref="B10:E10"/>
    <mergeCell ref="B9:E9"/>
    <mergeCell ref="B49:E49"/>
    <mergeCell ref="B15:E15"/>
    <mergeCell ref="A6:E6"/>
    <mergeCell ref="B50:E50"/>
    <mergeCell ref="A41:E41"/>
    <mergeCell ref="B16:E16"/>
    <mergeCell ref="B54:E54"/>
    <mergeCell ref="B7:E7"/>
    <mergeCell ref="B22:E22"/>
    <mergeCell ref="B18:E18"/>
    <mergeCell ref="A26:E26"/>
    <mergeCell ref="B12:E12"/>
    <mergeCell ref="B52:E52"/>
    <mergeCell ref="B21:E21"/>
    <mergeCell ref="B48:E48"/>
    <mergeCell ref="A47:E47"/>
    <mergeCell ref="B11:E11"/>
    <mergeCell ref="B14:E14"/>
    <mergeCell ref="B55:E55"/>
    <mergeCell ref="B24:E24"/>
    <mergeCell ref="B51:E51"/>
    <mergeCell ref="B20:E20"/>
    <mergeCell ref="B17:E17"/>
    <mergeCell ref="B23:E23"/>
  </mergeCells>
  <dataValidations count="3">
    <dataValidation type="list" errorStyle="information" allowBlank="1" showErrorMessage="1" errorTitle="Not in list" error="Entry is not in the list – it will be accepted as free text." sqref="B11" xr:uid="{00000000-0002-0000-0000-000000000000}">
      <formula1>"FMECA – new design,FMECA – existing plant,FMECA – modification / MOC,FMECA – RCM input"</formula1>
    </dataValidation>
    <dataValidation type="list" errorStyle="information" allowBlank="1" showErrorMessage="1" errorTitle="Not in list" error="Entry is not in the list – it will be accepted as free text." sqref="B18" xr:uid="{00000000-0002-0000-0000-000001000000}">
      <formula1>"System / functional,Equipment / maintainable item,Component / part"</formula1>
    </dataValidation>
    <dataValidation type="list" errorStyle="information" allowBlank="1" showErrorMessage="1" errorTitle="Not in list" error="Entry is not in the list – it will be accepted as free text." sqref="C28:C39" xr:uid="{00000000-0002-0000-0000-000002000000}">
      <formula1>"Facilitator,Scribe,Reliability engineer,Maintenance engineer / planner,Mechanical technician,Electrical / instrument technician,Operations representative,Process engineer,Inspection / integrity engineer,HSE / process safety,Vendor specialist,Other"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44"/>
  <sheetViews>
    <sheetView zoomScale="179" zoomScaleNormal="179" workbookViewId="0">
      <pane xSplit="2" ySplit="4" topLeftCell="C5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8" customWidth="1"/>
    <col min="2" max="2" width="22" customWidth="1"/>
    <col min="3" max="3" width="20" customWidth="1"/>
    <col min="4" max="4" width="50" customWidth="1"/>
    <col min="5" max="5" width="9" customWidth="1"/>
    <col min="6" max="6" width="12" customWidth="1"/>
    <col min="7" max="7" width="18" customWidth="1"/>
    <col min="8" max="8" width="14" customWidth="1"/>
    <col min="9" max="9" width="18" customWidth="1"/>
    <col min="10" max="10" width="34" customWidth="1"/>
  </cols>
  <sheetData>
    <row r="1" spans="1:10" ht="20" x14ac:dyDescent="0.2">
      <c r="A1" s="1" t="s">
        <v>60</v>
      </c>
    </row>
    <row r="2" spans="1:10" x14ac:dyDescent="0.2">
      <c r="A2" s="2" t="s">
        <v>61</v>
      </c>
    </row>
    <row r="4" spans="1:10" x14ac:dyDescent="0.2">
      <c r="A4" s="8" t="s">
        <v>62</v>
      </c>
      <c r="B4" s="8" t="s">
        <v>63</v>
      </c>
      <c r="C4" s="8" t="s">
        <v>15</v>
      </c>
      <c r="D4" s="8" t="s">
        <v>64</v>
      </c>
      <c r="E4" s="8" t="s">
        <v>16</v>
      </c>
      <c r="F4" s="8" t="s">
        <v>39</v>
      </c>
      <c r="G4" s="8" t="s">
        <v>65</v>
      </c>
      <c r="H4" s="8" t="s">
        <v>66</v>
      </c>
      <c r="I4" s="8" t="s">
        <v>67</v>
      </c>
      <c r="J4" s="8" t="s">
        <v>68</v>
      </c>
    </row>
    <row r="5" spans="1:10" x14ac:dyDescent="0.2">
      <c r="A5" s="11" t="s">
        <v>69</v>
      </c>
      <c r="B5" s="5" t="s">
        <v>70</v>
      </c>
      <c r="C5" s="5"/>
      <c r="D5" s="5" t="s">
        <v>71</v>
      </c>
      <c r="E5" s="5"/>
      <c r="F5" s="12"/>
      <c r="G5" s="5"/>
      <c r="H5" s="5"/>
      <c r="I5" s="5"/>
      <c r="J5" s="5"/>
    </row>
    <row r="6" spans="1:10" x14ac:dyDescent="0.2">
      <c r="A6" s="11" t="s">
        <v>72</v>
      </c>
      <c r="B6" s="5" t="s">
        <v>70</v>
      </c>
      <c r="C6" s="5"/>
      <c r="D6" s="5" t="s">
        <v>73</v>
      </c>
      <c r="E6" s="5"/>
      <c r="F6" s="12"/>
      <c r="G6" s="5"/>
      <c r="H6" s="5"/>
      <c r="I6" s="5"/>
      <c r="J6" s="5"/>
    </row>
    <row r="7" spans="1:10" x14ac:dyDescent="0.2">
      <c r="A7" s="11" t="s">
        <v>74</v>
      </c>
      <c r="B7" s="5" t="s">
        <v>70</v>
      </c>
      <c r="C7" s="5"/>
      <c r="D7" s="5" t="s">
        <v>75</v>
      </c>
      <c r="E7" s="5"/>
      <c r="F7" s="12"/>
      <c r="G7" s="5"/>
      <c r="H7" s="5"/>
      <c r="I7" s="5"/>
      <c r="J7" s="5"/>
    </row>
    <row r="8" spans="1:10" x14ac:dyDescent="0.2">
      <c r="A8" s="11" t="s">
        <v>76</v>
      </c>
      <c r="B8" s="5" t="s">
        <v>70</v>
      </c>
      <c r="C8" s="5"/>
      <c r="D8" s="5" t="s">
        <v>77</v>
      </c>
      <c r="E8" s="5"/>
      <c r="F8" s="12"/>
      <c r="G8" s="5"/>
      <c r="H8" s="5"/>
      <c r="I8" s="5"/>
      <c r="J8" s="5"/>
    </row>
    <row r="9" spans="1:10" x14ac:dyDescent="0.2">
      <c r="A9" s="11" t="s">
        <v>78</v>
      </c>
      <c r="B9" s="5" t="s">
        <v>79</v>
      </c>
      <c r="C9" s="5"/>
      <c r="D9" s="5" t="s">
        <v>80</v>
      </c>
      <c r="E9" s="5"/>
      <c r="F9" s="12"/>
      <c r="G9" s="5"/>
      <c r="H9" s="5"/>
      <c r="I9" s="5"/>
      <c r="J9" s="5"/>
    </row>
    <row r="10" spans="1:10" x14ac:dyDescent="0.2">
      <c r="A10" s="11" t="s">
        <v>81</v>
      </c>
      <c r="B10" s="5" t="s">
        <v>79</v>
      </c>
      <c r="C10" s="5"/>
      <c r="D10" s="5" t="s">
        <v>82</v>
      </c>
      <c r="E10" s="5"/>
      <c r="F10" s="12"/>
      <c r="G10" s="5"/>
      <c r="H10" s="5"/>
      <c r="I10" s="5"/>
      <c r="J10" s="5"/>
    </row>
    <row r="11" spans="1:10" x14ac:dyDescent="0.2">
      <c r="A11" s="11" t="s">
        <v>83</v>
      </c>
      <c r="B11" s="5" t="s">
        <v>79</v>
      </c>
      <c r="C11" s="5"/>
      <c r="D11" s="5" t="s">
        <v>84</v>
      </c>
      <c r="E11" s="5"/>
      <c r="F11" s="12"/>
      <c r="G11" s="5"/>
      <c r="H11" s="5"/>
      <c r="I11" s="5"/>
      <c r="J11" s="5"/>
    </row>
    <row r="12" spans="1:10" x14ac:dyDescent="0.2">
      <c r="A12" s="11" t="s">
        <v>85</v>
      </c>
      <c r="B12" s="5" t="s">
        <v>79</v>
      </c>
      <c r="C12" s="5"/>
      <c r="D12" s="5" t="s">
        <v>86</v>
      </c>
      <c r="E12" s="5"/>
      <c r="F12" s="12"/>
      <c r="G12" s="5"/>
      <c r="H12" s="5"/>
      <c r="I12" s="5"/>
      <c r="J12" s="5"/>
    </row>
    <row r="13" spans="1:10" x14ac:dyDescent="0.2">
      <c r="A13" s="11" t="s">
        <v>87</v>
      </c>
      <c r="B13" s="5" t="s">
        <v>79</v>
      </c>
      <c r="C13" s="5"/>
      <c r="D13" s="5" t="s">
        <v>88</v>
      </c>
      <c r="E13" s="5"/>
      <c r="F13" s="12"/>
      <c r="G13" s="5"/>
      <c r="H13" s="5"/>
      <c r="I13" s="5"/>
      <c r="J13" s="5"/>
    </row>
    <row r="14" spans="1:10" x14ac:dyDescent="0.2">
      <c r="A14" s="11" t="s">
        <v>89</v>
      </c>
      <c r="B14" s="5" t="s">
        <v>79</v>
      </c>
      <c r="C14" s="5"/>
      <c r="D14" s="5" t="s">
        <v>90</v>
      </c>
      <c r="E14" s="5"/>
      <c r="F14" s="12"/>
      <c r="G14" s="5"/>
      <c r="H14" s="5"/>
      <c r="I14" s="5"/>
      <c r="J14" s="5"/>
    </row>
    <row r="15" spans="1:10" x14ac:dyDescent="0.2">
      <c r="A15" s="11" t="s">
        <v>91</v>
      </c>
      <c r="B15" s="5" t="s">
        <v>92</v>
      </c>
      <c r="C15" s="5"/>
      <c r="D15" s="5" t="s">
        <v>93</v>
      </c>
      <c r="E15" s="5"/>
      <c r="F15" s="12"/>
      <c r="G15" s="5"/>
      <c r="H15" s="5"/>
      <c r="I15" s="5"/>
      <c r="J15" s="5"/>
    </row>
    <row r="16" spans="1:10" x14ac:dyDescent="0.2">
      <c r="A16" s="11" t="s">
        <v>94</v>
      </c>
      <c r="B16" s="5" t="s">
        <v>92</v>
      </c>
      <c r="C16" s="5"/>
      <c r="D16" s="5" t="s">
        <v>95</v>
      </c>
      <c r="E16" s="5"/>
      <c r="F16" s="12"/>
      <c r="G16" s="5"/>
      <c r="H16" s="5"/>
      <c r="I16" s="5"/>
      <c r="J16" s="5"/>
    </row>
    <row r="17" spans="1:10" ht="28" x14ac:dyDescent="0.2">
      <c r="A17" s="11" t="s">
        <v>96</v>
      </c>
      <c r="B17" s="5" t="s">
        <v>92</v>
      </c>
      <c r="C17" s="5"/>
      <c r="D17" s="5" t="s">
        <v>97</v>
      </c>
      <c r="E17" s="5"/>
      <c r="F17" s="12"/>
      <c r="G17" s="5"/>
      <c r="H17" s="5"/>
      <c r="I17" s="5"/>
      <c r="J17" s="5"/>
    </row>
    <row r="18" spans="1:10" ht="28" x14ac:dyDescent="0.2">
      <c r="A18" s="11" t="s">
        <v>98</v>
      </c>
      <c r="B18" s="5" t="s">
        <v>99</v>
      </c>
      <c r="C18" s="5"/>
      <c r="D18" s="5" t="s">
        <v>100</v>
      </c>
      <c r="E18" s="5"/>
      <c r="F18" s="12"/>
      <c r="G18" s="5"/>
      <c r="H18" s="5"/>
      <c r="I18" s="5"/>
      <c r="J18" s="5"/>
    </row>
    <row r="19" spans="1:10" x14ac:dyDescent="0.2">
      <c r="A19" s="11" t="s">
        <v>101</v>
      </c>
      <c r="B19" s="5" t="s">
        <v>99</v>
      </c>
      <c r="C19" s="5"/>
      <c r="D19" s="5" t="s">
        <v>102</v>
      </c>
      <c r="E19" s="5"/>
      <c r="F19" s="12"/>
      <c r="G19" s="5"/>
      <c r="H19" s="5"/>
      <c r="I19" s="5"/>
      <c r="J19" s="5"/>
    </row>
    <row r="20" spans="1:10" x14ac:dyDescent="0.2">
      <c r="A20" s="11" t="s">
        <v>103</v>
      </c>
      <c r="B20" s="5" t="s">
        <v>104</v>
      </c>
      <c r="C20" s="5"/>
      <c r="D20" s="5" t="s">
        <v>105</v>
      </c>
      <c r="E20" s="5"/>
      <c r="F20" s="12"/>
      <c r="G20" s="5"/>
      <c r="H20" s="5"/>
      <c r="I20" s="5"/>
      <c r="J20" s="5"/>
    </row>
    <row r="21" spans="1:10" x14ac:dyDescent="0.2">
      <c r="A21" s="11" t="s">
        <v>106</v>
      </c>
      <c r="B21" s="5" t="s">
        <v>104</v>
      </c>
      <c r="C21" s="5"/>
      <c r="D21" s="5" t="s">
        <v>107</v>
      </c>
      <c r="E21" s="5"/>
      <c r="F21" s="12"/>
      <c r="G21" s="5"/>
      <c r="H21" s="5"/>
      <c r="I21" s="5"/>
      <c r="J21" s="5"/>
    </row>
    <row r="22" spans="1:10" ht="28" x14ac:dyDescent="0.2">
      <c r="A22" s="11" t="s">
        <v>108</v>
      </c>
      <c r="B22" s="5" t="s">
        <v>109</v>
      </c>
      <c r="C22" s="5"/>
      <c r="D22" s="5" t="s">
        <v>110</v>
      </c>
      <c r="E22" s="5"/>
      <c r="F22" s="12"/>
      <c r="G22" s="5"/>
      <c r="H22" s="5"/>
      <c r="I22" s="5"/>
      <c r="J22" s="5"/>
    </row>
    <row r="23" spans="1:10" x14ac:dyDescent="0.2">
      <c r="A23" s="11" t="s">
        <v>111</v>
      </c>
      <c r="B23" s="5" t="s">
        <v>109</v>
      </c>
      <c r="C23" s="5"/>
      <c r="D23" s="5" t="s">
        <v>112</v>
      </c>
      <c r="E23" s="5"/>
      <c r="F23" s="12"/>
      <c r="G23" s="5"/>
      <c r="H23" s="5"/>
      <c r="I23" s="5"/>
      <c r="J23" s="5"/>
    </row>
    <row r="24" spans="1:10" x14ac:dyDescent="0.2">
      <c r="A24" s="11" t="s">
        <v>113</v>
      </c>
      <c r="B24" s="5" t="s">
        <v>109</v>
      </c>
      <c r="C24" s="5"/>
      <c r="D24" s="5" t="s">
        <v>114</v>
      </c>
      <c r="E24" s="5"/>
      <c r="F24" s="12"/>
      <c r="G24" s="5"/>
      <c r="H24" s="5"/>
      <c r="I24" s="5"/>
      <c r="J24" s="5"/>
    </row>
    <row r="25" spans="1:10" x14ac:dyDescent="0.2">
      <c r="A25" s="11" t="s">
        <v>115</v>
      </c>
      <c r="B25" s="5"/>
      <c r="C25" s="5"/>
      <c r="D25" s="5"/>
      <c r="E25" s="5"/>
      <c r="F25" s="12"/>
      <c r="G25" s="5"/>
      <c r="H25" s="5"/>
      <c r="I25" s="5"/>
      <c r="J25" s="5"/>
    </row>
    <row r="26" spans="1:10" x14ac:dyDescent="0.2">
      <c r="A26" s="11" t="s">
        <v>116</v>
      </c>
      <c r="B26" s="5"/>
      <c r="C26" s="5"/>
      <c r="D26" s="5"/>
      <c r="E26" s="5"/>
      <c r="F26" s="12"/>
      <c r="G26" s="5"/>
      <c r="H26" s="5"/>
      <c r="I26" s="5"/>
      <c r="J26" s="5"/>
    </row>
    <row r="27" spans="1:10" x14ac:dyDescent="0.2">
      <c r="A27" s="11" t="s">
        <v>117</v>
      </c>
      <c r="B27" s="5"/>
      <c r="C27" s="5"/>
      <c r="D27" s="5"/>
      <c r="E27" s="5"/>
      <c r="F27" s="12"/>
      <c r="G27" s="5"/>
      <c r="H27" s="5"/>
      <c r="I27" s="5"/>
      <c r="J27" s="5"/>
    </row>
    <row r="28" spans="1:10" x14ac:dyDescent="0.2">
      <c r="A28" s="11" t="s">
        <v>118</v>
      </c>
      <c r="B28" s="5"/>
      <c r="C28" s="5"/>
      <c r="D28" s="5"/>
      <c r="E28" s="5"/>
      <c r="F28" s="12"/>
      <c r="G28" s="5"/>
      <c r="H28" s="5"/>
      <c r="I28" s="5"/>
      <c r="J28" s="5"/>
    </row>
    <row r="29" spans="1:10" x14ac:dyDescent="0.2">
      <c r="A29" s="11" t="s">
        <v>119</v>
      </c>
      <c r="B29" s="5"/>
      <c r="C29" s="5"/>
      <c r="D29" s="5"/>
      <c r="E29" s="5"/>
      <c r="F29" s="12"/>
      <c r="G29" s="5"/>
      <c r="H29" s="5"/>
      <c r="I29" s="5"/>
      <c r="J29" s="5"/>
    </row>
    <row r="30" spans="1:10" x14ac:dyDescent="0.2">
      <c r="A30" s="11" t="s">
        <v>120</v>
      </c>
      <c r="B30" s="5"/>
      <c r="C30" s="5"/>
      <c r="D30" s="5"/>
      <c r="E30" s="5"/>
      <c r="F30" s="12"/>
      <c r="G30" s="5"/>
      <c r="H30" s="5"/>
      <c r="I30" s="5"/>
      <c r="J30" s="5"/>
    </row>
    <row r="31" spans="1:10" x14ac:dyDescent="0.2">
      <c r="A31" s="11" t="s">
        <v>121</v>
      </c>
      <c r="B31" s="5"/>
      <c r="C31" s="5"/>
      <c r="D31" s="5"/>
      <c r="E31" s="5"/>
      <c r="F31" s="12"/>
      <c r="G31" s="5"/>
      <c r="H31" s="5"/>
      <c r="I31" s="5"/>
      <c r="J31" s="5"/>
    </row>
    <row r="32" spans="1:10" x14ac:dyDescent="0.2">
      <c r="A32" s="11" t="s">
        <v>122</v>
      </c>
      <c r="B32" s="5"/>
      <c r="C32" s="5"/>
      <c r="D32" s="5"/>
      <c r="E32" s="5"/>
      <c r="F32" s="12"/>
      <c r="G32" s="5"/>
      <c r="H32" s="5"/>
      <c r="I32" s="5"/>
      <c r="J32" s="5"/>
    </row>
    <row r="33" spans="1:10" x14ac:dyDescent="0.2">
      <c r="A33" s="11" t="s">
        <v>123</v>
      </c>
      <c r="B33" s="5"/>
      <c r="C33" s="5"/>
      <c r="D33" s="5"/>
      <c r="E33" s="5"/>
      <c r="F33" s="12"/>
      <c r="G33" s="5"/>
      <c r="H33" s="5"/>
      <c r="I33" s="5"/>
      <c r="J33" s="5"/>
    </row>
    <row r="34" spans="1:10" x14ac:dyDescent="0.2">
      <c r="A34" s="11" t="s">
        <v>124</v>
      </c>
      <c r="B34" s="5"/>
      <c r="C34" s="5"/>
      <c r="D34" s="5"/>
      <c r="E34" s="5"/>
      <c r="F34" s="12"/>
      <c r="G34" s="5"/>
      <c r="H34" s="5"/>
      <c r="I34" s="5"/>
      <c r="J34" s="5"/>
    </row>
    <row r="35" spans="1:10" x14ac:dyDescent="0.2">
      <c r="A35" s="11" t="s">
        <v>125</v>
      </c>
      <c r="B35" s="5"/>
      <c r="C35" s="5"/>
      <c r="D35" s="5"/>
      <c r="E35" s="5"/>
      <c r="F35" s="12"/>
      <c r="G35" s="5"/>
      <c r="H35" s="5"/>
      <c r="I35" s="5"/>
      <c r="J35" s="5"/>
    </row>
    <row r="36" spans="1:10" x14ac:dyDescent="0.2">
      <c r="A36" s="11" t="s">
        <v>126</v>
      </c>
      <c r="B36" s="5"/>
      <c r="C36" s="5"/>
      <c r="D36" s="5"/>
      <c r="E36" s="5"/>
      <c r="F36" s="12"/>
      <c r="G36" s="5"/>
      <c r="H36" s="5"/>
      <c r="I36" s="5"/>
      <c r="J36" s="5"/>
    </row>
    <row r="37" spans="1:10" x14ac:dyDescent="0.2">
      <c r="A37" s="11" t="s">
        <v>127</v>
      </c>
      <c r="B37" s="5"/>
      <c r="C37" s="5"/>
      <c r="D37" s="5"/>
      <c r="E37" s="5"/>
      <c r="F37" s="12"/>
      <c r="G37" s="5"/>
      <c r="H37" s="5"/>
      <c r="I37" s="5"/>
      <c r="J37" s="5"/>
    </row>
    <row r="38" spans="1:10" x14ac:dyDescent="0.2">
      <c r="A38" s="11" t="s">
        <v>128</v>
      </c>
      <c r="B38" s="5"/>
      <c r="C38" s="5"/>
      <c r="D38" s="5"/>
      <c r="E38" s="5"/>
      <c r="F38" s="12"/>
      <c r="G38" s="5"/>
      <c r="H38" s="5"/>
      <c r="I38" s="5"/>
      <c r="J38" s="5"/>
    </row>
    <row r="39" spans="1:10" x14ac:dyDescent="0.2">
      <c r="A39" s="11" t="s">
        <v>129</v>
      </c>
      <c r="B39" s="5"/>
      <c r="C39" s="5"/>
      <c r="D39" s="5"/>
      <c r="E39" s="5"/>
      <c r="F39" s="12"/>
      <c r="G39" s="5"/>
      <c r="H39" s="5"/>
      <c r="I39" s="5"/>
      <c r="J39" s="5"/>
    </row>
    <row r="40" spans="1:10" x14ac:dyDescent="0.2">
      <c r="A40" s="11" t="s">
        <v>130</v>
      </c>
      <c r="B40" s="5"/>
      <c r="C40" s="5"/>
      <c r="D40" s="5"/>
      <c r="E40" s="5"/>
      <c r="F40" s="12"/>
      <c r="G40" s="5"/>
      <c r="H40" s="5"/>
      <c r="I40" s="5"/>
      <c r="J40" s="5"/>
    </row>
    <row r="41" spans="1:10" x14ac:dyDescent="0.2">
      <c r="A41" s="11" t="s">
        <v>131</v>
      </c>
      <c r="B41" s="5"/>
      <c r="C41" s="5"/>
      <c r="D41" s="5"/>
      <c r="E41" s="5"/>
      <c r="F41" s="12"/>
      <c r="G41" s="5"/>
      <c r="H41" s="5"/>
      <c r="I41" s="5"/>
      <c r="J41" s="5"/>
    </row>
    <row r="42" spans="1:10" x14ac:dyDescent="0.2">
      <c r="A42" s="11" t="s">
        <v>132</v>
      </c>
      <c r="B42" s="5"/>
      <c r="C42" s="5"/>
      <c r="D42" s="5"/>
      <c r="E42" s="5"/>
      <c r="F42" s="12"/>
      <c r="G42" s="5"/>
      <c r="H42" s="5"/>
      <c r="I42" s="5"/>
      <c r="J42" s="5"/>
    </row>
    <row r="43" spans="1:10" x14ac:dyDescent="0.2">
      <c r="A43" s="11" t="s">
        <v>133</v>
      </c>
      <c r="B43" s="5"/>
      <c r="C43" s="5"/>
      <c r="D43" s="5"/>
      <c r="E43" s="5"/>
      <c r="F43" s="12"/>
      <c r="G43" s="5"/>
      <c r="H43" s="5"/>
      <c r="I43" s="5"/>
      <c r="J43" s="5"/>
    </row>
    <row r="44" spans="1:10" x14ac:dyDescent="0.2">
      <c r="A44" s="11" t="s">
        <v>134</v>
      </c>
      <c r="B44" s="5"/>
      <c r="C44" s="5"/>
      <c r="D44" s="5"/>
      <c r="E44" s="5"/>
      <c r="F44" s="12"/>
      <c r="G44" s="5"/>
      <c r="H44" s="5"/>
      <c r="I44" s="5"/>
      <c r="J44" s="5"/>
    </row>
  </sheetData>
  <autoFilter ref="A4:J44" xr:uid="{00000000-0009-0000-0000-000001000000}"/>
  <dataValidations count="2">
    <dataValidation type="list" errorStyle="information" allowBlank="1" showErrorMessage="1" errorTitle="Not in list" error="Entry is not in the list – it will be accepted as free text." sqref="B5:B44" xr:uid="{00000000-0002-0000-0100-000000000000}">
      <formula1>DocCategories</formula1>
    </dataValidation>
    <dataValidation type="list" allowBlank="1" showErrorMessage="1" sqref="H5:H44" xr:uid="{00000000-0002-0000-0100-000001000000}">
      <formula1>"Available,Outstanding,Superseded,Not applicable"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34"/>
  <sheetViews>
    <sheetView zoomScale="182" zoomScaleNormal="182" workbookViewId="0">
      <pane xSplit="2" ySplit="4" topLeftCell="D5" activePane="bottomRight" state="frozen"/>
      <selection pane="topRight"/>
      <selection pane="bottomLeft"/>
      <selection pane="bottomRight" activeCell="B5" sqref="B5"/>
    </sheetView>
  </sheetViews>
  <sheetFormatPr baseColWidth="10" defaultColWidth="8.83203125" defaultRowHeight="15" x14ac:dyDescent="0.2"/>
  <cols>
    <col min="1" max="1" width="10" customWidth="1"/>
    <col min="2" max="2" width="30" customWidth="1"/>
    <col min="3" max="3" width="36" customWidth="1"/>
    <col min="4" max="4" width="44" customWidth="1"/>
    <col min="5" max="5" width="40" customWidth="1"/>
    <col min="6" max="6" width="36" customWidth="1"/>
    <col min="7" max="7" width="20" customWidth="1"/>
    <col min="8" max="8" width="18" customWidth="1"/>
    <col min="9" max="9" width="24" customWidth="1"/>
  </cols>
  <sheetData>
    <row r="1" spans="1:9" ht="20" x14ac:dyDescent="0.2">
      <c r="A1" s="1" t="s">
        <v>135</v>
      </c>
    </row>
    <row r="2" spans="1:9" x14ac:dyDescent="0.2">
      <c r="A2" s="2" t="s">
        <v>136</v>
      </c>
    </row>
    <row r="4" spans="1:9" ht="28" x14ac:dyDescent="0.2">
      <c r="A4" s="8" t="s">
        <v>137</v>
      </c>
      <c r="B4" s="8" t="s">
        <v>138</v>
      </c>
      <c r="C4" s="8" t="s">
        <v>139</v>
      </c>
      <c r="D4" s="8" t="s">
        <v>140</v>
      </c>
      <c r="E4" s="8" t="s">
        <v>141</v>
      </c>
      <c r="F4" s="8" t="s">
        <v>142</v>
      </c>
      <c r="G4" s="8" t="s">
        <v>143</v>
      </c>
      <c r="H4" s="8" t="s">
        <v>144</v>
      </c>
      <c r="I4" s="8" t="s">
        <v>68</v>
      </c>
    </row>
    <row r="5" spans="1:9" ht="45" customHeight="1" x14ac:dyDescent="0.2">
      <c r="A5" s="10" t="s">
        <v>145</v>
      </c>
      <c r="B5" s="5" t="s">
        <v>146</v>
      </c>
      <c r="C5" s="6" t="str">
        <f t="shared" ref="C5:C34" si="0">IF(B5="","",A5&amp;" – "&amp;B5)</f>
        <v>S01 – Hot DRI transfer conveyor</v>
      </c>
      <c r="D5" s="5" t="s">
        <v>147</v>
      </c>
      <c r="E5" s="5" t="s">
        <v>148</v>
      </c>
      <c r="F5" s="5" t="s">
        <v>149</v>
      </c>
      <c r="G5" s="5" t="s">
        <v>150</v>
      </c>
      <c r="H5" s="5" t="s">
        <v>151</v>
      </c>
      <c r="I5" s="13" t="s">
        <v>152</v>
      </c>
    </row>
    <row r="6" spans="1:9" ht="45" customHeight="1" x14ac:dyDescent="0.2">
      <c r="A6" s="10" t="s">
        <v>153</v>
      </c>
      <c r="B6" s="5" t="s">
        <v>154</v>
      </c>
      <c r="C6" s="6" t="str">
        <f t="shared" si="0"/>
        <v>S02 – N2 fire detection, inerting &amp; extinguishing system</v>
      </c>
      <c r="D6" s="5" t="s">
        <v>155</v>
      </c>
      <c r="E6" s="5" t="s">
        <v>156</v>
      </c>
      <c r="F6" s="5" t="s">
        <v>157</v>
      </c>
      <c r="G6" s="5" t="s">
        <v>158</v>
      </c>
      <c r="H6" s="5" t="s">
        <v>159</v>
      </c>
      <c r="I6" s="5"/>
    </row>
    <row r="7" spans="1:9" ht="45" customHeight="1" x14ac:dyDescent="0.2">
      <c r="A7" s="10" t="s">
        <v>160</v>
      </c>
      <c r="B7" s="5"/>
      <c r="C7" s="6" t="str">
        <f t="shared" si="0"/>
        <v/>
      </c>
      <c r="D7" s="5"/>
      <c r="E7" s="5"/>
      <c r="F7" s="5"/>
      <c r="G7" s="5"/>
      <c r="H7" s="5"/>
      <c r="I7" s="5"/>
    </row>
    <row r="8" spans="1:9" ht="45" customHeight="1" x14ac:dyDescent="0.2">
      <c r="A8" s="10" t="s">
        <v>161</v>
      </c>
      <c r="B8" s="5"/>
      <c r="C8" s="6" t="str">
        <f t="shared" si="0"/>
        <v/>
      </c>
      <c r="D8" s="5"/>
      <c r="E8" s="5"/>
      <c r="F8" s="5"/>
      <c r="G8" s="5"/>
      <c r="H8" s="5"/>
      <c r="I8" s="5"/>
    </row>
    <row r="9" spans="1:9" ht="45" customHeight="1" x14ac:dyDescent="0.2">
      <c r="A9" s="10" t="s">
        <v>162</v>
      </c>
      <c r="B9" s="5"/>
      <c r="C9" s="6" t="str">
        <f t="shared" si="0"/>
        <v/>
      </c>
      <c r="D9" s="5"/>
      <c r="E9" s="5"/>
      <c r="F9" s="5"/>
      <c r="G9" s="5"/>
      <c r="H9" s="5"/>
      <c r="I9" s="5"/>
    </row>
    <row r="10" spans="1:9" ht="45" customHeight="1" x14ac:dyDescent="0.2">
      <c r="A10" s="10" t="s">
        <v>163</v>
      </c>
      <c r="B10" s="5"/>
      <c r="C10" s="6" t="str">
        <f t="shared" si="0"/>
        <v/>
      </c>
      <c r="D10" s="5"/>
      <c r="E10" s="5"/>
      <c r="F10" s="5"/>
      <c r="G10" s="5"/>
      <c r="H10" s="5"/>
      <c r="I10" s="5"/>
    </row>
    <row r="11" spans="1:9" ht="45" customHeight="1" x14ac:dyDescent="0.2">
      <c r="A11" s="10" t="s">
        <v>164</v>
      </c>
      <c r="B11" s="5"/>
      <c r="C11" s="6" t="str">
        <f t="shared" si="0"/>
        <v/>
      </c>
      <c r="D11" s="5"/>
      <c r="E11" s="5"/>
      <c r="F11" s="5"/>
      <c r="G11" s="5"/>
      <c r="H11" s="5"/>
      <c r="I11" s="5"/>
    </row>
    <row r="12" spans="1:9" ht="45" customHeight="1" x14ac:dyDescent="0.2">
      <c r="A12" s="10" t="s">
        <v>165</v>
      </c>
      <c r="B12" s="5"/>
      <c r="C12" s="6" t="str">
        <f t="shared" si="0"/>
        <v/>
      </c>
      <c r="D12" s="5"/>
      <c r="E12" s="5"/>
      <c r="F12" s="5"/>
      <c r="G12" s="5"/>
      <c r="H12" s="5"/>
      <c r="I12" s="5"/>
    </row>
    <row r="13" spans="1:9" ht="45" customHeight="1" x14ac:dyDescent="0.2">
      <c r="A13" s="10" t="s">
        <v>166</v>
      </c>
      <c r="B13" s="5"/>
      <c r="C13" s="6" t="str">
        <f t="shared" si="0"/>
        <v/>
      </c>
      <c r="D13" s="5"/>
      <c r="E13" s="5"/>
      <c r="F13" s="5"/>
      <c r="G13" s="5"/>
      <c r="H13" s="5"/>
      <c r="I13" s="5"/>
    </row>
    <row r="14" spans="1:9" ht="45" customHeight="1" x14ac:dyDescent="0.2">
      <c r="A14" s="10" t="s">
        <v>167</v>
      </c>
      <c r="B14" s="5"/>
      <c r="C14" s="6" t="str">
        <f t="shared" si="0"/>
        <v/>
      </c>
      <c r="D14" s="5"/>
      <c r="E14" s="5"/>
      <c r="F14" s="5"/>
      <c r="G14" s="5"/>
      <c r="H14" s="5"/>
      <c r="I14" s="5"/>
    </row>
    <row r="15" spans="1:9" ht="45" customHeight="1" x14ac:dyDescent="0.2">
      <c r="A15" s="10" t="s">
        <v>168</v>
      </c>
      <c r="B15" s="5"/>
      <c r="C15" s="6" t="str">
        <f t="shared" si="0"/>
        <v/>
      </c>
      <c r="D15" s="5"/>
      <c r="E15" s="5"/>
      <c r="F15" s="5"/>
      <c r="G15" s="5"/>
      <c r="H15" s="5"/>
      <c r="I15" s="5"/>
    </row>
    <row r="16" spans="1:9" ht="45" customHeight="1" x14ac:dyDescent="0.2">
      <c r="A16" s="10" t="s">
        <v>169</v>
      </c>
      <c r="B16" s="5"/>
      <c r="C16" s="6" t="str">
        <f t="shared" si="0"/>
        <v/>
      </c>
      <c r="D16" s="5"/>
      <c r="E16" s="5"/>
      <c r="F16" s="5"/>
      <c r="G16" s="5"/>
      <c r="H16" s="5"/>
      <c r="I16" s="5"/>
    </row>
    <row r="17" spans="1:9" ht="45" customHeight="1" x14ac:dyDescent="0.2">
      <c r="A17" s="10" t="s">
        <v>170</v>
      </c>
      <c r="B17" s="5"/>
      <c r="C17" s="6" t="str">
        <f t="shared" si="0"/>
        <v/>
      </c>
      <c r="D17" s="5"/>
      <c r="E17" s="5"/>
      <c r="F17" s="5"/>
      <c r="G17" s="5"/>
      <c r="H17" s="5"/>
      <c r="I17" s="5"/>
    </row>
    <row r="18" spans="1:9" ht="45" customHeight="1" x14ac:dyDescent="0.2">
      <c r="A18" s="10" t="s">
        <v>171</v>
      </c>
      <c r="B18" s="5"/>
      <c r="C18" s="6" t="str">
        <f t="shared" si="0"/>
        <v/>
      </c>
      <c r="D18" s="5"/>
      <c r="E18" s="5"/>
      <c r="F18" s="5"/>
      <c r="G18" s="5"/>
      <c r="H18" s="5"/>
      <c r="I18" s="5"/>
    </row>
    <row r="19" spans="1:9" ht="45" customHeight="1" x14ac:dyDescent="0.2">
      <c r="A19" s="10" t="s">
        <v>172</v>
      </c>
      <c r="B19" s="5"/>
      <c r="C19" s="6" t="str">
        <f t="shared" si="0"/>
        <v/>
      </c>
      <c r="D19" s="5"/>
      <c r="E19" s="5"/>
      <c r="F19" s="5"/>
      <c r="G19" s="5"/>
      <c r="H19" s="5"/>
      <c r="I19" s="5"/>
    </row>
    <row r="20" spans="1:9" ht="45" customHeight="1" x14ac:dyDescent="0.2">
      <c r="A20" s="10" t="s">
        <v>173</v>
      </c>
      <c r="B20" s="5"/>
      <c r="C20" s="6" t="str">
        <f t="shared" si="0"/>
        <v/>
      </c>
      <c r="D20" s="5"/>
      <c r="E20" s="5"/>
      <c r="F20" s="5"/>
      <c r="G20" s="5"/>
      <c r="H20" s="5"/>
      <c r="I20" s="5"/>
    </row>
    <row r="21" spans="1:9" ht="45" customHeight="1" x14ac:dyDescent="0.2">
      <c r="A21" s="10" t="s">
        <v>174</v>
      </c>
      <c r="B21" s="5"/>
      <c r="C21" s="6" t="str">
        <f t="shared" si="0"/>
        <v/>
      </c>
      <c r="D21" s="5"/>
      <c r="E21" s="5"/>
      <c r="F21" s="5"/>
      <c r="G21" s="5"/>
      <c r="H21" s="5"/>
      <c r="I21" s="5"/>
    </row>
    <row r="22" spans="1:9" ht="45" customHeight="1" x14ac:dyDescent="0.2">
      <c r="A22" s="10" t="s">
        <v>175</v>
      </c>
      <c r="B22" s="5"/>
      <c r="C22" s="6" t="str">
        <f t="shared" si="0"/>
        <v/>
      </c>
      <c r="D22" s="5"/>
      <c r="E22" s="5"/>
      <c r="F22" s="5"/>
      <c r="G22" s="5"/>
      <c r="H22" s="5"/>
      <c r="I22" s="5"/>
    </row>
    <row r="23" spans="1:9" ht="45" customHeight="1" x14ac:dyDescent="0.2">
      <c r="A23" s="10" t="s">
        <v>176</v>
      </c>
      <c r="B23" s="5"/>
      <c r="C23" s="6" t="str">
        <f t="shared" si="0"/>
        <v/>
      </c>
      <c r="D23" s="5"/>
      <c r="E23" s="5"/>
      <c r="F23" s="5"/>
      <c r="G23" s="5"/>
      <c r="H23" s="5"/>
      <c r="I23" s="5"/>
    </row>
    <row r="24" spans="1:9" ht="45" customHeight="1" x14ac:dyDescent="0.2">
      <c r="A24" s="10" t="s">
        <v>177</v>
      </c>
      <c r="B24" s="5"/>
      <c r="C24" s="6" t="str">
        <f t="shared" si="0"/>
        <v/>
      </c>
      <c r="D24" s="5"/>
      <c r="E24" s="5"/>
      <c r="F24" s="5"/>
      <c r="G24" s="5"/>
      <c r="H24" s="5"/>
      <c r="I24" s="5"/>
    </row>
    <row r="25" spans="1:9" ht="45" customHeight="1" x14ac:dyDescent="0.2">
      <c r="A25" s="10" t="s">
        <v>178</v>
      </c>
      <c r="B25" s="5"/>
      <c r="C25" s="6" t="str">
        <f t="shared" si="0"/>
        <v/>
      </c>
      <c r="D25" s="5"/>
      <c r="E25" s="5"/>
      <c r="F25" s="5"/>
      <c r="G25" s="5"/>
      <c r="H25" s="5"/>
      <c r="I25" s="5"/>
    </row>
    <row r="26" spans="1:9" ht="45" customHeight="1" x14ac:dyDescent="0.2">
      <c r="A26" s="10" t="s">
        <v>179</v>
      </c>
      <c r="B26" s="5"/>
      <c r="C26" s="6" t="str">
        <f t="shared" si="0"/>
        <v/>
      </c>
      <c r="D26" s="5"/>
      <c r="E26" s="5"/>
      <c r="F26" s="5"/>
      <c r="G26" s="5"/>
      <c r="H26" s="5"/>
      <c r="I26" s="5"/>
    </row>
    <row r="27" spans="1:9" ht="45" customHeight="1" x14ac:dyDescent="0.2">
      <c r="A27" s="10" t="s">
        <v>180</v>
      </c>
      <c r="B27" s="5"/>
      <c r="C27" s="6" t="str">
        <f t="shared" si="0"/>
        <v/>
      </c>
      <c r="D27" s="5"/>
      <c r="E27" s="5"/>
      <c r="F27" s="5"/>
      <c r="G27" s="5"/>
      <c r="H27" s="5"/>
      <c r="I27" s="5"/>
    </row>
    <row r="28" spans="1:9" ht="45" customHeight="1" x14ac:dyDescent="0.2">
      <c r="A28" s="10" t="s">
        <v>181</v>
      </c>
      <c r="B28" s="5"/>
      <c r="C28" s="6" t="str">
        <f t="shared" si="0"/>
        <v/>
      </c>
      <c r="D28" s="5"/>
      <c r="E28" s="5"/>
      <c r="F28" s="5"/>
      <c r="G28" s="5"/>
      <c r="H28" s="5"/>
      <c r="I28" s="5"/>
    </row>
    <row r="29" spans="1:9" ht="45" customHeight="1" x14ac:dyDescent="0.2">
      <c r="A29" s="10" t="s">
        <v>182</v>
      </c>
      <c r="B29" s="5"/>
      <c r="C29" s="6" t="str">
        <f t="shared" si="0"/>
        <v/>
      </c>
      <c r="D29" s="5"/>
      <c r="E29" s="5"/>
      <c r="F29" s="5"/>
      <c r="G29" s="5"/>
      <c r="H29" s="5"/>
      <c r="I29" s="5"/>
    </row>
    <row r="30" spans="1:9" ht="45" customHeight="1" x14ac:dyDescent="0.2">
      <c r="A30" s="10" t="s">
        <v>183</v>
      </c>
      <c r="B30" s="5"/>
      <c r="C30" s="6" t="str">
        <f t="shared" si="0"/>
        <v/>
      </c>
      <c r="D30" s="5"/>
      <c r="E30" s="5"/>
      <c r="F30" s="5"/>
      <c r="G30" s="5"/>
      <c r="H30" s="5"/>
      <c r="I30" s="5"/>
    </row>
    <row r="31" spans="1:9" ht="45" customHeight="1" x14ac:dyDescent="0.2">
      <c r="A31" s="10" t="s">
        <v>184</v>
      </c>
      <c r="B31" s="5"/>
      <c r="C31" s="6" t="str">
        <f t="shared" si="0"/>
        <v/>
      </c>
      <c r="D31" s="5"/>
      <c r="E31" s="5"/>
      <c r="F31" s="5"/>
      <c r="G31" s="5"/>
      <c r="H31" s="5"/>
      <c r="I31" s="5"/>
    </row>
    <row r="32" spans="1:9" ht="45" customHeight="1" x14ac:dyDescent="0.2">
      <c r="A32" s="10" t="s">
        <v>185</v>
      </c>
      <c r="B32" s="5"/>
      <c r="C32" s="6" t="str">
        <f t="shared" si="0"/>
        <v/>
      </c>
      <c r="D32" s="5"/>
      <c r="E32" s="5"/>
      <c r="F32" s="5"/>
      <c r="G32" s="5"/>
      <c r="H32" s="5"/>
      <c r="I32" s="5"/>
    </row>
    <row r="33" spans="1:9" ht="45" customHeight="1" x14ac:dyDescent="0.2">
      <c r="A33" s="10" t="s">
        <v>186</v>
      </c>
      <c r="B33" s="5"/>
      <c r="C33" s="6" t="str">
        <f t="shared" si="0"/>
        <v/>
      </c>
      <c r="D33" s="5"/>
      <c r="E33" s="5"/>
      <c r="F33" s="5"/>
      <c r="G33" s="5"/>
      <c r="H33" s="5"/>
      <c r="I33" s="5"/>
    </row>
    <row r="34" spans="1:9" ht="45" customHeight="1" x14ac:dyDescent="0.2">
      <c r="A34" s="10" t="s">
        <v>187</v>
      </c>
      <c r="B34" s="5"/>
      <c r="C34" s="6" t="str">
        <f t="shared" si="0"/>
        <v/>
      </c>
      <c r="D34" s="5"/>
      <c r="E34" s="5"/>
      <c r="F34" s="5"/>
      <c r="G34" s="5"/>
      <c r="H34" s="5"/>
      <c r="I34" s="5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204"/>
  <sheetViews>
    <sheetView zoomScale="135" zoomScaleNormal="135" workbookViewId="0">
      <pane xSplit="3" ySplit="4" topLeftCell="D6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7" customWidth="1"/>
    <col min="2" max="2" width="36" customWidth="1"/>
    <col min="3" max="3" width="16" customWidth="1"/>
    <col min="4" max="4" width="36" customWidth="1"/>
    <col min="5" max="5" width="38" customWidth="1"/>
    <col min="6" max="6" width="22" customWidth="1"/>
    <col min="7" max="7" width="14" customWidth="1"/>
    <col min="8" max="8" width="40" customWidth="1"/>
    <col min="9" max="9" width="24" customWidth="1"/>
  </cols>
  <sheetData>
    <row r="1" spans="1:9" ht="20" x14ac:dyDescent="0.2">
      <c r="A1" s="1" t="s">
        <v>188</v>
      </c>
    </row>
    <row r="2" spans="1:9" x14ac:dyDescent="0.2">
      <c r="A2" s="2" t="s">
        <v>189</v>
      </c>
    </row>
    <row r="4" spans="1:9" x14ac:dyDescent="0.2">
      <c r="A4" s="8" t="s">
        <v>190</v>
      </c>
      <c r="B4" s="8" t="s">
        <v>191</v>
      </c>
      <c r="C4" s="8" t="s">
        <v>192</v>
      </c>
      <c r="D4" s="8" t="s">
        <v>193</v>
      </c>
      <c r="E4" s="8" t="s">
        <v>194</v>
      </c>
      <c r="F4" s="8" t="s">
        <v>195</v>
      </c>
      <c r="G4" s="8" t="s">
        <v>196</v>
      </c>
      <c r="H4" s="8" t="s">
        <v>197</v>
      </c>
      <c r="I4" s="8" t="s">
        <v>68</v>
      </c>
    </row>
    <row r="5" spans="1:9" ht="28" x14ac:dyDescent="0.2">
      <c r="A5" s="11">
        <v>1</v>
      </c>
      <c r="B5" s="5" t="s">
        <v>198</v>
      </c>
      <c r="C5" s="5" t="s">
        <v>199</v>
      </c>
      <c r="D5" s="5" t="s">
        <v>200</v>
      </c>
      <c r="E5" s="5" t="s">
        <v>201</v>
      </c>
      <c r="F5" s="5"/>
      <c r="G5" s="5" t="s">
        <v>202</v>
      </c>
      <c r="H5" s="5" t="s">
        <v>203</v>
      </c>
      <c r="I5" s="13" t="s">
        <v>204</v>
      </c>
    </row>
    <row r="6" spans="1:9" x14ac:dyDescent="0.2">
      <c r="A6" s="11">
        <v>2</v>
      </c>
      <c r="B6" s="5" t="s">
        <v>198</v>
      </c>
      <c r="C6" s="5" t="s">
        <v>205</v>
      </c>
      <c r="D6" s="5" t="s">
        <v>206</v>
      </c>
      <c r="E6" s="5" t="s">
        <v>207</v>
      </c>
      <c r="F6" s="5"/>
      <c r="G6" s="5" t="s">
        <v>202</v>
      </c>
      <c r="H6" s="5" t="s">
        <v>208</v>
      </c>
      <c r="I6" s="5"/>
    </row>
    <row r="7" spans="1:9" x14ac:dyDescent="0.2">
      <c r="A7" s="11">
        <v>3</v>
      </c>
      <c r="B7" s="5" t="s">
        <v>198</v>
      </c>
      <c r="C7" s="5" t="s">
        <v>209</v>
      </c>
      <c r="D7" s="5" t="s">
        <v>210</v>
      </c>
      <c r="E7" s="5" t="s">
        <v>211</v>
      </c>
      <c r="F7" s="5"/>
      <c r="G7" s="5" t="s">
        <v>202</v>
      </c>
      <c r="H7" s="5" t="s">
        <v>212</v>
      </c>
      <c r="I7" s="5"/>
    </row>
    <row r="8" spans="1:9" x14ac:dyDescent="0.2">
      <c r="A8" s="11">
        <v>4</v>
      </c>
      <c r="B8" s="5" t="s">
        <v>198</v>
      </c>
      <c r="C8" s="5" t="s">
        <v>213</v>
      </c>
      <c r="D8" s="5" t="s">
        <v>214</v>
      </c>
      <c r="E8" s="5" t="s">
        <v>215</v>
      </c>
      <c r="F8" s="5"/>
      <c r="G8" s="5" t="s">
        <v>202</v>
      </c>
      <c r="H8" s="5" t="s">
        <v>216</v>
      </c>
      <c r="I8" s="5"/>
    </row>
    <row r="9" spans="1:9" x14ac:dyDescent="0.2">
      <c r="A9" s="11">
        <v>5</v>
      </c>
      <c r="B9" s="5" t="s">
        <v>198</v>
      </c>
      <c r="C9" s="5" t="s">
        <v>217</v>
      </c>
      <c r="D9" s="5" t="s">
        <v>218</v>
      </c>
      <c r="E9" s="5" t="s">
        <v>215</v>
      </c>
      <c r="F9" s="5"/>
      <c r="G9" s="5" t="s">
        <v>202</v>
      </c>
      <c r="H9" s="5" t="s">
        <v>219</v>
      </c>
      <c r="I9" s="5"/>
    </row>
    <row r="10" spans="1:9" x14ac:dyDescent="0.2">
      <c r="A10" s="11">
        <v>6</v>
      </c>
      <c r="B10" s="5" t="s">
        <v>198</v>
      </c>
      <c r="C10" s="5" t="s">
        <v>220</v>
      </c>
      <c r="D10" s="5" t="s">
        <v>221</v>
      </c>
      <c r="E10" s="5" t="s">
        <v>215</v>
      </c>
      <c r="F10" s="5"/>
      <c r="G10" s="5" t="s">
        <v>202</v>
      </c>
      <c r="H10" s="5" t="s">
        <v>222</v>
      </c>
      <c r="I10" s="5"/>
    </row>
    <row r="11" spans="1:9" x14ac:dyDescent="0.2">
      <c r="A11" s="11">
        <v>7</v>
      </c>
      <c r="B11" s="5" t="s">
        <v>198</v>
      </c>
      <c r="C11" s="5" t="s">
        <v>223</v>
      </c>
      <c r="D11" s="5" t="s">
        <v>224</v>
      </c>
      <c r="E11" s="5" t="s">
        <v>225</v>
      </c>
      <c r="F11" s="5"/>
      <c r="G11" s="5" t="s">
        <v>202</v>
      </c>
      <c r="H11" s="5" t="s">
        <v>226</v>
      </c>
      <c r="I11" s="5"/>
    </row>
    <row r="12" spans="1:9" ht="28" x14ac:dyDescent="0.2">
      <c r="A12" s="11">
        <v>8</v>
      </c>
      <c r="B12" s="5" t="s">
        <v>227</v>
      </c>
      <c r="C12" s="5" t="s">
        <v>228</v>
      </c>
      <c r="D12" s="5" t="s">
        <v>229</v>
      </c>
      <c r="E12" s="5" t="s">
        <v>230</v>
      </c>
      <c r="F12" s="5"/>
      <c r="G12" s="5" t="s">
        <v>202</v>
      </c>
      <c r="H12" s="5" t="s">
        <v>231</v>
      </c>
      <c r="I12" s="5"/>
    </row>
    <row r="13" spans="1:9" ht="28" x14ac:dyDescent="0.2">
      <c r="A13" s="11">
        <v>9</v>
      </c>
      <c r="B13" s="5" t="s">
        <v>227</v>
      </c>
      <c r="C13" s="5" t="s">
        <v>232</v>
      </c>
      <c r="D13" s="5" t="s">
        <v>233</v>
      </c>
      <c r="E13" s="5" t="s">
        <v>234</v>
      </c>
      <c r="F13" s="5"/>
      <c r="G13" s="5" t="s">
        <v>202</v>
      </c>
      <c r="H13" s="5" t="s">
        <v>235</v>
      </c>
      <c r="I13" s="5"/>
    </row>
    <row r="14" spans="1:9" ht="28" x14ac:dyDescent="0.2">
      <c r="A14" s="11">
        <v>10</v>
      </c>
      <c r="B14" s="5" t="s">
        <v>227</v>
      </c>
      <c r="C14" s="5" t="s">
        <v>236</v>
      </c>
      <c r="D14" s="5" t="s">
        <v>237</v>
      </c>
      <c r="E14" s="5" t="s">
        <v>238</v>
      </c>
      <c r="F14" s="5"/>
      <c r="G14" s="5" t="s">
        <v>239</v>
      </c>
      <c r="H14" s="5" t="s">
        <v>240</v>
      </c>
      <c r="I14" s="5"/>
    </row>
    <row r="15" spans="1:9" ht="28" x14ac:dyDescent="0.2">
      <c r="A15" s="11">
        <v>11</v>
      </c>
      <c r="B15" s="5" t="s">
        <v>227</v>
      </c>
      <c r="C15" s="5" t="s">
        <v>241</v>
      </c>
      <c r="D15" s="5" t="s">
        <v>242</v>
      </c>
      <c r="E15" s="5" t="s">
        <v>238</v>
      </c>
      <c r="F15" s="5"/>
      <c r="G15" s="5" t="s">
        <v>239</v>
      </c>
      <c r="H15" s="5" t="s">
        <v>243</v>
      </c>
      <c r="I15" s="5"/>
    </row>
    <row r="16" spans="1:9" ht="28" x14ac:dyDescent="0.2">
      <c r="A16" s="11">
        <v>12</v>
      </c>
      <c r="B16" s="5" t="s">
        <v>227</v>
      </c>
      <c r="C16" s="5" t="s">
        <v>244</v>
      </c>
      <c r="D16" s="5" t="s">
        <v>245</v>
      </c>
      <c r="E16" s="5" t="s">
        <v>246</v>
      </c>
      <c r="F16" s="5"/>
      <c r="G16" s="5" t="s">
        <v>239</v>
      </c>
      <c r="H16" s="5" t="s">
        <v>247</v>
      </c>
      <c r="I16" s="5"/>
    </row>
    <row r="17" spans="1:9" ht="28" x14ac:dyDescent="0.2">
      <c r="A17" s="11">
        <v>13</v>
      </c>
      <c r="B17" s="5" t="s">
        <v>227</v>
      </c>
      <c r="C17" s="5" t="s">
        <v>248</v>
      </c>
      <c r="D17" s="5" t="s">
        <v>249</v>
      </c>
      <c r="E17" s="5" t="s">
        <v>246</v>
      </c>
      <c r="F17" s="5"/>
      <c r="G17" s="5" t="s">
        <v>239</v>
      </c>
      <c r="H17" s="5" t="s">
        <v>247</v>
      </c>
      <c r="I17" s="5"/>
    </row>
    <row r="18" spans="1:9" ht="28" x14ac:dyDescent="0.2">
      <c r="A18" s="11">
        <v>14</v>
      </c>
      <c r="B18" s="5" t="s">
        <v>227</v>
      </c>
      <c r="C18" s="5" t="s">
        <v>250</v>
      </c>
      <c r="D18" s="5" t="s">
        <v>251</v>
      </c>
      <c r="E18" s="5" t="s">
        <v>215</v>
      </c>
      <c r="F18" s="5"/>
      <c r="G18" s="5" t="s">
        <v>202</v>
      </c>
      <c r="H18" s="5" t="s">
        <v>252</v>
      </c>
      <c r="I18" s="5"/>
    </row>
    <row r="19" spans="1:9" ht="28" x14ac:dyDescent="0.2">
      <c r="A19" s="11">
        <v>15</v>
      </c>
      <c r="B19" s="5" t="s">
        <v>227</v>
      </c>
      <c r="C19" s="5" t="s">
        <v>253</v>
      </c>
      <c r="D19" s="5" t="s">
        <v>254</v>
      </c>
      <c r="E19" s="5" t="s">
        <v>255</v>
      </c>
      <c r="F19" s="5"/>
      <c r="G19" s="5" t="s">
        <v>202</v>
      </c>
      <c r="H19" s="5" t="s">
        <v>256</v>
      </c>
      <c r="I19" s="5"/>
    </row>
    <row r="20" spans="1:9" x14ac:dyDescent="0.2">
      <c r="A20" s="11">
        <v>16</v>
      </c>
      <c r="B20" s="5"/>
      <c r="C20" s="5"/>
      <c r="D20" s="5"/>
      <c r="E20" s="5"/>
      <c r="F20" s="5"/>
      <c r="G20" s="5"/>
      <c r="H20" s="5"/>
      <c r="I20" s="5"/>
    </row>
    <row r="21" spans="1:9" x14ac:dyDescent="0.2">
      <c r="A21" s="11">
        <v>17</v>
      </c>
      <c r="B21" s="5"/>
      <c r="C21" s="5"/>
      <c r="D21" s="5"/>
      <c r="E21" s="5"/>
      <c r="F21" s="5"/>
      <c r="G21" s="5"/>
      <c r="H21" s="5"/>
      <c r="I21" s="5"/>
    </row>
    <row r="22" spans="1:9" x14ac:dyDescent="0.2">
      <c r="A22" s="11">
        <v>18</v>
      </c>
      <c r="B22" s="5"/>
      <c r="C22" s="5"/>
      <c r="D22" s="5"/>
      <c r="E22" s="5"/>
      <c r="F22" s="5"/>
      <c r="G22" s="5"/>
      <c r="H22" s="5"/>
      <c r="I22" s="5"/>
    </row>
    <row r="23" spans="1:9" x14ac:dyDescent="0.2">
      <c r="A23" s="11">
        <v>19</v>
      </c>
      <c r="B23" s="5"/>
      <c r="C23" s="5"/>
      <c r="D23" s="5"/>
      <c r="E23" s="5"/>
      <c r="F23" s="5"/>
      <c r="G23" s="5"/>
      <c r="H23" s="5"/>
      <c r="I23" s="5"/>
    </row>
    <row r="24" spans="1:9" x14ac:dyDescent="0.2">
      <c r="A24" s="11">
        <v>20</v>
      </c>
      <c r="B24" s="5"/>
      <c r="C24" s="5"/>
      <c r="D24" s="5"/>
      <c r="E24" s="5"/>
      <c r="F24" s="5"/>
      <c r="G24" s="5"/>
      <c r="H24" s="5"/>
      <c r="I24" s="5"/>
    </row>
    <row r="25" spans="1:9" x14ac:dyDescent="0.2">
      <c r="A25" s="11">
        <v>21</v>
      </c>
      <c r="B25" s="5"/>
      <c r="C25" s="5"/>
      <c r="D25" s="5"/>
      <c r="E25" s="5"/>
      <c r="F25" s="5"/>
      <c r="G25" s="5"/>
      <c r="H25" s="5"/>
      <c r="I25" s="5"/>
    </row>
    <row r="26" spans="1:9" x14ac:dyDescent="0.2">
      <c r="A26" s="11">
        <v>22</v>
      </c>
      <c r="B26" s="5"/>
      <c r="C26" s="5"/>
      <c r="D26" s="5"/>
      <c r="E26" s="5"/>
      <c r="F26" s="5"/>
      <c r="G26" s="5"/>
      <c r="H26" s="5"/>
      <c r="I26" s="5"/>
    </row>
    <row r="27" spans="1:9" x14ac:dyDescent="0.2">
      <c r="A27" s="11">
        <v>23</v>
      </c>
      <c r="B27" s="5"/>
      <c r="C27" s="5"/>
      <c r="D27" s="5"/>
      <c r="E27" s="5"/>
      <c r="F27" s="5"/>
      <c r="G27" s="5"/>
      <c r="H27" s="5"/>
      <c r="I27" s="5"/>
    </row>
    <row r="28" spans="1:9" x14ac:dyDescent="0.2">
      <c r="A28" s="11">
        <v>24</v>
      </c>
      <c r="B28" s="5"/>
      <c r="C28" s="5"/>
      <c r="D28" s="5"/>
      <c r="E28" s="5"/>
      <c r="F28" s="5"/>
      <c r="G28" s="5"/>
      <c r="H28" s="5"/>
      <c r="I28" s="5"/>
    </row>
    <row r="29" spans="1:9" x14ac:dyDescent="0.2">
      <c r="A29" s="11">
        <v>25</v>
      </c>
      <c r="B29" s="5"/>
      <c r="C29" s="5"/>
      <c r="D29" s="5"/>
      <c r="E29" s="5"/>
      <c r="F29" s="5"/>
      <c r="G29" s="5"/>
      <c r="H29" s="5"/>
      <c r="I29" s="5"/>
    </row>
    <row r="30" spans="1:9" x14ac:dyDescent="0.2">
      <c r="A30" s="11">
        <v>26</v>
      </c>
      <c r="B30" s="5"/>
      <c r="C30" s="5"/>
      <c r="D30" s="5"/>
      <c r="E30" s="5"/>
      <c r="F30" s="5"/>
      <c r="G30" s="5"/>
      <c r="H30" s="5"/>
      <c r="I30" s="5"/>
    </row>
    <row r="31" spans="1:9" x14ac:dyDescent="0.2">
      <c r="A31" s="11">
        <v>27</v>
      </c>
      <c r="B31" s="5"/>
      <c r="C31" s="5"/>
      <c r="D31" s="5"/>
      <c r="E31" s="5"/>
      <c r="F31" s="5"/>
      <c r="G31" s="5"/>
      <c r="H31" s="5"/>
      <c r="I31" s="5"/>
    </row>
    <row r="32" spans="1:9" x14ac:dyDescent="0.2">
      <c r="A32" s="11">
        <v>28</v>
      </c>
      <c r="B32" s="5"/>
      <c r="C32" s="5"/>
      <c r="D32" s="5"/>
      <c r="E32" s="5"/>
      <c r="F32" s="5"/>
      <c r="G32" s="5"/>
      <c r="H32" s="5"/>
      <c r="I32" s="5"/>
    </row>
    <row r="33" spans="1:9" x14ac:dyDescent="0.2">
      <c r="A33" s="11">
        <v>29</v>
      </c>
      <c r="B33" s="5"/>
      <c r="C33" s="5"/>
      <c r="D33" s="5"/>
      <c r="E33" s="5"/>
      <c r="F33" s="5"/>
      <c r="G33" s="5"/>
      <c r="H33" s="5"/>
      <c r="I33" s="5"/>
    </row>
    <row r="34" spans="1:9" x14ac:dyDescent="0.2">
      <c r="A34" s="11">
        <v>30</v>
      </c>
      <c r="B34" s="5"/>
      <c r="C34" s="5"/>
      <c r="D34" s="5"/>
      <c r="E34" s="5"/>
      <c r="F34" s="5"/>
      <c r="G34" s="5"/>
      <c r="H34" s="5"/>
      <c r="I34" s="5"/>
    </row>
    <row r="35" spans="1:9" x14ac:dyDescent="0.2">
      <c r="A35" s="11">
        <v>31</v>
      </c>
      <c r="B35" s="5"/>
      <c r="C35" s="5"/>
      <c r="D35" s="5"/>
      <c r="E35" s="5"/>
      <c r="F35" s="5"/>
      <c r="G35" s="5"/>
      <c r="H35" s="5"/>
      <c r="I35" s="5"/>
    </row>
    <row r="36" spans="1:9" x14ac:dyDescent="0.2">
      <c r="A36" s="11">
        <v>32</v>
      </c>
      <c r="B36" s="5"/>
      <c r="C36" s="5"/>
      <c r="D36" s="5"/>
      <c r="E36" s="5"/>
      <c r="F36" s="5"/>
      <c r="G36" s="5"/>
      <c r="H36" s="5"/>
      <c r="I36" s="5"/>
    </row>
    <row r="37" spans="1:9" x14ac:dyDescent="0.2">
      <c r="A37" s="11">
        <v>33</v>
      </c>
      <c r="B37" s="5"/>
      <c r="C37" s="5"/>
      <c r="D37" s="5"/>
      <c r="E37" s="5"/>
      <c r="F37" s="5"/>
      <c r="G37" s="5"/>
      <c r="H37" s="5"/>
      <c r="I37" s="5"/>
    </row>
    <row r="38" spans="1:9" x14ac:dyDescent="0.2">
      <c r="A38" s="11">
        <v>34</v>
      </c>
      <c r="B38" s="5"/>
      <c r="C38" s="5"/>
      <c r="D38" s="5"/>
      <c r="E38" s="5"/>
      <c r="F38" s="5"/>
      <c r="G38" s="5"/>
      <c r="H38" s="5"/>
      <c r="I38" s="5"/>
    </row>
    <row r="39" spans="1:9" x14ac:dyDescent="0.2">
      <c r="A39" s="11">
        <v>35</v>
      </c>
      <c r="B39" s="5"/>
      <c r="C39" s="5"/>
      <c r="D39" s="5"/>
      <c r="E39" s="5"/>
      <c r="F39" s="5"/>
      <c r="G39" s="5"/>
      <c r="H39" s="5"/>
      <c r="I39" s="5"/>
    </row>
    <row r="40" spans="1:9" x14ac:dyDescent="0.2">
      <c r="A40" s="11">
        <v>36</v>
      </c>
      <c r="B40" s="5"/>
      <c r="C40" s="5"/>
      <c r="D40" s="5"/>
      <c r="E40" s="5"/>
      <c r="F40" s="5"/>
      <c r="G40" s="5"/>
      <c r="H40" s="5"/>
      <c r="I40" s="5"/>
    </row>
    <row r="41" spans="1:9" x14ac:dyDescent="0.2">
      <c r="A41" s="11">
        <v>37</v>
      </c>
      <c r="B41" s="5"/>
      <c r="C41" s="5"/>
      <c r="D41" s="5"/>
      <c r="E41" s="5"/>
      <c r="F41" s="5"/>
      <c r="G41" s="5"/>
      <c r="H41" s="5"/>
      <c r="I41" s="5"/>
    </row>
    <row r="42" spans="1:9" x14ac:dyDescent="0.2">
      <c r="A42" s="11">
        <v>38</v>
      </c>
      <c r="B42" s="5"/>
      <c r="C42" s="5"/>
      <c r="D42" s="5"/>
      <c r="E42" s="5"/>
      <c r="F42" s="5"/>
      <c r="G42" s="5"/>
      <c r="H42" s="5"/>
      <c r="I42" s="5"/>
    </row>
    <row r="43" spans="1:9" x14ac:dyDescent="0.2">
      <c r="A43" s="11">
        <v>39</v>
      </c>
      <c r="B43" s="5"/>
      <c r="C43" s="5"/>
      <c r="D43" s="5"/>
      <c r="E43" s="5"/>
      <c r="F43" s="5"/>
      <c r="G43" s="5"/>
      <c r="H43" s="5"/>
      <c r="I43" s="5"/>
    </row>
    <row r="44" spans="1:9" x14ac:dyDescent="0.2">
      <c r="A44" s="11">
        <v>40</v>
      </c>
      <c r="B44" s="5"/>
      <c r="C44" s="5"/>
      <c r="D44" s="5"/>
      <c r="E44" s="5"/>
      <c r="F44" s="5"/>
      <c r="G44" s="5"/>
      <c r="H44" s="5"/>
      <c r="I44" s="5"/>
    </row>
    <row r="45" spans="1:9" x14ac:dyDescent="0.2">
      <c r="A45" s="11">
        <v>41</v>
      </c>
      <c r="B45" s="5"/>
      <c r="C45" s="5"/>
      <c r="D45" s="5"/>
      <c r="E45" s="5"/>
      <c r="F45" s="5"/>
      <c r="G45" s="5"/>
      <c r="H45" s="5"/>
      <c r="I45" s="5"/>
    </row>
    <row r="46" spans="1:9" x14ac:dyDescent="0.2">
      <c r="A46" s="11">
        <v>42</v>
      </c>
      <c r="B46" s="5"/>
      <c r="C46" s="5"/>
      <c r="D46" s="5"/>
      <c r="E46" s="5"/>
      <c r="F46" s="5"/>
      <c r="G46" s="5"/>
      <c r="H46" s="5"/>
      <c r="I46" s="5"/>
    </row>
    <row r="47" spans="1:9" x14ac:dyDescent="0.2">
      <c r="A47" s="11">
        <v>43</v>
      </c>
      <c r="B47" s="5"/>
      <c r="C47" s="5"/>
      <c r="D47" s="5"/>
      <c r="E47" s="5"/>
      <c r="F47" s="5"/>
      <c r="G47" s="5"/>
      <c r="H47" s="5"/>
      <c r="I47" s="5"/>
    </row>
    <row r="48" spans="1:9" x14ac:dyDescent="0.2">
      <c r="A48" s="11">
        <v>44</v>
      </c>
      <c r="B48" s="5"/>
      <c r="C48" s="5"/>
      <c r="D48" s="5"/>
      <c r="E48" s="5"/>
      <c r="F48" s="5"/>
      <c r="G48" s="5"/>
      <c r="H48" s="5"/>
      <c r="I48" s="5"/>
    </row>
    <row r="49" spans="1:9" x14ac:dyDescent="0.2">
      <c r="A49" s="11">
        <v>45</v>
      </c>
      <c r="B49" s="5"/>
      <c r="C49" s="5"/>
      <c r="D49" s="5"/>
      <c r="E49" s="5"/>
      <c r="F49" s="5"/>
      <c r="G49" s="5"/>
      <c r="H49" s="5"/>
      <c r="I49" s="5"/>
    </row>
    <row r="50" spans="1:9" x14ac:dyDescent="0.2">
      <c r="A50" s="11">
        <v>46</v>
      </c>
      <c r="B50" s="5"/>
      <c r="C50" s="5"/>
      <c r="D50" s="5"/>
      <c r="E50" s="5"/>
      <c r="F50" s="5"/>
      <c r="G50" s="5"/>
      <c r="H50" s="5"/>
      <c r="I50" s="5"/>
    </row>
    <row r="51" spans="1:9" x14ac:dyDescent="0.2">
      <c r="A51" s="11">
        <v>47</v>
      </c>
      <c r="B51" s="5"/>
      <c r="C51" s="5"/>
      <c r="D51" s="5"/>
      <c r="E51" s="5"/>
      <c r="F51" s="5"/>
      <c r="G51" s="5"/>
      <c r="H51" s="5"/>
      <c r="I51" s="5"/>
    </row>
    <row r="52" spans="1:9" x14ac:dyDescent="0.2">
      <c r="A52" s="11">
        <v>48</v>
      </c>
      <c r="B52" s="5"/>
      <c r="C52" s="5"/>
      <c r="D52" s="5"/>
      <c r="E52" s="5"/>
      <c r="F52" s="5"/>
      <c r="G52" s="5"/>
      <c r="H52" s="5"/>
      <c r="I52" s="5"/>
    </row>
    <row r="53" spans="1:9" x14ac:dyDescent="0.2">
      <c r="A53" s="11">
        <v>49</v>
      </c>
      <c r="B53" s="5"/>
      <c r="C53" s="5"/>
      <c r="D53" s="5"/>
      <c r="E53" s="5"/>
      <c r="F53" s="5"/>
      <c r="G53" s="5"/>
      <c r="H53" s="5"/>
      <c r="I53" s="5"/>
    </row>
    <row r="54" spans="1:9" x14ac:dyDescent="0.2">
      <c r="A54" s="11">
        <v>50</v>
      </c>
      <c r="B54" s="5"/>
      <c r="C54" s="5"/>
      <c r="D54" s="5"/>
      <c r="E54" s="5"/>
      <c r="F54" s="5"/>
      <c r="G54" s="5"/>
      <c r="H54" s="5"/>
      <c r="I54" s="5"/>
    </row>
    <row r="55" spans="1:9" x14ac:dyDescent="0.2">
      <c r="A55" s="11">
        <v>51</v>
      </c>
      <c r="B55" s="5"/>
      <c r="C55" s="5"/>
      <c r="D55" s="5"/>
      <c r="E55" s="5"/>
      <c r="F55" s="5"/>
      <c r="G55" s="5"/>
      <c r="H55" s="5"/>
      <c r="I55" s="5"/>
    </row>
    <row r="56" spans="1:9" x14ac:dyDescent="0.2">
      <c r="A56" s="11">
        <v>52</v>
      </c>
      <c r="B56" s="5"/>
      <c r="C56" s="5"/>
      <c r="D56" s="5"/>
      <c r="E56" s="5"/>
      <c r="F56" s="5"/>
      <c r="G56" s="5"/>
      <c r="H56" s="5"/>
      <c r="I56" s="5"/>
    </row>
    <row r="57" spans="1:9" x14ac:dyDescent="0.2">
      <c r="A57" s="11">
        <v>53</v>
      </c>
      <c r="B57" s="5"/>
      <c r="C57" s="5"/>
      <c r="D57" s="5"/>
      <c r="E57" s="5"/>
      <c r="F57" s="5"/>
      <c r="G57" s="5"/>
      <c r="H57" s="5"/>
      <c r="I57" s="5"/>
    </row>
    <row r="58" spans="1:9" x14ac:dyDescent="0.2">
      <c r="A58" s="11">
        <v>54</v>
      </c>
      <c r="B58" s="5"/>
      <c r="C58" s="5"/>
      <c r="D58" s="5"/>
      <c r="E58" s="5"/>
      <c r="F58" s="5"/>
      <c r="G58" s="5"/>
      <c r="H58" s="5"/>
      <c r="I58" s="5"/>
    </row>
    <row r="59" spans="1:9" x14ac:dyDescent="0.2">
      <c r="A59" s="11">
        <v>55</v>
      </c>
      <c r="B59" s="5"/>
      <c r="C59" s="5"/>
      <c r="D59" s="5"/>
      <c r="E59" s="5"/>
      <c r="F59" s="5"/>
      <c r="G59" s="5"/>
      <c r="H59" s="5"/>
      <c r="I59" s="5"/>
    </row>
    <row r="60" spans="1:9" x14ac:dyDescent="0.2">
      <c r="A60" s="11">
        <v>56</v>
      </c>
      <c r="B60" s="5"/>
      <c r="C60" s="5"/>
      <c r="D60" s="5"/>
      <c r="E60" s="5"/>
      <c r="F60" s="5"/>
      <c r="G60" s="5"/>
      <c r="H60" s="5"/>
      <c r="I60" s="5"/>
    </row>
    <row r="61" spans="1:9" x14ac:dyDescent="0.2">
      <c r="A61" s="11">
        <v>57</v>
      </c>
      <c r="B61" s="5"/>
      <c r="C61" s="5"/>
      <c r="D61" s="5"/>
      <c r="E61" s="5"/>
      <c r="F61" s="5"/>
      <c r="G61" s="5"/>
      <c r="H61" s="5"/>
      <c r="I61" s="5"/>
    </row>
    <row r="62" spans="1:9" x14ac:dyDescent="0.2">
      <c r="A62" s="11">
        <v>58</v>
      </c>
      <c r="B62" s="5"/>
      <c r="C62" s="5"/>
      <c r="D62" s="5"/>
      <c r="E62" s="5"/>
      <c r="F62" s="5"/>
      <c r="G62" s="5"/>
      <c r="H62" s="5"/>
      <c r="I62" s="5"/>
    </row>
    <row r="63" spans="1:9" x14ac:dyDescent="0.2">
      <c r="A63" s="11">
        <v>59</v>
      </c>
      <c r="B63" s="5"/>
      <c r="C63" s="5"/>
      <c r="D63" s="5"/>
      <c r="E63" s="5"/>
      <c r="F63" s="5"/>
      <c r="G63" s="5"/>
      <c r="H63" s="5"/>
      <c r="I63" s="5"/>
    </row>
    <row r="64" spans="1:9" x14ac:dyDescent="0.2">
      <c r="A64" s="11">
        <v>60</v>
      </c>
      <c r="B64" s="5"/>
      <c r="C64" s="5"/>
      <c r="D64" s="5"/>
      <c r="E64" s="5"/>
      <c r="F64" s="5"/>
      <c r="G64" s="5"/>
      <c r="H64" s="5"/>
      <c r="I64" s="5"/>
    </row>
    <row r="65" spans="1:9" x14ac:dyDescent="0.2">
      <c r="A65" s="11">
        <v>61</v>
      </c>
      <c r="B65" s="5"/>
      <c r="C65" s="5"/>
      <c r="D65" s="5"/>
      <c r="E65" s="5"/>
      <c r="F65" s="5"/>
      <c r="G65" s="5"/>
      <c r="H65" s="5"/>
      <c r="I65" s="5"/>
    </row>
    <row r="66" spans="1:9" x14ac:dyDescent="0.2">
      <c r="A66" s="11">
        <v>62</v>
      </c>
      <c r="B66" s="5"/>
      <c r="C66" s="5"/>
      <c r="D66" s="5"/>
      <c r="E66" s="5"/>
      <c r="F66" s="5"/>
      <c r="G66" s="5"/>
      <c r="H66" s="5"/>
      <c r="I66" s="5"/>
    </row>
    <row r="67" spans="1:9" x14ac:dyDescent="0.2">
      <c r="A67" s="11">
        <v>63</v>
      </c>
      <c r="B67" s="5"/>
      <c r="C67" s="5"/>
      <c r="D67" s="5"/>
      <c r="E67" s="5"/>
      <c r="F67" s="5"/>
      <c r="G67" s="5"/>
      <c r="H67" s="5"/>
      <c r="I67" s="5"/>
    </row>
    <row r="68" spans="1:9" x14ac:dyDescent="0.2">
      <c r="A68" s="11">
        <v>64</v>
      </c>
      <c r="B68" s="5"/>
      <c r="C68" s="5"/>
      <c r="D68" s="5"/>
      <c r="E68" s="5"/>
      <c r="F68" s="5"/>
      <c r="G68" s="5"/>
      <c r="H68" s="5"/>
      <c r="I68" s="5"/>
    </row>
    <row r="69" spans="1:9" x14ac:dyDescent="0.2">
      <c r="A69" s="11">
        <v>65</v>
      </c>
      <c r="B69" s="5"/>
      <c r="C69" s="5"/>
      <c r="D69" s="5"/>
      <c r="E69" s="5"/>
      <c r="F69" s="5"/>
      <c r="G69" s="5"/>
      <c r="H69" s="5"/>
      <c r="I69" s="5"/>
    </row>
    <row r="70" spans="1:9" x14ac:dyDescent="0.2">
      <c r="A70" s="11">
        <v>66</v>
      </c>
      <c r="B70" s="5"/>
      <c r="C70" s="5"/>
      <c r="D70" s="5"/>
      <c r="E70" s="5"/>
      <c r="F70" s="5"/>
      <c r="G70" s="5"/>
      <c r="H70" s="5"/>
      <c r="I70" s="5"/>
    </row>
    <row r="71" spans="1:9" x14ac:dyDescent="0.2">
      <c r="A71" s="11">
        <v>67</v>
      </c>
      <c r="B71" s="5"/>
      <c r="C71" s="5"/>
      <c r="D71" s="5"/>
      <c r="E71" s="5"/>
      <c r="F71" s="5"/>
      <c r="G71" s="5"/>
      <c r="H71" s="5"/>
      <c r="I71" s="5"/>
    </row>
    <row r="72" spans="1:9" x14ac:dyDescent="0.2">
      <c r="A72" s="11">
        <v>68</v>
      </c>
      <c r="B72" s="5"/>
      <c r="C72" s="5"/>
      <c r="D72" s="5"/>
      <c r="E72" s="5"/>
      <c r="F72" s="5"/>
      <c r="G72" s="5"/>
      <c r="H72" s="5"/>
      <c r="I72" s="5"/>
    </row>
    <row r="73" spans="1:9" x14ac:dyDescent="0.2">
      <c r="A73" s="11">
        <v>69</v>
      </c>
      <c r="B73" s="5"/>
      <c r="C73" s="5"/>
      <c r="D73" s="5"/>
      <c r="E73" s="5"/>
      <c r="F73" s="5"/>
      <c r="G73" s="5"/>
      <c r="H73" s="5"/>
      <c r="I73" s="5"/>
    </row>
    <row r="74" spans="1:9" x14ac:dyDescent="0.2">
      <c r="A74" s="11">
        <v>70</v>
      </c>
      <c r="B74" s="5"/>
      <c r="C74" s="5"/>
      <c r="D74" s="5"/>
      <c r="E74" s="5"/>
      <c r="F74" s="5"/>
      <c r="G74" s="5"/>
      <c r="H74" s="5"/>
      <c r="I74" s="5"/>
    </row>
    <row r="75" spans="1:9" x14ac:dyDescent="0.2">
      <c r="A75" s="11">
        <v>71</v>
      </c>
      <c r="B75" s="5"/>
      <c r="C75" s="5"/>
      <c r="D75" s="5"/>
      <c r="E75" s="5"/>
      <c r="F75" s="5"/>
      <c r="G75" s="5"/>
      <c r="H75" s="5"/>
      <c r="I75" s="5"/>
    </row>
    <row r="76" spans="1:9" x14ac:dyDescent="0.2">
      <c r="A76" s="11">
        <v>72</v>
      </c>
      <c r="B76" s="5"/>
      <c r="C76" s="5"/>
      <c r="D76" s="5"/>
      <c r="E76" s="5"/>
      <c r="F76" s="5"/>
      <c r="G76" s="5"/>
      <c r="H76" s="5"/>
      <c r="I76" s="5"/>
    </row>
    <row r="77" spans="1:9" x14ac:dyDescent="0.2">
      <c r="A77" s="11">
        <v>73</v>
      </c>
      <c r="B77" s="5"/>
      <c r="C77" s="5"/>
      <c r="D77" s="5"/>
      <c r="E77" s="5"/>
      <c r="F77" s="5"/>
      <c r="G77" s="5"/>
      <c r="H77" s="5"/>
      <c r="I77" s="5"/>
    </row>
    <row r="78" spans="1:9" x14ac:dyDescent="0.2">
      <c r="A78" s="11">
        <v>74</v>
      </c>
      <c r="B78" s="5"/>
      <c r="C78" s="5"/>
      <c r="D78" s="5"/>
      <c r="E78" s="5"/>
      <c r="F78" s="5"/>
      <c r="G78" s="5"/>
      <c r="H78" s="5"/>
      <c r="I78" s="5"/>
    </row>
    <row r="79" spans="1:9" x14ac:dyDescent="0.2">
      <c r="A79" s="11">
        <v>75</v>
      </c>
      <c r="B79" s="5"/>
      <c r="C79" s="5"/>
      <c r="D79" s="5"/>
      <c r="E79" s="5"/>
      <c r="F79" s="5"/>
      <c r="G79" s="5"/>
      <c r="H79" s="5"/>
      <c r="I79" s="5"/>
    </row>
    <row r="80" spans="1:9" x14ac:dyDescent="0.2">
      <c r="A80" s="11">
        <v>76</v>
      </c>
      <c r="B80" s="5"/>
      <c r="C80" s="5"/>
      <c r="D80" s="5"/>
      <c r="E80" s="5"/>
      <c r="F80" s="5"/>
      <c r="G80" s="5"/>
      <c r="H80" s="5"/>
      <c r="I80" s="5"/>
    </row>
    <row r="81" spans="1:9" x14ac:dyDescent="0.2">
      <c r="A81" s="11">
        <v>77</v>
      </c>
      <c r="B81" s="5"/>
      <c r="C81" s="5"/>
      <c r="D81" s="5"/>
      <c r="E81" s="5"/>
      <c r="F81" s="5"/>
      <c r="G81" s="5"/>
      <c r="H81" s="5"/>
      <c r="I81" s="5"/>
    </row>
    <row r="82" spans="1:9" x14ac:dyDescent="0.2">
      <c r="A82" s="11">
        <v>78</v>
      </c>
      <c r="B82" s="5"/>
      <c r="C82" s="5"/>
      <c r="D82" s="5"/>
      <c r="E82" s="5"/>
      <c r="F82" s="5"/>
      <c r="G82" s="5"/>
      <c r="H82" s="5"/>
      <c r="I82" s="5"/>
    </row>
    <row r="83" spans="1:9" x14ac:dyDescent="0.2">
      <c r="A83" s="11">
        <v>79</v>
      </c>
      <c r="B83" s="5"/>
      <c r="C83" s="5"/>
      <c r="D83" s="5"/>
      <c r="E83" s="5"/>
      <c r="F83" s="5"/>
      <c r="G83" s="5"/>
      <c r="H83" s="5"/>
      <c r="I83" s="5"/>
    </row>
    <row r="84" spans="1:9" x14ac:dyDescent="0.2">
      <c r="A84" s="11">
        <v>80</v>
      </c>
      <c r="B84" s="5"/>
      <c r="C84" s="5"/>
      <c r="D84" s="5"/>
      <c r="E84" s="5"/>
      <c r="F84" s="5"/>
      <c r="G84" s="5"/>
      <c r="H84" s="5"/>
      <c r="I84" s="5"/>
    </row>
    <row r="85" spans="1:9" x14ac:dyDescent="0.2">
      <c r="A85" s="11">
        <v>81</v>
      </c>
      <c r="B85" s="5"/>
      <c r="C85" s="5"/>
      <c r="D85" s="5"/>
      <c r="E85" s="5"/>
      <c r="F85" s="5"/>
      <c r="G85" s="5"/>
      <c r="H85" s="5"/>
      <c r="I85" s="5"/>
    </row>
    <row r="86" spans="1:9" x14ac:dyDescent="0.2">
      <c r="A86" s="11">
        <v>82</v>
      </c>
      <c r="B86" s="5"/>
      <c r="C86" s="5"/>
      <c r="D86" s="5"/>
      <c r="E86" s="5"/>
      <c r="F86" s="5"/>
      <c r="G86" s="5"/>
      <c r="H86" s="5"/>
      <c r="I86" s="5"/>
    </row>
    <row r="87" spans="1:9" x14ac:dyDescent="0.2">
      <c r="A87" s="11">
        <v>83</v>
      </c>
      <c r="B87" s="5"/>
      <c r="C87" s="5"/>
      <c r="D87" s="5"/>
      <c r="E87" s="5"/>
      <c r="F87" s="5"/>
      <c r="G87" s="5"/>
      <c r="H87" s="5"/>
      <c r="I87" s="5"/>
    </row>
    <row r="88" spans="1:9" x14ac:dyDescent="0.2">
      <c r="A88" s="11">
        <v>84</v>
      </c>
      <c r="B88" s="5"/>
      <c r="C88" s="5"/>
      <c r="D88" s="5"/>
      <c r="E88" s="5"/>
      <c r="F88" s="5"/>
      <c r="G88" s="5"/>
      <c r="H88" s="5"/>
      <c r="I88" s="5"/>
    </row>
    <row r="89" spans="1:9" x14ac:dyDescent="0.2">
      <c r="A89" s="11">
        <v>85</v>
      </c>
      <c r="B89" s="5"/>
      <c r="C89" s="5"/>
      <c r="D89" s="5"/>
      <c r="E89" s="5"/>
      <c r="F89" s="5"/>
      <c r="G89" s="5"/>
      <c r="H89" s="5"/>
      <c r="I89" s="5"/>
    </row>
    <row r="90" spans="1:9" x14ac:dyDescent="0.2">
      <c r="A90" s="11">
        <v>86</v>
      </c>
      <c r="B90" s="5"/>
      <c r="C90" s="5"/>
      <c r="D90" s="5"/>
      <c r="E90" s="5"/>
      <c r="F90" s="5"/>
      <c r="G90" s="5"/>
      <c r="H90" s="5"/>
      <c r="I90" s="5"/>
    </row>
    <row r="91" spans="1:9" x14ac:dyDescent="0.2">
      <c r="A91" s="11">
        <v>87</v>
      </c>
      <c r="B91" s="5"/>
      <c r="C91" s="5"/>
      <c r="D91" s="5"/>
      <c r="E91" s="5"/>
      <c r="F91" s="5"/>
      <c r="G91" s="5"/>
      <c r="H91" s="5"/>
      <c r="I91" s="5"/>
    </row>
    <row r="92" spans="1:9" x14ac:dyDescent="0.2">
      <c r="A92" s="11">
        <v>88</v>
      </c>
      <c r="B92" s="5"/>
      <c r="C92" s="5"/>
      <c r="D92" s="5"/>
      <c r="E92" s="5"/>
      <c r="F92" s="5"/>
      <c r="G92" s="5"/>
      <c r="H92" s="5"/>
      <c r="I92" s="5"/>
    </row>
    <row r="93" spans="1:9" x14ac:dyDescent="0.2">
      <c r="A93" s="11">
        <v>89</v>
      </c>
      <c r="B93" s="5"/>
      <c r="C93" s="5"/>
      <c r="D93" s="5"/>
      <c r="E93" s="5"/>
      <c r="F93" s="5"/>
      <c r="G93" s="5"/>
      <c r="H93" s="5"/>
      <c r="I93" s="5"/>
    </row>
    <row r="94" spans="1:9" x14ac:dyDescent="0.2">
      <c r="A94" s="11">
        <v>90</v>
      </c>
      <c r="B94" s="5"/>
      <c r="C94" s="5"/>
      <c r="D94" s="5"/>
      <c r="E94" s="5"/>
      <c r="F94" s="5"/>
      <c r="G94" s="5"/>
      <c r="H94" s="5"/>
      <c r="I94" s="5"/>
    </row>
    <row r="95" spans="1:9" x14ac:dyDescent="0.2">
      <c r="A95" s="11">
        <v>91</v>
      </c>
      <c r="B95" s="5"/>
      <c r="C95" s="5"/>
      <c r="D95" s="5"/>
      <c r="E95" s="5"/>
      <c r="F95" s="5"/>
      <c r="G95" s="5"/>
      <c r="H95" s="5"/>
      <c r="I95" s="5"/>
    </row>
    <row r="96" spans="1:9" x14ac:dyDescent="0.2">
      <c r="A96" s="11">
        <v>92</v>
      </c>
      <c r="B96" s="5"/>
      <c r="C96" s="5"/>
      <c r="D96" s="5"/>
      <c r="E96" s="5"/>
      <c r="F96" s="5"/>
      <c r="G96" s="5"/>
      <c r="H96" s="5"/>
      <c r="I96" s="5"/>
    </row>
    <row r="97" spans="1:9" x14ac:dyDescent="0.2">
      <c r="A97" s="11">
        <v>93</v>
      </c>
      <c r="B97" s="5"/>
      <c r="C97" s="5"/>
      <c r="D97" s="5"/>
      <c r="E97" s="5"/>
      <c r="F97" s="5"/>
      <c r="G97" s="5"/>
      <c r="H97" s="5"/>
      <c r="I97" s="5"/>
    </row>
    <row r="98" spans="1:9" x14ac:dyDescent="0.2">
      <c r="A98" s="11">
        <v>94</v>
      </c>
      <c r="B98" s="5"/>
      <c r="C98" s="5"/>
      <c r="D98" s="5"/>
      <c r="E98" s="5"/>
      <c r="F98" s="5"/>
      <c r="G98" s="5"/>
      <c r="H98" s="5"/>
      <c r="I98" s="5"/>
    </row>
    <row r="99" spans="1:9" x14ac:dyDescent="0.2">
      <c r="A99" s="11">
        <v>95</v>
      </c>
      <c r="B99" s="5"/>
      <c r="C99" s="5"/>
      <c r="D99" s="5"/>
      <c r="E99" s="5"/>
      <c r="F99" s="5"/>
      <c r="G99" s="5"/>
      <c r="H99" s="5"/>
      <c r="I99" s="5"/>
    </row>
    <row r="100" spans="1:9" x14ac:dyDescent="0.2">
      <c r="A100" s="11">
        <v>96</v>
      </c>
      <c r="B100" s="5"/>
      <c r="C100" s="5"/>
      <c r="D100" s="5"/>
      <c r="E100" s="5"/>
      <c r="F100" s="5"/>
      <c r="G100" s="5"/>
      <c r="H100" s="5"/>
      <c r="I100" s="5"/>
    </row>
    <row r="101" spans="1:9" x14ac:dyDescent="0.2">
      <c r="A101" s="11">
        <v>97</v>
      </c>
      <c r="B101" s="5"/>
      <c r="C101" s="5"/>
      <c r="D101" s="5"/>
      <c r="E101" s="5"/>
      <c r="F101" s="5"/>
      <c r="G101" s="5"/>
      <c r="H101" s="5"/>
      <c r="I101" s="5"/>
    </row>
    <row r="102" spans="1:9" x14ac:dyDescent="0.2">
      <c r="A102" s="11">
        <v>98</v>
      </c>
      <c r="B102" s="5"/>
      <c r="C102" s="5"/>
      <c r="D102" s="5"/>
      <c r="E102" s="5"/>
      <c r="F102" s="5"/>
      <c r="G102" s="5"/>
      <c r="H102" s="5"/>
      <c r="I102" s="5"/>
    </row>
    <row r="103" spans="1:9" x14ac:dyDescent="0.2">
      <c r="A103" s="11">
        <v>99</v>
      </c>
      <c r="B103" s="5"/>
      <c r="C103" s="5"/>
      <c r="D103" s="5"/>
      <c r="E103" s="5"/>
      <c r="F103" s="5"/>
      <c r="G103" s="5"/>
      <c r="H103" s="5"/>
      <c r="I103" s="5"/>
    </row>
    <row r="104" spans="1:9" x14ac:dyDescent="0.2">
      <c r="A104" s="11">
        <v>100</v>
      </c>
      <c r="B104" s="5"/>
      <c r="C104" s="5"/>
      <c r="D104" s="5"/>
      <c r="E104" s="5"/>
      <c r="F104" s="5"/>
      <c r="G104" s="5"/>
      <c r="H104" s="5"/>
      <c r="I104" s="5"/>
    </row>
    <row r="105" spans="1:9" x14ac:dyDescent="0.2">
      <c r="A105" s="11">
        <v>101</v>
      </c>
      <c r="B105" s="5"/>
      <c r="C105" s="5"/>
      <c r="D105" s="5"/>
      <c r="E105" s="5"/>
      <c r="F105" s="5"/>
      <c r="G105" s="5"/>
      <c r="H105" s="5"/>
      <c r="I105" s="5"/>
    </row>
    <row r="106" spans="1:9" x14ac:dyDescent="0.2">
      <c r="A106" s="11">
        <v>102</v>
      </c>
      <c r="B106" s="5"/>
      <c r="C106" s="5"/>
      <c r="D106" s="5"/>
      <c r="E106" s="5"/>
      <c r="F106" s="5"/>
      <c r="G106" s="5"/>
      <c r="H106" s="5"/>
      <c r="I106" s="5"/>
    </row>
    <row r="107" spans="1:9" x14ac:dyDescent="0.2">
      <c r="A107" s="11">
        <v>103</v>
      </c>
      <c r="B107" s="5"/>
      <c r="C107" s="5"/>
      <c r="D107" s="5"/>
      <c r="E107" s="5"/>
      <c r="F107" s="5"/>
      <c r="G107" s="5"/>
      <c r="H107" s="5"/>
      <c r="I107" s="5"/>
    </row>
    <row r="108" spans="1:9" x14ac:dyDescent="0.2">
      <c r="A108" s="11">
        <v>104</v>
      </c>
      <c r="B108" s="5"/>
      <c r="C108" s="5"/>
      <c r="D108" s="5"/>
      <c r="E108" s="5"/>
      <c r="F108" s="5"/>
      <c r="G108" s="5"/>
      <c r="H108" s="5"/>
      <c r="I108" s="5"/>
    </row>
    <row r="109" spans="1:9" x14ac:dyDescent="0.2">
      <c r="A109" s="11">
        <v>105</v>
      </c>
      <c r="B109" s="5"/>
      <c r="C109" s="5"/>
      <c r="D109" s="5"/>
      <c r="E109" s="5"/>
      <c r="F109" s="5"/>
      <c r="G109" s="5"/>
      <c r="H109" s="5"/>
      <c r="I109" s="5"/>
    </row>
    <row r="110" spans="1:9" x14ac:dyDescent="0.2">
      <c r="A110" s="11">
        <v>106</v>
      </c>
      <c r="B110" s="5"/>
      <c r="C110" s="5"/>
      <c r="D110" s="5"/>
      <c r="E110" s="5"/>
      <c r="F110" s="5"/>
      <c r="G110" s="5"/>
      <c r="H110" s="5"/>
      <c r="I110" s="5"/>
    </row>
    <row r="111" spans="1:9" x14ac:dyDescent="0.2">
      <c r="A111" s="11">
        <v>107</v>
      </c>
      <c r="B111" s="5"/>
      <c r="C111" s="5"/>
      <c r="D111" s="5"/>
      <c r="E111" s="5"/>
      <c r="F111" s="5"/>
      <c r="G111" s="5"/>
      <c r="H111" s="5"/>
      <c r="I111" s="5"/>
    </row>
    <row r="112" spans="1:9" x14ac:dyDescent="0.2">
      <c r="A112" s="11">
        <v>108</v>
      </c>
      <c r="B112" s="5"/>
      <c r="C112" s="5"/>
      <c r="D112" s="5"/>
      <c r="E112" s="5"/>
      <c r="F112" s="5"/>
      <c r="G112" s="5"/>
      <c r="H112" s="5"/>
      <c r="I112" s="5"/>
    </row>
    <row r="113" spans="1:9" x14ac:dyDescent="0.2">
      <c r="A113" s="11">
        <v>109</v>
      </c>
      <c r="B113" s="5"/>
      <c r="C113" s="5"/>
      <c r="D113" s="5"/>
      <c r="E113" s="5"/>
      <c r="F113" s="5"/>
      <c r="G113" s="5"/>
      <c r="H113" s="5"/>
      <c r="I113" s="5"/>
    </row>
    <row r="114" spans="1:9" x14ac:dyDescent="0.2">
      <c r="A114" s="11">
        <v>110</v>
      </c>
      <c r="B114" s="5"/>
      <c r="C114" s="5"/>
      <c r="D114" s="5"/>
      <c r="E114" s="5"/>
      <c r="F114" s="5"/>
      <c r="G114" s="5"/>
      <c r="H114" s="5"/>
      <c r="I114" s="5"/>
    </row>
    <row r="115" spans="1:9" x14ac:dyDescent="0.2">
      <c r="A115" s="11">
        <v>111</v>
      </c>
      <c r="B115" s="5"/>
      <c r="C115" s="5"/>
      <c r="D115" s="5"/>
      <c r="E115" s="5"/>
      <c r="F115" s="5"/>
      <c r="G115" s="5"/>
      <c r="H115" s="5"/>
      <c r="I115" s="5"/>
    </row>
    <row r="116" spans="1:9" x14ac:dyDescent="0.2">
      <c r="A116" s="11">
        <v>112</v>
      </c>
      <c r="B116" s="5"/>
      <c r="C116" s="5"/>
      <c r="D116" s="5"/>
      <c r="E116" s="5"/>
      <c r="F116" s="5"/>
      <c r="G116" s="5"/>
      <c r="H116" s="5"/>
      <c r="I116" s="5"/>
    </row>
    <row r="117" spans="1:9" x14ac:dyDescent="0.2">
      <c r="A117" s="11">
        <v>113</v>
      </c>
      <c r="B117" s="5"/>
      <c r="C117" s="5"/>
      <c r="D117" s="5"/>
      <c r="E117" s="5"/>
      <c r="F117" s="5"/>
      <c r="G117" s="5"/>
      <c r="H117" s="5"/>
      <c r="I117" s="5"/>
    </row>
    <row r="118" spans="1:9" x14ac:dyDescent="0.2">
      <c r="A118" s="11">
        <v>114</v>
      </c>
      <c r="B118" s="5"/>
      <c r="C118" s="5"/>
      <c r="D118" s="5"/>
      <c r="E118" s="5"/>
      <c r="F118" s="5"/>
      <c r="G118" s="5"/>
      <c r="H118" s="5"/>
      <c r="I118" s="5"/>
    </row>
    <row r="119" spans="1:9" x14ac:dyDescent="0.2">
      <c r="A119" s="11">
        <v>115</v>
      </c>
      <c r="B119" s="5"/>
      <c r="C119" s="5"/>
      <c r="D119" s="5"/>
      <c r="E119" s="5"/>
      <c r="F119" s="5"/>
      <c r="G119" s="5"/>
      <c r="H119" s="5"/>
      <c r="I119" s="5"/>
    </row>
    <row r="120" spans="1:9" x14ac:dyDescent="0.2">
      <c r="A120" s="11">
        <v>116</v>
      </c>
      <c r="B120" s="5"/>
      <c r="C120" s="5"/>
      <c r="D120" s="5"/>
      <c r="E120" s="5"/>
      <c r="F120" s="5"/>
      <c r="G120" s="5"/>
      <c r="H120" s="5"/>
      <c r="I120" s="5"/>
    </row>
    <row r="121" spans="1:9" x14ac:dyDescent="0.2">
      <c r="A121" s="11">
        <v>117</v>
      </c>
      <c r="B121" s="5"/>
      <c r="C121" s="5"/>
      <c r="D121" s="5"/>
      <c r="E121" s="5"/>
      <c r="F121" s="5"/>
      <c r="G121" s="5"/>
      <c r="H121" s="5"/>
      <c r="I121" s="5"/>
    </row>
    <row r="122" spans="1:9" x14ac:dyDescent="0.2">
      <c r="A122" s="11">
        <v>118</v>
      </c>
      <c r="B122" s="5"/>
      <c r="C122" s="5"/>
      <c r="D122" s="5"/>
      <c r="E122" s="5"/>
      <c r="F122" s="5"/>
      <c r="G122" s="5"/>
      <c r="H122" s="5"/>
      <c r="I122" s="5"/>
    </row>
    <row r="123" spans="1:9" x14ac:dyDescent="0.2">
      <c r="A123" s="11">
        <v>119</v>
      </c>
      <c r="B123" s="5"/>
      <c r="C123" s="5"/>
      <c r="D123" s="5"/>
      <c r="E123" s="5"/>
      <c r="F123" s="5"/>
      <c r="G123" s="5"/>
      <c r="H123" s="5"/>
      <c r="I123" s="5"/>
    </row>
    <row r="124" spans="1:9" x14ac:dyDescent="0.2">
      <c r="A124" s="11">
        <v>120</v>
      </c>
      <c r="B124" s="5"/>
      <c r="C124" s="5"/>
      <c r="D124" s="5"/>
      <c r="E124" s="5"/>
      <c r="F124" s="5"/>
      <c r="G124" s="5"/>
      <c r="H124" s="5"/>
      <c r="I124" s="5"/>
    </row>
    <row r="125" spans="1:9" x14ac:dyDescent="0.2">
      <c r="A125" s="11">
        <v>121</v>
      </c>
      <c r="B125" s="5"/>
      <c r="C125" s="5"/>
      <c r="D125" s="5"/>
      <c r="E125" s="5"/>
      <c r="F125" s="5"/>
      <c r="G125" s="5"/>
      <c r="H125" s="5"/>
      <c r="I125" s="5"/>
    </row>
    <row r="126" spans="1:9" x14ac:dyDescent="0.2">
      <c r="A126" s="11">
        <v>122</v>
      </c>
      <c r="B126" s="5"/>
      <c r="C126" s="5"/>
      <c r="D126" s="5"/>
      <c r="E126" s="5"/>
      <c r="F126" s="5"/>
      <c r="G126" s="5"/>
      <c r="H126" s="5"/>
      <c r="I126" s="5"/>
    </row>
    <row r="127" spans="1:9" x14ac:dyDescent="0.2">
      <c r="A127" s="11">
        <v>123</v>
      </c>
      <c r="B127" s="5"/>
      <c r="C127" s="5"/>
      <c r="D127" s="5"/>
      <c r="E127" s="5"/>
      <c r="F127" s="5"/>
      <c r="G127" s="5"/>
      <c r="H127" s="5"/>
      <c r="I127" s="5"/>
    </row>
    <row r="128" spans="1:9" x14ac:dyDescent="0.2">
      <c r="A128" s="11">
        <v>124</v>
      </c>
      <c r="B128" s="5"/>
      <c r="C128" s="5"/>
      <c r="D128" s="5"/>
      <c r="E128" s="5"/>
      <c r="F128" s="5"/>
      <c r="G128" s="5"/>
      <c r="H128" s="5"/>
      <c r="I128" s="5"/>
    </row>
    <row r="129" spans="1:9" x14ac:dyDescent="0.2">
      <c r="A129" s="11">
        <v>125</v>
      </c>
      <c r="B129" s="5"/>
      <c r="C129" s="5"/>
      <c r="D129" s="5"/>
      <c r="E129" s="5"/>
      <c r="F129" s="5"/>
      <c r="G129" s="5"/>
      <c r="H129" s="5"/>
      <c r="I129" s="5"/>
    </row>
    <row r="130" spans="1:9" x14ac:dyDescent="0.2">
      <c r="A130" s="11">
        <v>126</v>
      </c>
      <c r="B130" s="5"/>
      <c r="C130" s="5"/>
      <c r="D130" s="5"/>
      <c r="E130" s="5"/>
      <c r="F130" s="5"/>
      <c r="G130" s="5"/>
      <c r="H130" s="5"/>
      <c r="I130" s="5"/>
    </row>
    <row r="131" spans="1:9" x14ac:dyDescent="0.2">
      <c r="A131" s="11">
        <v>127</v>
      </c>
      <c r="B131" s="5"/>
      <c r="C131" s="5"/>
      <c r="D131" s="5"/>
      <c r="E131" s="5"/>
      <c r="F131" s="5"/>
      <c r="G131" s="5"/>
      <c r="H131" s="5"/>
      <c r="I131" s="5"/>
    </row>
    <row r="132" spans="1:9" x14ac:dyDescent="0.2">
      <c r="A132" s="11">
        <v>128</v>
      </c>
      <c r="B132" s="5"/>
      <c r="C132" s="5"/>
      <c r="D132" s="5"/>
      <c r="E132" s="5"/>
      <c r="F132" s="5"/>
      <c r="G132" s="5"/>
      <c r="H132" s="5"/>
      <c r="I132" s="5"/>
    </row>
    <row r="133" spans="1:9" x14ac:dyDescent="0.2">
      <c r="A133" s="11">
        <v>129</v>
      </c>
      <c r="B133" s="5"/>
      <c r="C133" s="5"/>
      <c r="D133" s="5"/>
      <c r="E133" s="5"/>
      <c r="F133" s="5"/>
      <c r="G133" s="5"/>
      <c r="H133" s="5"/>
      <c r="I133" s="5"/>
    </row>
    <row r="134" spans="1:9" x14ac:dyDescent="0.2">
      <c r="A134" s="11">
        <v>130</v>
      </c>
      <c r="B134" s="5"/>
      <c r="C134" s="5"/>
      <c r="D134" s="5"/>
      <c r="E134" s="5"/>
      <c r="F134" s="5"/>
      <c r="G134" s="5"/>
      <c r="H134" s="5"/>
      <c r="I134" s="5"/>
    </row>
    <row r="135" spans="1:9" x14ac:dyDescent="0.2">
      <c r="A135" s="11">
        <v>131</v>
      </c>
      <c r="B135" s="5"/>
      <c r="C135" s="5"/>
      <c r="D135" s="5"/>
      <c r="E135" s="5"/>
      <c r="F135" s="5"/>
      <c r="G135" s="5"/>
      <c r="H135" s="5"/>
      <c r="I135" s="5"/>
    </row>
    <row r="136" spans="1:9" x14ac:dyDescent="0.2">
      <c r="A136" s="11">
        <v>132</v>
      </c>
      <c r="B136" s="5"/>
      <c r="C136" s="5"/>
      <c r="D136" s="5"/>
      <c r="E136" s="5"/>
      <c r="F136" s="5"/>
      <c r="G136" s="5"/>
      <c r="H136" s="5"/>
      <c r="I136" s="5"/>
    </row>
    <row r="137" spans="1:9" x14ac:dyDescent="0.2">
      <c r="A137" s="11">
        <v>133</v>
      </c>
      <c r="B137" s="5"/>
      <c r="C137" s="5"/>
      <c r="D137" s="5"/>
      <c r="E137" s="5"/>
      <c r="F137" s="5"/>
      <c r="G137" s="5"/>
      <c r="H137" s="5"/>
      <c r="I137" s="5"/>
    </row>
    <row r="138" spans="1:9" x14ac:dyDescent="0.2">
      <c r="A138" s="11">
        <v>134</v>
      </c>
      <c r="B138" s="5"/>
      <c r="C138" s="5"/>
      <c r="D138" s="5"/>
      <c r="E138" s="5"/>
      <c r="F138" s="5"/>
      <c r="G138" s="5"/>
      <c r="H138" s="5"/>
      <c r="I138" s="5"/>
    </row>
    <row r="139" spans="1:9" x14ac:dyDescent="0.2">
      <c r="A139" s="11">
        <v>135</v>
      </c>
      <c r="B139" s="5"/>
      <c r="C139" s="5"/>
      <c r="D139" s="5"/>
      <c r="E139" s="5"/>
      <c r="F139" s="5"/>
      <c r="G139" s="5"/>
      <c r="H139" s="5"/>
      <c r="I139" s="5"/>
    </row>
    <row r="140" spans="1:9" x14ac:dyDescent="0.2">
      <c r="A140" s="11">
        <v>136</v>
      </c>
      <c r="B140" s="5"/>
      <c r="C140" s="5"/>
      <c r="D140" s="5"/>
      <c r="E140" s="5"/>
      <c r="F140" s="5"/>
      <c r="G140" s="5"/>
      <c r="H140" s="5"/>
      <c r="I140" s="5"/>
    </row>
    <row r="141" spans="1:9" x14ac:dyDescent="0.2">
      <c r="A141" s="11">
        <v>137</v>
      </c>
      <c r="B141" s="5"/>
      <c r="C141" s="5"/>
      <c r="D141" s="5"/>
      <c r="E141" s="5"/>
      <c r="F141" s="5"/>
      <c r="G141" s="5"/>
      <c r="H141" s="5"/>
      <c r="I141" s="5"/>
    </row>
    <row r="142" spans="1:9" x14ac:dyDescent="0.2">
      <c r="A142" s="11">
        <v>138</v>
      </c>
      <c r="B142" s="5"/>
      <c r="C142" s="5"/>
      <c r="D142" s="5"/>
      <c r="E142" s="5"/>
      <c r="F142" s="5"/>
      <c r="G142" s="5"/>
      <c r="H142" s="5"/>
      <c r="I142" s="5"/>
    </row>
    <row r="143" spans="1:9" x14ac:dyDescent="0.2">
      <c r="A143" s="11">
        <v>139</v>
      </c>
      <c r="B143" s="5"/>
      <c r="C143" s="5"/>
      <c r="D143" s="5"/>
      <c r="E143" s="5"/>
      <c r="F143" s="5"/>
      <c r="G143" s="5"/>
      <c r="H143" s="5"/>
      <c r="I143" s="5"/>
    </row>
    <row r="144" spans="1:9" x14ac:dyDescent="0.2">
      <c r="A144" s="11">
        <v>140</v>
      </c>
      <c r="B144" s="5"/>
      <c r="C144" s="5"/>
      <c r="D144" s="5"/>
      <c r="E144" s="5"/>
      <c r="F144" s="5"/>
      <c r="G144" s="5"/>
      <c r="H144" s="5"/>
      <c r="I144" s="5"/>
    </row>
    <row r="145" spans="1:9" x14ac:dyDescent="0.2">
      <c r="A145" s="11">
        <v>141</v>
      </c>
      <c r="B145" s="5"/>
      <c r="C145" s="5"/>
      <c r="D145" s="5"/>
      <c r="E145" s="5"/>
      <c r="F145" s="5"/>
      <c r="G145" s="5"/>
      <c r="H145" s="5"/>
      <c r="I145" s="5"/>
    </row>
    <row r="146" spans="1:9" x14ac:dyDescent="0.2">
      <c r="A146" s="11">
        <v>142</v>
      </c>
      <c r="B146" s="5"/>
      <c r="C146" s="5"/>
      <c r="D146" s="5"/>
      <c r="E146" s="5"/>
      <c r="F146" s="5"/>
      <c r="G146" s="5"/>
      <c r="H146" s="5"/>
      <c r="I146" s="5"/>
    </row>
    <row r="147" spans="1:9" x14ac:dyDescent="0.2">
      <c r="A147" s="11">
        <v>143</v>
      </c>
      <c r="B147" s="5"/>
      <c r="C147" s="5"/>
      <c r="D147" s="5"/>
      <c r="E147" s="5"/>
      <c r="F147" s="5"/>
      <c r="G147" s="5"/>
      <c r="H147" s="5"/>
      <c r="I147" s="5"/>
    </row>
    <row r="148" spans="1:9" x14ac:dyDescent="0.2">
      <c r="A148" s="11">
        <v>144</v>
      </c>
      <c r="B148" s="5"/>
      <c r="C148" s="5"/>
      <c r="D148" s="5"/>
      <c r="E148" s="5"/>
      <c r="F148" s="5"/>
      <c r="G148" s="5"/>
      <c r="H148" s="5"/>
      <c r="I148" s="5"/>
    </row>
    <row r="149" spans="1:9" x14ac:dyDescent="0.2">
      <c r="A149" s="11">
        <v>145</v>
      </c>
      <c r="B149" s="5"/>
      <c r="C149" s="5"/>
      <c r="D149" s="5"/>
      <c r="E149" s="5"/>
      <c r="F149" s="5"/>
      <c r="G149" s="5"/>
      <c r="H149" s="5"/>
      <c r="I149" s="5"/>
    </row>
    <row r="150" spans="1:9" x14ac:dyDescent="0.2">
      <c r="A150" s="11">
        <v>146</v>
      </c>
      <c r="B150" s="5"/>
      <c r="C150" s="5"/>
      <c r="D150" s="5"/>
      <c r="E150" s="5"/>
      <c r="F150" s="5"/>
      <c r="G150" s="5"/>
      <c r="H150" s="5"/>
      <c r="I150" s="5"/>
    </row>
    <row r="151" spans="1:9" x14ac:dyDescent="0.2">
      <c r="A151" s="11">
        <v>147</v>
      </c>
      <c r="B151" s="5"/>
      <c r="C151" s="5"/>
      <c r="D151" s="5"/>
      <c r="E151" s="5"/>
      <c r="F151" s="5"/>
      <c r="G151" s="5"/>
      <c r="H151" s="5"/>
      <c r="I151" s="5"/>
    </row>
    <row r="152" spans="1:9" x14ac:dyDescent="0.2">
      <c r="A152" s="11">
        <v>148</v>
      </c>
      <c r="B152" s="5"/>
      <c r="C152" s="5"/>
      <c r="D152" s="5"/>
      <c r="E152" s="5"/>
      <c r="F152" s="5"/>
      <c r="G152" s="5"/>
      <c r="H152" s="5"/>
      <c r="I152" s="5"/>
    </row>
    <row r="153" spans="1:9" x14ac:dyDescent="0.2">
      <c r="A153" s="11">
        <v>149</v>
      </c>
      <c r="B153" s="5"/>
      <c r="C153" s="5"/>
      <c r="D153" s="5"/>
      <c r="E153" s="5"/>
      <c r="F153" s="5"/>
      <c r="G153" s="5"/>
      <c r="H153" s="5"/>
      <c r="I153" s="5"/>
    </row>
    <row r="154" spans="1:9" x14ac:dyDescent="0.2">
      <c r="A154" s="11">
        <v>150</v>
      </c>
      <c r="B154" s="5"/>
      <c r="C154" s="5"/>
      <c r="D154" s="5"/>
      <c r="E154" s="5"/>
      <c r="F154" s="5"/>
      <c r="G154" s="5"/>
      <c r="H154" s="5"/>
      <c r="I154" s="5"/>
    </row>
    <row r="155" spans="1:9" x14ac:dyDescent="0.2">
      <c r="A155" s="11">
        <v>151</v>
      </c>
      <c r="B155" s="5"/>
      <c r="C155" s="5"/>
      <c r="D155" s="5"/>
      <c r="E155" s="5"/>
      <c r="F155" s="5"/>
      <c r="G155" s="5"/>
      <c r="H155" s="5"/>
      <c r="I155" s="5"/>
    </row>
    <row r="156" spans="1:9" x14ac:dyDescent="0.2">
      <c r="A156" s="11">
        <v>152</v>
      </c>
      <c r="B156" s="5"/>
      <c r="C156" s="5"/>
      <c r="D156" s="5"/>
      <c r="E156" s="5"/>
      <c r="F156" s="5"/>
      <c r="G156" s="5"/>
      <c r="H156" s="5"/>
      <c r="I156" s="5"/>
    </row>
    <row r="157" spans="1:9" x14ac:dyDescent="0.2">
      <c r="A157" s="11">
        <v>153</v>
      </c>
      <c r="B157" s="5"/>
      <c r="C157" s="5"/>
      <c r="D157" s="5"/>
      <c r="E157" s="5"/>
      <c r="F157" s="5"/>
      <c r="G157" s="5"/>
      <c r="H157" s="5"/>
      <c r="I157" s="5"/>
    </row>
    <row r="158" spans="1:9" x14ac:dyDescent="0.2">
      <c r="A158" s="11">
        <v>154</v>
      </c>
      <c r="B158" s="5"/>
      <c r="C158" s="5"/>
      <c r="D158" s="5"/>
      <c r="E158" s="5"/>
      <c r="F158" s="5"/>
      <c r="G158" s="5"/>
      <c r="H158" s="5"/>
      <c r="I158" s="5"/>
    </row>
    <row r="159" spans="1:9" x14ac:dyDescent="0.2">
      <c r="A159" s="11">
        <v>155</v>
      </c>
      <c r="B159" s="5"/>
      <c r="C159" s="5"/>
      <c r="D159" s="5"/>
      <c r="E159" s="5"/>
      <c r="F159" s="5"/>
      <c r="G159" s="5"/>
      <c r="H159" s="5"/>
      <c r="I159" s="5"/>
    </row>
    <row r="160" spans="1:9" x14ac:dyDescent="0.2">
      <c r="A160" s="11">
        <v>156</v>
      </c>
      <c r="B160" s="5"/>
      <c r="C160" s="5"/>
      <c r="D160" s="5"/>
      <c r="E160" s="5"/>
      <c r="F160" s="5"/>
      <c r="G160" s="5"/>
      <c r="H160" s="5"/>
      <c r="I160" s="5"/>
    </row>
    <row r="161" spans="1:9" x14ac:dyDescent="0.2">
      <c r="A161" s="11">
        <v>157</v>
      </c>
      <c r="B161" s="5"/>
      <c r="C161" s="5"/>
      <c r="D161" s="5"/>
      <c r="E161" s="5"/>
      <c r="F161" s="5"/>
      <c r="G161" s="5"/>
      <c r="H161" s="5"/>
      <c r="I161" s="5"/>
    </row>
    <row r="162" spans="1:9" x14ac:dyDescent="0.2">
      <c r="A162" s="11">
        <v>158</v>
      </c>
      <c r="B162" s="5"/>
      <c r="C162" s="5"/>
      <c r="D162" s="5"/>
      <c r="E162" s="5"/>
      <c r="F162" s="5"/>
      <c r="G162" s="5"/>
      <c r="H162" s="5"/>
      <c r="I162" s="5"/>
    </row>
    <row r="163" spans="1:9" x14ac:dyDescent="0.2">
      <c r="A163" s="11">
        <v>159</v>
      </c>
      <c r="B163" s="5"/>
      <c r="C163" s="5"/>
      <c r="D163" s="5"/>
      <c r="E163" s="5"/>
      <c r="F163" s="5"/>
      <c r="G163" s="5"/>
      <c r="H163" s="5"/>
      <c r="I163" s="5"/>
    </row>
    <row r="164" spans="1:9" x14ac:dyDescent="0.2">
      <c r="A164" s="11">
        <v>160</v>
      </c>
      <c r="B164" s="5"/>
      <c r="C164" s="5"/>
      <c r="D164" s="5"/>
      <c r="E164" s="5"/>
      <c r="F164" s="5"/>
      <c r="G164" s="5"/>
      <c r="H164" s="5"/>
      <c r="I164" s="5"/>
    </row>
    <row r="165" spans="1:9" x14ac:dyDescent="0.2">
      <c r="A165" s="11">
        <v>161</v>
      </c>
      <c r="B165" s="5"/>
      <c r="C165" s="5"/>
      <c r="D165" s="5"/>
      <c r="E165" s="5"/>
      <c r="F165" s="5"/>
      <c r="G165" s="5"/>
      <c r="H165" s="5"/>
      <c r="I165" s="5"/>
    </row>
    <row r="166" spans="1:9" x14ac:dyDescent="0.2">
      <c r="A166" s="11">
        <v>162</v>
      </c>
      <c r="B166" s="5"/>
      <c r="C166" s="5"/>
      <c r="D166" s="5"/>
      <c r="E166" s="5"/>
      <c r="F166" s="5"/>
      <c r="G166" s="5"/>
      <c r="H166" s="5"/>
      <c r="I166" s="5"/>
    </row>
    <row r="167" spans="1:9" x14ac:dyDescent="0.2">
      <c r="A167" s="11">
        <v>163</v>
      </c>
      <c r="B167" s="5"/>
      <c r="C167" s="5"/>
      <c r="D167" s="5"/>
      <c r="E167" s="5"/>
      <c r="F167" s="5"/>
      <c r="G167" s="5"/>
      <c r="H167" s="5"/>
      <c r="I167" s="5"/>
    </row>
    <row r="168" spans="1:9" x14ac:dyDescent="0.2">
      <c r="A168" s="11">
        <v>164</v>
      </c>
      <c r="B168" s="5"/>
      <c r="C168" s="5"/>
      <c r="D168" s="5"/>
      <c r="E168" s="5"/>
      <c r="F168" s="5"/>
      <c r="G168" s="5"/>
      <c r="H168" s="5"/>
      <c r="I168" s="5"/>
    </row>
    <row r="169" spans="1:9" x14ac:dyDescent="0.2">
      <c r="A169" s="11">
        <v>165</v>
      </c>
      <c r="B169" s="5"/>
      <c r="C169" s="5"/>
      <c r="D169" s="5"/>
      <c r="E169" s="5"/>
      <c r="F169" s="5"/>
      <c r="G169" s="5"/>
      <c r="H169" s="5"/>
      <c r="I169" s="5"/>
    </row>
    <row r="170" spans="1:9" x14ac:dyDescent="0.2">
      <c r="A170" s="11">
        <v>166</v>
      </c>
      <c r="B170" s="5"/>
      <c r="C170" s="5"/>
      <c r="D170" s="5"/>
      <c r="E170" s="5"/>
      <c r="F170" s="5"/>
      <c r="G170" s="5"/>
      <c r="H170" s="5"/>
      <c r="I170" s="5"/>
    </row>
    <row r="171" spans="1:9" x14ac:dyDescent="0.2">
      <c r="A171" s="11">
        <v>167</v>
      </c>
      <c r="B171" s="5"/>
      <c r="C171" s="5"/>
      <c r="D171" s="5"/>
      <c r="E171" s="5"/>
      <c r="F171" s="5"/>
      <c r="G171" s="5"/>
      <c r="H171" s="5"/>
      <c r="I171" s="5"/>
    </row>
    <row r="172" spans="1:9" x14ac:dyDescent="0.2">
      <c r="A172" s="11">
        <v>168</v>
      </c>
      <c r="B172" s="5"/>
      <c r="C172" s="5"/>
      <c r="D172" s="5"/>
      <c r="E172" s="5"/>
      <c r="F172" s="5"/>
      <c r="G172" s="5"/>
      <c r="H172" s="5"/>
      <c r="I172" s="5"/>
    </row>
    <row r="173" spans="1:9" x14ac:dyDescent="0.2">
      <c r="A173" s="11">
        <v>169</v>
      </c>
      <c r="B173" s="5"/>
      <c r="C173" s="5"/>
      <c r="D173" s="5"/>
      <c r="E173" s="5"/>
      <c r="F173" s="5"/>
      <c r="G173" s="5"/>
      <c r="H173" s="5"/>
      <c r="I173" s="5"/>
    </row>
    <row r="174" spans="1:9" x14ac:dyDescent="0.2">
      <c r="A174" s="11">
        <v>170</v>
      </c>
      <c r="B174" s="5"/>
      <c r="C174" s="5"/>
      <c r="D174" s="5"/>
      <c r="E174" s="5"/>
      <c r="F174" s="5"/>
      <c r="G174" s="5"/>
      <c r="H174" s="5"/>
      <c r="I174" s="5"/>
    </row>
    <row r="175" spans="1:9" x14ac:dyDescent="0.2">
      <c r="A175" s="11">
        <v>171</v>
      </c>
      <c r="B175" s="5"/>
      <c r="C175" s="5"/>
      <c r="D175" s="5"/>
      <c r="E175" s="5"/>
      <c r="F175" s="5"/>
      <c r="G175" s="5"/>
      <c r="H175" s="5"/>
      <c r="I175" s="5"/>
    </row>
    <row r="176" spans="1:9" x14ac:dyDescent="0.2">
      <c r="A176" s="11">
        <v>172</v>
      </c>
      <c r="B176" s="5"/>
      <c r="C176" s="5"/>
      <c r="D176" s="5"/>
      <c r="E176" s="5"/>
      <c r="F176" s="5"/>
      <c r="G176" s="5"/>
      <c r="H176" s="5"/>
      <c r="I176" s="5"/>
    </row>
    <row r="177" spans="1:9" x14ac:dyDescent="0.2">
      <c r="A177" s="11">
        <v>173</v>
      </c>
      <c r="B177" s="5"/>
      <c r="C177" s="5"/>
      <c r="D177" s="5"/>
      <c r="E177" s="5"/>
      <c r="F177" s="5"/>
      <c r="G177" s="5"/>
      <c r="H177" s="5"/>
      <c r="I177" s="5"/>
    </row>
    <row r="178" spans="1:9" x14ac:dyDescent="0.2">
      <c r="A178" s="11">
        <v>174</v>
      </c>
      <c r="B178" s="5"/>
      <c r="C178" s="5"/>
      <c r="D178" s="5"/>
      <c r="E178" s="5"/>
      <c r="F178" s="5"/>
      <c r="G178" s="5"/>
      <c r="H178" s="5"/>
      <c r="I178" s="5"/>
    </row>
    <row r="179" spans="1:9" x14ac:dyDescent="0.2">
      <c r="A179" s="11">
        <v>175</v>
      </c>
      <c r="B179" s="5"/>
      <c r="C179" s="5"/>
      <c r="D179" s="5"/>
      <c r="E179" s="5"/>
      <c r="F179" s="5"/>
      <c r="G179" s="5"/>
      <c r="H179" s="5"/>
      <c r="I179" s="5"/>
    </row>
    <row r="180" spans="1:9" x14ac:dyDescent="0.2">
      <c r="A180" s="11">
        <v>176</v>
      </c>
      <c r="B180" s="5"/>
      <c r="C180" s="5"/>
      <c r="D180" s="5"/>
      <c r="E180" s="5"/>
      <c r="F180" s="5"/>
      <c r="G180" s="5"/>
      <c r="H180" s="5"/>
      <c r="I180" s="5"/>
    </row>
    <row r="181" spans="1:9" x14ac:dyDescent="0.2">
      <c r="A181" s="11">
        <v>177</v>
      </c>
      <c r="B181" s="5"/>
      <c r="C181" s="5"/>
      <c r="D181" s="5"/>
      <c r="E181" s="5"/>
      <c r="F181" s="5"/>
      <c r="G181" s="5"/>
      <c r="H181" s="5"/>
      <c r="I181" s="5"/>
    </row>
    <row r="182" spans="1:9" x14ac:dyDescent="0.2">
      <c r="A182" s="11">
        <v>178</v>
      </c>
      <c r="B182" s="5"/>
      <c r="C182" s="5"/>
      <c r="D182" s="5"/>
      <c r="E182" s="5"/>
      <c r="F182" s="5"/>
      <c r="G182" s="5"/>
      <c r="H182" s="5"/>
      <c r="I182" s="5"/>
    </row>
    <row r="183" spans="1:9" x14ac:dyDescent="0.2">
      <c r="A183" s="11">
        <v>179</v>
      </c>
      <c r="B183" s="5"/>
      <c r="C183" s="5"/>
      <c r="D183" s="5"/>
      <c r="E183" s="5"/>
      <c r="F183" s="5"/>
      <c r="G183" s="5"/>
      <c r="H183" s="5"/>
      <c r="I183" s="5"/>
    </row>
    <row r="184" spans="1:9" x14ac:dyDescent="0.2">
      <c r="A184" s="11">
        <v>180</v>
      </c>
      <c r="B184" s="5"/>
      <c r="C184" s="5"/>
      <c r="D184" s="5"/>
      <c r="E184" s="5"/>
      <c r="F184" s="5"/>
      <c r="G184" s="5"/>
      <c r="H184" s="5"/>
      <c r="I184" s="5"/>
    </row>
    <row r="185" spans="1:9" x14ac:dyDescent="0.2">
      <c r="A185" s="11">
        <v>181</v>
      </c>
      <c r="B185" s="5"/>
      <c r="C185" s="5"/>
      <c r="D185" s="5"/>
      <c r="E185" s="5"/>
      <c r="F185" s="5"/>
      <c r="G185" s="5"/>
      <c r="H185" s="5"/>
      <c r="I185" s="5"/>
    </row>
    <row r="186" spans="1:9" x14ac:dyDescent="0.2">
      <c r="A186" s="11">
        <v>182</v>
      </c>
      <c r="B186" s="5"/>
      <c r="C186" s="5"/>
      <c r="D186" s="5"/>
      <c r="E186" s="5"/>
      <c r="F186" s="5"/>
      <c r="G186" s="5"/>
      <c r="H186" s="5"/>
      <c r="I186" s="5"/>
    </row>
    <row r="187" spans="1:9" x14ac:dyDescent="0.2">
      <c r="A187" s="11">
        <v>183</v>
      </c>
      <c r="B187" s="5"/>
      <c r="C187" s="5"/>
      <c r="D187" s="5"/>
      <c r="E187" s="5"/>
      <c r="F187" s="5"/>
      <c r="G187" s="5"/>
      <c r="H187" s="5"/>
      <c r="I187" s="5"/>
    </row>
    <row r="188" spans="1:9" x14ac:dyDescent="0.2">
      <c r="A188" s="11">
        <v>184</v>
      </c>
      <c r="B188" s="5"/>
      <c r="C188" s="5"/>
      <c r="D188" s="5"/>
      <c r="E188" s="5"/>
      <c r="F188" s="5"/>
      <c r="G188" s="5"/>
      <c r="H188" s="5"/>
      <c r="I188" s="5"/>
    </row>
    <row r="189" spans="1:9" x14ac:dyDescent="0.2">
      <c r="A189" s="11">
        <v>185</v>
      </c>
      <c r="B189" s="5"/>
      <c r="C189" s="5"/>
      <c r="D189" s="5"/>
      <c r="E189" s="5"/>
      <c r="F189" s="5"/>
      <c r="G189" s="5"/>
      <c r="H189" s="5"/>
      <c r="I189" s="5"/>
    </row>
    <row r="190" spans="1:9" x14ac:dyDescent="0.2">
      <c r="A190" s="11">
        <v>186</v>
      </c>
      <c r="B190" s="5"/>
      <c r="C190" s="5"/>
      <c r="D190" s="5"/>
      <c r="E190" s="5"/>
      <c r="F190" s="5"/>
      <c r="G190" s="5"/>
      <c r="H190" s="5"/>
      <c r="I190" s="5"/>
    </row>
    <row r="191" spans="1:9" x14ac:dyDescent="0.2">
      <c r="A191" s="11">
        <v>187</v>
      </c>
      <c r="B191" s="5"/>
      <c r="C191" s="5"/>
      <c r="D191" s="5"/>
      <c r="E191" s="5"/>
      <c r="F191" s="5"/>
      <c r="G191" s="5"/>
      <c r="H191" s="5"/>
      <c r="I191" s="5"/>
    </row>
    <row r="192" spans="1:9" x14ac:dyDescent="0.2">
      <c r="A192" s="11">
        <v>188</v>
      </c>
      <c r="B192" s="5"/>
      <c r="C192" s="5"/>
      <c r="D192" s="5"/>
      <c r="E192" s="5"/>
      <c r="F192" s="5"/>
      <c r="G192" s="5"/>
      <c r="H192" s="5"/>
      <c r="I192" s="5"/>
    </row>
    <row r="193" spans="1:9" x14ac:dyDescent="0.2">
      <c r="A193" s="11">
        <v>189</v>
      </c>
      <c r="B193" s="5"/>
      <c r="C193" s="5"/>
      <c r="D193" s="5"/>
      <c r="E193" s="5"/>
      <c r="F193" s="5"/>
      <c r="G193" s="5"/>
      <c r="H193" s="5"/>
      <c r="I193" s="5"/>
    </row>
    <row r="194" spans="1:9" x14ac:dyDescent="0.2">
      <c r="A194" s="11">
        <v>190</v>
      </c>
      <c r="B194" s="5"/>
      <c r="C194" s="5"/>
      <c r="D194" s="5"/>
      <c r="E194" s="5"/>
      <c r="F194" s="5"/>
      <c r="G194" s="5"/>
      <c r="H194" s="5"/>
      <c r="I194" s="5"/>
    </row>
    <row r="195" spans="1:9" x14ac:dyDescent="0.2">
      <c r="A195" s="11">
        <v>191</v>
      </c>
      <c r="B195" s="5"/>
      <c r="C195" s="5"/>
      <c r="D195" s="5"/>
      <c r="E195" s="5"/>
      <c r="F195" s="5"/>
      <c r="G195" s="5"/>
      <c r="H195" s="5"/>
      <c r="I195" s="5"/>
    </row>
    <row r="196" spans="1:9" x14ac:dyDescent="0.2">
      <c r="A196" s="11">
        <v>192</v>
      </c>
      <c r="B196" s="5"/>
      <c r="C196" s="5"/>
      <c r="D196" s="5"/>
      <c r="E196" s="5"/>
      <c r="F196" s="5"/>
      <c r="G196" s="5"/>
      <c r="H196" s="5"/>
      <c r="I196" s="5"/>
    </row>
    <row r="197" spans="1:9" x14ac:dyDescent="0.2">
      <c r="A197" s="11">
        <v>193</v>
      </c>
      <c r="B197" s="5"/>
      <c r="C197" s="5"/>
      <c r="D197" s="5"/>
      <c r="E197" s="5"/>
      <c r="F197" s="5"/>
      <c r="G197" s="5"/>
      <c r="H197" s="5"/>
      <c r="I197" s="5"/>
    </row>
    <row r="198" spans="1:9" x14ac:dyDescent="0.2">
      <c r="A198" s="11">
        <v>194</v>
      </c>
      <c r="B198" s="5"/>
      <c r="C198" s="5"/>
      <c r="D198" s="5"/>
      <c r="E198" s="5"/>
      <c r="F198" s="5"/>
      <c r="G198" s="5"/>
      <c r="H198" s="5"/>
      <c r="I198" s="5"/>
    </row>
    <row r="199" spans="1:9" x14ac:dyDescent="0.2">
      <c r="A199" s="11">
        <v>195</v>
      </c>
      <c r="B199" s="5"/>
      <c r="C199" s="5"/>
      <c r="D199" s="5"/>
      <c r="E199" s="5"/>
      <c r="F199" s="5"/>
      <c r="G199" s="5"/>
      <c r="H199" s="5"/>
      <c r="I199" s="5"/>
    </row>
    <row r="200" spans="1:9" x14ac:dyDescent="0.2">
      <c r="A200" s="11">
        <v>196</v>
      </c>
      <c r="B200" s="5"/>
      <c r="C200" s="5"/>
      <c r="D200" s="5"/>
      <c r="E200" s="5"/>
      <c r="F200" s="5"/>
      <c r="G200" s="5"/>
      <c r="H200" s="5"/>
      <c r="I200" s="5"/>
    </row>
    <row r="201" spans="1:9" x14ac:dyDescent="0.2">
      <c r="A201" s="11">
        <v>197</v>
      </c>
      <c r="B201" s="5"/>
      <c r="C201" s="5"/>
      <c r="D201" s="5"/>
      <c r="E201" s="5"/>
      <c r="F201" s="5"/>
      <c r="G201" s="5"/>
      <c r="H201" s="5"/>
      <c r="I201" s="5"/>
    </row>
    <row r="202" spans="1:9" x14ac:dyDescent="0.2">
      <c r="A202" s="11">
        <v>198</v>
      </c>
      <c r="B202" s="5"/>
      <c r="C202" s="5"/>
      <c r="D202" s="5"/>
      <c r="E202" s="5"/>
      <c r="F202" s="5"/>
      <c r="G202" s="5"/>
      <c r="H202" s="5"/>
      <c r="I202" s="5"/>
    </row>
    <row r="203" spans="1:9" x14ac:dyDescent="0.2">
      <c r="A203" s="11">
        <v>199</v>
      </c>
      <c r="B203" s="5"/>
      <c r="C203" s="5"/>
      <c r="D203" s="5"/>
      <c r="E203" s="5"/>
      <c r="F203" s="5"/>
      <c r="G203" s="5"/>
      <c r="H203" s="5"/>
      <c r="I203" s="5"/>
    </row>
    <row r="204" spans="1:9" x14ac:dyDescent="0.2">
      <c r="A204" s="11">
        <v>200</v>
      </c>
      <c r="B204" s="5"/>
      <c r="C204" s="5"/>
      <c r="D204" s="5"/>
      <c r="E204" s="5"/>
      <c r="F204" s="5"/>
      <c r="G204" s="5"/>
      <c r="H204" s="5"/>
      <c r="I204" s="5"/>
    </row>
  </sheetData>
  <autoFilter ref="A4:I204" xr:uid="{00000000-0009-0000-0000-000003000000}"/>
  <dataValidations count="3">
    <dataValidation type="list" allowBlank="1" showInputMessage="1" showErrorMessage="1" promptTitle="Select" prompt="System this item belongs to" sqref="B5:B204" xr:uid="{00000000-0002-0000-0300-000000000000}">
      <formula1>SystemList</formula1>
    </dataValidation>
    <dataValidation type="list" allowBlank="1" showInputMessage="1" showErrorMessage="1" promptTitle="Select" prompt="Equipment type (from Lists)" sqref="E5:E204" xr:uid="{00000000-0002-0000-0300-000001000000}">
      <formula1>EqTypeList</formula1>
    </dataValidation>
    <dataValidation type="list" errorStyle="information" allowBlank="1" showErrorMessage="1" errorTitle="Not in list" error="Entry is not in the list – it will be accepted as free text." sqref="G5:G204" xr:uid="{00000000-0002-0000-0300-000002000000}">
      <formula1>"Duty,Standby,Single,Spare,Common"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253"/>
  <sheetViews>
    <sheetView topLeftCell="K1" zoomScale="166" zoomScaleNormal="166" workbookViewId="0">
      <pane ySplit="4" topLeftCell="A5" activePane="bottomLeft" state="frozen"/>
      <selection pane="bottomLeft" activeCell="G27" sqref="G27"/>
    </sheetView>
  </sheetViews>
  <sheetFormatPr baseColWidth="10" defaultColWidth="8.83203125" defaultRowHeight="15" x14ac:dyDescent="0.2"/>
  <cols>
    <col min="1" max="1" width="44" customWidth="1"/>
    <col min="3" max="3" width="44" customWidth="1"/>
    <col min="4" max="4" width="36" customWidth="1"/>
    <col min="6" max="7" width="44" customWidth="1"/>
    <col min="9" max="9" width="52" customWidth="1"/>
    <col min="11" max="11" width="46" customWidth="1"/>
    <col min="13" max="13" width="34" customWidth="1"/>
    <col min="15" max="15" width="22" customWidth="1"/>
  </cols>
  <sheetData>
    <row r="1" spans="1:15" ht="20" x14ac:dyDescent="0.2">
      <c r="A1" s="1" t="s">
        <v>257</v>
      </c>
    </row>
    <row r="2" spans="1:15" x14ac:dyDescent="0.2">
      <c r="A2" s="2" t="s">
        <v>258</v>
      </c>
    </row>
    <row r="4" spans="1:15" x14ac:dyDescent="0.2">
      <c r="A4" s="8" t="s">
        <v>259</v>
      </c>
      <c r="C4" s="8" t="s">
        <v>194</v>
      </c>
      <c r="D4" s="8" t="s">
        <v>260</v>
      </c>
      <c r="F4" s="8" t="s">
        <v>194</v>
      </c>
      <c r="G4" s="8" t="s">
        <v>261</v>
      </c>
      <c r="I4" s="8" t="s">
        <v>262</v>
      </c>
      <c r="K4" s="8" t="s">
        <v>263</v>
      </c>
      <c r="M4" s="8" t="s">
        <v>264</v>
      </c>
      <c r="O4" s="8" t="s">
        <v>265</v>
      </c>
    </row>
    <row r="5" spans="1:15" x14ac:dyDescent="0.2">
      <c r="A5" s="14" t="s">
        <v>266</v>
      </c>
      <c r="C5" s="14" t="s">
        <v>266</v>
      </c>
      <c r="D5" s="14" t="s">
        <v>267</v>
      </c>
      <c r="F5" s="14" t="s">
        <v>266</v>
      </c>
      <c r="G5" s="14" t="s">
        <v>268</v>
      </c>
      <c r="I5" s="14" t="s">
        <v>269</v>
      </c>
      <c r="K5" s="14" t="s">
        <v>270</v>
      </c>
      <c r="M5" s="14" t="s">
        <v>271</v>
      </c>
      <c r="O5" s="14" t="s">
        <v>70</v>
      </c>
    </row>
    <row r="6" spans="1:15" x14ac:dyDescent="0.2">
      <c r="A6" s="14" t="s">
        <v>272</v>
      </c>
      <c r="C6" s="14" t="s">
        <v>266</v>
      </c>
      <c r="D6" s="14" t="s">
        <v>273</v>
      </c>
      <c r="F6" s="14" t="s">
        <v>266</v>
      </c>
      <c r="G6" s="14" t="s">
        <v>274</v>
      </c>
      <c r="I6" s="14" t="s">
        <v>275</v>
      </c>
      <c r="K6" s="14" t="s">
        <v>276</v>
      </c>
      <c r="M6" s="14" t="s">
        <v>277</v>
      </c>
      <c r="O6" s="14" t="s">
        <v>79</v>
      </c>
    </row>
    <row r="7" spans="1:15" x14ac:dyDescent="0.2">
      <c r="A7" s="14" t="s">
        <v>278</v>
      </c>
      <c r="C7" s="14" t="s">
        <v>266</v>
      </c>
      <c r="D7" s="14" t="s">
        <v>279</v>
      </c>
      <c r="F7" s="14" t="s">
        <v>266</v>
      </c>
      <c r="G7" s="14" t="s">
        <v>280</v>
      </c>
      <c r="I7" s="14" t="s">
        <v>281</v>
      </c>
      <c r="K7" s="14" t="s">
        <v>282</v>
      </c>
      <c r="M7" s="14" t="s">
        <v>283</v>
      </c>
      <c r="O7" s="14" t="s">
        <v>92</v>
      </c>
    </row>
    <row r="8" spans="1:15" x14ac:dyDescent="0.2">
      <c r="A8" s="14" t="s">
        <v>284</v>
      </c>
      <c r="C8" s="14" t="s">
        <v>266</v>
      </c>
      <c r="D8" s="14" t="s">
        <v>285</v>
      </c>
      <c r="F8" s="14" t="s">
        <v>266</v>
      </c>
      <c r="G8" s="14" t="s">
        <v>286</v>
      </c>
      <c r="I8" s="14" t="s">
        <v>287</v>
      </c>
      <c r="K8" s="14" t="s">
        <v>288</v>
      </c>
      <c r="M8" s="14" t="s">
        <v>289</v>
      </c>
      <c r="O8" s="14" t="s">
        <v>99</v>
      </c>
    </row>
    <row r="9" spans="1:15" x14ac:dyDescent="0.2">
      <c r="A9" s="14" t="s">
        <v>290</v>
      </c>
      <c r="C9" s="14" t="s">
        <v>266</v>
      </c>
      <c r="D9" s="14" t="s">
        <v>291</v>
      </c>
      <c r="F9" s="14" t="s">
        <v>266</v>
      </c>
      <c r="G9" s="14" t="s">
        <v>292</v>
      </c>
      <c r="I9" s="14" t="s">
        <v>293</v>
      </c>
      <c r="K9" s="14" t="s">
        <v>294</v>
      </c>
      <c r="M9" s="14" t="s">
        <v>295</v>
      </c>
      <c r="O9" s="14" t="s">
        <v>104</v>
      </c>
    </row>
    <row r="10" spans="1:15" x14ac:dyDescent="0.2">
      <c r="A10" s="14" t="s">
        <v>207</v>
      </c>
      <c r="C10" s="14" t="s">
        <v>266</v>
      </c>
      <c r="D10" s="14" t="s">
        <v>296</v>
      </c>
      <c r="F10" s="14" t="s">
        <v>266</v>
      </c>
      <c r="G10" s="14" t="s">
        <v>297</v>
      </c>
      <c r="I10" s="14" t="s">
        <v>298</v>
      </c>
      <c r="K10" s="14" t="s">
        <v>299</v>
      </c>
      <c r="M10" s="14" t="s">
        <v>300</v>
      </c>
      <c r="O10" s="14" t="s">
        <v>109</v>
      </c>
    </row>
    <row r="11" spans="1:15" x14ac:dyDescent="0.2">
      <c r="A11" s="14" t="s">
        <v>211</v>
      </c>
      <c r="C11" s="14" t="s">
        <v>266</v>
      </c>
      <c r="D11" s="14" t="s">
        <v>301</v>
      </c>
      <c r="F11" s="14" t="s">
        <v>266</v>
      </c>
      <c r="G11" s="14" t="s">
        <v>302</v>
      </c>
      <c r="I11" s="14" t="s">
        <v>303</v>
      </c>
      <c r="K11" s="14" t="s">
        <v>304</v>
      </c>
      <c r="M11" s="14" t="s">
        <v>305</v>
      </c>
      <c r="O11" s="14" t="s">
        <v>306</v>
      </c>
    </row>
    <row r="12" spans="1:15" x14ac:dyDescent="0.2">
      <c r="A12" s="14" t="s">
        <v>201</v>
      </c>
      <c r="C12" s="14" t="s">
        <v>266</v>
      </c>
      <c r="D12" s="14" t="s">
        <v>307</v>
      </c>
      <c r="F12" s="14" t="s">
        <v>266</v>
      </c>
      <c r="G12" s="14" t="s">
        <v>308</v>
      </c>
      <c r="I12" s="14" t="s">
        <v>309</v>
      </c>
      <c r="K12" s="14" t="s">
        <v>310</v>
      </c>
      <c r="M12" s="14" t="s">
        <v>311</v>
      </c>
    </row>
    <row r="13" spans="1:15" x14ac:dyDescent="0.2">
      <c r="A13" s="14" t="s">
        <v>230</v>
      </c>
      <c r="C13" s="14" t="s">
        <v>266</v>
      </c>
      <c r="D13" s="14" t="s">
        <v>312</v>
      </c>
      <c r="F13" s="14" t="s">
        <v>266</v>
      </c>
      <c r="G13" s="14" t="s">
        <v>313</v>
      </c>
      <c r="I13" s="14" t="s">
        <v>314</v>
      </c>
      <c r="K13" s="14" t="s">
        <v>315</v>
      </c>
      <c r="M13" s="14" t="s">
        <v>316</v>
      </c>
    </row>
    <row r="14" spans="1:15" x14ac:dyDescent="0.2">
      <c r="A14" s="14" t="s">
        <v>317</v>
      </c>
      <c r="C14" s="14" t="s">
        <v>266</v>
      </c>
      <c r="D14" s="14" t="s">
        <v>318</v>
      </c>
      <c r="F14" s="14" t="s">
        <v>266</v>
      </c>
      <c r="G14" s="14" t="s">
        <v>319</v>
      </c>
      <c r="I14" s="14" t="s">
        <v>320</v>
      </c>
      <c r="K14" s="14" t="s">
        <v>321</v>
      </c>
    </row>
    <row r="15" spans="1:15" x14ac:dyDescent="0.2">
      <c r="A15" s="14" t="s">
        <v>322</v>
      </c>
      <c r="C15" s="14" t="s">
        <v>272</v>
      </c>
      <c r="D15" s="14" t="s">
        <v>323</v>
      </c>
      <c r="F15" s="14" t="s">
        <v>266</v>
      </c>
      <c r="G15" s="14" t="s">
        <v>324</v>
      </c>
      <c r="I15" s="14" t="s">
        <v>325</v>
      </c>
      <c r="K15" s="14" t="s">
        <v>326</v>
      </c>
    </row>
    <row r="16" spans="1:15" x14ac:dyDescent="0.2">
      <c r="A16" s="14" t="s">
        <v>327</v>
      </c>
      <c r="C16" s="14" t="s">
        <v>272</v>
      </c>
      <c r="D16" s="14" t="s">
        <v>328</v>
      </c>
      <c r="F16" s="14" t="s">
        <v>266</v>
      </c>
      <c r="G16" s="14" t="s">
        <v>329</v>
      </c>
      <c r="I16" s="14" t="s">
        <v>330</v>
      </c>
      <c r="K16" s="14" t="s">
        <v>331</v>
      </c>
    </row>
    <row r="17" spans="1:11" x14ac:dyDescent="0.2">
      <c r="A17" s="14" t="s">
        <v>234</v>
      </c>
      <c r="C17" s="14" t="s">
        <v>272</v>
      </c>
      <c r="D17" s="14" t="s">
        <v>332</v>
      </c>
      <c r="F17" s="14" t="s">
        <v>266</v>
      </c>
      <c r="G17" s="14" t="s">
        <v>333</v>
      </c>
      <c r="I17" s="14" t="s">
        <v>334</v>
      </c>
      <c r="K17" s="14" t="s">
        <v>335</v>
      </c>
    </row>
    <row r="18" spans="1:11" x14ac:dyDescent="0.2">
      <c r="A18" s="14" t="s">
        <v>238</v>
      </c>
      <c r="C18" s="14" t="s">
        <v>272</v>
      </c>
      <c r="D18" s="14" t="s">
        <v>285</v>
      </c>
      <c r="F18" s="14" t="s">
        <v>266</v>
      </c>
      <c r="G18" s="14" t="s">
        <v>336</v>
      </c>
      <c r="I18" s="14" t="s">
        <v>337</v>
      </c>
      <c r="K18" s="14" t="s">
        <v>338</v>
      </c>
    </row>
    <row r="19" spans="1:11" x14ac:dyDescent="0.2">
      <c r="A19" s="14" t="s">
        <v>339</v>
      </c>
      <c r="C19" s="14" t="s">
        <v>272</v>
      </c>
      <c r="D19" s="14" t="s">
        <v>340</v>
      </c>
      <c r="F19" s="14" t="s">
        <v>266</v>
      </c>
      <c r="G19" s="14" t="s">
        <v>341</v>
      </c>
      <c r="I19" s="14" t="s">
        <v>342</v>
      </c>
      <c r="K19" s="14" t="s">
        <v>343</v>
      </c>
    </row>
    <row r="20" spans="1:11" x14ac:dyDescent="0.2">
      <c r="A20" s="14" t="s">
        <v>215</v>
      </c>
      <c r="C20" s="14" t="s">
        <v>272</v>
      </c>
      <c r="D20" s="14" t="s">
        <v>344</v>
      </c>
      <c r="F20" s="14" t="s">
        <v>266</v>
      </c>
      <c r="G20" s="14" t="s">
        <v>345</v>
      </c>
      <c r="I20" s="14" t="s">
        <v>346</v>
      </c>
      <c r="K20" s="14" t="s">
        <v>347</v>
      </c>
    </row>
    <row r="21" spans="1:11" x14ac:dyDescent="0.2">
      <c r="A21" s="14" t="s">
        <v>246</v>
      </c>
      <c r="C21" s="14" t="s">
        <v>272</v>
      </c>
      <c r="D21" s="14" t="s">
        <v>348</v>
      </c>
      <c r="F21" s="14" t="s">
        <v>272</v>
      </c>
      <c r="G21" s="14" t="s">
        <v>268</v>
      </c>
      <c r="I21" s="14" t="s">
        <v>349</v>
      </c>
      <c r="K21" s="14" t="s">
        <v>350</v>
      </c>
    </row>
    <row r="22" spans="1:11" x14ac:dyDescent="0.2">
      <c r="A22" s="14" t="s">
        <v>255</v>
      </c>
      <c r="C22" s="14" t="s">
        <v>272</v>
      </c>
      <c r="D22" s="14" t="s">
        <v>273</v>
      </c>
      <c r="F22" s="14" t="s">
        <v>272</v>
      </c>
      <c r="G22" s="14" t="s">
        <v>274</v>
      </c>
      <c r="I22" s="14" t="s">
        <v>351</v>
      </c>
      <c r="K22" s="14" t="s">
        <v>352</v>
      </c>
    </row>
    <row r="23" spans="1:11" x14ac:dyDescent="0.2">
      <c r="A23" s="14" t="s">
        <v>353</v>
      </c>
      <c r="C23" s="14" t="s">
        <v>278</v>
      </c>
      <c r="D23" s="14" t="s">
        <v>354</v>
      </c>
      <c r="F23" s="14" t="s">
        <v>272</v>
      </c>
      <c r="G23" s="14" t="s">
        <v>280</v>
      </c>
      <c r="I23" s="14" t="s">
        <v>355</v>
      </c>
      <c r="K23" s="14" t="s">
        <v>356</v>
      </c>
    </row>
    <row r="24" spans="1:11" x14ac:dyDescent="0.2">
      <c r="A24" s="14" t="s">
        <v>357</v>
      </c>
      <c r="C24" s="14" t="s">
        <v>278</v>
      </c>
      <c r="D24" s="14" t="s">
        <v>358</v>
      </c>
      <c r="F24" s="14" t="s">
        <v>272</v>
      </c>
      <c r="G24" s="14" t="s">
        <v>286</v>
      </c>
      <c r="I24" s="14" t="s">
        <v>359</v>
      </c>
      <c r="K24" s="14" t="s">
        <v>360</v>
      </c>
    </row>
    <row r="25" spans="1:11" x14ac:dyDescent="0.2">
      <c r="A25" s="14" t="s">
        <v>361</v>
      </c>
      <c r="C25" s="14" t="s">
        <v>278</v>
      </c>
      <c r="D25" s="14" t="s">
        <v>362</v>
      </c>
      <c r="F25" s="14" t="s">
        <v>272</v>
      </c>
      <c r="G25" s="14" t="s">
        <v>292</v>
      </c>
      <c r="I25" s="14" t="s">
        <v>363</v>
      </c>
      <c r="K25" s="14" t="s">
        <v>364</v>
      </c>
    </row>
    <row r="26" spans="1:11" x14ac:dyDescent="0.2">
      <c r="A26" s="14" t="s">
        <v>365</v>
      </c>
      <c r="C26" s="14" t="s">
        <v>278</v>
      </c>
      <c r="D26" s="14" t="s">
        <v>366</v>
      </c>
      <c r="F26" s="14" t="s">
        <v>272</v>
      </c>
      <c r="G26" s="14" t="s">
        <v>297</v>
      </c>
      <c r="I26" s="14" t="s">
        <v>367</v>
      </c>
    </row>
    <row r="27" spans="1:11" x14ac:dyDescent="0.2">
      <c r="A27" s="14" t="s">
        <v>368</v>
      </c>
      <c r="C27" s="14" t="s">
        <v>278</v>
      </c>
      <c r="D27" s="14" t="s">
        <v>369</v>
      </c>
      <c r="F27" s="14" t="s">
        <v>272</v>
      </c>
      <c r="G27" s="14" t="s">
        <v>302</v>
      </c>
      <c r="I27" s="14" t="s">
        <v>370</v>
      </c>
    </row>
    <row r="28" spans="1:11" x14ac:dyDescent="0.2">
      <c r="A28" s="14" t="s">
        <v>371</v>
      </c>
      <c r="C28" s="14" t="s">
        <v>278</v>
      </c>
      <c r="D28" s="14" t="s">
        <v>372</v>
      </c>
      <c r="F28" s="14" t="s">
        <v>272</v>
      </c>
      <c r="G28" s="14" t="s">
        <v>308</v>
      </c>
      <c r="I28" s="14" t="s">
        <v>373</v>
      </c>
    </row>
    <row r="29" spans="1:11" x14ac:dyDescent="0.2">
      <c r="A29" s="14" t="s">
        <v>374</v>
      </c>
      <c r="C29" s="14" t="s">
        <v>278</v>
      </c>
      <c r="D29" s="14" t="s">
        <v>273</v>
      </c>
      <c r="F29" s="14" t="s">
        <v>272</v>
      </c>
      <c r="G29" s="14" t="s">
        <v>313</v>
      </c>
      <c r="I29" s="14" t="s">
        <v>375</v>
      </c>
    </row>
    <row r="30" spans="1:11" x14ac:dyDescent="0.2">
      <c r="A30" s="14" t="s">
        <v>376</v>
      </c>
      <c r="C30" s="14" t="s">
        <v>278</v>
      </c>
      <c r="D30" s="14" t="s">
        <v>296</v>
      </c>
      <c r="F30" s="14" t="s">
        <v>272</v>
      </c>
      <c r="G30" s="14" t="s">
        <v>319</v>
      </c>
      <c r="I30" s="14" t="s">
        <v>377</v>
      </c>
    </row>
    <row r="31" spans="1:11" x14ac:dyDescent="0.2">
      <c r="A31" s="14" t="s">
        <v>378</v>
      </c>
      <c r="C31" s="14" t="s">
        <v>278</v>
      </c>
      <c r="D31" s="14" t="s">
        <v>379</v>
      </c>
      <c r="F31" s="14" t="s">
        <v>272</v>
      </c>
      <c r="G31" s="14" t="s">
        <v>324</v>
      </c>
      <c r="I31" s="14" t="s">
        <v>380</v>
      </c>
    </row>
    <row r="32" spans="1:11" x14ac:dyDescent="0.2">
      <c r="A32" s="14" t="s">
        <v>225</v>
      </c>
      <c r="C32" s="14" t="s">
        <v>278</v>
      </c>
      <c r="D32" s="14" t="s">
        <v>381</v>
      </c>
      <c r="F32" s="14" t="s">
        <v>272</v>
      </c>
      <c r="G32" s="14" t="s">
        <v>329</v>
      </c>
      <c r="I32" s="14" t="s">
        <v>382</v>
      </c>
    </row>
    <row r="33" spans="1:9" x14ac:dyDescent="0.2">
      <c r="A33" s="14" t="s">
        <v>383</v>
      </c>
      <c r="C33" s="14" t="s">
        <v>284</v>
      </c>
      <c r="D33" s="14" t="s">
        <v>384</v>
      </c>
      <c r="F33" s="14" t="s">
        <v>272</v>
      </c>
      <c r="G33" s="14" t="s">
        <v>333</v>
      </c>
      <c r="I33" s="14" t="s">
        <v>385</v>
      </c>
    </row>
    <row r="34" spans="1:9" x14ac:dyDescent="0.2">
      <c r="C34" s="14" t="s">
        <v>284</v>
      </c>
      <c r="D34" s="14" t="s">
        <v>386</v>
      </c>
      <c r="F34" s="14" t="s">
        <v>272</v>
      </c>
      <c r="G34" s="14" t="s">
        <v>336</v>
      </c>
      <c r="I34" s="14" t="s">
        <v>387</v>
      </c>
    </row>
    <row r="35" spans="1:9" x14ac:dyDescent="0.2">
      <c r="C35" s="14" t="s">
        <v>284</v>
      </c>
      <c r="D35" s="14" t="s">
        <v>388</v>
      </c>
      <c r="F35" s="14" t="s">
        <v>272</v>
      </c>
      <c r="G35" s="14" t="s">
        <v>341</v>
      </c>
      <c r="I35" s="14" t="s">
        <v>389</v>
      </c>
    </row>
    <row r="36" spans="1:9" x14ac:dyDescent="0.2">
      <c r="C36" s="14" t="s">
        <v>284</v>
      </c>
      <c r="D36" s="14" t="s">
        <v>390</v>
      </c>
      <c r="F36" s="14" t="s">
        <v>272</v>
      </c>
      <c r="G36" s="14" t="s">
        <v>345</v>
      </c>
      <c r="I36" s="14" t="s">
        <v>391</v>
      </c>
    </row>
    <row r="37" spans="1:9" x14ac:dyDescent="0.2">
      <c r="C37" s="14" t="s">
        <v>284</v>
      </c>
      <c r="D37" s="14" t="s">
        <v>392</v>
      </c>
      <c r="F37" s="14" t="s">
        <v>278</v>
      </c>
      <c r="G37" s="14" t="s">
        <v>268</v>
      </c>
      <c r="I37" s="14" t="s">
        <v>393</v>
      </c>
    </row>
    <row r="38" spans="1:9" x14ac:dyDescent="0.2">
      <c r="C38" s="14" t="s">
        <v>284</v>
      </c>
      <c r="D38" s="14" t="s">
        <v>394</v>
      </c>
      <c r="F38" s="14" t="s">
        <v>278</v>
      </c>
      <c r="G38" s="14" t="s">
        <v>274</v>
      </c>
      <c r="I38" s="14" t="s">
        <v>395</v>
      </c>
    </row>
    <row r="39" spans="1:9" x14ac:dyDescent="0.2">
      <c r="C39" s="14" t="s">
        <v>284</v>
      </c>
      <c r="D39" s="14" t="s">
        <v>396</v>
      </c>
      <c r="F39" s="14" t="s">
        <v>278</v>
      </c>
      <c r="G39" s="14" t="s">
        <v>280</v>
      </c>
      <c r="I39" s="14" t="s">
        <v>397</v>
      </c>
    </row>
    <row r="40" spans="1:9" x14ac:dyDescent="0.2">
      <c r="C40" s="14" t="s">
        <v>284</v>
      </c>
      <c r="D40" s="14" t="s">
        <v>398</v>
      </c>
      <c r="F40" s="14" t="s">
        <v>278</v>
      </c>
      <c r="G40" s="14" t="s">
        <v>286</v>
      </c>
      <c r="I40" s="14" t="s">
        <v>399</v>
      </c>
    </row>
    <row r="41" spans="1:9" x14ac:dyDescent="0.2">
      <c r="C41" s="14" t="s">
        <v>284</v>
      </c>
      <c r="D41" s="14" t="s">
        <v>400</v>
      </c>
      <c r="F41" s="14" t="s">
        <v>278</v>
      </c>
      <c r="G41" s="14" t="s">
        <v>401</v>
      </c>
      <c r="I41" s="14" t="s">
        <v>402</v>
      </c>
    </row>
    <row r="42" spans="1:9" x14ac:dyDescent="0.2">
      <c r="C42" s="14" t="s">
        <v>284</v>
      </c>
      <c r="D42" s="14" t="s">
        <v>403</v>
      </c>
      <c r="F42" s="14" t="s">
        <v>278</v>
      </c>
      <c r="G42" s="14" t="s">
        <v>297</v>
      </c>
      <c r="I42" s="14" t="s">
        <v>404</v>
      </c>
    </row>
    <row r="43" spans="1:9" x14ac:dyDescent="0.2">
      <c r="C43" s="14" t="s">
        <v>290</v>
      </c>
      <c r="D43" s="14" t="s">
        <v>405</v>
      </c>
      <c r="F43" s="14" t="s">
        <v>278</v>
      </c>
      <c r="G43" s="14" t="s">
        <v>406</v>
      </c>
      <c r="I43" s="14" t="s">
        <v>407</v>
      </c>
    </row>
    <row r="44" spans="1:9" x14ac:dyDescent="0.2">
      <c r="C44" s="14" t="s">
        <v>290</v>
      </c>
      <c r="D44" s="14" t="s">
        <v>408</v>
      </c>
      <c r="F44" s="14" t="s">
        <v>278</v>
      </c>
      <c r="G44" s="14" t="s">
        <v>302</v>
      </c>
      <c r="I44" s="14" t="s">
        <v>409</v>
      </c>
    </row>
    <row r="45" spans="1:9" x14ac:dyDescent="0.2">
      <c r="C45" s="14" t="s">
        <v>290</v>
      </c>
      <c r="D45" s="14" t="s">
        <v>279</v>
      </c>
      <c r="F45" s="14" t="s">
        <v>278</v>
      </c>
      <c r="G45" s="14" t="s">
        <v>308</v>
      </c>
      <c r="I45" s="14" t="s">
        <v>410</v>
      </c>
    </row>
    <row r="46" spans="1:9" x14ac:dyDescent="0.2">
      <c r="C46" s="14" t="s">
        <v>290</v>
      </c>
      <c r="D46" s="14" t="s">
        <v>285</v>
      </c>
      <c r="F46" s="14" t="s">
        <v>278</v>
      </c>
      <c r="G46" s="14" t="s">
        <v>411</v>
      </c>
      <c r="I46" s="14" t="s">
        <v>412</v>
      </c>
    </row>
    <row r="47" spans="1:9" x14ac:dyDescent="0.2">
      <c r="C47" s="14" t="s">
        <v>290</v>
      </c>
      <c r="D47" s="14" t="s">
        <v>413</v>
      </c>
      <c r="F47" s="14" t="s">
        <v>278</v>
      </c>
      <c r="G47" s="14" t="s">
        <v>319</v>
      </c>
      <c r="I47" s="14" t="s">
        <v>414</v>
      </c>
    </row>
    <row r="48" spans="1:9" x14ac:dyDescent="0.2">
      <c r="C48" s="14" t="s">
        <v>290</v>
      </c>
      <c r="D48" s="14" t="s">
        <v>415</v>
      </c>
      <c r="F48" s="14" t="s">
        <v>278</v>
      </c>
      <c r="G48" s="14" t="s">
        <v>324</v>
      </c>
      <c r="I48" s="14" t="s">
        <v>416</v>
      </c>
    </row>
    <row r="49" spans="3:9" x14ac:dyDescent="0.2">
      <c r="C49" s="14" t="s">
        <v>290</v>
      </c>
      <c r="D49" s="14" t="s">
        <v>417</v>
      </c>
      <c r="F49" s="14" t="s">
        <v>278</v>
      </c>
      <c r="G49" s="14" t="s">
        <v>329</v>
      </c>
      <c r="I49" s="14" t="s">
        <v>418</v>
      </c>
    </row>
    <row r="50" spans="3:9" x14ac:dyDescent="0.2">
      <c r="C50" s="14" t="s">
        <v>290</v>
      </c>
      <c r="D50" s="14" t="s">
        <v>419</v>
      </c>
      <c r="F50" s="14" t="s">
        <v>278</v>
      </c>
      <c r="G50" s="14" t="s">
        <v>333</v>
      </c>
      <c r="I50" s="14" t="s">
        <v>420</v>
      </c>
    </row>
    <row r="51" spans="3:9" x14ac:dyDescent="0.2">
      <c r="C51" s="14" t="s">
        <v>207</v>
      </c>
      <c r="D51" s="14" t="s">
        <v>421</v>
      </c>
      <c r="F51" s="14" t="s">
        <v>278</v>
      </c>
      <c r="G51" s="14" t="s">
        <v>345</v>
      </c>
      <c r="I51" s="14" t="s">
        <v>422</v>
      </c>
    </row>
    <row r="52" spans="3:9" x14ac:dyDescent="0.2">
      <c r="C52" s="14" t="s">
        <v>207</v>
      </c>
      <c r="D52" s="14" t="s">
        <v>423</v>
      </c>
      <c r="F52" s="14" t="s">
        <v>284</v>
      </c>
      <c r="G52" s="14" t="s">
        <v>268</v>
      </c>
      <c r="I52" s="14" t="s">
        <v>424</v>
      </c>
    </row>
    <row r="53" spans="3:9" x14ac:dyDescent="0.2">
      <c r="C53" s="14" t="s">
        <v>207</v>
      </c>
      <c r="D53" s="14" t="s">
        <v>285</v>
      </c>
      <c r="F53" s="14" t="s">
        <v>284</v>
      </c>
      <c r="G53" s="14" t="s">
        <v>274</v>
      </c>
      <c r="I53" s="14" t="s">
        <v>425</v>
      </c>
    </row>
    <row r="54" spans="3:9" x14ac:dyDescent="0.2">
      <c r="C54" s="14" t="s">
        <v>207</v>
      </c>
      <c r="D54" s="14" t="s">
        <v>426</v>
      </c>
      <c r="F54" s="14" t="s">
        <v>284</v>
      </c>
      <c r="G54" s="14" t="s">
        <v>280</v>
      </c>
      <c r="I54" s="14" t="s">
        <v>427</v>
      </c>
    </row>
    <row r="55" spans="3:9" x14ac:dyDescent="0.2">
      <c r="C55" s="14" t="s">
        <v>207</v>
      </c>
      <c r="D55" s="14" t="s">
        <v>428</v>
      </c>
      <c r="F55" s="14" t="s">
        <v>284</v>
      </c>
      <c r="G55" s="14" t="s">
        <v>286</v>
      </c>
      <c r="I55" s="14" t="s">
        <v>429</v>
      </c>
    </row>
    <row r="56" spans="3:9" x14ac:dyDescent="0.2">
      <c r="C56" s="14" t="s">
        <v>207</v>
      </c>
      <c r="D56" s="14" t="s">
        <v>430</v>
      </c>
      <c r="F56" s="14" t="s">
        <v>284</v>
      </c>
      <c r="G56" s="14" t="s">
        <v>401</v>
      </c>
      <c r="I56" s="14" t="s">
        <v>431</v>
      </c>
    </row>
    <row r="57" spans="3:9" x14ac:dyDescent="0.2">
      <c r="C57" s="14" t="s">
        <v>207</v>
      </c>
      <c r="D57" s="14" t="s">
        <v>432</v>
      </c>
      <c r="F57" s="14" t="s">
        <v>284</v>
      </c>
      <c r="G57" s="14" t="s">
        <v>297</v>
      </c>
      <c r="I57" s="14" t="s">
        <v>433</v>
      </c>
    </row>
    <row r="58" spans="3:9" x14ac:dyDescent="0.2">
      <c r="C58" s="14" t="s">
        <v>207</v>
      </c>
      <c r="D58" s="14" t="s">
        <v>434</v>
      </c>
      <c r="F58" s="14" t="s">
        <v>284</v>
      </c>
      <c r="G58" s="14" t="s">
        <v>406</v>
      </c>
      <c r="I58" s="14" t="s">
        <v>435</v>
      </c>
    </row>
    <row r="59" spans="3:9" x14ac:dyDescent="0.2">
      <c r="C59" s="14" t="s">
        <v>211</v>
      </c>
      <c r="D59" s="14" t="s">
        <v>436</v>
      </c>
      <c r="F59" s="14" t="s">
        <v>284</v>
      </c>
      <c r="G59" s="14" t="s">
        <v>302</v>
      </c>
      <c r="I59" s="14" t="s">
        <v>437</v>
      </c>
    </row>
    <row r="60" spans="3:9" x14ac:dyDescent="0.2">
      <c r="C60" s="14" t="s">
        <v>211</v>
      </c>
      <c r="D60" s="14" t="s">
        <v>438</v>
      </c>
      <c r="F60" s="14" t="s">
        <v>284</v>
      </c>
      <c r="G60" s="14" t="s">
        <v>308</v>
      </c>
      <c r="I60" s="14" t="s">
        <v>439</v>
      </c>
    </row>
    <row r="61" spans="3:9" x14ac:dyDescent="0.2">
      <c r="C61" s="14" t="s">
        <v>211</v>
      </c>
      <c r="D61" s="14" t="s">
        <v>285</v>
      </c>
      <c r="F61" s="14" t="s">
        <v>284</v>
      </c>
      <c r="G61" s="14" t="s">
        <v>411</v>
      </c>
      <c r="I61" s="14" t="s">
        <v>440</v>
      </c>
    </row>
    <row r="62" spans="3:9" x14ac:dyDescent="0.2">
      <c r="C62" s="14" t="s">
        <v>211</v>
      </c>
      <c r="D62" s="14" t="s">
        <v>441</v>
      </c>
      <c r="F62" s="14" t="s">
        <v>284</v>
      </c>
      <c r="G62" s="14" t="s">
        <v>319</v>
      </c>
      <c r="I62" s="14" t="s">
        <v>442</v>
      </c>
    </row>
    <row r="63" spans="3:9" x14ac:dyDescent="0.2">
      <c r="C63" s="14" t="s">
        <v>211</v>
      </c>
      <c r="D63" s="14" t="s">
        <v>312</v>
      </c>
      <c r="F63" s="14" t="s">
        <v>284</v>
      </c>
      <c r="G63" s="14" t="s">
        <v>324</v>
      </c>
    </row>
    <row r="64" spans="3:9" x14ac:dyDescent="0.2">
      <c r="C64" s="14" t="s">
        <v>211</v>
      </c>
      <c r="D64" s="14" t="s">
        <v>273</v>
      </c>
      <c r="F64" s="14" t="s">
        <v>284</v>
      </c>
      <c r="G64" s="14" t="s">
        <v>329</v>
      </c>
    </row>
    <row r="65" spans="3:7" x14ac:dyDescent="0.2">
      <c r="C65" s="14" t="s">
        <v>211</v>
      </c>
      <c r="D65" s="14" t="s">
        <v>443</v>
      </c>
      <c r="F65" s="14" t="s">
        <v>284</v>
      </c>
      <c r="G65" s="14" t="s">
        <v>333</v>
      </c>
    </row>
    <row r="66" spans="3:7" x14ac:dyDescent="0.2">
      <c r="C66" s="14" t="s">
        <v>201</v>
      </c>
      <c r="D66" s="14" t="s">
        <v>444</v>
      </c>
      <c r="F66" s="14" t="s">
        <v>284</v>
      </c>
      <c r="G66" s="14" t="s">
        <v>345</v>
      </c>
    </row>
    <row r="67" spans="3:7" x14ac:dyDescent="0.2">
      <c r="C67" s="14" t="s">
        <v>201</v>
      </c>
      <c r="D67" s="14" t="s">
        <v>445</v>
      </c>
      <c r="F67" s="14" t="s">
        <v>290</v>
      </c>
      <c r="G67" s="14" t="s">
        <v>268</v>
      </c>
    </row>
    <row r="68" spans="3:7" x14ac:dyDescent="0.2">
      <c r="C68" s="14" t="s">
        <v>201</v>
      </c>
      <c r="D68" s="14" t="s">
        <v>446</v>
      </c>
      <c r="F68" s="14" t="s">
        <v>290</v>
      </c>
      <c r="G68" s="14" t="s">
        <v>274</v>
      </c>
    </row>
    <row r="69" spans="3:7" x14ac:dyDescent="0.2">
      <c r="C69" s="14" t="s">
        <v>201</v>
      </c>
      <c r="D69" s="14" t="s">
        <v>447</v>
      </c>
      <c r="F69" s="14" t="s">
        <v>290</v>
      </c>
      <c r="G69" s="14" t="s">
        <v>280</v>
      </c>
    </row>
    <row r="70" spans="3:7" x14ac:dyDescent="0.2">
      <c r="C70" s="14" t="s">
        <v>201</v>
      </c>
      <c r="D70" s="14" t="s">
        <v>448</v>
      </c>
      <c r="F70" s="14" t="s">
        <v>290</v>
      </c>
      <c r="G70" s="14" t="s">
        <v>286</v>
      </c>
    </row>
    <row r="71" spans="3:7" x14ac:dyDescent="0.2">
      <c r="C71" s="14" t="s">
        <v>201</v>
      </c>
      <c r="D71" s="14" t="s">
        <v>449</v>
      </c>
      <c r="F71" s="14" t="s">
        <v>290</v>
      </c>
      <c r="G71" s="14" t="s">
        <v>401</v>
      </c>
    </row>
    <row r="72" spans="3:7" x14ac:dyDescent="0.2">
      <c r="C72" s="14" t="s">
        <v>201</v>
      </c>
      <c r="D72" s="14" t="s">
        <v>450</v>
      </c>
      <c r="F72" s="14" t="s">
        <v>290</v>
      </c>
      <c r="G72" s="14" t="s">
        <v>319</v>
      </c>
    </row>
    <row r="73" spans="3:7" x14ac:dyDescent="0.2">
      <c r="C73" s="14" t="s">
        <v>201</v>
      </c>
      <c r="D73" s="14" t="s">
        <v>451</v>
      </c>
      <c r="F73" s="14" t="s">
        <v>290</v>
      </c>
      <c r="G73" s="14" t="s">
        <v>324</v>
      </c>
    </row>
    <row r="74" spans="3:7" x14ac:dyDescent="0.2">
      <c r="C74" s="14" t="s">
        <v>201</v>
      </c>
      <c r="D74" s="14" t="s">
        <v>452</v>
      </c>
      <c r="F74" s="14" t="s">
        <v>290</v>
      </c>
      <c r="G74" s="14" t="s">
        <v>329</v>
      </c>
    </row>
    <row r="75" spans="3:7" x14ac:dyDescent="0.2">
      <c r="C75" s="14" t="s">
        <v>201</v>
      </c>
      <c r="D75" s="14" t="s">
        <v>453</v>
      </c>
      <c r="F75" s="14" t="s">
        <v>290</v>
      </c>
      <c r="G75" s="14" t="s">
        <v>336</v>
      </c>
    </row>
    <row r="76" spans="3:7" x14ac:dyDescent="0.2">
      <c r="C76" s="14" t="s">
        <v>201</v>
      </c>
      <c r="D76" s="14" t="s">
        <v>454</v>
      </c>
      <c r="F76" s="14" t="s">
        <v>290</v>
      </c>
      <c r="G76" s="14" t="s">
        <v>455</v>
      </c>
    </row>
    <row r="77" spans="3:7" x14ac:dyDescent="0.2">
      <c r="C77" s="14" t="s">
        <v>230</v>
      </c>
      <c r="D77" s="14" t="s">
        <v>456</v>
      </c>
      <c r="F77" s="14" t="s">
        <v>290</v>
      </c>
      <c r="G77" s="14" t="s">
        <v>345</v>
      </c>
    </row>
    <row r="78" spans="3:7" x14ac:dyDescent="0.2">
      <c r="C78" s="14" t="s">
        <v>230</v>
      </c>
      <c r="D78" s="14" t="s">
        <v>457</v>
      </c>
      <c r="F78" s="14" t="s">
        <v>207</v>
      </c>
      <c r="G78" s="14" t="s">
        <v>268</v>
      </c>
    </row>
    <row r="79" spans="3:7" x14ac:dyDescent="0.2">
      <c r="C79" s="14" t="s">
        <v>230</v>
      </c>
      <c r="D79" s="14" t="s">
        <v>458</v>
      </c>
      <c r="F79" s="14" t="s">
        <v>207</v>
      </c>
      <c r="G79" s="14" t="s">
        <v>274</v>
      </c>
    </row>
    <row r="80" spans="3:7" x14ac:dyDescent="0.2">
      <c r="C80" s="14" t="s">
        <v>230</v>
      </c>
      <c r="D80" s="14" t="s">
        <v>459</v>
      </c>
      <c r="F80" s="14" t="s">
        <v>207</v>
      </c>
      <c r="G80" s="14" t="s">
        <v>280</v>
      </c>
    </row>
    <row r="81" spans="3:7" x14ac:dyDescent="0.2">
      <c r="C81" s="14" t="s">
        <v>230</v>
      </c>
      <c r="D81" s="14" t="s">
        <v>460</v>
      </c>
      <c r="F81" s="14" t="s">
        <v>207</v>
      </c>
      <c r="G81" s="14" t="s">
        <v>286</v>
      </c>
    </row>
    <row r="82" spans="3:7" x14ac:dyDescent="0.2">
      <c r="C82" s="14" t="s">
        <v>230</v>
      </c>
      <c r="D82" s="14" t="s">
        <v>461</v>
      </c>
      <c r="F82" s="14" t="s">
        <v>207</v>
      </c>
      <c r="G82" s="14" t="s">
        <v>329</v>
      </c>
    </row>
    <row r="83" spans="3:7" x14ac:dyDescent="0.2">
      <c r="C83" s="14" t="s">
        <v>230</v>
      </c>
      <c r="D83" s="14" t="s">
        <v>462</v>
      </c>
      <c r="F83" s="14" t="s">
        <v>207</v>
      </c>
      <c r="G83" s="14" t="s">
        <v>319</v>
      </c>
    </row>
    <row r="84" spans="3:7" x14ac:dyDescent="0.2">
      <c r="C84" s="14" t="s">
        <v>230</v>
      </c>
      <c r="D84" s="14" t="s">
        <v>463</v>
      </c>
      <c r="F84" s="14" t="s">
        <v>207</v>
      </c>
      <c r="G84" s="14" t="s">
        <v>324</v>
      </c>
    </row>
    <row r="85" spans="3:7" x14ac:dyDescent="0.2">
      <c r="C85" s="14" t="s">
        <v>230</v>
      </c>
      <c r="D85" s="14" t="s">
        <v>464</v>
      </c>
      <c r="F85" s="14" t="s">
        <v>207</v>
      </c>
      <c r="G85" s="14" t="s">
        <v>465</v>
      </c>
    </row>
    <row r="86" spans="3:7" x14ac:dyDescent="0.2">
      <c r="C86" s="14" t="s">
        <v>317</v>
      </c>
      <c r="D86" s="14" t="s">
        <v>466</v>
      </c>
      <c r="F86" s="14" t="s">
        <v>207</v>
      </c>
      <c r="G86" s="14" t="s">
        <v>467</v>
      </c>
    </row>
    <row r="87" spans="3:7" x14ac:dyDescent="0.2">
      <c r="C87" s="14" t="s">
        <v>317</v>
      </c>
      <c r="D87" s="14" t="s">
        <v>468</v>
      </c>
      <c r="F87" s="14" t="s">
        <v>207</v>
      </c>
      <c r="G87" s="14" t="s">
        <v>345</v>
      </c>
    </row>
    <row r="88" spans="3:7" x14ac:dyDescent="0.2">
      <c r="C88" s="14" t="s">
        <v>317</v>
      </c>
      <c r="D88" s="14" t="s">
        <v>456</v>
      </c>
      <c r="F88" s="14" t="s">
        <v>211</v>
      </c>
      <c r="G88" s="14" t="s">
        <v>286</v>
      </c>
    </row>
    <row r="89" spans="3:7" x14ac:dyDescent="0.2">
      <c r="C89" s="14" t="s">
        <v>317</v>
      </c>
      <c r="D89" s="14" t="s">
        <v>469</v>
      </c>
      <c r="F89" s="14" t="s">
        <v>211</v>
      </c>
      <c r="G89" s="14" t="s">
        <v>319</v>
      </c>
    </row>
    <row r="90" spans="3:7" x14ac:dyDescent="0.2">
      <c r="C90" s="14" t="s">
        <v>317</v>
      </c>
      <c r="D90" s="14" t="s">
        <v>470</v>
      </c>
      <c r="F90" s="14" t="s">
        <v>211</v>
      </c>
      <c r="G90" s="14" t="s">
        <v>324</v>
      </c>
    </row>
    <row r="91" spans="3:7" x14ac:dyDescent="0.2">
      <c r="C91" s="14" t="s">
        <v>317</v>
      </c>
      <c r="D91" s="14" t="s">
        <v>471</v>
      </c>
      <c r="F91" s="14" t="s">
        <v>211</v>
      </c>
      <c r="G91" s="14" t="s">
        <v>329</v>
      </c>
    </row>
    <row r="92" spans="3:7" x14ac:dyDescent="0.2">
      <c r="C92" s="14" t="s">
        <v>317</v>
      </c>
      <c r="D92" s="14" t="s">
        <v>472</v>
      </c>
      <c r="F92" s="14" t="s">
        <v>211</v>
      </c>
      <c r="G92" s="14" t="s">
        <v>473</v>
      </c>
    </row>
    <row r="93" spans="3:7" x14ac:dyDescent="0.2">
      <c r="C93" s="14" t="s">
        <v>322</v>
      </c>
      <c r="D93" s="14" t="s">
        <v>456</v>
      </c>
      <c r="F93" s="14" t="s">
        <v>211</v>
      </c>
      <c r="G93" s="14" t="s">
        <v>333</v>
      </c>
    </row>
    <row r="94" spans="3:7" x14ac:dyDescent="0.2">
      <c r="C94" s="14" t="s">
        <v>322</v>
      </c>
      <c r="D94" s="14" t="s">
        <v>474</v>
      </c>
      <c r="F94" s="14" t="s">
        <v>211</v>
      </c>
      <c r="G94" s="14" t="s">
        <v>336</v>
      </c>
    </row>
    <row r="95" spans="3:7" x14ac:dyDescent="0.2">
      <c r="C95" s="14" t="s">
        <v>322</v>
      </c>
      <c r="D95" s="14" t="s">
        <v>475</v>
      </c>
      <c r="F95" s="14" t="s">
        <v>211</v>
      </c>
      <c r="G95" s="14" t="s">
        <v>345</v>
      </c>
    </row>
    <row r="96" spans="3:7" x14ac:dyDescent="0.2">
      <c r="C96" s="14" t="s">
        <v>322</v>
      </c>
      <c r="D96" s="14" t="s">
        <v>476</v>
      </c>
      <c r="F96" s="14" t="s">
        <v>201</v>
      </c>
      <c r="G96" s="14" t="s">
        <v>268</v>
      </c>
    </row>
    <row r="97" spans="3:7" x14ac:dyDescent="0.2">
      <c r="C97" s="14" t="s">
        <v>322</v>
      </c>
      <c r="D97" s="14" t="s">
        <v>477</v>
      </c>
      <c r="F97" s="14" t="s">
        <v>201</v>
      </c>
      <c r="G97" s="14" t="s">
        <v>280</v>
      </c>
    </row>
    <row r="98" spans="3:7" x14ac:dyDescent="0.2">
      <c r="C98" s="14" t="s">
        <v>322</v>
      </c>
      <c r="D98" s="14" t="s">
        <v>478</v>
      </c>
      <c r="F98" s="14" t="s">
        <v>201</v>
      </c>
      <c r="G98" s="14" t="s">
        <v>286</v>
      </c>
    </row>
    <row r="99" spans="3:7" x14ac:dyDescent="0.2">
      <c r="C99" s="14" t="s">
        <v>322</v>
      </c>
      <c r="D99" s="14" t="s">
        <v>458</v>
      </c>
      <c r="F99" s="14" t="s">
        <v>201</v>
      </c>
      <c r="G99" s="14" t="s">
        <v>479</v>
      </c>
    </row>
    <row r="100" spans="3:7" x14ac:dyDescent="0.2">
      <c r="C100" s="14" t="s">
        <v>322</v>
      </c>
      <c r="D100" s="14" t="s">
        <v>480</v>
      </c>
      <c r="F100" s="14" t="s">
        <v>201</v>
      </c>
      <c r="G100" s="14" t="s">
        <v>481</v>
      </c>
    </row>
    <row r="101" spans="3:7" x14ac:dyDescent="0.2">
      <c r="C101" s="14" t="s">
        <v>322</v>
      </c>
      <c r="D101" s="14" t="s">
        <v>417</v>
      </c>
      <c r="F101" s="14" t="s">
        <v>201</v>
      </c>
      <c r="G101" s="14" t="s">
        <v>482</v>
      </c>
    </row>
    <row r="102" spans="3:7" x14ac:dyDescent="0.2">
      <c r="C102" s="14" t="s">
        <v>327</v>
      </c>
      <c r="D102" s="14" t="s">
        <v>483</v>
      </c>
      <c r="F102" s="14" t="s">
        <v>201</v>
      </c>
      <c r="G102" s="14" t="s">
        <v>484</v>
      </c>
    </row>
    <row r="103" spans="3:7" x14ac:dyDescent="0.2">
      <c r="C103" s="14" t="s">
        <v>327</v>
      </c>
      <c r="D103" s="14" t="s">
        <v>485</v>
      </c>
      <c r="F103" s="14" t="s">
        <v>201</v>
      </c>
      <c r="G103" s="14" t="s">
        <v>486</v>
      </c>
    </row>
    <row r="104" spans="3:7" x14ac:dyDescent="0.2">
      <c r="C104" s="14" t="s">
        <v>327</v>
      </c>
      <c r="D104" s="14" t="s">
        <v>487</v>
      </c>
      <c r="F104" s="14" t="s">
        <v>201</v>
      </c>
      <c r="G104" s="14" t="s">
        <v>488</v>
      </c>
    </row>
    <row r="105" spans="3:7" x14ac:dyDescent="0.2">
      <c r="C105" s="14" t="s">
        <v>327</v>
      </c>
      <c r="D105" s="14" t="s">
        <v>472</v>
      </c>
      <c r="F105" s="14" t="s">
        <v>201</v>
      </c>
      <c r="G105" s="14" t="s">
        <v>319</v>
      </c>
    </row>
    <row r="106" spans="3:7" x14ac:dyDescent="0.2">
      <c r="C106" s="14" t="s">
        <v>327</v>
      </c>
      <c r="D106" s="14" t="s">
        <v>489</v>
      </c>
      <c r="F106" s="14" t="s">
        <v>201</v>
      </c>
      <c r="G106" s="14" t="s">
        <v>324</v>
      </c>
    </row>
    <row r="107" spans="3:7" x14ac:dyDescent="0.2">
      <c r="C107" s="14" t="s">
        <v>327</v>
      </c>
      <c r="D107" s="14" t="s">
        <v>490</v>
      </c>
      <c r="F107" s="14" t="s">
        <v>230</v>
      </c>
      <c r="G107" s="14" t="s">
        <v>302</v>
      </c>
    </row>
    <row r="108" spans="3:7" x14ac:dyDescent="0.2">
      <c r="C108" s="14" t="s">
        <v>327</v>
      </c>
      <c r="D108" s="14" t="s">
        <v>491</v>
      </c>
      <c r="F108" s="14" t="s">
        <v>230</v>
      </c>
      <c r="G108" s="14" t="s">
        <v>492</v>
      </c>
    </row>
    <row r="109" spans="3:7" x14ac:dyDescent="0.2">
      <c r="C109" s="14" t="s">
        <v>234</v>
      </c>
      <c r="D109" s="14" t="s">
        <v>493</v>
      </c>
      <c r="F109" s="14" t="s">
        <v>230</v>
      </c>
      <c r="G109" s="14" t="s">
        <v>336</v>
      </c>
    </row>
    <row r="110" spans="3:7" x14ac:dyDescent="0.2">
      <c r="C110" s="14" t="s">
        <v>234</v>
      </c>
      <c r="D110" s="14" t="s">
        <v>494</v>
      </c>
      <c r="F110" s="14" t="s">
        <v>230</v>
      </c>
      <c r="G110" s="14" t="s">
        <v>495</v>
      </c>
    </row>
    <row r="111" spans="3:7" x14ac:dyDescent="0.2">
      <c r="C111" s="14" t="s">
        <v>234</v>
      </c>
      <c r="D111" s="14" t="s">
        <v>496</v>
      </c>
      <c r="F111" s="14" t="s">
        <v>230</v>
      </c>
      <c r="G111" s="14" t="s">
        <v>497</v>
      </c>
    </row>
    <row r="112" spans="3:7" x14ac:dyDescent="0.2">
      <c r="C112" s="14" t="s">
        <v>234</v>
      </c>
      <c r="D112" s="14" t="s">
        <v>498</v>
      </c>
      <c r="F112" s="14" t="s">
        <v>230</v>
      </c>
      <c r="G112" s="14" t="s">
        <v>499</v>
      </c>
    </row>
    <row r="113" spans="3:7" x14ac:dyDescent="0.2">
      <c r="C113" s="14" t="s">
        <v>234</v>
      </c>
      <c r="D113" s="14" t="s">
        <v>500</v>
      </c>
      <c r="F113" s="14" t="s">
        <v>230</v>
      </c>
      <c r="G113" s="14" t="s">
        <v>345</v>
      </c>
    </row>
    <row r="114" spans="3:7" x14ac:dyDescent="0.2">
      <c r="C114" s="14" t="s">
        <v>234</v>
      </c>
      <c r="D114" s="14" t="s">
        <v>501</v>
      </c>
      <c r="F114" s="14" t="s">
        <v>317</v>
      </c>
      <c r="G114" s="14" t="s">
        <v>302</v>
      </c>
    </row>
    <row r="115" spans="3:7" x14ac:dyDescent="0.2">
      <c r="C115" s="14" t="s">
        <v>234</v>
      </c>
      <c r="D115" s="14" t="s">
        <v>502</v>
      </c>
      <c r="F115" s="14" t="s">
        <v>317</v>
      </c>
      <c r="G115" s="14" t="s">
        <v>308</v>
      </c>
    </row>
    <row r="116" spans="3:7" x14ac:dyDescent="0.2">
      <c r="C116" s="14" t="s">
        <v>234</v>
      </c>
      <c r="D116" s="14" t="s">
        <v>503</v>
      </c>
      <c r="F116" s="14" t="s">
        <v>317</v>
      </c>
      <c r="G116" s="14" t="s">
        <v>504</v>
      </c>
    </row>
    <row r="117" spans="3:7" x14ac:dyDescent="0.2">
      <c r="C117" s="14" t="s">
        <v>238</v>
      </c>
      <c r="D117" s="14" t="s">
        <v>493</v>
      </c>
      <c r="F117" s="14" t="s">
        <v>317</v>
      </c>
      <c r="G117" s="14" t="s">
        <v>495</v>
      </c>
    </row>
    <row r="118" spans="3:7" x14ac:dyDescent="0.2">
      <c r="C118" s="14" t="s">
        <v>238</v>
      </c>
      <c r="D118" s="14" t="s">
        <v>505</v>
      </c>
      <c r="F118" s="14" t="s">
        <v>317</v>
      </c>
      <c r="G118" s="14" t="s">
        <v>506</v>
      </c>
    </row>
    <row r="119" spans="3:7" x14ac:dyDescent="0.2">
      <c r="C119" s="14" t="s">
        <v>238</v>
      </c>
      <c r="D119" s="14" t="s">
        <v>507</v>
      </c>
      <c r="F119" s="14" t="s">
        <v>317</v>
      </c>
      <c r="G119" s="14" t="s">
        <v>336</v>
      </c>
    </row>
    <row r="120" spans="3:7" x14ac:dyDescent="0.2">
      <c r="C120" s="14" t="s">
        <v>238</v>
      </c>
      <c r="D120" s="14" t="s">
        <v>496</v>
      </c>
      <c r="F120" s="14" t="s">
        <v>317</v>
      </c>
      <c r="G120" s="14" t="s">
        <v>345</v>
      </c>
    </row>
    <row r="121" spans="3:7" x14ac:dyDescent="0.2">
      <c r="C121" s="14" t="s">
        <v>238</v>
      </c>
      <c r="D121" s="14" t="s">
        <v>498</v>
      </c>
      <c r="F121" s="14" t="s">
        <v>322</v>
      </c>
      <c r="G121" s="14" t="s">
        <v>302</v>
      </c>
    </row>
    <row r="122" spans="3:7" x14ac:dyDescent="0.2">
      <c r="C122" s="14" t="s">
        <v>238</v>
      </c>
      <c r="D122" s="14" t="s">
        <v>501</v>
      </c>
      <c r="F122" s="14" t="s">
        <v>322</v>
      </c>
      <c r="G122" s="14" t="s">
        <v>336</v>
      </c>
    </row>
    <row r="123" spans="3:7" x14ac:dyDescent="0.2">
      <c r="C123" s="14" t="s">
        <v>238</v>
      </c>
      <c r="D123" s="14" t="s">
        <v>503</v>
      </c>
      <c r="F123" s="14" t="s">
        <v>322</v>
      </c>
      <c r="G123" s="14" t="s">
        <v>508</v>
      </c>
    </row>
    <row r="124" spans="3:7" x14ac:dyDescent="0.2">
      <c r="C124" s="14" t="s">
        <v>238</v>
      </c>
      <c r="D124" s="14" t="s">
        <v>509</v>
      </c>
      <c r="F124" s="14" t="s">
        <v>322</v>
      </c>
      <c r="G124" s="14" t="s">
        <v>510</v>
      </c>
    </row>
    <row r="125" spans="3:7" x14ac:dyDescent="0.2">
      <c r="C125" s="14" t="s">
        <v>339</v>
      </c>
      <c r="D125" s="14" t="s">
        <v>493</v>
      </c>
      <c r="F125" s="14" t="s">
        <v>322</v>
      </c>
      <c r="G125" s="14" t="s">
        <v>511</v>
      </c>
    </row>
    <row r="126" spans="3:7" x14ac:dyDescent="0.2">
      <c r="C126" s="14" t="s">
        <v>339</v>
      </c>
      <c r="D126" s="14" t="s">
        <v>512</v>
      </c>
      <c r="F126" s="14" t="s">
        <v>322</v>
      </c>
      <c r="G126" s="14" t="s">
        <v>513</v>
      </c>
    </row>
    <row r="127" spans="3:7" x14ac:dyDescent="0.2">
      <c r="C127" s="14" t="s">
        <v>339</v>
      </c>
      <c r="D127" s="14" t="s">
        <v>514</v>
      </c>
      <c r="F127" s="14" t="s">
        <v>322</v>
      </c>
      <c r="G127" s="14" t="s">
        <v>345</v>
      </c>
    </row>
    <row r="128" spans="3:7" x14ac:dyDescent="0.2">
      <c r="C128" s="14" t="s">
        <v>339</v>
      </c>
      <c r="D128" s="14" t="s">
        <v>515</v>
      </c>
      <c r="F128" s="14" t="s">
        <v>327</v>
      </c>
      <c r="G128" s="14" t="s">
        <v>302</v>
      </c>
    </row>
    <row r="129" spans="3:7" x14ac:dyDescent="0.2">
      <c r="C129" s="14" t="s">
        <v>339</v>
      </c>
      <c r="D129" s="14" t="s">
        <v>516</v>
      </c>
      <c r="F129" s="14" t="s">
        <v>327</v>
      </c>
      <c r="G129" s="14" t="s">
        <v>341</v>
      </c>
    </row>
    <row r="130" spans="3:7" x14ac:dyDescent="0.2">
      <c r="C130" s="14" t="s">
        <v>339</v>
      </c>
      <c r="D130" s="14" t="s">
        <v>517</v>
      </c>
      <c r="F130" s="14" t="s">
        <v>327</v>
      </c>
      <c r="G130" s="14" t="s">
        <v>336</v>
      </c>
    </row>
    <row r="131" spans="3:7" x14ac:dyDescent="0.2">
      <c r="C131" s="14" t="s">
        <v>339</v>
      </c>
      <c r="D131" s="14" t="s">
        <v>518</v>
      </c>
      <c r="F131" s="14" t="s">
        <v>327</v>
      </c>
      <c r="G131" s="14" t="s">
        <v>319</v>
      </c>
    </row>
    <row r="132" spans="3:7" x14ac:dyDescent="0.2">
      <c r="C132" s="14" t="s">
        <v>215</v>
      </c>
      <c r="D132" s="14" t="s">
        <v>519</v>
      </c>
      <c r="F132" s="14" t="s">
        <v>327</v>
      </c>
      <c r="G132" s="14" t="s">
        <v>345</v>
      </c>
    </row>
    <row r="133" spans="3:7" x14ac:dyDescent="0.2">
      <c r="C133" s="14" t="s">
        <v>215</v>
      </c>
      <c r="D133" s="14" t="s">
        <v>520</v>
      </c>
      <c r="F133" s="14" t="s">
        <v>234</v>
      </c>
      <c r="G133" s="14" t="s">
        <v>521</v>
      </c>
    </row>
    <row r="134" spans="3:7" x14ac:dyDescent="0.2">
      <c r="C134" s="14" t="s">
        <v>215</v>
      </c>
      <c r="D134" s="14" t="s">
        <v>522</v>
      </c>
      <c r="F134" s="14" t="s">
        <v>234</v>
      </c>
      <c r="G134" s="14" t="s">
        <v>523</v>
      </c>
    </row>
    <row r="135" spans="3:7" x14ac:dyDescent="0.2">
      <c r="C135" s="14" t="s">
        <v>215</v>
      </c>
      <c r="D135" s="14" t="s">
        <v>524</v>
      </c>
      <c r="F135" s="14" t="s">
        <v>234</v>
      </c>
      <c r="G135" s="14" t="s">
        <v>525</v>
      </c>
    </row>
    <row r="136" spans="3:7" x14ac:dyDescent="0.2">
      <c r="C136" s="14" t="s">
        <v>215</v>
      </c>
      <c r="D136" s="14" t="s">
        <v>526</v>
      </c>
      <c r="F136" s="14" t="s">
        <v>234</v>
      </c>
      <c r="G136" s="14" t="s">
        <v>527</v>
      </c>
    </row>
    <row r="137" spans="3:7" x14ac:dyDescent="0.2">
      <c r="C137" s="14" t="s">
        <v>215</v>
      </c>
      <c r="D137" s="14" t="s">
        <v>528</v>
      </c>
      <c r="F137" s="14" t="s">
        <v>234</v>
      </c>
      <c r="G137" s="14" t="s">
        <v>529</v>
      </c>
    </row>
    <row r="138" spans="3:7" x14ac:dyDescent="0.2">
      <c r="C138" s="14" t="s">
        <v>246</v>
      </c>
      <c r="D138" s="14" t="s">
        <v>530</v>
      </c>
      <c r="F138" s="14" t="s">
        <v>234</v>
      </c>
      <c r="G138" s="14" t="s">
        <v>302</v>
      </c>
    </row>
    <row r="139" spans="3:7" x14ac:dyDescent="0.2">
      <c r="C139" s="14" t="s">
        <v>246</v>
      </c>
      <c r="D139" s="14" t="s">
        <v>531</v>
      </c>
      <c r="F139" s="14" t="s">
        <v>234</v>
      </c>
      <c r="G139" s="14" t="s">
        <v>532</v>
      </c>
    </row>
    <row r="140" spans="3:7" x14ac:dyDescent="0.2">
      <c r="C140" s="14" t="s">
        <v>246</v>
      </c>
      <c r="D140" s="14" t="s">
        <v>533</v>
      </c>
      <c r="F140" s="14" t="s">
        <v>234</v>
      </c>
      <c r="G140" s="14" t="s">
        <v>341</v>
      </c>
    </row>
    <row r="141" spans="3:7" x14ac:dyDescent="0.2">
      <c r="C141" s="14" t="s">
        <v>246</v>
      </c>
      <c r="D141" s="14" t="s">
        <v>534</v>
      </c>
      <c r="F141" s="14" t="s">
        <v>234</v>
      </c>
      <c r="G141" s="14" t="s">
        <v>336</v>
      </c>
    </row>
    <row r="142" spans="3:7" x14ac:dyDescent="0.2">
      <c r="C142" s="14" t="s">
        <v>246</v>
      </c>
      <c r="D142" s="14" t="s">
        <v>408</v>
      </c>
      <c r="F142" s="14" t="s">
        <v>234</v>
      </c>
      <c r="G142" s="14" t="s">
        <v>535</v>
      </c>
    </row>
    <row r="143" spans="3:7" x14ac:dyDescent="0.2">
      <c r="C143" s="14" t="s">
        <v>255</v>
      </c>
      <c r="D143" s="14" t="s">
        <v>536</v>
      </c>
      <c r="F143" s="14" t="s">
        <v>234</v>
      </c>
      <c r="G143" s="14" t="s">
        <v>345</v>
      </c>
    </row>
    <row r="144" spans="3:7" x14ac:dyDescent="0.2">
      <c r="C144" s="14" t="s">
        <v>255</v>
      </c>
      <c r="D144" s="14" t="s">
        <v>537</v>
      </c>
      <c r="F144" s="14" t="s">
        <v>238</v>
      </c>
      <c r="G144" s="14" t="s">
        <v>521</v>
      </c>
    </row>
    <row r="145" spans="3:7" x14ac:dyDescent="0.2">
      <c r="C145" s="14" t="s">
        <v>255</v>
      </c>
      <c r="D145" s="14" t="s">
        <v>538</v>
      </c>
      <c r="F145" s="14" t="s">
        <v>238</v>
      </c>
      <c r="G145" s="14" t="s">
        <v>523</v>
      </c>
    </row>
    <row r="146" spans="3:7" x14ac:dyDescent="0.2">
      <c r="C146" s="14" t="s">
        <v>255</v>
      </c>
      <c r="D146" s="14" t="s">
        <v>539</v>
      </c>
      <c r="F146" s="14" t="s">
        <v>238</v>
      </c>
      <c r="G146" s="14" t="s">
        <v>527</v>
      </c>
    </row>
    <row r="147" spans="3:7" x14ac:dyDescent="0.2">
      <c r="C147" s="14" t="s">
        <v>255</v>
      </c>
      <c r="D147" s="14" t="s">
        <v>540</v>
      </c>
      <c r="F147" s="14" t="s">
        <v>238</v>
      </c>
      <c r="G147" s="14" t="s">
        <v>529</v>
      </c>
    </row>
    <row r="148" spans="3:7" x14ac:dyDescent="0.2">
      <c r="C148" s="14" t="s">
        <v>255</v>
      </c>
      <c r="D148" s="14" t="s">
        <v>541</v>
      </c>
      <c r="F148" s="14" t="s">
        <v>238</v>
      </c>
      <c r="G148" s="14" t="s">
        <v>302</v>
      </c>
    </row>
    <row r="149" spans="3:7" x14ac:dyDescent="0.2">
      <c r="C149" s="14" t="s">
        <v>353</v>
      </c>
      <c r="D149" s="14" t="s">
        <v>542</v>
      </c>
      <c r="F149" s="14" t="s">
        <v>238</v>
      </c>
      <c r="G149" s="14" t="s">
        <v>532</v>
      </c>
    </row>
    <row r="150" spans="3:7" x14ac:dyDescent="0.2">
      <c r="C150" s="14" t="s">
        <v>353</v>
      </c>
      <c r="D150" s="14" t="s">
        <v>543</v>
      </c>
      <c r="F150" s="14" t="s">
        <v>238</v>
      </c>
      <c r="G150" s="14" t="s">
        <v>341</v>
      </c>
    </row>
    <row r="151" spans="3:7" x14ac:dyDescent="0.2">
      <c r="C151" s="14" t="s">
        <v>353</v>
      </c>
      <c r="D151" s="14" t="s">
        <v>544</v>
      </c>
      <c r="F151" s="14" t="s">
        <v>238</v>
      </c>
      <c r="G151" s="14" t="s">
        <v>336</v>
      </c>
    </row>
    <row r="152" spans="3:7" x14ac:dyDescent="0.2">
      <c r="C152" s="14" t="s">
        <v>353</v>
      </c>
      <c r="D152" s="14" t="s">
        <v>545</v>
      </c>
      <c r="F152" s="14" t="s">
        <v>238</v>
      </c>
      <c r="G152" s="14" t="s">
        <v>345</v>
      </c>
    </row>
    <row r="153" spans="3:7" x14ac:dyDescent="0.2">
      <c r="C153" s="14" t="s">
        <v>353</v>
      </c>
      <c r="D153" s="14" t="s">
        <v>546</v>
      </c>
      <c r="F153" s="14" t="s">
        <v>339</v>
      </c>
      <c r="G153" s="14" t="s">
        <v>521</v>
      </c>
    </row>
    <row r="154" spans="3:7" x14ac:dyDescent="0.2">
      <c r="C154" s="14" t="s">
        <v>353</v>
      </c>
      <c r="D154" s="14" t="s">
        <v>547</v>
      </c>
      <c r="F154" s="14" t="s">
        <v>339</v>
      </c>
      <c r="G154" s="14" t="s">
        <v>548</v>
      </c>
    </row>
    <row r="155" spans="3:7" x14ac:dyDescent="0.2">
      <c r="C155" s="14" t="s">
        <v>353</v>
      </c>
      <c r="D155" s="14" t="s">
        <v>549</v>
      </c>
      <c r="F155" s="14" t="s">
        <v>339</v>
      </c>
      <c r="G155" s="14" t="s">
        <v>550</v>
      </c>
    </row>
    <row r="156" spans="3:7" x14ac:dyDescent="0.2">
      <c r="C156" s="14" t="s">
        <v>357</v>
      </c>
      <c r="D156" s="14" t="s">
        <v>551</v>
      </c>
      <c r="F156" s="14" t="s">
        <v>339</v>
      </c>
      <c r="G156" s="14" t="s">
        <v>552</v>
      </c>
    </row>
    <row r="157" spans="3:7" x14ac:dyDescent="0.2">
      <c r="C157" s="14" t="s">
        <v>357</v>
      </c>
      <c r="D157" s="14" t="s">
        <v>553</v>
      </c>
      <c r="F157" s="14" t="s">
        <v>339</v>
      </c>
      <c r="G157" s="14" t="s">
        <v>554</v>
      </c>
    </row>
    <row r="158" spans="3:7" x14ac:dyDescent="0.2">
      <c r="C158" s="14" t="s">
        <v>357</v>
      </c>
      <c r="D158" s="14" t="s">
        <v>555</v>
      </c>
      <c r="F158" s="14" t="s">
        <v>339</v>
      </c>
      <c r="G158" s="14" t="s">
        <v>556</v>
      </c>
    </row>
    <row r="159" spans="3:7" x14ac:dyDescent="0.2">
      <c r="C159" s="14" t="s">
        <v>357</v>
      </c>
      <c r="D159" s="14" t="s">
        <v>557</v>
      </c>
      <c r="F159" s="14" t="s">
        <v>339</v>
      </c>
      <c r="G159" s="14" t="s">
        <v>345</v>
      </c>
    </row>
    <row r="160" spans="3:7" x14ac:dyDescent="0.2">
      <c r="C160" s="14" t="s">
        <v>357</v>
      </c>
      <c r="D160" s="14" t="s">
        <v>558</v>
      </c>
      <c r="F160" s="14" t="s">
        <v>215</v>
      </c>
      <c r="G160" s="14" t="s">
        <v>559</v>
      </c>
    </row>
    <row r="161" spans="3:7" x14ac:dyDescent="0.2">
      <c r="C161" s="14" t="s">
        <v>357</v>
      </c>
      <c r="D161" s="14" t="s">
        <v>560</v>
      </c>
      <c r="F161" s="14" t="s">
        <v>215</v>
      </c>
      <c r="G161" s="14" t="s">
        <v>561</v>
      </c>
    </row>
    <row r="162" spans="3:7" x14ac:dyDescent="0.2">
      <c r="C162" s="14" t="s">
        <v>357</v>
      </c>
      <c r="D162" s="14" t="s">
        <v>562</v>
      </c>
      <c r="F162" s="14" t="s">
        <v>215</v>
      </c>
      <c r="G162" s="14" t="s">
        <v>499</v>
      </c>
    </row>
    <row r="163" spans="3:7" x14ac:dyDescent="0.2">
      <c r="C163" s="14" t="s">
        <v>361</v>
      </c>
      <c r="D163" s="14" t="s">
        <v>563</v>
      </c>
      <c r="F163" s="14" t="s">
        <v>215</v>
      </c>
      <c r="G163" s="14" t="s">
        <v>564</v>
      </c>
    </row>
    <row r="164" spans="3:7" x14ac:dyDescent="0.2">
      <c r="C164" s="14" t="s">
        <v>361</v>
      </c>
      <c r="D164" s="14" t="s">
        <v>565</v>
      </c>
      <c r="F164" s="14" t="s">
        <v>215</v>
      </c>
      <c r="G164" s="14" t="s">
        <v>566</v>
      </c>
    </row>
    <row r="165" spans="3:7" x14ac:dyDescent="0.2">
      <c r="C165" s="14" t="s">
        <v>361</v>
      </c>
      <c r="D165" s="14" t="s">
        <v>567</v>
      </c>
      <c r="F165" s="14" t="s">
        <v>215</v>
      </c>
      <c r="G165" s="14" t="s">
        <v>568</v>
      </c>
    </row>
    <row r="166" spans="3:7" x14ac:dyDescent="0.2">
      <c r="C166" s="14" t="s">
        <v>361</v>
      </c>
      <c r="D166" s="14" t="s">
        <v>569</v>
      </c>
      <c r="F166" s="14" t="s">
        <v>215</v>
      </c>
      <c r="G166" s="14" t="s">
        <v>570</v>
      </c>
    </row>
    <row r="167" spans="3:7" x14ac:dyDescent="0.2">
      <c r="C167" s="14" t="s">
        <v>361</v>
      </c>
      <c r="D167" s="14" t="s">
        <v>571</v>
      </c>
      <c r="F167" s="14" t="s">
        <v>215</v>
      </c>
      <c r="G167" s="14" t="s">
        <v>345</v>
      </c>
    </row>
    <row r="168" spans="3:7" x14ac:dyDescent="0.2">
      <c r="C168" s="14" t="s">
        <v>361</v>
      </c>
      <c r="D168" s="14" t="s">
        <v>572</v>
      </c>
      <c r="F168" s="14" t="s">
        <v>246</v>
      </c>
      <c r="G168" s="14" t="s">
        <v>559</v>
      </c>
    </row>
    <row r="169" spans="3:7" x14ac:dyDescent="0.2">
      <c r="C169" s="14" t="s">
        <v>361</v>
      </c>
      <c r="D169" s="14" t="s">
        <v>573</v>
      </c>
      <c r="F169" s="14" t="s">
        <v>246</v>
      </c>
      <c r="G169" s="14" t="s">
        <v>561</v>
      </c>
    </row>
    <row r="170" spans="3:7" x14ac:dyDescent="0.2">
      <c r="C170" s="14" t="s">
        <v>365</v>
      </c>
      <c r="D170" s="14" t="s">
        <v>574</v>
      </c>
      <c r="F170" s="14" t="s">
        <v>246</v>
      </c>
      <c r="G170" s="14" t="s">
        <v>499</v>
      </c>
    </row>
    <row r="171" spans="3:7" x14ac:dyDescent="0.2">
      <c r="C171" s="14" t="s">
        <v>365</v>
      </c>
      <c r="D171" s="14" t="s">
        <v>575</v>
      </c>
      <c r="F171" s="14" t="s">
        <v>246</v>
      </c>
      <c r="G171" s="14" t="s">
        <v>564</v>
      </c>
    </row>
    <row r="172" spans="3:7" x14ac:dyDescent="0.2">
      <c r="C172" s="14" t="s">
        <v>365</v>
      </c>
      <c r="D172" s="14" t="s">
        <v>576</v>
      </c>
      <c r="F172" s="14" t="s">
        <v>246</v>
      </c>
      <c r="G172" s="14" t="s">
        <v>566</v>
      </c>
    </row>
    <row r="173" spans="3:7" x14ac:dyDescent="0.2">
      <c r="C173" s="14" t="s">
        <v>365</v>
      </c>
      <c r="D173" s="14" t="s">
        <v>577</v>
      </c>
      <c r="F173" s="14" t="s">
        <v>246</v>
      </c>
      <c r="G173" s="14" t="s">
        <v>568</v>
      </c>
    </row>
    <row r="174" spans="3:7" x14ac:dyDescent="0.2">
      <c r="C174" s="14" t="s">
        <v>365</v>
      </c>
      <c r="D174" s="14" t="s">
        <v>578</v>
      </c>
      <c r="F174" s="14" t="s">
        <v>246</v>
      </c>
      <c r="G174" s="14" t="s">
        <v>570</v>
      </c>
    </row>
    <row r="175" spans="3:7" x14ac:dyDescent="0.2">
      <c r="C175" s="14" t="s">
        <v>365</v>
      </c>
      <c r="D175" s="14" t="s">
        <v>490</v>
      </c>
      <c r="F175" s="14" t="s">
        <v>246</v>
      </c>
      <c r="G175" s="14" t="s">
        <v>345</v>
      </c>
    </row>
    <row r="176" spans="3:7" x14ac:dyDescent="0.2">
      <c r="C176" s="14" t="s">
        <v>365</v>
      </c>
      <c r="D176" s="14" t="s">
        <v>579</v>
      </c>
      <c r="F176" s="14" t="s">
        <v>255</v>
      </c>
      <c r="G176" s="14" t="s">
        <v>559</v>
      </c>
    </row>
    <row r="177" spans="3:7" x14ac:dyDescent="0.2">
      <c r="C177" s="14" t="s">
        <v>365</v>
      </c>
      <c r="D177" s="14" t="s">
        <v>580</v>
      </c>
      <c r="F177" s="14" t="s">
        <v>255</v>
      </c>
      <c r="G177" s="14" t="s">
        <v>561</v>
      </c>
    </row>
    <row r="178" spans="3:7" x14ac:dyDescent="0.2">
      <c r="C178" s="14" t="s">
        <v>365</v>
      </c>
      <c r="D178" s="14" t="s">
        <v>581</v>
      </c>
      <c r="F178" s="14" t="s">
        <v>255</v>
      </c>
      <c r="G178" s="14" t="s">
        <v>582</v>
      </c>
    </row>
    <row r="179" spans="3:7" x14ac:dyDescent="0.2">
      <c r="C179" s="14" t="s">
        <v>368</v>
      </c>
      <c r="D179" s="14" t="s">
        <v>583</v>
      </c>
      <c r="F179" s="14" t="s">
        <v>255</v>
      </c>
      <c r="G179" s="14" t="s">
        <v>584</v>
      </c>
    </row>
    <row r="180" spans="3:7" x14ac:dyDescent="0.2">
      <c r="C180" s="14" t="s">
        <v>368</v>
      </c>
      <c r="D180" s="14" t="s">
        <v>585</v>
      </c>
      <c r="F180" s="14" t="s">
        <v>255</v>
      </c>
      <c r="G180" s="14" t="s">
        <v>586</v>
      </c>
    </row>
    <row r="181" spans="3:7" x14ac:dyDescent="0.2">
      <c r="C181" s="14" t="s">
        <v>368</v>
      </c>
      <c r="D181" s="14" t="s">
        <v>587</v>
      </c>
      <c r="F181" s="14" t="s">
        <v>353</v>
      </c>
      <c r="G181" s="14" t="s">
        <v>588</v>
      </c>
    </row>
    <row r="182" spans="3:7" x14ac:dyDescent="0.2">
      <c r="C182" s="14" t="s">
        <v>368</v>
      </c>
      <c r="D182" s="14" t="s">
        <v>589</v>
      </c>
      <c r="F182" s="14" t="s">
        <v>353</v>
      </c>
      <c r="G182" s="14" t="s">
        <v>329</v>
      </c>
    </row>
    <row r="183" spans="3:7" x14ac:dyDescent="0.2">
      <c r="C183" s="14" t="s">
        <v>368</v>
      </c>
      <c r="D183" s="14" t="s">
        <v>590</v>
      </c>
      <c r="F183" s="14" t="s">
        <v>353</v>
      </c>
      <c r="G183" s="14" t="s">
        <v>591</v>
      </c>
    </row>
    <row r="184" spans="3:7" x14ac:dyDescent="0.2">
      <c r="C184" s="14" t="s">
        <v>368</v>
      </c>
      <c r="D184" s="14" t="s">
        <v>503</v>
      </c>
      <c r="F184" s="14" t="s">
        <v>353</v>
      </c>
      <c r="G184" s="14" t="s">
        <v>592</v>
      </c>
    </row>
    <row r="185" spans="3:7" x14ac:dyDescent="0.2">
      <c r="C185" s="14" t="s">
        <v>368</v>
      </c>
      <c r="D185" s="14" t="s">
        <v>593</v>
      </c>
      <c r="F185" s="14" t="s">
        <v>353</v>
      </c>
      <c r="G185" s="14" t="s">
        <v>324</v>
      </c>
    </row>
    <row r="186" spans="3:7" x14ac:dyDescent="0.2">
      <c r="C186" s="14" t="s">
        <v>368</v>
      </c>
      <c r="D186" s="14" t="s">
        <v>594</v>
      </c>
      <c r="F186" s="14" t="s">
        <v>353</v>
      </c>
      <c r="G186" s="14" t="s">
        <v>345</v>
      </c>
    </row>
    <row r="187" spans="3:7" x14ac:dyDescent="0.2">
      <c r="C187" s="14" t="s">
        <v>368</v>
      </c>
      <c r="D187" s="14" t="s">
        <v>595</v>
      </c>
      <c r="F187" s="14" t="s">
        <v>357</v>
      </c>
      <c r="G187" s="14" t="s">
        <v>596</v>
      </c>
    </row>
    <row r="188" spans="3:7" x14ac:dyDescent="0.2">
      <c r="C188" s="14" t="s">
        <v>368</v>
      </c>
      <c r="D188" s="14" t="s">
        <v>597</v>
      </c>
      <c r="F188" s="14" t="s">
        <v>357</v>
      </c>
      <c r="G188" s="14" t="s">
        <v>523</v>
      </c>
    </row>
    <row r="189" spans="3:7" x14ac:dyDescent="0.2">
      <c r="C189" s="14" t="s">
        <v>368</v>
      </c>
      <c r="D189" s="14" t="s">
        <v>598</v>
      </c>
      <c r="F189" s="14" t="s">
        <v>357</v>
      </c>
      <c r="G189" s="14" t="s">
        <v>599</v>
      </c>
    </row>
    <row r="190" spans="3:7" x14ac:dyDescent="0.2">
      <c r="C190" s="14" t="s">
        <v>371</v>
      </c>
      <c r="D190" s="14" t="s">
        <v>600</v>
      </c>
      <c r="F190" s="14" t="s">
        <v>357</v>
      </c>
      <c r="G190" s="14" t="s">
        <v>601</v>
      </c>
    </row>
    <row r="191" spans="3:7" x14ac:dyDescent="0.2">
      <c r="C191" s="14" t="s">
        <v>371</v>
      </c>
      <c r="D191" s="14" t="s">
        <v>602</v>
      </c>
      <c r="F191" s="14" t="s">
        <v>357</v>
      </c>
      <c r="G191" s="14" t="s">
        <v>603</v>
      </c>
    </row>
    <row r="192" spans="3:7" x14ac:dyDescent="0.2">
      <c r="C192" s="14" t="s">
        <v>371</v>
      </c>
      <c r="D192" s="14" t="s">
        <v>604</v>
      </c>
      <c r="F192" s="14" t="s">
        <v>357</v>
      </c>
      <c r="G192" s="14" t="s">
        <v>345</v>
      </c>
    </row>
    <row r="193" spans="3:7" x14ac:dyDescent="0.2">
      <c r="C193" s="14" t="s">
        <v>371</v>
      </c>
      <c r="D193" s="14" t="s">
        <v>605</v>
      </c>
      <c r="F193" s="14" t="s">
        <v>361</v>
      </c>
      <c r="G193" s="14" t="s">
        <v>268</v>
      </c>
    </row>
    <row r="194" spans="3:7" x14ac:dyDescent="0.2">
      <c r="C194" s="14" t="s">
        <v>371</v>
      </c>
      <c r="D194" s="14" t="s">
        <v>606</v>
      </c>
      <c r="F194" s="14" t="s">
        <v>361</v>
      </c>
      <c r="G194" s="14" t="s">
        <v>280</v>
      </c>
    </row>
    <row r="195" spans="3:7" x14ac:dyDescent="0.2">
      <c r="C195" s="14" t="s">
        <v>371</v>
      </c>
      <c r="D195" s="14" t="s">
        <v>472</v>
      </c>
      <c r="F195" s="14" t="s">
        <v>361</v>
      </c>
      <c r="G195" s="14" t="s">
        <v>286</v>
      </c>
    </row>
    <row r="196" spans="3:7" x14ac:dyDescent="0.2">
      <c r="C196" s="14" t="s">
        <v>374</v>
      </c>
      <c r="D196" s="14" t="s">
        <v>607</v>
      </c>
      <c r="F196" s="14" t="s">
        <v>361</v>
      </c>
      <c r="G196" s="14" t="s">
        <v>608</v>
      </c>
    </row>
    <row r="197" spans="3:7" x14ac:dyDescent="0.2">
      <c r="C197" s="14" t="s">
        <v>374</v>
      </c>
      <c r="D197" s="14" t="s">
        <v>609</v>
      </c>
      <c r="F197" s="14" t="s">
        <v>361</v>
      </c>
      <c r="G197" s="14" t="s">
        <v>329</v>
      </c>
    </row>
    <row r="198" spans="3:7" x14ac:dyDescent="0.2">
      <c r="C198" s="14" t="s">
        <v>374</v>
      </c>
      <c r="D198" s="14" t="s">
        <v>610</v>
      </c>
      <c r="F198" s="14" t="s">
        <v>361</v>
      </c>
      <c r="G198" s="14" t="s">
        <v>532</v>
      </c>
    </row>
    <row r="199" spans="3:7" x14ac:dyDescent="0.2">
      <c r="C199" s="14" t="s">
        <v>374</v>
      </c>
      <c r="D199" s="14" t="s">
        <v>611</v>
      </c>
      <c r="F199" s="14" t="s">
        <v>361</v>
      </c>
      <c r="G199" s="14" t="s">
        <v>345</v>
      </c>
    </row>
    <row r="200" spans="3:7" x14ac:dyDescent="0.2">
      <c r="C200" s="14" t="s">
        <v>374</v>
      </c>
      <c r="D200" s="14" t="s">
        <v>612</v>
      </c>
      <c r="F200" s="14" t="s">
        <v>365</v>
      </c>
      <c r="G200" s="14" t="s">
        <v>613</v>
      </c>
    </row>
    <row r="201" spans="3:7" x14ac:dyDescent="0.2">
      <c r="C201" s="14" t="s">
        <v>374</v>
      </c>
      <c r="D201" s="14" t="s">
        <v>456</v>
      </c>
      <c r="F201" s="14" t="s">
        <v>365</v>
      </c>
      <c r="G201" s="14" t="s">
        <v>614</v>
      </c>
    </row>
    <row r="202" spans="3:7" x14ac:dyDescent="0.2">
      <c r="C202" s="14" t="s">
        <v>376</v>
      </c>
      <c r="D202" s="14" t="s">
        <v>615</v>
      </c>
      <c r="F202" s="14" t="s">
        <v>365</v>
      </c>
      <c r="G202" s="14" t="s">
        <v>286</v>
      </c>
    </row>
    <row r="203" spans="3:7" x14ac:dyDescent="0.2">
      <c r="C203" s="14" t="s">
        <v>376</v>
      </c>
      <c r="D203" s="14" t="s">
        <v>616</v>
      </c>
      <c r="F203" s="14" t="s">
        <v>365</v>
      </c>
      <c r="G203" s="14" t="s">
        <v>329</v>
      </c>
    </row>
    <row r="204" spans="3:7" x14ac:dyDescent="0.2">
      <c r="C204" s="14" t="s">
        <v>376</v>
      </c>
      <c r="D204" s="14" t="s">
        <v>617</v>
      </c>
      <c r="F204" s="14" t="s">
        <v>365</v>
      </c>
      <c r="G204" s="14" t="s">
        <v>618</v>
      </c>
    </row>
    <row r="205" spans="3:7" x14ac:dyDescent="0.2">
      <c r="C205" s="14" t="s">
        <v>376</v>
      </c>
      <c r="D205" s="14" t="s">
        <v>619</v>
      </c>
      <c r="F205" s="14" t="s">
        <v>365</v>
      </c>
      <c r="G205" s="14" t="s">
        <v>620</v>
      </c>
    </row>
    <row r="206" spans="3:7" x14ac:dyDescent="0.2">
      <c r="C206" s="14" t="s">
        <v>376</v>
      </c>
      <c r="D206" s="14" t="s">
        <v>621</v>
      </c>
      <c r="F206" s="14" t="s">
        <v>365</v>
      </c>
      <c r="G206" s="14" t="s">
        <v>622</v>
      </c>
    </row>
    <row r="207" spans="3:7" x14ac:dyDescent="0.2">
      <c r="C207" s="14" t="s">
        <v>376</v>
      </c>
      <c r="D207" s="14" t="s">
        <v>623</v>
      </c>
      <c r="F207" s="14" t="s">
        <v>365</v>
      </c>
      <c r="G207" s="14" t="s">
        <v>345</v>
      </c>
    </row>
    <row r="208" spans="3:7" x14ac:dyDescent="0.2">
      <c r="C208" s="14" t="s">
        <v>376</v>
      </c>
      <c r="D208" s="14" t="s">
        <v>624</v>
      </c>
      <c r="F208" s="14" t="s">
        <v>368</v>
      </c>
      <c r="G208" s="14" t="s">
        <v>625</v>
      </c>
    </row>
    <row r="209" spans="3:7" x14ac:dyDescent="0.2">
      <c r="C209" s="14" t="s">
        <v>378</v>
      </c>
      <c r="D209" s="14" t="s">
        <v>626</v>
      </c>
      <c r="F209" s="14" t="s">
        <v>368</v>
      </c>
      <c r="G209" s="14" t="s">
        <v>627</v>
      </c>
    </row>
    <row r="210" spans="3:7" x14ac:dyDescent="0.2">
      <c r="C210" s="14" t="s">
        <v>378</v>
      </c>
      <c r="D210" s="14" t="s">
        <v>628</v>
      </c>
      <c r="F210" s="14" t="s">
        <v>368</v>
      </c>
      <c r="G210" s="14" t="s">
        <v>629</v>
      </c>
    </row>
    <row r="211" spans="3:7" x14ac:dyDescent="0.2">
      <c r="C211" s="14" t="s">
        <v>378</v>
      </c>
      <c r="D211" s="14" t="s">
        <v>630</v>
      </c>
      <c r="F211" s="14" t="s">
        <v>368</v>
      </c>
      <c r="G211" s="14" t="s">
        <v>631</v>
      </c>
    </row>
    <row r="212" spans="3:7" x14ac:dyDescent="0.2">
      <c r="C212" s="14" t="s">
        <v>378</v>
      </c>
      <c r="D212" s="14" t="s">
        <v>632</v>
      </c>
      <c r="F212" s="14" t="s">
        <v>368</v>
      </c>
      <c r="G212" s="14" t="s">
        <v>633</v>
      </c>
    </row>
    <row r="213" spans="3:7" x14ac:dyDescent="0.2">
      <c r="C213" s="14" t="s">
        <v>378</v>
      </c>
      <c r="D213" s="14" t="s">
        <v>634</v>
      </c>
      <c r="F213" s="14" t="s">
        <v>368</v>
      </c>
      <c r="G213" s="14" t="s">
        <v>635</v>
      </c>
    </row>
    <row r="214" spans="3:7" x14ac:dyDescent="0.2">
      <c r="C214" s="14" t="s">
        <v>378</v>
      </c>
      <c r="D214" s="14" t="s">
        <v>636</v>
      </c>
      <c r="F214" s="14" t="s">
        <v>368</v>
      </c>
      <c r="G214" s="14" t="s">
        <v>345</v>
      </c>
    </row>
    <row r="215" spans="3:7" x14ac:dyDescent="0.2">
      <c r="C215" s="14" t="s">
        <v>378</v>
      </c>
      <c r="D215" s="14" t="s">
        <v>637</v>
      </c>
      <c r="F215" s="14" t="s">
        <v>371</v>
      </c>
      <c r="G215" s="14" t="s">
        <v>638</v>
      </c>
    </row>
    <row r="216" spans="3:7" x14ac:dyDescent="0.2">
      <c r="C216" s="14" t="s">
        <v>225</v>
      </c>
      <c r="D216" s="14" t="s">
        <v>639</v>
      </c>
      <c r="F216" s="14" t="s">
        <v>371</v>
      </c>
      <c r="G216" s="14" t="s">
        <v>640</v>
      </c>
    </row>
    <row r="217" spans="3:7" x14ac:dyDescent="0.2">
      <c r="C217" s="14" t="s">
        <v>225</v>
      </c>
      <c r="D217" s="14" t="s">
        <v>641</v>
      </c>
      <c r="F217" s="14" t="s">
        <v>371</v>
      </c>
      <c r="G217" s="14" t="s">
        <v>642</v>
      </c>
    </row>
    <row r="218" spans="3:7" x14ac:dyDescent="0.2">
      <c r="C218" s="14" t="s">
        <v>225</v>
      </c>
      <c r="D218" s="14" t="s">
        <v>643</v>
      </c>
      <c r="F218" s="14" t="s">
        <v>371</v>
      </c>
      <c r="G218" s="14" t="s">
        <v>644</v>
      </c>
    </row>
    <row r="219" spans="3:7" x14ac:dyDescent="0.2">
      <c r="C219" s="14" t="s">
        <v>225</v>
      </c>
      <c r="D219" s="14" t="s">
        <v>645</v>
      </c>
      <c r="F219" s="14" t="s">
        <v>371</v>
      </c>
      <c r="G219" s="14" t="s">
        <v>646</v>
      </c>
    </row>
    <row r="220" spans="3:7" x14ac:dyDescent="0.2">
      <c r="C220" s="14" t="s">
        <v>225</v>
      </c>
      <c r="D220" s="14" t="s">
        <v>408</v>
      </c>
      <c r="F220" s="14" t="s">
        <v>371</v>
      </c>
      <c r="G220" s="14" t="s">
        <v>345</v>
      </c>
    </row>
    <row r="221" spans="3:7" x14ac:dyDescent="0.2">
      <c r="C221" s="14" t="s">
        <v>225</v>
      </c>
      <c r="D221" s="14" t="s">
        <v>647</v>
      </c>
      <c r="F221" s="14" t="s">
        <v>374</v>
      </c>
      <c r="G221" s="14" t="s">
        <v>648</v>
      </c>
    </row>
    <row r="222" spans="3:7" x14ac:dyDescent="0.2">
      <c r="C222" s="14" t="s">
        <v>225</v>
      </c>
      <c r="D222" s="14" t="s">
        <v>649</v>
      </c>
      <c r="F222" s="14" t="s">
        <v>374</v>
      </c>
      <c r="G222" s="14" t="s">
        <v>650</v>
      </c>
    </row>
    <row r="223" spans="3:7" x14ac:dyDescent="0.2">
      <c r="C223" s="14" t="s">
        <v>383</v>
      </c>
      <c r="D223" s="14" t="s">
        <v>651</v>
      </c>
      <c r="F223" s="14" t="s">
        <v>374</v>
      </c>
      <c r="G223" s="14" t="s">
        <v>652</v>
      </c>
    </row>
    <row r="224" spans="3:7" x14ac:dyDescent="0.2">
      <c r="C224" s="14" t="s">
        <v>383</v>
      </c>
      <c r="D224" s="14" t="s">
        <v>653</v>
      </c>
      <c r="F224" s="14" t="s">
        <v>374</v>
      </c>
      <c r="G224" s="14" t="s">
        <v>654</v>
      </c>
    </row>
    <row r="225" spans="3:7" x14ac:dyDescent="0.2">
      <c r="C225" s="14" t="s">
        <v>383</v>
      </c>
      <c r="D225" s="14" t="s">
        <v>655</v>
      </c>
      <c r="F225" s="14" t="s">
        <v>374</v>
      </c>
      <c r="G225" s="14" t="s">
        <v>656</v>
      </c>
    </row>
    <row r="226" spans="3:7" x14ac:dyDescent="0.2">
      <c r="C226" s="14" t="s">
        <v>383</v>
      </c>
      <c r="D226" s="14" t="s">
        <v>657</v>
      </c>
      <c r="F226" s="14" t="s">
        <v>374</v>
      </c>
      <c r="G226" s="14" t="s">
        <v>345</v>
      </c>
    </row>
    <row r="227" spans="3:7" x14ac:dyDescent="0.2">
      <c r="C227" s="14" t="s">
        <v>383</v>
      </c>
      <c r="D227" s="14" t="s">
        <v>658</v>
      </c>
      <c r="F227" s="14" t="s">
        <v>376</v>
      </c>
      <c r="G227" s="14" t="s">
        <v>659</v>
      </c>
    </row>
    <row r="228" spans="3:7" x14ac:dyDescent="0.2">
      <c r="C228" s="14" t="s">
        <v>383</v>
      </c>
      <c r="D228" s="14" t="s">
        <v>660</v>
      </c>
      <c r="F228" s="14" t="s">
        <v>376</v>
      </c>
      <c r="G228" s="14" t="s">
        <v>661</v>
      </c>
    </row>
    <row r="229" spans="3:7" x14ac:dyDescent="0.2">
      <c r="C229" s="14" t="s">
        <v>383</v>
      </c>
      <c r="D229" s="14" t="s">
        <v>662</v>
      </c>
      <c r="F229" s="14" t="s">
        <v>376</v>
      </c>
      <c r="G229" s="14" t="s">
        <v>663</v>
      </c>
    </row>
    <row r="230" spans="3:7" x14ac:dyDescent="0.2">
      <c r="F230" s="14" t="s">
        <v>376</v>
      </c>
      <c r="G230" s="14" t="s">
        <v>664</v>
      </c>
    </row>
    <row r="231" spans="3:7" x14ac:dyDescent="0.2">
      <c r="F231" s="14" t="s">
        <v>376</v>
      </c>
      <c r="G231" s="14" t="s">
        <v>665</v>
      </c>
    </row>
    <row r="232" spans="3:7" x14ac:dyDescent="0.2">
      <c r="F232" s="14" t="s">
        <v>376</v>
      </c>
      <c r="G232" s="14" t="s">
        <v>666</v>
      </c>
    </row>
    <row r="233" spans="3:7" x14ac:dyDescent="0.2">
      <c r="F233" s="14" t="s">
        <v>376</v>
      </c>
      <c r="G233" s="14" t="s">
        <v>345</v>
      </c>
    </row>
    <row r="234" spans="3:7" x14ac:dyDescent="0.2">
      <c r="F234" s="14" t="s">
        <v>378</v>
      </c>
      <c r="G234" s="14" t="s">
        <v>667</v>
      </c>
    </row>
    <row r="235" spans="3:7" x14ac:dyDescent="0.2">
      <c r="F235" s="14" t="s">
        <v>378</v>
      </c>
      <c r="G235" s="14" t="s">
        <v>668</v>
      </c>
    </row>
    <row r="236" spans="3:7" x14ac:dyDescent="0.2">
      <c r="F236" s="14" t="s">
        <v>378</v>
      </c>
      <c r="G236" s="14" t="s">
        <v>669</v>
      </c>
    </row>
    <row r="237" spans="3:7" x14ac:dyDescent="0.2">
      <c r="F237" s="14" t="s">
        <v>378</v>
      </c>
      <c r="G237" s="14" t="s">
        <v>670</v>
      </c>
    </row>
    <row r="238" spans="3:7" x14ac:dyDescent="0.2">
      <c r="F238" s="14" t="s">
        <v>378</v>
      </c>
      <c r="G238" s="14" t="s">
        <v>671</v>
      </c>
    </row>
    <row r="239" spans="3:7" x14ac:dyDescent="0.2">
      <c r="F239" s="14" t="s">
        <v>378</v>
      </c>
      <c r="G239" s="14" t="s">
        <v>336</v>
      </c>
    </row>
    <row r="240" spans="3:7" x14ac:dyDescent="0.2">
      <c r="F240" s="14" t="s">
        <v>378</v>
      </c>
      <c r="G240" s="14" t="s">
        <v>345</v>
      </c>
    </row>
    <row r="241" spans="6:7" x14ac:dyDescent="0.2">
      <c r="F241" s="14" t="s">
        <v>225</v>
      </c>
      <c r="G241" s="14" t="s">
        <v>672</v>
      </c>
    </row>
    <row r="242" spans="6:7" x14ac:dyDescent="0.2">
      <c r="F242" s="14" t="s">
        <v>225</v>
      </c>
      <c r="G242" s="14" t="s">
        <v>673</v>
      </c>
    </row>
    <row r="243" spans="6:7" x14ac:dyDescent="0.2">
      <c r="F243" s="14" t="s">
        <v>225</v>
      </c>
      <c r="G243" s="14" t="s">
        <v>674</v>
      </c>
    </row>
    <row r="244" spans="6:7" x14ac:dyDescent="0.2">
      <c r="F244" s="14" t="s">
        <v>225</v>
      </c>
      <c r="G244" s="14" t="s">
        <v>675</v>
      </c>
    </row>
    <row r="245" spans="6:7" x14ac:dyDescent="0.2">
      <c r="F245" s="14" t="s">
        <v>225</v>
      </c>
      <c r="G245" s="14" t="s">
        <v>676</v>
      </c>
    </row>
    <row r="246" spans="6:7" x14ac:dyDescent="0.2">
      <c r="F246" s="14" t="s">
        <v>225</v>
      </c>
      <c r="G246" s="14" t="s">
        <v>345</v>
      </c>
    </row>
    <row r="247" spans="6:7" x14ac:dyDescent="0.2">
      <c r="F247" s="14" t="s">
        <v>383</v>
      </c>
      <c r="G247" s="14" t="s">
        <v>677</v>
      </c>
    </row>
    <row r="248" spans="6:7" x14ac:dyDescent="0.2">
      <c r="F248" s="14" t="s">
        <v>383</v>
      </c>
      <c r="G248" s="14" t="s">
        <v>678</v>
      </c>
    </row>
    <row r="249" spans="6:7" x14ac:dyDescent="0.2">
      <c r="F249" s="14" t="s">
        <v>383</v>
      </c>
      <c r="G249" s="14" t="s">
        <v>679</v>
      </c>
    </row>
    <row r="250" spans="6:7" x14ac:dyDescent="0.2">
      <c r="F250" s="14" t="s">
        <v>383</v>
      </c>
      <c r="G250" s="14" t="s">
        <v>680</v>
      </c>
    </row>
    <row r="251" spans="6:7" x14ac:dyDescent="0.2">
      <c r="F251" s="14" t="s">
        <v>383</v>
      </c>
      <c r="G251" s="14" t="s">
        <v>681</v>
      </c>
    </row>
    <row r="252" spans="6:7" x14ac:dyDescent="0.2">
      <c r="F252" s="14" t="s">
        <v>383</v>
      </c>
      <c r="G252" s="14" t="s">
        <v>682</v>
      </c>
    </row>
    <row r="253" spans="6:7" x14ac:dyDescent="0.2">
      <c r="F253" s="14" t="s">
        <v>383</v>
      </c>
      <c r="G253" s="14" t="s">
        <v>345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79"/>
  <sheetViews>
    <sheetView topLeftCell="A41" zoomScale="204" zoomScaleNormal="204" workbookViewId="0"/>
  </sheetViews>
  <sheetFormatPr baseColWidth="10" defaultColWidth="8.83203125" defaultRowHeight="15" x14ac:dyDescent="0.2"/>
  <cols>
    <col min="1" max="1" width="4" customWidth="1"/>
    <col min="2" max="2" width="30" customWidth="1"/>
    <col min="3" max="3" width="22" customWidth="1"/>
    <col min="4" max="4" width="70" customWidth="1"/>
    <col min="5" max="5" width="4" customWidth="1"/>
    <col min="6" max="8" width="16" customWidth="1"/>
  </cols>
  <sheetData>
    <row r="1" spans="1:4" ht="20" x14ac:dyDescent="0.2">
      <c r="A1" s="1" t="s">
        <v>683</v>
      </c>
    </row>
    <row r="2" spans="1:4" x14ac:dyDescent="0.2">
      <c r="A2" s="2" t="s">
        <v>684</v>
      </c>
    </row>
    <row r="4" spans="1:4" x14ac:dyDescent="0.2">
      <c r="B4" s="8" t="s">
        <v>685</v>
      </c>
      <c r="C4" s="8" t="s">
        <v>686</v>
      </c>
      <c r="D4" s="8" t="s">
        <v>687</v>
      </c>
    </row>
    <row r="5" spans="1:4" ht="28" x14ac:dyDescent="0.2">
      <c r="B5" s="9" t="s">
        <v>688</v>
      </c>
      <c r="C5" s="11" t="s">
        <v>689</v>
      </c>
      <c r="D5" s="11" t="s">
        <v>690</v>
      </c>
    </row>
    <row r="6" spans="1:4" x14ac:dyDescent="0.2">
      <c r="B6" s="9" t="s">
        <v>691</v>
      </c>
      <c r="C6" s="11" t="s">
        <v>692</v>
      </c>
      <c r="D6" s="11" t="s">
        <v>693</v>
      </c>
    </row>
    <row r="7" spans="1:4" x14ac:dyDescent="0.2">
      <c r="B7" s="9" t="s">
        <v>694</v>
      </c>
      <c r="C7" s="11" t="s">
        <v>695</v>
      </c>
      <c r="D7" s="11" t="s">
        <v>696</v>
      </c>
    </row>
    <row r="8" spans="1:4" x14ac:dyDescent="0.2">
      <c r="B8" s="9" t="s">
        <v>697</v>
      </c>
      <c r="C8" s="11" t="s">
        <v>698</v>
      </c>
      <c r="D8" s="11" t="s">
        <v>699</v>
      </c>
    </row>
    <row r="9" spans="1:4" x14ac:dyDescent="0.2">
      <c r="B9" s="9" t="s">
        <v>700</v>
      </c>
      <c r="C9" s="11" t="s">
        <v>701</v>
      </c>
      <c r="D9" s="11" t="s">
        <v>702</v>
      </c>
    </row>
    <row r="10" spans="1:4" ht="28" x14ac:dyDescent="0.2">
      <c r="B10" s="9" t="s">
        <v>703</v>
      </c>
      <c r="C10" s="11" t="s">
        <v>704</v>
      </c>
      <c r="D10" s="11" t="s">
        <v>705</v>
      </c>
    </row>
    <row r="11" spans="1:4" x14ac:dyDescent="0.2">
      <c r="B11" s="9" t="s">
        <v>706</v>
      </c>
      <c r="C11" s="11" t="s">
        <v>707</v>
      </c>
      <c r="D11" s="11" t="s">
        <v>708</v>
      </c>
    </row>
    <row r="12" spans="1:4" x14ac:dyDescent="0.2">
      <c r="B12" s="9" t="s">
        <v>709</v>
      </c>
      <c r="C12" s="11" t="s">
        <v>710</v>
      </c>
      <c r="D12" s="11" t="s">
        <v>711</v>
      </c>
    </row>
    <row r="13" spans="1:4" x14ac:dyDescent="0.2">
      <c r="B13" s="9" t="s">
        <v>712</v>
      </c>
      <c r="C13" s="11" t="s">
        <v>713</v>
      </c>
      <c r="D13" s="11" t="s">
        <v>714</v>
      </c>
    </row>
    <row r="14" spans="1:4" x14ac:dyDescent="0.2">
      <c r="B14" s="9" t="s">
        <v>715</v>
      </c>
      <c r="C14" s="11" t="s">
        <v>716</v>
      </c>
      <c r="D14" s="11" t="s">
        <v>717</v>
      </c>
    </row>
    <row r="16" spans="1:4" x14ac:dyDescent="0.2">
      <c r="B16" s="8" t="s">
        <v>718</v>
      </c>
      <c r="C16" s="8" t="s">
        <v>686</v>
      </c>
      <c r="D16" s="8" t="s">
        <v>687</v>
      </c>
    </row>
    <row r="17" spans="2:4" x14ac:dyDescent="0.2">
      <c r="B17" s="9" t="s">
        <v>719</v>
      </c>
      <c r="C17" s="11" t="s">
        <v>695</v>
      </c>
      <c r="D17" s="11" t="s">
        <v>720</v>
      </c>
    </row>
    <row r="18" spans="2:4" x14ac:dyDescent="0.2">
      <c r="B18" s="9" t="s">
        <v>721</v>
      </c>
      <c r="C18" s="11" t="s">
        <v>695</v>
      </c>
      <c r="D18" s="11" t="s">
        <v>722</v>
      </c>
    </row>
    <row r="19" spans="2:4" x14ac:dyDescent="0.2">
      <c r="B19" s="9" t="s">
        <v>723</v>
      </c>
      <c r="C19" s="11" t="s">
        <v>698</v>
      </c>
      <c r="D19" s="11" t="s">
        <v>724</v>
      </c>
    </row>
    <row r="20" spans="2:4" x14ac:dyDescent="0.2">
      <c r="B20" s="9" t="s">
        <v>697</v>
      </c>
      <c r="C20" s="11" t="s">
        <v>698</v>
      </c>
      <c r="D20" s="11" t="s">
        <v>725</v>
      </c>
    </row>
    <row r="21" spans="2:4" x14ac:dyDescent="0.2">
      <c r="B21" s="9" t="s">
        <v>700</v>
      </c>
      <c r="C21" s="11" t="s">
        <v>701</v>
      </c>
      <c r="D21" s="11" t="s">
        <v>726</v>
      </c>
    </row>
    <row r="22" spans="2:4" x14ac:dyDescent="0.2">
      <c r="B22" s="9" t="s">
        <v>727</v>
      </c>
      <c r="C22" s="11" t="s">
        <v>701</v>
      </c>
      <c r="D22" s="11" t="s">
        <v>728</v>
      </c>
    </row>
    <row r="23" spans="2:4" x14ac:dyDescent="0.2">
      <c r="B23" s="9" t="s">
        <v>729</v>
      </c>
      <c r="C23" s="11" t="s">
        <v>704</v>
      </c>
      <c r="D23" s="11" t="s">
        <v>730</v>
      </c>
    </row>
    <row r="24" spans="2:4" x14ac:dyDescent="0.2">
      <c r="B24" s="9" t="s">
        <v>731</v>
      </c>
      <c r="C24" s="11" t="s">
        <v>704</v>
      </c>
      <c r="D24" s="11" t="s">
        <v>732</v>
      </c>
    </row>
    <row r="25" spans="2:4" x14ac:dyDescent="0.2">
      <c r="B25" s="9" t="s">
        <v>733</v>
      </c>
      <c r="C25" s="11" t="s">
        <v>734</v>
      </c>
      <c r="D25" s="11" t="s">
        <v>735</v>
      </c>
    </row>
    <row r="26" spans="2:4" x14ac:dyDescent="0.2">
      <c r="B26" s="9" t="s">
        <v>736</v>
      </c>
      <c r="C26" s="11" t="s">
        <v>737</v>
      </c>
      <c r="D26" s="11" t="s">
        <v>738</v>
      </c>
    </row>
    <row r="28" spans="2:4" x14ac:dyDescent="0.2">
      <c r="B28" s="8" t="s">
        <v>739</v>
      </c>
      <c r="C28" s="8" t="s">
        <v>686</v>
      </c>
      <c r="D28" s="8" t="s">
        <v>687</v>
      </c>
    </row>
    <row r="29" spans="2:4" x14ac:dyDescent="0.2">
      <c r="B29" s="9" t="s">
        <v>740</v>
      </c>
      <c r="C29" s="11" t="s">
        <v>741</v>
      </c>
      <c r="D29" s="11" t="s">
        <v>742</v>
      </c>
    </row>
    <row r="30" spans="2:4" x14ac:dyDescent="0.2">
      <c r="B30" s="9" t="s">
        <v>743</v>
      </c>
      <c r="C30" s="11" t="s">
        <v>744</v>
      </c>
      <c r="D30" s="11" t="s">
        <v>745</v>
      </c>
    </row>
    <row r="31" spans="2:4" x14ac:dyDescent="0.2">
      <c r="B31" s="9" t="s">
        <v>746</v>
      </c>
      <c r="C31" s="11" t="s">
        <v>734</v>
      </c>
      <c r="D31" s="11" t="s">
        <v>747</v>
      </c>
    </row>
    <row r="32" spans="2:4" x14ac:dyDescent="0.2">
      <c r="B32" s="9" t="s">
        <v>748</v>
      </c>
      <c r="C32" s="11" t="s">
        <v>707</v>
      </c>
      <c r="D32" s="11" t="s">
        <v>749</v>
      </c>
    </row>
    <row r="33" spans="2:4" x14ac:dyDescent="0.2">
      <c r="B33" s="9" t="s">
        <v>750</v>
      </c>
      <c r="C33" s="11" t="s">
        <v>704</v>
      </c>
      <c r="D33" s="11" t="s">
        <v>751</v>
      </c>
    </row>
    <row r="34" spans="2:4" x14ac:dyDescent="0.2">
      <c r="B34" s="9" t="s">
        <v>727</v>
      </c>
      <c r="C34" s="11" t="s">
        <v>701</v>
      </c>
      <c r="D34" s="11" t="s">
        <v>752</v>
      </c>
    </row>
    <row r="35" spans="2:4" x14ac:dyDescent="0.2">
      <c r="B35" s="9" t="s">
        <v>753</v>
      </c>
      <c r="C35" s="11" t="s">
        <v>754</v>
      </c>
      <c r="D35" s="11" t="s">
        <v>755</v>
      </c>
    </row>
    <row r="36" spans="2:4" x14ac:dyDescent="0.2">
      <c r="B36" s="9" t="s">
        <v>756</v>
      </c>
      <c r="C36" s="11" t="s">
        <v>698</v>
      </c>
      <c r="D36" s="11" t="s">
        <v>757</v>
      </c>
    </row>
    <row r="37" spans="2:4" x14ac:dyDescent="0.2">
      <c r="B37" s="9" t="s">
        <v>758</v>
      </c>
      <c r="C37" s="11" t="s">
        <v>695</v>
      </c>
      <c r="D37" s="11" t="s">
        <v>759</v>
      </c>
    </row>
    <row r="38" spans="2:4" x14ac:dyDescent="0.2">
      <c r="B38" s="9" t="s">
        <v>760</v>
      </c>
      <c r="C38" s="11" t="s">
        <v>761</v>
      </c>
      <c r="D38" s="11" t="s">
        <v>762</v>
      </c>
    </row>
    <row r="40" spans="2:4" x14ac:dyDescent="0.2">
      <c r="B40" s="8" t="s">
        <v>763</v>
      </c>
      <c r="C40" s="8" t="s">
        <v>764</v>
      </c>
      <c r="D40" s="8" t="s">
        <v>765</v>
      </c>
    </row>
    <row r="41" spans="2:4" x14ac:dyDescent="0.2">
      <c r="B41" s="9" t="s">
        <v>766</v>
      </c>
      <c r="C41" s="15">
        <v>9</v>
      </c>
      <c r="D41" s="11" t="s">
        <v>767</v>
      </c>
    </row>
    <row r="42" spans="2:4" x14ac:dyDescent="0.2">
      <c r="B42" s="9" t="s">
        <v>768</v>
      </c>
      <c r="C42" s="15">
        <v>125</v>
      </c>
      <c r="D42" s="11" t="s">
        <v>769</v>
      </c>
    </row>
    <row r="43" spans="2:4" ht="28" x14ac:dyDescent="0.2">
      <c r="B43" s="9" t="s">
        <v>770</v>
      </c>
      <c r="C43" s="15" t="s">
        <v>771</v>
      </c>
      <c r="D43" s="11" t="s">
        <v>772</v>
      </c>
    </row>
    <row r="46" spans="2:4" ht="16" x14ac:dyDescent="0.2">
      <c r="B46" s="16" t="s">
        <v>773</v>
      </c>
    </row>
    <row r="47" spans="2:4" x14ac:dyDescent="0.2">
      <c r="B47" s="17" t="s">
        <v>774</v>
      </c>
    </row>
    <row r="49" spans="2:8" ht="42" x14ac:dyDescent="0.2">
      <c r="B49" s="8" t="s">
        <v>775</v>
      </c>
      <c r="C49" s="8" t="s">
        <v>776</v>
      </c>
      <c r="D49" s="8" t="s">
        <v>777</v>
      </c>
      <c r="E49" s="8" t="s">
        <v>778</v>
      </c>
      <c r="F49" s="8" t="s">
        <v>779</v>
      </c>
      <c r="G49" s="8" t="s">
        <v>780</v>
      </c>
      <c r="H49" s="8" t="s">
        <v>781</v>
      </c>
    </row>
    <row r="50" spans="2:8" x14ac:dyDescent="0.2">
      <c r="B50" s="9" t="s">
        <v>782</v>
      </c>
      <c r="C50" s="7" t="s">
        <v>783</v>
      </c>
      <c r="E50" s="18" t="s">
        <v>771</v>
      </c>
      <c r="F50" s="18" t="s">
        <v>771</v>
      </c>
      <c r="G50" s="18" t="s">
        <v>771</v>
      </c>
      <c r="H50" s="18" t="s">
        <v>771</v>
      </c>
    </row>
    <row r="51" spans="2:8" x14ac:dyDescent="0.2">
      <c r="B51" s="9" t="s">
        <v>782</v>
      </c>
      <c r="C51" s="7" t="s">
        <v>784</v>
      </c>
      <c r="E51" s="18" t="s">
        <v>771</v>
      </c>
      <c r="F51" s="18" t="s">
        <v>771</v>
      </c>
      <c r="G51" s="18" t="s">
        <v>771</v>
      </c>
      <c r="H51" s="18" t="s">
        <v>771</v>
      </c>
    </row>
    <row r="52" spans="2:8" x14ac:dyDescent="0.2">
      <c r="B52" s="9" t="s">
        <v>782</v>
      </c>
      <c r="C52" s="7" t="s">
        <v>785</v>
      </c>
      <c r="E52" s="18" t="s">
        <v>771</v>
      </c>
      <c r="F52" s="18" t="s">
        <v>771</v>
      </c>
      <c r="G52" s="18" t="s">
        <v>771</v>
      </c>
      <c r="H52" s="18" t="s">
        <v>786</v>
      </c>
    </row>
    <row r="53" spans="2:8" x14ac:dyDescent="0.2">
      <c r="B53" s="9" t="s">
        <v>782</v>
      </c>
      <c r="C53" s="7" t="s">
        <v>787</v>
      </c>
      <c r="E53" s="18" t="s">
        <v>771</v>
      </c>
      <c r="F53" s="18" t="s">
        <v>786</v>
      </c>
      <c r="G53" s="18" t="s">
        <v>788</v>
      </c>
      <c r="H53" s="18" t="s">
        <v>788</v>
      </c>
    </row>
    <row r="54" spans="2:8" x14ac:dyDescent="0.2">
      <c r="B54" s="9" t="s">
        <v>782</v>
      </c>
      <c r="C54" s="7" t="s">
        <v>789</v>
      </c>
      <c r="E54" s="18" t="s">
        <v>788</v>
      </c>
      <c r="F54" s="18" t="s">
        <v>788</v>
      </c>
      <c r="G54" s="18" t="s">
        <v>788</v>
      </c>
      <c r="H54" s="18" t="s">
        <v>788</v>
      </c>
    </row>
    <row r="55" spans="2:8" x14ac:dyDescent="0.2">
      <c r="B55" s="9" t="s">
        <v>790</v>
      </c>
      <c r="C55" s="7" t="s">
        <v>783</v>
      </c>
      <c r="E55" s="18" t="s">
        <v>771</v>
      </c>
      <c r="F55" s="18" t="s">
        <v>771</v>
      </c>
      <c r="G55" s="18" t="s">
        <v>771</v>
      </c>
      <c r="H55" s="18" t="s">
        <v>771</v>
      </c>
    </row>
    <row r="56" spans="2:8" x14ac:dyDescent="0.2">
      <c r="B56" s="9" t="s">
        <v>790</v>
      </c>
      <c r="C56" s="7" t="s">
        <v>784</v>
      </c>
      <c r="E56" s="18" t="s">
        <v>771</v>
      </c>
      <c r="F56" s="18" t="s">
        <v>771</v>
      </c>
      <c r="G56" s="18" t="s">
        <v>771</v>
      </c>
      <c r="H56" s="18" t="s">
        <v>786</v>
      </c>
    </row>
    <row r="57" spans="2:8" x14ac:dyDescent="0.2">
      <c r="B57" s="9" t="s">
        <v>790</v>
      </c>
      <c r="C57" s="7" t="s">
        <v>785</v>
      </c>
      <c r="E57" s="18" t="s">
        <v>771</v>
      </c>
      <c r="F57" s="18" t="s">
        <v>786</v>
      </c>
      <c r="G57" s="18" t="s">
        <v>786</v>
      </c>
      <c r="H57" s="18" t="s">
        <v>786</v>
      </c>
    </row>
    <row r="58" spans="2:8" x14ac:dyDescent="0.2">
      <c r="B58" s="9" t="s">
        <v>790</v>
      </c>
      <c r="C58" s="7" t="s">
        <v>787</v>
      </c>
      <c r="E58" s="18" t="s">
        <v>786</v>
      </c>
      <c r="F58" s="18" t="s">
        <v>786</v>
      </c>
      <c r="G58" s="18" t="s">
        <v>788</v>
      </c>
      <c r="H58" s="18" t="s">
        <v>788</v>
      </c>
    </row>
    <row r="59" spans="2:8" x14ac:dyDescent="0.2">
      <c r="B59" s="9" t="s">
        <v>790</v>
      </c>
      <c r="C59" s="7" t="s">
        <v>789</v>
      </c>
      <c r="E59" s="18" t="s">
        <v>788</v>
      </c>
      <c r="F59" s="18" t="s">
        <v>788</v>
      </c>
      <c r="G59" s="18" t="s">
        <v>788</v>
      </c>
      <c r="H59" s="18" t="s">
        <v>788</v>
      </c>
    </row>
    <row r="60" spans="2:8" x14ac:dyDescent="0.2">
      <c r="B60" s="9" t="s">
        <v>791</v>
      </c>
      <c r="C60" s="7" t="s">
        <v>783</v>
      </c>
      <c r="E60" s="18" t="s">
        <v>771</v>
      </c>
      <c r="F60" s="18" t="s">
        <v>771</v>
      </c>
      <c r="G60" s="18" t="s">
        <v>786</v>
      </c>
      <c r="H60" s="18" t="s">
        <v>786</v>
      </c>
    </row>
    <row r="61" spans="2:8" x14ac:dyDescent="0.2">
      <c r="B61" s="9" t="s">
        <v>791</v>
      </c>
      <c r="C61" s="7" t="s">
        <v>784</v>
      </c>
      <c r="E61" s="18" t="s">
        <v>786</v>
      </c>
      <c r="F61" s="18" t="s">
        <v>786</v>
      </c>
      <c r="G61" s="18" t="s">
        <v>786</v>
      </c>
      <c r="H61" s="18" t="s">
        <v>788</v>
      </c>
    </row>
    <row r="62" spans="2:8" x14ac:dyDescent="0.2">
      <c r="B62" s="9" t="s">
        <v>791</v>
      </c>
      <c r="C62" s="7" t="s">
        <v>785</v>
      </c>
      <c r="E62" s="18" t="s">
        <v>786</v>
      </c>
      <c r="F62" s="18" t="s">
        <v>788</v>
      </c>
      <c r="G62" s="18" t="s">
        <v>788</v>
      </c>
      <c r="H62" s="18" t="s">
        <v>788</v>
      </c>
    </row>
    <row r="63" spans="2:8" x14ac:dyDescent="0.2">
      <c r="B63" s="9" t="s">
        <v>791</v>
      </c>
      <c r="C63" s="7" t="s">
        <v>787</v>
      </c>
      <c r="E63" s="18" t="s">
        <v>788</v>
      </c>
      <c r="F63" s="18" t="s">
        <v>788</v>
      </c>
      <c r="G63" s="18" t="s">
        <v>788</v>
      </c>
      <c r="H63" s="18" t="s">
        <v>788</v>
      </c>
    </row>
    <row r="64" spans="2:8" x14ac:dyDescent="0.2">
      <c r="B64" s="9" t="s">
        <v>791</v>
      </c>
      <c r="C64" s="7" t="s">
        <v>789</v>
      </c>
      <c r="E64" s="18" t="s">
        <v>788</v>
      </c>
      <c r="F64" s="18" t="s">
        <v>788</v>
      </c>
      <c r="G64" s="18" t="s">
        <v>788</v>
      </c>
      <c r="H64" s="18" t="s">
        <v>788</v>
      </c>
    </row>
    <row r="65" spans="2:9" x14ac:dyDescent="0.2">
      <c r="B65" s="9" t="s">
        <v>792</v>
      </c>
      <c r="C65" s="7" t="s">
        <v>783</v>
      </c>
      <c r="E65" s="18" t="s">
        <v>786</v>
      </c>
      <c r="F65" s="18" t="s">
        <v>786</v>
      </c>
      <c r="G65" s="18" t="s">
        <v>788</v>
      </c>
      <c r="H65" s="18" t="s">
        <v>788</v>
      </c>
    </row>
    <row r="66" spans="2:9" x14ac:dyDescent="0.2">
      <c r="B66" s="9" t="s">
        <v>792</v>
      </c>
      <c r="C66" s="7" t="s">
        <v>784</v>
      </c>
      <c r="E66" s="18" t="s">
        <v>788</v>
      </c>
      <c r="F66" s="18" t="s">
        <v>788</v>
      </c>
      <c r="G66" s="18" t="s">
        <v>788</v>
      </c>
      <c r="H66" s="18" t="s">
        <v>788</v>
      </c>
    </row>
    <row r="67" spans="2:9" x14ac:dyDescent="0.2">
      <c r="B67" s="9" t="s">
        <v>792</v>
      </c>
      <c r="C67" s="7" t="s">
        <v>785</v>
      </c>
      <c r="E67" s="18" t="s">
        <v>788</v>
      </c>
      <c r="F67" s="18" t="s">
        <v>788</v>
      </c>
      <c r="G67" s="18" t="s">
        <v>788</v>
      </c>
      <c r="H67" s="18" t="s">
        <v>788</v>
      </c>
    </row>
    <row r="68" spans="2:9" x14ac:dyDescent="0.2">
      <c r="B68" s="9" t="s">
        <v>792</v>
      </c>
      <c r="C68" s="7" t="s">
        <v>787</v>
      </c>
      <c r="E68" s="18" t="s">
        <v>788</v>
      </c>
      <c r="F68" s="18" t="s">
        <v>788</v>
      </c>
      <c r="G68" s="18" t="s">
        <v>788</v>
      </c>
      <c r="H68" s="18" t="s">
        <v>788</v>
      </c>
    </row>
    <row r="69" spans="2:9" x14ac:dyDescent="0.2">
      <c r="B69" s="9" t="s">
        <v>792</v>
      </c>
      <c r="C69" s="7" t="s">
        <v>789</v>
      </c>
      <c r="E69" s="18" t="s">
        <v>788</v>
      </c>
      <c r="F69" s="18" t="s">
        <v>788</v>
      </c>
      <c r="G69" s="18" t="s">
        <v>788</v>
      </c>
      <c r="H69" s="18" t="s">
        <v>788</v>
      </c>
    </row>
    <row r="70" spans="2:9" x14ac:dyDescent="0.2">
      <c r="B70" s="9" t="s">
        <v>793</v>
      </c>
      <c r="C70" s="7" t="s">
        <v>783</v>
      </c>
      <c r="E70" s="18" t="s">
        <v>788</v>
      </c>
      <c r="F70" s="18" t="s">
        <v>788</v>
      </c>
      <c r="G70" s="18" t="s">
        <v>788</v>
      </c>
      <c r="H70" s="18" t="s">
        <v>788</v>
      </c>
    </row>
    <row r="71" spans="2:9" x14ac:dyDescent="0.2">
      <c r="B71" s="9" t="s">
        <v>793</v>
      </c>
      <c r="C71" s="7" t="s">
        <v>784</v>
      </c>
      <c r="E71" s="18" t="s">
        <v>788</v>
      </c>
      <c r="F71" s="18" t="s">
        <v>788</v>
      </c>
      <c r="G71" s="18" t="s">
        <v>788</v>
      </c>
      <c r="H71" s="18" t="s">
        <v>788</v>
      </c>
    </row>
    <row r="72" spans="2:9" x14ac:dyDescent="0.2">
      <c r="B72" s="9" t="s">
        <v>793</v>
      </c>
      <c r="C72" s="7" t="s">
        <v>785</v>
      </c>
      <c r="E72" s="18" t="s">
        <v>788</v>
      </c>
      <c r="F72" s="18" t="s">
        <v>788</v>
      </c>
      <c r="G72" s="18" t="s">
        <v>788</v>
      </c>
      <c r="H72" s="18" t="s">
        <v>788</v>
      </c>
    </row>
    <row r="73" spans="2:9" x14ac:dyDescent="0.2">
      <c r="B73" s="9" t="s">
        <v>793</v>
      </c>
      <c r="C73" s="7" t="s">
        <v>787</v>
      </c>
      <c r="E73" s="18" t="s">
        <v>788</v>
      </c>
      <c r="F73" s="18" t="s">
        <v>788</v>
      </c>
      <c r="G73" s="18" t="s">
        <v>788</v>
      </c>
      <c r="H73" s="18" t="s">
        <v>788</v>
      </c>
    </row>
    <row r="74" spans="2:9" x14ac:dyDescent="0.2">
      <c r="B74" s="9" t="s">
        <v>793</v>
      </c>
      <c r="C74" s="7" t="s">
        <v>789</v>
      </c>
      <c r="E74" s="18" t="s">
        <v>788</v>
      </c>
      <c r="F74" s="18" t="s">
        <v>788</v>
      </c>
      <c r="G74" s="18" t="s">
        <v>788</v>
      </c>
      <c r="H74" s="18" t="s">
        <v>788</v>
      </c>
    </row>
    <row r="76" spans="2:9" x14ac:dyDescent="0.2">
      <c r="B76" s="4" t="s">
        <v>794</v>
      </c>
    </row>
    <row r="77" spans="2:9" x14ac:dyDescent="0.2">
      <c r="B77" s="9" t="s">
        <v>795</v>
      </c>
      <c r="E77" s="15">
        <v>9</v>
      </c>
      <c r="F77" s="15">
        <v>7</v>
      </c>
      <c r="G77" s="15">
        <v>4</v>
      </c>
      <c r="H77" s="15">
        <v>2</v>
      </c>
      <c r="I77" s="15">
        <v>1</v>
      </c>
    </row>
    <row r="78" spans="2:9" x14ac:dyDescent="0.2">
      <c r="B78" s="9" t="s">
        <v>796</v>
      </c>
      <c r="E78" s="15">
        <v>8</v>
      </c>
      <c r="F78" s="15">
        <v>6</v>
      </c>
      <c r="G78" s="15">
        <v>4</v>
      </c>
      <c r="H78" s="15">
        <v>2</v>
      </c>
      <c r="I78" s="15">
        <v>1</v>
      </c>
    </row>
    <row r="79" spans="2:9" x14ac:dyDescent="0.2">
      <c r="B79" s="9" t="s">
        <v>797</v>
      </c>
      <c r="E79" s="15">
        <v>7</v>
      </c>
      <c r="F79" s="15">
        <v>5</v>
      </c>
      <c r="G79" s="15">
        <v>2</v>
      </c>
      <c r="H79" s="15">
        <v>1</v>
      </c>
    </row>
  </sheetData>
  <conditionalFormatting sqref="E50:H74">
    <cfRule type="expression" dxfId="83" priority="1">
      <formula>E50="H"</formula>
    </cfRule>
    <cfRule type="expression" dxfId="82" priority="2">
      <formula>E50="M"</formula>
    </cfRule>
    <cfRule type="expression" dxfId="81" priority="3">
      <formula>E50="L"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5"/>
  <sheetViews>
    <sheetView workbookViewId="0">
      <pane ySplit="4" topLeftCell="A5" activePane="bottomLeft" state="frozen"/>
      <selection pane="bottomLeft"/>
    </sheetView>
  </sheetViews>
  <sheetFormatPr baseColWidth="10" defaultColWidth="8.83203125" defaultRowHeight="15" x14ac:dyDescent="0.2"/>
  <cols>
    <col min="1" max="1" width="12" customWidth="1"/>
    <col min="2" max="2" width="40" customWidth="1"/>
    <col min="3" max="3" width="10" customWidth="1"/>
    <col min="4" max="7" width="9" customWidth="1"/>
    <col min="8" max="8" width="10" customWidth="1"/>
    <col min="9" max="10" width="11" customWidth="1"/>
  </cols>
  <sheetData>
    <row r="1" spans="1:10" ht="20" x14ac:dyDescent="0.2">
      <c r="A1" s="1" t="s">
        <v>798</v>
      </c>
    </row>
    <row r="2" spans="1:10" x14ac:dyDescent="0.2">
      <c r="A2" s="2" t="s">
        <v>799</v>
      </c>
    </row>
    <row r="4" spans="1:10" ht="42" x14ac:dyDescent="0.2">
      <c r="A4" s="8" t="s">
        <v>800</v>
      </c>
      <c r="B4" s="8" t="s">
        <v>191</v>
      </c>
      <c r="C4" s="8" t="s">
        <v>801</v>
      </c>
      <c r="D4" s="8" t="s">
        <v>802</v>
      </c>
      <c r="E4" s="8" t="s">
        <v>803</v>
      </c>
      <c r="F4" s="8" t="s">
        <v>804</v>
      </c>
      <c r="G4" s="8" t="s">
        <v>805</v>
      </c>
      <c r="H4" s="8" t="s">
        <v>806</v>
      </c>
      <c r="I4" s="8" t="s">
        <v>807</v>
      </c>
      <c r="J4" s="8" t="s">
        <v>808</v>
      </c>
    </row>
    <row r="5" spans="1:10" x14ac:dyDescent="0.2">
      <c r="A5" s="11" t="s">
        <v>809</v>
      </c>
      <c r="B5" s="6" t="str">
        <f>IF('System 01'!$D$3="","",'System 01'!$D$3)</f>
        <v>S01 – Hot DRI transfer conveyor</v>
      </c>
      <c r="C5" s="19">
        <f>COUNTIF('System 01'!$F$14:$F$163,"?*")</f>
        <v>3</v>
      </c>
      <c r="D5" s="19">
        <f>COUNTIF('System 01'!$Q$14:$Q$163,"H")</f>
        <v>0</v>
      </c>
      <c r="E5" s="19">
        <f>COUNTIF('System 01'!$Q$14:$Q$163,"M")</f>
        <v>2</v>
      </c>
      <c r="F5" s="19">
        <f>COUNTIF('System 01'!$Q$14:$Q$163,"L")</f>
        <v>0</v>
      </c>
      <c r="G5" s="19">
        <f>IF(COUNT('System 01'!$P$14:$P$163)=0,"",MAX('System 01'!$P$14:$P$163))</f>
        <v>210</v>
      </c>
      <c r="H5" s="19">
        <f>COUNTIF('System 01'!$R$14:$R$163,"Yes")</f>
        <v>1</v>
      </c>
      <c r="I5" s="19">
        <f>COUNTIFS('System 01'!$R$14:$R$163,"Yes",'System 01'!$U$14:$U$163,"")</f>
        <v>0</v>
      </c>
      <c r="J5" s="19">
        <f>COUNTIF('System 01'!$AA$14:$AA$163,"H")</f>
        <v>0</v>
      </c>
    </row>
    <row r="6" spans="1:10" ht="28" x14ac:dyDescent="0.2">
      <c r="A6" s="11" t="s">
        <v>810</v>
      </c>
      <c r="B6" s="6" t="str">
        <f>IF('System 02'!$D$3="","",'System 02'!$D$3)</f>
        <v>S02 – N2 fire detection, inerting &amp; extinguishing system</v>
      </c>
      <c r="C6" s="19">
        <f>COUNTIF('System 02'!$F$14:$F$163,"?*")</f>
        <v>1</v>
      </c>
      <c r="D6" s="19">
        <f>COUNTIF('System 02'!$Q$14:$Q$163,"H")</f>
        <v>1</v>
      </c>
      <c r="E6" s="19">
        <f>COUNTIF('System 02'!$Q$14:$Q$163,"M")</f>
        <v>0</v>
      </c>
      <c r="F6" s="19">
        <f>COUNTIF('System 02'!$Q$14:$Q$163,"L")</f>
        <v>0</v>
      </c>
      <c r="G6" s="19">
        <f>IF(COUNT('System 02'!$P$14:$P$163)=0,"",MAX('System 02'!$P$14:$P$163))</f>
        <v>288</v>
      </c>
      <c r="H6" s="19">
        <f>COUNTIF('System 02'!$R$14:$R$163,"Yes")</f>
        <v>1</v>
      </c>
      <c r="I6" s="19">
        <f>COUNTIFS('System 02'!$R$14:$R$163,"Yes",'System 02'!$U$14:$U$163,"")</f>
        <v>0</v>
      </c>
      <c r="J6" s="19">
        <f>COUNTIF('System 02'!$AA$14:$AA$163,"H")</f>
        <v>0</v>
      </c>
    </row>
    <row r="7" spans="1:10" x14ac:dyDescent="0.2">
      <c r="A7" s="11" t="s">
        <v>811</v>
      </c>
      <c r="B7" s="6" t="str">
        <f>IF('System 03'!$D$3="","",'System 03'!$D$3)</f>
        <v/>
      </c>
      <c r="C7" s="19">
        <f>COUNTIF('System 03'!$F$14:$F$163,"?*")</f>
        <v>0</v>
      </c>
      <c r="D7" s="19">
        <f>COUNTIF('System 03'!$Q$14:$Q$163,"H")</f>
        <v>0</v>
      </c>
      <c r="E7" s="19">
        <f>COUNTIF('System 03'!$Q$14:$Q$163,"M")</f>
        <v>0</v>
      </c>
      <c r="F7" s="19">
        <f>COUNTIF('System 03'!$Q$14:$Q$163,"L")</f>
        <v>0</v>
      </c>
      <c r="G7" s="19" t="str">
        <f>IF(COUNT('System 03'!$P$14:$P$163)=0,"",MAX('System 03'!$P$14:$P$163))</f>
        <v/>
      </c>
      <c r="H7" s="19">
        <f>COUNTIF('System 03'!$R$14:$R$163,"Yes")</f>
        <v>0</v>
      </c>
      <c r="I7" s="19">
        <f>COUNTIFS('System 03'!$R$14:$R$163,"Yes",'System 03'!$U$14:$U$163,"")</f>
        <v>0</v>
      </c>
      <c r="J7" s="19">
        <f>COUNTIF('System 03'!$AA$14:$AA$163,"H")</f>
        <v>0</v>
      </c>
    </row>
    <row r="8" spans="1:10" x14ac:dyDescent="0.2">
      <c r="A8" s="11" t="s">
        <v>812</v>
      </c>
      <c r="B8" s="6" t="str">
        <f>IF('System 04'!$D$3="","",'System 04'!$D$3)</f>
        <v/>
      </c>
      <c r="C8" s="19">
        <f>COUNTIF('System 04'!$F$14:$F$163,"?*")</f>
        <v>0</v>
      </c>
      <c r="D8" s="19">
        <f>COUNTIF('System 04'!$Q$14:$Q$163,"H")</f>
        <v>0</v>
      </c>
      <c r="E8" s="19">
        <f>COUNTIF('System 04'!$Q$14:$Q$163,"M")</f>
        <v>0</v>
      </c>
      <c r="F8" s="19">
        <f>COUNTIF('System 04'!$Q$14:$Q$163,"L")</f>
        <v>0</v>
      </c>
      <c r="G8" s="19" t="str">
        <f>IF(COUNT('System 04'!$P$14:$P$163)=0,"",MAX('System 04'!$P$14:$P$163))</f>
        <v/>
      </c>
      <c r="H8" s="19">
        <f>COUNTIF('System 04'!$R$14:$R$163,"Yes")</f>
        <v>0</v>
      </c>
      <c r="I8" s="19">
        <f>COUNTIFS('System 04'!$R$14:$R$163,"Yes",'System 04'!$U$14:$U$163,"")</f>
        <v>0</v>
      </c>
      <c r="J8" s="19">
        <f>COUNTIF('System 04'!$AA$14:$AA$163,"H")</f>
        <v>0</v>
      </c>
    </row>
    <row r="9" spans="1:10" x14ac:dyDescent="0.2">
      <c r="A9" s="11" t="s">
        <v>813</v>
      </c>
      <c r="B9" s="6" t="str">
        <f>IF('System 05'!$D$3="","",'System 05'!$D$3)</f>
        <v/>
      </c>
      <c r="C9" s="19">
        <f>COUNTIF('System 05'!$F$14:$F$163,"?*")</f>
        <v>0</v>
      </c>
      <c r="D9" s="19">
        <f>COUNTIF('System 05'!$Q$14:$Q$163,"H")</f>
        <v>0</v>
      </c>
      <c r="E9" s="19">
        <f>COUNTIF('System 05'!$Q$14:$Q$163,"M")</f>
        <v>0</v>
      </c>
      <c r="F9" s="19">
        <f>COUNTIF('System 05'!$Q$14:$Q$163,"L")</f>
        <v>0</v>
      </c>
      <c r="G9" s="19" t="str">
        <f>IF(COUNT('System 05'!$P$14:$P$163)=0,"",MAX('System 05'!$P$14:$P$163))</f>
        <v/>
      </c>
      <c r="H9" s="19">
        <f>COUNTIF('System 05'!$R$14:$R$163,"Yes")</f>
        <v>0</v>
      </c>
      <c r="I9" s="19">
        <f>COUNTIFS('System 05'!$R$14:$R$163,"Yes",'System 05'!$U$14:$U$163,"")</f>
        <v>0</v>
      </c>
      <c r="J9" s="19">
        <f>COUNTIF('System 05'!$AA$14:$AA$163,"H")</f>
        <v>0</v>
      </c>
    </row>
    <row r="10" spans="1:10" x14ac:dyDescent="0.2">
      <c r="A10" s="11" t="s">
        <v>814</v>
      </c>
      <c r="B10" s="6" t="str">
        <f>IF('System 06'!$D$3="","",'System 06'!$D$3)</f>
        <v/>
      </c>
      <c r="C10" s="19">
        <f>COUNTIF('System 06'!$F$14:$F$163,"?*")</f>
        <v>0</v>
      </c>
      <c r="D10" s="19">
        <f>COUNTIF('System 06'!$Q$14:$Q$163,"H")</f>
        <v>0</v>
      </c>
      <c r="E10" s="19">
        <f>COUNTIF('System 06'!$Q$14:$Q$163,"M")</f>
        <v>0</v>
      </c>
      <c r="F10" s="19">
        <f>COUNTIF('System 06'!$Q$14:$Q$163,"L")</f>
        <v>0</v>
      </c>
      <c r="G10" s="19" t="str">
        <f>IF(COUNT('System 06'!$P$14:$P$163)=0,"",MAX('System 06'!$P$14:$P$163))</f>
        <v/>
      </c>
      <c r="H10" s="19">
        <f>COUNTIF('System 06'!$R$14:$R$163,"Yes")</f>
        <v>0</v>
      </c>
      <c r="I10" s="19">
        <f>COUNTIFS('System 06'!$R$14:$R$163,"Yes",'System 06'!$U$14:$U$163,"")</f>
        <v>0</v>
      </c>
      <c r="J10" s="19">
        <f>COUNTIF('System 06'!$AA$14:$AA$163,"H")</f>
        <v>0</v>
      </c>
    </row>
    <row r="11" spans="1:10" x14ac:dyDescent="0.2">
      <c r="A11" s="11" t="s">
        <v>815</v>
      </c>
      <c r="B11" s="6" t="str">
        <f>IF('System 07'!$D$3="","",'System 07'!$D$3)</f>
        <v/>
      </c>
      <c r="C11" s="19">
        <f>COUNTIF('System 07'!$F$14:$F$163,"?*")</f>
        <v>0</v>
      </c>
      <c r="D11" s="19">
        <f>COUNTIF('System 07'!$Q$14:$Q$163,"H")</f>
        <v>0</v>
      </c>
      <c r="E11" s="19">
        <f>COUNTIF('System 07'!$Q$14:$Q$163,"M")</f>
        <v>0</v>
      </c>
      <c r="F11" s="19">
        <f>COUNTIF('System 07'!$Q$14:$Q$163,"L")</f>
        <v>0</v>
      </c>
      <c r="G11" s="19" t="str">
        <f>IF(COUNT('System 07'!$P$14:$P$163)=0,"",MAX('System 07'!$P$14:$P$163))</f>
        <v/>
      </c>
      <c r="H11" s="19">
        <f>COUNTIF('System 07'!$R$14:$R$163,"Yes")</f>
        <v>0</v>
      </c>
      <c r="I11" s="19">
        <f>COUNTIFS('System 07'!$R$14:$R$163,"Yes",'System 07'!$U$14:$U$163,"")</f>
        <v>0</v>
      </c>
      <c r="J11" s="19">
        <f>COUNTIF('System 07'!$AA$14:$AA$163,"H")</f>
        <v>0</v>
      </c>
    </row>
    <row r="12" spans="1:10" x14ac:dyDescent="0.2">
      <c r="A12" s="11" t="s">
        <v>816</v>
      </c>
      <c r="B12" s="6" t="str">
        <f>IF('System 08'!$D$3="","",'System 08'!$D$3)</f>
        <v/>
      </c>
      <c r="C12" s="19">
        <f>COUNTIF('System 08'!$F$14:$F$163,"?*")</f>
        <v>0</v>
      </c>
      <c r="D12" s="19">
        <f>COUNTIF('System 08'!$Q$14:$Q$163,"H")</f>
        <v>0</v>
      </c>
      <c r="E12" s="19">
        <f>COUNTIF('System 08'!$Q$14:$Q$163,"M")</f>
        <v>0</v>
      </c>
      <c r="F12" s="19">
        <f>COUNTIF('System 08'!$Q$14:$Q$163,"L")</f>
        <v>0</v>
      </c>
      <c r="G12" s="19" t="str">
        <f>IF(COUNT('System 08'!$P$14:$P$163)=0,"",MAX('System 08'!$P$14:$P$163))</f>
        <v/>
      </c>
      <c r="H12" s="19">
        <f>COUNTIF('System 08'!$R$14:$R$163,"Yes")</f>
        <v>0</v>
      </c>
      <c r="I12" s="19">
        <f>COUNTIFS('System 08'!$R$14:$R$163,"Yes",'System 08'!$U$14:$U$163,"")</f>
        <v>0</v>
      </c>
      <c r="J12" s="19">
        <f>COUNTIF('System 08'!$AA$14:$AA$163,"H")</f>
        <v>0</v>
      </c>
    </row>
    <row r="13" spans="1:10" x14ac:dyDescent="0.2">
      <c r="A13" s="11" t="s">
        <v>817</v>
      </c>
      <c r="B13" s="6" t="str">
        <f>IF('System 09'!$D$3="","",'System 09'!$D$3)</f>
        <v/>
      </c>
      <c r="C13" s="19">
        <f>COUNTIF('System 09'!$F$14:$F$163,"?*")</f>
        <v>0</v>
      </c>
      <c r="D13" s="19">
        <f>COUNTIF('System 09'!$Q$14:$Q$163,"H")</f>
        <v>0</v>
      </c>
      <c r="E13" s="19">
        <f>COUNTIF('System 09'!$Q$14:$Q$163,"M")</f>
        <v>0</v>
      </c>
      <c r="F13" s="19">
        <f>COUNTIF('System 09'!$Q$14:$Q$163,"L")</f>
        <v>0</v>
      </c>
      <c r="G13" s="19" t="str">
        <f>IF(COUNT('System 09'!$P$14:$P$163)=0,"",MAX('System 09'!$P$14:$P$163))</f>
        <v/>
      </c>
      <c r="H13" s="19">
        <f>COUNTIF('System 09'!$R$14:$R$163,"Yes")</f>
        <v>0</v>
      </c>
      <c r="I13" s="19">
        <f>COUNTIFS('System 09'!$R$14:$R$163,"Yes",'System 09'!$U$14:$U$163,"")</f>
        <v>0</v>
      </c>
      <c r="J13" s="19">
        <f>COUNTIF('System 09'!$AA$14:$AA$163,"H")</f>
        <v>0</v>
      </c>
    </row>
    <row r="14" spans="1:10" x14ac:dyDescent="0.2">
      <c r="A14" s="11" t="s">
        <v>818</v>
      </c>
      <c r="B14" s="6" t="str">
        <f>IF('System 10'!$D$3="","",'System 10'!$D$3)</f>
        <v/>
      </c>
      <c r="C14" s="19">
        <f>COUNTIF('System 10'!$F$14:$F$163,"?*")</f>
        <v>0</v>
      </c>
      <c r="D14" s="19">
        <f>COUNTIF('System 10'!$Q$14:$Q$163,"H")</f>
        <v>0</v>
      </c>
      <c r="E14" s="19">
        <f>COUNTIF('System 10'!$Q$14:$Q$163,"M")</f>
        <v>0</v>
      </c>
      <c r="F14" s="19">
        <f>COUNTIF('System 10'!$Q$14:$Q$163,"L")</f>
        <v>0</v>
      </c>
      <c r="G14" s="19" t="str">
        <f>IF(COUNT('System 10'!$P$14:$P$163)=0,"",MAX('System 10'!$P$14:$P$163))</f>
        <v/>
      </c>
      <c r="H14" s="19">
        <f>COUNTIF('System 10'!$R$14:$R$163,"Yes")</f>
        <v>0</v>
      </c>
      <c r="I14" s="19">
        <f>COUNTIFS('System 10'!$R$14:$R$163,"Yes",'System 10'!$U$14:$U$163,"")</f>
        <v>0</v>
      </c>
      <c r="J14" s="19">
        <f>COUNTIF('System 10'!$AA$14:$AA$163,"H")</f>
        <v>0</v>
      </c>
    </row>
    <row r="15" spans="1:10" x14ac:dyDescent="0.2">
      <c r="A15" s="9" t="s">
        <v>819</v>
      </c>
      <c r="B15" s="7"/>
      <c r="C15" s="20">
        <f>SUM(C$5:INDEX(C:C,ROW()-1))</f>
        <v>4</v>
      </c>
      <c r="D15" s="20">
        <f>SUM(D$5:INDEX(D:D,ROW()-1))</f>
        <v>1</v>
      </c>
      <c r="E15" s="20">
        <f>SUM(E$5:INDEX(E:E,ROW()-1))</f>
        <v>2</v>
      </c>
      <c r="F15" s="20">
        <f>SUM(F$5:INDEX(F:F,ROW()-1))</f>
        <v>0</v>
      </c>
      <c r="G15" s="20">
        <f>MAX(G$5:INDEX(G:G,ROW()-1))</f>
        <v>288</v>
      </c>
      <c r="H15" s="20">
        <f>SUM(H$5:INDEX(H:H,ROW()-1))</f>
        <v>2</v>
      </c>
      <c r="I15" s="20">
        <f>SUM(I$5:INDEX(I:I,ROW()-1))</f>
        <v>0</v>
      </c>
      <c r="J15" s="20">
        <f>SUM(J$5:INDEX(J:J,ROW()-1))</f>
        <v>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AE163"/>
  <sheetViews>
    <sheetView tabSelected="1" zoomScale="120" zoomScaleNormal="120" workbookViewId="0">
      <pane xSplit="2" ySplit="13" topLeftCell="C14" activePane="bottomRight" state="frozen"/>
      <selection pane="topRight"/>
      <selection pane="bottomLeft"/>
      <selection pane="bottomRight" activeCell="G16" sqref="G16"/>
    </sheetView>
  </sheetViews>
  <sheetFormatPr baseColWidth="10" defaultColWidth="8.83203125" defaultRowHeight="15" x14ac:dyDescent="0.2"/>
  <cols>
    <col min="1" max="1" width="7" customWidth="1"/>
    <col min="2" max="2" width="14" customWidth="1"/>
    <col min="3" max="4" width="22" customWidth="1"/>
    <col min="5" max="5" width="26" customWidth="1"/>
    <col min="6" max="6" width="28" customWidth="1"/>
    <col min="7" max="7" width="44" customWidth="1"/>
    <col min="8" max="9" width="28" customWidth="1"/>
    <col min="10" max="10" width="32" customWidth="1"/>
    <col min="11" max="11" width="18" customWidth="1"/>
    <col min="12" max="12" width="30" customWidth="1"/>
    <col min="13" max="13" width="18" customWidth="1"/>
    <col min="14" max="14" width="38" customWidth="1"/>
    <col min="15" max="15" width="18" customWidth="1"/>
    <col min="16" max="16" width="7" customWidth="1"/>
    <col min="17" max="17" width="6" customWidth="1"/>
    <col min="18" max="18" width="9" customWidth="1"/>
    <col min="19" max="19" width="34" customWidth="1"/>
    <col min="20" max="20" width="22" customWidth="1"/>
    <col min="21" max="21" width="14" customWidth="1"/>
    <col min="22" max="22" width="12" customWidth="1"/>
    <col min="23" max="25" width="18" customWidth="1"/>
    <col min="26" max="26" width="7" customWidth="1"/>
    <col min="27" max="27" width="6" customWidth="1"/>
    <col min="28" max="28" width="12" customWidth="1"/>
    <col min="29" max="29" width="24" customWidth="1"/>
    <col min="31" max="31" width="13" hidden="1" customWidth="1"/>
  </cols>
  <sheetData>
    <row r="1" spans="1:31" ht="18" hidden="1" x14ac:dyDescent="0.2">
      <c r="A1" s="21" t="s">
        <v>820</v>
      </c>
      <c r="F1" s="22" t="str">
        <f>Cover!B7</f>
        <v>FMECA – [Plant / Unit name]</v>
      </c>
    </row>
    <row r="2" spans="1:31" hidden="1" x14ac:dyDescent="0.2"/>
    <row r="3" spans="1:31" hidden="1" x14ac:dyDescent="0.2">
      <c r="A3" s="28" t="s">
        <v>821</v>
      </c>
      <c r="B3" s="29"/>
      <c r="C3" s="30"/>
      <c r="D3" s="26" t="s">
        <v>198</v>
      </c>
      <c r="E3" s="27"/>
      <c r="F3" s="27"/>
      <c r="G3" s="27"/>
      <c r="H3" s="27"/>
      <c r="I3" s="27"/>
      <c r="J3" s="27"/>
      <c r="K3" s="23" t="s">
        <v>822</v>
      </c>
      <c r="L3" s="34"/>
      <c r="M3" s="27"/>
      <c r="N3" s="23" t="s">
        <v>823</v>
      </c>
      <c r="O3" s="19">
        <f>IF($D$3="","",COUNTIFS(EqSys,$D$3,EqTag,"?*"))</f>
        <v>7</v>
      </c>
    </row>
    <row r="4" spans="1:31" ht="16" hidden="1" customHeight="1" x14ac:dyDescent="0.2">
      <c r="A4" s="35" t="s">
        <v>824</v>
      </c>
      <c r="B4" s="27"/>
      <c r="C4" s="27"/>
      <c r="D4" s="33" t="str">
        <f>IF($D$3="","",IFERROR(INDEX(Systems!$B$5:$B$34,MATCH($D$3,Systems!$C$5:$C$34,0))&amp;"",""))</f>
        <v>Hot DRI transfer conveyor</v>
      </c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</row>
    <row r="5" spans="1:31" ht="30" hidden="1" customHeight="1" x14ac:dyDescent="0.2">
      <c r="A5" s="35" t="s">
        <v>140</v>
      </c>
      <c r="B5" s="27"/>
      <c r="C5" s="27"/>
      <c r="D5" s="33" t="str">
        <f>IF($D$3="","",IFERROR(INDEX(Systems!$D$5:$D$34,MATCH($D$3,Systems!$C$5:$C$34,0))&amp;"",""))</f>
        <v>Transfer hot DRI from the reduction shaft discharge to the EAF charging bin at design rate, without stoppage under load, spillage or belt damage</v>
      </c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</row>
    <row r="6" spans="1:31" ht="30" hidden="1" customHeight="1" x14ac:dyDescent="0.2">
      <c r="A6" s="35" t="s">
        <v>24</v>
      </c>
      <c r="B6" s="27"/>
      <c r="C6" s="27"/>
      <c r="D6" s="33" t="str">
        <f>IF($D$3="","",IFERROR(INDEX(Systems!$E$5:$E$34,MATCH($D$3,Systems!$C$5:$C$34,0))&amp;"",""))</f>
        <v>Continuous duty; single conveyor (no standby); enclosed hood and gallery; hot, dusty environment; about 6 trips under load per year</v>
      </c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</row>
    <row r="7" spans="1:31" ht="30" hidden="1" customHeight="1" x14ac:dyDescent="0.2">
      <c r="A7" s="35" t="s">
        <v>142</v>
      </c>
      <c r="B7" s="27"/>
      <c r="C7" s="27"/>
      <c r="D7" s="33" t="str">
        <f>IF($D$3="","",IFERROR(INDEX(Systems!$F$5:$F$34,MATCH($D$3,Systems!$C$5:$C$34,0))&amp;"",""))</f>
        <v>From the shaft hot DRI discharge chute to the EAF charging bin inlet: belt, drive, idlers, hood, dust extraction, emergency discharge chute, speed / load / temperature instruments</v>
      </c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</row>
    <row r="8" spans="1:31" ht="16" hidden="1" customHeight="1" x14ac:dyDescent="0.2">
      <c r="A8" s="35" t="s">
        <v>143</v>
      </c>
      <c r="B8" s="27"/>
      <c r="C8" s="27"/>
      <c r="D8" s="33" t="str">
        <f>IF($D$3="","",IFERROR(INDEX(Systems!$G$5:$G$34,MATCH($D$3,Systems!$C$5:$C$34,0))&amp;"",""))</f>
        <v>P&amp;ID-DRI-301, 302</v>
      </c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</row>
    <row r="9" spans="1:31" ht="16" hidden="1" customHeight="1" x14ac:dyDescent="0.2">
      <c r="A9" s="35" t="s">
        <v>144</v>
      </c>
      <c r="B9" s="27"/>
      <c r="C9" s="27"/>
      <c r="D9" s="33" t="str">
        <f>IF($D$3="","",IFERROR(INDEX(Systems!$H$5:$H$34,MATCH($D$3,Systems!$C$5:$C$34,0))&amp;"",""))</f>
        <v>HAZOP N01</v>
      </c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</row>
    <row r="10" spans="1:31" hidden="1" x14ac:dyDescent="0.2"/>
    <row r="11" spans="1:31" ht="26" hidden="1" customHeight="1" x14ac:dyDescent="0.2">
      <c r="A11" s="36" t="s">
        <v>825</v>
      </c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</row>
    <row r="12" spans="1:31" x14ac:dyDescent="0.2">
      <c r="A12" s="31" t="s">
        <v>826</v>
      </c>
      <c r="B12" s="32"/>
      <c r="C12" s="32"/>
      <c r="D12" s="32"/>
      <c r="E12" s="32"/>
      <c r="F12" s="32"/>
      <c r="G12" s="31" t="s">
        <v>827</v>
      </c>
      <c r="H12" s="32"/>
      <c r="I12" s="32"/>
      <c r="J12" s="32"/>
      <c r="K12" s="31" t="s">
        <v>828</v>
      </c>
      <c r="L12" s="32"/>
      <c r="M12" s="32"/>
      <c r="N12" s="32"/>
      <c r="O12" s="32"/>
      <c r="P12" s="32"/>
      <c r="Q12" s="32"/>
      <c r="R12" s="32"/>
      <c r="S12" s="31" t="s">
        <v>829</v>
      </c>
      <c r="T12" s="32"/>
      <c r="U12" s="32"/>
      <c r="V12" s="32"/>
      <c r="W12" s="31" t="s">
        <v>830</v>
      </c>
      <c r="X12" s="32"/>
      <c r="Y12" s="32"/>
      <c r="Z12" s="32"/>
      <c r="AA12" s="32"/>
      <c r="AB12" s="31" t="s">
        <v>831</v>
      </c>
      <c r="AC12" s="32"/>
    </row>
    <row r="13" spans="1:31" ht="54" customHeight="1" x14ac:dyDescent="0.2">
      <c r="A13" s="8" t="s">
        <v>62</v>
      </c>
      <c r="B13" s="8" t="s">
        <v>192</v>
      </c>
      <c r="C13" s="8" t="s">
        <v>832</v>
      </c>
      <c r="D13" s="8" t="s">
        <v>260</v>
      </c>
      <c r="E13" s="8" t="s">
        <v>833</v>
      </c>
      <c r="F13" s="8" t="s">
        <v>261</v>
      </c>
      <c r="G13" s="8" t="s">
        <v>834</v>
      </c>
      <c r="H13" s="8" t="s">
        <v>835</v>
      </c>
      <c r="I13" s="8" t="s">
        <v>836</v>
      </c>
      <c r="J13" s="8" t="s">
        <v>837</v>
      </c>
      <c r="K13" s="8" t="s">
        <v>685</v>
      </c>
      <c r="L13" s="8" t="s">
        <v>838</v>
      </c>
      <c r="M13" s="8" t="s">
        <v>718</v>
      </c>
      <c r="N13" s="8" t="s">
        <v>839</v>
      </c>
      <c r="O13" s="8" t="s">
        <v>739</v>
      </c>
      <c r="P13" s="8" t="s">
        <v>840</v>
      </c>
      <c r="Q13" s="8" t="s">
        <v>841</v>
      </c>
      <c r="R13" s="8" t="s">
        <v>842</v>
      </c>
      <c r="S13" s="8" t="s">
        <v>843</v>
      </c>
      <c r="T13" s="8" t="s">
        <v>264</v>
      </c>
      <c r="U13" s="8" t="s">
        <v>844</v>
      </c>
      <c r="V13" s="8" t="s">
        <v>845</v>
      </c>
      <c r="W13" s="8" t="s">
        <v>685</v>
      </c>
      <c r="X13" s="8" t="s">
        <v>718</v>
      </c>
      <c r="Y13" s="8" t="s">
        <v>739</v>
      </c>
      <c r="Z13" s="8" t="s">
        <v>846</v>
      </c>
      <c r="AA13" s="8" t="s">
        <v>847</v>
      </c>
      <c r="AB13" s="8" t="s">
        <v>848</v>
      </c>
      <c r="AC13" s="8" t="s">
        <v>68</v>
      </c>
    </row>
    <row r="14" spans="1:31" ht="70" x14ac:dyDescent="0.2">
      <c r="A14" s="19" t="str">
        <f>IF(F14="","",LEFT($D$3,3)&amp;"-"&amp;TEXT(COUNTIF(F$14:F14,"?*"),"00"))</f>
        <v>S01-01</v>
      </c>
      <c r="B14" s="5" t="s">
        <v>199</v>
      </c>
      <c r="C14" s="6" t="str">
        <f t="shared" ref="C14:C45" si="0">IF(B14="","",IFERROR(INDEX(EqTypeCol,MATCH(B14,EqTag,0)),"Tag not in register"))</f>
        <v>Belt conveyor</v>
      </c>
      <c r="D14" s="5" t="s">
        <v>444</v>
      </c>
      <c r="E14" s="5" t="s">
        <v>849</v>
      </c>
      <c r="F14" s="5" t="s">
        <v>479</v>
      </c>
      <c r="G14" s="5" t="s">
        <v>874</v>
      </c>
      <c r="H14" s="5" t="s">
        <v>850</v>
      </c>
      <c r="I14" s="5" t="s">
        <v>851</v>
      </c>
      <c r="J14" s="5" t="s">
        <v>852</v>
      </c>
      <c r="K14" s="15" t="s">
        <v>697</v>
      </c>
      <c r="L14" s="5" t="s">
        <v>853</v>
      </c>
      <c r="M14" s="15" t="s">
        <v>727</v>
      </c>
      <c r="N14" s="5" t="s">
        <v>854</v>
      </c>
      <c r="O14" s="15" t="s">
        <v>750</v>
      </c>
      <c r="P14" s="19">
        <f t="shared" ref="P14:P45" si="1">IF(OR(K14="",M14="",O14=""),"",(--TRIM(LEFT(K14,2)))*(--TRIM(LEFT(M14,2)))*(--TRIM(LEFT(O14,2))))</f>
        <v>210</v>
      </c>
      <c r="Q14" s="19" t="str">
        <f t="shared" ref="Q14:Q45" si="2">IF(OR(K14="",M14="",O14=""),"",INDEX(APGrid,COUNTIF(APS,"&gt;"&amp;(--TRIM(LEFT(K14,2))))*5+COUNTIF(APO,"&gt;"&amp;(--TRIM(LEFT(M14,2))))+1,COUNTIF(APD,"&gt;"&amp;(--TRIM(LEFT(O14,2))))+1))</f>
        <v>M</v>
      </c>
      <c r="R14" s="19" t="str">
        <f t="shared" ref="R14:R45" si="3">IF(P14="","",IF(OR((--TRIM(LEFT(K14,2)))&gt;=SThr,P14&gt;=RPNThr,Q14="H"),"Yes","No"))</f>
        <v>Yes</v>
      </c>
      <c r="S14" s="5" t="s">
        <v>855</v>
      </c>
      <c r="T14" s="5" t="s">
        <v>271</v>
      </c>
      <c r="U14" s="5" t="s">
        <v>856</v>
      </c>
      <c r="V14" s="24"/>
      <c r="W14" s="15" t="s">
        <v>697</v>
      </c>
      <c r="X14" s="15" t="s">
        <v>729</v>
      </c>
      <c r="Y14" s="15" t="s">
        <v>756</v>
      </c>
      <c r="Z14" s="19">
        <f t="shared" ref="Z14:Z45" si="4">IF(OR(W14="",X14="",Y14=""),"",(--TRIM(LEFT(W14,2)))*(--TRIM(LEFT(X14,2)))*(--TRIM(LEFT(Y14,2))))</f>
        <v>84</v>
      </c>
      <c r="AA14" s="19" t="str">
        <f t="shared" ref="AA14:AA45" si="5">IF(OR(W14="",X14="",Y14=""),"",INDEX(APGrid,COUNTIF(APS,"&gt;"&amp;(--TRIM(LEFT(W14,2))))*5+COUNTIF(APO,"&gt;"&amp;(--TRIM(LEFT(X14,2))))+1,COUNTIF(APD,"&gt;"&amp;(--TRIM(LEFT(Y14,2))))+1))</f>
        <v>M</v>
      </c>
      <c r="AB14" s="5" t="s">
        <v>857</v>
      </c>
      <c r="AC14" s="5"/>
      <c r="AD14" s="25" t="s">
        <v>858</v>
      </c>
      <c r="AE14" t="str">
        <f>IFERROR(INDEX(EqTag,_xlfn.AGGREGATE(15,6,(ROW(EqTag)-4)/((EqSys=$D$3)*(EqTag&lt;&gt;"")),ROWS($AE$14:AE14))),"")</f>
        <v>CV-201</v>
      </c>
    </row>
    <row r="15" spans="1:31" ht="28" x14ac:dyDescent="0.2">
      <c r="A15" s="19" t="str">
        <f>IF(F15="","",LEFT($D$3,3)&amp;"-"&amp;TEXT(COUNTIF(F$14:F15,"?*"),"00"))</f>
        <v>S01-02</v>
      </c>
      <c r="B15" s="5" t="s">
        <v>199</v>
      </c>
      <c r="C15" s="6" t="str">
        <f t="shared" si="0"/>
        <v>Belt conveyor</v>
      </c>
      <c r="D15" s="5" t="s">
        <v>445</v>
      </c>
      <c r="E15" s="5" t="s">
        <v>869</v>
      </c>
      <c r="F15" s="5" t="s">
        <v>479</v>
      </c>
      <c r="G15" s="5" t="s">
        <v>870</v>
      </c>
      <c r="H15" s="5" t="s">
        <v>871</v>
      </c>
      <c r="I15" s="5" t="s">
        <v>872</v>
      </c>
      <c r="J15" s="5" t="s">
        <v>852</v>
      </c>
      <c r="K15" s="15" t="s">
        <v>697</v>
      </c>
      <c r="L15" s="5" t="s">
        <v>873</v>
      </c>
      <c r="M15" s="15" t="s">
        <v>729</v>
      </c>
      <c r="N15" s="5" t="s">
        <v>331</v>
      </c>
      <c r="O15" s="15" t="s">
        <v>753</v>
      </c>
      <c r="P15" s="19">
        <f t="shared" si="1"/>
        <v>112</v>
      </c>
      <c r="Q15" s="19" t="str">
        <f t="shared" si="2"/>
        <v>M</v>
      </c>
      <c r="R15" s="19" t="str">
        <f t="shared" si="3"/>
        <v>No</v>
      </c>
      <c r="S15" s="5"/>
      <c r="T15" s="5"/>
      <c r="U15" s="5"/>
      <c r="V15" s="24"/>
      <c r="W15" s="15"/>
      <c r="X15" s="15"/>
      <c r="Y15" s="15"/>
      <c r="Z15" s="19" t="str">
        <f t="shared" si="4"/>
        <v/>
      </c>
      <c r="AA15" s="19" t="str">
        <f t="shared" si="5"/>
        <v/>
      </c>
      <c r="AB15" s="5"/>
      <c r="AC15" s="5"/>
      <c r="AE15" t="str">
        <f>IFERROR(INDEX(EqTag,_xlfn.AGGREGATE(15,6,(ROW(EqTag)-4)/((EqSys=$D$3)*(EqTag&lt;&gt;"")),ROWS($AE$14:AE15))),"")</f>
        <v>M-201</v>
      </c>
    </row>
    <row r="16" spans="1:31" ht="30" customHeight="1" x14ac:dyDescent="0.2">
      <c r="A16" s="19" t="str">
        <f>IF(F16="","",LEFT($D$3,3)&amp;"-"&amp;TEXT(COUNTIF(F$14:F16,"?*"),"00"))</f>
        <v>S01-03</v>
      </c>
      <c r="B16" s="5" t="s">
        <v>209</v>
      </c>
      <c r="C16" s="6" t="str">
        <f t="shared" si="0"/>
        <v>Gearbox</v>
      </c>
      <c r="D16" s="5"/>
      <c r="E16" s="5"/>
      <c r="F16" s="5" t="s">
        <v>319</v>
      </c>
      <c r="G16" s="5"/>
      <c r="H16" s="5"/>
      <c r="I16" s="5"/>
      <c r="J16" s="5"/>
      <c r="K16" s="15"/>
      <c r="L16" s="5"/>
      <c r="M16" s="15"/>
      <c r="N16" s="5"/>
      <c r="O16" s="15"/>
      <c r="P16" s="19" t="str">
        <f t="shared" si="1"/>
        <v/>
      </c>
      <c r="Q16" s="19" t="str">
        <f t="shared" si="2"/>
        <v/>
      </c>
      <c r="R16" s="19" t="str">
        <f t="shared" si="3"/>
        <v/>
      </c>
      <c r="S16" s="5"/>
      <c r="T16" s="5"/>
      <c r="U16" s="5"/>
      <c r="V16" s="24"/>
      <c r="W16" s="15"/>
      <c r="X16" s="15"/>
      <c r="Y16" s="15"/>
      <c r="Z16" s="19" t="str">
        <f t="shared" si="4"/>
        <v/>
      </c>
      <c r="AA16" s="19" t="str">
        <f t="shared" si="5"/>
        <v/>
      </c>
      <c r="AB16" s="5"/>
      <c r="AC16" s="5"/>
      <c r="AE16" t="str">
        <f>IFERROR(INDEX(EqTag,_xlfn.AGGREGATE(15,6,(ROW(EqTag)-4)/((EqSys=$D$3)*(EqTag&lt;&gt;"")),ROWS($AE$14:AE16))),"")</f>
        <v>GB-201</v>
      </c>
    </row>
    <row r="17" spans="1:31" ht="30" customHeight="1" x14ac:dyDescent="0.2">
      <c r="A17" s="19" t="str">
        <f>IF(F17="","",LEFT($D$3,3)&amp;"-"&amp;TEXT(COUNTIF(F$14:F17,"?*"),"00"))</f>
        <v/>
      </c>
      <c r="B17" s="5"/>
      <c r="C17" s="6" t="str">
        <f t="shared" si="0"/>
        <v/>
      </c>
      <c r="D17" s="5"/>
      <c r="E17" s="5"/>
      <c r="F17" s="5"/>
      <c r="G17" s="5"/>
      <c r="H17" s="5"/>
      <c r="I17" s="5"/>
      <c r="J17" s="5"/>
      <c r="K17" s="15"/>
      <c r="L17" s="5"/>
      <c r="M17" s="15"/>
      <c r="N17" s="5"/>
      <c r="O17" s="15"/>
      <c r="P17" s="19" t="str">
        <f t="shared" si="1"/>
        <v/>
      </c>
      <c r="Q17" s="19" t="str">
        <f t="shared" si="2"/>
        <v/>
      </c>
      <c r="R17" s="19" t="str">
        <f t="shared" si="3"/>
        <v/>
      </c>
      <c r="S17" s="5"/>
      <c r="T17" s="5"/>
      <c r="U17" s="5"/>
      <c r="V17" s="24"/>
      <c r="W17" s="15"/>
      <c r="X17" s="15"/>
      <c r="Y17" s="15"/>
      <c r="Z17" s="19" t="str">
        <f t="shared" si="4"/>
        <v/>
      </c>
      <c r="AA17" s="19" t="str">
        <f t="shared" si="5"/>
        <v/>
      </c>
      <c r="AB17" s="5"/>
      <c r="AC17" s="5"/>
      <c r="AE17" t="str">
        <f>IFERROR(INDEX(EqTag,_xlfn.AGGREGATE(15,6,(ROW(EqTag)-4)/((EqSys=$D$3)*(EqTag&lt;&gt;"")),ROWS($AE$14:AE17))),"")</f>
        <v>SS-201</v>
      </c>
    </row>
    <row r="18" spans="1:31" ht="30" customHeight="1" x14ac:dyDescent="0.2">
      <c r="A18" s="19" t="str">
        <f>IF(F18="","",LEFT($D$3,3)&amp;"-"&amp;TEXT(COUNTIF(F$14:F18,"?*"),"00"))</f>
        <v/>
      </c>
      <c r="B18" s="5"/>
      <c r="C18" s="6" t="str">
        <f t="shared" si="0"/>
        <v/>
      </c>
      <c r="D18" s="5"/>
      <c r="E18" s="5"/>
      <c r="F18" s="5"/>
      <c r="G18" s="5"/>
      <c r="H18" s="5"/>
      <c r="I18" s="5"/>
      <c r="J18" s="5"/>
      <c r="K18" s="15"/>
      <c r="L18" s="5"/>
      <c r="M18" s="15"/>
      <c r="N18" s="5"/>
      <c r="O18" s="15"/>
      <c r="P18" s="19" t="str">
        <f t="shared" si="1"/>
        <v/>
      </c>
      <c r="Q18" s="19" t="str">
        <f t="shared" si="2"/>
        <v/>
      </c>
      <c r="R18" s="19" t="str">
        <f t="shared" si="3"/>
        <v/>
      </c>
      <c r="S18" s="5"/>
      <c r="T18" s="5"/>
      <c r="U18" s="5"/>
      <c r="V18" s="24"/>
      <c r="W18" s="15"/>
      <c r="X18" s="15"/>
      <c r="Y18" s="15"/>
      <c r="Z18" s="19" t="str">
        <f t="shared" si="4"/>
        <v/>
      </c>
      <c r="AA18" s="19" t="str">
        <f t="shared" si="5"/>
        <v/>
      </c>
      <c r="AB18" s="5"/>
      <c r="AC18" s="5"/>
      <c r="AE18" t="str">
        <f>IFERROR(INDEX(EqTag,_xlfn.AGGREGATE(15,6,(ROW(EqTag)-4)/((EqSys=$D$3)*(EqTag&lt;&gt;"")),ROWS($AE$14:AE18))),"")</f>
        <v>WT-201</v>
      </c>
    </row>
    <row r="19" spans="1:31" ht="30" customHeight="1" x14ac:dyDescent="0.2">
      <c r="A19" s="19" t="str">
        <f>IF(F19="","",LEFT($D$3,3)&amp;"-"&amp;TEXT(COUNTIF(F$14:F19,"?*"),"00"))</f>
        <v/>
      </c>
      <c r="B19" s="5"/>
      <c r="C19" s="6" t="str">
        <f t="shared" si="0"/>
        <v/>
      </c>
      <c r="D19" s="5"/>
      <c r="E19" s="5"/>
      <c r="F19" s="5"/>
      <c r="G19" s="5"/>
      <c r="H19" s="5"/>
      <c r="I19" s="5"/>
      <c r="J19" s="5"/>
      <c r="K19" s="15"/>
      <c r="L19" s="5"/>
      <c r="M19" s="15"/>
      <c r="N19" s="5"/>
      <c r="O19" s="15"/>
      <c r="P19" s="19" t="str">
        <f t="shared" si="1"/>
        <v/>
      </c>
      <c r="Q19" s="19" t="str">
        <f t="shared" si="2"/>
        <v/>
      </c>
      <c r="R19" s="19" t="str">
        <f t="shared" si="3"/>
        <v/>
      </c>
      <c r="S19" s="5"/>
      <c r="T19" s="5"/>
      <c r="U19" s="5"/>
      <c r="V19" s="24"/>
      <c r="W19" s="15"/>
      <c r="X19" s="15"/>
      <c r="Y19" s="15"/>
      <c r="Z19" s="19" t="str">
        <f t="shared" si="4"/>
        <v/>
      </c>
      <c r="AA19" s="19" t="str">
        <f t="shared" si="5"/>
        <v/>
      </c>
      <c r="AB19" s="5"/>
      <c r="AC19" s="5"/>
      <c r="AE19" t="str">
        <f>IFERROR(INDEX(EqTag,_xlfn.AGGREGATE(15,6,(ROW(EqTag)-4)/((EqSys=$D$3)*(EqTag&lt;&gt;"")),ROWS($AE$14:AE19))),"")</f>
        <v>TSHH-202</v>
      </c>
    </row>
    <row r="20" spans="1:31" ht="30" customHeight="1" x14ac:dyDescent="0.2">
      <c r="A20" s="19" t="str">
        <f>IF(F20="","",LEFT($D$3,3)&amp;"-"&amp;TEXT(COUNTIF(F$14:F20,"?*"),"00"))</f>
        <v/>
      </c>
      <c r="B20" s="5"/>
      <c r="C20" s="6" t="str">
        <f t="shared" si="0"/>
        <v/>
      </c>
      <c r="D20" s="5"/>
      <c r="E20" s="5"/>
      <c r="F20" s="5"/>
      <c r="G20" s="5"/>
      <c r="H20" s="5"/>
      <c r="I20" s="5"/>
      <c r="J20" s="5"/>
      <c r="K20" s="15"/>
      <c r="L20" s="5"/>
      <c r="M20" s="15"/>
      <c r="N20" s="5"/>
      <c r="O20" s="15"/>
      <c r="P20" s="19" t="str">
        <f t="shared" si="1"/>
        <v/>
      </c>
      <c r="Q20" s="19" t="str">
        <f t="shared" si="2"/>
        <v/>
      </c>
      <c r="R20" s="19" t="str">
        <f t="shared" si="3"/>
        <v/>
      </c>
      <c r="S20" s="5"/>
      <c r="T20" s="5"/>
      <c r="U20" s="5"/>
      <c r="V20" s="24"/>
      <c r="W20" s="15"/>
      <c r="X20" s="15"/>
      <c r="Y20" s="15"/>
      <c r="Z20" s="19" t="str">
        <f t="shared" si="4"/>
        <v/>
      </c>
      <c r="AA20" s="19" t="str">
        <f t="shared" si="5"/>
        <v/>
      </c>
      <c r="AB20" s="5"/>
      <c r="AC20" s="5"/>
      <c r="AE20" t="str">
        <f>IFERROR(INDEX(EqTag,_xlfn.AGGREGATE(15,6,(ROW(EqTag)-4)/((EqSys=$D$3)*(EqTag&lt;&gt;"")),ROWS($AE$14:AE20))),"")</f>
        <v>DC-203</v>
      </c>
    </row>
    <row r="21" spans="1:31" ht="30" customHeight="1" x14ac:dyDescent="0.2">
      <c r="A21" s="19" t="str">
        <f>IF(F21="","",LEFT($D$3,3)&amp;"-"&amp;TEXT(COUNTIF(F$14:F21,"?*"),"00"))</f>
        <v/>
      </c>
      <c r="B21" s="5"/>
      <c r="C21" s="6" t="str">
        <f t="shared" si="0"/>
        <v/>
      </c>
      <c r="D21" s="5"/>
      <c r="E21" s="5"/>
      <c r="F21" s="5"/>
      <c r="G21" s="5"/>
      <c r="H21" s="5"/>
      <c r="I21" s="5"/>
      <c r="J21" s="5"/>
      <c r="K21" s="15"/>
      <c r="L21" s="5"/>
      <c r="M21" s="15"/>
      <c r="N21" s="5"/>
      <c r="O21" s="15"/>
      <c r="P21" s="19" t="str">
        <f t="shared" si="1"/>
        <v/>
      </c>
      <c r="Q21" s="19" t="str">
        <f t="shared" si="2"/>
        <v/>
      </c>
      <c r="R21" s="19" t="str">
        <f t="shared" si="3"/>
        <v/>
      </c>
      <c r="S21" s="5"/>
      <c r="T21" s="5"/>
      <c r="U21" s="5"/>
      <c r="V21" s="24"/>
      <c r="W21" s="15"/>
      <c r="X21" s="15"/>
      <c r="Y21" s="15"/>
      <c r="Z21" s="19" t="str">
        <f t="shared" si="4"/>
        <v/>
      </c>
      <c r="AA21" s="19" t="str">
        <f t="shared" si="5"/>
        <v/>
      </c>
      <c r="AB21" s="5"/>
      <c r="AC21" s="5"/>
      <c r="AE21" t="str">
        <f>IFERROR(INDEX(EqTag,_xlfn.AGGREGATE(15,6,(ROW(EqTag)-4)/((EqSys=$D$3)*(EqTag&lt;&gt;"")),ROWS($AE$14:AE21))),"")</f>
        <v/>
      </c>
    </row>
    <row r="22" spans="1:31" ht="30" customHeight="1" x14ac:dyDescent="0.2">
      <c r="A22" s="19" t="str">
        <f>IF(F22="","",LEFT($D$3,3)&amp;"-"&amp;TEXT(COUNTIF(F$14:F22,"?*"),"00"))</f>
        <v/>
      </c>
      <c r="B22" s="5"/>
      <c r="C22" s="6" t="str">
        <f t="shared" si="0"/>
        <v/>
      </c>
      <c r="D22" s="5"/>
      <c r="E22" s="5"/>
      <c r="F22" s="5"/>
      <c r="G22" s="5"/>
      <c r="H22" s="5"/>
      <c r="I22" s="5"/>
      <c r="J22" s="5"/>
      <c r="K22" s="15"/>
      <c r="L22" s="5"/>
      <c r="M22" s="15"/>
      <c r="N22" s="5"/>
      <c r="O22" s="15"/>
      <c r="P22" s="19" t="str">
        <f t="shared" si="1"/>
        <v/>
      </c>
      <c r="Q22" s="19" t="str">
        <f t="shared" si="2"/>
        <v/>
      </c>
      <c r="R22" s="19" t="str">
        <f t="shared" si="3"/>
        <v/>
      </c>
      <c r="S22" s="5"/>
      <c r="T22" s="5"/>
      <c r="U22" s="5"/>
      <c r="V22" s="24"/>
      <c r="W22" s="15"/>
      <c r="X22" s="15"/>
      <c r="Y22" s="15"/>
      <c r="Z22" s="19" t="str">
        <f t="shared" si="4"/>
        <v/>
      </c>
      <c r="AA22" s="19" t="str">
        <f t="shared" si="5"/>
        <v/>
      </c>
      <c r="AB22" s="5"/>
      <c r="AC22" s="5"/>
      <c r="AE22" t="str">
        <f>IFERROR(INDEX(EqTag,_xlfn.AGGREGATE(15,6,(ROW(EqTag)-4)/((EqSys=$D$3)*(EqTag&lt;&gt;"")),ROWS($AE$14:AE22))),"")</f>
        <v/>
      </c>
    </row>
    <row r="23" spans="1:31" ht="30" customHeight="1" x14ac:dyDescent="0.2">
      <c r="A23" s="19" t="str">
        <f>IF(F23="","",LEFT($D$3,3)&amp;"-"&amp;TEXT(COUNTIF(F$14:F23,"?*"),"00"))</f>
        <v/>
      </c>
      <c r="B23" s="5"/>
      <c r="C23" s="6" t="str">
        <f t="shared" si="0"/>
        <v/>
      </c>
      <c r="D23" s="5"/>
      <c r="E23" s="5"/>
      <c r="F23" s="5"/>
      <c r="G23" s="5"/>
      <c r="H23" s="5"/>
      <c r="I23" s="5"/>
      <c r="J23" s="5"/>
      <c r="K23" s="15"/>
      <c r="L23" s="5"/>
      <c r="M23" s="15"/>
      <c r="N23" s="5"/>
      <c r="O23" s="15"/>
      <c r="P23" s="19" t="str">
        <f t="shared" si="1"/>
        <v/>
      </c>
      <c r="Q23" s="19" t="str">
        <f t="shared" si="2"/>
        <v/>
      </c>
      <c r="R23" s="19" t="str">
        <f t="shared" si="3"/>
        <v/>
      </c>
      <c r="S23" s="5"/>
      <c r="T23" s="5"/>
      <c r="U23" s="5"/>
      <c r="V23" s="24"/>
      <c r="W23" s="15"/>
      <c r="X23" s="15"/>
      <c r="Y23" s="15"/>
      <c r="Z23" s="19" t="str">
        <f t="shared" si="4"/>
        <v/>
      </c>
      <c r="AA23" s="19" t="str">
        <f t="shared" si="5"/>
        <v/>
      </c>
      <c r="AB23" s="5"/>
      <c r="AC23" s="5"/>
      <c r="AE23" t="str">
        <f>IFERROR(INDEX(EqTag,_xlfn.AGGREGATE(15,6,(ROW(EqTag)-4)/((EqSys=$D$3)*(EqTag&lt;&gt;"")),ROWS($AE$14:AE23))),"")</f>
        <v/>
      </c>
    </row>
    <row r="24" spans="1:31" ht="30" customHeight="1" x14ac:dyDescent="0.2">
      <c r="A24" s="19" t="str">
        <f>IF(F24="","",LEFT($D$3,3)&amp;"-"&amp;TEXT(COUNTIF(F$14:F24,"?*"),"00"))</f>
        <v/>
      </c>
      <c r="B24" s="5"/>
      <c r="C24" s="6" t="str">
        <f t="shared" si="0"/>
        <v/>
      </c>
      <c r="D24" s="5"/>
      <c r="E24" s="5"/>
      <c r="F24" s="5"/>
      <c r="G24" s="5"/>
      <c r="H24" s="5"/>
      <c r="I24" s="5"/>
      <c r="J24" s="5"/>
      <c r="K24" s="15"/>
      <c r="L24" s="5"/>
      <c r="M24" s="15"/>
      <c r="N24" s="5"/>
      <c r="O24" s="15"/>
      <c r="P24" s="19" t="str">
        <f t="shared" si="1"/>
        <v/>
      </c>
      <c r="Q24" s="19" t="str">
        <f t="shared" si="2"/>
        <v/>
      </c>
      <c r="R24" s="19" t="str">
        <f t="shared" si="3"/>
        <v/>
      </c>
      <c r="S24" s="5"/>
      <c r="T24" s="5"/>
      <c r="U24" s="5"/>
      <c r="V24" s="24"/>
      <c r="W24" s="15"/>
      <c r="X24" s="15"/>
      <c r="Y24" s="15"/>
      <c r="Z24" s="19" t="str">
        <f t="shared" si="4"/>
        <v/>
      </c>
      <c r="AA24" s="19" t="str">
        <f t="shared" si="5"/>
        <v/>
      </c>
      <c r="AB24" s="5"/>
      <c r="AC24" s="5"/>
      <c r="AE24" t="str">
        <f>IFERROR(INDEX(EqTag,_xlfn.AGGREGATE(15,6,(ROW(EqTag)-4)/((EqSys=$D$3)*(EqTag&lt;&gt;"")),ROWS($AE$14:AE24))),"")</f>
        <v/>
      </c>
    </row>
    <row r="25" spans="1:31" ht="30" customHeight="1" x14ac:dyDescent="0.2">
      <c r="A25" s="19" t="str">
        <f>IF(F25="","",LEFT($D$3,3)&amp;"-"&amp;TEXT(COUNTIF(F$14:F25,"?*"),"00"))</f>
        <v/>
      </c>
      <c r="B25" s="5"/>
      <c r="C25" s="6" t="str">
        <f t="shared" si="0"/>
        <v/>
      </c>
      <c r="D25" s="5"/>
      <c r="E25" s="5"/>
      <c r="F25" s="5"/>
      <c r="G25" s="5"/>
      <c r="H25" s="5"/>
      <c r="I25" s="5"/>
      <c r="J25" s="5"/>
      <c r="K25" s="15"/>
      <c r="L25" s="5"/>
      <c r="M25" s="15"/>
      <c r="N25" s="5"/>
      <c r="O25" s="15"/>
      <c r="P25" s="19" t="str">
        <f t="shared" si="1"/>
        <v/>
      </c>
      <c r="Q25" s="19" t="str">
        <f t="shared" si="2"/>
        <v/>
      </c>
      <c r="R25" s="19" t="str">
        <f t="shared" si="3"/>
        <v/>
      </c>
      <c r="S25" s="5"/>
      <c r="T25" s="5"/>
      <c r="U25" s="5"/>
      <c r="V25" s="24"/>
      <c r="W25" s="15"/>
      <c r="X25" s="15"/>
      <c r="Y25" s="15"/>
      <c r="Z25" s="19" t="str">
        <f t="shared" si="4"/>
        <v/>
      </c>
      <c r="AA25" s="19" t="str">
        <f t="shared" si="5"/>
        <v/>
      </c>
      <c r="AB25" s="5"/>
      <c r="AC25" s="5"/>
      <c r="AE25" t="str">
        <f>IFERROR(INDEX(EqTag,_xlfn.AGGREGATE(15,6,(ROW(EqTag)-4)/((EqSys=$D$3)*(EqTag&lt;&gt;"")),ROWS($AE$14:AE25))),"")</f>
        <v/>
      </c>
    </row>
    <row r="26" spans="1:31" ht="30" customHeight="1" x14ac:dyDescent="0.2">
      <c r="A26" s="19" t="str">
        <f>IF(F26="","",LEFT($D$3,3)&amp;"-"&amp;TEXT(COUNTIF(F$14:F26,"?*"),"00"))</f>
        <v/>
      </c>
      <c r="B26" s="5"/>
      <c r="C26" s="6" t="str">
        <f t="shared" si="0"/>
        <v/>
      </c>
      <c r="D26" s="5"/>
      <c r="E26" s="5"/>
      <c r="F26" s="5"/>
      <c r="G26" s="5"/>
      <c r="H26" s="5"/>
      <c r="I26" s="5"/>
      <c r="J26" s="5"/>
      <c r="K26" s="15"/>
      <c r="L26" s="5"/>
      <c r="M26" s="15"/>
      <c r="N26" s="5"/>
      <c r="O26" s="15"/>
      <c r="P26" s="19" t="str">
        <f t="shared" si="1"/>
        <v/>
      </c>
      <c r="Q26" s="19" t="str">
        <f t="shared" si="2"/>
        <v/>
      </c>
      <c r="R26" s="19" t="str">
        <f t="shared" si="3"/>
        <v/>
      </c>
      <c r="S26" s="5"/>
      <c r="T26" s="5"/>
      <c r="U26" s="5"/>
      <c r="V26" s="24"/>
      <c r="W26" s="15"/>
      <c r="X26" s="15"/>
      <c r="Y26" s="15"/>
      <c r="Z26" s="19" t="str">
        <f t="shared" si="4"/>
        <v/>
      </c>
      <c r="AA26" s="19" t="str">
        <f t="shared" si="5"/>
        <v/>
      </c>
      <c r="AB26" s="5"/>
      <c r="AC26" s="5"/>
      <c r="AE26" t="str">
        <f>IFERROR(INDEX(EqTag,_xlfn.AGGREGATE(15,6,(ROW(EqTag)-4)/((EqSys=$D$3)*(EqTag&lt;&gt;"")),ROWS($AE$14:AE26))),"")</f>
        <v/>
      </c>
    </row>
    <row r="27" spans="1:31" ht="30" customHeight="1" x14ac:dyDescent="0.2">
      <c r="A27" s="19" t="str">
        <f>IF(F27="","",LEFT($D$3,3)&amp;"-"&amp;TEXT(COUNTIF(F$14:F27,"?*"),"00"))</f>
        <v/>
      </c>
      <c r="B27" s="5"/>
      <c r="C27" s="6" t="str">
        <f t="shared" si="0"/>
        <v/>
      </c>
      <c r="D27" s="5"/>
      <c r="E27" s="5"/>
      <c r="F27" s="5"/>
      <c r="G27" s="5"/>
      <c r="H27" s="5"/>
      <c r="I27" s="5"/>
      <c r="J27" s="5"/>
      <c r="K27" s="15"/>
      <c r="L27" s="5"/>
      <c r="M27" s="15"/>
      <c r="N27" s="5"/>
      <c r="O27" s="15"/>
      <c r="P27" s="19" t="str">
        <f t="shared" si="1"/>
        <v/>
      </c>
      <c r="Q27" s="19" t="str">
        <f t="shared" si="2"/>
        <v/>
      </c>
      <c r="R27" s="19" t="str">
        <f t="shared" si="3"/>
        <v/>
      </c>
      <c r="S27" s="5"/>
      <c r="T27" s="5"/>
      <c r="U27" s="5"/>
      <c r="V27" s="24"/>
      <c r="W27" s="15"/>
      <c r="X27" s="15"/>
      <c r="Y27" s="15"/>
      <c r="Z27" s="19" t="str">
        <f t="shared" si="4"/>
        <v/>
      </c>
      <c r="AA27" s="19" t="str">
        <f t="shared" si="5"/>
        <v/>
      </c>
      <c r="AB27" s="5"/>
      <c r="AC27" s="5"/>
      <c r="AE27" t="str">
        <f>IFERROR(INDEX(EqTag,_xlfn.AGGREGATE(15,6,(ROW(EqTag)-4)/((EqSys=$D$3)*(EqTag&lt;&gt;"")),ROWS($AE$14:AE27))),"")</f>
        <v/>
      </c>
    </row>
    <row r="28" spans="1:31" ht="30" customHeight="1" x14ac:dyDescent="0.2">
      <c r="A28" s="19" t="str">
        <f>IF(F28="","",LEFT($D$3,3)&amp;"-"&amp;TEXT(COUNTIF(F$14:F28,"?*"),"00"))</f>
        <v/>
      </c>
      <c r="B28" s="5"/>
      <c r="C28" s="6" t="str">
        <f t="shared" si="0"/>
        <v/>
      </c>
      <c r="D28" s="5"/>
      <c r="E28" s="5"/>
      <c r="F28" s="5"/>
      <c r="G28" s="5"/>
      <c r="H28" s="5"/>
      <c r="I28" s="5"/>
      <c r="J28" s="5"/>
      <c r="K28" s="15"/>
      <c r="L28" s="5"/>
      <c r="M28" s="15"/>
      <c r="N28" s="5"/>
      <c r="O28" s="15"/>
      <c r="P28" s="19" t="str">
        <f t="shared" si="1"/>
        <v/>
      </c>
      <c r="Q28" s="19" t="str">
        <f t="shared" si="2"/>
        <v/>
      </c>
      <c r="R28" s="19" t="str">
        <f t="shared" si="3"/>
        <v/>
      </c>
      <c r="S28" s="5"/>
      <c r="T28" s="5"/>
      <c r="U28" s="5"/>
      <c r="V28" s="24"/>
      <c r="W28" s="15"/>
      <c r="X28" s="15"/>
      <c r="Y28" s="15"/>
      <c r="Z28" s="19" t="str">
        <f t="shared" si="4"/>
        <v/>
      </c>
      <c r="AA28" s="19" t="str">
        <f t="shared" si="5"/>
        <v/>
      </c>
      <c r="AB28" s="5"/>
      <c r="AC28" s="5"/>
      <c r="AE28" t="str">
        <f>IFERROR(INDEX(EqTag,_xlfn.AGGREGATE(15,6,(ROW(EqTag)-4)/((EqSys=$D$3)*(EqTag&lt;&gt;"")),ROWS($AE$14:AE28))),"")</f>
        <v/>
      </c>
    </row>
    <row r="29" spans="1:31" ht="30" customHeight="1" x14ac:dyDescent="0.2">
      <c r="A29" s="19" t="str">
        <f>IF(F29="","",LEFT($D$3,3)&amp;"-"&amp;TEXT(COUNTIF(F$14:F29,"?*"),"00"))</f>
        <v/>
      </c>
      <c r="B29" s="5"/>
      <c r="C29" s="6" t="str">
        <f t="shared" si="0"/>
        <v/>
      </c>
      <c r="D29" s="5"/>
      <c r="E29" s="5"/>
      <c r="F29" s="5"/>
      <c r="G29" s="5"/>
      <c r="H29" s="5"/>
      <c r="I29" s="5"/>
      <c r="J29" s="5"/>
      <c r="K29" s="15"/>
      <c r="L29" s="5"/>
      <c r="M29" s="15"/>
      <c r="N29" s="5"/>
      <c r="O29" s="15"/>
      <c r="P29" s="19" t="str">
        <f t="shared" si="1"/>
        <v/>
      </c>
      <c r="Q29" s="19" t="str">
        <f t="shared" si="2"/>
        <v/>
      </c>
      <c r="R29" s="19" t="str">
        <f t="shared" si="3"/>
        <v/>
      </c>
      <c r="S29" s="5"/>
      <c r="T29" s="5"/>
      <c r="U29" s="5"/>
      <c r="V29" s="24"/>
      <c r="W29" s="15"/>
      <c r="X29" s="15"/>
      <c r="Y29" s="15"/>
      <c r="Z29" s="19" t="str">
        <f t="shared" si="4"/>
        <v/>
      </c>
      <c r="AA29" s="19" t="str">
        <f t="shared" si="5"/>
        <v/>
      </c>
      <c r="AB29" s="5"/>
      <c r="AC29" s="5"/>
      <c r="AE29" t="str">
        <f>IFERROR(INDEX(EqTag,_xlfn.AGGREGATE(15,6,(ROW(EqTag)-4)/((EqSys=$D$3)*(EqTag&lt;&gt;"")),ROWS($AE$14:AE29))),"")</f>
        <v/>
      </c>
    </row>
    <row r="30" spans="1:31" ht="30" customHeight="1" x14ac:dyDescent="0.2">
      <c r="A30" s="19" t="str">
        <f>IF(F30="","",LEFT($D$3,3)&amp;"-"&amp;TEXT(COUNTIF(F$14:F30,"?*"),"00"))</f>
        <v/>
      </c>
      <c r="B30" s="5"/>
      <c r="C30" s="6" t="str">
        <f t="shared" si="0"/>
        <v/>
      </c>
      <c r="D30" s="5"/>
      <c r="E30" s="5"/>
      <c r="F30" s="5"/>
      <c r="G30" s="5"/>
      <c r="H30" s="5"/>
      <c r="I30" s="5"/>
      <c r="J30" s="5"/>
      <c r="K30" s="15"/>
      <c r="L30" s="5"/>
      <c r="M30" s="15"/>
      <c r="N30" s="5"/>
      <c r="O30" s="15"/>
      <c r="P30" s="19" t="str">
        <f t="shared" si="1"/>
        <v/>
      </c>
      <c r="Q30" s="19" t="str">
        <f t="shared" si="2"/>
        <v/>
      </c>
      <c r="R30" s="19" t="str">
        <f t="shared" si="3"/>
        <v/>
      </c>
      <c r="S30" s="5"/>
      <c r="T30" s="5"/>
      <c r="U30" s="5"/>
      <c r="V30" s="24"/>
      <c r="W30" s="15"/>
      <c r="X30" s="15"/>
      <c r="Y30" s="15"/>
      <c r="Z30" s="19" t="str">
        <f t="shared" si="4"/>
        <v/>
      </c>
      <c r="AA30" s="19" t="str">
        <f t="shared" si="5"/>
        <v/>
      </c>
      <c r="AB30" s="5"/>
      <c r="AC30" s="5"/>
      <c r="AE30" t="str">
        <f>IFERROR(INDEX(EqTag,_xlfn.AGGREGATE(15,6,(ROW(EqTag)-4)/((EqSys=$D$3)*(EqTag&lt;&gt;"")),ROWS($AE$14:AE30))),"")</f>
        <v/>
      </c>
    </row>
    <row r="31" spans="1:31" ht="30" customHeight="1" x14ac:dyDescent="0.2">
      <c r="A31" s="19" t="str">
        <f>IF(F31="","",LEFT($D$3,3)&amp;"-"&amp;TEXT(COUNTIF(F$14:F31,"?*"),"00"))</f>
        <v/>
      </c>
      <c r="B31" s="5"/>
      <c r="C31" s="6" t="str">
        <f t="shared" si="0"/>
        <v/>
      </c>
      <c r="D31" s="5"/>
      <c r="E31" s="5"/>
      <c r="F31" s="5"/>
      <c r="G31" s="5"/>
      <c r="H31" s="5"/>
      <c r="I31" s="5"/>
      <c r="J31" s="5"/>
      <c r="K31" s="15"/>
      <c r="L31" s="5"/>
      <c r="M31" s="15"/>
      <c r="N31" s="5"/>
      <c r="O31" s="15"/>
      <c r="P31" s="19" t="str">
        <f t="shared" si="1"/>
        <v/>
      </c>
      <c r="Q31" s="19" t="str">
        <f t="shared" si="2"/>
        <v/>
      </c>
      <c r="R31" s="19" t="str">
        <f t="shared" si="3"/>
        <v/>
      </c>
      <c r="S31" s="5"/>
      <c r="T31" s="5"/>
      <c r="U31" s="5"/>
      <c r="V31" s="24"/>
      <c r="W31" s="15"/>
      <c r="X31" s="15"/>
      <c r="Y31" s="15"/>
      <c r="Z31" s="19" t="str">
        <f t="shared" si="4"/>
        <v/>
      </c>
      <c r="AA31" s="19" t="str">
        <f t="shared" si="5"/>
        <v/>
      </c>
      <c r="AB31" s="5"/>
      <c r="AC31" s="5"/>
      <c r="AE31" t="str">
        <f>IFERROR(INDEX(EqTag,_xlfn.AGGREGATE(15,6,(ROW(EqTag)-4)/((EqSys=$D$3)*(EqTag&lt;&gt;"")),ROWS($AE$14:AE31))),"")</f>
        <v/>
      </c>
    </row>
    <row r="32" spans="1:31" ht="30" customHeight="1" x14ac:dyDescent="0.2">
      <c r="A32" s="19" t="str">
        <f>IF(F32="","",LEFT($D$3,3)&amp;"-"&amp;TEXT(COUNTIF(F$14:F32,"?*"),"00"))</f>
        <v/>
      </c>
      <c r="B32" s="5"/>
      <c r="C32" s="6" t="str">
        <f t="shared" si="0"/>
        <v/>
      </c>
      <c r="D32" s="5"/>
      <c r="E32" s="5"/>
      <c r="F32" s="5"/>
      <c r="G32" s="5"/>
      <c r="H32" s="5"/>
      <c r="I32" s="5"/>
      <c r="J32" s="5"/>
      <c r="K32" s="15"/>
      <c r="L32" s="5"/>
      <c r="M32" s="15"/>
      <c r="N32" s="5"/>
      <c r="O32" s="15"/>
      <c r="P32" s="19" t="str">
        <f t="shared" si="1"/>
        <v/>
      </c>
      <c r="Q32" s="19" t="str">
        <f t="shared" si="2"/>
        <v/>
      </c>
      <c r="R32" s="19" t="str">
        <f t="shared" si="3"/>
        <v/>
      </c>
      <c r="S32" s="5"/>
      <c r="T32" s="5"/>
      <c r="U32" s="5"/>
      <c r="V32" s="24"/>
      <c r="W32" s="15"/>
      <c r="X32" s="15"/>
      <c r="Y32" s="15"/>
      <c r="Z32" s="19" t="str">
        <f t="shared" si="4"/>
        <v/>
      </c>
      <c r="AA32" s="19" t="str">
        <f t="shared" si="5"/>
        <v/>
      </c>
      <c r="AB32" s="5"/>
      <c r="AC32" s="5"/>
      <c r="AE32" t="str">
        <f>IFERROR(INDEX(EqTag,_xlfn.AGGREGATE(15,6,(ROW(EqTag)-4)/((EqSys=$D$3)*(EqTag&lt;&gt;"")),ROWS($AE$14:AE32))),"")</f>
        <v/>
      </c>
    </row>
    <row r="33" spans="1:31" ht="30" customHeight="1" x14ac:dyDescent="0.2">
      <c r="A33" s="19" t="str">
        <f>IF(F33="","",LEFT($D$3,3)&amp;"-"&amp;TEXT(COUNTIF(F$14:F33,"?*"),"00"))</f>
        <v/>
      </c>
      <c r="B33" s="5"/>
      <c r="C33" s="6" t="str">
        <f t="shared" si="0"/>
        <v/>
      </c>
      <c r="D33" s="5"/>
      <c r="E33" s="5"/>
      <c r="F33" s="5"/>
      <c r="G33" s="5"/>
      <c r="H33" s="5"/>
      <c r="I33" s="5"/>
      <c r="J33" s="5"/>
      <c r="K33" s="15"/>
      <c r="L33" s="5"/>
      <c r="M33" s="15"/>
      <c r="N33" s="5"/>
      <c r="O33" s="15"/>
      <c r="P33" s="19" t="str">
        <f t="shared" si="1"/>
        <v/>
      </c>
      <c r="Q33" s="19" t="str">
        <f t="shared" si="2"/>
        <v/>
      </c>
      <c r="R33" s="19" t="str">
        <f t="shared" si="3"/>
        <v/>
      </c>
      <c r="S33" s="5"/>
      <c r="T33" s="5"/>
      <c r="U33" s="5"/>
      <c r="V33" s="24"/>
      <c r="W33" s="15"/>
      <c r="X33" s="15"/>
      <c r="Y33" s="15"/>
      <c r="Z33" s="19" t="str">
        <f t="shared" si="4"/>
        <v/>
      </c>
      <c r="AA33" s="19" t="str">
        <f t="shared" si="5"/>
        <v/>
      </c>
      <c r="AB33" s="5"/>
      <c r="AC33" s="5"/>
      <c r="AE33" t="str">
        <f>IFERROR(INDEX(EqTag,_xlfn.AGGREGATE(15,6,(ROW(EqTag)-4)/((EqSys=$D$3)*(EqTag&lt;&gt;"")),ROWS($AE$14:AE33))),"")</f>
        <v/>
      </c>
    </row>
    <row r="34" spans="1:31" ht="30" customHeight="1" x14ac:dyDescent="0.2">
      <c r="A34" s="19" t="str">
        <f>IF(F34="","",LEFT($D$3,3)&amp;"-"&amp;TEXT(COUNTIF(F$14:F34,"?*"),"00"))</f>
        <v/>
      </c>
      <c r="B34" s="5"/>
      <c r="C34" s="6" t="str">
        <f t="shared" si="0"/>
        <v/>
      </c>
      <c r="D34" s="5"/>
      <c r="E34" s="5"/>
      <c r="F34" s="5"/>
      <c r="G34" s="5"/>
      <c r="H34" s="5"/>
      <c r="I34" s="5"/>
      <c r="J34" s="5"/>
      <c r="K34" s="15"/>
      <c r="L34" s="5"/>
      <c r="M34" s="15"/>
      <c r="N34" s="5"/>
      <c r="O34" s="15"/>
      <c r="P34" s="19" t="str">
        <f t="shared" si="1"/>
        <v/>
      </c>
      <c r="Q34" s="19" t="str">
        <f t="shared" si="2"/>
        <v/>
      </c>
      <c r="R34" s="19" t="str">
        <f t="shared" si="3"/>
        <v/>
      </c>
      <c r="S34" s="5"/>
      <c r="T34" s="5"/>
      <c r="U34" s="5"/>
      <c r="V34" s="24"/>
      <c r="W34" s="15"/>
      <c r="X34" s="15"/>
      <c r="Y34" s="15"/>
      <c r="Z34" s="19" t="str">
        <f t="shared" si="4"/>
        <v/>
      </c>
      <c r="AA34" s="19" t="str">
        <f t="shared" si="5"/>
        <v/>
      </c>
      <c r="AB34" s="5"/>
      <c r="AC34" s="5"/>
      <c r="AE34" t="str">
        <f>IFERROR(INDEX(EqTag,_xlfn.AGGREGATE(15,6,(ROW(EqTag)-4)/((EqSys=$D$3)*(EqTag&lt;&gt;"")),ROWS($AE$14:AE34))),"")</f>
        <v/>
      </c>
    </row>
    <row r="35" spans="1:31" ht="30" customHeight="1" x14ac:dyDescent="0.2">
      <c r="A35" s="19" t="str">
        <f>IF(F35="","",LEFT($D$3,3)&amp;"-"&amp;TEXT(COUNTIF(F$14:F35,"?*"),"00"))</f>
        <v/>
      </c>
      <c r="B35" s="5"/>
      <c r="C35" s="6" t="str">
        <f t="shared" si="0"/>
        <v/>
      </c>
      <c r="D35" s="5"/>
      <c r="E35" s="5"/>
      <c r="F35" s="5"/>
      <c r="G35" s="5"/>
      <c r="H35" s="5"/>
      <c r="I35" s="5"/>
      <c r="J35" s="5"/>
      <c r="K35" s="15"/>
      <c r="L35" s="5"/>
      <c r="M35" s="15"/>
      <c r="N35" s="5"/>
      <c r="O35" s="15"/>
      <c r="P35" s="19" t="str">
        <f t="shared" si="1"/>
        <v/>
      </c>
      <c r="Q35" s="19" t="str">
        <f t="shared" si="2"/>
        <v/>
      </c>
      <c r="R35" s="19" t="str">
        <f t="shared" si="3"/>
        <v/>
      </c>
      <c r="S35" s="5"/>
      <c r="T35" s="5"/>
      <c r="U35" s="5"/>
      <c r="V35" s="24"/>
      <c r="W35" s="15"/>
      <c r="X35" s="15"/>
      <c r="Y35" s="15"/>
      <c r="Z35" s="19" t="str">
        <f t="shared" si="4"/>
        <v/>
      </c>
      <c r="AA35" s="19" t="str">
        <f t="shared" si="5"/>
        <v/>
      </c>
      <c r="AB35" s="5"/>
      <c r="AC35" s="5"/>
      <c r="AE35" t="str">
        <f>IFERROR(INDEX(EqTag,_xlfn.AGGREGATE(15,6,(ROW(EqTag)-4)/((EqSys=$D$3)*(EqTag&lt;&gt;"")),ROWS($AE$14:AE35))),"")</f>
        <v/>
      </c>
    </row>
    <row r="36" spans="1:31" ht="30" customHeight="1" x14ac:dyDescent="0.2">
      <c r="A36" s="19" t="str">
        <f>IF(F36="","",LEFT($D$3,3)&amp;"-"&amp;TEXT(COUNTIF(F$14:F36,"?*"),"00"))</f>
        <v/>
      </c>
      <c r="B36" s="5"/>
      <c r="C36" s="6" t="str">
        <f t="shared" si="0"/>
        <v/>
      </c>
      <c r="D36" s="5"/>
      <c r="E36" s="5"/>
      <c r="F36" s="5"/>
      <c r="G36" s="5"/>
      <c r="H36" s="5"/>
      <c r="I36" s="5"/>
      <c r="J36" s="5"/>
      <c r="K36" s="15"/>
      <c r="L36" s="5"/>
      <c r="M36" s="15"/>
      <c r="N36" s="5"/>
      <c r="O36" s="15"/>
      <c r="P36" s="19" t="str">
        <f t="shared" si="1"/>
        <v/>
      </c>
      <c r="Q36" s="19" t="str">
        <f t="shared" si="2"/>
        <v/>
      </c>
      <c r="R36" s="19" t="str">
        <f t="shared" si="3"/>
        <v/>
      </c>
      <c r="S36" s="5"/>
      <c r="T36" s="5"/>
      <c r="U36" s="5"/>
      <c r="V36" s="24"/>
      <c r="W36" s="15"/>
      <c r="X36" s="15"/>
      <c r="Y36" s="15"/>
      <c r="Z36" s="19" t="str">
        <f t="shared" si="4"/>
        <v/>
      </c>
      <c r="AA36" s="19" t="str">
        <f t="shared" si="5"/>
        <v/>
      </c>
      <c r="AB36" s="5"/>
      <c r="AC36" s="5"/>
      <c r="AE36" t="str">
        <f>IFERROR(INDEX(EqTag,_xlfn.AGGREGATE(15,6,(ROW(EqTag)-4)/((EqSys=$D$3)*(EqTag&lt;&gt;"")),ROWS($AE$14:AE36))),"")</f>
        <v/>
      </c>
    </row>
    <row r="37" spans="1:31" ht="30" customHeight="1" x14ac:dyDescent="0.2">
      <c r="A37" s="19" t="str">
        <f>IF(F37="","",LEFT($D$3,3)&amp;"-"&amp;TEXT(COUNTIF(F$14:F37,"?*"),"00"))</f>
        <v/>
      </c>
      <c r="B37" s="5"/>
      <c r="C37" s="6" t="str">
        <f t="shared" si="0"/>
        <v/>
      </c>
      <c r="D37" s="5"/>
      <c r="E37" s="5"/>
      <c r="F37" s="5"/>
      <c r="G37" s="5"/>
      <c r="H37" s="5"/>
      <c r="I37" s="5"/>
      <c r="J37" s="5"/>
      <c r="K37" s="15"/>
      <c r="L37" s="5"/>
      <c r="M37" s="15"/>
      <c r="N37" s="5"/>
      <c r="O37" s="15"/>
      <c r="P37" s="19" t="str">
        <f t="shared" si="1"/>
        <v/>
      </c>
      <c r="Q37" s="19" t="str">
        <f t="shared" si="2"/>
        <v/>
      </c>
      <c r="R37" s="19" t="str">
        <f t="shared" si="3"/>
        <v/>
      </c>
      <c r="S37" s="5"/>
      <c r="T37" s="5"/>
      <c r="U37" s="5"/>
      <c r="V37" s="24"/>
      <c r="W37" s="15"/>
      <c r="X37" s="15"/>
      <c r="Y37" s="15"/>
      <c r="Z37" s="19" t="str">
        <f t="shared" si="4"/>
        <v/>
      </c>
      <c r="AA37" s="19" t="str">
        <f t="shared" si="5"/>
        <v/>
      </c>
      <c r="AB37" s="5"/>
      <c r="AC37" s="5"/>
      <c r="AE37" t="str">
        <f>IFERROR(INDEX(EqTag,_xlfn.AGGREGATE(15,6,(ROW(EqTag)-4)/((EqSys=$D$3)*(EqTag&lt;&gt;"")),ROWS($AE$14:AE37))),"")</f>
        <v/>
      </c>
    </row>
    <row r="38" spans="1:31" ht="30" customHeight="1" x14ac:dyDescent="0.2">
      <c r="A38" s="19" t="str">
        <f>IF(F38="","",LEFT($D$3,3)&amp;"-"&amp;TEXT(COUNTIF(F$14:F38,"?*"),"00"))</f>
        <v/>
      </c>
      <c r="B38" s="5"/>
      <c r="C38" s="6" t="str">
        <f t="shared" si="0"/>
        <v/>
      </c>
      <c r="D38" s="5"/>
      <c r="E38" s="5"/>
      <c r="F38" s="5"/>
      <c r="G38" s="5"/>
      <c r="H38" s="5"/>
      <c r="I38" s="5"/>
      <c r="J38" s="5"/>
      <c r="K38" s="15"/>
      <c r="L38" s="5"/>
      <c r="M38" s="15"/>
      <c r="N38" s="5"/>
      <c r="O38" s="15"/>
      <c r="P38" s="19" t="str">
        <f t="shared" si="1"/>
        <v/>
      </c>
      <c r="Q38" s="19" t="str">
        <f t="shared" si="2"/>
        <v/>
      </c>
      <c r="R38" s="19" t="str">
        <f t="shared" si="3"/>
        <v/>
      </c>
      <c r="S38" s="5"/>
      <c r="T38" s="5"/>
      <c r="U38" s="5"/>
      <c r="V38" s="24"/>
      <c r="W38" s="15"/>
      <c r="X38" s="15"/>
      <c r="Y38" s="15"/>
      <c r="Z38" s="19" t="str">
        <f t="shared" si="4"/>
        <v/>
      </c>
      <c r="AA38" s="19" t="str">
        <f t="shared" si="5"/>
        <v/>
      </c>
      <c r="AB38" s="5"/>
      <c r="AC38" s="5"/>
      <c r="AE38" t="str">
        <f>IFERROR(INDEX(EqTag,_xlfn.AGGREGATE(15,6,(ROW(EqTag)-4)/((EqSys=$D$3)*(EqTag&lt;&gt;"")),ROWS($AE$14:AE38))),"")</f>
        <v/>
      </c>
    </row>
    <row r="39" spans="1:31" ht="30" customHeight="1" x14ac:dyDescent="0.2">
      <c r="A39" s="19" t="str">
        <f>IF(F39="","",LEFT($D$3,3)&amp;"-"&amp;TEXT(COUNTIF(F$14:F39,"?*"),"00"))</f>
        <v/>
      </c>
      <c r="B39" s="5"/>
      <c r="C39" s="6" t="str">
        <f t="shared" si="0"/>
        <v/>
      </c>
      <c r="D39" s="5"/>
      <c r="E39" s="5"/>
      <c r="F39" s="5"/>
      <c r="G39" s="5"/>
      <c r="H39" s="5"/>
      <c r="I39" s="5"/>
      <c r="J39" s="5"/>
      <c r="K39" s="15"/>
      <c r="L39" s="5"/>
      <c r="M39" s="15"/>
      <c r="N39" s="5"/>
      <c r="O39" s="15"/>
      <c r="P39" s="19" t="str">
        <f t="shared" si="1"/>
        <v/>
      </c>
      <c r="Q39" s="19" t="str">
        <f t="shared" si="2"/>
        <v/>
      </c>
      <c r="R39" s="19" t="str">
        <f t="shared" si="3"/>
        <v/>
      </c>
      <c r="S39" s="5"/>
      <c r="T39" s="5"/>
      <c r="U39" s="5"/>
      <c r="V39" s="24"/>
      <c r="W39" s="15"/>
      <c r="X39" s="15"/>
      <c r="Y39" s="15"/>
      <c r="Z39" s="19" t="str">
        <f t="shared" si="4"/>
        <v/>
      </c>
      <c r="AA39" s="19" t="str">
        <f t="shared" si="5"/>
        <v/>
      </c>
      <c r="AB39" s="5"/>
      <c r="AC39" s="5"/>
      <c r="AE39" t="str">
        <f>IFERROR(INDEX(EqTag,_xlfn.AGGREGATE(15,6,(ROW(EqTag)-4)/((EqSys=$D$3)*(EqTag&lt;&gt;"")),ROWS($AE$14:AE39))),"")</f>
        <v/>
      </c>
    </row>
    <row r="40" spans="1:31" ht="30" customHeight="1" x14ac:dyDescent="0.2">
      <c r="A40" s="19" t="str">
        <f>IF(F40="","",LEFT($D$3,3)&amp;"-"&amp;TEXT(COUNTIF(F$14:F40,"?*"),"00"))</f>
        <v/>
      </c>
      <c r="B40" s="5"/>
      <c r="C40" s="6" t="str">
        <f t="shared" si="0"/>
        <v/>
      </c>
      <c r="D40" s="5"/>
      <c r="E40" s="5"/>
      <c r="F40" s="5"/>
      <c r="G40" s="5"/>
      <c r="H40" s="5"/>
      <c r="I40" s="5"/>
      <c r="J40" s="5"/>
      <c r="K40" s="15"/>
      <c r="L40" s="5"/>
      <c r="M40" s="15"/>
      <c r="N40" s="5"/>
      <c r="O40" s="15"/>
      <c r="P40" s="19" t="str">
        <f t="shared" si="1"/>
        <v/>
      </c>
      <c r="Q40" s="19" t="str">
        <f t="shared" si="2"/>
        <v/>
      </c>
      <c r="R40" s="19" t="str">
        <f t="shared" si="3"/>
        <v/>
      </c>
      <c r="S40" s="5"/>
      <c r="T40" s="5"/>
      <c r="U40" s="5"/>
      <c r="V40" s="24"/>
      <c r="W40" s="15"/>
      <c r="X40" s="15"/>
      <c r="Y40" s="15"/>
      <c r="Z40" s="19" t="str">
        <f t="shared" si="4"/>
        <v/>
      </c>
      <c r="AA40" s="19" t="str">
        <f t="shared" si="5"/>
        <v/>
      </c>
      <c r="AB40" s="5"/>
      <c r="AC40" s="5"/>
      <c r="AE40" t="str">
        <f>IFERROR(INDEX(EqTag,_xlfn.AGGREGATE(15,6,(ROW(EqTag)-4)/((EqSys=$D$3)*(EqTag&lt;&gt;"")),ROWS($AE$14:AE40))),"")</f>
        <v/>
      </c>
    </row>
    <row r="41" spans="1:31" ht="30" customHeight="1" x14ac:dyDescent="0.2">
      <c r="A41" s="19" t="str">
        <f>IF(F41="","",LEFT($D$3,3)&amp;"-"&amp;TEXT(COUNTIF(F$14:F41,"?*"),"00"))</f>
        <v/>
      </c>
      <c r="B41" s="5"/>
      <c r="C41" s="6" t="str">
        <f t="shared" si="0"/>
        <v/>
      </c>
      <c r="D41" s="5"/>
      <c r="E41" s="5"/>
      <c r="F41" s="5"/>
      <c r="G41" s="5"/>
      <c r="H41" s="5"/>
      <c r="I41" s="5"/>
      <c r="J41" s="5"/>
      <c r="K41" s="15"/>
      <c r="L41" s="5"/>
      <c r="M41" s="15"/>
      <c r="N41" s="5"/>
      <c r="O41" s="15"/>
      <c r="P41" s="19" t="str">
        <f t="shared" si="1"/>
        <v/>
      </c>
      <c r="Q41" s="19" t="str">
        <f t="shared" si="2"/>
        <v/>
      </c>
      <c r="R41" s="19" t="str">
        <f t="shared" si="3"/>
        <v/>
      </c>
      <c r="S41" s="5"/>
      <c r="T41" s="5"/>
      <c r="U41" s="5"/>
      <c r="V41" s="24"/>
      <c r="W41" s="15"/>
      <c r="X41" s="15"/>
      <c r="Y41" s="15"/>
      <c r="Z41" s="19" t="str">
        <f t="shared" si="4"/>
        <v/>
      </c>
      <c r="AA41" s="19" t="str">
        <f t="shared" si="5"/>
        <v/>
      </c>
      <c r="AB41" s="5"/>
      <c r="AC41" s="5"/>
      <c r="AE41" t="str">
        <f>IFERROR(INDEX(EqTag,_xlfn.AGGREGATE(15,6,(ROW(EqTag)-4)/((EqSys=$D$3)*(EqTag&lt;&gt;"")),ROWS($AE$14:AE41))),"")</f>
        <v/>
      </c>
    </row>
    <row r="42" spans="1:31" ht="30" customHeight="1" x14ac:dyDescent="0.2">
      <c r="A42" s="19" t="str">
        <f>IF(F42="","",LEFT($D$3,3)&amp;"-"&amp;TEXT(COUNTIF(F$14:F42,"?*"),"00"))</f>
        <v/>
      </c>
      <c r="B42" s="5"/>
      <c r="C42" s="6" t="str">
        <f t="shared" si="0"/>
        <v/>
      </c>
      <c r="D42" s="5"/>
      <c r="E42" s="5"/>
      <c r="F42" s="5"/>
      <c r="G42" s="5"/>
      <c r="H42" s="5"/>
      <c r="I42" s="5"/>
      <c r="J42" s="5"/>
      <c r="K42" s="15"/>
      <c r="L42" s="5"/>
      <c r="M42" s="15"/>
      <c r="N42" s="5"/>
      <c r="O42" s="15"/>
      <c r="P42" s="19" t="str">
        <f t="shared" si="1"/>
        <v/>
      </c>
      <c r="Q42" s="19" t="str">
        <f t="shared" si="2"/>
        <v/>
      </c>
      <c r="R42" s="19" t="str">
        <f t="shared" si="3"/>
        <v/>
      </c>
      <c r="S42" s="5"/>
      <c r="T42" s="5"/>
      <c r="U42" s="5"/>
      <c r="V42" s="24"/>
      <c r="W42" s="15"/>
      <c r="X42" s="15"/>
      <c r="Y42" s="15"/>
      <c r="Z42" s="19" t="str">
        <f t="shared" si="4"/>
        <v/>
      </c>
      <c r="AA42" s="19" t="str">
        <f t="shared" si="5"/>
        <v/>
      </c>
      <c r="AB42" s="5"/>
      <c r="AC42" s="5"/>
      <c r="AE42" t="str">
        <f>IFERROR(INDEX(EqTag,_xlfn.AGGREGATE(15,6,(ROW(EqTag)-4)/((EqSys=$D$3)*(EqTag&lt;&gt;"")),ROWS($AE$14:AE42))),"")</f>
        <v/>
      </c>
    </row>
    <row r="43" spans="1:31" ht="30" customHeight="1" x14ac:dyDescent="0.2">
      <c r="A43" s="19" t="str">
        <f>IF(F43="","",LEFT($D$3,3)&amp;"-"&amp;TEXT(COUNTIF(F$14:F43,"?*"),"00"))</f>
        <v/>
      </c>
      <c r="B43" s="5"/>
      <c r="C43" s="6" t="str">
        <f t="shared" si="0"/>
        <v/>
      </c>
      <c r="D43" s="5"/>
      <c r="E43" s="5"/>
      <c r="F43" s="5"/>
      <c r="G43" s="5"/>
      <c r="H43" s="5"/>
      <c r="I43" s="5"/>
      <c r="J43" s="5"/>
      <c r="K43" s="15"/>
      <c r="L43" s="5"/>
      <c r="M43" s="15"/>
      <c r="N43" s="5"/>
      <c r="O43" s="15"/>
      <c r="P43" s="19" t="str">
        <f t="shared" si="1"/>
        <v/>
      </c>
      <c r="Q43" s="19" t="str">
        <f t="shared" si="2"/>
        <v/>
      </c>
      <c r="R43" s="19" t="str">
        <f t="shared" si="3"/>
        <v/>
      </c>
      <c r="S43" s="5"/>
      <c r="T43" s="5"/>
      <c r="U43" s="5"/>
      <c r="V43" s="24"/>
      <c r="W43" s="15"/>
      <c r="X43" s="15"/>
      <c r="Y43" s="15"/>
      <c r="Z43" s="19" t="str">
        <f t="shared" si="4"/>
        <v/>
      </c>
      <c r="AA43" s="19" t="str">
        <f t="shared" si="5"/>
        <v/>
      </c>
      <c r="AB43" s="5"/>
      <c r="AC43" s="5"/>
      <c r="AE43" t="str">
        <f>IFERROR(INDEX(EqTag,_xlfn.AGGREGATE(15,6,(ROW(EqTag)-4)/((EqSys=$D$3)*(EqTag&lt;&gt;"")),ROWS($AE$14:AE43))),"")</f>
        <v/>
      </c>
    </row>
    <row r="44" spans="1:31" ht="30" customHeight="1" x14ac:dyDescent="0.2">
      <c r="A44" s="19" t="str">
        <f>IF(F44="","",LEFT($D$3,3)&amp;"-"&amp;TEXT(COUNTIF(F$14:F44,"?*"),"00"))</f>
        <v/>
      </c>
      <c r="B44" s="5"/>
      <c r="C44" s="6" t="str">
        <f t="shared" si="0"/>
        <v/>
      </c>
      <c r="D44" s="5"/>
      <c r="E44" s="5"/>
      <c r="F44" s="5"/>
      <c r="G44" s="5"/>
      <c r="H44" s="5"/>
      <c r="I44" s="5"/>
      <c r="J44" s="5"/>
      <c r="K44" s="15"/>
      <c r="L44" s="5"/>
      <c r="M44" s="15"/>
      <c r="N44" s="5"/>
      <c r="O44" s="15"/>
      <c r="P44" s="19" t="str">
        <f t="shared" si="1"/>
        <v/>
      </c>
      <c r="Q44" s="19" t="str">
        <f t="shared" si="2"/>
        <v/>
      </c>
      <c r="R44" s="19" t="str">
        <f t="shared" si="3"/>
        <v/>
      </c>
      <c r="S44" s="5"/>
      <c r="T44" s="5"/>
      <c r="U44" s="5"/>
      <c r="V44" s="24"/>
      <c r="W44" s="15"/>
      <c r="X44" s="15"/>
      <c r="Y44" s="15"/>
      <c r="Z44" s="19" t="str">
        <f t="shared" si="4"/>
        <v/>
      </c>
      <c r="AA44" s="19" t="str">
        <f t="shared" si="5"/>
        <v/>
      </c>
      <c r="AB44" s="5"/>
      <c r="AC44" s="5"/>
      <c r="AE44" t="str">
        <f>IFERROR(INDEX(EqTag,_xlfn.AGGREGATE(15,6,(ROW(EqTag)-4)/((EqSys=$D$3)*(EqTag&lt;&gt;"")),ROWS($AE$14:AE44))),"")</f>
        <v/>
      </c>
    </row>
    <row r="45" spans="1:31" ht="30" customHeight="1" x14ac:dyDescent="0.2">
      <c r="A45" s="19" t="str">
        <f>IF(F45="","",LEFT($D$3,3)&amp;"-"&amp;TEXT(COUNTIF(F$14:F45,"?*"),"00"))</f>
        <v/>
      </c>
      <c r="B45" s="5"/>
      <c r="C45" s="6" t="str">
        <f t="shared" si="0"/>
        <v/>
      </c>
      <c r="D45" s="5"/>
      <c r="E45" s="5"/>
      <c r="F45" s="5"/>
      <c r="G45" s="5"/>
      <c r="H45" s="5"/>
      <c r="I45" s="5"/>
      <c r="J45" s="5"/>
      <c r="K45" s="15"/>
      <c r="L45" s="5"/>
      <c r="M45" s="15"/>
      <c r="N45" s="5"/>
      <c r="O45" s="15"/>
      <c r="P45" s="19" t="str">
        <f t="shared" si="1"/>
        <v/>
      </c>
      <c r="Q45" s="19" t="str">
        <f t="shared" si="2"/>
        <v/>
      </c>
      <c r="R45" s="19" t="str">
        <f t="shared" si="3"/>
        <v/>
      </c>
      <c r="S45" s="5"/>
      <c r="T45" s="5"/>
      <c r="U45" s="5"/>
      <c r="V45" s="24"/>
      <c r="W45" s="15"/>
      <c r="X45" s="15"/>
      <c r="Y45" s="15"/>
      <c r="Z45" s="19" t="str">
        <f t="shared" si="4"/>
        <v/>
      </c>
      <c r="AA45" s="19" t="str">
        <f t="shared" si="5"/>
        <v/>
      </c>
      <c r="AB45" s="5"/>
      <c r="AC45" s="5"/>
      <c r="AE45" t="str">
        <f>IFERROR(INDEX(EqTag,_xlfn.AGGREGATE(15,6,(ROW(EqTag)-4)/((EqSys=$D$3)*(EqTag&lt;&gt;"")),ROWS($AE$14:AE45))),"")</f>
        <v/>
      </c>
    </row>
    <row r="46" spans="1:31" ht="30" customHeight="1" x14ac:dyDescent="0.2">
      <c r="A46" s="19" t="str">
        <f>IF(F46="","",LEFT($D$3,3)&amp;"-"&amp;TEXT(COUNTIF(F$14:F46,"?*"),"00"))</f>
        <v/>
      </c>
      <c r="B46" s="5"/>
      <c r="C46" s="6" t="str">
        <f t="shared" ref="C46:C77" si="6">IF(B46="","",IFERROR(INDEX(EqTypeCol,MATCH(B46,EqTag,0)),"Tag not in register"))</f>
        <v/>
      </c>
      <c r="D46" s="5"/>
      <c r="E46" s="5"/>
      <c r="F46" s="5"/>
      <c r="G46" s="5"/>
      <c r="H46" s="5"/>
      <c r="I46" s="5"/>
      <c r="J46" s="5"/>
      <c r="K46" s="15"/>
      <c r="L46" s="5"/>
      <c r="M46" s="15"/>
      <c r="N46" s="5"/>
      <c r="O46" s="15"/>
      <c r="P46" s="19" t="str">
        <f t="shared" ref="P46:P77" si="7">IF(OR(K46="",M46="",O46=""),"",(--TRIM(LEFT(K46,2)))*(--TRIM(LEFT(M46,2)))*(--TRIM(LEFT(O46,2))))</f>
        <v/>
      </c>
      <c r="Q46" s="19" t="str">
        <f t="shared" ref="Q46:Q77" si="8">IF(OR(K46="",M46="",O46=""),"",INDEX(APGrid,COUNTIF(APS,"&gt;"&amp;(--TRIM(LEFT(K46,2))))*5+COUNTIF(APO,"&gt;"&amp;(--TRIM(LEFT(M46,2))))+1,COUNTIF(APD,"&gt;"&amp;(--TRIM(LEFT(O46,2))))+1))</f>
        <v/>
      </c>
      <c r="R46" s="19" t="str">
        <f t="shared" ref="R46:R77" si="9">IF(P46="","",IF(OR((--TRIM(LEFT(K46,2)))&gt;=SThr,P46&gt;=RPNThr,Q46="H"),"Yes","No"))</f>
        <v/>
      </c>
      <c r="S46" s="5"/>
      <c r="T46" s="5"/>
      <c r="U46" s="5"/>
      <c r="V46" s="24"/>
      <c r="W46" s="15"/>
      <c r="X46" s="15"/>
      <c r="Y46" s="15"/>
      <c r="Z46" s="19" t="str">
        <f t="shared" ref="Z46:Z77" si="10">IF(OR(W46="",X46="",Y46=""),"",(--TRIM(LEFT(W46,2)))*(--TRIM(LEFT(X46,2)))*(--TRIM(LEFT(Y46,2))))</f>
        <v/>
      </c>
      <c r="AA46" s="19" t="str">
        <f t="shared" ref="AA46:AA77" si="11">IF(OR(W46="",X46="",Y46=""),"",INDEX(APGrid,COUNTIF(APS,"&gt;"&amp;(--TRIM(LEFT(W46,2))))*5+COUNTIF(APO,"&gt;"&amp;(--TRIM(LEFT(X46,2))))+1,COUNTIF(APD,"&gt;"&amp;(--TRIM(LEFT(Y46,2))))+1))</f>
        <v/>
      </c>
      <c r="AB46" s="5"/>
      <c r="AC46" s="5"/>
      <c r="AE46" t="str">
        <f>IFERROR(INDEX(EqTag,_xlfn.AGGREGATE(15,6,(ROW(EqTag)-4)/((EqSys=$D$3)*(EqTag&lt;&gt;"")),ROWS($AE$14:AE46))),"")</f>
        <v/>
      </c>
    </row>
    <row r="47" spans="1:31" ht="30" customHeight="1" x14ac:dyDescent="0.2">
      <c r="A47" s="19" t="str">
        <f>IF(F47="","",LEFT($D$3,3)&amp;"-"&amp;TEXT(COUNTIF(F$14:F47,"?*"),"00"))</f>
        <v/>
      </c>
      <c r="B47" s="5"/>
      <c r="C47" s="6" t="str">
        <f t="shared" si="6"/>
        <v/>
      </c>
      <c r="D47" s="5"/>
      <c r="E47" s="5"/>
      <c r="F47" s="5"/>
      <c r="G47" s="5"/>
      <c r="H47" s="5"/>
      <c r="I47" s="5"/>
      <c r="J47" s="5"/>
      <c r="K47" s="15"/>
      <c r="L47" s="5"/>
      <c r="M47" s="15"/>
      <c r="N47" s="5"/>
      <c r="O47" s="15"/>
      <c r="P47" s="19" t="str">
        <f t="shared" si="7"/>
        <v/>
      </c>
      <c r="Q47" s="19" t="str">
        <f t="shared" si="8"/>
        <v/>
      </c>
      <c r="R47" s="19" t="str">
        <f t="shared" si="9"/>
        <v/>
      </c>
      <c r="S47" s="5"/>
      <c r="T47" s="5"/>
      <c r="U47" s="5"/>
      <c r="V47" s="24"/>
      <c r="W47" s="15"/>
      <c r="X47" s="15"/>
      <c r="Y47" s="15"/>
      <c r="Z47" s="19" t="str">
        <f t="shared" si="10"/>
        <v/>
      </c>
      <c r="AA47" s="19" t="str">
        <f t="shared" si="11"/>
        <v/>
      </c>
      <c r="AB47" s="5"/>
      <c r="AC47" s="5"/>
      <c r="AE47" t="str">
        <f>IFERROR(INDEX(EqTag,_xlfn.AGGREGATE(15,6,(ROW(EqTag)-4)/((EqSys=$D$3)*(EqTag&lt;&gt;"")),ROWS($AE$14:AE47))),"")</f>
        <v/>
      </c>
    </row>
    <row r="48" spans="1:31" ht="30" customHeight="1" x14ac:dyDescent="0.2">
      <c r="A48" s="19" t="str">
        <f>IF(F48="","",LEFT($D$3,3)&amp;"-"&amp;TEXT(COUNTIF(F$14:F48,"?*"),"00"))</f>
        <v/>
      </c>
      <c r="B48" s="5"/>
      <c r="C48" s="6" t="str">
        <f t="shared" si="6"/>
        <v/>
      </c>
      <c r="D48" s="5"/>
      <c r="E48" s="5"/>
      <c r="F48" s="5"/>
      <c r="G48" s="5"/>
      <c r="H48" s="5"/>
      <c r="I48" s="5"/>
      <c r="J48" s="5"/>
      <c r="K48" s="15"/>
      <c r="L48" s="5"/>
      <c r="M48" s="15"/>
      <c r="N48" s="5"/>
      <c r="O48" s="15"/>
      <c r="P48" s="19" t="str">
        <f t="shared" si="7"/>
        <v/>
      </c>
      <c r="Q48" s="19" t="str">
        <f t="shared" si="8"/>
        <v/>
      </c>
      <c r="R48" s="19" t="str">
        <f t="shared" si="9"/>
        <v/>
      </c>
      <c r="S48" s="5"/>
      <c r="T48" s="5"/>
      <c r="U48" s="5"/>
      <c r="V48" s="24"/>
      <c r="W48" s="15"/>
      <c r="X48" s="15"/>
      <c r="Y48" s="15"/>
      <c r="Z48" s="19" t="str">
        <f t="shared" si="10"/>
        <v/>
      </c>
      <c r="AA48" s="19" t="str">
        <f t="shared" si="11"/>
        <v/>
      </c>
      <c r="AB48" s="5"/>
      <c r="AC48" s="5"/>
      <c r="AE48" t="str">
        <f>IFERROR(INDEX(EqTag,_xlfn.AGGREGATE(15,6,(ROW(EqTag)-4)/((EqSys=$D$3)*(EqTag&lt;&gt;"")),ROWS($AE$14:AE48))),"")</f>
        <v/>
      </c>
    </row>
    <row r="49" spans="1:31" ht="30" customHeight="1" x14ac:dyDescent="0.2">
      <c r="A49" s="19" t="str">
        <f>IF(F49="","",LEFT($D$3,3)&amp;"-"&amp;TEXT(COUNTIF(F$14:F49,"?*"),"00"))</f>
        <v/>
      </c>
      <c r="B49" s="5"/>
      <c r="C49" s="6" t="str">
        <f t="shared" si="6"/>
        <v/>
      </c>
      <c r="D49" s="5"/>
      <c r="E49" s="5"/>
      <c r="F49" s="5"/>
      <c r="G49" s="5"/>
      <c r="H49" s="5"/>
      <c r="I49" s="5"/>
      <c r="J49" s="5"/>
      <c r="K49" s="15"/>
      <c r="L49" s="5"/>
      <c r="M49" s="15"/>
      <c r="N49" s="5"/>
      <c r="O49" s="15"/>
      <c r="P49" s="19" t="str">
        <f t="shared" si="7"/>
        <v/>
      </c>
      <c r="Q49" s="19" t="str">
        <f t="shared" si="8"/>
        <v/>
      </c>
      <c r="R49" s="19" t="str">
        <f t="shared" si="9"/>
        <v/>
      </c>
      <c r="S49" s="5"/>
      <c r="T49" s="5"/>
      <c r="U49" s="5"/>
      <c r="V49" s="24"/>
      <c r="W49" s="15"/>
      <c r="X49" s="15"/>
      <c r="Y49" s="15"/>
      <c r="Z49" s="19" t="str">
        <f t="shared" si="10"/>
        <v/>
      </c>
      <c r="AA49" s="19" t="str">
        <f t="shared" si="11"/>
        <v/>
      </c>
      <c r="AB49" s="5"/>
      <c r="AC49" s="5"/>
      <c r="AE49" t="str">
        <f>IFERROR(INDEX(EqTag,_xlfn.AGGREGATE(15,6,(ROW(EqTag)-4)/((EqSys=$D$3)*(EqTag&lt;&gt;"")),ROWS($AE$14:AE49))),"")</f>
        <v/>
      </c>
    </row>
    <row r="50" spans="1:31" ht="30" customHeight="1" x14ac:dyDescent="0.2">
      <c r="A50" s="19" t="str">
        <f>IF(F50="","",LEFT($D$3,3)&amp;"-"&amp;TEXT(COUNTIF(F$14:F50,"?*"),"00"))</f>
        <v/>
      </c>
      <c r="B50" s="5"/>
      <c r="C50" s="6" t="str">
        <f t="shared" si="6"/>
        <v/>
      </c>
      <c r="D50" s="5"/>
      <c r="E50" s="5"/>
      <c r="F50" s="5"/>
      <c r="G50" s="5"/>
      <c r="H50" s="5"/>
      <c r="I50" s="5"/>
      <c r="J50" s="5"/>
      <c r="K50" s="15"/>
      <c r="L50" s="5"/>
      <c r="M50" s="15"/>
      <c r="N50" s="5"/>
      <c r="O50" s="15"/>
      <c r="P50" s="19" t="str">
        <f t="shared" si="7"/>
        <v/>
      </c>
      <c r="Q50" s="19" t="str">
        <f t="shared" si="8"/>
        <v/>
      </c>
      <c r="R50" s="19" t="str">
        <f t="shared" si="9"/>
        <v/>
      </c>
      <c r="S50" s="5"/>
      <c r="T50" s="5"/>
      <c r="U50" s="5"/>
      <c r="V50" s="24"/>
      <c r="W50" s="15"/>
      <c r="X50" s="15"/>
      <c r="Y50" s="15"/>
      <c r="Z50" s="19" t="str">
        <f t="shared" si="10"/>
        <v/>
      </c>
      <c r="AA50" s="19" t="str">
        <f t="shared" si="11"/>
        <v/>
      </c>
      <c r="AB50" s="5"/>
      <c r="AC50" s="5"/>
      <c r="AE50" t="str">
        <f>IFERROR(INDEX(EqTag,_xlfn.AGGREGATE(15,6,(ROW(EqTag)-4)/((EqSys=$D$3)*(EqTag&lt;&gt;"")),ROWS($AE$14:AE50))),"")</f>
        <v/>
      </c>
    </row>
    <row r="51" spans="1:31" ht="30" customHeight="1" x14ac:dyDescent="0.2">
      <c r="A51" s="19" t="str">
        <f>IF(F51="","",LEFT($D$3,3)&amp;"-"&amp;TEXT(COUNTIF(F$14:F51,"?*"),"00"))</f>
        <v/>
      </c>
      <c r="B51" s="5"/>
      <c r="C51" s="6" t="str">
        <f t="shared" si="6"/>
        <v/>
      </c>
      <c r="D51" s="5"/>
      <c r="E51" s="5"/>
      <c r="F51" s="5"/>
      <c r="G51" s="5"/>
      <c r="H51" s="5"/>
      <c r="I51" s="5"/>
      <c r="J51" s="5"/>
      <c r="K51" s="15"/>
      <c r="L51" s="5"/>
      <c r="M51" s="15"/>
      <c r="N51" s="5"/>
      <c r="O51" s="15"/>
      <c r="P51" s="19" t="str">
        <f t="shared" si="7"/>
        <v/>
      </c>
      <c r="Q51" s="19" t="str">
        <f t="shared" si="8"/>
        <v/>
      </c>
      <c r="R51" s="19" t="str">
        <f t="shared" si="9"/>
        <v/>
      </c>
      <c r="S51" s="5"/>
      <c r="T51" s="5"/>
      <c r="U51" s="5"/>
      <c r="V51" s="24"/>
      <c r="W51" s="15"/>
      <c r="X51" s="15"/>
      <c r="Y51" s="15"/>
      <c r="Z51" s="19" t="str">
        <f t="shared" si="10"/>
        <v/>
      </c>
      <c r="AA51" s="19" t="str">
        <f t="shared" si="11"/>
        <v/>
      </c>
      <c r="AB51" s="5"/>
      <c r="AC51" s="5"/>
      <c r="AE51" t="str">
        <f>IFERROR(INDEX(EqTag,_xlfn.AGGREGATE(15,6,(ROW(EqTag)-4)/((EqSys=$D$3)*(EqTag&lt;&gt;"")),ROWS($AE$14:AE51))),"")</f>
        <v/>
      </c>
    </row>
    <row r="52" spans="1:31" ht="30" customHeight="1" x14ac:dyDescent="0.2">
      <c r="A52" s="19" t="str">
        <f>IF(F52="","",LEFT($D$3,3)&amp;"-"&amp;TEXT(COUNTIF(F$14:F52,"?*"),"00"))</f>
        <v/>
      </c>
      <c r="B52" s="5"/>
      <c r="C52" s="6" t="str">
        <f t="shared" si="6"/>
        <v/>
      </c>
      <c r="D52" s="5"/>
      <c r="E52" s="5"/>
      <c r="F52" s="5"/>
      <c r="G52" s="5"/>
      <c r="H52" s="5"/>
      <c r="I52" s="5"/>
      <c r="J52" s="5"/>
      <c r="K52" s="15"/>
      <c r="L52" s="5"/>
      <c r="M52" s="15"/>
      <c r="N52" s="5"/>
      <c r="O52" s="15"/>
      <c r="P52" s="19" t="str">
        <f t="shared" si="7"/>
        <v/>
      </c>
      <c r="Q52" s="19" t="str">
        <f t="shared" si="8"/>
        <v/>
      </c>
      <c r="R52" s="19" t="str">
        <f t="shared" si="9"/>
        <v/>
      </c>
      <c r="S52" s="5"/>
      <c r="T52" s="5"/>
      <c r="U52" s="5"/>
      <c r="V52" s="24"/>
      <c r="W52" s="15"/>
      <c r="X52" s="15"/>
      <c r="Y52" s="15"/>
      <c r="Z52" s="19" t="str">
        <f t="shared" si="10"/>
        <v/>
      </c>
      <c r="AA52" s="19" t="str">
        <f t="shared" si="11"/>
        <v/>
      </c>
      <c r="AB52" s="5"/>
      <c r="AC52" s="5"/>
      <c r="AE52" t="str">
        <f>IFERROR(INDEX(EqTag,_xlfn.AGGREGATE(15,6,(ROW(EqTag)-4)/((EqSys=$D$3)*(EqTag&lt;&gt;"")),ROWS($AE$14:AE52))),"")</f>
        <v/>
      </c>
    </row>
    <row r="53" spans="1:31" ht="30" customHeight="1" x14ac:dyDescent="0.2">
      <c r="A53" s="19" t="str">
        <f>IF(F53="","",LEFT($D$3,3)&amp;"-"&amp;TEXT(COUNTIF(F$14:F53,"?*"),"00"))</f>
        <v/>
      </c>
      <c r="B53" s="5"/>
      <c r="C53" s="6" t="str">
        <f t="shared" si="6"/>
        <v/>
      </c>
      <c r="D53" s="5"/>
      <c r="E53" s="5"/>
      <c r="F53" s="5"/>
      <c r="G53" s="5"/>
      <c r="H53" s="5"/>
      <c r="I53" s="5"/>
      <c r="J53" s="5"/>
      <c r="K53" s="15"/>
      <c r="L53" s="5"/>
      <c r="M53" s="15"/>
      <c r="N53" s="5"/>
      <c r="O53" s="15"/>
      <c r="P53" s="19" t="str">
        <f t="shared" si="7"/>
        <v/>
      </c>
      <c r="Q53" s="19" t="str">
        <f t="shared" si="8"/>
        <v/>
      </c>
      <c r="R53" s="19" t="str">
        <f t="shared" si="9"/>
        <v/>
      </c>
      <c r="S53" s="5"/>
      <c r="T53" s="5"/>
      <c r="U53" s="5"/>
      <c r="V53" s="24"/>
      <c r="W53" s="15"/>
      <c r="X53" s="15"/>
      <c r="Y53" s="15"/>
      <c r="Z53" s="19" t="str">
        <f t="shared" si="10"/>
        <v/>
      </c>
      <c r="AA53" s="19" t="str">
        <f t="shared" si="11"/>
        <v/>
      </c>
      <c r="AB53" s="5"/>
      <c r="AC53" s="5"/>
      <c r="AE53" t="str">
        <f>IFERROR(INDEX(EqTag,_xlfn.AGGREGATE(15,6,(ROW(EqTag)-4)/((EqSys=$D$3)*(EqTag&lt;&gt;"")),ROWS($AE$14:AE53))),"")</f>
        <v/>
      </c>
    </row>
    <row r="54" spans="1:31" ht="30" customHeight="1" x14ac:dyDescent="0.2">
      <c r="A54" s="19" t="str">
        <f>IF(F54="","",LEFT($D$3,3)&amp;"-"&amp;TEXT(COUNTIF(F$14:F54,"?*"),"00"))</f>
        <v/>
      </c>
      <c r="B54" s="5"/>
      <c r="C54" s="6" t="str">
        <f t="shared" si="6"/>
        <v/>
      </c>
      <c r="D54" s="5"/>
      <c r="E54" s="5"/>
      <c r="F54" s="5"/>
      <c r="G54" s="5"/>
      <c r="H54" s="5"/>
      <c r="I54" s="5"/>
      <c r="J54" s="5"/>
      <c r="K54" s="15"/>
      <c r="L54" s="5"/>
      <c r="M54" s="15"/>
      <c r="N54" s="5"/>
      <c r="O54" s="15"/>
      <c r="P54" s="19" t="str">
        <f t="shared" si="7"/>
        <v/>
      </c>
      <c r="Q54" s="19" t="str">
        <f t="shared" si="8"/>
        <v/>
      </c>
      <c r="R54" s="19" t="str">
        <f t="shared" si="9"/>
        <v/>
      </c>
      <c r="S54" s="5"/>
      <c r="T54" s="5"/>
      <c r="U54" s="5"/>
      <c r="V54" s="24"/>
      <c r="W54" s="15"/>
      <c r="X54" s="15"/>
      <c r="Y54" s="15"/>
      <c r="Z54" s="19" t="str">
        <f t="shared" si="10"/>
        <v/>
      </c>
      <c r="AA54" s="19" t="str">
        <f t="shared" si="11"/>
        <v/>
      </c>
      <c r="AB54" s="5"/>
      <c r="AC54" s="5"/>
      <c r="AE54" t="str">
        <f>IFERROR(INDEX(EqTag,_xlfn.AGGREGATE(15,6,(ROW(EqTag)-4)/((EqSys=$D$3)*(EqTag&lt;&gt;"")),ROWS($AE$14:AE54))),"")</f>
        <v/>
      </c>
    </row>
    <row r="55" spans="1:31" ht="30" customHeight="1" x14ac:dyDescent="0.2">
      <c r="A55" s="19" t="str">
        <f>IF(F55="","",LEFT($D$3,3)&amp;"-"&amp;TEXT(COUNTIF(F$14:F55,"?*"),"00"))</f>
        <v/>
      </c>
      <c r="B55" s="5"/>
      <c r="C55" s="6" t="str">
        <f t="shared" si="6"/>
        <v/>
      </c>
      <c r="D55" s="5"/>
      <c r="E55" s="5"/>
      <c r="F55" s="5"/>
      <c r="G55" s="5"/>
      <c r="H55" s="5"/>
      <c r="I55" s="5"/>
      <c r="J55" s="5"/>
      <c r="K55" s="15"/>
      <c r="L55" s="5"/>
      <c r="M55" s="15"/>
      <c r="N55" s="5"/>
      <c r="O55" s="15"/>
      <c r="P55" s="19" t="str">
        <f t="shared" si="7"/>
        <v/>
      </c>
      <c r="Q55" s="19" t="str">
        <f t="shared" si="8"/>
        <v/>
      </c>
      <c r="R55" s="19" t="str">
        <f t="shared" si="9"/>
        <v/>
      </c>
      <c r="S55" s="5"/>
      <c r="T55" s="5"/>
      <c r="U55" s="5"/>
      <c r="V55" s="24"/>
      <c r="W55" s="15"/>
      <c r="X55" s="15"/>
      <c r="Y55" s="15"/>
      <c r="Z55" s="19" t="str">
        <f t="shared" si="10"/>
        <v/>
      </c>
      <c r="AA55" s="19" t="str">
        <f t="shared" si="11"/>
        <v/>
      </c>
      <c r="AB55" s="5"/>
      <c r="AC55" s="5"/>
      <c r="AE55" t="str">
        <f>IFERROR(INDEX(EqTag,_xlfn.AGGREGATE(15,6,(ROW(EqTag)-4)/((EqSys=$D$3)*(EqTag&lt;&gt;"")),ROWS($AE$14:AE55))),"")</f>
        <v/>
      </c>
    </row>
    <row r="56" spans="1:31" ht="30" customHeight="1" x14ac:dyDescent="0.2">
      <c r="A56" s="19" t="str">
        <f>IF(F56="","",LEFT($D$3,3)&amp;"-"&amp;TEXT(COUNTIF(F$14:F56,"?*"),"00"))</f>
        <v/>
      </c>
      <c r="B56" s="5"/>
      <c r="C56" s="6" t="str">
        <f t="shared" si="6"/>
        <v/>
      </c>
      <c r="D56" s="5"/>
      <c r="E56" s="5"/>
      <c r="F56" s="5"/>
      <c r="G56" s="5"/>
      <c r="H56" s="5"/>
      <c r="I56" s="5"/>
      <c r="J56" s="5"/>
      <c r="K56" s="15"/>
      <c r="L56" s="5"/>
      <c r="M56" s="15"/>
      <c r="N56" s="5"/>
      <c r="O56" s="15"/>
      <c r="P56" s="19" t="str">
        <f t="shared" si="7"/>
        <v/>
      </c>
      <c r="Q56" s="19" t="str">
        <f t="shared" si="8"/>
        <v/>
      </c>
      <c r="R56" s="19" t="str">
        <f t="shared" si="9"/>
        <v/>
      </c>
      <c r="S56" s="5"/>
      <c r="T56" s="5"/>
      <c r="U56" s="5"/>
      <c r="V56" s="24"/>
      <c r="W56" s="15"/>
      <c r="X56" s="15"/>
      <c r="Y56" s="15"/>
      <c r="Z56" s="19" t="str">
        <f t="shared" si="10"/>
        <v/>
      </c>
      <c r="AA56" s="19" t="str">
        <f t="shared" si="11"/>
        <v/>
      </c>
      <c r="AB56" s="5"/>
      <c r="AC56" s="5"/>
      <c r="AE56" t="str">
        <f>IFERROR(INDEX(EqTag,_xlfn.AGGREGATE(15,6,(ROW(EqTag)-4)/((EqSys=$D$3)*(EqTag&lt;&gt;"")),ROWS($AE$14:AE56))),"")</f>
        <v/>
      </c>
    </row>
    <row r="57" spans="1:31" ht="30" customHeight="1" x14ac:dyDescent="0.2">
      <c r="A57" s="19" t="str">
        <f>IF(F57="","",LEFT($D$3,3)&amp;"-"&amp;TEXT(COUNTIF(F$14:F57,"?*"),"00"))</f>
        <v/>
      </c>
      <c r="B57" s="5"/>
      <c r="C57" s="6" t="str">
        <f t="shared" si="6"/>
        <v/>
      </c>
      <c r="D57" s="5"/>
      <c r="E57" s="5"/>
      <c r="F57" s="5"/>
      <c r="G57" s="5"/>
      <c r="H57" s="5"/>
      <c r="I57" s="5"/>
      <c r="J57" s="5"/>
      <c r="K57" s="15"/>
      <c r="L57" s="5"/>
      <c r="M57" s="15"/>
      <c r="N57" s="5"/>
      <c r="O57" s="15"/>
      <c r="P57" s="19" t="str">
        <f t="shared" si="7"/>
        <v/>
      </c>
      <c r="Q57" s="19" t="str">
        <f t="shared" si="8"/>
        <v/>
      </c>
      <c r="R57" s="19" t="str">
        <f t="shared" si="9"/>
        <v/>
      </c>
      <c r="S57" s="5"/>
      <c r="T57" s="5"/>
      <c r="U57" s="5"/>
      <c r="V57" s="24"/>
      <c r="W57" s="15"/>
      <c r="X57" s="15"/>
      <c r="Y57" s="15"/>
      <c r="Z57" s="19" t="str">
        <f t="shared" si="10"/>
        <v/>
      </c>
      <c r="AA57" s="19" t="str">
        <f t="shared" si="11"/>
        <v/>
      </c>
      <c r="AB57" s="5"/>
      <c r="AC57" s="5"/>
      <c r="AE57" t="str">
        <f>IFERROR(INDEX(EqTag,_xlfn.AGGREGATE(15,6,(ROW(EqTag)-4)/((EqSys=$D$3)*(EqTag&lt;&gt;"")),ROWS($AE$14:AE57))),"")</f>
        <v/>
      </c>
    </row>
    <row r="58" spans="1:31" ht="30" customHeight="1" x14ac:dyDescent="0.2">
      <c r="A58" s="19" t="str">
        <f>IF(F58="","",LEFT($D$3,3)&amp;"-"&amp;TEXT(COUNTIF(F$14:F58,"?*"),"00"))</f>
        <v/>
      </c>
      <c r="B58" s="5"/>
      <c r="C58" s="6" t="str">
        <f t="shared" si="6"/>
        <v/>
      </c>
      <c r="D58" s="5"/>
      <c r="E58" s="5"/>
      <c r="F58" s="5"/>
      <c r="G58" s="5"/>
      <c r="H58" s="5"/>
      <c r="I58" s="5"/>
      <c r="J58" s="5"/>
      <c r="K58" s="15"/>
      <c r="L58" s="5"/>
      <c r="M58" s="15"/>
      <c r="N58" s="5"/>
      <c r="O58" s="15"/>
      <c r="P58" s="19" t="str">
        <f t="shared" si="7"/>
        <v/>
      </c>
      <c r="Q58" s="19" t="str">
        <f t="shared" si="8"/>
        <v/>
      </c>
      <c r="R58" s="19" t="str">
        <f t="shared" si="9"/>
        <v/>
      </c>
      <c r="S58" s="5"/>
      <c r="T58" s="5"/>
      <c r="U58" s="5"/>
      <c r="V58" s="24"/>
      <c r="W58" s="15"/>
      <c r="X58" s="15"/>
      <c r="Y58" s="15"/>
      <c r="Z58" s="19" t="str">
        <f t="shared" si="10"/>
        <v/>
      </c>
      <c r="AA58" s="19" t="str">
        <f t="shared" si="11"/>
        <v/>
      </c>
      <c r="AB58" s="5"/>
      <c r="AC58" s="5"/>
      <c r="AE58" t="str">
        <f>IFERROR(INDEX(EqTag,_xlfn.AGGREGATE(15,6,(ROW(EqTag)-4)/((EqSys=$D$3)*(EqTag&lt;&gt;"")),ROWS($AE$14:AE58))),"")</f>
        <v/>
      </c>
    </row>
    <row r="59" spans="1:31" ht="30" customHeight="1" x14ac:dyDescent="0.2">
      <c r="A59" s="19" t="str">
        <f>IF(F59="","",LEFT($D$3,3)&amp;"-"&amp;TEXT(COUNTIF(F$14:F59,"?*"),"00"))</f>
        <v/>
      </c>
      <c r="B59" s="5"/>
      <c r="C59" s="6" t="str">
        <f t="shared" si="6"/>
        <v/>
      </c>
      <c r="D59" s="5"/>
      <c r="E59" s="5"/>
      <c r="F59" s="5"/>
      <c r="G59" s="5"/>
      <c r="H59" s="5"/>
      <c r="I59" s="5"/>
      <c r="J59" s="5"/>
      <c r="K59" s="15"/>
      <c r="L59" s="5"/>
      <c r="M59" s="15"/>
      <c r="N59" s="5"/>
      <c r="O59" s="15"/>
      <c r="P59" s="19" t="str">
        <f t="shared" si="7"/>
        <v/>
      </c>
      <c r="Q59" s="19" t="str">
        <f t="shared" si="8"/>
        <v/>
      </c>
      <c r="R59" s="19" t="str">
        <f t="shared" si="9"/>
        <v/>
      </c>
      <c r="S59" s="5"/>
      <c r="T59" s="5"/>
      <c r="U59" s="5"/>
      <c r="V59" s="24"/>
      <c r="W59" s="15"/>
      <c r="X59" s="15"/>
      <c r="Y59" s="15"/>
      <c r="Z59" s="19" t="str">
        <f t="shared" si="10"/>
        <v/>
      </c>
      <c r="AA59" s="19" t="str">
        <f t="shared" si="11"/>
        <v/>
      </c>
      <c r="AB59" s="5"/>
      <c r="AC59" s="5"/>
      <c r="AE59" t="str">
        <f>IFERROR(INDEX(EqTag,_xlfn.AGGREGATE(15,6,(ROW(EqTag)-4)/((EqSys=$D$3)*(EqTag&lt;&gt;"")),ROWS($AE$14:AE59))),"")</f>
        <v/>
      </c>
    </row>
    <row r="60" spans="1:31" ht="30" customHeight="1" x14ac:dyDescent="0.2">
      <c r="A60" s="19" t="str">
        <f>IF(F60="","",LEFT($D$3,3)&amp;"-"&amp;TEXT(COUNTIF(F$14:F60,"?*"),"00"))</f>
        <v/>
      </c>
      <c r="B60" s="5"/>
      <c r="C60" s="6" t="str">
        <f t="shared" si="6"/>
        <v/>
      </c>
      <c r="D60" s="5"/>
      <c r="E60" s="5"/>
      <c r="F60" s="5"/>
      <c r="G60" s="5"/>
      <c r="H60" s="5"/>
      <c r="I60" s="5"/>
      <c r="J60" s="5"/>
      <c r="K60" s="15"/>
      <c r="L60" s="5"/>
      <c r="M60" s="15"/>
      <c r="N60" s="5"/>
      <c r="O60" s="15"/>
      <c r="P60" s="19" t="str">
        <f t="shared" si="7"/>
        <v/>
      </c>
      <c r="Q60" s="19" t="str">
        <f t="shared" si="8"/>
        <v/>
      </c>
      <c r="R60" s="19" t="str">
        <f t="shared" si="9"/>
        <v/>
      </c>
      <c r="S60" s="5"/>
      <c r="T60" s="5"/>
      <c r="U60" s="5"/>
      <c r="V60" s="24"/>
      <c r="W60" s="15"/>
      <c r="X60" s="15"/>
      <c r="Y60" s="15"/>
      <c r="Z60" s="19" t="str">
        <f t="shared" si="10"/>
        <v/>
      </c>
      <c r="AA60" s="19" t="str">
        <f t="shared" si="11"/>
        <v/>
      </c>
      <c r="AB60" s="5"/>
      <c r="AC60" s="5"/>
      <c r="AE60" t="str">
        <f>IFERROR(INDEX(EqTag,_xlfn.AGGREGATE(15,6,(ROW(EqTag)-4)/((EqSys=$D$3)*(EqTag&lt;&gt;"")),ROWS($AE$14:AE60))),"")</f>
        <v/>
      </c>
    </row>
    <row r="61" spans="1:31" ht="30" customHeight="1" x14ac:dyDescent="0.2">
      <c r="A61" s="19" t="str">
        <f>IF(F61="","",LEFT($D$3,3)&amp;"-"&amp;TEXT(COUNTIF(F$14:F61,"?*"),"00"))</f>
        <v/>
      </c>
      <c r="B61" s="5"/>
      <c r="C61" s="6" t="str">
        <f t="shared" si="6"/>
        <v/>
      </c>
      <c r="D61" s="5"/>
      <c r="E61" s="5"/>
      <c r="F61" s="5"/>
      <c r="G61" s="5"/>
      <c r="H61" s="5"/>
      <c r="I61" s="5"/>
      <c r="J61" s="5"/>
      <c r="K61" s="15"/>
      <c r="L61" s="5"/>
      <c r="M61" s="15"/>
      <c r="N61" s="5"/>
      <c r="O61" s="15"/>
      <c r="P61" s="19" t="str">
        <f t="shared" si="7"/>
        <v/>
      </c>
      <c r="Q61" s="19" t="str">
        <f t="shared" si="8"/>
        <v/>
      </c>
      <c r="R61" s="19" t="str">
        <f t="shared" si="9"/>
        <v/>
      </c>
      <c r="S61" s="5"/>
      <c r="T61" s="5"/>
      <c r="U61" s="5"/>
      <c r="V61" s="24"/>
      <c r="W61" s="15"/>
      <c r="X61" s="15"/>
      <c r="Y61" s="15"/>
      <c r="Z61" s="19" t="str">
        <f t="shared" si="10"/>
        <v/>
      </c>
      <c r="AA61" s="19" t="str">
        <f t="shared" si="11"/>
        <v/>
      </c>
      <c r="AB61" s="5"/>
      <c r="AC61" s="5"/>
      <c r="AE61" t="str">
        <f>IFERROR(INDEX(EqTag,_xlfn.AGGREGATE(15,6,(ROW(EqTag)-4)/((EqSys=$D$3)*(EqTag&lt;&gt;"")),ROWS($AE$14:AE61))),"")</f>
        <v/>
      </c>
    </row>
    <row r="62" spans="1:31" ht="30" customHeight="1" x14ac:dyDescent="0.2">
      <c r="A62" s="19" t="str">
        <f>IF(F62="","",LEFT($D$3,3)&amp;"-"&amp;TEXT(COUNTIF(F$14:F62,"?*"),"00"))</f>
        <v/>
      </c>
      <c r="B62" s="5"/>
      <c r="C62" s="6" t="str">
        <f t="shared" si="6"/>
        <v/>
      </c>
      <c r="D62" s="5"/>
      <c r="E62" s="5"/>
      <c r="F62" s="5"/>
      <c r="G62" s="5"/>
      <c r="H62" s="5"/>
      <c r="I62" s="5"/>
      <c r="J62" s="5"/>
      <c r="K62" s="15"/>
      <c r="L62" s="5"/>
      <c r="M62" s="15"/>
      <c r="N62" s="5"/>
      <c r="O62" s="15"/>
      <c r="P62" s="19" t="str">
        <f t="shared" si="7"/>
        <v/>
      </c>
      <c r="Q62" s="19" t="str">
        <f t="shared" si="8"/>
        <v/>
      </c>
      <c r="R62" s="19" t="str">
        <f t="shared" si="9"/>
        <v/>
      </c>
      <c r="S62" s="5"/>
      <c r="T62" s="5"/>
      <c r="U62" s="5"/>
      <c r="V62" s="24"/>
      <c r="W62" s="15"/>
      <c r="X62" s="15"/>
      <c r="Y62" s="15"/>
      <c r="Z62" s="19" t="str">
        <f t="shared" si="10"/>
        <v/>
      </c>
      <c r="AA62" s="19" t="str">
        <f t="shared" si="11"/>
        <v/>
      </c>
      <c r="AB62" s="5"/>
      <c r="AC62" s="5"/>
      <c r="AE62" t="str">
        <f>IFERROR(INDEX(EqTag,_xlfn.AGGREGATE(15,6,(ROW(EqTag)-4)/((EqSys=$D$3)*(EqTag&lt;&gt;"")),ROWS($AE$14:AE62))),"")</f>
        <v/>
      </c>
    </row>
    <row r="63" spans="1:31" ht="30" customHeight="1" x14ac:dyDescent="0.2">
      <c r="A63" s="19" t="str">
        <f>IF(F63="","",LEFT($D$3,3)&amp;"-"&amp;TEXT(COUNTIF(F$14:F63,"?*"),"00"))</f>
        <v/>
      </c>
      <c r="B63" s="5"/>
      <c r="C63" s="6" t="str">
        <f t="shared" si="6"/>
        <v/>
      </c>
      <c r="D63" s="5"/>
      <c r="E63" s="5"/>
      <c r="F63" s="5"/>
      <c r="G63" s="5"/>
      <c r="H63" s="5"/>
      <c r="I63" s="5"/>
      <c r="J63" s="5"/>
      <c r="K63" s="15"/>
      <c r="L63" s="5"/>
      <c r="M63" s="15"/>
      <c r="N63" s="5"/>
      <c r="O63" s="15"/>
      <c r="P63" s="19" t="str">
        <f t="shared" si="7"/>
        <v/>
      </c>
      <c r="Q63" s="19" t="str">
        <f t="shared" si="8"/>
        <v/>
      </c>
      <c r="R63" s="19" t="str">
        <f t="shared" si="9"/>
        <v/>
      </c>
      <c r="S63" s="5"/>
      <c r="T63" s="5"/>
      <c r="U63" s="5"/>
      <c r="V63" s="24"/>
      <c r="W63" s="15"/>
      <c r="X63" s="15"/>
      <c r="Y63" s="15"/>
      <c r="Z63" s="19" t="str">
        <f t="shared" si="10"/>
        <v/>
      </c>
      <c r="AA63" s="19" t="str">
        <f t="shared" si="11"/>
        <v/>
      </c>
      <c r="AB63" s="5"/>
      <c r="AC63" s="5"/>
      <c r="AE63" t="str">
        <f>IFERROR(INDEX(EqTag,_xlfn.AGGREGATE(15,6,(ROW(EqTag)-4)/((EqSys=$D$3)*(EqTag&lt;&gt;"")),ROWS($AE$14:AE63))),"")</f>
        <v/>
      </c>
    </row>
    <row r="64" spans="1:31" ht="30" customHeight="1" x14ac:dyDescent="0.2">
      <c r="A64" s="19" t="str">
        <f>IF(F64="","",LEFT($D$3,3)&amp;"-"&amp;TEXT(COUNTIF(F$14:F64,"?*"),"00"))</f>
        <v/>
      </c>
      <c r="B64" s="5"/>
      <c r="C64" s="6" t="str">
        <f t="shared" si="6"/>
        <v/>
      </c>
      <c r="D64" s="5"/>
      <c r="E64" s="5"/>
      <c r="F64" s="5"/>
      <c r="G64" s="5"/>
      <c r="H64" s="5"/>
      <c r="I64" s="5"/>
      <c r="J64" s="5"/>
      <c r="K64" s="15"/>
      <c r="L64" s="5"/>
      <c r="M64" s="15"/>
      <c r="N64" s="5"/>
      <c r="O64" s="15"/>
      <c r="P64" s="19" t="str">
        <f t="shared" si="7"/>
        <v/>
      </c>
      <c r="Q64" s="19" t="str">
        <f t="shared" si="8"/>
        <v/>
      </c>
      <c r="R64" s="19" t="str">
        <f t="shared" si="9"/>
        <v/>
      </c>
      <c r="S64" s="5"/>
      <c r="T64" s="5"/>
      <c r="U64" s="5"/>
      <c r="V64" s="24"/>
      <c r="W64" s="15"/>
      <c r="X64" s="15"/>
      <c r="Y64" s="15"/>
      <c r="Z64" s="19" t="str">
        <f t="shared" si="10"/>
        <v/>
      </c>
      <c r="AA64" s="19" t="str">
        <f t="shared" si="11"/>
        <v/>
      </c>
      <c r="AB64" s="5"/>
      <c r="AC64" s="5"/>
      <c r="AE64" t="str">
        <f>IFERROR(INDEX(EqTag,_xlfn.AGGREGATE(15,6,(ROW(EqTag)-4)/((EqSys=$D$3)*(EqTag&lt;&gt;"")),ROWS($AE$14:AE64))),"")</f>
        <v/>
      </c>
    </row>
    <row r="65" spans="1:31" ht="30" customHeight="1" x14ac:dyDescent="0.2">
      <c r="A65" s="19" t="str">
        <f>IF(F65="","",LEFT($D$3,3)&amp;"-"&amp;TEXT(COUNTIF(F$14:F65,"?*"),"00"))</f>
        <v/>
      </c>
      <c r="B65" s="5"/>
      <c r="C65" s="6" t="str">
        <f t="shared" si="6"/>
        <v/>
      </c>
      <c r="D65" s="5"/>
      <c r="E65" s="5"/>
      <c r="F65" s="5"/>
      <c r="G65" s="5"/>
      <c r="H65" s="5"/>
      <c r="I65" s="5"/>
      <c r="J65" s="5"/>
      <c r="K65" s="15"/>
      <c r="L65" s="5"/>
      <c r="M65" s="15"/>
      <c r="N65" s="5"/>
      <c r="O65" s="15"/>
      <c r="P65" s="19" t="str">
        <f t="shared" si="7"/>
        <v/>
      </c>
      <c r="Q65" s="19" t="str">
        <f t="shared" si="8"/>
        <v/>
      </c>
      <c r="R65" s="19" t="str">
        <f t="shared" si="9"/>
        <v/>
      </c>
      <c r="S65" s="5"/>
      <c r="T65" s="5"/>
      <c r="U65" s="5"/>
      <c r="V65" s="24"/>
      <c r="W65" s="15"/>
      <c r="X65" s="15"/>
      <c r="Y65" s="15"/>
      <c r="Z65" s="19" t="str">
        <f t="shared" si="10"/>
        <v/>
      </c>
      <c r="AA65" s="19" t="str">
        <f t="shared" si="11"/>
        <v/>
      </c>
      <c r="AB65" s="5"/>
      <c r="AC65" s="5"/>
      <c r="AE65" t="str">
        <f>IFERROR(INDEX(EqTag,_xlfn.AGGREGATE(15,6,(ROW(EqTag)-4)/((EqSys=$D$3)*(EqTag&lt;&gt;"")),ROWS($AE$14:AE65))),"")</f>
        <v/>
      </c>
    </row>
    <row r="66" spans="1:31" ht="30" customHeight="1" x14ac:dyDescent="0.2">
      <c r="A66" s="19" t="str">
        <f>IF(F66="","",LEFT($D$3,3)&amp;"-"&amp;TEXT(COUNTIF(F$14:F66,"?*"),"00"))</f>
        <v/>
      </c>
      <c r="B66" s="5"/>
      <c r="C66" s="6" t="str">
        <f t="shared" si="6"/>
        <v/>
      </c>
      <c r="D66" s="5"/>
      <c r="E66" s="5"/>
      <c r="F66" s="5"/>
      <c r="G66" s="5"/>
      <c r="H66" s="5"/>
      <c r="I66" s="5"/>
      <c r="J66" s="5"/>
      <c r="K66" s="15"/>
      <c r="L66" s="5"/>
      <c r="M66" s="15"/>
      <c r="N66" s="5"/>
      <c r="O66" s="15"/>
      <c r="P66" s="19" t="str">
        <f t="shared" si="7"/>
        <v/>
      </c>
      <c r="Q66" s="19" t="str">
        <f t="shared" si="8"/>
        <v/>
      </c>
      <c r="R66" s="19" t="str">
        <f t="shared" si="9"/>
        <v/>
      </c>
      <c r="S66" s="5"/>
      <c r="T66" s="5"/>
      <c r="U66" s="5"/>
      <c r="V66" s="24"/>
      <c r="W66" s="15"/>
      <c r="X66" s="15"/>
      <c r="Y66" s="15"/>
      <c r="Z66" s="19" t="str">
        <f t="shared" si="10"/>
        <v/>
      </c>
      <c r="AA66" s="19" t="str">
        <f t="shared" si="11"/>
        <v/>
      </c>
      <c r="AB66" s="5"/>
      <c r="AC66" s="5"/>
      <c r="AE66" t="str">
        <f>IFERROR(INDEX(EqTag,_xlfn.AGGREGATE(15,6,(ROW(EqTag)-4)/((EqSys=$D$3)*(EqTag&lt;&gt;"")),ROWS($AE$14:AE66))),"")</f>
        <v/>
      </c>
    </row>
    <row r="67" spans="1:31" ht="30" customHeight="1" x14ac:dyDescent="0.2">
      <c r="A67" s="19" t="str">
        <f>IF(F67="","",LEFT($D$3,3)&amp;"-"&amp;TEXT(COUNTIF(F$14:F67,"?*"),"00"))</f>
        <v/>
      </c>
      <c r="B67" s="5"/>
      <c r="C67" s="6" t="str">
        <f t="shared" si="6"/>
        <v/>
      </c>
      <c r="D67" s="5"/>
      <c r="E67" s="5"/>
      <c r="F67" s="5"/>
      <c r="G67" s="5"/>
      <c r="H67" s="5"/>
      <c r="I67" s="5"/>
      <c r="J67" s="5"/>
      <c r="K67" s="15"/>
      <c r="L67" s="5"/>
      <c r="M67" s="15"/>
      <c r="N67" s="5"/>
      <c r="O67" s="15"/>
      <c r="P67" s="19" t="str">
        <f t="shared" si="7"/>
        <v/>
      </c>
      <c r="Q67" s="19" t="str">
        <f t="shared" si="8"/>
        <v/>
      </c>
      <c r="R67" s="19" t="str">
        <f t="shared" si="9"/>
        <v/>
      </c>
      <c r="S67" s="5"/>
      <c r="T67" s="5"/>
      <c r="U67" s="5"/>
      <c r="V67" s="24"/>
      <c r="W67" s="15"/>
      <c r="X67" s="15"/>
      <c r="Y67" s="15"/>
      <c r="Z67" s="19" t="str">
        <f t="shared" si="10"/>
        <v/>
      </c>
      <c r="AA67" s="19" t="str">
        <f t="shared" si="11"/>
        <v/>
      </c>
      <c r="AB67" s="5"/>
      <c r="AC67" s="5"/>
      <c r="AE67" t="str">
        <f>IFERROR(INDEX(EqTag,_xlfn.AGGREGATE(15,6,(ROW(EqTag)-4)/((EqSys=$D$3)*(EqTag&lt;&gt;"")),ROWS($AE$14:AE67))),"")</f>
        <v/>
      </c>
    </row>
    <row r="68" spans="1:31" ht="30" customHeight="1" x14ac:dyDescent="0.2">
      <c r="A68" s="19" t="str">
        <f>IF(F68="","",LEFT($D$3,3)&amp;"-"&amp;TEXT(COUNTIF(F$14:F68,"?*"),"00"))</f>
        <v/>
      </c>
      <c r="B68" s="5"/>
      <c r="C68" s="6" t="str">
        <f t="shared" si="6"/>
        <v/>
      </c>
      <c r="D68" s="5"/>
      <c r="E68" s="5"/>
      <c r="F68" s="5"/>
      <c r="G68" s="5"/>
      <c r="H68" s="5"/>
      <c r="I68" s="5"/>
      <c r="J68" s="5"/>
      <c r="K68" s="15"/>
      <c r="L68" s="5"/>
      <c r="M68" s="15"/>
      <c r="N68" s="5"/>
      <c r="O68" s="15"/>
      <c r="P68" s="19" t="str">
        <f t="shared" si="7"/>
        <v/>
      </c>
      <c r="Q68" s="19" t="str">
        <f t="shared" si="8"/>
        <v/>
      </c>
      <c r="R68" s="19" t="str">
        <f t="shared" si="9"/>
        <v/>
      </c>
      <c r="S68" s="5"/>
      <c r="T68" s="5"/>
      <c r="U68" s="5"/>
      <c r="V68" s="24"/>
      <c r="W68" s="15"/>
      <c r="X68" s="15"/>
      <c r="Y68" s="15"/>
      <c r="Z68" s="19" t="str">
        <f t="shared" si="10"/>
        <v/>
      </c>
      <c r="AA68" s="19" t="str">
        <f t="shared" si="11"/>
        <v/>
      </c>
      <c r="AB68" s="5"/>
      <c r="AC68" s="5"/>
      <c r="AE68" t="str">
        <f>IFERROR(INDEX(EqTag,_xlfn.AGGREGATE(15,6,(ROW(EqTag)-4)/((EqSys=$D$3)*(EqTag&lt;&gt;"")),ROWS($AE$14:AE68))),"")</f>
        <v/>
      </c>
    </row>
    <row r="69" spans="1:31" ht="30" customHeight="1" x14ac:dyDescent="0.2">
      <c r="A69" s="19" t="str">
        <f>IF(F69="","",LEFT($D$3,3)&amp;"-"&amp;TEXT(COUNTIF(F$14:F69,"?*"),"00"))</f>
        <v/>
      </c>
      <c r="B69" s="5"/>
      <c r="C69" s="6" t="str">
        <f t="shared" si="6"/>
        <v/>
      </c>
      <c r="D69" s="5"/>
      <c r="E69" s="5"/>
      <c r="F69" s="5"/>
      <c r="G69" s="5"/>
      <c r="H69" s="5"/>
      <c r="I69" s="5"/>
      <c r="J69" s="5"/>
      <c r="K69" s="15"/>
      <c r="L69" s="5"/>
      <c r="M69" s="15"/>
      <c r="N69" s="5"/>
      <c r="O69" s="15"/>
      <c r="P69" s="19" t="str">
        <f t="shared" si="7"/>
        <v/>
      </c>
      <c r="Q69" s="19" t="str">
        <f t="shared" si="8"/>
        <v/>
      </c>
      <c r="R69" s="19" t="str">
        <f t="shared" si="9"/>
        <v/>
      </c>
      <c r="S69" s="5"/>
      <c r="T69" s="5"/>
      <c r="U69" s="5"/>
      <c r="V69" s="24"/>
      <c r="W69" s="15"/>
      <c r="X69" s="15"/>
      <c r="Y69" s="15"/>
      <c r="Z69" s="19" t="str">
        <f t="shared" si="10"/>
        <v/>
      </c>
      <c r="AA69" s="19" t="str">
        <f t="shared" si="11"/>
        <v/>
      </c>
      <c r="AB69" s="5"/>
      <c r="AC69" s="5"/>
      <c r="AE69" t="str">
        <f>IFERROR(INDEX(EqTag,_xlfn.AGGREGATE(15,6,(ROW(EqTag)-4)/((EqSys=$D$3)*(EqTag&lt;&gt;"")),ROWS($AE$14:AE69))),"")</f>
        <v/>
      </c>
    </row>
    <row r="70" spans="1:31" ht="30" customHeight="1" x14ac:dyDescent="0.2">
      <c r="A70" s="19" t="str">
        <f>IF(F70="","",LEFT($D$3,3)&amp;"-"&amp;TEXT(COUNTIF(F$14:F70,"?*"),"00"))</f>
        <v/>
      </c>
      <c r="B70" s="5"/>
      <c r="C70" s="6" t="str">
        <f t="shared" si="6"/>
        <v/>
      </c>
      <c r="D70" s="5"/>
      <c r="E70" s="5"/>
      <c r="F70" s="5"/>
      <c r="G70" s="5"/>
      <c r="H70" s="5"/>
      <c r="I70" s="5"/>
      <c r="J70" s="5"/>
      <c r="K70" s="15"/>
      <c r="L70" s="5"/>
      <c r="M70" s="15"/>
      <c r="N70" s="5"/>
      <c r="O70" s="15"/>
      <c r="P70" s="19" t="str">
        <f t="shared" si="7"/>
        <v/>
      </c>
      <c r="Q70" s="19" t="str">
        <f t="shared" si="8"/>
        <v/>
      </c>
      <c r="R70" s="19" t="str">
        <f t="shared" si="9"/>
        <v/>
      </c>
      <c r="S70" s="5"/>
      <c r="T70" s="5"/>
      <c r="U70" s="5"/>
      <c r="V70" s="24"/>
      <c r="W70" s="15"/>
      <c r="X70" s="15"/>
      <c r="Y70" s="15"/>
      <c r="Z70" s="19" t="str">
        <f t="shared" si="10"/>
        <v/>
      </c>
      <c r="AA70" s="19" t="str">
        <f t="shared" si="11"/>
        <v/>
      </c>
      <c r="AB70" s="5"/>
      <c r="AC70" s="5"/>
      <c r="AE70" t="str">
        <f>IFERROR(INDEX(EqTag,_xlfn.AGGREGATE(15,6,(ROW(EqTag)-4)/((EqSys=$D$3)*(EqTag&lt;&gt;"")),ROWS($AE$14:AE70))),"")</f>
        <v/>
      </c>
    </row>
    <row r="71" spans="1:31" ht="30" customHeight="1" x14ac:dyDescent="0.2">
      <c r="A71" s="19" t="str">
        <f>IF(F71="","",LEFT($D$3,3)&amp;"-"&amp;TEXT(COUNTIF(F$14:F71,"?*"),"00"))</f>
        <v/>
      </c>
      <c r="B71" s="5"/>
      <c r="C71" s="6" t="str">
        <f t="shared" si="6"/>
        <v/>
      </c>
      <c r="D71" s="5"/>
      <c r="E71" s="5"/>
      <c r="F71" s="5"/>
      <c r="G71" s="5"/>
      <c r="H71" s="5"/>
      <c r="I71" s="5"/>
      <c r="J71" s="5"/>
      <c r="K71" s="15"/>
      <c r="L71" s="5"/>
      <c r="M71" s="15"/>
      <c r="N71" s="5"/>
      <c r="O71" s="15"/>
      <c r="P71" s="19" t="str">
        <f t="shared" si="7"/>
        <v/>
      </c>
      <c r="Q71" s="19" t="str">
        <f t="shared" si="8"/>
        <v/>
      </c>
      <c r="R71" s="19" t="str">
        <f t="shared" si="9"/>
        <v/>
      </c>
      <c r="S71" s="5"/>
      <c r="T71" s="5"/>
      <c r="U71" s="5"/>
      <c r="V71" s="24"/>
      <c r="W71" s="15"/>
      <c r="X71" s="15"/>
      <c r="Y71" s="15"/>
      <c r="Z71" s="19" t="str">
        <f t="shared" si="10"/>
        <v/>
      </c>
      <c r="AA71" s="19" t="str">
        <f t="shared" si="11"/>
        <v/>
      </c>
      <c r="AB71" s="5"/>
      <c r="AC71" s="5"/>
      <c r="AE71" t="str">
        <f>IFERROR(INDEX(EqTag,_xlfn.AGGREGATE(15,6,(ROW(EqTag)-4)/((EqSys=$D$3)*(EqTag&lt;&gt;"")),ROWS($AE$14:AE71))),"")</f>
        <v/>
      </c>
    </row>
    <row r="72" spans="1:31" ht="30" customHeight="1" x14ac:dyDescent="0.2">
      <c r="A72" s="19" t="str">
        <f>IF(F72="","",LEFT($D$3,3)&amp;"-"&amp;TEXT(COUNTIF(F$14:F72,"?*"),"00"))</f>
        <v/>
      </c>
      <c r="B72" s="5"/>
      <c r="C72" s="6" t="str">
        <f t="shared" si="6"/>
        <v/>
      </c>
      <c r="D72" s="5"/>
      <c r="E72" s="5"/>
      <c r="F72" s="5"/>
      <c r="G72" s="5"/>
      <c r="H72" s="5"/>
      <c r="I72" s="5"/>
      <c r="J72" s="5"/>
      <c r="K72" s="15"/>
      <c r="L72" s="5"/>
      <c r="M72" s="15"/>
      <c r="N72" s="5"/>
      <c r="O72" s="15"/>
      <c r="P72" s="19" t="str">
        <f t="shared" si="7"/>
        <v/>
      </c>
      <c r="Q72" s="19" t="str">
        <f t="shared" si="8"/>
        <v/>
      </c>
      <c r="R72" s="19" t="str">
        <f t="shared" si="9"/>
        <v/>
      </c>
      <c r="S72" s="5"/>
      <c r="T72" s="5"/>
      <c r="U72" s="5"/>
      <c r="V72" s="24"/>
      <c r="W72" s="15"/>
      <c r="X72" s="15"/>
      <c r="Y72" s="15"/>
      <c r="Z72" s="19" t="str">
        <f t="shared" si="10"/>
        <v/>
      </c>
      <c r="AA72" s="19" t="str">
        <f t="shared" si="11"/>
        <v/>
      </c>
      <c r="AB72" s="5"/>
      <c r="AC72" s="5"/>
      <c r="AE72" t="str">
        <f>IFERROR(INDEX(EqTag,_xlfn.AGGREGATE(15,6,(ROW(EqTag)-4)/((EqSys=$D$3)*(EqTag&lt;&gt;"")),ROWS($AE$14:AE72))),"")</f>
        <v/>
      </c>
    </row>
    <row r="73" spans="1:31" ht="30" customHeight="1" x14ac:dyDescent="0.2">
      <c r="A73" s="19" t="str">
        <f>IF(F73="","",LEFT($D$3,3)&amp;"-"&amp;TEXT(COUNTIF(F$14:F73,"?*"),"00"))</f>
        <v/>
      </c>
      <c r="B73" s="5"/>
      <c r="C73" s="6" t="str">
        <f t="shared" si="6"/>
        <v/>
      </c>
      <c r="D73" s="5"/>
      <c r="E73" s="5"/>
      <c r="F73" s="5"/>
      <c r="G73" s="5"/>
      <c r="H73" s="5"/>
      <c r="I73" s="5"/>
      <c r="J73" s="5"/>
      <c r="K73" s="15"/>
      <c r="L73" s="5"/>
      <c r="M73" s="15"/>
      <c r="N73" s="5"/>
      <c r="O73" s="15"/>
      <c r="P73" s="19" t="str">
        <f t="shared" si="7"/>
        <v/>
      </c>
      <c r="Q73" s="19" t="str">
        <f t="shared" si="8"/>
        <v/>
      </c>
      <c r="R73" s="19" t="str">
        <f t="shared" si="9"/>
        <v/>
      </c>
      <c r="S73" s="5"/>
      <c r="T73" s="5"/>
      <c r="U73" s="5"/>
      <c r="V73" s="24"/>
      <c r="W73" s="15"/>
      <c r="X73" s="15"/>
      <c r="Y73" s="15"/>
      <c r="Z73" s="19" t="str">
        <f t="shared" si="10"/>
        <v/>
      </c>
      <c r="AA73" s="19" t="str">
        <f t="shared" si="11"/>
        <v/>
      </c>
      <c r="AB73" s="5"/>
      <c r="AC73" s="5"/>
      <c r="AE73" t="str">
        <f>IFERROR(INDEX(EqTag,_xlfn.AGGREGATE(15,6,(ROW(EqTag)-4)/((EqSys=$D$3)*(EqTag&lt;&gt;"")),ROWS($AE$14:AE73))),"")</f>
        <v/>
      </c>
    </row>
    <row r="74" spans="1:31" ht="30" customHeight="1" x14ac:dyDescent="0.2">
      <c r="A74" s="19" t="str">
        <f>IF(F74="","",LEFT($D$3,3)&amp;"-"&amp;TEXT(COUNTIF(F$14:F74,"?*"),"00"))</f>
        <v/>
      </c>
      <c r="B74" s="5"/>
      <c r="C74" s="6" t="str">
        <f t="shared" si="6"/>
        <v/>
      </c>
      <c r="D74" s="5"/>
      <c r="E74" s="5"/>
      <c r="F74" s="5"/>
      <c r="G74" s="5"/>
      <c r="H74" s="5"/>
      <c r="I74" s="5"/>
      <c r="J74" s="5"/>
      <c r="K74" s="15"/>
      <c r="L74" s="5"/>
      <c r="M74" s="15"/>
      <c r="N74" s="5"/>
      <c r="O74" s="15"/>
      <c r="P74" s="19" t="str">
        <f t="shared" si="7"/>
        <v/>
      </c>
      <c r="Q74" s="19" t="str">
        <f t="shared" si="8"/>
        <v/>
      </c>
      <c r="R74" s="19" t="str">
        <f t="shared" si="9"/>
        <v/>
      </c>
      <c r="S74" s="5"/>
      <c r="T74" s="5"/>
      <c r="U74" s="5"/>
      <c r="V74" s="24"/>
      <c r="W74" s="15"/>
      <c r="X74" s="15"/>
      <c r="Y74" s="15"/>
      <c r="Z74" s="19" t="str">
        <f t="shared" si="10"/>
        <v/>
      </c>
      <c r="AA74" s="19" t="str">
        <f t="shared" si="11"/>
        <v/>
      </c>
      <c r="AB74" s="5"/>
      <c r="AC74" s="5"/>
      <c r="AE74" t="str">
        <f>IFERROR(INDEX(EqTag,_xlfn.AGGREGATE(15,6,(ROW(EqTag)-4)/((EqSys=$D$3)*(EqTag&lt;&gt;"")),ROWS($AE$14:AE74))),"")</f>
        <v/>
      </c>
    </row>
    <row r="75" spans="1:31" ht="30" customHeight="1" x14ac:dyDescent="0.2">
      <c r="A75" s="19" t="str">
        <f>IF(F75="","",LEFT($D$3,3)&amp;"-"&amp;TEXT(COUNTIF(F$14:F75,"?*"),"00"))</f>
        <v/>
      </c>
      <c r="B75" s="5"/>
      <c r="C75" s="6" t="str">
        <f t="shared" si="6"/>
        <v/>
      </c>
      <c r="D75" s="5"/>
      <c r="E75" s="5"/>
      <c r="F75" s="5"/>
      <c r="G75" s="5"/>
      <c r="H75" s="5"/>
      <c r="I75" s="5"/>
      <c r="J75" s="5"/>
      <c r="K75" s="15"/>
      <c r="L75" s="5"/>
      <c r="M75" s="15"/>
      <c r="N75" s="5"/>
      <c r="O75" s="15"/>
      <c r="P75" s="19" t="str">
        <f t="shared" si="7"/>
        <v/>
      </c>
      <c r="Q75" s="19" t="str">
        <f t="shared" si="8"/>
        <v/>
      </c>
      <c r="R75" s="19" t="str">
        <f t="shared" si="9"/>
        <v/>
      </c>
      <c r="S75" s="5"/>
      <c r="T75" s="5"/>
      <c r="U75" s="5"/>
      <c r="V75" s="24"/>
      <c r="W75" s="15"/>
      <c r="X75" s="15"/>
      <c r="Y75" s="15"/>
      <c r="Z75" s="19" t="str">
        <f t="shared" si="10"/>
        <v/>
      </c>
      <c r="AA75" s="19" t="str">
        <f t="shared" si="11"/>
        <v/>
      </c>
      <c r="AB75" s="5"/>
      <c r="AC75" s="5"/>
      <c r="AE75" t="str">
        <f>IFERROR(INDEX(EqTag,_xlfn.AGGREGATE(15,6,(ROW(EqTag)-4)/((EqSys=$D$3)*(EqTag&lt;&gt;"")),ROWS($AE$14:AE75))),"")</f>
        <v/>
      </c>
    </row>
    <row r="76" spans="1:31" ht="30" customHeight="1" x14ac:dyDescent="0.2">
      <c r="A76" s="19" t="str">
        <f>IF(F76="","",LEFT($D$3,3)&amp;"-"&amp;TEXT(COUNTIF(F$14:F76,"?*"),"00"))</f>
        <v/>
      </c>
      <c r="B76" s="5"/>
      <c r="C76" s="6" t="str">
        <f t="shared" si="6"/>
        <v/>
      </c>
      <c r="D76" s="5"/>
      <c r="E76" s="5"/>
      <c r="F76" s="5"/>
      <c r="G76" s="5"/>
      <c r="H76" s="5"/>
      <c r="I76" s="5"/>
      <c r="J76" s="5"/>
      <c r="K76" s="15"/>
      <c r="L76" s="5"/>
      <c r="M76" s="15"/>
      <c r="N76" s="5"/>
      <c r="O76" s="15"/>
      <c r="P76" s="19" t="str">
        <f t="shared" si="7"/>
        <v/>
      </c>
      <c r="Q76" s="19" t="str">
        <f t="shared" si="8"/>
        <v/>
      </c>
      <c r="R76" s="19" t="str">
        <f t="shared" si="9"/>
        <v/>
      </c>
      <c r="S76" s="5"/>
      <c r="T76" s="5"/>
      <c r="U76" s="5"/>
      <c r="V76" s="24"/>
      <c r="W76" s="15"/>
      <c r="X76" s="15"/>
      <c r="Y76" s="15"/>
      <c r="Z76" s="19" t="str">
        <f t="shared" si="10"/>
        <v/>
      </c>
      <c r="AA76" s="19" t="str">
        <f t="shared" si="11"/>
        <v/>
      </c>
      <c r="AB76" s="5"/>
      <c r="AC76" s="5"/>
      <c r="AE76" t="str">
        <f>IFERROR(INDEX(EqTag,_xlfn.AGGREGATE(15,6,(ROW(EqTag)-4)/((EqSys=$D$3)*(EqTag&lt;&gt;"")),ROWS($AE$14:AE76))),"")</f>
        <v/>
      </c>
    </row>
    <row r="77" spans="1:31" ht="30" customHeight="1" x14ac:dyDescent="0.2">
      <c r="A77" s="19" t="str">
        <f>IF(F77="","",LEFT($D$3,3)&amp;"-"&amp;TEXT(COUNTIF(F$14:F77,"?*"),"00"))</f>
        <v/>
      </c>
      <c r="B77" s="5"/>
      <c r="C77" s="6" t="str">
        <f t="shared" si="6"/>
        <v/>
      </c>
      <c r="D77" s="5"/>
      <c r="E77" s="5"/>
      <c r="F77" s="5"/>
      <c r="G77" s="5"/>
      <c r="H77" s="5"/>
      <c r="I77" s="5"/>
      <c r="J77" s="5"/>
      <c r="K77" s="15"/>
      <c r="L77" s="5"/>
      <c r="M77" s="15"/>
      <c r="N77" s="5"/>
      <c r="O77" s="15"/>
      <c r="P77" s="19" t="str">
        <f t="shared" si="7"/>
        <v/>
      </c>
      <c r="Q77" s="19" t="str">
        <f t="shared" si="8"/>
        <v/>
      </c>
      <c r="R77" s="19" t="str">
        <f t="shared" si="9"/>
        <v/>
      </c>
      <c r="S77" s="5"/>
      <c r="T77" s="5"/>
      <c r="U77" s="5"/>
      <c r="V77" s="24"/>
      <c r="W77" s="15"/>
      <c r="X77" s="15"/>
      <c r="Y77" s="15"/>
      <c r="Z77" s="19" t="str">
        <f t="shared" si="10"/>
        <v/>
      </c>
      <c r="AA77" s="19" t="str">
        <f t="shared" si="11"/>
        <v/>
      </c>
      <c r="AB77" s="5"/>
      <c r="AC77" s="5"/>
      <c r="AE77" t="str">
        <f>IFERROR(INDEX(EqTag,_xlfn.AGGREGATE(15,6,(ROW(EqTag)-4)/((EqSys=$D$3)*(EqTag&lt;&gt;"")),ROWS($AE$14:AE77))),"")</f>
        <v/>
      </c>
    </row>
    <row r="78" spans="1:31" ht="30" customHeight="1" x14ac:dyDescent="0.2">
      <c r="A78" s="19" t="str">
        <f>IF(F78="","",LEFT($D$3,3)&amp;"-"&amp;TEXT(COUNTIF(F$14:F78,"?*"),"00"))</f>
        <v/>
      </c>
      <c r="B78" s="5"/>
      <c r="C78" s="6" t="str">
        <f t="shared" ref="C78:C109" si="12">IF(B78="","",IFERROR(INDEX(EqTypeCol,MATCH(B78,EqTag,0)),"Tag not in register"))</f>
        <v/>
      </c>
      <c r="D78" s="5"/>
      <c r="E78" s="5"/>
      <c r="F78" s="5"/>
      <c r="G78" s="5"/>
      <c r="H78" s="5"/>
      <c r="I78" s="5"/>
      <c r="J78" s="5"/>
      <c r="K78" s="15"/>
      <c r="L78" s="5"/>
      <c r="M78" s="15"/>
      <c r="N78" s="5"/>
      <c r="O78" s="15"/>
      <c r="P78" s="19" t="str">
        <f t="shared" ref="P78:P109" si="13">IF(OR(K78="",M78="",O78=""),"",(--TRIM(LEFT(K78,2)))*(--TRIM(LEFT(M78,2)))*(--TRIM(LEFT(O78,2))))</f>
        <v/>
      </c>
      <c r="Q78" s="19" t="str">
        <f t="shared" ref="Q78:Q109" si="14">IF(OR(K78="",M78="",O78=""),"",INDEX(APGrid,COUNTIF(APS,"&gt;"&amp;(--TRIM(LEFT(K78,2))))*5+COUNTIF(APO,"&gt;"&amp;(--TRIM(LEFT(M78,2))))+1,COUNTIF(APD,"&gt;"&amp;(--TRIM(LEFT(O78,2))))+1))</f>
        <v/>
      </c>
      <c r="R78" s="19" t="str">
        <f t="shared" ref="R78:R109" si="15">IF(P78="","",IF(OR((--TRIM(LEFT(K78,2)))&gt;=SThr,P78&gt;=RPNThr,Q78="H"),"Yes","No"))</f>
        <v/>
      </c>
      <c r="S78" s="5"/>
      <c r="T78" s="5"/>
      <c r="U78" s="5"/>
      <c r="V78" s="24"/>
      <c r="W78" s="15"/>
      <c r="X78" s="15"/>
      <c r="Y78" s="15"/>
      <c r="Z78" s="19" t="str">
        <f t="shared" ref="Z78:Z109" si="16">IF(OR(W78="",X78="",Y78=""),"",(--TRIM(LEFT(W78,2)))*(--TRIM(LEFT(X78,2)))*(--TRIM(LEFT(Y78,2))))</f>
        <v/>
      </c>
      <c r="AA78" s="19" t="str">
        <f t="shared" ref="AA78:AA109" si="17">IF(OR(W78="",X78="",Y78=""),"",INDEX(APGrid,COUNTIF(APS,"&gt;"&amp;(--TRIM(LEFT(W78,2))))*5+COUNTIF(APO,"&gt;"&amp;(--TRIM(LEFT(X78,2))))+1,COUNTIF(APD,"&gt;"&amp;(--TRIM(LEFT(Y78,2))))+1))</f>
        <v/>
      </c>
      <c r="AB78" s="5"/>
      <c r="AC78" s="5"/>
      <c r="AE78" t="str">
        <f>IFERROR(INDEX(EqTag,_xlfn.AGGREGATE(15,6,(ROW(EqTag)-4)/((EqSys=$D$3)*(EqTag&lt;&gt;"")),ROWS($AE$14:AE78))),"")</f>
        <v/>
      </c>
    </row>
    <row r="79" spans="1:31" ht="30" customHeight="1" x14ac:dyDescent="0.2">
      <c r="A79" s="19" t="str">
        <f>IF(F79="","",LEFT($D$3,3)&amp;"-"&amp;TEXT(COUNTIF(F$14:F79,"?*"),"00"))</f>
        <v/>
      </c>
      <c r="B79" s="5"/>
      <c r="C79" s="6" t="str">
        <f t="shared" si="12"/>
        <v/>
      </c>
      <c r="D79" s="5"/>
      <c r="E79" s="5"/>
      <c r="F79" s="5"/>
      <c r="G79" s="5"/>
      <c r="H79" s="5"/>
      <c r="I79" s="5"/>
      <c r="J79" s="5"/>
      <c r="K79" s="15"/>
      <c r="L79" s="5"/>
      <c r="M79" s="15"/>
      <c r="N79" s="5"/>
      <c r="O79" s="15"/>
      <c r="P79" s="19" t="str">
        <f t="shared" si="13"/>
        <v/>
      </c>
      <c r="Q79" s="19" t="str">
        <f t="shared" si="14"/>
        <v/>
      </c>
      <c r="R79" s="19" t="str">
        <f t="shared" si="15"/>
        <v/>
      </c>
      <c r="S79" s="5"/>
      <c r="T79" s="5"/>
      <c r="U79" s="5"/>
      <c r="V79" s="24"/>
      <c r="W79" s="15"/>
      <c r="X79" s="15"/>
      <c r="Y79" s="15"/>
      <c r="Z79" s="19" t="str">
        <f t="shared" si="16"/>
        <v/>
      </c>
      <c r="AA79" s="19" t="str">
        <f t="shared" si="17"/>
        <v/>
      </c>
      <c r="AB79" s="5"/>
      <c r="AC79" s="5"/>
      <c r="AE79" t="str">
        <f>IFERROR(INDEX(EqTag,_xlfn.AGGREGATE(15,6,(ROW(EqTag)-4)/((EqSys=$D$3)*(EqTag&lt;&gt;"")),ROWS($AE$14:AE79))),"")</f>
        <v/>
      </c>
    </row>
    <row r="80" spans="1:31" ht="30" customHeight="1" x14ac:dyDescent="0.2">
      <c r="A80" s="19" t="str">
        <f>IF(F80="","",LEFT($D$3,3)&amp;"-"&amp;TEXT(COUNTIF(F$14:F80,"?*"),"00"))</f>
        <v/>
      </c>
      <c r="B80" s="5"/>
      <c r="C80" s="6" t="str">
        <f t="shared" si="12"/>
        <v/>
      </c>
      <c r="D80" s="5"/>
      <c r="E80" s="5"/>
      <c r="F80" s="5"/>
      <c r="G80" s="5"/>
      <c r="H80" s="5"/>
      <c r="I80" s="5"/>
      <c r="J80" s="5"/>
      <c r="K80" s="15"/>
      <c r="L80" s="5"/>
      <c r="M80" s="15"/>
      <c r="N80" s="5"/>
      <c r="O80" s="15"/>
      <c r="P80" s="19" t="str">
        <f t="shared" si="13"/>
        <v/>
      </c>
      <c r="Q80" s="19" t="str">
        <f t="shared" si="14"/>
        <v/>
      </c>
      <c r="R80" s="19" t="str">
        <f t="shared" si="15"/>
        <v/>
      </c>
      <c r="S80" s="5"/>
      <c r="T80" s="5"/>
      <c r="U80" s="5"/>
      <c r="V80" s="24"/>
      <c r="W80" s="15"/>
      <c r="X80" s="15"/>
      <c r="Y80" s="15"/>
      <c r="Z80" s="19" t="str">
        <f t="shared" si="16"/>
        <v/>
      </c>
      <c r="AA80" s="19" t="str">
        <f t="shared" si="17"/>
        <v/>
      </c>
      <c r="AB80" s="5"/>
      <c r="AC80" s="5"/>
      <c r="AE80" t="str">
        <f>IFERROR(INDEX(EqTag,_xlfn.AGGREGATE(15,6,(ROW(EqTag)-4)/((EqSys=$D$3)*(EqTag&lt;&gt;"")),ROWS($AE$14:AE80))),"")</f>
        <v/>
      </c>
    </row>
    <row r="81" spans="1:31" ht="30" customHeight="1" x14ac:dyDescent="0.2">
      <c r="A81" s="19" t="str">
        <f>IF(F81="","",LEFT($D$3,3)&amp;"-"&amp;TEXT(COUNTIF(F$14:F81,"?*"),"00"))</f>
        <v/>
      </c>
      <c r="B81" s="5"/>
      <c r="C81" s="6" t="str">
        <f t="shared" si="12"/>
        <v/>
      </c>
      <c r="D81" s="5"/>
      <c r="E81" s="5"/>
      <c r="F81" s="5"/>
      <c r="G81" s="5"/>
      <c r="H81" s="5"/>
      <c r="I81" s="5"/>
      <c r="J81" s="5"/>
      <c r="K81" s="15"/>
      <c r="L81" s="5"/>
      <c r="M81" s="15"/>
      <c r="N81" s="5"/>
      <c r="O81" s="15"/>
      <c r="P81" s="19" t="str">
        <f t="shared" si="13"/>
        <v/>
      </c>
      <c r="Q81" s="19" t="str">
        <f t="shared" si="14"/>
        <v/>
      </c>
      <c r="R81" s="19" t="str">
        <f t="shared" si="15"/>
        <v/>
      </c>
      <c r="S81" s="5"/>
      <c r="T81" s="5"/>
      <c r="U81" s="5"/>
      <c r="V81" s="24"/>
      <c r="W81" s="15"/>
      <c r="X81" s="15"/>
      <c r="Y81" s="15"/>
      <c r="Z81" s="19" t="str">
        <f t="shared" si="16"/>
        <v/>
      </c>
      <c r="AA81" s="19" t="str">
        <f t="shared" si="17"/>
        <v/>
      </c>
      <c r="AB81" s="5"/>
      <c r="AC81" s="5"/>
      <c r="AE81" t="str">
        <f>IFERROR(INDEX(EqTag,_xlfn.AGGREGATE(15,6,(ROW(EqTag)-4)/((EqSys=$D$3)*(EqTag&lt;&gt;"")),ROWS($AE$14:AE81))),"")</f>
        <v/>
      </c>
    </row>
    <row r="82" spans="1:31" ht="30" customHeight="1" x14ac:dyDescent="0.2">
      <c r="A82" s="19" t="str">
        <f>IF(F82="","",LEFT($D$3,3)&amp;"-"&amp;TEXT(COUNTIF(F$14:F82,"?*"),"00"))</f>
        <v/>
      </c>
      <c r="B82" s="5"/>
      <c r="C82" s="6" t="str">
        <f t="shared" si="12"/>
        <v/>
      </c>
      <c r="D82" s="5"/>
      <c r="E82" s="5"/>
      <c r="F82" s="5"/>
      <c r="G82" s="5"/>
      <c r="H82" s="5"/>
      <c r="I82" s="5"/>
      <c r="J82" s="5"/>
      <c r="K82" s="15"/>
      <c r="L82" s="5"/>
      <c r="M82" s="15"/>
      <c r="N82" s="5"/>
      <c r="O82" s="15"/>
      <c r="P82" s="19" t="str">
        <f t="shared" si="13"/>
        <v/>
      </c>
      <c r="Q82" s="19" t="str">
        <f t="shared" si="14"/>
        <v/>
      </c>
      <c r="R82" s="19" t="str">
        <f t="shared" si="15"/>
        <v/>
      </c>
      <c r="S82" s="5"/>
      <c r="T82" s="5"/>
      <c r="U82" s="5"/>
      <c r="V82" s="24"/>
      <c r="W82" s="15"/>
      <c r="X82" s="15"/>
      <c r="Y82" s="15"/>
      <c r="Z82" s="19" t="str">
        <f t="shared" si="16"/>
        <v/>
      </c>
      <c r="AA82" s="19" t="str">
        <f t="shared" si="17"/>
        <v/>
      </c>
      <c r="AB82" s="5"/>
      <c r="AC82" s="5"/>
      <c r="AE82" t="str">
        <f>IFERROR(INDEX(EqTag,_xlfn.AGGREGATE(15,6,(ROW(EqTag)-4)/((EqSys=$D$3)*(EqTag&lt;&gt;"")),ROWS($AE$14:AE82))),"")</f>
        <v/>
      </c>
    </row>
    <row r="83" spans="1:31" ht="30" customHeight="1" x14ac:dyDescent="0.2">
      <c r="A83" s="19" t="str">
        <f>IF(F83="","",LEFT($D$3,3)&amp;"-"&amp;TEXT(COUNTIF(F$14:F83,"?*"),"00"))</f>
        <v/>
      </c>
      <c r="B83" s="5"/>
      <c r="C83" s="6" t="str">
        <f t="shared" si="12"/>
        <v/>
      </c>
      <c r="D83" s="5"/>
      <c r="E83" s="5"/>
      <c r="F83" s="5"/>
      <c r="G83" s="5"/>
      <c r="H83" s="5"/>
      <c r="I83" s="5"/>
      <c r="J83" s="5"/>
      <c r="K83" s="15"/>
      <c r="L83" s="5"/>
      <c r="M83" s="15"/>
      <c r="N83" s="5"/>
      <c r="O83" s="15"/>
      <c r="P83" s="19" t="str">
        <f t="shared" si="13"/>
        <v/>
      </c>
      <c r="Q83" s="19" t="str">
        <f t="shared" si="14"/>
        <v/>
      </c>
      <c r="R83" s="19" t="str">
        <f t="shared" si="15"/>
        <v/>
      </c>
      <c r="S83" s="5"/>
      <c r="T83" s="5"/>
      <c r="U83" s="5"/>
      <c r="V83" s="24"/>
      <c r="W83" s="15"/>
      <c r="X83" s="15"/>
      <c r="Y83" s="15"/>
      <c r="Z83" s="19" t="str">
        <f t="shared" si="16"/>
        <v/>
      </c>
      <c r="AA83" s="19" t="str">
        <f t="shared" si="17"/>
        <v/>
      </c>
      <c r="AB83" s="5"/>
      <c r="AC83" s="5"/>
      <c r="AE83" t="str">
        <f>IFERROR(INDEX(EqTag,_xlfn.AGGREGATE(15,6,(ROW(EqTag)-4)/((EqSys=$D$3)*(EqTag&lt;&gt;"")),ROWS($AE$14:AE83))),"")</f>
        <v/>
      </c>
    </row>
    <row r="84" spans="1:31" ht="30" customHeight="1" x14ac:dyDescent="0.2">
      <c r="A84" s="19" t="str">
        <f>IF(F84="","",LEFT($D$3,3)&amp;"-"&amp;TEXT(COUNTIF(F$14:F84,"?*"),"00"))</f>
        <v/>
      </c>
      <c r="B84" s="5"/>
      <c r="C84" s="6" t="str">
        <f t="shared" si="12"/>
        <v/>
      </c>
      <c r="D84" s="5"/>
      <c r="E84" s="5"/>
      <c r="F84" s="5"/>
      <c r="G84" s="5"/>
      <c r="H84" s="5"/>
      <c r="I84" s="5"/>
      <c r="J84" s="5"/>
      <c r="K84" s="15"/>
      <c r="L84" s="5"/>
      <c r="M84" s="15"/>
      <c r="N84" s="5"/>
      <c r="O84" s="15"/>
      <c r="P84" s="19" t="str">
        <f t="shared" si="13"/>
        <v/>
      </c>
      <c r="Q84" s="19" t="str">
        <f t="shared" si="14"/>
        <v/>
      </c>
      <c r="R84" s="19" t="str">
        <f t="shared" si="15"/>
        <v/>
      </c>
      <c r="S84" s="5"/>
      <c r="T84" s="5"/>
      <c r="U84" s="5"/>
      <c r="V84" s="24"/>
      <c r="W84" s="15"/>
      <c r="X84" s="15"/>
      <c r="Y84" s="15"/>
      <c r="Z84" s="19" t="str">
        <f t="shared" si="16"/>
        <v/>
      </c>
      <c r="AA84" s="19" t="str">
        <f t="shared" si="17"/>
        <v/>
      </c>
      <c r="AB84" s="5"/>
      <c r="AC84" s="5"/>
      <c r="AE84" t="str">
        <f>IFERROR(INDEX(EqTag,_xlfn.AGGREGATE(15,6,(ROW(EqTag)-4)/((EqSys=$D$3)*(EqTag&lt;&gt;"")),ROWS($AE$14:AE84))),"")</f>
        <v/>
      </c>
    </row>
    <row r="85" spans="1:31" ht="30" customHeight="1" x14ac:dyDescent="0.2">
      <c r="A85" s="19" t="str">
        <f>IF(F85="","",LEFT($D$3,3)&amp;"-"&amp;TEXT(COUNTIF(F$14:F85,"?*"),"00"))</f>
        <v/>
      </c>
      <c r="B85" s="5"/>
      <c r="C85" s="6" t="str">
        <f t="shared" si="12"/>
        <v/>
      </c>
      <c r="D85" s="5"/>
      <c r="E85" s="5"/>
      <c r="F85" s="5"/>
      <c r="G85" s="5"/>
      <c r="H85" s="5"/>
      <c r="I85" s="5"/>
      <c r="J85" s="5"/>
      <c r="K85" s="15"/>
      <c r="L85" s="5"/>
      <c r="M85" s="15"/>
      <c r="N85" s="5"/>
      <c r="O85" s="15"/>
      <c r="P85" s="19" t="str">
        <f t="shared" si="13"/>
        <v/>
      </c>
      <c r="Q85" s="19" t="str">
        <f t="shared" si="14"/>
        <v/>
      </c>
      <c r="R85" s="19" t="str">
        <f t="shared" si="15"/>
        <v/>
      </c>
      <c r="S85" s="5"/>
      <c r="T85" s="5"/>
      <c r="U85" s="5"/>
      <c r="V85" s="24"/>
      <c r="W85" s="15"/>
      <c r="X85" s="15"/>
      <c r="Y85" s="15"/>
      <c r="Z85" s="19" t="str">
        <f t="shared" si="16"/>
        <v/>
      </c>
      <c r="AA85" s="19" t="str">
        <f t="shared" si="17"/>
        <v/>
      </c>
      <c r="AB85" s="5"/>
      <c r="AC85" s="5"/>
      <c r="AE85" t="str">
        <f>IFERROR(INDEX(EqTag,_xlfn.AGGREGATE(15,6,(ROW(EqTag)-4)/((EqSys=$D$3)*(EqTag&lt;&gt;"")),ROWS($AE$14:AE85))),"")</f>
        <v/>
      </c>
    </row>
    <row r="86" spans="1:31" ht="30" customHeight="1" x14ac:dyDescent="0.2">
      <c r="A86" s="19" t="str">
        <f>IF(F86="","",LEFT($D$3,3)&amp;"-"&amp;TEXT(COUNTIF(F$14:F86,"?*"),"00"))</f>
        <v/>
      </c>
      <c r="B86" s="5"/>
      <c r="C86" s="6" t="str">
        <f t="shared" si="12"/>
        <v/>
      </c>
      <c r="D86" s="5"/>
      <c r="E86" s="5"/>
      <c r="F86" s="5"/>
      <c r="G86" s="5"/>
      <c r="H86" s="5"/>
      <c r="I86" s="5"/>
      <c r="J86" s="5"/>
      <c r="K86" s="15"/>
      <c r="L86" s="5"/>
      <c r="M86" s="15"/>
      <c r="N86" s="5"/>
      <c r="O86" s="15"/>
      <c r="P86" s="19" t="str">
        <f t="shared" si="13"/>
        <v/>
      </c>
      <c r="Q86" s="19" t="str">
        <f t="shared" si="14"/>
        <v/>
      </c>
      <c r="R86" s="19" t="str">
        <f t="shared" si="15"/>
        <v/>
      </c>
      <c r="S86" s="5"/>
      <c r="T86" s="5"/>
      <c r="U86" s="5"/>
      <c r="V86" s="24"/>
      <c r="W86" s="15"/>
      <c r="X86" s="15"/>
      <c r="Y86" s="15"/>
      <c r="Z86" s="19" t="str">
        <f t="shared" si="16"/>
        <v/>
      </c>
      <c r="AA86" s="19" t="str">
        <f t="shared" si="17"/>
        <v/>
      </c>
      <c r="AB86" s="5"/>
      <c r="AC86" s="5"/>
      <c r="AE86" t="str">
        <f>IFERROR(INDEX(EqTag,_xlfn.AGGREGATE(15,6,(ROW(EqTag)-4)/((EqSys=$D$3)*(EqTag&lt;&gt;"")),ROWS($AE$14:AE86))),"")</f>
        <v/>
      </c>
    </row>
    <row r="87" spans="1:31" ht="30" customHeight="1" x14ac:dyDescent="0.2">
      <c r="A87" s="19" t="str">
        <f>IF(F87="","",LEFT($D$3,3)&amp;"-"&amp;TEXT(COUNTIF(F$14:F87,"?*"),"00"))</f>
        <v/>
      </c>
      <c r="B87" s="5"/>
      <c r="C87" s="6" t="str">
        <f t="shared" si="12"/>
        <v/>
      </c>
      <c r="D87" s="5"/>
      <c r="E87" s="5"/>
      <c r="F87" s="5"/>
      <c r="G87" s="5"/>
      <c r="H87" s="5"/>
      <c r="I87" s="5"/>
      <c r="J87" s="5"/>
      <c r="K87" s="15"/>
      <c r="L87" s="5"/>
      <c r="M87" s="15"/>
      <c r="N87" s="5"/>
      <c r="O87" s="15"/>
      <c r="P87" s="19" t="str">
        <f t="shared" si="13"/>
        <v/>
      </c>
      <c r="Q87" s="19" t="str">
        <f t="shared" si="14"/>
        <v/>
      </c>
      <c r="R87" s="19" t="str">
        <f t="shared" si="15"/>
        <v/>
      </c>
      <c r="S87" s="5"/>
      <c r="T87" s="5"/>
      <c r="U87" s="5"/>
      <c r="V87" s="24"/>
      <c r="W87" s="15"/>
      <c r="X87" s="15"/>
      <c r="Y87" s="15"/>
      <c r="Z87" s="19" t="str">
        <f t="shared" si="16"/>
        <v/>
      </c>
      <c r="AA87" s="19" t="str">
        <f t="shared" si="17"/>
        <v/>
      </c>
      <c r="AB87" s="5"/>
      <c r="AC87" s="5"/>
      <c r="AE87" t="str">
        <f>IFERROR(INDEX(EqTag,_xlfn.AGGREGATE(15,6,(ROW(EqTag)-4)/((EqSys=$D$3)*(EqTag&lt;&gt;"")),ROWS($AE$14:AE87))),"")</f>
        <v/>
      </c>
    </row>
    <row r="88" spans="1:31" ht="30" customHeight="1" x14ac:dyDescent="0.2">
      <c r="A88" s="19" t="str">
        <f>IF(F88="","",LEFT($D$3,3)&amp;"-"&amp;TEXT(COUNTIF(F$14:F88,"?*"),"00"))</f>
        <v/>
      </c>
      <c r="B88" s="5"/>
      <c r="C88" s="6" t="str">
        <f t="shared" si="12"/>
        <v/>
      </c>
      <c r="D88" s="5"/>
      <c r="E88" s="5"/>
      <c r="F88" s="5"/>
      <c r="G88" s="5"/>
      <c r="H88" s="5"/>
      <c r="I88" s="5"/>
      <c r="J88" s="5"/>
      <c r="K88" s="15"/>
      <c r="L88" s="5"/>
      <c r="M88" s="15"/>
      <c r="N88" s="5"/>
      <c r="O88" s="15"/>
      <c r="P88" s="19" t="str">
        <f t="shared" si="13"/>
        <v/>
      </c>
      <c r="Q88" s="19" t="str">
        <f t="shared" si="14"/>
        <v/>
      </c>
      <c r="R88" s="19" t="str">
        <f t="shared" si="15"/>
        <v/>
      </c>
      <c r="S88" s="5"/>
      <c r="T88" s="5"/>
      <c r="U88" s="5"/>
      <c r="V88" s="24"/>
      <c r="W88" s="15"/>
      <c r="X88" s="15"/>
      <c r="Y88" s="15"/>
      <c r="Z88" s="19" t="str">
        <f t="shared" si="16"/>
        <v/>
      </c>
      <c r="AA88" s="19" t="str">
        <f t="shared" si="17"/>
        <v/>
      </c>
      <c r="AB88" s="5"/>
      <c r="AC88" s="5"/>
      <c r="AE88" t="str">
        <f>IFERROR(INDEX(EqTag,_xlfn.AGGREGATE(15,6,(ROW(EqTag)-4)/((EqSys=$D$3)*(EqTag&lt;&gt;"")),ROWS($AE$14:AE88))),"")</f>
        <v/>
      </c>
    </row>
    <row r="89" spans="1:31" ht="30" customHeight="1" x14ac:dyDescent="0.2">
      <c r="A89" s="19" t="str">
        <f>IF(F89="","",LEFT($D$3,3)&amp;"-"&amp;TEXT(COUNTIF(F$14:F89,"?*"),"00"))</f>
        <v/>
      </c>
      <c r="B89" s="5"/>
      <c r="C89" s="6" t="str">
        <f t="shared" si="12"/>
        <v/>
      </c>
      <c r="D89" s="5"/>
      <c r="E89" s="5"/>
      <c r="F89" s="5"/>
      <c r="G89" s="5"/>
      <c r="H89" s="5"/>
      <c r="I89" s="5"/>
      <c r="J89" s="5"/>
      <c r="K89" s="15"/>
      <c r="L89" s="5"/>
      <c r="M89" s="15"/>
      <c r="N89" s="5"/>
      <c r="O89" s="15"/>
      <c r="P89" s="19" t="str">
        <f t="shared" si="13"/>
        <v/>
      </c>
      <c r="Q89" s="19" t="str">
        <f t="shared" si="14"/>
        <v/>
      </c>
      <c r="R89" s="19" t="str">
        <f t="shared" si="15"/>
        <v/>
      </c>
      <c r="S89" s="5"/>
      <c r="T89" s="5"/>
      <c r="U89" s="5"/>
      <c r="V89" s="24"/>
      <c r="W89" s="15"/>
      <c r="X89" s="15"/>
      <c r="Y89" s="15"/>
      <c r="Z89" s="19" t="str">
        <f t="shared" si="16"/>
        <v/>
      </c>
      <c r="AA89" s="19" t="str">
        <f t="shared" si="17"/>
        <v/>
      </c>
      <c r="AB89" s="5"/>
      <c r="AC89" s="5"/>
      <c r="AE89" t="str">
        <f>IFERROR(INDEX(EqTag,_xlfn.AGGREGATE(15,6,(ROW(EqTag)-4)/((EqSys=$D$3)*(EqTag&lt;&gt;"")),ROWS($AE$14:AE89))),"")</f>
        <v/>
      </c>
    </row>
    <row r="90" spans="1:31" ht="30" customHeight="1" x14ac:dyDescent="0.2">
      <c r="A90" s="19" t="str">
        <f>IF(F90="","",LEFT($D$3,3)&amp;"-"&amp;TEXT(COUNTIF(F$14:F90,"?*"),"00"))</f>
        <v/>
      </c>
      <c r="B90" s="5"/>
      <c r="C90" s="6" t="str">
        <f t="shared" si="12"/>
        <v/>
      </c>
      <c r="D90" s="5"/>
      <c r="E90" s="5"/>
      <c r="F90" s="5"/>
      <c r="G90" s="5"/>
      <c r="H90" s="5"/>
      <c r="I90" s="5"/>
      <c r="J90" s="5"/>
      <c r="K90" s="15"/>
      <c r="L90" s="5"/>
      <c r="M90" s="15"/>
      <c r="N90" s="5"/>
      <c r="O90" s="15"/>
      <c r="P90" s="19" t="str">
        <f t="shared" si="13"/>
        <v/>
      </c>
      <c r="Q90" s="19" t="str">
        <f t="shared" si="14"/>
        <v/>
      </c>
      <c r="R90" s="19" t="str">
        <f t="shared" si="15"/>
        <v/>
      </c>
      <c r="S90" s="5"/>
      <c r="T90" s="5"/>
      <c r="U90" s="5"/>
      <c r="V90" s="24"/>
      <c r="W90" s="15"/>
      <c r="X90" s="15"/>
      <c r="Y90" s="15"/>
      <c r="Z90" s="19" t="str">
        <f t="shared" si="16"/>
        <v/>
      </c>
      <c r="AA90" s="19" t="str">
        <f t="shared" si="17"/>
        <v/>
      </c>
      <c r="AB90" s="5"/>
      <c r="AC90" s="5"/>
      <c r="AE90" t="str">
        <f>IFERROR(INDEX(EqTag,_xlfn.AGGREGATE(15,6,(ROW(EqTag)-4)/((EqSys=$D$3)*(EqTag&lt;&gt;"")),ROWS($AE$14:AE90))),"")</f>
        <v/>
      </c>
    </row>
    <row r="91" spans="1:31" ht="30" customHeight="1" x14ac:dyDescent="0.2">
      <c r="A91" s="19" t="str">
        <f>IF(F91="","",LEFT($D$3,3)&amp;"-"&amp;TEXT(COUNTIF(F$14:F91,"?*"),"00"))</f>
        <v/>
      </c>
      <c r="B91" s="5"/>
      <c r="C91" s="6" t="str">
        <f t="shared" si="12"/>
        <v/>
      </c>
      <c r="D91" s="5"/>
      <c r="E91" s="5"/>
      <c r="F91" s="5"/>
      <c r="G91" s="5"/>
      <c r="H91" s="5"/>
      <c r="I91" s="5"/>
      <c r="J91" s="5"/>
      <c r="K91" s="15"/>
      <c r="L91" s="5"/>
      <c r="M91" s="15"/>
      <c r="N91" s="5"/>
      <c r="O91" s="15"/>
      <c r="P91" s="19" t="str">
        <f t="shared" si="13"/>
        <v/>
      </c>
      <c r="Q91" s="19" t="str">
        <f t="shared" si="14"/>
        <v/>
      </c>
      <c r="R91" s="19" t="str">
        <f t="shared" si="15"/>
        <v/>
      </c>
      <c r="S91" s="5"/>
      <c r="T91" s="5"/>
      <c r="U91" s="5"/>
      <c r="V91" s="24"/>
      <c r="W91" s="15"/>
      <c r="X91" s="15"/>
      <c r="Y91" s="15"/>
      <c r="Z91" s="19" t="str">
        <f t="shared" si="16"/>
        <v/>
      </c>
      <c r="AA91" s="19" t="str">
        <f t="shared" si="17"/>
        <v/>
      </c>
      <c r="AB91" s="5"/>
      <c r="AC91" s="5"/>
      <c r="AE91" t="str">
        <f>IFERROR(INDEX(EqTag,_xlfn.AGGREGATE(15,6,(ROW(EqTag)-4)/((EqSys=$D$3)*(EqTag&lt;&gt;"")),ROWS($AE$14:AE91))),"")</f>
        <v/>
      </c>
    </row>
    <row r="92" spans="1:31" ht="30" customHeight="1" x14ac:dyDescent="0.2">
      <c r="A92" s="19" t="str">
        <f>IF(F92="","",LEFT($D$3,3)&amp;"-"&amp;TEXT(COUNTIF(F$14:F92,"?*"),"00"))</f>
        <v/>
      </c>
      <c r="B92" s="5"/>
      <c r="C92" s="6" t="str">
        <f t="shared" si="12"/>
        <v/>
      </c>
      <c r="D92" s="5"/>
      <c r="E92" s="5"/>
      <c r="F92" s="5"/>
      <c r="G92" s="5"/>
      <c r="H92" s="5"/>
      <c r="I92" s="5"/>
      <c r="J92" s="5"/>
      <c r="K92" s="15"/>
      <c r="L92" s="5"/>
      <c r="M92" s="15"/>
      <c r="N92" s="5"/>
      <c r="O92" s="15"/>
      <c r="P92" s="19" t="str">
        <f t="shared" si="13"/>
        <v/>
      </c>
      <c r="Q92" s="19" t="str">
        <f t="shared" si="14"/>
        <v/>
      </c>
      <c r="R92" s="19" t="str">
        <f t="shared" si="15"/>
        <v/>
      </c>
      <c r="S92" s="5"/>
      <c r="T92" s="5"/>
      <c r="U92" s="5"/>
      <c r="V92" s="24"/>
      <c r="W92" s="15"/>
      <c r="X92" s="15"/>
      <c r="Y92" s="15"/>
      <c r="Z92" s="19" t="str">
        <f t="shared" si="16"/>
        <v/>
      </c>
      <c r="AA92" s="19" t="str">
        <f t="shared" si="17"/>
        <v/>
      </c>
      <c r="AB92" s="5"/>
      <c r="AC92" s="5"/>
      <c r="AE92" t="str">
        <f>IFERROR(INDEX(EqTag,_xlfn.AGGREGATE(15,6,(ROW(EqTag)-4)/((EqSys=$D$3)*(EqTag&lt;&gt;"")),ROWS($AE$14:AE92))),"")</f>
        <v/>
      </c>
    </row>
    <row r="93" spans="1:31" ht="30" customHeight="1" x14ac:dyDescent="0.2">
      <c r="A93" s="19" t="str">
        <f>IF(F93="","",LEFT($D$3,3)&amp;"-"&amp;TEXT(COUNTIF(F$14:F93,"?*"),"00"))</f>
        <v/>
      </c>
      <c r="B93" s="5"/>
      <c r="C93" s="6" t="str">
        <f t="shared" si="12"/>
        <v/>
      </c>
      <c r="D93" s="5"/>
      <c r="E93" s="5"/>
      <c r="F93" s="5"/>
      <c r="G93" s="5"/>
      <c r="H93" s="5"/>
      <c r="I93" s="5"/>
      <c r="J93" s="5"/>
      <c r="K93" s="15"/>
      <c r="L93" s="5"/>
      <c r="M93" s="15"/>
      <c r="N93" s="5"/>
      <c r="O93" s="15"/>
      <c r="P93" s="19" t="str">
        <f t="shared" si="13"/>
        <v/>
      </c>
      <c r="Q93" s="19" t="str">
        <f t="shared" si="14"/>
        <v/>
      </c>
      <c r="R93" s="19" t="str">
        <f t="shared" si="15"/>
        <v/>
      </c>
      <c r="S93" s="5"/>
      <c r="T93" s="5"/>
      <c r="U93" s="5"/>
      <c r="V93" s="24"/>
      <c r="W93" s="15"/>
      <c r="X93" s="15"/>
      <c r="Y93" s="15"/>
      <c r="Z93" s="19" t="str">
        <f t="shared" si="16"/>
        <v/>
      </c>
      <c r="AA93" s="19" t="str">
        <f t="shared" si="17"/>
        <v/>
      </c>
      <c r="AB93" s="5"/>
      <c r="AC93" s="5"/>
      <c r="AE93" t="str">
        <f>IFERROR(INDEX(EqTag,_xlfn.AGGREGATE(15,6,(ROW(EqTag)-4)/((EqSys=$D$3)*(EqTag&lt;&gt;"")),ROWS($AE$14:AE93))),"")</f>
        <v/>
      </c>
    </row>
    <row r="94" spans="1:31" ht="30" customHeight="1" x14ac:dyDescent="0.2">
      <c r="A94" s="19" t="str">
        <f>IF(F94="","",LEFT($D$3,3)&amp;"-"&amp;TEXT(COUNTIF(F$14:F94,"?*"),"00"))</f>
        <v/>
      </c>
      <c r="B94" s="5"/>
      <c r="C94" s="6" t="str">
        <f t="shared" si="12"/>
        <v/>
      </c>
      <c r="D94" s="5"/>
      <c r="E94" s="5"/>
      <c r="F94" s="5"/>
      <c r="G94" s="5"/>
      <c r="H94" s="5"/>
      <c r="I94" s="5"/>
      <c r="J94" s="5"/>
      <c r="K94" s="15"/>
      <c r="L94" s="5"/>
      <c r="M94" s="15"/>
      <c r="N94" s="5"/>
      <c r="O94" s="15"/>
      <c r="P94" s="19" t="str">
        <f t="shared" si="13"/>
        <v/>
      </c>
      <c r="Q94" s="19" t="str">
        <f t="shared" si="14"/>
        <v/>
      </c>
      <c r="R94" s="19" t="str">
        <f t="shared" si="15"/>
        <v/>
      </c>
      <c r="S94" s="5"/>
      <c r="T94" s="5"/>
      <c r="U94" s="5"/>
      <c r="V94" s="24"/>
      <c r="W94" s="15"/>
      <c r="X94" s="15"/>
      <c r="Y94" s="15"/>
      <c r="Z94" s="19" t="str">
        <f t="shared" si="16"/>
        <v/>
      </c>
      <c r="AA94" s="19" t="str">
        <f t="shared" si="17"/>
        <v/>
      </c>
      <c r="AB94" s="5"/>
      <c r="AC94" s="5"/>
      <c r="AE94" t="str">
        <f>IFERROR(INDEX(EqTag,_xlfn.AGGREGATE(15,6,(ROW(EqTag)-4)/((EqSys=$D$3)*(EqTag&lt;&gt;"")),ROWS($AE$14:AE94))),"")</f>
        <v/>
      </c>
    </row>
    <row r="95" spans="1:31" ht="30" customHeight="1" x14ac:dyDescent="0.2">
      <c r="A95" s="19" t="str">
        <f>IF(F95="","",LEFT($D$3,3)&amp;"-"&amp;TEXT(COUNTIF(F$14:F95,"?*"),"00"))</f>
        <v/>
      </c>
      <c r="B95" s="5"/>
      <c r="C95" s="6" t="str">
        <f t="shared" si="12"/>
        <v/>
      </c>
      <c r="D95" s="5"/>
      <c r="E95" s="5"/>
      <c r="F95" s="5"/>
      <c r="G95" s="5"/>
      <c r="H95" s="5"/>
      <c r="I95" s="5"/>
      <c r="J95" s="5"/>
      <c r="K95" s="15"/>
      <c r="L95" s="5"/>
      <c r="M95" s="15"/>
      <c r="N95" s="5"/>
      <c r="O95" s="15"/>
      <c r="P95" s="19" t="str">
        <f t="shared" si="13"/>
        <v/>
      </c>
      <c r="Q95" s="19" t="str">
        <f t="shared" si="14"/>
        <v/>
      </c>
      <c r="R95" s="19" t="str">
        <f t="shared" si="15"/>
        <v/>
      </c>
      <c r="S95" s="5"/>
      <c r="T95" s="5"/>
      <c r="U95" s="5"/>
      <c r="V95" s="24"/>
      <c r="W95" s="15"/>
      <c r="X95" s="15"/>
      <c r="Y95" s="15"/>
      <c r="Z95" s="19" t="str">
        <f t="shared" si="16"/>
        <v/>
      </c>
      <c r="AA95" s="19" t="str">
        <f t="shared" si="17"/>
        <v/>
      </c>
      <c r="AB95" s="5"/>
      <c r="AC95" s="5"/>
      <c r="AE95" t="str">
        <f>IFERROR(INDEX(EqTag,_xlfn.AGGREGATE(15,6,(ROW(EqTag)-4)/((EqSys=$D$3)*(EqTag&lt;&gt;"")),ROWS($AE$14:AE95))),"")</f>
        <v/>
      </c>
    </row>
    <row r="96" spans="1:31" ht="30" customHeight="1" x14ac:dyDescent="0.2">
      <c r="A96" s="19" t="str">
        <f>IF(F96="","",LEFT($D$3,3)&amp;"-"&amp;TEXT(COUNTIF(F$14:F96,"?*"),"00"))</f>
        <v/>
      </c>
      <c r="B96" s="5"/>
      <c r="C96" s="6" t="str">
        <f t="shared" si="12"/>
        <v/>
      </c>
      <c r="D96" s="5"/>
      <c r="E96" s="5"/>
      <c r="F96" s="5"/>
      <c r="G96" s="5"/>
      <c r="H96" s="5"/>
      <c r="I96" s="5"/>
      <c r="J96" s="5"/>
      <c r="K96" s="15"/>
      <c r="L96" s="5"/>
      <c r="M96" s="15"/>
      <c r="N96" s="5"/>
      <c r="O96" s="15"/>
      <c r="P96" s="19" t="str">
        <f t="shared" si="13"/>
        <v/>
      </c>
      <c r="Q96" s="19" t="str">
        <f t="shared" si="14"/>
        <v/>
      </c>
      <c r="R96" s="19" t="str">
        <f t="shared" si="15"/>
        <v/>
      </c>
      <c r="S96" s="5"/>
      <c r="T96" s="5"/>
      <c r="U96" s="5"/>
      <c r="V96" s="24"/>
      <c r="W96" s="15"/>
      <c r="X96" s="15"/>
      <c r="Y96" s="15"/>
      <c r="Z96" s="19" t="str">
        <f t="shared" si="16"/>
        <v/>
      </c>
      <c r="AA96" s="19" t="str">
        <f t="shared" si="17"/>
        <v/>
      </c>
      <c r="AB96" s="5"/>
      <c r="AC96" s="5"/>
      <c r="AE96" t="str">
        <f>IFERROR(INDEX(EqTag,_xlfn.AGGREGATE(15,6,(ROW(EqTag)-4)/((EqSys=$D$3)*(EqTag&lt;&gt;"")),ROWS($AE$14:AE96))),"")</f>
        <v/>
      </c>
    </row>
    <row r="97" spans="1:31" ht="30" customHeight="1" x14ac:dyDescent="0.2">
      <c r="A97" s="19" t="str">
        <f>IF(F97="","",LEFT($D$3,3)&amp;"-"&amp;TEXT(COUNTIF(F$14:F97,"?*"),"00"))</f>
        <v/>
      </c>
      <c r="B97" s="5"/>
      <c r="C97" s="6" t="str">
        <f t="shared" si="12"/>
        <v/>
      </c>
      <c r="D97" s="5"/>
      <c r="E97" s="5"/>
      <c r="F97" s="5"/>
      <c r="G97" s="5"/>
      <c r="H97" s="5"/>
      <c r="I97" s="5"/>
      <c r="J97" s="5"/>
      <c r="K97" s="15"/>
      <c r="L97" s="5"/>
      <c r="M97" s="15"/>
      <c r="N97" s="5"/>
      <c r="O97" s="15"/>
      <c r="P97" s="19" t="str">
        <f t="shared" si="13"/>
        <v/>
      </c>
      <c r="Q97" s="19" t="str">
        <f t="shared" si="14"/>
        <v/>
      </c>
      <c r="R97" s="19" t="str">
        <f t="shared" si="15"/>
        <v/>
      </c>
      <c r="S97" s="5"/>
      <c r="T97" s="5"/>
      <c r="U97" s="5"/>
      <c r="V97" s="24"/>
      <c r="W97" s="15"/>
      <c r="X97" s="15"/>
      <c r="Y97" s="15"/>
      <c r="Z97" s="19" t="str">
        <f t="shared" si="16"/>
        <v/>
      </c>
      <c r="AA97" s="19" t="str">
        <f t="shared" si="17"/>
        <v/>
      </c>
      <c r="AB97" s="5"/>
      <c r="AC97" s="5"/>
      <c r="AE97" t="str">
        <f>IFERROR(INDEX(EqTag,_xlfn.AGGREGATE(15,6,(ROW(EqTag)-4)/((EqSys=$D$3)*(EqTag&lt;&gt;"")),ROWS($AE$14:AE97))),"")</f>
        <v/>
      </c>
    </row>
    <row r="98" spans="1:31" ht="30" customHeight="1" x14ac:dyDescent="0.2">
      <c r="A98" s="19" t="str">
        <f>IF(F98="","",LEFT($D$3,3)&amp;"-"&amp;TEXT(COUNTIF(F$14:F98,"?*"),"00"))</f>
        <v/>
      </c>
      <c r="B98" s="5"/>
      <c r="C98" s="6" t="str">
        <f t="shared" si="12"/>
        <v/>
      </c>
      <c r="D98" s="5"/>
      <c r="E98" s="5"/>
      <c r="F98" s="5"/>
      <c r="G98" s="5"/>
      <c r="H98" s="5"/>
      <c r="I98" s="5"/>
      <c r="J98" s="5"/>
      <c r="K98" s="15"/>
      <c r="L98" s="5"/>
      <c r="M98" s="15"/>
      <c r="N98" s="5"/>
      <c r="O98" s="15"/>
      <c r="P98" s="19" t="str">
        <f t="shared" si="13"/>
        <v/>
      </c>
      <c r="Q98" s="19" t="str">
        <f t="shared" si="14"/>
        <v/>
      </c>
      <c r="R98" s="19" t="str">
        <f t="shared" si="15"/>
        <v/>
      </c>
      <c r="S98" s="5"/>
      <c r="T98" s="5"/>
      <c r="U98" s="5"/>
      <c r="V98" s="24"/>
      <c r="W98" s="15"/>
      <c r="X98" s="15"/>
      <c r="Y98" s="15"/>
      <c r="Z98" s="19" t="str">
        <f t="shared" si="16"/>
        <v/>
      </c>
      <c r="AA98" s="19" t="str">
        <f t="shared" si="17"/>
        <v/>
      </c>
      <c r="AB98" s="5"/>
      <c r="AC98" s="5"/>
      <c r="AE98" t="str">
        <f>IFERROR(INDEX(EqTag,_xlfn.AGGREGATE(15,6,(ROW(EqTag)-4)/((EqSys=$D$3)*(EqTag&lt;&gt;"")),ROWS($AE$14:AE98))),"")</f>
        <v/>
      </c>
    </row>
    <row r="99" spans="1:31" ht="30" customHeight="1" x14ac:dyDescent="0.2">
      <c r="A99" s="19" t="str">
        <f>IF(F99="","",LEFT($D$3,3)&amp;"-"&amp;TEXT(COUNTIF(F$14:F99,"?*"),"00"))</f>
        <v/>
      </c>
      <c r="B99" s="5"/>
      <c r="C99" s="6" t="str">
        <f t="shared" si="12"/>
        <v/>
      </c>
      <c r="D99" s="5"/>
      <c r="E99" s="5"/>
      <c r="F99" s="5"/>
      <c r="G99" s="5"/>
      <c r="H99" s="5"/>
      <c r="I99" s="5"/>
      <c r="J99" s="5"/>
      <c r="K99" s="15"/>
      <c r="L99" s="5"/>
      <c r="M99" s="15"/>
      <c r="N99" s="5"/>
      <c r="O99" s="15"/>
      <c r="P99" s="19" t="str">
        <f t="shared" si="13"/>
        <v/>
      </c>
      <c r="Q99" s="19" t="str">
        <f t="shared" si="14"/>
        <v/>
      </c>
      <c r="R99" s="19" t="str">
        <f t="shared" si="15"/>
        <v/>
      </c>
      <c r="S99" s="5"/>
      <c r="T99" s="5"/>
      <c r="U99" s="5"/>
      <c r="V99" s="24"/>
      <c r="W99" s="15"/>
      <c r="X99" s="15"/>
      <c r="Y99" s="15"/>
      <c r="Z99" s="19" t="str">
        <f t="shared" si="16"/>
        <v/>
      </c>
      <c r="AA99" s="19" t="str">
        <f t="shared" si="17"/>
        <v/>
      </c>
      <c r="AB99" s="5"/>
      <c r="AC99" s="5"/>
      <c r="AE99" t="str">
        <f>IFERROR(INDEX(EqTag,_xlfn.AGGREGATE(15,6,(ROW(EqTag)-4)/((EqSys=$D$3)*(EqTag&lt;&gt;"")),ROWS($AE$14:AE99))),"")</f>
        <v/>
      </c>
    </row>
    <row r="100" spans="1:31" ht="30" customHeight="1" x14ac:dyDescent="0.2">
      <c r="A100" s="19" t="str">
        <f>IF(F100="","",LEFT($D$3,3)&amp;"-"&amp;TEXT(COUNTIF(F$14:F100,"?*"),"00"))</f>
        <v/>
      </c>
      <c r="B100" s="5"/>
      <c r="C100" s="6" t="str">
        <f t="shared" si="12"/>
        <v/>
      </c>
      <c r="D100" s="5"/>
      <c r="E100" s="5"/>
      <c r="F100" s="5"/>
      <c r="G100" s="5"/>
      <c r="H100" s="5"/>
      <c r="I100" s="5"/>
      <c r="J100" s="5"/>
      <c r="K100" s="15"/>
      <c r="L100" s="5"/>
      <c r="M100" s="15"/>
      <c r="N100" s="5"/>
      <c r="O100" s="15"/>
      <c r="P100" s="19" t="str">
        <f t="shared" si="13"/>
        <v/>
      </c>
      <c r="Q100" s="19" t="str">
        <f t="shared" si="14"/>
        <v/>
      </c>
      <c r="R100" s="19" t="str">
        <f t="shared" si="15"/>
        <v/>
      </c>
      <c r="S100" s="5"/>
      <c r="T100" s="5"/>
      <c r="U100" s="5"/>
      <c r="V100" s="24"/>
      <c r="W100" s="15"/>
      <c r="X100" s="15"/>
      <c r="Y100" s="15"/>
      <c r="Z100" s="19" t="str">
        <f t="shared" si="16"/>
        <v/>
      </c>
      <c r="AA100" s="19" t="str">
        <f t="shared" si="17"/>
        <v/>
      </c>
      <c r="AB100" s="5"/>
      <c r="AC100" s="5"/>
      <c r="AE100" t="str">
        <f>IFERROR(INDEX(EqTag,_xlfn.AGGREGATE(15,6,(ROW(EqTag)-4)/((EqSys=$D$3)*(EqTag&lt;&gt;"")),ROWS($AE$14:AE100))),"")</f>
        <v/>
      </c>
    </row>
    <row r="101" spans="1:31" ht="30" customHeight="1" x14ac:dyDescent="0.2">
      <c r="A101" s="19" t="str">
        <f>IF(F101="","",LEFT($D$3,3)&amp;"-"&amp;TEXT(COUNTIF(F$14:F101,"?*"),"00"))</f>
        <v/>
      </c>
      <c r="B101" s="5"/>
      <c r="C101" s="6" t="str">
        <f t="shared" si="12"/>
        <v/>
      </c>
      <c r="D101" s="5"/>
      <c r="E101" s="5"/>
      <c r="F101" s="5"/>
      <c r="G101" s="5"/>
      <c r="H101" s="5"/>
      <c r="I101" s="5"/>
      <c r="J101" s="5"/>
      <c r="K101" s="15"/>
      <c r="L101" s="5"/>
      <c r="M101" s="15"/>
      <c r="N101" s="5"/>
      <c r="O101" s="15"/>
      <c r="P101" s="19" t="str">
        <f t="shared" si="13"/>
        <v/>
      </c>
      <c r="Q101" s="19" t="str">
        <f t="shared" si="14"/>
        <v/>
      </c>
      <c r="R101" s="19" t="str">
        <f t="shared" si="15"/>
        <v/>
      </c>
      <c r="S101" s="5"/>
      <c r="T101" s="5"/>
      <c r="U101" s="5"/>
      <c r="V101" s="24"/>
      <c r="W101" s="15"/>
      <c r="X101" s="15"/>
      <c r="Y101" s="15"/>
      <c r="Z101" s="19" t="str">
        <f t="shared" si="16"/>
        <v/>
      </c>
      <c r="AA101" s="19" t="str">
        <f t="shared" si="17"/>
        <v/>
      </c>
      <c r="AB101" s="5"/>
      <c r="AC101" s="5"/>
      <c r="AE101" t="str">
        <f>IFERROR(INDEX(EqTag,_xlfn.AGGREGATE(15,6,(ROW(EqTag)-4)/((EqSys=$D$3)*(EqTag&lt;&gt;"")),ROWS($AE$14:AE101))),"")</f>
        <v/>
      </c>
    </row>
    <row r="102" spans="1:31" ht="30" customHeight="1" x14ac:dyDescent="0.2">
      <c r="A102" s="19" t="str">
        <f>IF(F102="","",LEFT($D$3,3)&amp;"-"&amp;TEXT(COUNTIF(F$14:F102,"?*"),"00"))</f>
        <v/>
      </c>
      <c r="B102" s="5"/>
      <c r="C102" s="6" t="str">
        <f t="shared" si="12"/>
        <v/>
      </c>
      <c r="D102" s="5"/>
      <c r="E102" s="5"/>
      <c r="F102" s="5"/>
      <c r="G102" s="5"/>
      <c r="H102" s="5"/>
      <c r="I102" s="5"/>
      <c r="J102" s="5"/>
      <c r="K102" s="15"/>
      <c r="L102" s="5"/>
      <c r="M102" s="15"/>
      <c r="N102" s="5"/>
      <c r="O102" s="15"/>
      <c r="P102" s="19" t="str">
        <f t="shared" si="13"/>
        <v/>
      </c>
      <c r="Q102" s="19" t="str">
        <f t="shared" si="14"/>
        <v/>
      </c>
      <c r="R102" s="19" t="str">
        <f t="shared" si="15"/>
        <v/>
      </c>
      <c r="S102" s="5"/>
      <c r="T102" s="5"/>
      <c r="U102" s="5"/>
      <c r="V102" s="24"/>
      <c r="W102" s="15"/>
      <c r="X102" s="15"/>
      <c r="Y102" s="15"/>
      <c r="Z102" s="19" t="str">
        <f t="shared" si="16"/>
        <v/>
      </c>
      <c r="AA102" s="19" t="str">
        <f t="shared" si="17"/>
        <v/>
      </c>
      <c r="AB102" s="5"/>
      <c r="AC102" s="5"/>
      <c r="AE102" t="str">
        <f>IFERROR(INDEX(EqTag,_xlfn.AGGREGATE(15,6,(ROW(EqTag)-4)/((EqSys=$D$3)*(EqTag&lt;&gt;"")),ROWS($AE$14:AE102))),"")</f>
        <v/>
      </c>
    </row>
    <row r="103" spans="1:31" ht="30" customHeight="1" x14ac:dyDescent="0.2">
      <c r="A103" s="19" t="str">
        <f>IF(F103="","",LEFT($D$3,3)&amp;"-"&amp;TEXT(COUNTIF(F$14:F103,"?*"),"00"))</f>
        <v/>
      </c>
      <c r="B103" s="5"/>
      <c r="C103" s="6" t="str">
        <f t="shared" si="12"/>
        <v/>
      </c>
      <c r="D103" s="5"/>
      <c r="E103" s="5"/>
      <c r="F103" s="5"/>
      <c r="G103" s="5"/>
      <c r="H103" s="5"/>
      <c r="I103" s="5"/>
      <c r="J103" s="5"/>
      <c r="K103" s="15"/>
      <c r="L103" s="5"/>
      <c r="M103" s="15"/>
      <c r="N103" s="5"/>
      <c r="O103" s="15"/>
      <c r="P103" s="19" t="str">
        <f t="shared" si="13"/>
        <v/>
      </c>
      <c r="Q103" s="19" t="str">
        <f t="shared" si="14"/>
        <v/>
      </c>
      <c r="R103" s="19" t="str">
        <f t="shared" si="15"/>
        <v/>
      </c>
      <c r="S103" s="5"/>
      <c r="T103" s="5"/>
      <c r="U103" s="5"/>
      <c r="V103" s="24"/>
      <c r="W103" s="15"/>
      <c r="X103" s="15"/>
      <c r="Y103" s="15"/>
      <c r="Z103" s="19" t="str">
        <f t="shared" si="16"/>
        <v/>
      </c>
      <c r="AA103" s="19" t="str">
        <f t="shared" si="17"/>
        <v/>
      </c>
      <c r="AB103" s="5"/>
      <c r="AC103" s="5"/>
      <c r="AE103" t="str">
        <f>IFERROR(INDEX(EqTag,_xlfn.AGGREGATE(15,6,(ROW(EqTag)-4)/((EqSys=$D$3)*(EqTag&lt;&gt;"")),ROWS($AE$14:AE103))),"")</f>
        <v/>
      </c>
    </row>
    <row r="104" spans="1:31" ht="30" customHeight="1" x14ac:dyDescent="0.2">
      <c r="A104" s="19" t="str">
        <f>IF(F104="","",LEFT($D$3,3)&amp;"-"&amp;TEXT(COUNTIF(F$14:F104,"?*"),"00"))</f>
        <v/>
      </c>
      <c r="B104" s="5"/>
      <c r="C104" s="6" t="str">
        <f t="shared" si="12"/>
        <v/>
      </c>
      <c r="D104" s="5"/>
      <c r="E104" s="5"/>
      <c r="F104" s="5"/>
      <c r="G104" s="5"/>
      <c r="H104" s="5"/>
      <c r="I104" s="5"/>
      <c r="J104" s="5"/>
      <c r="K104" s="15"/>
      <c r="L104" s="5"/>
      <c r="M104" s="15"/>
      <c r="N104" s="5"/>
      <c r="O104" s="15"/>
      <c r="P104" s="19" t="str">
        <f t="shared" si="13"/>
        <v/>
      </c>
      <c r="Q104" s="19" t="str">
        <f t="shared" si="14"/>
        <v/>
      </c>
      <c r="R104" s="19" t="str">
        <f t="shared" si="15"/>
        <v/>
      </c>
      <c r="S104" s="5"/>
      <c r="T104" s="5"/>
      <c r="U104" s="5"/>
      <c r="V104" s="24"/>
      <c r="W104" s="15"/>
      <c r="X104" s="15"/>
      <c r="Y104" s="15"/>
      <c r="Z104" s="19" t="str">
        <f t="shared" si="16"/>
        <v/>
      </c>
      <c r="AA104" s="19" t="str">
        <f t="shared" si="17"/>
        <v/>
      </c>
      <c r="AB104" s="5"/>
      <c r="AC104" s="5"/>
      <c r="AE104" t="str">
        <f>IFERROR(INDEX(EqTag,_xlfn.AGGREGATE(15,6,(ROW(EqTag)-4)/((EqSys=$D$3)*(EqTag&lt;&gt;"")),ROWS($AE$14:AE104))),"")</f>
        <v/>
      </c>
    </row>
    <row r="105" spans="1:31" ht="30" customHeight="1" x14ac:dyDescent="0.2">
      <c r="A105" s="19" t="str">
        <f>IF(F105="","",LEFT($D$3,3)&amp;"-"&amp;TEXT(COUNTIF(F$14:F105,"?*"),"00"))</f>
        <v/>
      </c>
      <c r="B105" s="5"/>
      <c r="C105" s="6" t="str">
        <f t="shared" si="12"/>
        <v/>
      </c>
      <c r="D105" s="5"/>
      <c r="E105" s="5"/>
      <c r="F105" s="5"/>
      <c r="G105" s="5"/>
      <c r="H105" s="5"/>
      <c r="I105" s="5"/>
      <c r="J105" s="5"/>
      <c r="K105" s="15"/>
      <c r="L105" s="5"/>
      <c r="M105" s="15"/>
      <c r="N105" s="5"/>
      <c r="O105" s="15"/>
      <c r="P105" s="19" t="str">
        <f t="shared" si="13"/>
        <v/>
      </c>
      <c r="Q105" s="19" t="str">
        <f t="shared" si="14"/>
        <v/>
      </c>
      <c r="R105" s="19" t="str">
        <f t="shared" si="15"/>
        <v/>
      </c>
      <c r="S105" s="5"/>
      <c r="T105" s="5"/>
      <c r="U105" s="5"/>
      <c r="V105" s="24"/>
      <c r="W105" s="15"/>
      <c r="X105" s="15"/>
      <c r="Y105" s="15"/>
      <c r="Z105" s="19" t="str">
        <f t="shared" si="16"/>
        <v/>
      </c>
      <c r="AA105" s="19" t="str">
        <f t="shared" si="17"/>
        <v/>
      </c>
      <c r="AB105" s="5"/>
      <c r="AC105" s="5"/>
      <c r="AE105" t="str">
        <f>IFERROR(INDEX(EqTag,_xlfn.AGGREGATE(15,6,(ROW(EqTag)-4)/((EqSys=$D$3)*(EqTag&lt;&gt;"")),ROWS($AE$14:AE105))),"")</f>
        <v/>
      </c>
    </row>
    <row r="106" spans="1:31" ht="30" customHeight="1" x14ac:dyDescent="0.2">
      <c r="A106" s="19" t="str">
        <f>IF(F106="","",LEFT($D$3,3)&amp;"-"&amp;TEXT(COUNTIF(F$14:F106,"?*"),"00"))</f>
        <v/>
      </c>
      <c r="B106" s="5"/>
      <c r="C106" s="6" t="str">
        <f t="shared" si="12"/>
        <v/>
      </c>
      <c r="D106" s="5"/>
      <c r="E106" s="5"/>
      <c r="F106" s="5"/>
      <c r="G106" s="5"/>
      <c r="H106" s="5"/>
      <c r="I106" s="5"/>
      <c r="J106" s="5"/>
      <c r="K106" s="15"/>
      <c r="L106" s="5"/>
      <c r="M106" s="15"/>
      <c r="N106" s="5"/>
      <c r="O106" s="15"/>
      <c r="P106" s="19" t="str">
        <f t="shared" si="13"/>
        <v/>
      </c>
      <c r="Q106" s="19" t="str">
        <f t="shared" si="14"/>
        <v/>
      </c>
      <c r="R106" s="19" t="str">
        <f t="shared" si="15"/>
        <v/>
      </c>
      <c r="S106" s="5"/>
      <c r="T106" s="5"/>
      <c r="U106" s="5"/>
      <c r="V106" s="24"/>
      <c r="W106" s="15"/>
      <c r="X106" s="15"/>
      <c r="Y106" s="15"/>
      <c r="Z106" s="19" t="str">
        <f t="shared" si="16"/>
        <v/>
      </c>
      <c r="AA106" s="19" t="str">
        <f t="shared" si="17"/>
        <v/>
      </c>
      <c r="AB106" s="5"/>
      <c r="AC106" s="5"/>
      <c r="AE106" t="str">
        <f>IFERROR(INDEX(EqTag,_xlfn.AGGREGATE(15,6,(ROW(EqTag)-4)/((EqSys=$D$3)*(EqTag&lt;&gt;"")),ROWS($AE$14:AE106))),"")</f>
        <v/>
      </c>
    </row>
    <row r="107" spans="1:31" ht="30" customHeight="1" x14ac:dyDescent="0.2">
      <c r="A107" s="19" t="str">
        <f>IF(F107="","",LEFT($D$3,3)&amp;"-"&amp;TEXT(COUNTIF(F$14:F107,"?*"),"00"))</f>
        <v/>
      </c>
      <c r="B107" s="5"/>
      <c r="C107" s="6" t="str">
        <f t="shared" si="12"/>
        <v/>
      </c>
      <c r="D107" s="5"/>
      <c r="E107" s="5"/>
      <c r="F107" s="5"/>
      <c r="G107" s="5"/>
      <c r="H107" s="5"/>
      <c r="I107" s="5"/>
      <c r="J107" s="5"/>
      <c r="K107" s="15"/>
      <c r="L107" s="5"/>
      <c r="M107" s="15"/>
      <c r="N107" s="5"/>
      <c r="O107" s="15"/>
      <c r="P107" s="19" t="str">
        <f t="shared" si="13"/>
        <v/>
      </c>
      <c r="Q107" s="19" t="str">
        <f t="shared" si="14"/>
        <v/>
      </c>
      <c r="R107" s="19" t="str">
        <f t="shared" si="15"/>
        <v/>
      </c>
      <c r="S107" s="5"/>
      <c r="T107" s="5"/>
      <c r="U107" s="5"/>
      <c r="V107" s="24"/>
      <c r="W107" s="15"/>
      <c r="X107" s="15"/>
      <c r="Y107" s="15"/>
      <c r="Z107" s="19" t="str">
        <f t="shared" si="16"/>
        <v/>
      </c>
      <c r="AA107" s="19" t="str">
        <f t="shared" si="17"/>
        <v/>
      </c>
      <c r="AB107" s="5"/>
      <c r="AC107" s="5"/>
      <c r="AE107" t="str">
        <f>IFERROR(INDEX(EqTag,_xlfn.AGGREGATE(15,6,(ROW(EqTag)-4)/((EqSys=$D$3)*(EqTag&lt;&gt;"")),ROWS($AE$14:AE107))),"")</f>
        <v/>
      </c>
    </row>
    <row r="108" spans="1:31" ht="30" customHeight="1" x14ac:dyDescent="0.2">
      <c r="A108" s="19" t="str">
        <f>IF(F108="","",LEFT($D$3,3)&amp;"-"&amp;TEXT(COUNTIF(F$14:F108,"?*"),"00"))</f>
        <v/>
      </c>
      <c r="B108" s="5"/>
      <c r="C108" s="6" t="str">
        <f t="shared" si="12"/>
        <v/>
      </c>
      <c r="D108" s="5"/>
      <c r="E108" s="5"/>
      <c r="F108" s="5"/>
      <c r="G108" s="5"/>
      <c r="H108" s="5"/>
      <c r="I108" s="5"/>
      <c r="J108" s="5"/>
      <c r="K108" s="15"/>
      <c r="L108" s="5"/>
      <c r="M108" s="15"/>
      <c r="N108" s="5"/>
      <c r="O108" s="15"/>
      <c r="P108" s="19" t="str">
        <f t="shared" si="13"/>
        <v/>
      </c>
      <c r="Q108" s="19" t="str">
        <f t="shared" si="14"/>
        <v/>
      </c>
      <c r="R108" s="19" t="str">
        <f t="shared" si="15"/>
        <v/>
      </c>
      <c r="S108" s="5"/>
      <c r="T108" s="5"/>
      <c r="U108" s="5"/>
      <c r="V108" s="24"/>
      <c r="W108" s="15"/>
      <c r="X108" s="15"/>
      <c r="Y108" s="15"/>
      <c r="Z108" s="19" t="str">
        <f t="shared" si="16"/>
        <v/>
      </c>
      <c r="AA108" s="19" t="str">
        <f t="shared" si="17"/>
        <v/>
      </c>
      <c r="AB108" s="5"/>
      <c r="AC108" s="5"/>
      <c r="AE108" t="str">
        <f>IFERROR(INDEX(EqTag,_xlfn.AGGREGATE(15,6,(ROW(EqTag)-4)/((EqSys=$D$3)*(EqTag&lt;&gt;"")),ROWS($AE$14:AE108))),"")</f>
        <v/>
      </c>
    </row>
    <row r="109" spans="1:31" ht="30" customHeight="1" x14ac:dyDescent="0.2">
      <c r="A109" s="19" t="str">
        <f>IF(F109="","",LEFT($D$3,3)&amp;"-"&amp;TEXT(COUNTIF(F$14:F109,"?*"),"00"))</f>
        <v/>
      </c>
      <c r="B109" s="5"/>
      <c r="C109" s="6" t="str">
        <f t="shared" si="12"/>
        <v/>
      </c>
      <c r="D109" s="5"/>
      <c r="E109" s="5"/>
      <c r="F109" s="5"/>
      <c r="G109" s="5"/>
      <c r="H109" s="5"/>
      <c r="I109" s="5"/>
      <c r="J109" s="5"/>
      <c r="K109" s="15"/>
      <c r="L109" s="5"/>
      <c r="M109" s="15"/>
      <c r="N109" s="5"/>
      <c r="O109" s="15"/>
      <c r="P109" s="19" t="str">
        <f t="shared" si="13"/>
        <v/>
      </c>
      <c r="Q109" s="19" t="str">
        <f t="shared" si="14"/>
        <v/>
      </c>
      <c r="R109" s="19" t="str">
        <f t="shared" si="15"/>
        <v/>
      </c>
      <c r="S109" s="5"/>
      <c r="T109" s="5"/>
      <c r="U109" s="5"/>
      <c r="V109" s="24"/>
      <c r="W109" s="15"/>
      <c r="X109" s="15"/>
      <c r="Y109" s="15"/>
      <c r="Z109" s="19" t="str">
        <f t="shared" si="16"/>
        <v/>
      </c>
      <c r="AA109" s="19" t="str">
        <f t="shared" si="17"/>
        <v/>
      </c>
      <c r="AB109" s="5"/>
      <c r="AC109" s="5"/>
      <c r="AE109" t="str">
        <f>IFERROR(INDEX(EqTag,_xlfn.AGGREGATE(15,6,(ROW(EqTag)-4)/((EqSys=$D$3)*(EqTag&lt;&gt;"")),ROWS($AE$14:AE109))),"")</f>
        <v/>
      </c>
    </row>
    <row r="110" spans="1:31" ht="30" customHeight="1" x14ac:dyDescent="0.2">
      <c r="A110" s="19" t="str">
        <f>IF(F110="","",LEFT($D$3,3)&amp;"-"&amp;TEXT(COUNTIF(F$14:F110,"?*"),"00"))</f>
        <v/>
      </c>
      <c r="B110" s="5"/>
      <c r="C110" s="6" t="str">
        <f t="shared" ref="C110:C141" si="18">IF(B110="","",IFERROR(INDEX(EqTypeCol,MATCH(B110,EqTag,0)),"Tag not in register"))</f>
        <v/>
      </c>
      <c r="D110" s="5"/>
      <c r="E110" s="5"/>
      <c r="F110" s="5"/>
      <c r="G110" s="5"/>
      <c r="H110" s="5"/>
      <c r="I110" s="5"/>
      <c r="J110" s="5"/>
      <c r="K110" s="15"/>
      <c r="L110" s="5"/>
      <c r="M110" s="15"/>
      <c r="N110" s="5"/>
      <c r="O110" s="15"/>
      <c r="P110" s="19" t="str">
        <f t="shared" ref="P110:P141" si="19">IF(OR(K110="",M110="",O110=""),"",(--TRIM(LEFT(K110,2)))*(--TRIM(LEFT(M110,2)))*(--TRIM(LEFT(O110,2))))</f>
        <v/>
      </c>
      <c r="Q110" s="19" t="str">
        <f t="shared" ref="Q110:Q141" si="20">IF(OR(K110="",M110="",O110=""),"",INDEX(APGrid,COUNTIF(APS,"&gt;"&amp;(--TRIM(LEFT(K110,2))))*5+COUNTIF(APO,"&gt;"&amp;(--TRIM(LEFT(M110,2))))+1,COUNTIF(APD,"&gt;"&amp;(--TRIM(LEFT(O110,2))))+1))</f>
        <v/>
      </c>
      <c r="R110" s="19" t="str">
        <f t="shared" ref="R110:R141" si="21">IF(P110="","",IF(OR((--TRIM(LEFT(K110,2)))&gt;=SThr,P110&gt;=RPNThr,Q110="H"),"Yes","No"))</f>
        <v/>
      </c>
      <c r="S110" s="5"/>
      <c r="T110" s="5"/>
      <c r="U110" s="5"/>
      <c r="V110" s="24"/>
      <c r="W110" s="15"/>
      <c r="X110" s="15"/>
      <c r="Y110" s="15"/>
      <c r="Z110" s="19" t="str">
        <f t="shared" ref="Z110:Z141" si="22">IF(OR(W110="",X110="",Y110=""),"",(--TRIM(LEFT(W110,2)))*(--TRIM(LEFT(X110,2)))*(--TRIM(LEFT(Y110,2))))</f>
        <v/>
      </c>
      <c r="AA110" s="19" t="str">
        <f t="shared" ref="AA110:AA141" si="23">IF(OR(W110="",X110="",Y110=""),"",INDEX(APGrid,COUNTIF(APS,"&gt;"&amp;(--TRIM(LEFT(W110,2))))*5+COUNTIF(APO,"&gt;"&amp;(--TRIM(LEFT(X110,2))))+1,COUNTIF(APD,"&gt;"&amp;(--TRIM(LEFT(Y110,2))))+1))</f>
        <v/>
      </c>
      <c r="AB110" s="5"/>
      <c r="AC110" s="5"/>
      <c r="AE110" t="str">
        <f>IFERROR(INDEX(EqTag,_xlfn.AGGREGATE(15,6,(ROW(EqTag)-4)/((EqSys=$D$3)*(EqTag&lt;&gt;"")),ROWS($AE$14:AE110))),"")</f>
        <v/>
      </c>
    </row>
    <row r="111" spans="1:31" ht="30" customHeight="1" x14ac:dyDescent="0.2">
      <c r="A111" s="19" t="str">
        <f>IF(F111="","",LEFT($D$3,3)&amp;"-"&amp;TEXT(COUNTIF(F$14:F111,"?*"),"00"))</f>
        <v/>
      </c>
      <c r="B111" s="5"/>
      <c r="C111" s="6" t="str">
        <f t="shared" si="18"/>
        <v/>
      </c>
      <c r="D111" s="5"/>
      <c r="E111" s="5"/>
      <c r="F111" s="5"/>
      <c r="G111" s="5"/>
      <c r="H111" s="5"/>
      <c r="I111" s="5"/>
      <c r="J111" s="5"/>
      <c r="K111" s="15"/>
      <c r="L111" s="5"/>
      <c r="M111" s="15"/>
      <c r="N111" s="5"/>
      <c r="O111" s="15"/>
      <c r="P111" s="19" t="str">
        <f t="shared" si="19"/>
        <v/>
      </c>
      <c r="Q111" s="19" t="str">
        <f t="shared" si="20"/>
        <v/>
      </c>
      <c r="R111" s="19" t="str">
        <f t="shared" si="21"/>
        <v/>
      </c>
      <c r="S111" s="5"/>
      <c r="T111" s="5"/>
      <c r="U111" s="5"/>
      <c r="V111" s="24"/>
      <c r="W111" s="15"/>
      <c r="X111" s="15"/>
      <c r="Y111" s="15"/>
      <c r="Z111" s="19" t="str">
        <f t="shared" si="22"/>
        <v/>
      </c>
      <c r="AA111" s="19" t="str">
        <f t="shared" si="23"/>
        <v/>
      </c>
      <c r="AB111" s="5"/>
      <c r="AC111" s="5"/>
      <c r="AE111" t="str">
        <f>IFERROR(INDEX(EqTag,_xlfn.AGGREGATE(15,6,(ROW(EqTag)-4)/((EqSys=$D$3)*(EqTag&lt;&gt;"")),ROWS($AE$14:AE111))),"")</f>
        <v/>
      </c>
    </row>
    <row r="112" spans="1:31" ht="30" customHeight="1" x14ac:dyDescent="0.2">
      <c r="A112" s="19" t="str">
        <f>IF(F112="","",LEFT($D$3,3)&amp;"-"&amp;TEXT(COUNTIF(F$14:F112,"?*"),"00"))</f>
        <v/>
      </c>
      <c r="B112" s="5"/>
      <c r="C112" s="6" t="str">
        <f t="shared" si="18"/>
        <v/>
      </c>
      <c r="D112" s="5"/>
      <c r="E112" s="5"/>
      <c r="F112" s="5"/>
      <c r="G112" s="5"/>
      <c r="H112" s="5"/>
      <c r="I112" s="5"/>
      <c r="J112" s="5"/>
      <c r="K112" s="15"/>
      <c r="L112" s="5"/>
      <c r="M112" s="15"/>
      <c r="N112" s="5"/>
      <c r="O112" s="15"/>
      <c r="P112" s="19" t="str">
        <f t="shared" si="19"/>
        <v/>
      </c>
      <c r="Q112" s="19" t="str">
        <f t="shared" si="20"/>
        <v/>
      </c>
      <c r="R112" s="19" t="str">
        <f t="shared" si="21"/>
        <v/>
      </c>
      <c r="S112" s="5"/>
      <c r="T112" s="5"/>
      <c r="U112" s="5"/>
      <c r="V112" s="24"/>
      <c r="W112" s="15"/>
      <c r="X112" s="15"/>
      <c r="Y112" s="15"/>
      <c r="Z112" s="19" t="str">
        <f t="shared" si="22"/>
        <v/>
      </c>
      <c r="AA112" s="19" t="str">
        <f t="shared" si="23"/>
        <v/>
      </c>
      <c r="AB112" s="5"/>
      <c r="AC112" s="5"/>
      <c r="AE112" t="str">
        <f>IFERROR(INDEX(EqTag,_xlfn.AGGREGATE(15,6,(ROW(EqTag)-4)/((EqSys=$D$3)*(EqTag&lt;&gt;"")),ROWS($AE$14:AE112))),"")</f>
        <v/>
      </c>
    </row>
    <row r="113" spans="1:31" ht="30" customHeight="1" x14ac:dyDescent="0.2">
      <c r="A113" s="19" t="str">
        <f>IF(F113="","",LEFT($D$3,3)&amp;"-"&amp;TEXT(COUNTIF(F$14:F113,"?*"),"00"))</f>
        <v/>
      </c>
      <c r="B113" s="5"/>
      <c r="C113" s="6" t="str">
        <f t="shared" si="18"/>
        <v/>
      </c>
      <c r="D113" s="5"/>
      <c r="E113" s="5"/>
      <c r="F113" s="5"/>
      <c r="G113" s="5"/>
      <c r="H113" s="5"/>
      <c r="I113" s="5"/>
      <c r="J113" s="5"/>
      <c r="K113" s="15"/>
      <c r="L113" s="5"/>
      <c r="M113" s="15"/>
      <c r="N113" s="5"/>
      <c r="O113" s="15"/>
      <c r="P113" s="19" t="str">
        <f t="shared" si="19"/>
        <v/>
      </c>
      <c r="Q113" s="19" t="str">
        <f t="shared" si="20"/>
        <v/>
      </c>
      <c r="R113" s="19" t="str">
        <f t="shared" si="21"/>
        <v/>
      </c>
      <c r="S113" s="5"/>
      <c r="T113" s="5"/>
      <c r="U113" s="5"/>
      <c r="V113" s="24"/>
      <c r="W113" s="15"/>
      <c r="X113" s="15"/>
      <c r="Y113" s="15"/>
      <c r="Z113" s="19" t="str">
        <f t="shared" si="22"/>
        <v/>
      </c>
      <c r="AA113" s="19" t="str">
        <f t="shared" si="23"/>
        <v/>
      </c>
      <c r="AB113" s="5"/>
      <c r="AC113" s="5"/>
      <c r="AE113" t="str">
        <f>IFERROR(INDEX(EqTag,_xlfn.AGGREGATE(15,6,(ROW(EqTag)-4)/((EqSys=$D$3)*(EqTag&lt;&gt;"")),ROWS($AE$14:AE113))),"")</f>
        <v/>
      </c>
    </row>
    <row r="114" spans="1:31" ht="30" customHeight="1" x14ac:dyDescent="0.2">
      <c r="A114" s="19" t="str">
        <f>IF(F114="","",LEFT($D$3,3)&amp;"-"&amp;TEXT(COUNTIF(F$14:F114,"?*"),"00"))</f>
        <v/>
      </c>
      <c r="B114" s="5"/>
      <c r="C114" s="6" t="str">
        <f t="shared" si="18"/>
        <v/>
      </c>
      <c r="D114" s="5"/>
      <c r="E114" s="5"/>
      <c r="F114" s="5"/>
      <c r="G114" s="5"/>
      <c r="H114" s="5"/>
      <c r="I114" s="5"/>
      <c r="J114" s="5"/>
      <c r="K114" s="15"/>
      <c r="L114" s="5"/>
      <c r="M114" s="15"/>
      <c r="N114" s="5"/>
      <c r="O114" s="15"/>
      <c r="P114" s="19" t="str">
        <f t="shared" si="19"/>
        <v/>
      </c>
      <c r="Q114" s="19" t="str">
        <f t="shared" si="20"/>
        <v/>
      </c>
      <c r="R114" s="19" t="str">
        <f t="shared" si="21"/>
        <v/>
      </c>
      <c r="S114" s="5"/>
      <c r="T114" s="5"/>
      <c r="U114" s="5"/>
      <c r="V114" s="24"/>
      <c r="W114" s="15"/>
      <c r="X114" s="15"/>
      <c r="Y114" s="15"/>
      <c r="Z114" s="19" t="str">
        <f t="shared" si="22"/>
        <v/>
      </c>
      <c r="AA114" s="19" t="str">
        <f t="shared" si="23"/>
        <v/>
      </c>
      <c r="AB114" s="5"/>
      <c r="AC114" s="5"/>
      <c r="AE114" t="str">
        <f>IFERROR(INDEX(EqTag,_xlfn.AGGREGATE(15,6,(ROW(EqTag)-4)/((EqSys=$D$3)*(EqTag&lt;&gt;"")),ROWS($AE$14:AE114))),"")</f>
        <v/>
      </c>
    </row>
    <row r="115" spans="1:31" ht="30" customHeight="1" x14ac:dyDescent="0.2">
      <c r="A115" s="19" t="str">
        <f>IF(F115="","",LEFT($D$3,3)&amp;"-"&amp;TEXT(COUNTIF(F$14:F115,"?*"),"00"))</f>
        <v/>
      </c>
      <c r="B115" s="5"/>
      <c r="C115" s="6" t="str">
        <f t="shared" si="18"/>
        <v/>
      </c>
      <c r="D115" s="5"/>
      <c r="E115" s="5"/>
      <c r="F115" s="5"/>
      <c r="G115" s="5"/>
      <c r="H115" s="5"/>
      <c r="I115" s="5"/>
      <c r="J115" s="5"/>
      <c r="K115" s="15"/>
      <c r="L115" s="5"/>
      <c r="M115" s="15"/>
      <c r="N115" s="5"/>
      <c r="O115" s="15"/>
      <c r="P115" s="19" t="str">
        <f t="shared" si="19"/>
        <v/>
      </c>
      <c r="Q115" s="19" t="str">
        <f t="shared" si="20"/>
        <v/>
      </c>
      <c r="R115" s="19" t="str">
        <f t="shared" si="21"/>
        <v/>
      </c>
      <c r="S115" s="5"/>
      <c r="T115" s="5"/>
      <c r="U115" s="5"/>
      <c r="V115" s="24"/>
      <c r="W115" s="15"/>
      <c r="X115" s="15"/>
      <c r="Y115" s="15"/>
      <c r="Z115" s="19" t="str">
        <f t="shared" si="22"/>
        <v/>
      </c>
      <c r="AA115" s="19" t="str">
        <f t="shared" si="23"/>
        <v/>
      </c>
      <c r="AB115" s="5"/>
      <c r="AC115" s="5"/>
      <c r="AE115" t="str">
        <f>IFERROR(INDEX(EqTag,_xlfn.AGGREGATE(15,6,(ROW(EqTag)-4)/((EqSys=$D$3)*(EqTag&lt;&gt;"")),ROWS($AE$14:AE115))),"")</f>
        <v/>
      </c>
    </row>
    <row r="116" spans="1:31" ht="30" customHeight="1" x14ac:dyDescent="0.2">
      <c r="A116" s="19" t="str">
        <f>IF(F116="","",LEFT($D$3,3)&amp;"-"&amp;TEXT(COUNTIF(F$14:F116,"?*"),"00"))</f>
        <v/>
      </c>
      <c r="B116" s="5"/>
      <c r="C116" s="6" t="str">
        <f t="shared" si="18"/>
        <v/>
      </c>
      <c r="D116" s="5"/>
      <c r="E116" s="5"/>
      <c r="F116" s="5"/>
      <c r="G116" s="5"/>
      <c r="H116" s="5"/>
      <c r="I116" s="5"/>
      <c r="J116" s="5"/>
      <c r="K116" s="15"/>
      <c r="L116" s="5"/>
      <c r="M116" s="15"/>
      <c r="N116" s="5"/>
      <c r="O116" s="15"/>
      <c r="P116" s="19" t="str">
        <f t="shared" si="19"/>
        <v/>
      </c>
      <c r="Q116" s="19" t="str">
        <f t="shared" si="20"/>
        <v/>
      </c>
      <c r="R116" s="19" t="str">
        <f t="shared" si="21"/>
        <v/>
      </c>
      <c r="S116" s="5"/>
      <c r="T116" s="5"/>
      <c r="U116" s="5"/>
      <c r="V116" s="24"/>
      <c r="W116" s="15"/>
      <c r="X116" s="15"/>
      <c r="Y116" s="15"/>
      <c r="Z116" s="19" t="str">
        <f t="shared" si="22"/>
        <v/>
      </c>
      <c r="AA116" s="19" t="str">
        <f t="shared" si="23"/>
        <v/>
      </c>
      <c r="AB116" s="5"/>
      <c r="AC116" s="5"/>
      <c r="AE116" t="str">
        <f>IFERROR(INDEX(EqTag,_xlfn.AGGREGATE(15,6,(ROW(EqTag)-4)/((EqSys=$D$3)*(EqTag&lt;&gt;"")),ROWS($AE$14:AE116))),"")</f>
        <v/>
      </c>
    </row>
    <row r="117" spans="1:31" ht="30" customHeight="1" x14ac:dyDescent="0.2">
      <c r="A117" s="19" t="str">
        <f>IF(F117="","",LEFT($D$3,3)&amp;"-"&amp;TEXT(COUNTIF(F$14:F117,"?*"),"00"))</f>
        <v/>
      </c>
      <c r="B117" s="5"/>
      <c r="C117" s="6" t="str">
        <f t="shared" si="18"/>
        <v/>
      </c>
      <c r="D117" s="5"/>
      <c r="E117" s="5"/>
      <c r="F117" s="5"/>
      <c r="G117" s="5"/>
      <c r="H117" s="5"/>
      <c r="I117" s="5"/>
      <c r="J117" s="5"/>
      <c r="K117" s="15"/>
      <c r="L117" s="5"/>
      <c r="M117" s="15"/>
      <c r="N117" s="5"/>
      <c r="O117" s="15"/>
      <c r="P117" s="19" t="str">
        <f t="shared" si="19"/>
        <v/>
      </c>
      <c r="Q117" s="19" t="str">
        <f t="shared" si="20"/>
        <v/>
      </c>
      <c r="R117" s="19" t="str">
        <f t="shared" si="21"/>
        <v/>
      </c>
      <c r="S117" s="5"/>
      <c r="T117" s="5"/>
      <c r="U117" s="5"/>
      <c r="V117" s="24"/>
      <c r="W117" s="15"/>
      <c r="X117" s="15"/>
      <c r="Y117" s="15"/>
      <c r="Z117" s="19" t="str">
        <f t="shared" si="22"/>
        <v/>
      </c>
      <c r="AA117" s="19" t="str">
        <f t="shared" si="23"/>
        <v/>
      </c>
      <c r="AB117" s="5"/>
      <c r="AC117" s="5"/>
      <c r="AE117" t="str">
        <f>IFERROR(INDEX(EqTag,_xlfn.AGGREGATE(15,6,(ROW(EqTag)-4)/((EqSys=$D$3)*(EqTag&lt;&gt;"")),ROWS($AE$14:AE117))),"")</f>
        <v/>
      </c>
    </row>
    <row r="118" spans="1:31" ht="30" customHeight="1" x14ac:dyDescent="0.2">
      <c r="A118" s="19" t="str">
        <f>IF(F118="","",LEFT($D$3,3)&amp;"-"&amp;TEXT(COUNTIF(F$14:F118,"?*"),"00"))</f>
        <v/>
      </c>
      <c r="B118" s="5"/>
      <c r="C118" s="6" t="str">
        <f t="shared" si="18"/>
        <v/>
      </c>
      <c r="D118" s="5"/>
      <c r="E118" s="5"/>
      <c r="F118" s="5"/>
      <c r="G118" s="5"/>
      <c r="H118" s="5"/>
      <c r="I118" s="5"/>
      <c r="J118" s="5"/>
      <c r="K118" s="15"/>
      <c r="L118" s="5"/>
      <c r="M118" s="15"/>
      <c r="N118" s="5"/>
      <c r="O118" s="15"/>
      <c r="P118" s="19" t="str">
        <f t="shared" si="19"/>
        <v/>
      </c>
      <c r="Q118" s="19" t="str">
        <f t="shared" si="20"/>
        <v/>
      </c>
      <c r="R118" s="19" t="str">
        <f t="shared" si="21"/>
        <v/>
      </c>
      <c r="S118" s="5"/>
      <c r="T118" s="5"/>
      <c r="U118" s="5"/>
      <c r="V118" s="24"/>
      <c r="W118" s="15"/>
      <c r="X118" s="15"/>
      <c r="Y118" s="15"/>
      <c r="Z118" s="19" t="str">
        <f t="shared" si="22"/>
        <v/>
      </c>
      <c r="AA118" s="19" t="str">
        <f t="shared" si="23"/>
        <v/>
      </c>
      <c r="AB118" s="5"/>
      <c r="AC118" s="5"/>
      <c r="AE118" t="str">
        <f>IFERROR(INDEX(EqTag,_xlfn.AGGREGATE(15,6,(ROW(EqTag)-4)/((EqSys=$D$3)*(EqTag&lt;&gt;"")),ROWS($AE$14:AE118))),"")</f>
        <v/>
      </c>
    </row>
    <row r="119" spans="1:31" ht="30" customHeight="1" x14ac:dyDescent="0.2">
      <c r="A119" s="19" t="str">
        <f>IF(F119="","",LEFT($D$3,3)&amp;"-"&amp;TEXT(COUNTIF(F$14:F119,"?*"),"00"))</f>
        <v/>
      </c>
      <c r="B119" s="5"/>
      <c r="C119" s="6" t="str">
        <f t="shared" si="18"/>
        <v/>
      </c>
      <c r="D119" s="5"/>
      <c r="E119" s="5"/>
      <c r="F119" s="5"/>
      <c r="G119" s="5"/>
      <c r="H119" s="5"/>
      <c r="I119" s="5"/>
      <c r="J119" s="5"/>
      <c r="K119" s="15"/>
      <c r="L119" s="5"/>
      <c r="M119" s="15"/>
      <c r="N119" s="5"/>
      <c r="O119" s="15"/>
      <c r="P119" s="19" t="str">
        <f t="shared" si="19"/>
        <v/>
      </c>
      <c r="Q119" s="19" t="str">
        <f t="shared" si="20"/>
        <v/>
      </c>
      <c r="R119" s="19" t="str">
        <f t="shared" si="21"/>
        <v/>
      </c>
      <c r="S119" s="5"/>
      <c r="T119" s="5"/>
      <c r="U119" s="5"/>
      <c r="V119" s="24"/>
      <c r="W119" s="15"/>
      <c r="X119" s="15"/>
      <c r="Y119" s="15"/>
      <c r="Z119" s="19" t="str">
        <f t="shared" si="22"/>
        <v/>
      </c>
      <c r="AA119" s="19" t="str">
        <f t="shared" si="23"/>
        <v/>
      </c>
      <c r="AB119" s="5"/>
      <c r="AC119" s="5"/>
      <c r="AE119" t="str">
        <f>IFERROR(INDEX(EqTag,_xlfn.AGGREGATE(15,6,(ROW(EqTag)-4)/((EqSys=$D$3)*(EqTag&lt;&gt;"")),ROWS($AE$14:AE119))),"")</f>
        <v/>
      </c>
    </row>
    <row r="120" spans="1:31" ht="30" customHeight="1" x14ac:dyDescent="0.2">
      <c r="A120" s="19" t="str">
        <f>IF(F120="","",LEFT($D$3,3)&amp;"-"&amp;TEXT(COUNTIF(F$14:F120,"?*"),"00"))</f>
        <v/>
      </c>
      <c r="B120" s="5"/>
      <c r="C120" s="6" t="str">
        <f t="shared" si="18"/>
        <v/>
      </c>
      <c r="D120" s="5"/>
      <c r="E120" s="5"/>
      <c r="F120" s="5"/>
      <c r="G120" s="5"/>
      <c r="H120" s="5"/>
      <c r="I120" s="5"/>
      <c r="J120" s="5"/>
      <c r="K120" s="15"/>
      <c r="L120" s="5"/>
      <c r="M120" s="15"/>
      <c r="N120" s="5"/>
      <c r="O120" s="15"/>
      <c r="P120" s="19" t="str">
        <f t="shared" si="19"/>
        <v/>
      </c>
      <c r="Q120" s="19" t="str">
        <f t="shared" si="20"/>
        <v/>
      </c>
      <c r="R120" s="19" t="str">
        <f t="shared" si="21"/>
        <v/>
      </c>
      <c r="S120" s="5"/>
      <c r="T120" s="5"/>
      <c r="U120" s="5"/>
      <c r="V120" s="24"/>
      <c r="W120" s="15"/>
      <c r="X120" s="15"/>
      <c r="Y120" s="15"/>
      <c r="Z120" s="19" t="str">
        <f t="shared" si="22"/>
        <v/>
      </c>
      <c r="AA120" s="19" t="str">
        <f t="shared" si="23"/>
        <v/>
      </c>
      <c r="AB120" s="5"/>
      <c r="AC120" s="5"/>
      <c r="AE120" t="str">
        <f>IFERROR(INDEX(EqTag,_xlfn.AGGREGATE(15,6,(ROW(EqTag)-4)/((EqSys=$D$3)*(EqTag&lt;&gt;"")),ROWS($AE$14:AE120))),"")</f>
        <v/>
      </c>
    </row>
    <row r="121" spans="1:31" ht="30" customHeight="1" x14ac:dyDescent="0.2">
      <c r="A121" s="19" t="str">
        <f>IF(F121="","",LEFT($D$3,3)&amp;"-"&amp;TEXT(COUNTIF(F$14:F121,"?*"),"00"))</f>
        <v/>
      </c>
      <c r="B121" s="5"/>
      <c r="C121" s="6" t="str">
        <f t="shared" si="18"/>
        <v/>
      </c>
      <c r="D121" s="5"/>
      <c r="E121" s="5"/>
      <c r="F121" s="5"/>
      <c r="G121" s="5"/>
      <c r="H121" s="5"/>
      <c r="I121" s="5"/>
      <c r="J121" s="5"/>
      <c r="K121" s="15"/>
      <c r="L121" s="5"/>
      <c r="M121" s="15"/>
      <c r="N121" s="5"/>
      <c r="O121" s="15"/>
      <c r="P121" s="19" t="str">
        <f t="shared" si="19"/>
        <v/>
      </c>
      <c r="Q121" s="19" t="str">
        <f t="shared" si="20"/>
        <v/>
      </c>
      <c r="R121" s="19" t="str">
        <f t="shared" si="21"/>
        <v/>
      </c>
      <c r="S121" s="5"/>
      <c r="T121" s="5"/>
      <c r="U121" s="5"/>
      <c r="V121" s="24"/>
      <c r="W121" s="15"/>
      <c r="X121" s="15"/>
      <c r="Y121" s="15"/>
      <c r="Z121" s="19" t="str">
        <f t="shared" si="22"/>
        <v/>
      </c>
      <c r="AA121" s="19" t="str">
        <f t="shared" si="23"/>
        <v/>
      </c>
      <c r="AB121" s="5"/>
      <c r="AC121" s="5"/>
      <c r="AE121" t="str">
        <f>IFERROR(INDEX(EqTag,_xlfn.AGGREGATE(15,6,(ROW(EqTag)-4)/((EqSys=$D$3)*(EqTag&lt;&gt;"")),ROWS($AE$14:AE121))),"")</f>
        <v/>
      </c>
    </row>
    <row r="122" spans="1:31" ht="30" customHeight="1" x14ac:dyDescent="0.2">
      <c r="A122" s="19" t="str">
        <f>IF(F122="","",LEFT($D$3,3)&amp;"-"&amp;TEXT(COUNTIF(F$14:F122,"?*"),"00"))</f>
        <v/>
      </c>
      <c r="B122" s="5"/>
      <c r="C122" s="6" t="str">
        <f t="shared" si="18"/>
        <v/>
      </c>
      <c r="D122" s="5"/>
      <c r="E122" s="5"/>
      <c r="F122" s="5"/>
      <c r="G122" s="5"/>
      <c r="H122" s="5"/>
      <c r="I122" s="5"/>
      <c r="J122" s="5"/>
      <c r="K122" s="15"/>
      <c r="L122" s="5"/>
      <c r="M122" s="15"/>
      <c r="N122" s="5"/>
      <c r="O122" s="15"/>
      <c r="P122" s="19" t="str">
        <f t="shared" si="19"/>
        <v/>
      </c>
      <c r="Q122" s="19" t="str">
        <f t="shared" si="20"/>
        <v/>
      </c>
      <c r="R122" s="19" t="str">
        <f t="shared" si="21"/>
        <v/>
      </c>
      <c r="S122" s="5"/>
      <c r="T122" s="5"/>
      <c r="U122" s="5"/>
      <c r="V122" s="24"/>
      <c r="W122" s="15"/>
      <c r="X122" s="15"/>
      <c r="Y122" s="15"/>
      <c r="Z122" s="19" t="str">
        <f t="shared" si="22"/>
        <v/>
      </c>
      <c r="AA122" s="19" t="str">
        <f t="shared" si="23"/>
        <v/>
      </c>
      <c r="AB122" s="5"/>
      <c r="AC122" s="5"/>
      <c r="AE122" t="str">
        <f>IFERROR(INDEX(EqTag,_xlfn.AGGREGATE(15,6,(ROW(EqTag)-4)/((EqSys=$D$3)*(EqTag&lt;&gt;"")),ROWS($AE$14:AE122))),"")</f>
        <v/>
      </c>
    </row>
    <row r="123" spans="1:31" ht="30" customHeight="1" x14ac:dyDescent="0.2">
      <c r="A123" s="19" t="str">
        <f>IF(F123="","",LEFT($D$3,3)&amp;"-"&amp;TEXT(COUNTIF(F$14:F123,"?*"),"00"))</f>
        <v/>
      </c>
      <c r="B123" s="5"/>
      <c r="C123" s="6" t="str">
        <f t="shared" si="18"/>
        <v/>
      </c>
      <c r="D123" s="5"/>
      <c r="E123" s="5"/>
      <c r="F123" s="5"/>
      <c r="G123" s="5"/>
      <c r="H123" s="5"/>
      <c r="I123" s="5"/>
      <c r="J123" s="5"/>
      <c r="K123" s="15"/>
      <c r="L123" s="5"/>
      <c r="M123" s="15"/>
      <c r="N123" s="5"/>
      <c r="O123" s="15"/>
      <c r="P123" s="19" t="str">
        <f t="shared" si="19"/>
        <v/>
      </c>
      <c r="Q123" s="19" t="str">
        <f t="shared" si="20"/>
        <v/>
      </c>
      <c r="R123" s="19" t="str">
        <f t="shared" si="21"/>
        <v/>
      </c>
      <c r="S123" s="5"/>
      <c r="T123" s="5"/>
      <c r="U123" s="5"/>
      <c r="V123" s="24"/>
      <c r="W123" s="15"/>
      <c r="X123" s="15"/>
      <c r="Y123" s="15"/>
      <c r="Z123" s="19" t="str">
        <f t="shared" si="22"/>
        <v/>
      </c>
      <c r="AA123" s="19" t="str">
        <f t="shared" si="23"/>
        <v/>
      </c>
      <c r="AB123" s="5"/>
      <c r="AC123" s="5"/>
      <c r="AE123" t="str">
        <f>IFERROR(INDEX(EqTag,_xlfn.AGGREGATE(15,6,(ROW(EqTag)-4)/((EqSys=$D$3)*(EqTag&lt;&gt;"")),ROWS($AE$14:AE123))),"")</f>
        <v/>
      </c>
    </row>
    <row r="124" spans="1:31" ht="30" customHeight="1" x14ac:dyDescent="0.2">
      <c r="A124" s="19" t="str">
        <f>IF(F124="","",LEFT($D$3,3)&amp;"-"&amp;TEXT(COUNTIF(F$14:F124,"?*"),"00"))</f>
        <v/>
      </c>
      <c r="B124" s="5"/>
      <c r="C124" s="6" t="str">
        <f t="shared" si="18"/>
        <v/>
      </c>
      <c r="D124" s="5"/>
      <c r="E124" s="5"/>
      <c r="F124" s="5"/>
      <c r="G124" s="5"/>
      <c r="H124" s="5"/>
      <c r="I124" s="5"/>
      <c r="J124" s="5"/>
      <c r="K124" s="15"/>
      <c r="L124" s="5"/>
      <c r="M124" s="15"/>
      <c r="N124" s="5"/>
      <c r="O124" s="15"/>
      <c r="P124" s="19" t="str">
        <f t="shared" si="19"/>
        <v/>
      </c>
      <c r="Q124" s="19" t="str">
        <f t="shared" si="20"/>
        <v/>
      </c>
      <c r="R124" s="19" t="str">
        <f t="shared" si="21"/>
        <v/>
      </c>
      <c r="S124" s="5"/>
      <c r="T124" s="5"/>
      <c r="U124" s="5"/>
      <c r="V124" s="24"/>
      <c r="W124" s="15"/>
      <c r="X124" s="15"/>
      <c r="Y124" s="15"/>
      <c r="Z124" s="19" t="str">
        <f t="shared" si="22"/>
        <v/>
      </c>
      <c r="AA124" s="19" t="str">
        <f t="shared" si="23"/>
        <v/>
      </c>
      <c r="AB124" s="5"/>
      <c r="AC124" s="5"/>
      <c r="AE124" t="str">
        <f>IFERROR(INDEX(EqTag,_xlfn.AGGREGATE(15,6,(ROW(EqTag)-4)/((EqSys=$D$3)*(EqTag&lt;&gt;"")),ROWS($AE$14:AE124))),"")</f>
        <v/>
      </c>
    </row>
    <row r="125" spans="1:31" ht="30" customHeight="1" x14ac:dyDescent="0.2">
      <c r="A125" s="19" t="str">
        <f>IF(F125="","",LEFT($D$3,3)&amp;"-"&amp;TEXT(COUNTIF(F$14:F125,"?*"),"00"))</f>
        <v/>
      </c>
      <c r="B125" s="5"/>
      <c r="C125" s="6" t="str">
        <f t="shared" si="18"/>
        <v/>
      </c>
      <c r="D125" s="5"/>
      <c r="E125" s="5"/>
      <c r="F125" s="5"/>
      <c r="G125" s="5"/>
      <c r="H125" s="5"/>
      <c r="I125" s="5"/>
      <c r="J125" s="5"/>
      <c r="K125" s="15"/>
      <c r="L125" s="5"/>
      <c r="M125" s="15"/>
      <c r="N125" s="5"/>
      <c r="O125" s="15"/>
      <c r="P125" s="19" t="str">
        <f t="shared" si="19"/>
        <v/>
      </c>
      <c r="Q125" s="19" t="str">
        <f t="shared" si="20"/>
        <v/>
      </c>
      <c r="R125" s="19" t="str">
        <f t="shared" si="21"/>
        <v/>
      </c>
      <c r="S125" s="5"/>
      <c r="T125" s="5"/>
      <c r="U125" s="5"/>
      <c r="V125" s="24"/>
      <c r="W125" s="15"/>
      <c r="X125" s="15"/>
      <c r="Y125" s="15"/>
      <c r="Z125" s="19" t="str">
        <f t="shared" si="22"/>
        <v/>
      </c>
      <c r="AA125" s="19" t="str">
        <f t="shared" si="23"/>
        <v/>
      </c>
      <c r="AB125" s="5"/>
      <c r="AC125" s="5"/>
      <c r="AE125" t="str">
        <f>IFERROR(INDEX(EqTag,_xlfn.AGGREGATE(15,6,(ROW(EqTag)-4)/((EqSys=$D$3)*(EqTag&lt;&gt;"")),ROWS($AE$14:AE125))),"")</f>
        <v/>
      </c>
    </row>
    <row r="126" spans="1:31" ht="30" customHeight="1" x14ac:dyDescent="0.2">
      <c r="A126" s="19" t="str">
        <f>IF(F126="","",LEFT($D$3,3)&amp;"-"&amp;TEXT(COUNTIF(F$14:F126,"?*"),"00"))</f>
        <v/>
      </c>
      <c r="B126" s="5"/>
      <c r="C126" s="6" t="str">
        <f t="shared" si="18"/>
        <v/>
      </c>
      <c r="D126" s="5"/>
      <c r="E126" s="5"/>
      <c r="F126" s="5"/>
      <c r="G126" s="5"/>
      <c r="H126" s="5"/>
      <c r="I126" s="5"/>
      <c r="J126" s="5"/>
      <c r="K126" s="15"/>
      <c r="L126" s="5"/>
      <c r="M126" s="15"/>
      <c r="N126" s="5"/>
      <c r="O126" s="15"/>
      <c r="P126" s="19" t="str">
        <f t="shared" si="19"/>
        <v/>
      </c>
      <c r="Q126" s="19" t="str">
        <f t="shared" si="20"/>
        <v/>
      </c>
      <c r="R126" s="19" t="str">
        <f t="shared" si="21"/>
        <v/>
      </c>
      <c r="S126" s="5"/>
      <c r="T126" s="5"/>
      <c r="U126" s="5"/>
      <c r="V126" s="24"/>
      <c r="W126" s="15"/>
      <c r="X126" s="15"/>
      <c r="Y126" s="15"/>
      <c r="Z126" s="19" t="str">
        <f t="shared" si="22"/>
        <v/>
      </c>
      <c r="AA126" s="19" t="str">
        <f t="shared" si="23"/>
        <v/>
      </c>
      <c r="AB126" s="5"/>
      <c r="AC126" s="5"/>
      <c r="AE126" t="str">
        <f>IFERROR(INDEX(EqTag,_xlfn.AGGREGATE(15,6,(ROW(EqTag)-4)/((EqSys=$D$3)*(EqTag&lt;&gt;"")),ROWS($AE$14:AE126))),"")</f>
        <v/>
      </c>
    </row>
    <row r="127" spans="1:31" ht="30" customHeight="1" x14ac:dyDescent="0.2">
      <c r="A127" s="19" t="str">
        <f>IF(F127="","",LEFT($D$3,3)&amp;"-"&amp;TEXT(COUNTIF(F$14:F127,"?*"),"00"))</f>
        <v/>
      </c>
      <c r="B127" s="5"/>
      <c r="C127" s="6" t="str">
        <f t="shared" si="18"/>
        <v/>
      </c>
      <c r="D127" s="5"/>
      <c r="E127" s="5"/>
      <c r="F127" s="5"/>
      <c r="G127" s="5"/>
      <c r="H127" s="5"/>
      <c r="I127" s="5"/>
      <c r="J127" s="5"/>
      <c r="K127" s="15"/>
      <c r="L127" s="5"/>
      <c r="M127" s="15"/>
      <c r="N127" s="5"/>
      <c r="O127" s="15"/>
      <c r="P127" s="19" t="str">
        <f t="shared" si="19"/>
        <v/>
      </c>
      <c r="Q127" s="19" t="str">
        <f t="shared" si="20"/>
        <v/>
      </c>
      <c r="R127" s="19" t="str">
        <f t="shared" si="21"/>
        <v/>
      </c>
      <c r="S127" s="5"/>
      <c r="T127" s="5"/>
      <c r="U127" s="5"/>
      <c r="V127" s="24"/>
      <c r="W127" s="15"/>
      <c r="X127" s="15"/>
      <c r="Y127" s="15"/>
      <c r="Z127" s="19" t="str">
        <f t="shared" si="22"/>
        <v/>
      </c>
      <c r="AA127" s="19" t="str">
        <f t="shared" si="23"/>
        <v/>
      </c>
      <c r="AB127" s="5"/>
      <c r="AC127" s="5"/>
      <c r="AE127" t="str">
        <f>IFERROR(INDEX(EqTag,_xlfn.AGGREGATE(15,6,(ROW(EqTag)-4)/((EqSys=$D$3)*(EqTag&lt;&gt;"")),ROWS($AE$14:AE127))),"")</f>
        <v/>
      </c>
    </row>
    <row r="128" spans="1:31" ht="30" customHeight="1" x14ac:dyDescent="0.2">
      <c r="A128" s="19" t="str">
        <f>IF(F128="","",LEFT($D$3,3)&amp;"-"&amp;TEXT(COUNTIF(F$14:F128,"?*"),"00"))</f>
        <v/>
      </c>
      <c r="B128" s="5"/>
      <c r="C128" s="6" t="str">
        <f t="shared" si="18"/>
        <v/>
      </c>
      <c r="D128" s="5"/>
      <c r="E128" s="5"/>
      <c r="F128" s="5"/>
      <c r="G128" s="5"/>
      <c r="H128" s="5"/>
      <c r="I128" s="5"/>
      <c r="J128" s="5"/>
      <c r="K128" s="15"/>
      <c r="L128" s="5"/>
      <c r="M128" s="15"/>
      <c r="N128" s="5"/>
      <c r="O128" s="15"/>
      <c r="P128" s="19" t="str">
        <f t="shared" si="19"/>
        <v/>
      </c>
      <c r="Q128" s="19" t="str">
        <f t="shared" si="20"/>
        <v/>
      </c>
      <c r="R128" s="19" t="str">
        <f t="shared" si="21"/>
        <v/>
      </c>
      <c r="S128" s="5"/>
      <c r="T128" s="5"/>
      <c r="U128" s="5"/>
      <c r="V128" s="24"/>
      <c r="W128" s="15"/>
      <c r="X128" s="15"/>
      <c r="Y128" s="15"/>
      <c r="Z128" s="19" t="str">
        <f t="shared" si="22"/>
        <v/>
      </c>
      <c r="AA128" s="19" t="str">
        <f t="shared" si="23"/>
        <v/>
      </c>
      <c r="AB128" s="5"/>
      <c r="AC128" s="5"/>
      <c r="AE128" t="str">
        <f>IFERROR(INDEX(EqTag,_xlfn.AGGREGATE(15,6,(ROW(EqTag)-4)/((EqSys=$D$3)*(EqTag&lt;&gt;"")),ROWS($AE$14:AE128))),"")</f>
        <v/>
      </c>
    </row>
    <row r="129" spans="1:31" ht="30" customHeight="1" x14ac:dyDescent="0.2">
      <c r="A129" s="19" t="str">
        <f>IF(F129="","",LEFT($D$3,3)&amp;"-"&amp;TEXT(COUNTIF(F$14:F129,"?*"),"00"))</f>
        <v/>
      </c>
      <c r="B129" s="5"/>
      <c r="C129" s="6" t="str">
        <f t="shared" si="18"/>
        <v/>
      </c>
      <c r="D129" s="5"/>
      <c r="E129" s="5"/>
      <c r="F129" s="5"/>
      <c r="G129" s="5"/>
      <c r="H129" s="5"/>
      <c r="I129" s="5"/>
      <c r="J129" s="5"/>
      <c r="K129" s="15"/>
      <c r="L129" s="5"/>
      <c r="M129" s="15"/>
      <c r="N129" s="5"/>
      <c r="O129" s="15"/>
      <c r="P129" s="19" t="str">
        <f t="shared" si="19"/>
        <v/>
      </c>
      <c r="Q129" s="19" t="str">
        <f t="shared" si="20"/>
        <v/>
      </c>
      <c r="R129" s="19" t="str">
        <f t="shared" si="21"/>
        <v/>
      </c>
      <c r="S129" s="5"/>
      <c r="T129" s="5"/>
      <c r="U129" s="5"/>
      <c r="V129" s="24"/>
      <c r="W129" s="15"/>
      <c r="X129" s="15"/>
      <c r="Y129" s="15"/>
      <c r="Z129" s="19" t="str">
        <f t="shared" si="22"/>
        <v/>
      </c>
      <c r="AA129" s="19" t="str">
        <f t="shared" si="23"/>
        <v/>
      </c>
      <c r="AB129" s="5"/>
      <c r="AC129" s="5"/>
      <c r="AE129" t="str">
        <f>IFERROR(INDEX(EqTag,_xlfn.AGGREGATE(15,6,(ROW(EqTag)-4)/((EqSys=$D$3)*(EqTag&lt;&gt;"")),ROWS($AE$14:AE129))),"")</f>
        <v/>
      </c>
    </row>
    <row r="130" spans="1:31" ht="30" customHeight="1" x14ac:dyDescent="0.2">
      <c r="A130" s="19" t="str">
        <f>IF(F130="","",LEFT($D$3,3)&amp;"-"&amp;TEXT(COUNTIF(F$14:F130,"?*"),"00"))</f>
        <v/>
      </c>
      <c r="B130" s="5"/>
      <c r="C130" s="6" t="str">
        <f t="shared" si="18"/>
        <v/>
      </c>
      <c r="D130" s="5"/>
      <c r="E130" s="5"/>
      <c r="F130" s="5"/>
      <c r="G130" s="5"/>
      <c r="H130" s="5"/>
      <c r="I130" s="5"/>
      <c r="J130" s="5"/>
      <c r="K130" s="15"/>
      <c r="L130" s="5"/>
      <c r="M130" s="15"/>
      <c r="N130" s="5"/>
      <c r="O130" s="15"/>
      <c r="P130" s="19" t="str">
        <f t="shared" si="19"/>
        <v/>
      </c>
      <c r="Q130" s="19" t="str">
        <f t="shared" si="20"/>
        <v/>
      </c>
      <c r="R130" s="19" t="str">
        <f t="shared" si="21"/>
        <v/>
      </c>
      <c r="S130" s="5"/>
      <c r="T130" s="5"/>
      <c r="U130" s="5"/>
      <c r="V130" s="24"/>
      <c r="W130" s="15"/>
      <c r="X130" s="15"/>
      <c r="Y130" s="15"/>
      <c r="Z130" s="19" t="str">
        <f t="shared" si="22"/>
        <v/>
      </c>
      <c r="AA130" s="19" t="str">
        <f t="shared" si="23"/>
        <v/>
      </c>
      <c r="AB130" s="5"/>
      <c r="AC130" s="5"/>
      <c r="AE130" t="str">
        <f>IFERROR(INDEX(EqTag,_xlfn.AGGREGATE(15,6,(ROW(EqTag)-4)/((EqSys=$D$3)*(EqTag&lt;&gt;"")),ROWS($AE$14:AE130))),"")</f>
        <v/>
      </c>
    </row>
    <row r="131" spans="1:31" ht="30" customHeight="1" x14ac:dyDescent="0.2">
      <c r="A131" s="19" t="str">
        <f>IF(F131="","",LEFT($D$3,3)&amp;"-"&amp;TEXT(COUNTIF(F$14:F131,"?*"),"00"))</f>
        <v/>
      </c>
      <c r="B131" s="5"/>
      <c r="C131" s="6" t="str">
        <f t="shared" si="18"/>
        <v/>
      </c>
      <c r="D131" s="5"/>
      <c r="E131" s="5"/>
      <c r="F131" s="5"/>
      <c r="G131" s="5"/>
      <c r="H131" s="5"/>
      <c r="I131" s="5"/>
      <c r="J131" s="5"/>
      <c r="K131" s="15"/>
      <c r="L131" s="5"/>
      <c r="M131" s="15"/>
      <c r="N131" s="5"/>
      <c r="O131" s="15"/>
      <c r="P131" s="19" t="str">
        <f t="shared" si="19"/>
        <v/>
      </c>
      <c r="Q131" s="19" t="str">
        <f t="shared" si="20"/>
        <v/>
      </c>
      <c r="R131" s="19" t="str">
        <f t="shared" si="21"/>
        <v/>
      </c>
      <c r="S131" s="5"/>
      <c r="T131" s="5"/>
      <c r="U131" s="5"/>
      <c r="V131" s="24"/>
      <c r="W131" s="15"/>
      <c r="X131" s="15"/>
      <c r="Y131" s="15"/>
      <c r="Z131" s="19" t="str">
        <f t="shared" si="22"/>
        <v/>
      </c>
      <c r="AA131" s="19" t="str">
        <f t="shared" si="23"/>
        <v/>
      </c>
      <c r="AB131" s="5"/>
      <c r="AC131" s="5"/>
      <c r="AE131" t="str">
        <f>IFERROR(INDEX(EqTag,_xlfn.AGGREGATE(15,6,(ROW(EqTag)-4)/((EqSys=$D$3)*(EqTag&lt;&gt;"")),ROWS($AE$14:AE131))),"")</f>
        <v/>
      </c>
    </row>
    <row r="132" spans="1:31" ht="30" customHeight="1" x14ac:dyDescent="0.2">
      <c r="A132" s="19" t="str">
        <f>IF(F132="","",LEFT($D$3,3)&amp;"-"&amp;TEXT(COUNTIF(F$14:F132,"?*"),"00"))</f>
        <v/>
      </c>
      <c r="B132" s="5"/>
      <c r="C132" s="6" t="str">
        <f t="shared" si="18"/>
        <v/>
      </c>
      <c r="D132" s="5"/>
      <c r="E132" s="5"/>
      <c r="F132" s="5"/>
      <c r="G132" s="5"/>
      <c r="H132" s="5"/>
      <c r="I132" s="5"/>
      <c r="J132" s="5"/>
      <c r="K132" s="15"/>
      <c r="L132" s="5"/>
      <c r="M132" s="15"/>
      <c r="N132" s="5"/>
      <c r="O132" s="15"/>
      <c r="P132" s="19" t="str">
        <f t="shared" si="19"/>
        <v/>
      </c>
      <c r="Q132" s="19" t="str">
        <f t="shared" si="20"/>
        <v/>
      </c>
      <c r="R132" s="19" t="str">
        <f t="shared" si="21"/>
        <v/>
      </c>
      <c r="S132" s="5"/>
      <c r="T132" s="5"/>
      <c r="U132" s="5"/>
      <c r="V132" s="24"/>
      <c r="W132" s="15"/>
      <c r="X132" s="15"/>
      <c r="Y132" s="15"/>
      <c r="Z132" s="19" t="str">
        <f t="shared" si="22"/>
        <v/>
      </c>
      <c r="AA132" s="19" t="str">
        <f t="shared" si="23"/>
        <v/>
      </c>
      <c r="AB132" s="5"/>
      <c r="AC132" s="5"/>
      <c r="AE132" t="str">
        <f>IFERROR(INDEX(EqTag,_xlfn.AGGREGATE(15,6,(ROW(EqTag)-4)/((EqSys=$D$3)*(EqTag&lt;&gt;"")),ROWS($AE$14:AE132))),"")</f>
        <v/>
      </c>
    </row>
    <row r="133" spans="1:31" ht="30" customHeight="1" x14ac:dyDescent="0.2">
      <c r="A133" s="19" t="str">
        <f>IF(F133="","",LEFT($D$3,3)&amp;"-"&amp;TEXT(COUNTIF(F$14:F133,"?*"),"00"))</f>
        <v/>
      </c>
      <c r="B133" s="5"/>
      <c r="C133" s="6" t="str">
        <f t="shared" si="18"/>
        <v/>
      </c>
      <c r="D133" s="5"/>
      <c r="E133" s="5"/>
      <c r="F133" s="5"/>
      <c r="G133" s="5"/>
      <c r="H133" s="5"/>
      <c r="I133" s="5"/>
      <c r="J133" s="5"/>
      <c r="K133" s="15"/>
      <c r="L133" s="5"/>
      <c r="M133" s="15"/>
      <c r="N133" s="5"/>
      <c r="O133" s="15"/>
      <c r="P133" s="19" t="str">
        <f t="shared" si="19"/>
        <v/>
      </c>
      <c r="Q133" s="19" t="str">
        <f t="shared" si="20"/>
        <v/>
      </c>
      <c r="R133" s="19" t="str">
        <f t="shared" si="21"/>
        <v/>
      </c>
      <c r="S133" s="5"/>
      <c r="T133" s="5"/>
      <c r="U133" s="5"/>
      <c r="V133" s="24"/>
      <c r="W133" s="15"/>
      <c r="X133" s="15"/>
      <c r="Y133" s="15"/>
      <c r="Z133" s="19" t="str">
        <f t="shared" si="22"/>
        <v/>
      </c>
      <c r="AA133" s="19" t="str">
        <f t="shared" si="23"/>
        <v/>
      </c>
      <c r="AB133" s="5"/>
      <c r="AC133" s="5"/>
      <c r="AE133" t="str">
        <f>IFERROR(INDEX(EqTag,_xlfn.AGGREGATE(15,6,(ROW(EqTag)-4)/((EqSys=$D$3)*(EqTag&lt;&gt;"")),ROWS($AE$14:AE133))),"")</f>
        <v/>
      </c>
    </row>
    <row r="134" spans="1:31" ht="30" customHeight="1" x14ac:dyDescent="0.2">
      <c r="A134" s="19" t="str">
        <f>IF(F134="","",LEFT($D$3,3)&amp;"-"&amp;TEXT(COUNTIF(F$14:F134,"?*"),"00"))</f>
        <v/>
      </c>
      <c r="B134" s="5"/>
      <c r="C134" s="6" t="str">
        <f t="shared" si="18"/>
        <v/>
      </c>
      <c r="D134" s="5"/>
      <c r="E134" s="5"/>
      <c r="F134" s="5"/>
      <c r="G134" s="5"/>
      <c r="H134" s="5"/>
      <c r="I134" s="5"/>
      <c r="J134" s="5"/>
      <c r="K134" s="15"/>
      <c r="L134" s="5"/>
      <c r="M134" s="15"/>
      <c r="N134" s="5"/>
      <c r="O134" s="15"/>
      <c r="P134" s="19" t="str">
        <f t="shared" si="19"/>
        <v/>
      </c>
      <c r="Q134" s="19" t="str">
        <f t="shared" si="20"/>
        <v/>
      </c>
      <c r="R134" s="19" t="str">
        <f t="shared" si="21"/>
        <v/>
      </c>
      <c r="S134" s="5"/>
      <c r="T134" s="5"/>
      <c r="U134" s="5"/>
      <c r="V134" s="24"/>
      <c r="W134" s="15"/>
      <c r="X134" s="15"/>
      <c r="Y134" s="15"/>
      <c r="Z134" s="19" t="str">
        <f t="shared" si="22"/>
        <v/>
      </c>
      <c r="AA134" s="19" t="str">
        <f t="shared" si="23"/>
        <v/>
      </c>
      <c r="AB134" s="5"/>
      <c r="AC134" s="5"/>
      <c r="AE134" t="str">
        <f>IFERROR(INDEX(EqTag,_xlfn.AGGREGATE(15,6,(ROW(EqTag)-4)/((EqSys=$D$3)*(EqTag&lt;&gt;"")),ROWS($AE$14:AE134))),"")</f>
        <v/>
      </c>
    </row>
    <row r="135" spans="1:31" ht="30" customHeight="1" x14ac:dyDescent="0.2">
      <c r="A135" s="19" t="str">
        <f>IF(F135="","",LEFT($D$3,3)&amp;"-"&amp;TEXT(COUNTIF(F$14:F135,"?*"),"00"))</f>
        <v/>
      </c>
      <c r="B135" s="5"/>
      <c r="C135" s="6" t="str">
        <f t="shared" si="18"/>
        <v/>
      </c>
      <c r="D135" s="5"/>
      <c r="E135" s="5"/>
      <c r="F135" s="5"/>
      <c r="G135" s="5"/>
      <c r="H135" s="5"/>
      <c r="I135" s="5"/>
      <c r="J135" s="5"/>
      <c r="K135" s="15"/>
      <c r="L135" s="5"/>
      <c r="M135" s="15"/>
      <c r="N135" s="5"/>
      <c r="O135" s="15"/>
      <c r="P135" s="19" t="str">
        <f t="shared" si="19"/>
        <v/>
      </c>
      <c r="Q135" s="19" t="str">
        <f t="shared" si="20"/>
        <v/>
      </c>
      <c r="R135" s="19" t="str">
        <f t="shared" si="21"/>
        <v/>
      </c>
      <c r="S135" s="5"/>
      <c r="T135" s="5"/>
      <c r="U135" s="5"/>
      <c r="V135" s="24"/>
      <c r="W135" s="15"/>
      <c r="X135" s="15"/>
      <c r="Y135" s="15"/>
      <c r="Z135" s="19" t="str">
        <f t="shared" si="22"/>
        <v/>
      </c>
      <c r="AA135" s="19" t="str">
        <f t="shared" si="23"/>
        <v/>
      </c>
      <c r="AB135" s="5"/>
      <c r="AC135" s="5"/>
      <c r="AE135" t="str">
        <f>IFERROR(INDEX(EqTag,_xlfn.AGGREGATE(15,6,(ROW(EqTag)-4)/((EqSys=$D$3)*(EqTag&lt;&gt;"")),ROWS($AE$14:AE135))),"")</f>
        <v/>
      </c>
    </row>
    <row r="136" spans="1:31" ht="30" customHeight="1" x14ac:dyDescent="0.2">
      <c r="A136" s="19" t="str">
        <f>IF(F136="","",LEFT($D$3,3)&amp;"-"&amp;TEXT(COUNTIF(F$14:F136,"?*"),"00"))</f>
        <v/>
      </c>
      <c r="B136" s="5"/>
      <c r="C136" s="6" t="str">
        <f t="shared" si="18"/>
        <v/>
      </c>
      <c r="D136" s="5"/>
      <c r="E136" s="5"/>
      <c r="F136" s="5"/>
      <c r="G136" s="5"/>
      <c r="H136" s="5"/>
      <c r="I136" s="5"/>
      <c r="J136" s="5"/>
      <c r="K136" s="15"/>
      <c r="L136" s="5"/>
      <c r="M136" s="15"/>
      <c r="N136" s="5"/>
      <c r="O136" s="15"/>
      <c r="P136" s="19" t="str">
        <f t="shared" si="19"/>
        <v/>
      </c>
      <c r="Q136" s="19" t="str">
        <f t="shared" si="20"/>
        <v/>
      </c>
      <c r="R136" s="19" t="str">
        <f t="shared" si="21"/>
        <v/>
      </c>
      <c r="S136" s="5"/>
      <c r="T136" s="5"/>
      <c r="U136" s="5"/>
      <c r="V136" s="24"/>
      <c r="W136" s="15"/>
      <c r="X136" s="15"/>
      <c r="Y136" s="15"/>
      <c r="Z136" s="19" t="str">
        <f t="shared" si="22"/>
        <v/>
      </c>
      <c r="AA136" s="19" t="str">
        <f t="shared" si="23"/>
        <v/>
      </c>
      <c r="AB136" s="5"/>
      <c r="AC136" s="5"/>
      <c r="AE136" t="str">
        <f>IFERROR(INDEX(EqTag,_xlfn.AGGREGATE(15,6,(ROW(EqTag)-4)/((EqSys=$D$3)*(EqTag&lt;&gt;"")),ROWS($AE$14:AE136))),"")</f>
        <v/>
      </c>
    </row>
    <row r="137" spans="1:31" ht="30" customHeight="1" x14ac:dyDescent="0.2">
      <c r="A137" s="19" t="str">
        <f>IF(F137="","",LEFT($D$3,3)&amp;"-"&amp;TEXT(COUNTIF(F$14:F137,"?*"),"00"))</f>
        <v/>
      </c>
      <c r="B137" s="5"/>
      <c r="C137" s="6" t="str">
        <f t="shared" si="18"/>
        <v/>
      </c>
      <c r="D137" s="5"/>
      <c r="E137" s="5"/>
      <c r="F137" s="5"/>
      <c r="G137" s="5"/>
      <c r="H137" s="5"/>
      <c r="I137" s="5"/>
      <c r="J137" s="5"/>
      <c r="K137" s="15"/>
      <c r="L137" s="5"/>
      <c r="M137" s="15"/>
      <c r="N137" s="5"/>
      <c r="O137" s="15"/>
      <c r="P137" s="19" t="str">
        <f t="shared" si="19"/>
        <v/>
      </c>
      <c r="Q137" s="19" t="str">
        <f t="shared" si="20"/>
        <v/>
      </c>
      <c r="R137" s="19" t="str">
        <f t="shared" si="21"/>
        <v/>
      </c>
      <c r="S137" s="5"/>
      <c r="T137" s="5"/>
      <c r="U137" s="5"/>
      <c r="V137" s="24"/>
      <c r="W137" s="15"/>
      <c r="X137" s="15"/>
      <c r="Y137" s="15"/>
      <c r="Z137" s="19" t="str">
        <f t="shared" si="22"/>
        <v/>
      </c>
      <c r="AA137" s="19" t="str">
        <f t="shared" si="23"/>
        <v/>
      </c>
      <c r="AB137" s="5"/>
      <c r="AC137" s="5"/>
      <c r="AE137" t="str">
        <f>IFERROR(INDEX(EqTag,_xlfn.AGGREGATE(15,6,(ROW(EqTag)-4)/((EqSys=$D$3)*(EqTag&lt;&gt;"")),ROWS($AE$14:AE137))),"")</f>
        <v/>
      </c>
    </row>
    <row r="138" spans="1:31" ht="30" customHeight="1" x14ac:dyDescent="0.2">
      <c r="A138" s="19" t="str">
        <f>IF(F138="","",LEFT($D$3,3)&amp;"-"&amp;TEXT(COUNTIF(F$14:F138,"?*"),"00"))</f>
        <v/>
      </c>
      <c r="B138" s="5"/>
      <c r="C138" s="6" t="str">
        <f t="shared" si="18"/>
        <v/>
      </c>
      <c r="D138" s="5"/>
      <c r="E138" s="5"/>
      <c r="F138" s="5"/>
      <c r="G138" s="5"/>
      <c r="H138" s="5"/>
      <c r="I138" s="5"/>
      <c r="J138" s="5"/>
      <c r="K138" s="15"/>
      <c r="L138" s="5"/>
      <c r="M138" s="15"/>
      <c r="N138" s="5"/>
      <c r="O138" s="15"/>
      <c r="P138" s="19" t="str">
        <f t="shared" si="19"/>
        <v/>
      </c>
      <c r="Q138" s="19" t="str">
        <f t="shared" si="20"/>
        <v/>
      </c>
      <c r="R138" s="19" t="str">
        <f t="shared" si="21"/>
        <v/>
      </c>
      <c r="S138" s="5"/>
      <c r="T138" s="5"/>
      <c r="U138" s="5"/>
      <c r="V138" s="24"/>
      <c r="W138" s="15"/>
      <c r="X138" s="15"/>
      <c r="Y138" s="15"/>
      <c r="Z138" s="19" t="str">
        <f t="shared" si="22"/>
        <v/>
      </c>
      <c r="AA138" s="19" t="str">
        <f t="shared" si="23"/>
        <v/>
      </c>
      <c r="AB138" s="5"/>
      <c r="AC138" s="5"/>
      <c r="AE138" t="str">
        <f>IFERROR(INDEX(EqTag,_xlfn.AGGREGATE(15,6,(ROW(EqTag)-4)/((EqSys=$D$3)*(EqTag&lt;&gt;"")),ROWS($AE$14:AE138))),"")</f>
        <v/>
      </c>
    </row>
    <row r="139" spans="1:31" ht="30" customHeight="1" x14ac:dyDescent="0.2">
      <c r="A139" s="19" t="str">
        <f>IF(F139="","",LEFT($D$3,3)&amp;"-"&amp;TEXT(COUNTIF(F$14:F139,"?*"),"00"))</f>
        <v/>
      </c>
      <c r="B139" s="5"/>
      <c r="C139" s="6" t="str">
        <f t="shared" si="18"/>
        <v/>
      </c>
      <c r="D139" s="5"/>
      <c r="E139" s="5"/>
      <c r="F139" s="5"/>
      <c r="G139" s="5"/>
      <c r="H139" s="5"/>
      <c r="I139" s="5"/>
      <c r="J139" s="5"/>
      <c r="K139" s="15"/>
      <c r="L139" s="5"/>
      <c r="M139" s="15"/>
      <c r="N139" s="5"/>
      <c r="O139" s="15"/>
      <c r="P139" s="19" t="str">
        <f t="shared" si="19"/>
        <v/>
      </c>
      <c r="Q139" s="19" t="str">
        <f t="shared" si="20"/>
        <v/>
      </c>
      <c r="R139" s="19" t="str">
        <f t="shared" si="21"/>
        <v/>
      </c>
      <c r="S139" s="5"/>
      <c r="T139" s="5"/>
      <c r="U139" s="5"/>
      <c r="V139" s="24"/>
      <c r="W139" s="15"/>
      <c r="X139" s="15"/>
      <c r="Y139" s="15"/>
      <c r="Z139" s="19" t="str">
        <f t="shared" si="22"/>
        <v/>
      </c>
      <c r="AA139" s="19" t="str">
        <f t="shared" si="23"/>
        <v/>
      </c>
      <c r="AB139" s="5"/>
      <c r="AC139" s="5"/>
      <c r="AE139" t="str">
        <f>IFERROR(INDEX(EqTag,_xlfn.AGGREGATE(15,6,(ROW(EqTag)-4)/((EqSys=$D$3)*(EqTag&lt;&gt;"")),ROWS($AE$14:AE139))),"")</f>
        <v/>
      </c>
    </row>
    <row r="140" spans="1:31" ht="30" customHeight="1" x14ac:dyDescent="0.2">
      <c r="A140" s="19" t="str">
        <f>IF(F140="","",LEFT($D$3,3)&amp;"-"&amp;TEXT(COUNTIF(F$14:F140,"?*"),"00"))</f>
        <v/>
      </c>
      <c r="B140" s="5"/>
      <c r="C140" s="6" t="str">
        <f t="shared" si="18"/>
        <v/>
      </c>
      <c r="D140" s="5"/>
      <c r="E140" s="5"/>
      <c r="F140" s="5"/>
      <c r="G140" s="5"/>
      <c r="H140" s="5"/>
      <c r="I140" s="5"/>
      <c r="J140" s="5"/>
      <c r="K140" s="15"/>
      <c r="L140" s="5"/>
      <c r="M140" s="15"/>
      <c r="N140" s="5"/>
      <c r="O140" s="15"/>
      <c r="P140" s="19" t="str">
        <f t="shared" si="19"/>
        <v/>
      </c>
      <c r="Q140" s="19" t="str">
        <f t="shared" si="20"/>
        <v/>
      </c>
      <c r="R140" s="19" t="str">
        <f t="shared" si="21"/>
        <v/>
      </c>
      <c r="S140" s="5"/>
      <c r="T140" s="5"/>
      <c r="U140" s="5"/>
      <c r="V140" s="24"/>
      <c r="W140" s="15"/>
      <c r="X140" s="15"/>
      <c r="Y140" s="15"/>
      <c r="Z140" s="19" t="str">
        <f t="shared" si="22"/>
        <v/>
      </c>
      <c r="AA140" s="19" t="str">
        <f t="shared" si="23"/>
        <v/>
      </c>
      <c r="AB140" s="5"/>
      <c r="AC140" s="5"/>
      <c r="AE140" t="str">
        <f>IFERROR(INDEX(EqTag,_xlfn.AGGREGATE(15,6,(ROW(EqTag)-4)/((EqSys=$D$3)*(EqTag&lt;&gt;"")),ROWS($AE$14:AE140))),"")</f>
        <v/>
      </c>
    </row>
    <row r="141" spans="1:31" ht="30" customHeight="1" x14ac:dyDescent="0.2">
      <c r="A141" s="19" t="str">
        <f>IF(F141="","",LEFT($D$3,3)&amp;"-"&amp;TEXT(COUNTIF(F$14:F141,"?*"),"00"))</f>
        <v/>
      </c>
      <c r="B141" s="5"/>
      <c r="C141" s="6" t="str">
        <f t="shared" si="18"/>
        <v/>
      </c>
      <c r="D141" s="5"/>
      <c r="E141" s="5"/>
      <c r="F141" s="5"/>
      <c r="G141" s="5"/>
      <c r="H141" s="5"/>
      <c r="I141" s="5"/>
      <c r="J141" s="5"/>
      <c r="K141" s="15"/>
      <c r="L141" s="5"/>
      <c r="M141" s="15"/>
      <c r="N141" s="5"/>
      <c r="O141" s="15"/>
      <c r="P141" s="19" t="str">
        <f t="shared" si="19"/>
        <v/>
      </c>
      <c r="Q141" s="19" t="str">
        <f t="shared" si="20"/>
        <v/>
      </c>
      <c r="R141" s="19" t="str">
        <f t="shared" si="21"/>
        <v/>
      </c>
      <c r="S141" s="5"/>
      <c r="T141" s="5"/>
      <c r="U141" s="5"/>
      <c r="V141" s="24"/>
      <c r="W141" s="15"/>
      <c r="X141" s="15"/>
      <c r="Y141" s="15"/>
      <c r="Z141" s="19" t="str">
        <f t="shared" si="22"/>
        <v/>
      </c>
      <c r="AA141" s="19" t="str">
        <f t="shared" si="23"/>
        <v/>
      </c>
      <c r="AB141" s="5"/>
      <c r="AC141" s="5"/>
      <c r="AE141" t="str">
        <f>IFERROR(INDEX(EqTag,_xlfn.AGGREGATE(15,6,(ROW(EqTag)-4)/((EqSys=$D$3)*(EqTag&lt;&gt;"")),ROWS($AE$14:AE141))),"")</f>
        <v/>
      </c>
    </row>
    <row r="142" spans="1:31" ht="30" customHeight="1" x14ac:dyDescent="0.2">
      <c r="A142" s="19" t="str">
        <f>IF(F142="","",LEFT($D$3,3)&amp;"-"&amp;TEXT(COUNTIF(F$14:F142,"?*"),"00"))</f>
        <v/>
      </c>
      <c r="B142" s="5"/>
      <c r="C142" s="6" t="str">
        <f t="shared" ref="C142:C163" si="24">IF(B142="","",IFERROR(INDEX(EqTypeCol,MATCH(B142,EqTag,0)),"Tag not in register"))</f>
        <v/>
      </c>
      <c r="D142" s="5"/>
      <c r="E142" s="5"/>
      <c r="F142" s="5"/>
      <c r="G142" s="5"/>
      <c r="H142" s="5"/>
      <c r="I142" s="5"/>
      <c r="J142" s="5"/>
      <c r="K142" s="15"/>
      <c r="L142" s="5"/>
      <c r="M142" s="15"/>
      <c r="N142" s="5"/>
      <c r="O142" s="15"/>
      <c r="P142" s="19" t="str">
        <f t="shared" ref="P142:P163" si="25">IF(OR(K142="",M142="",O142=""),"",(--TRIM(LEFT(K142,2)))*(--TRIM(LEFT(M142,2)))*(--TRIM(LEFT(O142,2))))</f>
        <v/>
      </c>
      <c r="Q142" s="19" t="str">
        <f t="shared" ref="Q142:Q163" si="26">IF(OR(K142="",M142="",O142=""),"",INDEX(APGrid,COUNTIF(APS,"&gt;"&amp;(--TRIM(LEFT(K142,2))))*5+COUNTIF(APO,"&gt;"&amp;(--TRIM(LEFT(M142,2))))+1,COUNTIF(APD,"&gt;"&amp;(--TRIM(LEFT(O142,2))))+1))</f>
        <v/>
      </c>
      <c r="R142" s="19" t="str">
        <f t="shared" ref="R142:R163" si="27">IF(P142="","",IF(OR((--TRIM(LEFT(K142,2)))&gt;=SThr,P142&gt;=RPNThr,Q142="H"),"Yes","No"))</f>
        <v/>
      </c>
      <c r="S142" s="5"/>
      <c r="T142" s="5"/>
      <c r="U142" s="5"/>
      <c r="V142" s="24"/>
      <c r="W142" s="15"/>
      <c r="X142" s="15"/>
      <c r="Y142" s="15"/>
      <c r="Z142" s="19" t="str">
        <f t="shared" ref="Z142:Z163" si="28">IF(OR(W142="",X142="",Y142=""),"",(--TRIM(LEFT(W142,2)))*(--TRIM(LEFT(X142,2)))*(--TRIM(LEFT(Y142,2))))</f>
        <v/>
      </c>
      <c r="AA142" s="19" t="str">
        <f t="shared" ref="AA142:AA163" si="29">IF(OR(W142="",X142="",Y142=""),"",INDEX(APGrid,COUNTIF(APS,"&gt;"&amp;(--TRIM(LEFT(W142,2))))*5+COUNTIF(APO,"&gt;"&amp;(--TRIM(LEFT(X142,2))))+1,COUNTIF(APD,"&gt;"&amp;(--TRIM(LEFT(Y142,2))))+1))</f>
        <v/>
      </c>
      <c r="AB142" s="5"/>
      <c r="AC142" s="5"/>
      <c r="AE142" t="str">
        <f>IFERROR(INDEX(EqTag,_xlfn.AGGREGATE(15,6,(ROW(EqTag)-4)/((EqSys=$D$3)*(EqTag&lt;&gt;"")),ROWS($AE$14:AE142))),"")</f>
        <v/>
      </c>
    </row>
    <row r="143" spans="1:31" ht="30" customHeight="1" x14ac:dyDescent="0.2">
      <c r="A143" s="19" t="str">
        <f>IF(F143="","",LEFT($D$3,3)&amp;"-"&amp;TEXT(COUNTIF(F$14:F143,"?*"),"00"))</f>
        <v/>
      </c>
      <c r="B143" s="5"/>
      <c r="C143" s="6" t="str">
        <f t="shared" si="24"/>
        <v/>
      </c>
      <c r="D143" s="5"/>
      <c r="E143" s="5"/>
      <c r="F143" s="5"/>
      <c r="G143" s="5"/>
      <c r="H143" s="5"/>
      <c r="I143" s="5"/>
      <c r="J143" s="5"/>
      <c r="K143" s="15"/>
      <c r="L143" s="5"/>
      <c r="M143" s="15"/>
      <c r="N143" s="5"/>
      <c r="O143" s="15"/>
      <c r="P143" s="19" t="str">
        <f t="shared" si="25"/>
        <v/>
      </c>
      <c r="Q143" s="19" t="str">
        <f t="shared" si="26"/>
        <v/>
      </c>
      <c r="R143" s="19" t="str">
        <f t="shared" si="27"/>
        <v/>
      </c>
      <c r="S143" s="5"/>
      <c r="T143" s="5"/>
      <c r="U143" s="5"/>
      <c r="V143" s="24"/>
      <c r="W143" s="15"/>
      <c r="X143" s="15"/>
      <c r="Y143" s="15"/>
      <c r="Z143" s="19" t="str">
        <f t="shared" si="28"/>
        <v/>
      </c>
      <c r="AA143" s="19" t="str">
        <f t="shared" si="29"/>
        <v/>
      </c>
      <c r="AB143" s="5"/>
      <c r="AC143" s="5"/>
      <c r="AE143" t="str">
        <f>IFERROR(INDEX(EqTag,_xlfn.AGGREGATE(15,6,(ROW(EqTag)-4)/((EqSys=$D$3)*(EqTag&lt;&gt;"")),ROWS($AE$14:AE143))),"")</f>
        <v/>
      </c>
    </row>
    <row r="144" spans="1:31" ht="30" customHeight="1" x14ac:dyDescent="0.2">
      <c r="A144" s="19" t="str">
        <f>IF(F144="","",LEFT($D$3,3)&amp;"-"&amp;TEXT(COUNTIF(F$14:F144,"?*"),"00"))</f>
        <v/>
      </c>
      <c r="B144" s="5"/>
      <c r="C144" s="6" t="str">
        <f t="shared" si="24"/>
        <v/>
      </c>
      <c r="D144" s="5"/>
      <c r="E144" s="5"/>
      <c r="F144" s="5"/>
      <c r="G144" s="5"/>
      <c r="H144" s="5"/>
      <c r="I144" s="5"/>
      <c r="J144" s="5"/>
      <c r="K144" s="15"/>
      <c r="L144" s="5"/>
      <c r="M144" s="15"/>
      <c r="N144" s="5"/>
      <c r="O144" s="15"/>
      <c r="P144" s="19" t="str">
        <f t="shared" si="25"/>
        <v/>
      </c>
      <c r="Q144" s="19" t="str">
        <f t="shared" si="26"/>
        <v/>
      </c>
      <c r="R144" s="19" t="str">
        <f t="shared" si="27"/>
        <v/>
      </c>
      <c r="S144" s="5"/>
      <c r="T144" s="5"/>
      <c r="U144" s="5"/>
      <c r="V144" s="24"/>
      <c r="W144" s="15"/>
      <c r="X144" s="15"/>
      <c r="Y144" s="15"/>
      <c r="Z144" s="19" t="str">
        <f t="shared" si="28"/>
        <v/>
      </c>
      <c r="AA144" s="19" t="str">
        <f t="shared" si="29"/>
        <v/>
      </c>
      <c r="AB144" s="5"/>
      <c r="AC144" s="5"/>
      <c r="AE144" t="str">
        <f>IFERROR(INDEX(EqTag,_xlfn.AGGREGATE(15,6,(ROW(EqTag)-4)/((EqSys=$D$3)*(EqTag&lt;&gt;"")),ROWS($AE$14:AE144))),"")</f>
        <v/>
      </c>
    </row>
    <row r="145" spans="1:31" ht="30" customHeight="1" x14ac:dyDescent="0.2">
      <c r="A145" s="19" t="str">
        <f>IF(F145="","",LEFT($D$3,3)&amp;"-"&amp;TEXT(COUNTIF(F$14:F145,"?*"),"00"))</f>
        <v/>
      </c>
      <c r="B145" s="5"/>
      <c r="C145" s="6" t="str">
        <f t="shared" si="24"/>
        <v/>
      </c>
      <c r="D145" s="5"/>
      <c r="E145" s="5"/>
      <c r="F145" s="5"/>
      <c r="G145" s="5"/>
      <c r="H145" s="5"/>
      <c r="I145" s="5"/>
      <c r="J145" s="5"/>
      <c r="K145" s="15"/>
      <c r="L145" s="5"/>
      <c r="M145" s="15"/>
      <c r="N145" s="5"/>
      <c r="O145" s="15"/>
      <c r="P145" s="19" t="str">
        <f t="shared" si="25"/>
        <v/>
      </c>
      <c r="Q145" s="19" t="str">
        <f t="shared" si="26"/>
        <v/>
      </c>
      <c r="R145" s="19" t="str">
        <f t="shared" si="27"/>
        <v/>
      </c>
      <c r="S145" s="5"/>
      <c r="T145" s="5"/>
      <c r="U145" s="5"/>
      <c r="V145" s="24"/>
      <c r="W145" s="15"/>
      <c r="X145" s="15"/>
      <c r="Y145" s="15"/>
      <c r="Z145" s="19" t="str">
        <f t="shared" si="28"/>
        <v/>
      </c>
      <c r="AA145" s="19" t="str">
        <f t="shared" si="29"/>
        <v/>
      </c>
      <c r="AB145" s="5"/>
      <c r="AC145" s="5"/>
      <c r="AE145" t="str">
        <f>IFERROR(INDEX(EqTag,_xlfn.AGGREGATE(15,6,(ROW(EqTag)-4)/((EqSys=$D$3)*(EqTag&lt;&gt;"")),ROWS($AE$14:AE145))),"")</f>
        <v/>
      </c>
    </row>
    <row r="146" spans="1:31" ht="30" customHeight="1" x14ac:dyDescent="0.2">
      <c r="A146" s="19" t="str">
        <f>IF(F146="","",LEFT($D$3,3)&amp;"-"&amp;TEXT(COUNTIF(F$14:F146,"?*"),"00"))</f>
        <v/>
      </c>
      <c r="B146" s="5"/>
      <c r="C146" s="6" t="str">
        <f t="shared" si="24"/>
        <v/>
      </c>
      <c r="D146" s="5"/>
      <c r="E146" s="5"/>
      <c r="F146" s="5"/>
      <c r="G146" s="5"/>
      <c r="H146" s="5"/>
      <c r="I146" s="5"/>
      <c r="J146" s="5"/>
      <c r="K146" s="15"/>
      <c r="L146" s="5"/>
      <c r="M146" s="15"/>
      <c r="N146" s="5"/>
      <c r="O146" s="15"/>
      <c r="P146" s="19" t="str">
        <f t="shared" si="25"/>
        <v/>
      </c>
      <c r="Q146" s="19" t="str">
        <f t="shared" si="26"/>
        <v/>
      </c>
      <c r="R146" s="19" t="str">
        <f t="shared" si="27"/>
        <v/>
      </c>
      <c r="S146" s="5"/>
      <c r="T146" s="5"/>
      <c r="U146" s="5"/>
      <c r="V146" s="24"/>
      <c r="W146" s="15"/>
      <c r="X146" s="15"/>
      <c r="Y146" s="15"/>
      <c r="Z146" s="19" t="str">
        <f t="shared" si="28"/>
        <v/>
      </c>
      <c r="AA146" s="19" t="str">
        <f t="shared" si="29"/>
        <v/>
      </c>
      <c r="AB146" s="5"/>
      <c r="AC146" s="5"/>
      <c r="AE146" t="str">
        <f>IFERROR(INDEX(EqTag,_xlfn.AGGREGATE(15,6,(ROW(EqTag)-4)/((EqSys=$D$3)*(EqTag&lt;&gt;"")),ROWS($AE$14:AE146))),"")</f>
        <v/>
      </c>
    </row>
    <row r="147" spans="1:31" ht="30" customHeight="1" x14ac:dyDescent="0.2">
      <c r="A147" s="19" t="str">
        <f>IF(F147="","",LEFT($D$3,3)&amp;"-"&amp;TEXT(COUNTIF(F$14:F147,"?*"),"00"))</f>
        <v/>
      </c>
      <c r="B147" s="5"/>
      <c r="C147" s="6" t="str">
        <f t="shared" si="24"/>
        <v/>
      </c>
      <c r="D147" s="5"/>
      <c r="E147" s="5"/>
      <c r="F147" s="5"/>
      <c r="G147" s="5"/>
      <c r="H147" s="5"/>
      <c r="I147" s="5"/>
      <c r="J147" s="5"/>
      <c r="K147" s="15"/>
      <c r="L147" s="5"/>
      <c r="M147" s="15"/>
      <c r="N147" s="5"/>
      <c r="O147" s="15"/>
      <c r="P147" s="19" t="str">
        <f t="shared" si="25"/>
        <v/>
      </c>
      <c r="Q147" s="19" t="str">
        <f t="shared" si="26"/>
        <v/>
      </c>
      <c r="R147" s="19" t="str">
        <f t="shared" si="27"/>
        <v/>
      </c>
      <c r="S147" s="5"/>
      <c r="T147" s="5"/>
      <c r="U147" s="5"/>
      <c r="V147" s="24"/>
      <c r="W147" s="15"/>
      <c r="X147" s="15"/>
      <c r="Y147" s="15"/>
      <c r="Z147" s="19" t="str">
        <f t="shared" si="28"/>
        <v/>
      </c>
      <c r="AA147" s="19" t="str">
        <f t="shared" si="29"/>
        <v/>
      </c>
      <c r="AB147" s="5"/>
      <c r="AC147" s="5"/>
      <c r="AE147" t="str">
        <f>IFERROR(INDEX(EqTag,_xlfn.AGGREGATE(15,6,(ROW(EqTag)-4)/((EqSys=$D$3)*(EqTag&lt;&gt;"")),ROWS($AE$14:AE147))),"")</f>
        <v/>
      </c>
    </row>
    <row r="148" spans="1:31" ht="30" customHeight="1" x14ac:dyDescent="0.2">
      <c r="A148" s="19" t="str">
        <f>IF(F148="","",LEFT($D$3,3)&amp;"-"&amp;TEXT(COUNTIF(F$14:F148,"?*"),"00"))</f>
        <v/>
      </c>
      <c r="B148" s="5"/>
      <c r="C148" s="6" t="str">
        <f t="shared" si="24"/>
        <v/>
      </c>
      <c r="D148" s="5"/>
      <c r="E148" s="5"/>
      <c r="F148" s="5"/>
      <c r="G148" s="5"/>
      <c r="H148" s="5"/>
      <c r="I148" s="5"/>
      <c r="J148" s="5"/>
      <c r="K148" s="15"/>
      <c r="L148" s="5"/>
      <c r="M148" s="15"/>
      <c r="N148" s="5"/>
      <c r="O148" s="15"/>
      <c r="P148" s="19" t="str">
        <f t="shared" si="25"/>
        <v/>
      </c>
      <c r="Q148" s="19" t="str">
        <f t="shared" si="26"/>
        <v/>
      </c>
      <c r="R148" s="19" t="str">
        <f t="shared" si="27"/>
        <v/>
      </c>
      <c r="S148" s="5"/>
      <c r="T148" s="5"/>
      <c r="U148" s="5"/>
      <c r="V148" s="24"/>
      <c r="W148" s="15"/>
      <c r="X148" s="15"/>
      <c r="Y148" s="15"/>
      <c r="Z148" s="19" t="str">
        <f t="shared" si="28"/>
        <v/>
      </c>
      <c r="AA148" s="19" t="str">
        <f t="shared" si="29"/>
        <v/>
      </c>
      <c r="AB148" s="5"/>
      <c r="AC148" s="5"/>
      <c r="AE148" t="str">
        <f>IFERROR(INDEX(EqTag,_xlfn.AGGREGATE(15,6,(ROW(EqTag)-4)/((EqSys=$D$3)*(EqTag&lt;&gt;"")),ROWS($AE$14:AE148))),"")</f>
        <v/>
      </c>
    </row>
    <row r="149" spans="1:31" ht="30" customHeight="1" x14ac:dyDescent="0.2">
      <c r="A149" s="19" t="str">
        <f>IF(F149="","",LEFT($D$3,3)&amp;"-"&amp;TEXT(COUNTIF(F$14:F149,"?*"),"00"))</f>
        <v/>
      </c>
      <c r="B149" s="5"/>
      <c r="C149" s="6" t="str">
        <f t="shared" si="24"/>
        <v/>
      </c>
      <c r="D149" s="5"/>
      <c r="E149" s="5"/>
      <c r="F149" s="5"/>
      <c r="G149" s="5"/>
      <c r="H149" s="5"/>
      <c r="I149" s="5"/>
      <c r="J149" s="5"/>
      <c r="K149" s="15"/>
      <c r="L149" s="5"/>
      <c r="M149" s="15"/>
      <c r="N149" s="5"/>
      <c r="O149" s="15"/>
      <c r="P149" s="19" t="str">
        <f t="shared" si="25"/>
        <v/>
      </c>
      <c r="Q149" s="19" t="str">
        <f t="shared" si="26"/>
        <v/>
      </c>
      <c r="R149" s="19" t="str">
        <f t="shared" si="27"/>
        <v/>
      </c>
      <c r="S149" s="5"/>
      <c r="T149" s="5"/>
      <c r="U149" s="5"/>
      <c r="V149" s="24"/>
      <c r="W149" s="15"/>
      <c r="X149" s="15"/>
      <c r="Y149" s="15"/>
      <c r="Z149" s="19" t="str">
        <f t="shared" si="28"/>
        <v/>
      </c>
      <c r="AA149" s="19" t="str">
        <f t="shared" si="29"/>
        <v/>
      </c>
      <c r="AB149" s="5"/>
      <c r="AC149" s="5"/>
      <c r="AE149" t="str">
        <f>IFERROR(INDEX(EqTag,_xlfn.AGGREGATE(15,6,(ROW(EqTag)-4)/((EqSys=$D$3)*(EqTag&lt;&gt;"")),ROWS($AE$14:AE149))),"")</f>
        <v/>
      </c>
    </row>
    <row r="150" spans="1:31" ht="30" customHeight="1" x14ac:dyDescent="0.2">
      <c r="A150" s="19" t="str">
        <f>IF(F150="","",LEFT($D$3,3)&amp;"-"&amp;TEXT(COUNTIF(F$14:F150,"?*"),"00"))</f>
        <v/>
      </c>
      <c r="B150" s="5"/>
      <c r="C150" s="6" t="str">
        <f t="shared" si="24"/>
        <v/>
      </c>
      <c r="D150" s="5"/>
      <c r="E150" s="5"/>
      <c r="F150" s="5"/>
      <c r="G150" s="5"/>
      <c r="H150" s="5"/>
      <c r="I150" s="5"/>
      <c r="J150" s="5"/>
      <c r="K150" s="15"/>
      <c r="L150" s="5"/>
      <c r="M150" s="15"/>
      <c r="N150" s="5"/>
      <c r="O150" s="15"/>
      <c r="P150" s="19" t="str">
        <f t="shared" si="25"/>
        <v/>
      </c>
      <c r="Q150" s="19" t="str">
        <f t="shared" si="26"/>
        <v/>
      </c>
      <c r="R150" s="19" t="str">
        <f t="shared" si="27"/>
        <v/>
      </c>
      <c r="S150" s="5"/>
      <c r="T150" s="5"/>
      <c r="U150" s="5"/>
      <c r="V150" s="24"/>
      <c r="W150" s="15"/>
      <c r="X150" s="15"/>
      <c r="Y150" s="15"/>
      <c r="Z150" s="19" t="str">
        <f t="shared" si="28"/>
        <v/>
      </c>
      <c r="AA150" s="19" t="str">
        <f t="shared" si="29"/>
        <v/>
      </c>
      <c r="AB150" s="5"/>
      <c r="AC150" s="5"/>
      <c r="AE150" t="str">
        <f>IFERROR(INDEX(EqTag,_xlfn.AGGREGATE(15,6,(ROW(EqTag)-4)/((EqSys=$D$3)*(EqTag&lt;&gt;"")),ROWS($AE$14:AE150))),"")</f>
        <v/>
      </c>
    </row>
    <row r="151" spans="1:31" ht="30" customHeight="1" x14ac:dyDescent="0.2">
      <c r="A151" s="19" t="str">
        <f>IF(F151="","",LEFT($D$3,3)&amp;"-"&amp;TEXT(COUNTIF(F$14:F151,"?*"),"00"))</f>
        <v/>
      </c>
      <c r="B151" s="5"/>
      <c r="C151" s="6" t="str">
        <f t="shared" si="24"/>
        <v/>
      </c>
      <c r="D151" s="5"/>
      <c r="E151" s="5"/>
      <c r="F151" s="5"/>
      <c r="G151" s="5"/>
      <c r="H151" s="5"/>
      <c r="I151" s="5"/>
      <c r="J151" s="5"/>
      <c r="K151" s="15"/>
      <c r="L151" s="5"/>
      <c r="M151" s="15"/>
      <c r="N151" s="5"/>
      <c r="O151" s="15"/>
      <c r="P151" s="19" t="str">
        <f t="shared" si="25"/>
        <v/>
      </c>
      <c r="Q151" s="19" t="str">
        <f t="shared" si="26"/>
        <v/>
      </c>
      <c r="R151" s="19" t="str">
        <f t="shared" si="27"/>
        <v/>
      </c>
      <c r="S151" s="5"/>
      <c r="T151" s="5"/>
      <c r="U151" s="5"/>
      <c r="V151" s="24"/>
      <c r="W151" s="15"/>
      <c r="X151" s="15"/>
      <c r="Y151" s="15"/>
      <c r="Z151" s="19" t="str">
        <f t="shared" si="28"/>
        <v/>
      </c>
      <c r="AA151" s="19" t="str">
        <f t="shared" si="29"/>
        <v/>
      </c>
      <c r="AB151" s="5"/>
      <c r="AC151" s="5"/>
      <c r="AE151" t="str">
        <f>IFERROR(INDEX(EqTag,_xlfn.AGGREGATE(15,6,(ROW(EqTag)-4)/((EqSys=$D$3)*(EqTag&lt;&gt;"")),ROWS($AE$14:AE151))),"")</f>
        <v/>
      </c>
    </row>
    <row r="152" spans="1:31" ht="30" customHeight="1" x14ac:dyDescent="0.2">
      <c r="A152" s="19" t="str">
        <f>IF(F152="","",LEFT($D$3,3)&amp;"-"&amp;TEXT(COUNTIF(F$14:F152,"?*"),"00"))</f>
        <v/>
      </c>
      <c r="B152" s="5"/>
      <c r="C152" s="6" t="str">
        <f t="shared" si="24"/>
        <v/>
      </c>
      <c r="D152" s="5"/>
      <c r="E152" s="5"/>
      <c r="F152" s="5"/>
      <c r="G152" s="5"/>
      <c r="H152" s="5"/>
      <c r="I152" s="5"/>
      <c r="J152" s="5"/>
      <c r="K152" s="15"/>
      <c r="L152" s="5"/>
      <c r="M152" s="15"/>
      <c r="N152" s="5"/>
      <c r="O152" s="15"/>
      <c r="P152" s="19" t="str">
        <f t="shared" si="25"/>
        <v/>
      </c>
      <c r="Q152" s="19" t="str">
        <f t="shared" si="26"/>
        <v/>
      </c>
      <c r="R152" s="19" t="str">
        <f t="shared" si="27"/>
        <v/>
      </c>
      <c r="S152" s="5"/>
      <c r="T152" s="5"/>
      <c r="U152" s="5"/>
      <c r="V152" s="24"/>
      <c r="W152" s="15"/>
      <c r="X152" s="15"/>
      <c r="Y152" s="15"/>
      <c r="Z152" s="19" t="str">
        <f t="shared" si="28"/>
        <v/>
      </c>
      <c r="AA152" s="19" t="str">
        <f t="shared" si="29"/>
        <v/>
      </c>
      <c r="AB152" s="5"/>
      <c r="AC152" s="5"/>
      <c r="AE152" t="str">
        <f>IFERROR(INDEX(EqTag,_xlfn.AGGREGATE(15,6,(ROW(EqTag)-4)/((EqSys=$D$3)*(EqTag&lt;&gt;"")),ROWS($AE$14:AE152))),"")</f>
        <v/>
      </c>
    </row>
    <row r="153" spans="1:31" ht="30" customHeight="1" x14ac:dyDescent="0.2">
      <c r="A153" s="19" t="str">
        <f>IF(F153="","",LEFT($D$3,3)&amp;"-"&amp;TEXT(COUNTIF(F$14:F153,"?*"),"00"))</f>
        <v/>
      </c>
      <c r="B153" s="5"/>
      <c r="C153" s="6" t="str">
        <f t="shared" si="24"/>
        <v/>
      </c>
      <c r="D153" s="5"/>
      <c r="E153" s="5"/>
      <c r="F153" s="5"/>
      <c r="G153" s="5"/>
      <c r="H153" s="5"/>
      <c r="I153" s="5"/>
      <c r="J153" s="5"/>
      <c r="K153" s="15"/>
      <c r="L153" s="5"/>
      <c r="M153" s="15"/>
      <c r="N153" s="5"/>
      <c r="O153" s="15"/>
      <c r="P153" s="19" t="str">
        <f t="shared" si="25"/>
        <v/>
      </c>
      <c r="Q153" s="19" t="str">
        <f t="shared" si="26"/>
        <v/>
      </c>
      <c r="R153" s="19" t="str">
        <f t="shared" si="27"/>
        <v/>
      </c>
      <c r="S153" s="5"/>
      <c r="T153" s="5"/>
      <c r="U153" s="5"/>
      <c r="V153" s="24"/>
      <c r="W153" s="15"/>
      <c r="X153" s="15"/>
      <c r="Y153" s="15"/>
      <c r="Z153" s="19" t="str">
        <f t="shared" si="28"/>
        <v/>
      </c>
      <c r="AA153" s="19" t="str">
        <f t="shared" si="29"/>
        <v/>
      </c>
      <c r="AB153" s="5"/>
      <c r="AC153" s="5"/>
      <c r="AE153" t="str">
        <f>IFERROR(INDEX(EqTag,_xlfn.AGGREGATE(15,6,(ROW(EqTag)-4)/((EqSys=$D$3)*(EqTag&lt;&gt;"")),ROWS($AE$14:AE153))),"")</f>
        <v/>
      </c>
    </row>
    <row r="154" spans="1:31" ht="30" customHeight="1" x14ac:dyDescent="0.2">
      <c r="A154" s="19" t="str">
        <f>IF(F154="","",LEFT($D$3,3)&amp;"-"&amp;TEXT(COUNTIF(F$14:F154,"?*"),"00"))</f>
        <v/>
      </c>
      <c r="B154" s="5"/>
      <c r="C154" s="6" t="str">
        <f t="shared" si="24"/>
        <v/>
      </c>
      <c r="D154" s="5"/>
      <c r="E154" s="5"/>
      <c r="F154" s="5"/>
      <c r="G154" s="5"/>
      <c r="H154" s="5"/>
      <c r="I154" s="5"/>
      <c r="J154" s="5"/>
      <c r="K154" s="15"/>
      <c r="L154" s="5"/>
      <c r="M154" s="15"/>
      <c r="N154" s="5"/>
      <c r="O154" s="15"/>
      <c r="P154" s="19" t="str">
        <f t="shared" si="25"/>
        <v/>
      </c>
      <c r="Q154" s="19" t="str">
        <f t="shared" si="26"/>
        <v/>
      </c>
      <c r="R154" s="19" t="str">
        <f t="shared" si="27"/>
        <v/>
      </c>
      <c r="S154" s="5"/>
      <c r="T154" s="5"/>
      <c r="U154" s="5"/>
      <c r="V154" s="24"/>
      <c r="W154" s="15"/>
      <c r="X154" s="15"/>
      <c r="Y154" s="15"/>
      <c r="Z154" s="19" t="str">
        <f t="shared" si="28"/>
        <v/>
      </c>
      <c r="AA154" s="19" t="str">
        <f t="shared" si="29"/>
        <v/>
      </c>
      <c r="AB154" s="5"/>
      <c r="AC154" s="5"/>
      <c r="AE154" t="str">
        <f>IFERROR(INDEX(EqTag,_xlfn.AGGREGATE(15,6,(ROW(EqTag)-4)/((EqSys=$D$3)*(EqTag&lt;&gt;"")),ROWS($AE$14:AE154))),"")</f>
        <v/>
      </c>
    </row>
    <row r="155" spans="1:31" ht="30" customHeight="1" x14ac:dyDescent="0.2">
      <c r="A155" s="19" t="str">
        <f>IF(F155="","",LEFT($D$3,3)&amp;"-"&amp;TEXT(COUNTIF(F$14:F155,"?*"),"00"))</f>
        <v/>
      </c>
      <c r="B155" s="5"/>
      <c r="C155" s="6" t="str">
        <f t="shared" si="24"/>
        <v/>
      </c>
      <c r="D155" s="5"/>
      <c r="E155" s="5"/>
      <c r="F155" s="5"/>
      <c r="G155" s="5"/>
      <c r="H155" s="5"/>
      <c r="I155" s="5"/>
      <c r="J155" s="5"/>
      <c r="K155" s="15"/>
      <c r="L155" s="5"/>
      <c r="M155" s="15"/>
      <c r="N155" s="5"/>
      <c r="O155" s="15"/>
      <c r="P155" s="19" t="str">
        <f t="shared" si="25"/>
        <v/>
      </c>
      <c r="Q155" s="19" t="str">
        <f t="shared" si="26"/>
        <v/>
      </c>
      <c r="R155" s="19" t="str">
        <f t="shared" si="27"/>
        <v/>
      </c>
      <c r="S155" s="5"/>
      <c r="T155" s="5"/>
      <c r="U155" s="5"/>
      <c r="V155" s="24"/>
      <c r="W155" s="15"/>
      <c r="X155" s="15"/>
      <c r="Y155" s="15"/>
      <c r="Z155" s="19" t="str">
        <f t="shared" si="28"/>
        <v/>
      </c>
      <c r="AA155" s="19" t="str">
        <f t="shared" si="29"/>
        <v/>
      </c>
      <c r="AB155" s="5"/>
      <c r="AC155" s="5"/>
      <c r="AE155" t="str">
        <f>IFERROR(INDEX(EqTag,_xlfn.AGGREGATE(15,6,(ROW(EqTag)-4)/((EqSys=$D$3)*(EqTag&lt;&gt;"")),ROWS($AE$14:AE155))),"")</f>
        <v/>
      </c>
    </row>
    <row r="156" spans="1:31" ht="30" customHeight="1" x14ac:dyDescent="0.2">
      <c r="A156" s="19" t="str">
        <f>IF(F156="","",LEFT($D$3,3)&amp;"-"&amp;TEXT(COUNTIF(F$14:F156,"?*"),"00"))</f>
        <v/>
      </c>
      <c r="B156" s="5"/>
      <c r="C156" s="6" t="str">
        <f t="shared" si="24"/>
        <v/>
      </c>
      <c r="D156" s="5"/>
      <c r="E156" s="5"/>
      <c r="F156" s="5"/>
      <c r="G156" s="5"/>
      <c r="H156" s="5"/>
      <c r="I156" s="5"/>
      <c r="J156" s="5"/>
      <c r="K156" s="15"/>
      <c r="L156" s="5"/>
      <c r="M156" s="15"/>
      <c r="N156" s="5"/>
      <c r="O156" s="15"/>
      <c r="P156" s="19" t="str">
        <f t="shared" si="25"/>
        <v/>
      </c>
      <c r="Q156" s="19" t="str">
        <f t="shared" si="26"/>
        <v/>
      </c>
      <c r="R156" s="19" t="str">
        <f t="shared" si="27"/>
        <v/>
      </c>
      <c r="S156" s="5"/>
      <c r="T156" s="5"/>
      <c r="U156" s="5"/>
      <c r="V156" s="24"/>
      <c r="W156" s="15"/>
      <c r="X156" s="15"/>
      <c r="Y156" s="15"/>
      <c r="Z156" s="19" t="str">
        <f t="shared" si="28"/>
        <v/>
      </c>
      <c r="AA156" s="19" t="str">
        <f t="shared" si="29"/>
        <v/>
      </c>
      <c r="AB156" s="5"/>
      <c r="AC156" s="5"/>
      <c r="AE156" t="str">
        <f>IFERROR(INDEX(EqTag,_xlfn.AGGREGATE(15,6,(ROW(EqTag)-4)/((EqSys=$D$3)*(EqTag&lt;&gt;"")),ROWS($AE$14:AE156))),"")</f>
        <v/>
      </c>
    </row>
    <row r="157" spans="1:31" ht="30" customHeight="1" x14ac:dyDescent="0.2">
      <c r="A157" s="19" t="str">
        <f>IF(F157="","",LEFT($D$3,3)&amp;"-"&amp;TEXT(COUNTIF(F$14:F157,"?*"),"00"))</f>
        <v/>
      </c>
      <c r="B157" s="5"/>
      <c r="C157" s="6" t="str">
        <f t="shared" si="24"/>
        <v/>
      </c>
      <c r="D157" s="5"/>
      <c r="E157" s="5"/>
      <c r="F157" s="5"/>
      <c r="G157" s="5"/>
      <c r="H157" s="5"/>
      <c r="I157" s="5"/>
      <c r="J157" s="5"/>
      <c r="K157" s="15"/>
      <c r="L157" s="5"/>
      <c r="M157" s="15"/>
      <c r="N157" s="5"/>
      <c r="O157" s="15"/>
      <c r="P157" s="19" t="str">
        <f t="shared" si="25"/>
        <v/>
      </c>
      <c r="Q157" s="19" t="str">
        <f t="shared" si="26"/>
        <v/>
      </c>
      <c r="R157" s="19" t="str">
        <f t="shared" si="27"/>
        <v/>
      </c>
      <c r="S157" s="5"/>
      <c r="T157" s="5"/>
      <c r="U157" s="5"/>
      <c r="V157" s="24"/>
      <c r="W157" s="15"/>
      <c r="X157" s="15"/>
      <c r="Y157" s="15"/>
      <c r="Z157" s="19" t="str">
        <f t="shared" si="28"/>
        <v/>
      </c>
      <c r="AA157" s="19" t="str">
        <f t="shared" si="29"/>
        <v/>
      </c>
      <c r="AB157" s="5"/>
      <c r="AC157" s="5"/>
      <c r="AE157" t="str">
        <f>IFERROR(INDEX(EqTag,_xlfn.AGGREGATE(15,6,(ROW(EqTag)-4)/((EqSys=$D$3)*(EqTag&lt;&gt;"")),ROWS($AE$14:AE157))),"")</f>
        <v/>
      </c>
    </row>
    <row r="158" spans="1:31" ht="30" customHeight="1" x14ac:dyDescent="0.2">
      <c r="A158" s="19" t="str">
        <f>IF(F158="","",LEFT($D$3,3)&amp;"-"&amp;TEXT(COUNTIF(F$14:F158,"?*"),"00"))</f>
        <v/>
      </c>
      <c r="B158" s="5"/>
      <c r="C158" s="6" t="str">
        <f t="shared" si="24"/>
        <v/>
      </c>
      <c r="D158" s="5"/>
      <c r="E158" s="5"/>
      <c r="F158" s="5"/>
      <c r="G158" s="5"/>
      <c r="H158" s="5"/>
      <c r="I158" s="5"/>
      <c r="J158" s="5"/>
      <c r="K158" s="15"/>
      <c r="L158" s="5"/>
      <c r="M158" s="15"/>
      <c r="N158" s="5"/>
      <c r="O158" s="15"/>
      <c r="P158" s="19" t="str">
        <f t="shared" si="25"/>
        <v/>
      </c>
      <c r="Q158" s="19" t="str">
        <f t="shared" si="26"/>
        <v/>
      </c>
      <c r="R158" s="19" t="str">
        <f t="shared" si="27"/>
        <v/>
      </c>
      <c r="S158" s="5"/>
      <c r="T158" s="5"/>
      <c r="U158" s="5"/>
      <c r="V158" s="24"/>
      <c r="W158" s="15"/>
      <c r="X158" s="15"/>
      <c r="Y158" s="15"/>
      <c r="Z158" s="19" t="str">
        <f t="shared" si="28"/>
        <v/>
      </c>
      <c r="AA158" s="19" t="str">
        <f t="shared" si="29"/>
        <v/>
      </c>
      <c r="AB158" s="5"/>
      <c r="AC158" s="5"/>
      <c r="AE158" t="str">
        <f>IFERROR(INDEX(EqTag,_xlfn.AGGREGATE(15,6,(ROW(EqTag)-4)/((EqSys=$D$3)*(EqTag&lt;&gt;"")),ROWS($AE$14:AE158))),"")</f>
        <v/>
      </c>
    </row>
    <row r="159" spans="1:31" ht="30" customHeight="1" x14ac:dyDescent="0.2">
      <c r="A159" s="19" t="str">
        <f>IF(F159="","",LEFT($D$3,3)&amp;"-"&amp;TEXT(COUNTIF(F$14:F159,"?*"),"00"))</f>
        <v/>
      </c>
      <c r="B159" s="5"/>
      <c r="C159" s="6" t="str">
        <f t="shared" si="24"/>
        <v/>
      </c>
      <c r="D159" s="5"/>
      <c r="E159" s="5"/>
      <c r="F159" s="5"/>
      <c r="G159" s="5"/>
      <c r="H159" s="5"/>
      <c r="I159" s="5"/>
      <c r="J159" s="5"/>
      <c r="K159" s="15"/>
      <c r="L159" s="5"/>
      <c r="M159" s="15"/>
      <c r="N159" s="5"/>
      <c r="O159" s="15"/>
      <c r="P159" s="19" t="str">
        <f t="shared" si="25"/>
        <v/>
      </c>
      <c r="Q159" s="19" t="str">
        <f t="shared" si="26"/>
        <v/>
      </c>
      <c r="R159" s="19" t="str">
        <f t="shared" si="27"/>
        <v/>
      </c>
      <c r="S159" s="5"/>
      <c r="T159" s="5"/>
      <c r="U159" s="5"/>
      <c r="V159" s="24"/>
      <c r="W159" s="15"/>
      <c r="X159" s="15"/>
      <c r="Y159" s="15"/>
      <c r="Z159" s="19" t="str">
        <f t="shared" si="28"/>
        <v/>
      </c>
      <c r="AA159" s="19" t="str">
        <f t="shared" si="29"/>
        <v/>
      </c>
      <c r="AB159" s="5"/>
      <c r="AC159" s="5"/>
      <c r="AE159" t="str">
        <f>IFERROR(INDEX(EqTag,_xlfn.AGGREGATE(15,6,(ROW(EqTag)-4)/((EqSys=$D$3)*(EqTag&lt;&gt;"")),ROWS($AE$14:AE159))),"")</f>
        <v/>
      </c>
    </row>
    <row r="160" spans="1:31" ht="30" customHeight="1" x14ac:dyDescent="0.2">
      <c r="A160" s="19" t="str">
        <f>IF(F160="","",LEFT($D$3,3)&amp;"-"&amp;TEXT(COUNTIF(F$14:F160,"?*"),"00"))</f>
        <v/>
      </c>
      <c r="B160" s="5"/>
      <c r="C160" s="6" t="str">
        <f t="shared" si="24"/>
        <v/>
      </c>
      <c r="D160" s="5"/>
      <c r="E160" s="5"/>
      <c r="F160" s="5"/>
      <c r="G160" s="5"/>
      <c r="H160" s="5"/>
      <c r="I160" s="5"/>
      <c r="J160" s="5"/>
      <c r="K160" s="15"/>
      <c r="L160" s="5"/>
      <c r="M160" s="15"/>
      <c r="N160" s="5"/>
      <c r="O160" s="15"/>
      <c r="P160" s="19" t="str">
        <f t="shared" si="25"/>
        <v/>
      </c>
      <c r="Q160" s="19" t="str">
        <f t="shared" si="26"/>
        <v/>
      </c>
      <c r="R160" s="19" t="str">
        <f t="shared" si="27"/>
        <v/>
      </c>
      <c r="S160" s="5"/>
      <c r="T160" s="5"/>
      <c r="U160" s="5"/>
      <c r="V160" s="24"/>
      <c r="W160" s="15"/>
      <c r="X160" s="15"/>
      <c r="Y160" s="15"/>
      <c r="Z160" s="19" t="str">
        <f t="shared" si="28"/>
        <v/>
      </c>
      <c r="AA160" s="19" t="str">
        <f t="shared" si="29"/>
        <v/>
      </c>
      <c r="AB160" s="5"/>
      <c r="AC160" s="5"/>
      <c r="AE160" t="str">
        <f>IFERROR(INDEX(EqTag,_xlfn.AGGREGATE(15,6,(ROW(EqTag)-4)/((EqSys=$D$3)*(EqTag&lt;&gt;"")),ROWS($AE$14:AE160))),"")</f>
        <v/>
      </c>
    </row>
    <row r="161" spans="1:31" ht="30" customHeight="1" x14ac:dyDescent="0.2">
      <c r="A161" s="19" t="str">
        <f>IF(F161="","",LEFT($D$3,3)&amp;"-"&amp;TEXT(COUNTIF(F$14:F161,"?*"),"00"))</f>
        <v/>
      </c>
      <c r="B161" s="5"/>
      <c r="C161" s="6" t="str">
        <f t="shared" si="24"/>
        <v/>
      </c>
      <c r="D161" s="5"/>
      <c r="E161" s="5"/>
      <c r="F161" s="5"/>
      <c r="G161" s="5"/>
      <c r="H161" s="5"/>
      <c r="I161" s="5"/>
      <c r="J161" s="5"/>
      <c r="K161" s="15"/>
      <c r="L161" s="5"/>
      <c r="M161" s="15"/>
      <c r="N161" s="5"/>
      <c r="O161" s="15"/>
      <c r="P161" s="19" t="str">
        <f t="shared" si="25"/>
        <v/>
      </c>
      <c r="Q161" s="19" t="str">
        <f t="shared" si="26"/>
        <v/>
      </c>
      <c r="R161" s="19" t="str">
        <f t="shared" si="27"/>
        <v/>
      </c>
      <c r="S161" s="5"/>
      <c r="T161" s="5"/>
      <c r="U161" s="5"/>
      <c r="V161" s="24"/>
      <c r="W161" s="15"/>
      <c r="X161" s="15"/>
      <c r="Y161" s="15"/>
      <c r="Z161" s="19" t="str">
        <f t="shared" si="28"/>
        <v/>
      </c>
      <c r="AA161" s="19" t="str">
        <f t="shared" si="29"/>
        <v/>
      </c>
      <c r="AB161" s="5"/>
      <c r="AC161" s="5"/>
      <c r="AE161" t="str">
        <f>IFERROR(INDEX(EqTag,_xlfn.AGGREGATE(15,6,(ROW(EqTag)-4)/((EqSys=$D$3)*(EqTag&lt;&gt;"")),ROWS($AE$14:AE161))),"")</f>
        <v/>
      </c>
    </row>
    <row r="162" spans="1:31" ht="30" customHeight="1" x14ac:dyDescent="0.2">
      <c r="A162" s="19" t="str">
        <f>IF(F162="","",LEFT($D$3,3)&amp;"-"&amp;TEXT(COUNTIF(F$14:F162,"?*"),"00"))</f>
        <v/>
      </c>
      <c r="B162" s="5"/>
      <c r="C162" s="6" t="str">
        <f t="shared" si="24"/>
        <v/>
      </c>
      <c r="D162" s="5"/>
      <c r="E162" s="5"/>
      <c r="F162" s="5"/>
      <c r="G162" s="5"/>
      <c r="H162" s="5"/>
      <c r="I162" s="5"/>
      <c r="J162" s="5"/>
      <c r="K162" s="15"/>
      <c r="L162" s="5"/>
      <c r="M162" s="15"/>
      <c r="N162" s="5"/>
      <c r="O162" s="15"/>
      <c r="P162" s="19" t="str">
        <f t="shared" si="25"/>
        <v/>
      </c>
      <c r="Q162" s="19" t="str">
        <f t="shared" si="26"/>
        <v/>
      </c>
      <c r="R162" s="19" t="str">
        <f t="shared" si="27"/>
        <v/>
      </c>
      <c r="S162" s="5"/>
      <c r="T162" s="5"/>
      <c r="U162" s="5"/>
      <c r="V162" s="24"/>
      <c r="W162" s="15"/>
      <c r="X162" s="15"/>
      <c r="Y162" s="15"/>
      <c r="Z162" s="19" t="str">
        <f t="shared" si="28"/>
        <v/>
      </c>
      <c r="AA162" s="19" t="str">
        <f t="shared" si="29"/>
        <v/>
      </c>
      <c r="AB162" s="5"/>
      <c r="AC162" s="5"/>
      <c r="AE162" t="str">
        <f>IFERROR(INDEX(EqTag,_xlfn.AGGREGATE(15,6,(ROW(EqTag)-4)/((EqSys=$D$3)*(EqTag&lt;&gt;"")),ROWS($AE$14:AE162))),"")</f>
        <v/>
      </c>
    </row>
    <row r="163" spans="1:31" ht="30" customHeight="1" x14ac:dyDescent="0.2">
      <c r="A163" s="19" t="str">
        <f>IF(F163="","",LEFT($D$3,3)&amp;"-"&amp;TEXT(COUNTIF(F$14:F163,"?*"),"00"))</f>
        <v/>
      </c>
      <c r="B163" s="5"/>
      <c r="C163" s="6" t="str">
        <f t="shared" si="24"/>
        <v/>
      </c>
      <c r="D163" s="5"/>
      <c r="E163" s="5"/>
      <c r="F163" s="5"/>
      <c r="G163" s="5"/>
      <c r="H163" s="5"/>
      <c r="I163" s="5"/>
      <c r="J163" s="5"/>
      <c r="K163" s="15"/>
      <c r="L163" s="5"/>
      <c r="M163" s="15"/>
      <c r="N163" s="5"/>
      <c r="O163" s="15"/>
      <c r="P163" s="19" t="str">
        <f t="shared" si="25"/>
        <v/>
      </c>
      <c r="Q163" s="19" t="str">
        <f t="shared" si="26"/>
        <v/>
      </c>
      <c r="R163" s="19" t="str">
        <f t="shared" si="27"/>
        <v/>
      </c>
      <c r="S163" s="5"/>
      <c r="T163" s="5"/>
      <c r="U163" s="5"/>
      <c r="V163" s="24"/>
      <c r="W163" s="15"/>
      <c r="X163" s="15"/>
      <c r="Y163" s="15"/>
      <c r="Z163" s="19" t="str">
        <f t="shared" si="28"/>
        <v/>
      </c>
      <c r="AA163" s="19" t="str">
        <f t="shared" si="29"/>
        <v/>
      </c>
      <c r="AB163" s="5"/>
      <c r="AC163" s="5"/>
      <c r="AE163" t="str">
        <f>IFERROR(INDEX(EqTag,_xlfn.AGGREGATE(15,6,(ROW(EqTag)-4)/((EqSys=$D$3)*(EqTag&lt;&gt;"")),ROWS($AE$14:AE163))),"")</f>
        <v/>
      </c>
    </row>
  </sheetData>
  <mergeCells count="22">
    <mergeCell ref="S12:V12"/>
    <mergeCell ref="D8:O8"/>
    <mergeCell ref="AB12:AC12"/>
    <mergeCell ref="K12:R12"/>
    <mergeCell ref="D5:O5"/>
    <mergeCell ref="W12:AA12"/>
    <mergeCell ref="A11:O11"/>
    <mergeCell ref="A7:C7"/>
    <mergeCell ref="D6:O6"/>
    <mergeCell ref="D3:J3"/>
    <mergeCell ref="A3:C3"/>
    <mergeCell ref="A12:F12"/>
    <mergeCell ref="D7:O7"/>
    <mergeCell ref="L3:M3"/>
    <mergeCell ref="A5:C5"/>
    <mergeCell ref="A8:C8"/>
    <mergeCell ref="G12:J12"/>
    <mergeCell ref="D4:O4"/>
    <mergeCell ref="D9:O9"/>
    <mergeCell ref="A4:C4"/>
    <mergeCell ref="A9:C9"/>
    <mergeCell ref="A6:C6"/>
  </mergeCells>
  <phoneticPr fontId="14" type="noConversion"/>
  <conditionalFormatting sqref="Q14:Q163">
    <cfRule type="expression" dxfId="92" priority="1">
      <formula>Q14="H"</formula>
    </cfRule>
    <cfRule type="expression" dxfId="91" priority="3">
      <formula>Q14="M"</formula>
    </cfRule>
    <cfRule type="expression" dxfId="90" priority="5">
      <formula>Q14="L"</formula>
    </cfRule>
  </conditionalFormatting>
  <conditionalFormatting sqref="AA14:AA163">
    <cfRule type="expression" dxfId="89" priority="2">
      <formula>AA14="H"</formula>
    </cfRule>
    <cfRule type="expression" dxfId="88" priority="4">
      <formula>AA14="M"</formula>
    </cfRule>
    <cfRule type="expression" dxfId="87" priority="6">
      <formula>AA14="L"</formula>
    </cfRule>
  </conditionalFormatting>
  <conditionalFormatting sqref="R14:R163">
    <cfRule type="expression" dxfId="86" priority="7">
      <formula>R14="Yes"</formula>
    </cfRule>
  </conditionalFormatting>
  <conditionalFormatting sqref="P14:P163">
    <cfRule type="expression" dxfId="85" priority="8">
      <formula>AND(ISNUMBER(P14),P14&gt;=RPNThr)</formula>
    </cfRule>
  </conditionalFormatting>
  <conditionalFormatting sqref="Z14:Z163">
    <cfRule type="expression" dxfId="84" priority="9">
      <formula>AND(ISNUMBER(Z14),Z14&gt;=RPNThr)</formula>
    </cfRule>
  </conditionalFormatting>
  <dataValidations count="10">
    <dataValidation type="list" allowBlank="1" showInputMessage="1" showErrorMessage="1" promptTitle="Select" prompt="Choose the system analysed on this sheet" sqref="D3" xr:uid="{00000000-0002-0000-0700-000000000000}">
      <formula1>SystemList</formula1>
    </dataValidation>
    <dataValidation type="list" errorStyle="information" allowBlank="1" showInputMessage="1" showErrorMessage="1" errorTitle="Not in list" error="Entry is not in the list – it will be accepted as free text." promptTitle="Select" prompt="Equipment tags of the selected system (from the Equipment Register)" sqref="B14:B163" xr:uid="{00000000-0002-0000-0700-000001000000}">
      <formula1>OFFSET($AE$14,0,0,MAX(1,COUNTIFS(EqSys,$D$3,EqTag,"?*")),1)</formula1>
    </dataValidation>
    <dataValidation type="list" errorStyle="information" allowBlank="1" showInputMessage="1" showErrorMessage="1" errorTitle="Not in list" error="Entry is not in the list – it will be accepted as free text." promptTitle="Select" prompt="Components for this equipment type – or type your own" sqref="D14:D163" xr:uid="{00000000-0002-0000-0700-000002000000}">
      <formula1>OFFSET(CompStart,MATCH($C14,CompType,0)-1,0,MAX(1,COUNTIF(CompType,$C14)),1)</formula1>
    </dataValidation>
    <dataValidation type="list" errorStyle="information" allowBlank="1" showInputMessage="1" showErrorMessage="1" errorTitle="Not in list" error="Entry is not in the list – it will be accepted as free text." promptTitle="Select" prompt="Failure modes for this equipment type – or type your own" sqref="F14:F163" xr:uid="{00000000-0002-0000-0700-000003000000}">
      <formula1>OFFSET(FMStart,MATCH($C14,FMType,0)-1,0,MAX(1,COUNTIF(FMType,$C14)),1)</formula1>
    </dataValidation>
    <dataValidation type="list" allowBlank="1" showInputMessage="1" promptTitle="Multi-select" prompt="Pick a cause – each pick is added as a new line; pick again to remove." sqref="G14:G163" xr:uid="{00000000-0002-0000-0700-000004000000}">
      <formula1>MechList</formula1>
    </dataValidation>
    <dataValidation type="list" allowBlank="1" showInputMessage="1" promptTitle="Multi-select" prompt="Pick a detection method – each pick is added as a new line; pick again to remove." sqref="N14:N163" xr:uid="{00000000-0002-0000-0700-000005000000}">
      <formula1>DetList</formula1>
    </dataValidation>
    <dataValidation type="list" errorStyle="information" allowBlank="1" showErrorMessage="1" errorTitle="Not in list" error="Entry is not in the list – it will be accepted as free text." sqref="T14:T163" xr:uid="{00000000-0002-0000-0700-000006000000}">
      <formula1>TaskList</formula1>
    </dataValidation>
    <dataValidation type="list" allowBlank="1" showErrorMessage="1" sqref="K14:K163 W14:W163" xr:uid="{00000000-0002-0000-0700-000007000000}">
      <formula1>SevList</formula1>
    </dataValidation>
    <dataValidation type="list" allowBlank="1" showErrorMessage="1" sqref="M14:M163 X14:X163" xr:uid="{00000000-0002-0000-0700-000008000000}">
      <formula1>OccList</formula1>
    </dataValidation>
    <dataValidation type="list" allowBlank="1" showErrorMessage="1" sqref="O14:O163 Y14:Y163" xr:uid="{00000000-0002-0000-0700-000009000000}">
      <formula1>DetScaleList</formula1>
    </dataValidation>
  </dataValidations>
  <pageMargins left="0.75" right="0.75" top="1" bottom="1" header="0.5" footer="0.5"/>
  <pageSetup paperSize="8" fitToHeight="0"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AE163"/>
  <sheetViews>
    <sheetView workbookViewId="0">
      <pane xSplit="2" ySplit="13" topLeftCell="C14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7" customWidth="1"/>
    <col min="2" max="2" width="14" customWidth="1"/>
    <col min="3" max="4" width="22" customWidth="1"/>
    <col min="5" max="5" width="26" customWidth="1"/>
    <col min="6" max="6" width="28" customWidth="1"/>
    <col min="7" max="7" width="44" customWidth="1"/>
    <col min="8" max="9" width="28" customWidth="1"/>
    <col min="10" max="10" width="32" customWidth="1"/>
    <col min="11" max="11" width="18" customWidth="1"/>
    <col min="12" max="12" width="30" customWidth="1"/>
    <col min="13" max="13" width="18" customWidth="1"/>
    <col min="14" max="14" width="38" customWidth="1"/>
    <col min="15" max="15" width="18" customWidth="1"/>
    <col min="16" max="16" width="7" customWidth="1"/>
    <col min="17" max="17" width="6" customWidth="1"/>
    <col min="18" max="18" width="9" customWidth="1"/>
    <col min="19" max="19" width="34" customWidth="1"/>
    <col min="20" max="20" width="22" customWidth="1"/>
    <col min="21" max="21" width="14" customWidth="1"/>
    <col min="22" max="22" width="12" customWidth="1"/>
    <col min="23" max="25" width="18" customWidth="1"/>
    <col min="26" max="26" width="7" customWidth="1"/>
    <col min="27" max="27" width="6" customWidth="1"/>
    <col min="28" max="28" width="12" customWidth="1"/>
    <col min="29" max="29" width="24" customWidth="1"/>
    <col min="31" max="31" width="13" hidden="1" customWidth="1"/>
  </cols>
  <sheetData>
    <row r="1" spans="1:31" ht="18" x14ac:dyDescent="0.2">
      <c r="A1" s="21" t="s">
        <v>820</v>
      </c>
      <c r="F1" s="22" t="str">
        <f>Cover!B7</f>
        <v>FMECA – [Plant / Unit name]</v>
      </c>
    </row>
    <row r="3" spans="1:31" x14ac:dyDescent="0.2">
      <c r="A3" s="28" t="s">
        <v>821</v>
      </c>
      <c r="B3" s="29"/>
      <c r="C3" s="30"/>
      <c r="D3" s="26" t="s">
        <v>227</v>
      </c>
      <c r="E3" s="27"/>
      <c r="F3" s="27"/>
      <c r="G3" s="27"/>
      <c r="H3" s="27"/>
      <c r="I3" s="27"/>
      <c r="J3" s="27"/>
      <c r="K3" s="23" t="s">
        <v>822</v>
      </c>
      <c r="L3" s="34"/>
      <c r="M3" s="27"/>
      <c r="N3" s="23" t="s">
        <v>823</v>
      </c>
      <c r="O3" s="19">
        <f>IF($D$3="","",COUNTIFS(EqSys,$D$3,EqTag,"?*"))</f>
        <v>8</v>
      </c>
    </row>
    <row r="4" spans="1:31" ht="16" customHeight="1" x14ac:dyDescent="0.2">
      <c r="A4" s="35" t="s">
        <v>824</v>
      </c>
      <c r="B4" s="27"/>
      <c r="C4" s="27"/>
      <c r="D4" s="33" t="str">
        <f>IF($D$3="","",IFERROR(INDEX(Systems!$B$5:$B$34,MATCH($D$3,Systems!$C$5:$C$34,0))&amp;"",""))</f>
        <v>N2 fire detection, inerting &amp; extinguishing system</v>
      </c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</row>
    <row r="5" spans="1:31" ht="30" customHeight="1" x14ac:dyDescent="0.2">
      <c r="A5" s="35" t="s">
        <v>140</v>
      </c>
      <c r="B5" s="27"/>
      <c r="C5" s="27"/>
      <c r="D5" s="33" t="str">
        <f>IF($D$3="","",IFERROR(INDEX(Systems!$D$5:$D$34,MATCH($D$3,Systems!$C$5:$C$34,0))&amp;"",""))</f>
        <v>Detect a stoppage under load or a fire and flood the conveyor enclosure with N2 within the design time (PFDavg target per fault tree / LOPA)</v>
      </c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</row>
    <row r="6" spans="1:31" ht="30" customHeight="1" x14ac:dyDescent="0.2">
      <c r="A6" s="35" t="s">
        <v>24</v>
      </c>
      <c r="B6" s="27"/>
      <c r="C6" s="27"/>
      <c r="D6" s="33" t="str">
        <f>IF($D$3="","",IFERROR(INDEX(Systems!$E$5:$E$34,MATCH($D$3,Systems!$C$5:$C$34,0))&amp;"",""))</f>
        <v>Standby protection system on demand; 1oo2 release valves; buffer vessel from plant N2; six-monthly function and blow-through test</v>
      </c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</row>
    <row r="7" spans="1:31" ht="30" customHeight="1" x14ac:dyDescent="0.2">
      <c r="A7" s="35" t="s">
        <v>142</v>
      </c>
      <c r="B7" s="27"/>
      <c r="C7" s="27"/>
      <c r="D7" s="33" t="str">
        <f>IF($D$3="","",IFERROR(INDEX(Systems!$F$5:$F$34,MATCH($D$3,Systems!$C$5:$C$34,0))&amp;"",""))</f>
        <v>From the plant N2 isolation valve via buffer vessel V-212, PCV-211, XV-210A/B to nozzles in the hood; detectors and control panel UCP-210</v>
      </c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</row>
    <row r="8" spans="1:31" ht="16" customHeight="1" x14ac:dyDescent="0.2">
      <c r="A8" s="35" t="s">
        <v>143</v>
      </c>
      <c r="B8" s="27"/>
      <c r="C8" s="27"/>
      <c r="D8" s="33" t="str">
        <f>IF($D$3="","",IFERROR(INDEX(Systems!$G$5:$G$34,MATCH($D$3,Systems!$C$5:$C$34,0))&amp;"",""))</f>
        <v>P&amp;ID-N2-305</v>
      </c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</row>
    <row r="9" spans="1:31" ht="16" customHeight="1" x14ac:dyDescent="0.2">
      <c r="A9" s="35" t="s">
        <v>144</v>
      </c>
      <c r="B9" s="27"/>
      <c r="C9" s="27"/>
      <c r="D9" s="33" t="str">
        <f>IF($D$3="","",IFERROR(INDEX(Systems!$H$5:$H$34,MATCH($D$3,Systems!$C$5:$C$34,0))&amp;"",""))</f>
        <v>HAZOP N02</v>
      </c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</row>
    <row r="11" spans="1:31" ht="26" customHeight="1" x14ac:dyDescent="0.2">
      <c r="A11" s="36" t="s">
        <v>825</v>
      </c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</row>
    <row r="12" spans="1:31" x14ac:dyDescent="0.2">
      <c r="A12" s="31" t="s">
        <v>826</v>
      </c>
      <c r="B12" s="32"/>
      <c r="C12" s="32"/>
      <c r="D12" s="32"/>
      <c r="E12" s="32"/>
      <c r="F12" s="32"/>
      <c r="G12" s="31" t="s">
        <v>827</v>
      </c>
      <c r="H12" s="32"/>
      <c r="I12" s="32"/>
      <c r="J12" s="32"/>
      <c r="K12" s="31" t="s">
        <v>828</v>
      </c>
      <c r="L12" s="32"/>
      <c r="M12" s="32"/>
      <c r="N12" s="32"/>
      <c r="O12" s="32"/>
      <c r="P12" s="32"/>
      <c r="Q12" s="32"/>
      <c r="R12" s="32"/>
      <c r="S12" s="31" t="s">
        <v>829</v>
      </c>
      <c r="T12" s="32"/>
      <c r="U12" s="32"/>
      <c r="V12" s="32"/>
      <c r="W12" s="31" t="s">
        <v>830</v>
      </c>
      <c r="X12" s="32"/>
      <c r="Y12" s="32"/>
      <c r="Z12" s="32"/>
      <c r="AA12" s="32"/>
      <c r="AB12" s="31" t="s">
        <v>831</v>
      </c>
      <c r="AC12" s="32"/>
    </row>
    <row r="13" spans="1:31" ht="54" customHeight="1" x14ac:dyDescent="0.2">
      <c r="A13" s="8" t="s">
        <v>62</v>
      </c>
      <c r="B13" s="8" t="s">
        <v>192</v>
      </c>
      <c r="C13" s="8" t="s">
        <v>832</v>
      </c>
      <c r="D13" s="8" t="s">
        <v>260</v>
      </c>
      <c r="E13" s="8" t="s">
        <v>833</v>
      </c>
      <c r="F13" s="8" t="s">
        <v>261</v>
      </c>
      <c r="G13" s="8" t="s">
        <v>834</v>
      </c>
      <c r="H13" s="8" t="s">
        <v>835</v>
      </c>
      <c r="I13" s="8" t="s">
        <v>836</v>
      </c>
      <c r="J13" s="8" t="s">
        <v>837</v>
      </c>
      <c r="K13" s="8" t="s">
        <v>685</v>
      </c>
      <c r="L13" s="8" t="s">
        <v>838</v>
      </c>
      <c r="M13" s="8" t="s">
        <v>718</v>
      </c>
      <c r="N13" s="8" t="s">
        <v>839</v>
      </c>
      <c r="O13" s="8" t="s">
        <v>739</v>
      </c>
      <c r="P13" s="8" t="s">
        <v>840</v>
      </c>
      <c r="Q13" s="8" t="s">
        <v>841</v>
      </c>
      <c r="R13" s="8" t="s">
        <v>842</v>
      </c>
      <c r="S13" s="8" t="s">
        <v>843</v>
      </c>
      <c r="T13" s="8" t="s">
        <v>264</v>
      </c>
      <c r="U13" s="8" t="s">
        <v>844</v>
      </c>
      <c r="V13" s="8" t="s">
        <v>845</v>
      </c>
      <c r="W13" s="8" t="s">
        <v>685</v>
      </c>
      <c r="X13" s="8" t="s">
        <v>718</v>
      </c>
      <c r="Y13" s="8" t="s">
        <v>739</v>
      </c>
      <c r="Z13" s="8" t="s">
        <v>846</v>
      </c>
      <c r="AA13" s="8" t="s">
        <v>847</v>
      </c>
      <c r="AB13" s="8" t="s">
        <v>848</v>
      </c>
      <c r="AC13" s="8" t="s">
        <v>68</v>
      </c>
    </row>
    <row r="14" spans="1:31" ht="75" customHeight="1" x14ac:dyDescent="0.2">
      <c r="A14" s="19" t="str">
        <f>IF(F14="","",LEFT($D$3,3)&amp;"-"&amp;TEXT(COUNTIF(F$14:F14,"?*"),"00"))</f>
        <v>S02-01</v>
      </c>
      <c r="B14" s="5" t="s">
        <v>236</v>
      </c>
      <c r="C14" s="6" t="str">
        <f t="shared" ref="C14:C45" si="0">IF(B14="","",IFERROR(INDEX(EqTypeCol,MATCH(B14,EqTag,0)),"Tag not in register"))</f>
        <v>Isolation / ESD valve</v>
      </c>
      <c r="D14" s="5" t="s">
        <v>498</v>
      </c>
      <c r="E14" s="5" t="s">
        <v>859</v>
      </c>
      <c r="F14" s="5" t="s">
        <v>521</v>
      </c>
      <c r="G14" s="5" t="s">
        <v>860</v>
      </c>
      <c r="H14" s="5" t="s">
        <v>861</v>
      </c>
      <c r="I14" s="5" t="s">
        <v>862</v>
      </c>
      <c r="J14" s="5" t="s">
        <v>863</v>
      </c>
      <c r="K14" s="15" t="s">
        <v>691</v>
      </c>
      <c r="L14" s="5" t="s">
        <v>864</v>
      </c>
      <c r="M14" s="15" t="s">
        <v>729</v>
      </c>
      <c r="N14" s="5" t="s">
        <v>865</v>
      </c>
      <c r="O14" s="15" t="s">
        <v>746</v>
      </c>
      <c r="P14" s="19">
        <f t="shared" ref="P14:P45" si="1">IF(OR(K14="",M14="",O14=""),"",(--TRIM(LEFT(K14,2)))*(--TRIM(LEFT(M14,2)))*(--TRIM(LEFT(O14,2))))</f>
        <v>288</v>
      </c>
      <c r="Q14" s="19" t="str">
        <f t="shared" ref="Q14:Q45" si="2">IF(OR(K14="",M14="",O14=""),"",INDEX(APGrid,COUNTIF(APS,"&gt;"&amp;(--TRIM(LEFT(K14,2))))*5+COUNTIF(APO,"&gt;"&amp;(--TRIM(LEFT(M14,2))))+1,COUNTIF(APD,"&gt;"&amp;(--TRIM(LEFT(O14,2))))+1))</f>
        <v>H</v>
      </c>
      <c r="R14" s="19" t="str">
        <f t="shared" ref="R14:R45" si="3">IF(P14="","",IF(OR((--TRIM(LEFT(K14,2)))&gt;=SThr,P14&gt;=RPNThr,Q14="H"),"Yes","No"))</f>
        <v>Yes</v>
      </c>
      <c r="S14" s="5" t="s">
        <v>866</v>
      </c>
      <c r="T14" s="5" t="s">
        <v>283</v>
      </c>
      <c r="U14" s="5" t="s">
        <v>867</v>
      </c>
      <c r="V14" s="24"/>
      <c r="W14" s="15" t="s">
        <v>691</v>
      </c>
      <c r="X14" s="15" t="s">
        <v>731</v>
      </c>
      <c r="Y14" s="15" t="s">
        <v>727</v>
      </c>
      <c r="Z14" s="19">
        <f t="shared" ref="Z14:Z45" si="4">IF(OR(W14="",X14="",Y14=""),"",(--TRIM(LEFT(W14,2)))*(--TRIM(LEFT(X14,2)))*(--TRIM(LEFT(Y14,2))))</f>
        <v>135</v>
      </c>
      <c r="AA14" s="19" t="str">
        <f t="shared" ref="AA14:AA45" si="5">IF(OR(W14="",X14="",Y14=""),"",INDEX(APGrid,COUNTIF(APS,"&gt;"&amp;(--TRIM(LEFT(W14,2))))*5+COUNTIF(APO,"&gt;"&amp;(--TRIM(LEFT(X14,2))))+1,COUNTIF(APD,"&gt;"&amp;(--TRIM(LEFT(Y14,2))))+1))</f>
        <v>M</v>
      </c>
      <c r="AB14" s="5" t="s">
        <v>868</v>
      </c>
      <c r="AC14" s="5"/>
      <c r="AD14" s="25" t="s">
        <v>858</v>
      </c>
      <c r="AE14" t="str">
        <f>IFERROR(INDEX(EqTag,_xlfn.AGGREGATE(15,6,(ROW(EqTag)-4)/((EqSys=$D$3)*(EqTag&lt;&gt;"")),ROWS($AE$14:AE14))),"")</f>
        <v>V-212</v>
      </c>
    </row>
    <row r="15" spans="1:31" ht="30" customHeight="1" x14ac:dyDescent="0.2">
      <c r="A15" s="19" t="str">
        <f>IF(F15="","",LEFT($D$3,3)&amp;"-"&amp;TEXT(COUNTIF(F$14:F15,"?*"),"00"))</f>
        <v/>
      </c>
      <c r="B15" s="5"/>
      <c r="C15" s="6" t="str">
        <f t="shared" si="0"/>
        <v/>
      </c>
      <c r="D15" s="5"/>
      <c r="E15" s="5"/>
      <c r="F15" s="5"/>
      <c r="G15" s="5"/>
      <c r="H15" s="5"/>
      <c r="I15" s="5"/>
      <c r="J15" s="5"/>
      <c r="K15" s="15"/>
      <c r="L15" s="5"/>
      <c r="M15" s="15"/>
      <c r="N15" s="5"/>
      <c r="O15" s="15"/>
      <c r="P15" s="19" t="str">
        <f t="shared" si="1"/>
        <v/>
      </c>
      <c r="Q15" s="19" t="str">
        <f t="shared" si="2"/>
        <v/>
      </c>
      <c r="R15" s="19" t="str">
        <f t="shared" si="3"/>
        <v/>
      </c>
      <c r="S15" s="5"/>
      <c r="T15" s="5"/>
      <c r="U15" s="5"/>
      <c r="V15" s="24"/>
      <c r="W15" s="15"/>
      <c r="X15" s="15"/>
      <c r="Y15" s="15"/>
      <c r="Z15" s="19" t="str">
        <f t="shared" si="4"/>
        <v/>
      </c>
      <c r="AA15" s="19" t="str">
        <f t="shared" si="5"/>
        <v/>
      </c>
      <c r="AB15" s="5"/>
      <c r="AC15" s="5"/>
      <c r="AE15" t="str">
        <f>IFERROR(INDEX(EqTag,_xlfn.AGGREGATE(15,6,(ROW(EqTag)-4)/((EqSys=$D$3)*(EqTag&lt;&gt;"")),ROWS($AE$14:AE15))),"")</f>
        <v>PCV-211</v>
      </c>
    </row>
    <row r="16" spans="1:31" ht="30" customHeight="1" x14ac:dyDescent="0.2">
      <c r="A16" s="19" t="str">
        <f>IF(F16="","",LEFT($D$3,3)&amp;"-"&amp;TEXT(COUNTIF(F$14:F16,"?*"),"00"))</f>
        <v/>
      </c>
      <c r="B16" s="5"/>
      <c r="C16" s="6" t="str">
        <f t="shared" si="0"/>
        <v/>
      </c>
      <c r="D16" s="5"/>
      <c r="E16" s="5"/>
      <c r="F16" s="5"/>
      <c r="G16" s="5"/>
      <c r="H16" s="5"/>
      <c r="I16" s="5"/>
      <c r="J16" s="5"/>
      <c r="K16" s="15"/>
      <c r="L16" s="5"/>
      <c r="M16" s="15"/>
      <c r="N16" s="5"/>
      <c r="O16" s="15"/>
      <c r="P16" s="19" t="str">
        <f t="shared" si="1"/>
        <v/>
      </c>
      <c r="Q16" s="19" t="str">
        <f t="shared" si="2"/>
        <v/>
      </c>
      <c r="R16" s="19" t="str">
        <f t="shared" si="3"/>
        <v/>
      </c>
      <c r="S16" s="5"/>
      <c r="T16" s="5"/>
      <c r="U16" s="5"/>
      <c r="V16" s="24"/>
      <c r="W16" s="15"/>
      <c r="X16" s="15"/>
      <c r="Y16" s="15"/>
      <c r="Z16" s="19" t="str">
        <f t="shared" si="4"/>
        <v/>
      </c>
      <c r="AA16" s="19" t="str">
        <f t="shared" si="5"/>
        <v/>
      </c>
      <c r="AB16" s="5"/>
      <c r="AC16" s="5"/>
      <c r="AE16" t="str">
        <f>IFERROR(INDEX(EqTag,_xlfn.AGGREGATE(15,6,(ROW(EqTag)-4)/((EqSys=$D$3)*(EqTag&lt;&gt;"")),ROWS($AE$14:AE16))),"")</f>
        <v>XV-210A</v>
      </c>
    </row>
    <row r="17" spans="1:31" ht="30" customHeight="1" x14ac:dyDescent="0.2">
      <c r="A17" s="19" t="str">
        <f>IF(F17="","",LEFT($D$3,3)&amp;"-"&amp;TEXT(COUNTIF(F$14:F17,"?*"),"00"))</f>
        <v/>
      </c>
      <c r="B17" s="5"/>
      <c r="C17" s="6" t="str">
        <f t="shared" si="0"/>
        <v/>
      </c>
      <c r="D17" s="5"/>
      <c r="E17" s="5"/>
      <c r="F17" s="5"/>
      <c r="G17" s="5"/>
      <c r="H17" s="5"/>
      <c r="I17" s="5"/>
      <c r="J17" s="5"/>
      <c r="K17" s="15"/>
      <c r="L17" s="5"/>
      <c r="M17" s="15"/>
      <c r="N17" s="5"/>
      <c r="O17" s="15"/>
      <c r="P17" s="19" t="str">
        <f t="shared" si="1"/>
        <v/>
      </c>
      <c r="Q17" s="19" t="str">
        <f t="shared" si="2"/>
        <v/>
      </c>
      <c r="R17" s="19" t="str">
        <f t="shared" si="3"/>
        <v/>
      </c>
      <c r="S17" s="5"/>
      <c r="T17" s="5"/>
      <c r="U17" s="5"/>
      <c r="V17" s="24"/>
      <c r="W17" s="15"/>
      <c r="X17" s="15"/>
      <c r="Y17" s="15"/>
      <c r="Z17" s="19" t="str">
        <f t="shared" si="4"/>
        <v/>
      </c>
      <c r="AA17" s="19" t="str">
        <f t="shared" si="5"/>
        <v/>
      </c>
      <c r="AB17" s="5"/>
      <c r="AC17" s="5"/>
      <c r="AE17" t="str">
        <f>IFERROR(INDEX(EqTag,_xlfn.AGGREGATE(15,6,(ROW(EqTag)-4)/((EqSys=$D$3)*(EqTag&lt;&gt;"")),ROWS($AE$14:AE17))),"")</f>
        <v>XV-210B</v>
      </c>
    </row>
    <row r="18" spans="1:31" ht="30" customHeight="1" x14ac:dyDescent="0.2">
      <c r="A18" s="19" t="str">
        <f>IF(F18="","",LEFT($D$3,3)&amp;"-"&amp;TEXT(COUNTIF(F$14:F18,"?*"),"00"))</f>
        <v/>
      </c>
      <c r="B18" s="5"/>
      <c r="C18" s="6" t="str">
        <f t="shared" si="0"/>
        <v/>
      </c>
      <c r="D18" s="5"/>
      <c r="E18" s="5"/>
      <c r="F18" s="5"/>
      <c r="G18" s="5"/>
      <c r="H18" s="5"/>
      <c r="I18" s="5"/>
      <c r="J18" s="5"/>
      <c r="K18" s="15"/>
      <c r="L18" s="5"/>
      <c r="M18" s="15"/>
      <c r="N18" s="5"/>
      <c r="O18" s="15"/>
      <c r="P18" s="19" t="str">
        <f t="shared" si="1"/>
        <v/>
      </c>
      <c r="Q18" s="19" t="str">
        <f t="shared" si="2"/>
        <v/>
      </c>
      <c r="R18" s="19" t="str">
        <f t="shared" si="3"/>
        <v/>
      </c>
      <c r="S18" s="5"/>
      <c r="T18" s="5"/>
      <c r="U18" s="5"/>
      <c r="V18" s="24"/>
      <c r="W18" s="15"/>
      <c r="X18" s="15"/>
      <c r="Y18" s="15"/>
      <c r="Z18" s="19" t="str">
        <f t="shared" si="4"/>
        <v/>
      </c>
      <c r="AA18" s="19" t="str">
        <f t="shared" si="5"/>
        <v/>
      </c>
      <c r="AB18" s="5"/>
      <c r="AC18" s="5"/>
      <c r="AE18" t="str">
        <f>IFERROR(INDEX(EqTag,_xlfn.AGGREGATE(15,6,(ROW(EqTag)-4)/((EqSys=$D$3)*(EqTag&lt;&gt;"")),ROWS($AE$14:AE18))),"")</f>
        <v>GD-201A</v>
      </c>
    </row>
    <row r="19" spans="1:31" ht="30" customHeight="1" x14ac:dyDescent="0.2">
      <c r="A19" s="19" t="str">
        <f>IF(F19="","",LEFT($D$3,3)&amp;"-"&amp;TEXT(COUNTIF(F$14:F19,"?*"),"00"))</f>
        <v/>
      </c>
      <c r="B19" s="5"/>
      <c r="C19" s="6" t="str">
        <f t="shared" si="0"/>
        <v/>
      </c>
      <c r="D19" s="5"/>
      <c r="E19" s="5"/>
      <c r="F19" s="5"/>
      <c r="G19" s="5"/>
      <c r="H19" s="5"/>
      <c r="I19" s="5"/>
      <c r="J19" s="5"/>
      <c r="K19" s="15"/>
      <c r="L19" s="5"/>
      <c r="M19" s="15"/>
      <c r="N19" s="5"/>
      <c r="O19" s="15"/>
      <c r="P19" s="19" t="str">
        <f t="shared" si="1"/>
        <v/>
      </c>
      <c r="Q19" s="19" t="str">
        <f t="shared" si="2"/>
        <v/>
      </c>
      <c r="R19" s="19" t="str">
        <f t="shared" si="3"/>
        <v/>
      </c>
      <c r="S19" s="5"/>
      <c r="T19" s="5"/>
      <c r="U19" s="5"/>
      <c r="V19" s="24"/>
      <c r="W19" s="15"/>
      <c r="X19" s="15"/>
      <c r="Y19" s="15"/>
      <c r="Z19" s="19" t="str">
        <f t="shared" si="4"/>
        <v/>
      </c>
      <c r="AA19" s="19" t="str">
        <f t="shared" si="5"/>
        <v/>
      </c>
      <c r="AB19" s="5"/>
      <c r="AC19" s="5"/>
      <c r="AE19" t="str">
        <f>IFERROR(INDEX(EqTag,_xlfn.AGGREGATE(15,6,(ROW(EqTag)-4)/((EqSys=$D$3)*(EqTag&lt;&gt;"")),ROWS($AE$14:AE19))),"")</f>
        <v>GD-201B</v>
      </c>
    </row>
    <row r="20" spans="1:31" ht="30" customHeight="1" x14ac:dyDescent="0.2">
      <c r="A20" s="19" t="str">
        <f>IF(F20="","",LEFT($D$3,3)&amp;"-"&amp;TEXT(COUNTIF(F$14:F20,"?*"),"00"))</f>
        <v/>
      </c>
      <c r="B20" s="5"/>
      <c r="C20" s="6" t="str">
        <f t="shared" si="0"/>
        <v/>
      </c>
      <c r="D20" s="5"/>
      <c r="E20" s="5"/>
      <c r="F20" s="5"/>
      <c r="G20" s="5"/>
      <c r="H20" s="5"/>
      <c r="I20" s="5"/>
      <c r="J20" s="5"/>
      <c r="K20" s="15"/>
      <c r="L20" s="5"/>
      <c r="M20" s="15"/>
      <c r="N20" s="5"/>
      <c r="O20" s="15"/>
      <c r="P20" s="19" t="str">
        <f t="shared" si="1"/>
        <v/>
      </c>
      <c r="Q20" s="19" t="str">
        <f t="shared" si="2"/>
        <v/>
      </c>
      <c r="R20" s="19" t="str">
        <f t="shared" si="3"/>
        <v/>
      </c>
      <c r="S20" s="5"/>
      <c r="T20" s="5"/>
      <c r="U20" s="5"/>
      <c r="V20" s="24"/>
      <c r="W20" s="15"/>
      <c r="X20" s="15"/>
      <c r="Y20" s="15"/>
      <c r="Z20" s="19" t="str">
        <f t="shared" si="4"/>
        <v/>
      </c>
      <c r="AA20" s="19" t="str">
        <f t="shared" si="5"/>
        <v/>
      </c>
      <c r="AB20" s="5"/>
      <c r="AC20" s="5"/>
      <c r="AE20" t="str">
        <f>IFERROR(INDEX(EqTag,_xlfn.AGGREGATE(15,6,(ROW(EqTag)-4)/((EqSys=$D$3)*(EqTag&lt;&gt;"")),ROWS($AE$14:AE20))),"")</f>
        <v>PSL-205</v>
      </c>
    </row>
    <row r="21" spans="1:31" ht="30" customHeight="1" x14ac:dyDescent="0.2">
      <c r="A21" s="19" t="str">
        <f>IF(F21="","",LEFT($D$3,3)&amp;"-"&amp;TEXT(COUNTIF(F$14:F21,"?*"),"00"))</f>
        <v/>
      </c>
      <c r="B21" s="5"/>
      <c r="C21" s="6" t="str">
        <f t="shared" si="0"/>
        <v/>
      </c>
      <c r="D21" s="5"/>
      <c r="E21" s="5"/>
      <c r="F21" s="5"/>
      <c r="G21" s="5"/>
      <c r="H21" s="5"/>
      <c r="I21" s="5"/>
      <c r="J21" s="5"/>
      <c r="K21" s="15"/>
      <c r="L21" s="5"/>
      <c r="M21" s="15"/>
      <c r="N21" s="5"/>
      <c r="O21" s="15"/>
      <c r="P21" s="19" t="str">
        <f t="shared" si="1"/>
        <v/>
      </c>
      <c r="Q21" s="19" t="str">
        <f t="shared" si="2"/>
        <v/>
      </c>
      <c r="R21" s="19" t="str">
        <f t="shared" si="3"/>
        <v/>
      </c>
      <c r="S21" s="5"/>
      <c r="T21" s="5"/>
      <c r="U21" s="5"/>
      <c r="V21" s="24"/>
      <c r="W21" s="15"/>
      <c r="X21" s="15"/>
      <c r="Y21" s="15"/>
      <c r="Z21" s="19" t="str">
        <f t="shared" si="4"/>
        <v/>
      </c>
      <c r="AA21" s="19" t="str">
        <f t="shared" si="5"/>
        <v/>
      </c>
      <c r="AB21" s="5"/>
      <c r="AC21" s="5"/>
      <c r="AE21" t="str">
        <f>IFERROR(INDEX(EqTag,_xlfn.AGGREGATE(15,6,(ROW(EqTag)-4)/((EqSys=$D$3)*(EqTag&lt;&gt;"")),ROWS($AE$14:AE21))),"")</f>
        <v>UCP-210</v>
      </c>
    </row>
    <row r="22" spans="1:31" ht="30" customHeight="1" x14ac:dyDescent="0.2">
      <c r="A22" s="19" t="str">
        <f>IF(F22="","",LEFT($D$3,3)&amp;"-"&amp;TEXT(COUNTIF(F$14:F22,"?*"),"00"))</f>
        <v/>
      </c>
      <c r="B22" s="5"/>
      <c r="C22" s="6" t="str">
        <f t="shared" si="0"/>
        <v/>
      </c>
      <c r="D22" s="5"/>
      <c r="E22" s="5"/>
      <c r="F22" s="5"/>
      <c r="G22" s="5"/>
      <c r="H22" s="5"/>
      <c r="I22" s="5"/>
      <c r="J22" s="5"/>
      <c r="K22" s="15"/>
      <c r="L22" s="5"/>
      <c r="M22" s="15"/>
      <c r="N22" s="5"/>
      <c r="O22" s="15"/>
      <c r="P22" s="19" t="str">
        <f t="shared" si="1"/>
        <v/>
      </c>
      <c r="Q22" s="19" t="str">
        <f t="shared" si="2"/>
        <v/>
      </c>
      <c r="R22" s="19" t="str">
        <f t="shared" si="3"/>
        <v/>
      </c>
      <c r="S22" s="5"/>
      <c r="T22" s="5"/>
      <c r="U22" s="5"/>
      <c r="V22" s="24"/>
      <c r="W22" s="15"/>
      <c r="X22" s="15"/>
      <c r="Y22" s="15"/>
      <c r="Z22" s="19" t="str">
        <f t="shared" si="4"/>
        <v/>
      </c>
      <c r="AA22" s="19" t="str">
        <f t="shared" si="5"/>
        <v/>
      </c>
      <c r="AB22" s="5"/>
      <c r="AC22" s="5"/>
      <c r="AE22" t="str">
        <f>IFERROR(INDEX(EqTag,_xlfn.AGGREGATE(15,6,(ROW(EqTag)-4)/((EqSys=$D$3)*(EqTag&lt;&gt;"")),ROWS($AE$14:AE22))),"")</f>
        <v/>
      </c>
    </row>
    <row r="23" spans="1:31" ht="30" customHeight="1" x14ac:dyDescent="0.2">
      <c r="A23" s="19" t="str">
        <f>IF(F23="","",LEFT($D$3,3)&amp;"-"&amp;TEXT(COUNTIF(F$14:F23,"?*"),"00"))</f>
        <v/>
      </c>
      <c r="B23" s="5"/>
      <c r="C23" s="6" t="str">
        <f t="shared" si="0"/>
        <v/>
      </c>
      <c r="D23" s="5"/>
      <c r="E23" s="5"/>
      <c r="F23" s="5"/>
      <c r="G23" s="5"/>
      <c r="H23" s="5"/>
      <c r="I23" s="5"/>
      <c r="J23" s="5"/>
      <c r="K23" s="15"/>
      <c r="L23" s="5"/>
      <c r="M23" s="15"/>
      <c r="N23" s="5"/>
      <c r="O23" s="15"/>
      <c r="P23" s="19" t="str">
        <f t="shared" si="1"/>
        <v/>
      </c>
      <c r="Q23" s="19" t="str">
        <f t="shared" si="2"/>
        <v/>
      </c>
      <c r="R23" s="19" t="str">
        <f t="shared" si="3"/>
        <v/>
      </c>
      <c r="S23" s="5"/>
      <c r="T23" s="5"/>
      <c r="U23" s="5"/>
      <c r="V23" s="24"/>
      <c r="W23" s="15"/>
      <c r="X23" s="15"/>
      <c r="Y23" s="15"/>
      <c r="Z23" s="19" t="str">
        <f t="shared" si="4"/>
        <v/>
      </c>
      <c r="AA23" s="19" t="str">
        <f t="shared" si="5"/>
        <v/>
      </c>
      <c r="AB23" s="5"/>
      <c r="AC23" s="5"/>
      <c r="AE23" t="str">
        <f>IFERROR(INDEX(EqTag,_xlfn.AGGREGATE(15,6,(ROW(EqTag)-4)/((EqSys=$D$3)*(EqTag&lt;&gt;"")),ROWS($AE$14:AE23))),"")</f>
        <v/>
      </c>
    </row>
    <row r="24" spans="1:31" ht="30" customHeight="1" x14ac:dyDescent="0.2">
      <c r="A24" s="19" t="str">
        <f>IF(F24="","",LEFT($D$3,3)&amp;"-"&amp;TEXT(COUNTIF(F$14:F24,"?*"),"00"))</f>
        <v/>
      </c>
      <c r="B24" s="5"/>
      <c r="C24" s="6" t="str">
        <f t="shared" si="0"/>
        <v/>
      </c>
      <c r="D24" s="5"/>
      <c r="E24" s="5"/>
      <c r="F24" s="5"/>
      <c r="G24" s="5"/>
      <c r="H24" s="5"/>
      <c r="I24" s="5"/>
      <c r="J24" s="5"/>
      <c r="K24" s="15"/>
      <c r="L24" s="5"/>
      <c r="M24" s="15"/>
      <c r="N24" s="5"/>
      <c r="O24" s="15"/>
      <c r="P24" s="19" t="str">
        <f t="shared" si="1"/>
        <v/>
      </c>
      <c r="Q24" s="19" t="str">
        <f t="shared" si="2"/>
        <v/>
      </c>
      <c r="R24" s="19" t="str">
        <f t="shared" si="3"/>
        <v/>
      </c>
      <c r="S24" s="5"/>
      <c r="T24" s="5"/>
      <c r="U24" s="5"/>
      <c r="V24" s="24"/>
      <c r="W24" s="15"/>
      <c r="X24" s="15"/>
      <c r="Y24" s="15"/>
      <c r="Z24" s="19" t="str">
        <f t="shared" si="4"/>
        <v/>
      </c>
      <c r="AA24" s="19" t="str">
        <f t="shared" si="5"/>
        <v/>
      </c>
      <c r="AB24" s="5"/>
      <c r="AC24" s="5"/>
      <c r="AE24" t="str">
        <f>IFERROR(INDEX(EqTag,_xlfn.AGGREGATE(15,6,(ROW(EqTag)-4)/((EqSys=$D$3)*(EqTag&lt;&gt;"")),ROWS($AE$14:AE24))),"")</f>
        <v/>
      </c>
    </row>
    <row r="25" spans="1:31" ht="30" customHeight="1" x14ac:dyDescent="0.2">
      <c r="A25" s="19" t="str">
        <f>IF(F25="","",LEFT($D$3,3)&amp;"-"&amp;TEXT(COUNTIF(F$14:F25,"?*"),"00"))</f>
        <v/>
      </c>
      <c r="B25" s="5"/>
      <c r="C25" s="6" t="str">
        <f t="shared" si="0"/>
        <v/>
      </c>
      <c r="D25" s="5"/>
      <c r="E25" s="5"/>
      <c r="F25" s="5"/>
      <c r="G25" s="5"/>
      <c r="H25" s="5"/>
      <c r="I25" s="5"/>
      <c r="J25" s="5"/>
      <c r="K25" s="15"/>
      <c r="L25" s="5"/>
      <c r="M25" s="15"/>
      <c r="N25" s="5"/>
      <c r="O25" s="15"/>
      <c r="P25" s="19" t="str">
        <f t="shared" si="1"/>
        <v/>
      </c>
      <c r="Q25" s="19" t="str">
        <f t="shared" si="2"/>
        <v/>
      </c>
      <c r="R25" s="19" t="str">
        <f t="shared" si="3"/>
        <v/>
      </c>
      <c r="S25" s="5"/>
      <c r="T25" s="5"/>
      <c r="U25" s="5"/>
      <c r="V25" s="24"/>
      <c r="W25" s="15"/>
      <c r="X25" s="15"/>
      <c r="Y25" s="15"/>
      <c r="Z25" s="19" t="str">
        <f t="shared" si="4"/>
        <v/>
      </c>
      <c r="AA25" s="19" t="str">
        <f t="shared" si="5"/>
        <v/>
      </c>
      <c r="AB25" s="5"/>
      <c r="AC25" s="5"/>
      <c r="AE25" t="str">
        <f>IFERROR(INDEX(EqTag,_xlfn.AGGREGATE(15,6,(ROW(EqTag)-4)/((EqSys=$D$3)*(EqTag&lt;&gt;"")),ROWS($AE$14:AE25))),"")</f>
        <v/>
      </c>
    </row>
    <row r="26" spans="1:31" ht="30" customHeight="1" x14ac:dyDescent="0.2">
      <c r="A26" s="19" t="str">
        <f>IF(F26="","",LEFT($D$3,3)&amp;"-"&amp;TEXT(COUNTIF(F$14:F26,"?*"),"00"))</f>
        <v/>
      </c>
      <c r="B26" s="5"/>
      <c r="C26" s="6" t="str">
        <f t="shared" si="0"/>
        <v/>
      </c>
      <c r="D26" s="5"/>
      <c r="E26" s="5"/>
      <c r="F26" s="5"/>
      <c r="G26" s="5"/>
      <c r="H26" s="5"/>
      <c r="I26" s="5"/>
      <c r="J26" s="5"/>
      <c r="K26" s="15"/>
      <c r="L26" s="5"/>
      <c r="M26" s="15"/>
      <c r="N26" s="5"/>
      <c r="O26" s="15"/>
      <c r="P26" s="19" t="str">
        <f t="shared" si="1"/>
        <v/>
      </c>
      <c r="Q26" s="19" t="str">
        <f t="shared" si="2"/>
        <v/>
      </c>
      <c r="R26" s="19" t="str">
        <f t="shared" si="3"/>
        <v/>
      </c>
      <c r="S26" s="5"/>
      <c r="T26" s="5"/>
      <c r="U26" s="5"/>
      <c r="V26" s="24"/>
      <c r="W26" s="15"/>
      <c r="X26" s="15"/>
      <c r="Y26" s="15"/>
      <c r="Z26" s="19" t="str">
        <f t="shared" si="4"/>
        <v/>
      </c>
      <c r="AA26" s="19" t="str">
        <f t="shared" si="5"/>
        <v/>
      </c>
      <c r="AB26" s="5"/>
      <c r="AC26" s="5"/>
      <c r="AE26" t="str">
        <f>IFERROR(INDEX(EqTag,_xlfn.AGGREGATE(15,6,(ROW(EqTag)-4)/((EqSys=$D$3)*(EqTag&lt;&gt;"")),ROWS($AE$14:AE26))),"")</f>
        <v/>
      </c>
    </row>
    <row r="27" spans="1:31" ht="30" customHeight="1" x14ac:dyDescent="0.2">
      <c r="A27" s="19" t="str">
        <f>IF(F27="","",LEFT($D$3,3)&amp;"-"&amp;TEXT(COUNTIF(F$14:F27,"?*"),"00"))</f>
        <v/>
      </c>
      <c r="B27" s="5"/>
      <c r="C27" s="6" t="str">
        <f t="shared" si="0"/>
        <v/>
      </c>
      <c r="D27" s="5"/>
      <c r="E27" s="5"/>
      <c r="F27" s="5"/>
      <c r="G27" s="5"/>
      <c r="H27" s="5"/>
      <c r="I27" s="5"/>
      <c r="J27" s="5"/>
      <c r="K27" s="15"/>
      <c r="L27" s="5"/>
      <c r="M27" s="15"/>
      <c r="N27" s="5"/>
      <c r="O27" s="15"/>
      <c r="P27" s="19" t="str">
        <f t="shared" si="1"/>
        <v/>
      </c>
      <c r="Q27" s="19" t="str">
        <f t="shared" si="2"/>
        <v/>
      </c>
      <c r="R27" s="19" t="str">
        <f t="shared" si="3"/>
        <v/>
      </c>
      <c r="S27" s="5"/>
      <c r="T27" s="5"/>
      <c r="U27" s="5"/>
      <c r="V27" s="24"/>
      <c r="W27" s="15"/>
      <c r="X27" s="15"/>
      <c r="Y27" s="15"/>
      <c r="Z27" s="19" t="str">
        <f t="shared" si="4"/>
        <v/>
      </c>
      <c r="AA27" s="19" t="str">
        <f t="shared" si="5"/>
        <v/>
      </c>
      <c r="AB27" s="5"/>
      <c r="AC27" s="5"/>
      <c r="AE27" t="str">
        <f>IFERROR(INDEX(EqTag,_xlfn.AGGREGATE(15,6,(ROW(EqTag)-4)/((EqSys=$D$3)*(EqTag&lt;&gt;"")),ROWS($AE$14:AE27))),"")</f>
        <v/>
      </c>
    </row>
    <row r="28" spans="1:31" ht="30" customHeight="1" x14ac:dyDescent="0.2">
      <c r="A28" s="19" t="str">
        <f>IF(F28="","",LEFT($D$3,3)&amp;"-"&amp;TEXT(COUNTIF(F$14:F28,"?*"),"00"))</f>
        <v/>
      </c>
      <c r="B28" s="5"/>
      <c r="C28" s="6" t="str">
        <f t="shared" si="0"/>
        <v/>
      </c>
      <c r="D28" s="5"/>
      <c r="E28" s="5"/>
      <c r="F28" s="5"/>
      <c r="G28" s="5"/>
      <c r="H28" s="5"/>
      <c r="I28" s="5"/>
      <c r="J28" s="5"/>
      <c r="K28" s="15"/>
      <c r="L28" s="5"/>
      <c r="M28" s="15"/>
      <c r="N28" s="5"/>
      <c r="O28" s="15"/>
      <c r="P28" s="19" t="str">
        <f t="shared" si="1"/>
        <v/>
      </c>
      <c r="Q28" s="19" t="str">
        <f t="shared" si="2"/>
        <v/>
      </c>
      <c r="R28" s="19" t="str">
        <f t="shared" si="3"/>
        <v/>
      </c>
      <c r="S28" s="5"/>
      <c r="T28" s="5"/>
      <c r="U28" s="5"/>
      <c r="V28" s="24"/>
      <c r="W28" s="15"/>
      <c r="X28" s="15"/>
      <c r="Y28" s="15"/>
      <c r="Z28" s="19" t="str">
        <f t="shared" si="4"/>
        <v/>
      </c>
      <c r="AA28" s="19" t="str">
        <f t="shared" si="5"/>
        <v/>
      </c>
      <c r="AB28" s="5"/>
      <c r="AC28" s="5"/>
      <c r="AE28" t="str">
        <f>IFERROR(INDEX(EqTag,_xlfn.AGGREGATE(15,6,(ROW(EqTag)-4)/((EqSys=$D$3)*(EqTag&lt;&gt;"")),ROWS($AE$14:AE28))),"")</f>
        <v/>
      </c>
    </row>
    <row r="29" spans="1:31" ht="30" customHeight="1" x14ac:dyDescent="0.2">
      <c r="A29" s="19" t="str">
        <f>IF(F29="","",LEFT($D$3,3)&amp;"-"&amp;TEXT(COUNTIF(F$14:F29,"?*"),"00"))</f>
        <v/>
      </c>
      <c r="B29" s="5"/>
      <c r="C29" s="6" t="str">
        <f t="shared" si="0"/>
        <v/>
      </c>
      <c r="D29" s="5"/>
      <c r="E29" s="5"/>
      <c r="F29" s="5"/>
      <c r="G29" s="5"/>
      <c r="H29" s="5"/>
      <c r="I29" s="5"/>
      <c r="J29" s="5"/>
      <c r="K29" s="15"/>
      <c r="L29" s="5"/>
      <c r="M29" s="15"/>
      <c r="N29" s="5"/>
      <c r="O29" s="15"/>
      <c r="P29" s="19" t="str">
        <f t="shared" si="1"/>
        <v/>
      </c>
      <c r="Q29" s="19" t="str">
        <f t="shared" si="2"/>
        <v/>
      </c>
      <c r="R29" s="19" t="str">
        <f t="shared" si="3"/>
        <v/>
      </c>
      <c r="S29" s="5"/>
      <c r="T29" s="5"/>
      <c r="U29" s="5"/>
      <c r="V29" s="24"/>
      <c r="W29" s="15"/>
      <c r="X29" s="15"/>
      <c r="Y29" s="15"/>
      <c r="Z29" s="19" t="str">
        <f t="shared" si="4"/>
        <v/>
      </c>
      <c r="AA29" s="19" t="str">
        <f t="shared" si="5"/>
        <v/>
      </c>
      <c r="AB29" s="5"/>
      <c r="AC29" s="5"/>
      <c r="AE29" t="str">
        <f>IFERROR(INDEX(EqTag,_xlfn.AGGREGATE(15,6,(ROW(EqTag)-4)/((EqSys=$D$3)*(EqTag&lt;&gt;"")),ROWS($AE$14:AE29))),"")</f>
        <v/>
      </c>
    </row>
    <row r="30" spans="1:31" ht="30" customHeight="1" x14ac:dyDescent="0.2">
      <c r="A30" s="19" t="str">
        <f>IF(F30="","",LEFT($D$3,3)&amp;"-"&amp;TEXT(COUNTIF(F$14:F30,"?*"),"00"))</f>
        <v/>
      </c>
      <c r="B30" s="5"/>
      <c r="C30" s="6" t="str">
        <f t="shared" si="0"/>
        <v/>
      </c>
      <c r="D30" s="5"/>
      <c r="E30" s="5"/>
      <c r="F30" s="5"/>
      <c r="G30" s="5"/>
      <c r="H30" s="5"/>
      <c r="I30" s="5"/>
      <c r="J30" s="5"/>
      <c r="K30" s="15"/>
      <c r="L30" s="5"/>
      <c r="M30" s="15"/>
      <c r="N30" s="5"/>
      <c r="O30" s="15"/>
      <c r="P30" s="19" t="str">
        <f t="shared" si="1"/>
        <v/>
      </c>
      <c r="Q30" s="19" t="str">
        <f t="shared" si="2"/>
        <v/>
      </c>
      <c r="R30" s="19" t="str">
        <f t="shared" si="3"/>
        <v/>
      </c>
      <c r="S30" s="5"/>
      <c r="T30" s="5"/>
      <c r="U30" s="5"/>
      <c r="V30" s="24"/>
      <c r="W30" s="15"/>
      <c r="X30" s="15"/>
      <c r="Y30" s="15"/>
      <c r="Z30" s="19" t="str">
        <f t="shared" si="4"/>
        <v/>
      </c>
      <c r="AA30" s="19" t="str">
        <f t="shared" si="5"/>
        <v/>
      </c>
      <c r="AB30" s="5"/>
      <c r="AC30" s="5"/>
      <c r="AE30" t="str">
        <f>IFERROR(INDEX(EqTag,_xlfn.AGGREGATE(15,6,(ROW(EqTag)-4)/((EqSys=$D$3)*(EqTag&lt;&gt;"")),ROWS($AE$14:AE30))),"")</f>
        <v/>
      </c>
    </row>
    <row r="31" spans="1:31" ht="30" customHeight="1" x14ac:dyDescent="0.2">
      <c r="A31" s="19" t="str">
        <f>IF(F31="","",LEFT($D$3,3)&amp;"-"&amp;TEXT(COUNTIF(F$14:F31,"?*"),"00"))</f>
        <v/>
      </c>
      <c r="B31" s="5"/>
      <c r="C31" s="6" t="str">
        <f t="shared" si="0"/>
        <v/>
      </c>
      <c r="D31" s="5"/>
      <c r="E31" s="5"/>
      <c r="F31" s="5"/>
      <c r="G31" s="5"/>
      <c r="H31" s="5"/>
      <c r="I31" s="5"/>
      <c r="J31" s="5"/>
      <c r="K31" s="15"/>
      <c r="L31" s="5"/>
      <c r="M31" s="15"/>
      <c r="N31" s="5"/>
      <c r="O31" s="15"/>
      <c r="P31" s="19" t="str">
        <f t="shared" si="1"/>
        <v/>
      </c>
      <c r="Q31" s="19" t="str">
        <f t="shared" si="2"/>
        <v/>
      </c>
      <c r="R31" s="19" t="str">
        <f t="shared" si="3"/>
        <v/>
      </c>
      <c r="S31" s="5"/>
      <c r="T31" s="5"/>
      <c r="U31" s="5"/>
      <c r="V31" s="24"/>
      <c r="W31" s="15"/>
      <c r="X31" s="15"/>
      <c r="Y31" s="15"/>
      <c r="Z31" s="19" t="str">
        <f t="shared" si="4"/>
        <v/>
      </c>
      <c r="AA31" s="19" t="str">
        <f t="shared" si="5"/>
        <v/>
      </c>
      <c r="AB31" s="5"/>
      <c r="AC31" s="5"/>
      <c r="AE31" t="str">
        <f>IFERROR(INDEX(EqTag,_xlfn.AGGREGATE(15,6,(ROW(EqTag)-4)/((EqSys=$D$3)*(EqTag&lt;&gt;"")),ROWS($AE$14:AE31))),"")</f>
        <v/>
      </c>
    </row>
    <row r="32" spans="1:31" ht="30" customHeight="1" x14ac:dyDescent="0.2">
      <c r="A32" s="19" t="str">
        <f>IF(F32="","",LEFT($D$3,3)&amp;"-"&amp;TEXT(COUNTIF(F$14:F32,"?*"),"00"))</f>
        <v/>
      </c>
      <c r="B32" s="5"/>
      <c r="C32" s="6" t="str">
        <f t="shared" si="0"/>
        <v/>
      </c>
      <c r="D32" s="5"/>
      <c r="E32" s="5"/>
      <c r="F32" s="5"/>
      <c r="G32" s="5"/>
      <c r="H32" s="5"/>
      <c r="I32" s="5"/>
      <c r="J32" s="5"/>
      <c r="K32" s="15"/>
      <c r="L32" s="5"/>
      <c r="M32" s="15"/>
      <c r="N32" s="5"/>
      <c r="O32" s="15"/>
      <c r="P32" s="19" t="str">
        <f t="shared" si="1"/>
        <v/>
      </c>
      <c r="Q32" s="19" t="str">
        <f t="shared" si="2"/>
        <v/>
      </c>
      <c r="R32" s="19" t="str">
        <f t="shared" si="3"/>
        <v/>
      </c>
      <c r="S32" s="5"/>
      <c r="T32" s="5"/>
      <c r="U32" s="5"/>
      <c r="V32" s="24"/>
      <c r="W32" s="15"/>
      <c r="X32" s="15"/>
      <c r="Y32" s="15"/>
      <c r="Z32" s="19" t="str">
        <f t="shared" si="4"/>
        <v/>
      </c>
      <c r="AA32" s="19" t="str">
        <f t="shared" si="5"/>
        <v/>
      </c>
      <c r="AB32" s="5"/>
      <c r="AC32" s="5"/>
      <c r="AE32" t="str">
        <f>IFERROR(INDEX(EqTag,_xlfn.AGGREGATE(15,6,(ROW(EqTag)-4)/((EqSys=$D$3)*(EqTag&lt;&gt;"")),ROWS($AE$14:AE32))),"")</f>
        <v/>
      </c>
    </row>
    <row r="33" spans="1:31" ht="30" customHeight="1" x14ac:dyDescent="0.2">
      <c r="A33" s="19" t="str">
        <f>IF(F33="","",LEFT($D$3,3)&amp;"-"&amp;TEXT(COUNTIF(F$14:F33,"?*"),"00"))</f>
        <v/>
      </c>
      <c r="B33" s="5"/>
      <c r="C33" s="6" t="str">
        <f t="shared" si="0"/>
        <v/>
      </c>
      <c r="D33" s="5"/>
      <c r="E33" s="5"/>
      <c r="F33" s="5"/>
      <c r="G33" s="5"/>
      <c r="H33" s="5"/>
      <c r="I33" s="5"/>
      <c r="J33" s="5"/>
      <c r="K33" s="15"/>
      <c r="L33" s="5"/>
      <c r="M33" s="15"/>
      <c r="N33" s="5"/>
      <c r="O33" s="15"/>
      <c r="P33" s="19" t="str">
        <f t="shared" si="1"/>
        <v/>
      </c>
      <c r="Q33" s="19" t="str">
        <f t="shared" si="2"/>
        <v/>
      </c>
      <c r="R33" s="19" t="str">
        <f t="shared" si="3"/>
        <v/>
      </c>
      <c r="S33" s="5"/>
      <c r="T33" s="5"/>
      <c r="U33" s="5"/>
      <c r="V33" s="24"/>
      <c r="W33" s="15"/>
      <c r="X33" s="15"/>
      <c r="Y33" s="15"/>
      <c r="Z33" s="19" t="str">
        <f t="shared" si="4"/>
        <v/>
      </c>
      <c r="AA33" s="19" t="str">
        <f t="shared" si="5"/>
        <v/>
      </c>
      <c r="AB33" s="5"/>
      <c r="AC33" s="5"/>
      <c r="AE33" t="str">
        <f>IFERROR(INDEX(EqTag,_xlfn.AGGREGATE(15,6,(ROW(EqTag)-4)/((EqSys=$D$3)*(EqTag&lt;&gt;"")),ROWS($AE$14:AE33))),"")</f>
        <v/>
      </c>
    </row>
    <row r="34" spans="1:31" ht="30" customHeight="1" x14ac:dyDescent="0.2">
      <c r="A34" s="19" t="str">
        <f>IF(F34="","",LEFT($D$3,3)&amp;"-"&amp;TEXT(COUNTIF(F$14:F34,"?*"),"00"))</f>
        <v/>
      </c>
      <c r="B34" s="5"/>
      <c r="C34" s="6" t="str">
        <f t="shared" si="0"/>
        <v/>
      </c>
      <c r="D34" s="5"/>
      <c r="E34" s="5"/>
      <c r="F34" s="5"/>
      <c r="G34" s="5"/>
      <c r="H34" s="5"/>
      <c r="I34" s="5"/>
      <c r="J34" s="5"/>
      <c r="K34" s="15"/>
      <c r="L34" s="5"/>
      <c r="M34" s="15"/>
      <c r="N34" s="5"/>
      <c r="O34" s="15"/>
      <c r="P34" s="19" t="str">
        <f t="shared" si="1"/>
        <v/>
      </c>
      <c r="Q34" s="19" t="str">
        <f t="shared" si="2"/>
        <v/>
      </c>
      <c r="R34" s="19" t="str">
        <f t="shared" si="3"/>
        <v/>
      </c>
      <c r="S34" s="5"/>
      <c r="T34" s="5"/>
      <c r="U34" s="5"/>
      <c r="V34" s="24"/>
      <c r="W34" s="15"/>
      <c r="X34" s="15"/>
      <c r="Y34" s="15"/>
      <c r="Z34" s="19" t="str">
        <f t="shared" si="4"/>
        <v/>
      </c>
      <c r="AA34" s="19" t="str">
        <f t="shared" si="5"/>
        <v/>
      </c>
      <c r="AB34" s="5"/>
      <c r="AC34" s="5"/>
      <c r="AE34" t="str">
        <f>IFERROR(INDEX(EqTag,_xlfn.AGGREGATE(15,6,(ROW(EqTag)-4)/((EqSys=$D$3)*(EqTag&lt;&gt;"")),ROWS($AE$14:AE34))),"")</f>
        <v/>
      </c>
    </row>
    <row r="35" spans="1:31" ht="30" customHeight="1" x14ac:dyDescent="0.2">
      <c r="A35" s="19" t="str">
        <f>IF(F35="","",LEFT($D$3,3)&amp;"-"&amp;TEXT(COUNTIF(F$14:F35,"?*"),"00"))</f>
        <v/>
      </c>
      <c r="B35" s="5"/>
      <c r="C35" s="6" t="str">
        <f t="shared" si="0"/>
        <v/>
      </c>
      <c r="D35" s="5"/>
      <c r="E35" s="5"/>
      <c r="F35" s="5"/>
      <c r="G35" s="5"/>
      <c r="H35" s="5"/>
      <c r="I35" s="5"/>
      <c r="J35" s="5"/>
      <c r="K35" s="15"/>
      <c r="L35" s="5"/>
      <c r="M35" s="15"/>
      <c r="N35" s="5"/>
      <c r="O35" s="15"/>
      <c r="P35" s="19" t="str">
        <f t="shared" si="1"/>
        <v/>
      </c>
      <c r="Q35" s="19" t="str">
        <f t="shared" si="2"/>
        <v/>
      </c>
      <c r="R35" s="19" t="str">
        <f t="shared" si="3"/>
        <v/>
      </c>
      <c r="S35" s="5"/>
      <c r="T35" s="5"/>
      <c r="U35" s="5"/>
      <c r="V35" s="24"/>
      <c r="W35" s="15"/>
      <c r="X35" s="15"/>
      <c r="Y35" s="15"/>
      <c r="Z35" s="19" t="str">
        <f t="shared" si="4"/>
        <v/>
      </c>
      <c r="AA35" s="19" t="str">
        <f t="shared" si="5"/>
        <v/>
      </c>
      <c r="AB35" s="5"/>
      <c r="AC35" s="5"/>
      <c r="AE35" t="str">
        <f>IFERROR(INDEX(EqTag,_xlfn.AGGREGATE(15,6,(ROW(EqTag)-4)/((EqSys=$D$3)*(EqTag&lt;&gt;"")),ROWS($AE$14:AE35))),"")</f>
        <v/>
      </c>
    </row>
    <row r="36" spans="1:31" ht="30" customHeight="1" x14ac:dyDescent="0.2">
      <c r="A36" s="19" t="str">
        <f>IF(F36="","",LEFT($D$3,3)&amp;"-"&amp;TEXT(COUNTIF(F$14:F36,"?*"),"00"))</f>
        <v/>
      </c>
      <c r="B36" s="5"/>
      <c r="C36" s="6" t="str">
        <f t="shared" si="0"/>
        <v/>
      </c>
      <c r="D36" s="5"/>
      <c r="E36" s="5"/>
      <c r="F36" s="5"/>
      <c r="G36" s="5"/>
      <c r="H36" s="5"/>
      <c r="I36" s="5"/>
      <c r="J36" s="5"/>
      <c r="K36" s="15"/>
      <c r="L36" s="5"/>
      <c r="M36" s="15"/>
      <c r="N36" s="5"/>
      <c r="O36" s="15"/>
      <c r="P36" s="19" t="str">
        <f t="shared" si="1"/>
        <v/>
      </c>
      <c r="Q36" s="19" t="str">
        <f t="shared" si="2"/>
        <v/>
      </c>
      <c r="R36" s="19" t="str">
        <f t="shared" si="3"/>
        <v/>
      </c>
      <c r="S36" s="5"/>
      <c r="T36" s="5"/>
      <c r="U36" s="5"/>
      <c r="V36" s="24"/>
      <c r="W36" s="15"/>
      <c r="X36" s="15"/>
      <c r="Y36" s="15"/>
      <c r="Z36" s="19" t="str">
        <f t="shared" si="4"/>
        <v/>
      </c>
      <c r="AA36" s="19" t="str">
        <f t="shared" si="5"/>
        <v/>
      </c>
      <c r="AB36" s="5"/>
      <c r="AC36" s="5"/>
      <c r="AE36" t="str">
        <f>IFERROR(INDEX(EqTag,_xlfn.AGGREGATE(15,6,(ROW(EqTag)-4)/((EqSys=$D$3)*(EqTag&lt;&gt;"")),ROWS($AE$14:AE36))),"")</f>
        <v/>
      </c>
    </row>
    <row r="37" spans="1:31" ht="30" customHeight="1" x14ac:dyDescent="0.2">
      <c r="A37" s="19" t="str">
        <f>IF(F37="","",LEFT($D$3,3)&amp;"-"&amp;TEXT(COUNTIF(F$14:F37,"?*"),"00"))</f>
        <v/>
      </c>
      <c r="B37" s="5"/>
      <c r="C37" s="6" t="str">
        <f t="shared" si="0"/>
        <v/>
      </c>
      <c r="D37" s="5"/>
      <c r="E37" s="5"/>
      <c r="F37" s="5"/>
      <c r="G37" s="5"/>
      <c r="H37" s="5"/>
      <c r="I37" s="5"/>
      <c r="J37" s="5"/>
      <c r="K37" s="15"/>
      <c r="L37" s="5"/>
      <c r="M37" s="15"/>
      <c r="N37" s="5"/>
      <c r="O37" s="15"/>
      <c r="P37" s="19" t="str">
        <f t="shared" si="1"/>
        <v/>
      </c>
      <c r="Q37" s="19" t="str">
        <f t="shared" si="2"/>
        <v/>
      </c>
      <c r="R37" s="19" t="str">
        <f t="shared" si="3"/>
        <v/>
      </c>
      <c r="S37" s="5"/>
      <c r="T37" s="5"/>
      <c r="U37" s="5"/>
      <c r="V37" s="24"/>
      <c r="W37" s="15"/>
      <c r="X37" s="15"/>
      <c r="Y37" s="15"/>
      <c r="Z37" s="19" t="str">
        <f t="shared" si="4"/>
        <v/>
      </c>
      <c r="AA37" s="19" t="str">
        <f t="shared" si="5"/>
        <v/>
      </c>
      <c r="AB37" s="5"/>
      <c r="AC37" s="5"/>
      <c r="AE37" t="str">
        <f>IFERROR(INDEX(EqTag,_xlfn.AGGREGATE(15,6,(ROW(EqTag)-4)/((EqSys=$D$3)*(EqTag&lt;&gt;"")),ROWS($AE$14:AE37))),"")</f>
        <v/>
      </c>
    </row>
    <row r="38" spans="1:31" ht="30" customHeight="1" x14ac:dyDescent="0.2">
      <c r="A38" s="19" t="str">
        <f>IF(F38="","",LEFT($D$3,3)&amp;"-"&amp;TEXT(COUNTIF(F$14:F38,"?*"),"00"))</f>
        <v/>
      </c>
      <c r="B38" s="5"/>
      <c r="C38" s="6" t="str">
        <f t="shared" si="0"/>
        <v/>
      </c>
      <c r="D38" s="5"/>
      <c r="E38" s="5"/>
      <c r="F38" s="5"/>
      <c r="G38" s="5"/>
      <c r="H38" s="5"/>
      <c r="I38" s="5"/>
      <c r="J38" s="5"/>
      <c r="K38" s="15"/>
      <c r="L38" s="5"/>
      <c r="M38" s="15"/>
      <c r="N38" s="5"/>
      <c r="O38" s="15"/>
      <c r="P38" s="19" t="str">
        <f t="shared" si="1"/>
        <v/>
      </c>
      <c r="Q38" s="19" t="str">
        <f t="shared" si="2"/>
        <v/>
      </c>
      <c r="R38" s="19" t="str">
        <f t="shared" si="3"/>
        <v/>
      </c>
      <c r="S38" s="5"/>
      <c r="T38" s="5"/>
      <c r="U38" s="5"/>
      <c r="V38" s="24"/>
      <c r="W38" s="15"/>
      <c r="X38" s="15"/>
      <c r="Y38" s="15"/>
      <c r="Z38" s="19" t="str">
        <f t="shared" si="4"/>
        <v/>
      </c>
      <c r="AA38" s="19" t="str">
        <f t="shared" si="5"/>
        <v/>
      </c>
      <c r="AB38" s="5"/>
      <c r="AC38" s="5"/>
      <c r="AE38" t="str">
        <f>IFERROR(INDEX(EqTag,_xlfn.AGGREGATE(15,6,(ROW(EqTag)-4)/((EqSys=$D$3)*(EqTag&lt;&gt;"")),ROWS($AE$14:AE38))),"")</f>
        <v/>
      </c>
    </row>
    <row r="39" spans="1:31" ht="30" customHeight="1" x14ac:dyDescent="0.2">
      <c r="A39" s="19" t="str">
        <f>IF(F39="","",LEFT($D$3,3)&amp;"-"&amp;TEXT(COUNTIF(F$14:F39,"?*"),"00"))</f>
        <v/>
      </c>
      <c r="B39" s="5"/>
      <c r="C39" s="6" t="str">
        <f t="shared" si="0"/>
        <v/>
      </c>
      <c r="D39" s="5"/>
      <c r="E39" s="5"/>
      <c r="F39" s="5"/>
      <c r="G39" s="5"/>
      <c r="H39" s="5"/>
      <c r="I39" s="5"/>
      <c r="J39" s="5"/>
      <c r="K39" s="15"/>
      <c r="L39" s="5"/>
      <c r="M39" s="15"/>
      <c r="N39" s="5"/>
      <c r="O39" s="15"/>
      <c r="P39" s="19" t="str">
        <f t="shared" si="1"/>
        <v/>
      </c>
      <c r="Q39" s="19" t="str">
        <f t="shared" si="2"/>
        <v/>
      </c>
      <c r="R39" s="19" t="str">
        <f t="shared" si="3"/>
        <v/>
      </c>
      <c r="S39" s="5"/>
      <c r="T39" s="5"/>
      <c r="U39" s="5"/>
      <c r="V39" s="24"/>
      <c r="W39" s="15"/>
      <c r="X39" s="15"/>
      <c r="Y39" s="15"/>
      <c r="Z39" s="19" t="str">
        <f t="shared" si="4"/>
        <v/>
      </c>
      <c r="AA39" s="19" t="str">
        <f t="shared" si="5"/>
        <v/>
      </c>
      <c r="AB39" s="5"/>
      <c r="AC39" s="5"/>
      <c r="AE39" t="str">
        <f>IFERROR(INDEX(EqTag,_xlfn.AGGREGATE(15,6,(ROW(EqTag)-4)/((EqSys=$D$3)*(EqTag&lt;&gt;"")),ROWS($AE$14:AE39))),"")</f>
        <v/>
      </c>
    </row>
    <row r="40" spans="1:31" ht="30" customHeight="1" x14ac:dyDescent="0.2">
      <c r="A40" s="19" t="str">
        <f>IF(F40="","",LEFT($D$3,3)&amp;"-"&amp;TEXT(COUNTIF(F$14:F40,"?*"),"00"))</f>
        <v/>
      </c>
      <c r="B40" s="5"/>
      <c r="C40" s="6" t="str">
        <f t="shared" si="0"/>
        <v/>
      </c>
      <c r="D40" s="5"/>
      <c r="E40" s="5"/>
      <c r="F40" s="5"/>
      <c r="G40" s="5"/>
      <c r="H40" s="5"/>
      <c r="I40" s="5"/>
      <c r="J40" s="5"/>
      <c r="K40" s="15"/>
      <c r="L40" s="5"/>
      <c r="M40" s="15"/>
      <c r="N40" s="5"/>
      <c r="O40" s="15"/>
      <c r="P40" s="19" t="str">
        <f t="shared" si="1"/>
        <v/>
      </c>
      <c r="Q40" s="19" t="str">
        <f t="shared" si="2"/>
        <v/>
      </c>
      <c r="R40" s="19" t="str">
        <f t="shared" si="3"/>
        <v/>
      </c>
      <c r="S40" s="5"/>
      <c r="T40" s="5"/>
      <c r="U40" s="5"/>
      <c r="V40" s="24"/>
      <c r="W40" s="15"/>
      <c r="X40" s="15"/>
      <c r="Y40" s="15"/>
      <c r="Z40" s="19" t="str">
        <f t="shared" si="4"/>
        <v/>
      </c>
      <c r="AA40" s="19" t="str">
        <f t="shared" si="5"/>
        <v/>
      </c>
      <c r="AB40" s="5"/>
      <c r="AC40" s="5"/>
      <c r="AE40" t="str">
        <f>IFERROR(INDEX(EqTag,_xlfn.AGGREGATE(15,6,(ROW(EqTag)-4)/((EqSys=$D$3)*(EqTag&lt;&gt;"")),ROWS($AE$14:AE40))),"")</f>
        <v/>
      </c>
    </row>
    <row r="41" spans="1:31" ht="30" customHeight="1" x14ac:dyDescent="0.2">
      <c r="A41" s="19" t="str">
        <f>IF(F41="","",LEFT($D$3,3)&amp;"-"&amp;TEXT(COUNTIF(F$14:F41,"?*"),"00"))</f>
        <v/>
      </c>
      <c r="B41" s="5"/>
      <c r="C41" s="6" t="str">
        <f t="shared" si="0"/>
        <v/>
      </c>
      <c r="D41" s="5"/>
      <c r="E41" s="5"/>
      <c r="F41" s="5"/>
      <c r="G41" s="5"/>
      <c r="H41" s="5"/>
      <c r="I41" s="5"/>
      <c r="J41" s="5"/>
      <c r="K41" s="15"/>
      <c r="L41" s="5"/>
      <c r="M41" s="15"/>
      <c r="N41" s="5"/>
      <c r="O41" s="15"/>
      <c r="P41" s="19" t="str">
        <f t="shared" si="1"/>
        <v/>
      </c>
      <c r="Q41" s="19" t="str">
        <f t="shared" si="2"/>
        <v/>
      </c>
      <c r="R41" s="19" t="str">
        <f t="shared" si="3"/>
        <v/>
      </c>
      <c r="S41" s="5"/>
      <c r="T41" s="5"/>
      <c r="U41" s="5"/>
      <c r="V41" s="24"/>
      <c r="W41" s="15"/>
      <c r="X41" s="15"/>
      <c r="Y41" s="15"/>
      <c r="Z41" s="19" t="str">
        <f t="shared" si="4"/>
        <v/>
      </c>
      <c r="AA41" s="19" t="str">
        <f t="shared" si="5"/>
        <v/>
      </c>
      <c r="AB41" s="5"/>
      <c r="AC41" s="5"/>
      <c r="AE41" t="str">
        <f>IFERROR(INDEX(EqTag,_xlfn.AGGREGATE(15,6,(ROW(EqTag)-4)/((EqSys=$D$3)*(EqTag&lt;&gt;"")),ROWS($AE$14:AE41))),"")</f>
        <v/>
      </c>
    </row>
    <row r="42" spans="1:31" ht="30" customHeight="1" x14ac:dyDescent="0.2">
      <c r="A42" s="19" t="str">
        <f>IF(F42="","",LEFT($D$3,3)&amp;"-"&amp;TEXT(COUNTIF(F$14:F42,"?*"),"00"))</f>
        <v/>
      </c>
      <c r="B42" s="5"/>
      <c r="C42" s="6" t="str">
        <f t="shared" si="0"/>
        <v/>
      </c>
      <c r="D42" s="5"/>
      <c r="E42" s="5"/>
      <c r="F42" s="5"/>
      <c r="G42" s="5"/>
      <c r="H42" s="5"/>
      <c r="I42" s="5"/>
      <c r="J42" s="5"/>
      <c r="K42" s="15"/>
      <c r="L42" s="5"/>
      <c r="M42" s="15"/>
      <c r="N42" s="5"/>
      <c r="O42" s="15"/>
      <c r="P42" s="19" t="str">
        <f t="shared" si="1"/>
        <v/>
      </c>
      <c r="Q42" s="19" t="str">
        <f t="shared" si="2"/>
        <v/>
      </c>
      <c r="R42" s="19" t="str">
        <f t="shared" si="3"/>
        <v/>
      </c>
      <c r="S42" s="5"/>
      <c r="T42" s="5"/>
      <c r="U42" s="5"/>
      <c r="V42" s="24"/>
      <c r="W42" s="15"/>
      <c r="X42" s="15"/>
      <c r="Y42" s="15"/>
      <c r="Z42" s="19" t="str">
        <f t="shared" si="4"/>
        <v/>
      </c>
      <c r="AA42" s="19" t="str">
        <f t="shared" si="5"/>
        <v/>
      </c>
      <c r="AB42" s="5"/>
      <c r="AC42" s="5"/>
      <c r="AE42" t="str">
        <f>IFERROR(INDEX(EqTag,_xlfn.AGGREGATE(15,6,(ROW(EqTag)-4)/((EqSys=$D$3)*(EqTag&lt;&gt;"")),ROWS($AE$14:AE42))),"")</f>
        <v/>
      </c>
    </row>
    <row r="43" spans="1:31" ht="30" customHeight="1" x14ac:dyDescent="0.2">
      <c r="A43" s="19" t="str">
        <f>IF(F43="","",LEFT($D$3,3)&amp;"-"&amp;TEXT(COUNTIF(F$14:F43,"?*"),"00"))</f>
        <v/>
      </c>
      <c r="B43" s="5"/>
      <c r="C43" s="6" t="str">
        <f t="shared" si="0"/>
        <v/>
      </c>
      <c r="D43" s="5"/>
      <c r="E43" s="5"/>
      <c r="F43" s="5"/>
      <c r="G43" s="5"/>
      <c r="H43" s="5"/>
      <c r="I43" s="5"/>
      <c r="J43" s="5"/>
      <c r="K43" s="15"/>
      <c r="L43" s="5"/>
      <c r="M43" s="15"/>
      <c r="N43" s="5"/>
      <c r="O43" s="15"/>
      <c r="P43" s="19" t="str">
        <f t="shared" si="1"/>
        <v/>
      </c>
      <c r="Q43" s="19" t="str">
        <f t="shared" si="2"/>
        <v/>
      </c>
      <c r="R43" s="19" t="str">
        <f t="shared" si="3"/>
        <v/>
      </c>
      <c r="S43" s="5"/>
      <c r="T43" s="5"/>
      <c r="U43" s="5"/>
      <c r="V43" s="24"/>
      <c r="W43" s="15"/>
      <c r="X43" s="15"/>
      <c r="Y43" s="15"/>
      <c r="Z43" s="19" t="str">
        <f t="shared" si="4"/>
        <v/>
      </c>
      <c r="AA43" s="19" t="str">
        <f t="shared" si="5"/>
        <v/>
      </c>
      <c r="AB43" s="5"/>
      <c r="AC43" s="5"/>
      <c r="AE43" t="str">
        <f>IFERROR(INDEX(EqTag,_xlfn.AGGREGATE(15,6,(ROW(EqTag)-4)/((EqSys=$D$3)*(EqTag&lt;&gt;"")),ROWS($AE$14:AE43))),"")</f>
        <v/>
      </c>
    </row>
    <row r="44" spans="1:31" ht="30" customHeight="1" x14ac:dyDescent="0.2">
      <c r="A44" s="19" t="str">
        <f>IF(F44="","",LEFT($D$3,3)&amp;"-"&amp;TEXT(COUNTIF(F$14:F44,"?*"),"00"))</f>
        <v/>
      </c>
      <c r="B44" s="5"/>
      <c r="C44" s="6" t="str">
        <f t="shared" si="0"/>
        <v/>
      </c>
      <c r="D44" s="5"/>
      <c r="E44" s="5"/>
      <c r="F44" s="5"/>
      <c r="G44" s="5"/>
      <c r="H44" s="5"/>
      <c r="I44" s="5"/>
      <c r="J44" s="5"/>
      <c r="K44" s="15"/>
      <c r="L44" s="5"/>
      <c r="M44" s="15"/>
      <c r="N44" s="5"/>
      <c r="O44" s="15"/>
      <c r="P44" s="19" t="str">
        <f t="shared" si="1"/>
        <v/>
      </c>
      <c r="Q44" s="19" t="str">
        <f t="shared" si="2"/>
        <v/>
      </c>
      <c r="R44" s="19" t="str">
        <f t="shared" si="3"/>
        <v/>
      </c>
      <c r="S44" s="5"/>
      <c r="T44" s="5"/>
      <c r="U44" s="5"/>
      <c r="V44" s="24"/>
      <c r="W44" s="15"/>
      <c r="X44" s="15"/>
      <c r="Y44" s="15"/>
      <c r="Z44" s="19" t="str">
        <f t="shared" si="4"/>
        <v/>
      </c>
      <c r="AA44" s="19" t="str">
        <f t="shared" si="5"/>
        <v/>
      </c>
      <c r="AB44" s="5"/>
      <c r="AC44" s="5"/>
      <c r="AE44" t="str">
        <f>IFERROR(INDEX(EqTag,_xlfn.AGGREGATE(15,6,(ROW(EqTag)-4)/((EqSys=$D$3)*(EqTag&lt;&gt;"")),ROWS($AE$14:AE44))),"")</f>
        <v/>
      </c>
    </row>
    <row r="45" spans="1:31" ht="30" customHeight="1" x14ac:dyDescent="0.2">
      <c r="A45" s="19" t="str">
        <f>IF(F45="","",LEFT($D$3,3)&amp;"-"&amp;TEXT(COUNTIF(F$14:F45,"?*"),"00"))</f>
        <v/>
      </c>
      <c r="B45" s="5"/>
      <c r="C45" s="6" t="str">
        <f t="shared" si="0"/>
        <v/>
      </c>
      <c r="D45" s="5"/>
      <c r="E45" s="5"/>
      <c r="F45" s="5"/>
      <c r="G45" s="5"/>
      <c r="H45" s="5"/>
      <c r="I45" s="5"/>
      <c r="J45" s="5"/>
      <c r="K45" s="15"/>
      <c r="L45" s="5"/>
      <c r="M45" s="15"/>
      <c r="N45" s="5"/>
      <c r="O45" s="15"/>
      <c r="P45" s="19" t="str">
        <f t="shared" si="1"/>
        <v/>
      </c>
      <c r="Q45" s="19" t="str">
        <f t="shared" si="2"/>
        <v/>
      </c>
      <c r="R45" s="19" t="str">
        <f t="shared" si="3"/>
        <v/>
      </c>
      <c r="S45" s="5"/>
      <c r="T45" s="5"/>
      <c r="U45" s="5"/>
      <c r="V45" s="24"/>
      <c r="W45" s="15"/>
      <c r="X45" s="15"/>
      <c r="Y45" s="15"/>
      <c r="Z45" s="19" t="str">
        <f t="shared" si="4"/>
        <v/>
      </c>
      <c r="AA45" s="19" t="str">
        <f t="shared" si="5"/>
        <v/>
      </c>
      <c r="AB45" s="5"/>
      <c r="AC45" s="5"/>
      <c r="AE45" t="str">
        <f>IFERROR(INDEX(EqTag,_xlfn.AGGREGATE(15,6,(ROW(EqTag)-4)/((EqSys=$D$3)*(EqTag&lt;&gt;"")),ROWS($AE$14:AE45))),"")</f>
        <v/>
      </c>
    </row>
    <row r="46" spans="1:31" ht="30" customHeight="1" x14ac:dyDescent="0.2">
      <c r="A46" s="19" t="str">
        <f>IF(F46="","",LEFT($D$3,3)&amp;"-"&amp;TEXT(COUNTIF(F$14:F46,"?*"),"00"))</f>
        <v/>
      </c>
      <c r="B46" s="5"/>
      <c r="C46" s="6" t="str">
        <f t="shared" ref="C46:C77" si="6">IF(B46="","",IFERROR(INDEX(EqTypeCol,MATCH(B46,EqTag,0)),"Tag not in register"))</f>
        <v/>
      </c>
      <c r="D46" s="5"/>
      <c r="E46" s="5"/>
      <c r="F46" s="5"/>
      <c r="G46" s="5"/>
      <c r="H46" s="5"/>
      <c r="I46" s="5"/>
      <c r="J46" s="5"/>
      <c r="K46" s="15"/>
      <c r="L46" s="5"/>
      <c r="M46" s="15"/>
      <c r="N46" s="5"/>
      <c r="O46" s="15"/>
      <c r="P46" s="19" t="str">
        <f t="shared" ref="P46:P77" si="7">IF(OR(K46="",M46="",O46=""),"",(--TRIM(LEFT(K46,2)))*(--TRIM(LEFT(M46,2)))*(--TRIM(LEFT(O46,2))))</f>
        <v/>
      </c>
      <c r="Q46" s="19" t="str">
        <f t="shared" ref="Q46:Q77" si="8">IF(OR(K46="",M46="",O46=""),"",INDEX(APGrid,COUNTIF(APS,"&gt;"&amp;(--TRIM(LEFT(K46,2))))*5+COUNTIF(APO,"&gt;"&amp;(--TRIM(LEFT(M46,2))))+1,COUNTIF(APD,"&gt;"&amp;(--TRIM(LEFT(O46,2))))+1))</f>
        <v/>
      </c>
      <c r="R46" s="19" t="str">
        <f t="shared" ref="R46:R77" si="9">IF(P46="","",IF(OR((--TRIM(LEFT(K46,2)))&gt;=SThr,P46&gt;=RPNThr,Q46="H"),"Yes","No"))</f>
        <v/>
      </c>
      <c r="S46" s="5"/>
      <c r="T46" s="5"/>
      <c r="U46" s="5"/>
      <c r="V46" s="24"/>
      <c r="W46" s="15"/>
      <c r="X46" s="15"/>
      <c r="Y46" s="15"/>
      <c r="Z46" s="19" t="str">
        <f t="shared" ref="Z46:Z77" si="10">IF(OR(W46="",X46="",Y46=""),"",(--TRIM(LEFT(W46,2)))*(--TRIM(LEFT(X46,2)))*(--TRIM(LEFT(Y46,2))))</f>
        <v/>
      </c>
      <c r="AA46" s="19" t="str">
        <f t="shared" ref="AA46:AA77" si="11">IF(OR(W46="",X46="",Y46=""),"",INDEX(APGrid,COUNTIF(APS,"&gt;"&amp;(--TRIM(LEFT(W46,2))))*5+COUNTIF(APO,"&gt;"&amp;(--TRIM(LEFT(X46,2))))+1,COUNTIF(APD,"&gt;"&amp;(--TRIM(LEFT(Y46,2))))+1))</f>
        <v/>
      </c>
      <c r="AB46" s="5"/>
      <c r="AC46" s="5"/>
      <c r="AE46" t="str">
        <f>IFERROR(INDEX(EqTag,_xlfn.AGGREGATE(15,6,(ROW(EqTag)-4)/((EqSys=$D$3)*(EqTag&lt;&gt;"")),ROWS($AE$14:AE46))),"")</f>
        <v/>
      </c>
    </row>
    <row r="47" spans="1:31" ht="30" customHeight="1" x14ac:dyDescent="0.2">
      <c r="A47" s="19" t="str">
        <f>IF(F47="","",LEFT($D$3,3)&amp;"-"&amp;TEXT(COUNTIF(F$14:F47,"?*"),"00"))</f>
        <v/>
      </c>
      <c r="B47" s="5"/>
      <c r="C47" s="6" t="str">
        <f t="shared" si="6"/>
        <v/>
      </c>
      <c r="D47" s="5"/>
      <c r="E47" s="5"/>
      <c r="F47" s="5"/>
      <c r="G47" s="5"/>
      <c r="H47" s="5"/>
      <c r="I47" s="5"/>
      <c r="J47" s="5"/>
      <c r="K47" s="15"/>
      <c r="L47" s="5"/>
      <c r="M47" s="15"/>
      <c r="N47" s="5"/>
      <c r="O47" s="15"/>
      <c r="P47" s="19" t="str">
        <f t="shared" si="7"/>
        <v/>
      </c>
      <c r="Q47" s="19" t="str">
        <f t="shared" si="8"/>
        <v/>
      </c>
      <c r="R47" s="19" t="str">
        <f t="shared" si="9"/>
        <v/>
      </c>
      <c r="S47" s="5"/>
      <c r="T47" s="5"/>
      <c r="U47" s="5"/>
      <c r="V47" s="24"/>
      <c r="W47" s="15"/>
      <c r="X47" s="15"/>
      <c r="Y47" s="15"/>
      <c r="Z47" s="19" t="str">
        <f t="shared" si="10"/>
        <v/>
      </c>
      <c r="AA47" s="19" t="str">
        <f t="shared" si="11"/>
        <v/>
      </c>
      <c r="AB47" s="5"/>
      <c r="AC47" s="5"/>
      <c r="AE47" t="str">
        <f>IFERROR(INDEX(EqTag,_xlfn.AGGREGATE(15,6,(ROW(EqTag)-4)/((EqSys=$D$3)*(EqTag&lt;&gt;"")),ROWS($AE$14:AE47))),"")</f>
        <v/>
      </c>
    </row>
    <row r="48" spans="1:31" ht="30" customHeight="1" x14ac:dyDescent="0.2">
      <c r="A48" s="19" t="str">
        <f>IF(F48="","",LEFT($D$3,3)&amp;"-"&amp;TEXT(COUNTIF(F$14:F48,"?*"),"00"))</f>
        <v/>
      </c>
      <c r="B48" s="5"/>
      <c r="C48" s="6" t="str">
        <f t="shared" si="6"/>
        <v/>
      </c>
      <c r="D48" s="5"/>
      <c r="E48" s="5"/>
      <c r="F48" s="5"/>
      <c r="G48" s="5"/>
      <c r="H48" s="5"/>
      <c r="I48" s="5"/>
      <c r="J48" s="5"/>
      <c r="K48" s="15"/>
      <c r="L48" s="5"/>
      <c r="M48" s="15"/>
      <c r="N48" s="5"/>
      <c r="O48" s="15"/>
      <c r="P48" s="19" t="str">
        <f t="shared" si="7"/>
        <v/>
      </c>
      <c r="Q48" s="19" t="str">
        <f t="shared" si="8"/>
        <v/>
      </c>
      <c r="R48" s="19" t="str">
        <f t="shared" si="9"/>
        <v/>
      </c>
      <c r="S48" s="5"/>
      <c r="T48" s="5"/>
      <c r="U48" s="5"/>
      <c r="V48" s="24"/>
      <c r="W48" s="15"/>
      <c r="X48" s="15"/>
      <c r="Y48" s="15"/>
      <c r="Z48" s="19" t="str">
        <f t="shared" si="10"/>
        <v/>
      </c>
      <c r="AA48" s="19" t="str">
        <f t="shared" si="11"/>
        <v/>
      </c>
      <c r="AB48" s="5"/>
      <c r="AC48" s="5"/>
      <c r="AE48" t="str">
        <f>IFERROR(INDEX(EqTag,_xlfn.AGGREGATE(15,6,(ROW(EqTag)-4)/((EqSys=$D$3)*(EqTag&lt;&gt;"")),ROWS($AE$14:AE48))),"")</f>
        <v/>
      </c>
    </row>
    <row r="49" spans="1:31" ht="30" customHeight="1" x14ac:dyDescent="0.2">
      <c r="A49" s="19" t="str">
        <f>IF(F49="","",LEFT($D$3,3)&amp;"-"&amp;TEXT(COUNTIF(F$14:F49,"?*"),"00"))</f>
        <v/>
      </c>
      <c r="B49" s="5"/>
      <c r="C49" s="6" t="str">
        <f t="shared" si="6"/>
        <v/>
      </c>
      <c r="D49" s="5"/>
      <c r="E49" s="5"/>
      <c r="F49" s="5"/>
      <c r="G49" s="5"/>
      <c r="H49" s="5"/>
      <c r="I49" s="5"/>
      <c r="J49" s="5"/>
      <c r="K49" s="15"/>
      <c r="L49" s="5"/>
      <c r="M49" s="15"/>
      <c r="N49" s="5"/>
      <c r="O49" s="15"/>
      <c r="P49" s="19" t="str">
        <f t="shared" si="7"/>
        <v/>
      </c>
      <c r="Q49" s="19" t="str">
        <f t="shared" si="8"/>
        <v/>
      </c>
      <c r="R49" s="19" t="str">
        <f t="shared" si="9"/>
        <v/>
      </c>
      <c r="S49" s="5"/>
      <c r="T49" s="5"/>
      <c r="U49" s="5"/>
      <c r="V49" s="24"/>
      <c r="W49" s="15"/>
      <c r="X49" s="15"/>
      <c r="Y49" s="15"/>
      <c r="Z49" s="19" t="str">
        <f t="shared" si="10"/>
        <v/>
      </c>
      <c r="AA49" s="19" t="str">
        <f t="shared" si="11"/>
        <v/>
      </c>
      <c r="AB49" s="5"/>
      <c r="AC49" s="5"/>
      <c r="AE49" t="str">
        <f>IFERROR(INDEX(EqTag,_xlfn.AGGREGATE(15,6,(ROW(EqTag)-4)/((EqSys=$D$3)*(EqTag&lt;&gt;"")),ROWS($AE$14:AE49))),"")</f>
        <v/>
      </c>
    </row>
    <row r="50" spans="1:31" ht="30" customHeight="1" x14ac:dyDescent="0.2">
      <c r="A50" s="19" t="str">
        <f>IF(F50="","",LEFT($D$3,3)&amp;"-"&amp;TEXT(COUNTIF(F$14:F50,"?*"),"00"))</f>
        <v/>
      </c>
      <c r="B50" s="5"/>
      <c r="C50" s="6" t="str">
        <f t="shared" si="6"/>
        <v/>
      </c>
      <c r="D50" s="5"/>
      <c r="E50" s="5"/>
      <c r="F50" s="5"/>
      <c r="G50" s="5"/>
      <c r="H50" s="5"/>
      <c r="I50" s="5"/>
      <c r="J50" s="5"/>
      <c r="K50" s="15"/>
      <c r="L50" s="5"/>
      <c r="M50" s="15"/>
      <c r="N50" s="5"/>
      <c r="O50" s="15"/>
      <c r="P50" s="19" t="str">
        <f t="shared" si="7"/>
        <v/>
      </c>
      <c r="Q50" s="19" t="str">
        <f t="shared" si="8"/>
        <v/>
      </c>
      <c r="R50" s="19" t="str">
        <f t="shared" si="9"/>
        <v/>
      </c>
      <c r="S50" s="5"/>
      <c r="T50" s="5"/>
      <c r="U50" s="5"/>
      <c r="V50" s="24"/>
      <c r="W50" s="15"/>
      <c r="X50" s="15"/>
      <c r="Y50" s="15"/>
      <c r="Z50" s="19" t="str">
        <f t="shared" si="10"/>
        <v/>
      </c>
      <c r="AA50" s="19" t="str">
        <f t="shared" si="11"/>
        <v/>
      </c>
      <c r="AB50" s="5"/>
      <c r="AC50" s="5"/>
      <c r="AE50" t="str">
        <f>IFERROR(INDEX(EqTag,_xlfn.AGGREGATE(15,6,(ROW(EqTag)-4)/((EqSys=$D$3)*(EqTag&lt;&gt;"")),ROWS($AE$14:AE50))),"")</f>
        <v/>
      </c>
    </row>
    <row r="51" spans="1:31" ht="30" customHeight="1" x14ac:dyDescent="0.2">
      <c r="A51" s="19" t="str">
        <f>IF(F51="","",LEFT($D$3,3)&amp;"-"&amp;TEXT(COUNTIF(F$14:F51,"?*"),"00"))</f>
        <v/>
      </c>
      <c r="B51" s="5"/>
      <c r="C51" s="6" t="str">
        <f t="shared" si="6"/>
        <v/>
      </c>
      <c r="D51" s="5"/>
      <c r="E51" s="5"/>
      <c r="F51" s="5"/>
      <c r="G51" s="5"/>
      <c r="H51" s="5"/>
      <c r="I51" s="5"/>
      <c r="J51" s="5"/>
      <c r="K51" s="15"/>
      <c r="L51" s="5"/>
      <c r="M51" s="15"/>
      <c r="N51" s="5"/>
      <c r="O51" s="15"/>
      <c r="P51" s="19" t="str">
        <f t="shared" si="7"/>
        <v/>
      </c>
      <c r="Q51" s="19" t="str">
        <f t="shared" si="8"/>
        <v/>
      </c>
      <c r="R51" s="19" t="str">
        <f t="shared" si="9"/>
        <v/>
      </c>
      <c r="S51" s="5"/>
      <c r="T51" s="5"/>
      <c r="U51" s="5"/>
      <c r="V51" s="24"/>
      <c r="W51" s="15"/>
      <c r="X51" s="15"/>
      <c r="Y51" s="15"/>
      <c r="Z51" s="19" t="str">
        <f t="shared" si="10"/>
        <v/>
      </c>
      <c r="AA51" s="19" t="str">
        <f t="shared" si="11"/>
        <v/>
      </c>
      <c r="AB51" s="5"/>
      <c r="AC51" s="5"/>
      <c r="AE51" t="str">
        <f>IFERROR(INDEX(EqTag,_xlfn.AGGREGATE(15,6,(ROW(EqTag)-4)/((EqSys=$D$3)*(EqTag&lt;&gt;"")),ROWS($AE$14:AE51))),"")</f>
        <v/>
      </c>
    </row>
    <row r="52" spans="1:31" ht="30" customHeight="1" x14ac:dyDescent="0.2">
      <c r="A52" s="19" t="str">
        <f>IF(F52="","",LEFT($D$3,3)&amp;"-"&amp;TEXT(COUNTIF(F$14:F52,"?*"),"00"))</f>
        <v/>
      </c>
      <c r="B52" s="5"/>
      <c r="C52" s="6" t="str">
        <f t="shared" si="6"/>
        <v/>
      </c>
      <c r="D52" s="5"/>
      <c r="E52" s="5"/>
      <c r="F52" s="5"/>
      <c r="G52" s="5"/>
      <c r="H52" s="5"/>
      <c r="I52" s="5"/>
      <c r="J52" s="5"/>
      <c r="K52" s="15"/>
      <c r="L52" s="5"/>
      <c r="M52" s="15"/>
      <c r="N52" s="5"/>
      <c r="O52" s="15"/>
      <c r="P52" s="19" t="str">
        <f t="shared" si="7"/>
        <v/>
      </c>
      <c r="Q52" s="19" t="str">
        <f t="shared" si="8"/>
        <v/>
      </c>
      <c r="R52" s="19" t="str">
        <f t="shared" si="9"/>
        <v/>
      </c>
      <c r="S52" s="5"/>
      <c r="T52" s="5"/>
      <c r="U52" s="5"/>
      <c r="V52" s="24"/>
      <c r="W52" s="15"/>
      <c r="X52" s="15"/>
      <c r="Y52" s="15"/>
      <c r="Z52" s="19" t="str">
        <f t="shared" si="10"/>
        <v/>
      </c>
      <c r="AA52" s="19" t="str">
        <f t="shared" si="11"/>
        <v/>
      </c>
      <c r="AB52" s="5"/>
      <c r="AC52" s="5"/>
      <c r="AE52" t="str">
        <f>IFERROR(INDEX(EqTag,_xlfn.AGGREGATE(15,6,(ROW(EqTag)-4)/((EqSys=$D$3)*(EqTag&lt;&gt;"")),ROWS($AE$14:AE52))),"")</f>
        <v/>
      </c>
    </row>
    <row r="53" spans="1:31" ht="30" customHeight="1" x14ac:dyDescent="0.2">
      <c r="A53" s="19" t="str">
        <f>IF(F53="","",LEFT($D$3,3)&amp;"-"&amp;TEXT(COUNTIF(F$14:F53,"?*"),"00"))</f>
        <v/>
      </c>
      <c r="B53" s="5"/>
      <c r="C53" s="6" t="str">
        <f t="shared" si="6"/>
        <v/>
      </c>
      <c r="D53" s="5"/>
      <c r="E53" s="5"/>
      <c r="F53" s="5"/>
      <c r="G53" s="5"/>
      <c r="H53" s="5"/>
      <c r="I53" s="5"/>
      <c r="J53" s="5"/>
      <c r="K53" s="15"/>
      <c r="L53" s="5"/>
      <c r="M53" s="15"/>
      <c r="N53" s="5"/>
      <c r="O53" s="15"/>
      <c r="P53" s="19" t="str">
        <f t="shared" si="7"/>
        <v/>
      </c>
      <c r="Q53" s="19" t="str">
        <f t="shared" si="8"/>
        <v/>
      </c>
      <c r="R53" s="19" t="str">
        <f t="shared" si="9"/>
        <v/>
      </c>
      <c r="S53" s="5"/>
      <c r="T53" s="5"/>
      <c r="U53" s="5"/>
      <c r="V53" s="24"/>
      <c r="W53" s="15"/>
      <c r="X53" s="15"/>
      <c r="Y53" s="15"/>
      <c r="Z53" s="19" t="str">
        <f t="shared" si="10"/>
        <v/>
      </c>
      <c r="AA53" s="19" t="str">
        <f t="shared" si="11"/>
        <v/>
      </c>
      <c r="AB53" s="5"/>
      <c r="AC53" s="5"/>
      <c r="AE53" t="str">
        <f>IFERROR(INDEX(EqTag,_xlfn.AGGREGATE(15,6,(ROW(EqTag)-4)/((EqSys=$D$3)*(EqTag&lt;&gt;"")),ROWS($AE$14:AE53))),"")</f>
        <v/>
      </c>
    </row>
    <row r="54" spans="1:31" ht="30" customHeight="1" x14ac:dyDescent="0.2">
      <c r="A54" s="19" t="str">
        <f>IF(F54="","",LEFT($D$3,3)&amp;"-"&amp;TEXT(COUNTIF(F$14:F54,"?*"),"00"))</f>
        <v/>
      </c>
      <c r="B54" s="5"/>
      <c r="C54" s="6" t="str">
        <f t="shared" si="6"/>
        <v/>
      </c>
      <c r="D54" s="5"/>
      <c r="E54" s="5"/>
      <c r="F54" s="5"/>
      <c r="G54" s="5"/>
      <c r="H54" s="5"/>
      <c r="I54" s="5"/>
      <c r="J54" s="5"/>
      <c r="K54" s="15"/>
      <c r="L54" s="5"/>
      <c r="M54" s="15"/>
      <c r="N54" s="5"/>
      <c r="O54" s="15"/>
      <c r="P54" s="19" t="str">
        <f t="shared" si="7"/>
        <v/>
      </c>
      <c r="Q54" s="19" t="str">
        <f t="shared" si="8"/>
        <v/>
      </c>
      <c r="R54" s="19" t="str">
        <f t="shared" si="9"/>
        <v/>
      </c>
      <c r="S54" s="5"/>
      <c r="T54" s="5"/>
      <c r="U54" s="5"/>
      <c r="V54" s="24"/>
      <c r="W54" s="15"/>
      <c r="X54" s="15"/>
      <c r="Y54" s="15"/>
      <c r="Z54" s="19" t="str">
        <f t="shared" si="10"/>
        <v/>
      </c>
      <c r="AA54" s="19" t="str">
        <f t="shared" si="11"/>
        <v/>
      </c>
      <c r="AB54" s="5"/>
      <c r="AC54" s="5"/>
      <c r="AE54" t="str">
        <f>IFERROR(INDEX(EqTag,_xlfn.AGGREGATE(15,6,(ROW(EqTag)-4)/((EqSys=$D$3)*(EqTag&lt;&gt;"")),ROWS($AE$14:AE54))),"")</f>
        <v/>
      </c>
    </row>
    <row r="55" spans="1:31" ht="30" customHeight="1" x14ac:dyDescent="0.2">
      <c r="A55" s="19" t="str">
        <f>IF(F55="","",LEFT($D$3,3)&amp;"-"&amp;TEXT(COUNTIF(F$14:F55,"?*"),"00"))</f>
        <v/>
      </c>
      <c r="B55" s="5"/>
      <c r="C55" s="6" t="str">
        <f t="shared" si="6"/>
        <v/>
      </c>
      <c r="D55" s="5"/>
      <c r="E55" s="5"/>
      <c r="F55" s="5"/>
      <c r="G55" s="5"/>
      <c r="H55" s="5"/>
      <c r="I55" s="5"/>
      <c r="J55" s="5"/>
      <c r="K55" s="15"/>
      <c r="L55" s="5"/>
      <c r="M55" s="15"/>
      <c r="N55" s="5"/>
      <c r="O55" s="15"/>
      <c r="P55" s="19" t="str">
        <f t="shared" si="7"/>
        <v/>
      </c>
      <c r="Q55" s="19" t="str">
        <f t="shared" si="8"/>
        <v/>
      </c>
      <c r="R55" s="19" t="str">
        <f t="shared" si="9"/>
        <v/>
      </c>
      <c r="S55" s="5"/>
      <c r="T55" s="5"/>
      <c r="U55" s="5"/>
      <c r="V55" s="24"/>
      <c r="W55" s="15"/>
      <c r="X55" s="15"/>
      <c r="Y55" s="15"/>
      <c r="Z55" s="19" t="str">
        <f t="shared" si="10"/>
        <v/>
      </c>
      <c r="AA55" s="19" t="str">
        <f t="shared" si="11"/>
        <v/>
      </c>
      <c r="AB55" s="5"/>
      <c r="AC55" s="5"/>
      <c r="AE55" t="str">
        <f>IFERROR(INDEX(EqTag,_xlfn.AGGREGATE(15,6,(ROW(EqTag)-4)/((EqSys=$D$3)*(EqTag&lt;&gt;"")),ROWS($AE$14:AE55))),"")</f>
        <v/>
      </c>
    </row>
    <row r="56" spans="1:31" ht="30" customHeight="1" x14ac:dyDescent="0.2">
      <c r="A56" s="19" t="str">
        <f>IF(F56="","",LEFT($D$3,3)&amp;"-"&amp;TEXT(COUNTIF(F$14:F56,"?*"),"00"))</f>
        <v/>
      </c>
      <c r="B56" s="5"/>
      <c r="C56" s="6" t="str">
        <f t="shared" si="6"/>
        <v/>
      </c>
      <c r="D56" s="5"/>
      <c r="E56" s="5"/>
      <c r="F56" s="5"/>
      <c r="G56" s="5"/>
      <c r="H56" s="5"/>
      <c r="I56" s="5"/>
      <c r="J56" s="5"/>
      <c r="K56" s="15"/>
      <c r="L56" s="5"/>
      <c r="M56" s="15"/>
      <c r="N56" s="5"/>
      <c r="O56" s="15"/>
      <c r="P56" s="19" t="str">
        <f t="shared" si="7"/>
        <v/>
      </c>
      <c r="Q56" s="19" t="str">
        <f t="shared" si="8"/>
        <v/>
      </c>
      <c r="R56" s="19" t="str">
        <f t="shared" si="9"/>
        <v/>
      </c>
      <c r="S56" s="5"/>
      <c r="T56" s="5"/>
      <c r="U56" s="5"/>
      <c r="V56" s="24"/>
      <c r="W56" s="15"/>
      <c r="X56" s="15"/>
      <c r="Y56" s="15"/>
      <c r="Z56" s="19" t="str">
        <f t="shared" si="10"/>
        <v/>
      </c>
      <c r="AA56" s="19" t="str">
        <f t="shared" si="11"/>
        <v/>
      </c>
      <c r="AB56" s="5"/>
      <c r="AC56" s="5"/>
      <c r="AE56" t="str">
        <f>IFERROR(INDEX(EqTag,_xlfn.AGGREGATE(15,6,(ROW(EqTag)-4)/((EqSys=$D$3)*(EqTag&lt;&gt;"")),ROWS($AE$14:AE56))),"")</f>
        <v/>
      </c>
    </row>
    <row r="57" spans="1:31" ht="30" customHeight="1" x14ac:dyDescent="0.2">
      <c r="A57" s="19" t="str">
        <f>IF(F57="","",LEFT($D$3,3)&amp;"-"&amp;TEXT(COUNTIF(F$14:F57,"?*"),"00"))</f>
        <v/>
      </c>
      <c r="B57" s="5"/>
      <c r="C57" s="6" t="str">
        <f t="shared" si="6"/>
        <v/>
      </c>
      <c r="D57" s="5"/>
      <c r="E57" s="5"/>
      <c r="F57" s="5"/>
      <c r="G57" s="5"/>
      <c r="H57" s="5"/>
      <c r="I57" s="5"/>
      <c r="J57" s="5"/>
      <c r="K57" s="15"/>
      <c r="L57" s="5"/>
      <c r="M57" s="15"/>
      <c r="N57" s="5"/>
      <c r="O57" s="15"/>
      <c r="P57" s="19" t="str">
        <f t="shared" si="7"/>
        <v/>
      </c>
      <c r="Q57" s="19" t="str">
        <f t="shared" si="8"/>
        <v/>
      </c>
      <c r="R57" s="19" t="str">
        <f t="shared" si="9"/>
        <v/>
      </c>
      <c r="S57" s="5"/>
      <c r="T57" s="5"/>
      <c r="U57" s="5"/>
      <c r="V57" s="24"/>
      <c r="W57" s="15"/>
      <c r="X57" s="15"/>
      <c r="Y57" s="15"/>
      <c r="Z57" s="19" t="str">
        <f t="shared" si="10"/>
        <v/>
      </c>
      <c r="AA57" s="19" t="str">
        <f t="shared" si="11"/>
        <v/>
      </c>
      <c r="AB57" s="5"/>
      <c r="AC57" s="5"/>
      <c r="AE57" t="str">
        <f>IFERROR(INDEX(EqTag,_xlfn.AGGREGATE(15,6,(ROW(EqTag)-4)/((EqSys=$D$3)*(EqTag&lt;&gt;"")),ROWS($AE$14:AE57))),"")</f>
        <v/>
      </c>
    </row>
    <row r="58" spans="1:31" ht="30" customHeight="1" x14ac:dyDescent="0.2">
      <c r="A58" s="19" t="str">
        <f>IF(F58="","",LEFT($D$3,3)&amp;"-"&amp;TEXT(COUNTIF(F$14:F58,"?*"),"00"))</f>
        <v/>
      </c>
      <c r="B58" s="5"/>
      <c r="C58" s="6" t="str">
        <f t="shared" si="6"/>
        <v/>
      </c>
      <c r="D58" s="5"/>
      <c r="E58" s="5"/>
      <c r="F58" s="5"/>
      <c r="G58" s="5"/>
      <c r="H58" s="5"/>
      <c r="I58" s="5"/>
      <c r="J58" s="5"/>
      <c r="K58" s="15"/>
      <c r="L58" s="5"/>
      <c r="M58" s="15"/>
      <c r="N58" s="5"/>
      <c r="O58" s="15"/>
      <c r="P58" s="19" t="str">
        <f t="shared" si="7"/>
        <v/>
      </c>
      <c r="Q58" s="19" t="str">
        <f t="shared" si="8"/>
        <v/>
      </c>
      <c r="R58" s="19" t="str">
        <f t="shared" si="9"/>
        <v/>
      </c>
      <c r="S58" s="5"/>
      <c r="T58" s="5"/>
      <c r="U58" s="5"/>
      <c r="V58" s="24"/>
      <c r="W58" s="15"/>
      <c r="X58" s="15"/>
      <c r="Y58" s="15"/>
      <c r="Z58" s="19" t="str">
        <f t="shared" si="10"/>
        <v/>
      </c>
      <c r="AA58" s="19" t="str">
        <f t="shared" si="11"/>
        <v/>
      </c>
      <c r="AB58" s="5"/>
      <c r="AC58" s="5"/>
      <c r="AE58" t="str">
        <f>IFERROR(INDEX(EqTag,_xlfn.AGGREGATE(15,6,(ROW(EqTag)-4)/((EqSys=$D$3)*(EqTag&lt;&gt;"")),ROWS($AE$14:AE58))),"")</f>
        <v/>
      </c>
    </row>
    <row r="59" spans="1:31" ht="30" customHeight="1" x14ac:dyDescent="0.2">
      <c r="A59" s="19" t="str">
        <f>IF(F59="","",LEFT($D$3,3)&amp;"-"&amp;TEXT(COUNTIF(F$14:F59,"?*"),"00"))</f>
        <v/>
      </c>
      <c r="B59" s="5"/>
      <c r="C59" s="6" t="str">
        <f t="shared" si="6"/>
        <v/>
      </c>
      <c r="D59" s="5"/>
      <c r="E59" s="5"/>
      <c r="F59" s="5"/>
      <c r="G59" s="5"/>
      <c r="H59" s="5"/>
      <c r="I59" s="5"/>
      <c r="J59" s="5"/>
      <c r="K59" s="15"/>
      <c r="L59" s="5"/>
      <c r="M59" s="15"/>
      <c r="N59" s="5"/>
      <c r="O59" s="15"/>
      <c r="P59" s="19" t="str">
        <f t="shared" si="7"/>
        <v/>
      </c>
      <c r="Q59" s="19" t="str">
        <f t="shared" si="8"/>
        <v/>
      </c>
      <c r="R59" s="19" t="str">
        <f t="shared" si="9"/>
        <v/>
      </c>
      <c r="S59" s="5"/>
      <c r="T59" s="5"/>
      <c r="U59" s="5"/>
      <c r="V59" s="24"/>
      <c r="W59" s="15"/>
      <c r="X59" s="15"/>
      <c r="Y59" s="15"/>
      <c r="Z59" s="19" t="str">
        <f t="shared" si="10"/>
        <v/>
      </c>
      <c r="AA59" s="19" t="str">
        <f t="shared" si="11"/>
        <v/>
      </c>
      <c r="AB59" s="5"/>
      <c r="AC59" s="5"/>
      <c r="AE59" t="str">
        <f>IFERROR(INDEX(EqTag,_xlfn.AGGREGATE(15,6,(ROW(EqTag)-4)/((EqSys=$D$3)*(EqTag&lt;&gt;"")),ROWS($AE$14:AE59))),"")</f>
        <v/>
      </c>
    </row>
    <row r="60" spans="1:31" ht="30" customHeight="1" x14ac:dyDescent="0.2">
      <c r="A60" s="19" t="str">
        <f>IF(F60="","",LEFT($D$3,3)&amp;"-"&amp;TEXT(COUNTIF(F$14:F60,"?*"),"00"))</f>
        <v/>
      </c>
      <c r="B60" s="5"/>
      <c r="C60" s="6" t="str">
        <f t="shared" si="6"/>
        <v/>
      </c>
      <c r="D60" s="5"/>
      <c r="E60" s="5"/>
      <c r="F60" s="5"/>
      <c r="G60" s="5"/>
      <c r="H60" s="5"/>
      <c r="I60" s="5"/>
      <c r="J60" s="5"/>
      <c r="K60" s="15"/>
      <c r="L60" s="5"/>
      <c r="M60" s="15"/>
      <c r="N60" s="5"/>
      <c r="O60" s="15"/>
      <c r="P60" s="19" t="str">
        <f t="shared" si="7"/>
        <v/>
      </c>
      <c r="Q60" s="19" t="str">
        <f t="shared" si="8"/>
        <v/>
      </c>
      <c r="R60" s="19" t="str">
        <f t="shared" si="9"/>
        <v/>
      </c>
      <c r="S60" s="5"/>
      <c r="T60" s="5"/>
      <c r="U60" s="5"/>
      <c r="V60" s="24"/>
      <c r="W60" s="15"/>
      <c r="X60" s="15"/>
      <c r="Y60" s="15"/>
      <c r="Z60" s="19" t="str">
        <f t="shared" si="10"/>
        <v/>
      </c>
      <c r="AA60" s="19" t="str">
        <f t="shared" si="11"/>
        <v/>
      </c>
      <c r="AB60" s="5"/>
      <c r="AC60" s="5"/>
      <c r="AE60" t="str">
        <f>IFERROR(INDEX(EqTag,_xlfn.AGGREGATE(15,6,(ROW(EqTag)-4)/((EqSys=$D$3)*(EqTag&lt;&gt;"")),ROWS($AE$14:AE60))),"")</f>
        <v/>
      </c>
    </row>
    <row r="61" spans="1:31" ht="30" customHeight="1" x14ac:dyDescent="0.2">
      <c r="A61" s="19" t="str">
        <f>IF(F61="","",LEFT($D$3,3)&amp;"-"&amp;TEXT(COUNTIF(F$14:F61,"?*"),"00"))</f>
        <v/>
      </c>
      <c r="B61" s="5"/>
      <c r="C61" s="6" t="str">
        <f t="shared" si="6"/>
        <v/>
      </c>
      <c r="D61" s="5"/>
      <c r="E61" s="5"/>
      <c r="F61" s="5"/>
      <c r="G61" s="5"/>
      <c r="H61" s="5"/>
      <c r="I61" s="5"/>
      <c r="J61" s="5"/>
      <c r="K61" s="15"/>
      <c r="L61" s="5"/>
      <c r="M61" s="15"/>
      <c r="N61" s="5"/>
      <c r="O61" s="15"/>
      <c r="P61" s="19" t="str">
        <f t="shared" si="7"/>
        <v/>
      </c>
      <c r="Q61" s="19" t="str">
        <f t="shared" si="8"/>
        <v/>
      </c>
      <c r="R61" s="19" t="str">
        <f t="shared" si="9"/>
        <v/>
      </c>
      <c r="S61" s="5"/>
      <c r="T61" s="5"/>
      <c r="U61" s="5"/>
      <c r="V61" s="24"/>
      <c r="W61" s="15"/>
      <c r="X61" s="15"/>
      <c r="Y61" s="15"/>
      <c r="Z61" s="19" t="str">
        <f t="shared" si="10"/>
        <v/>
      </c>
      <c r="AA61" s="19" t="str">
        <f t="shared" si="11"/>
        <v/>
      </c>
      <c r="AB61" s="5"/>
      <c r="AC61" s="5"/>
      <c r="AE61" t="str">
        <f>IFERROR(INDEX(EqTag,_xlfn.AGGREGATE(15,6,(ROW(EqTag)-4)/((EqSys=$D$3)*(EqTag&lt;&gt;"")),ROWS($AE$14:AE61))),"")</f>
        <v/>
      </c>
    </row>
    <row r="62" spans="1:31" ht="30" customHeight="1" x14ac:dyDescent="0.2">
      <c r="A62" s="19" t="str">
        <f>IF(F62="","",LEFT($D$3,3)&amp;"-"&amp;TEXT(COUNTIF(F$14:F62,"?*"),"00"))</f>
        <v/>
      </c>
      <c r="B62" s="5"/>
      <c r="C62" s="6" t="str">
        <f t="shared" si="6"/>
        <v/>
      </c>
      <c r="D62" s="5"/>
      <c r="E62" s="5"/>
      <c r="F62" s="5"/>
      <c r="G62" s="5"/>
      <c r="H62" s="5"/>
      <c r="I62" s="5"/>
      <c r="J62" s="5"/>
      <c r="K62" s="15"/>
      <c r="L62" s="5"/>
      <c r="M62" s="15"/>
      <c r="N62" s="5"/>
      <c r="O62" s="15"/>
      <c r="P62" s="19" t="str">
        <f t="shared" si="7"/>
        <v/>
      </c>
      <c r="Q62" s="19" t="str">
        <f t="shared" si="8"/>
        <v/>
      </c>
      <c r="R62" s="19" t="str">
        <f t="shared" si="9"/>
        <v/>
      </c>
      <c r="S62" s="5"/>
      <c r="T62" s="5"/>
      <c r="U62" s="5"/>
      <c r="V62" s="24"/>
      <c r="W62" s="15"/>
      <c r="X62" s="15"/>
      <c r="Y62" s="15"/>
      <c r="Z62" s="19" t="str">
        <f t="shared" si="10"/>
        <v/>
      </c>
      <c r="AA62" s="19" t="str">
        <f t="shared" si="11"/>
        <v/>
      </c>
      <c r="AB62" s="5"/>
      <c r="AC62" s="5"/>
      <c r="AE62" t="str">
        <f>IFERROR(INDEX(EqTag,_xlfn.AGGREGATE(15,6,(ROW(EqTag)-4)/((EqSys=$D$3)*(EqTag&lt;&gt;"")),ROWS($AE$14:AE62))),"")</f>
        <v/>
      </c>
    </row>
    <row r="63" spans="1:31" ht="30" customHeight="1" x14ac:dyDescent="0.2">
      <c r="A63" s="19" t="str">
        <f>IF(F63="","",LEFT($D$3,3)&amp;"-"&amp;TEXT(COUNTIF(F$14:F63,"?*"),"00"))</f>
        <v/>
      </c>
      <c r="B63" s="5"/>
      <c r="C63" s="6" t="str">
        <f t="shared" si="6"/>
        <v/>
      </c>
      <c r="D63" s="5"/>
      <c r="E63" s="5"/>
      <c r="F63" s="5"/>
      <c r="G63" s="5"/>
      <c r="H63" s="5"/>
      <c r="I63" s="5"/>
      <c r="J63" s="5"/>
      <c r="K63" s="15"/>
      <c r="L63" s="5"/>
      <c r="M63" s="15"/>
      <c r="N63" s="5"/>
      <c r="O63" s="15"/>
      <c r="P63" s="19" t="str">
        <f t="shared" si="7"/>
        <v/>
      </c>
      <c r="Q63" s="19" t="str">
        <f t="shared" si="8"/>
        <v/>
      </c>
      <c r="R63" s="19" t="str">
        <f t="shared" si="9"/>
        <v/>
      </c>
      <c r="S63" s="5"/>
      <c r="T63" s="5"/>
      <c r="U63" s="5"/>
      <c r="V63" s="24"/>
      <c r="W63" s="15"/>
      <c r="X63" s="15"/>
      <c r="Y63" s="15"/>
      <c r="Z63" s="19" t="str">
        <f t="shared" si="10"/>
        <v/>
      </c>
      <c r="AA63" s="19" t="str">
        <f t="shared" si="11"/>
        <v/>
      </c>
      <c r="AB63" s="5"/>
      <c r="AC63" s="5"/>
      <c r="AE63" t="str">
        <f>IFERROR(INDEX(EqTag,_xlfn.AGGREGATE(15,6,(ROW(EqTag)-4)/((EqSys=$D$3)*(EqTag&lt;&gt;"")),ROWS($AE$14:AE63))),"")</f>
        <v/>
      </c>
    </row>
    <row r="64" spans="1:31" ht="30" customHeight="1" x14ac:dyDescent="0.2">
      <c r="A64" s="19" t="str">
        <f>IF(F64="","",LEFT($D$3,3)&amp;"-"&amp;TEXT(COUNTIF(F$14:F64,"?*"),"00"))</f>
        <v/>
      </c>
      <c r="B64" s="5"/>
      <c r="C64" s="6" t="str">
        <f t="shared" si="6"/>
        <v/>
      </c>
      <c r="D64" s="5"/>
      <c r="E64" s="5"/>
      <c r="F64" s="5"/>
      <c r="G64" s="5"/>
      <c r="H64" s="5"/>
      <c r="I64" s="5"/>
      <c r="J64" s="5"/>
      <c r="K64" s="15"/>
      <c r="L64" s="5"/>
      <c r="M64" s="15"/>
      <c r="N64" s="5"/>
      <c r="O64" s="15"/>
      <c r="P64" s="19" t="str">
        <f t="shared" si="7"/>
        <v/>
      </c>
      <c r="Q64" s="19" t="str">
        <f t="shared" si="8"/>
        <v/>
      </c>
      <c r="R64" s="19" t="str">
        <f t="shared" si="9"/>
        <v/>
      </c>
      <c r="S64" s="5"/>
      <c r="T64" s="5"/>
      <c r="U64" s="5"/>
      <c r="V64" s="24"/>
      <c r="W64" s="15"/>
      <c r="X64" s="15"/>
      <c r="Y64" s="15"/>
      <c r="Z64" s="19" t="str">
        <f t="shared" si="10"/>
        <v/>
      </c>
      <c r="AA64" s="19" t="str">
        <f t="shared" si="11"/>
        <v/>
      </c>
      <c r="AB64" s="5"/>
      <c r="AC64" s="5"/>
      <c r="AE64" t="str">
        <f>IFERROR(INDEX(EqTag,_xlfn.AGGREGATE(15,6,(ROW(EqTag)-4)/((EqSys=$D$3)*(EqTag&lt;&gt;"")),ROWS($AE$14:AE64))),"")</f>
        <v/>
      </c>
    </row>
    <row r="65" spans="1:31" ht="30" customHeight="1" x14ac:dyDescent="0.2">
      <c r="A65" s="19" t="str">
        <f>IF(F65="","",LEFT($D$3,3)&amp;"-"&amp;TEXT(COUNTIF(F$14:F65,"?*"),"00"))</f>
        <v/>
      </c>
      <c r="B65" s="5"/>
      <c r="C65" s="6" t="str">
        <f t="shared" si="6"/>
        <v/>
      </c>
      <c r="D65" s="5"/>
      <c r="E65" s="5"/>
      <c r="F65" s="5"/>
      <c r="G65" s="5"/>
      <c r="H65" s="5"/>
      <c r="I65" s="5"/>
      <c r="J65" s="5"/>
      <c r="K65" s="15"/>
      <c r="L65" s="5"/>
      <c r="M65" s="15"/>
      <c r="N65" s="5"/>
      <c r="O65" s="15"/>
      <c r="P65" s="19" t="str">
        <f t="shared" si="7"/>
        <v/>
      </c>
      <c r="Q65" s="19" t="str">
        <f t="shared" si="8"/>
        <v/>
      </c>
      <c r="R65" s="19" t="str">
        <f t="shared" si="9"/>
        <v/>
      </c>
      <c r="S65" s="5"/>
      <c r="T65" s="5"/>
      <c r="U65" s="5"/>
      <c r="V65" s="24"/>
      <c r="W65" s="15"/>
      <c r="X65" s="15"/>
      <c r="Y65" s="15"/>
      <c r="Z65" s="19" t="str">
        <f t="shared" si="10"/>
        <v/>
      </c>
      <c r="AA65" s="19" t="str">
        <f t="shared" si="11"/>
        <v/>
      </c>
      <c r="AB65" s="5"/>
      <c r="AC65" s="5"/>
      <c r="AE65" t="str">
        <f>IFERROR(INDEX(EqTag,_xlfn.AGGREGATE(15,6,(ROW(EqTag)-4)/((EqSys=$D$3)*(EqTag&lt;&gt;"")),ROWS($AE$14:AE65))),"")</f>
        <v/>
      </c>
    </row>
    <row r="66" spans="1:31" ht="30" customHeight="1" x14ac:dyDescent="0.2">
      <c r="A66" s="19" t="str">
        <f>IF(F66="","",LEFT($D$3,3)&amp;"-"&amp;TEXT(COUNTIF(F$14:F66,"?*"),"00"))</f>
        <v/>
      </c>
      <c r="B66" s="5"/>
      <c r="C66" s="6" t="str">
        <f t="shared" si="6"/>
        <v/>
      </c>
      <c r="D66" s="5"/>
      <c r="E66" s="5"/>
      <c r="F66" s="5"/>
      <c r="G66" s="5"/>
      <c r="H66" s="5"/>
      <c r="I66" s="5"/>
      <c r="J66" s="5"/>
      <c r="K66" s="15"/>
      <c r="L66" s="5"/>
      <c r="M66" s="15"/>
      <c r="N66" s="5"/>
      <c r="O66" s="15"/>
      <c r="P66" s="19" t="str">
        <f t="shared" si="7"/>
        <v/>
      </c>
      <c r="Q66" s="19" t="str">
        <f t="shared" si="8"/>
        <v/>
      </c>
      <c r="R66" s="19" t="str">
        <f t="shared" si="9"/>
        <v/>
      </c>
      <c r="S66" s="5"/>
      <c r="T66" s="5"/>
      <c r="U66" s="5"/>
      <c r="V66" s="24"/>
      <c r="W66" s="15"/>
      <c r="X66" s="15"/>
      <c r="Y66" s="15"/>
      <c r="Z66" s="19" t="str">
        <f t="shared" si="10"/>
        <v/>
      </c>
      <c r="AA66" s="19" t="str">
        <f t="shared" si="11"/>
        <v/>
      </c>
      <c r="AB66" s="5"/>
      <c r="AC66" s="5"/>
      <c r="AE66" t="str">
        <f>IFERROR(INDEX(EqTag,_xlfn.AGGREGATE(15,6,(ROW(EqTag)-4)/((EqSys=$D$3)*(EqTag&lt;&gt;"")),ROWS($AE$14:AE66))),"")</f>
        <v/>
      </c>
    </row>
    <row r="67" spans="1:31" ht="30" customHeight="1" x14ac:dyDescent="0.2">
      <c r="A67" s="19" t="str">
        <f>IF(F67="","",LEFT($D$3,3)&amp;"-"&amp;TEXT(COUNTIF(F$14:F67,"?*"),"00"))</f>
        <v/>
      </c>
      <c r="B67" s="5"/>
      <c r="C67" s="6" t="str">
        <f t="shared" si="6"/>
        <v/>
      </c>
      <c r="D67" s="5"/>
      <c r="E67" s="5"/>
      <c r="F67" s="5"/>
      <c r="G67" s="5"/>
      <c r="H67" s="5"/>
      <c r="I67" s="5"/>
      <c r="J67" s="5"/>
      <c r="K67" s="15"/>
      <c r="L67" s="5"/>
      <c r="M67" s="15"/>
      <c r="N67" s="5"/>
      <c r="O67" s="15"/>
      <c r="P67" s="19" t="str">
        <f t="shared" si="7"/>
        <v/>
      </c>
      <c r="Q67" s="19" t="str">
        <f t="shared" si="8"/>
        <v/>
      </c>
      <c r="R67" s="19" t="str">
        <f t="shared" si="9"/>
        <v/>
      </c>
      <c r="S67" s="5"/>
      <c r="T67" s="5"/>
      <c r="U67" s="5"/>
      <c r="V67" s="24"/>
      <c r="W67" s="15"/>
      <c r="X67" s="15"/>
      <c r="Y67" s="15"/>
      <c r="Z67" s="19" t="str">
        <f t="shared" si="10"/>
        <v/>
      </c>
      <c r="AA67" s="19" t="str">
        <f t="shared" si="11"/>
        <v/>
      </c>
      <c r="AB67" s="5"/>
      <c r="AC67" s="5"/>
      <c r="AE67" t="str">
        <f>IFERROR(INDEX(EqTag,_xlfn.AGGREGATE(15,6,(ROW(EqTag)-4)/((EqSys=$D$3)*(EqTag&lt;&gt;"")),ROWS($AE$14:AE67))),"")</f>
        <v/>
      </c>
    </row>
    <row r="68" spans="1:31" ht="30" customHeight="1" x14ac:dyDescent="0.2">
      <c r="A68" s="19" t="str">
        <f>IF(F68="","",LEFT($D$3,3)&amp;"-"&amp;TEXT(COUNTIF(F$14:F68,"?*"),"00"))</f>
        <v/>
      </c>
      <c r="B68" s="5"/>
      <c r="C68" s="6" t="str">
        <f t="shared" si="6"/>
        <v/>
      </c>
      <c r="D68" s="5"/>
      <c r="E68" s="5"/>
      <c r="F68" s="5"/>
      <c r="G68" s="5"/>
      <c r="H68" s="5"/>
      <c r="I68" s="5"/>
      <c r="J68" s="5"/>
      <c r="K68" s="15"/>
      <c r="L68" s="5"/>
      <c r="M68" s="15"/>
      <c r="N68" s="5"/>
      <c r="O68" s="15"/>
      <c r="P68" s="19" t="str">
        <f t="shared" si="7"/>
        <v/>
      </c>
      <c r="Q68" s="19" t="str">
        <f t="shared" si="8"/>
        <v/>
      </c>
      <c r="R68" s="19" t="str">
        <f t="shared" si="9"/>
        <v/>
      </c>
      <c r="S68" s="5"/>
      <c r="T68" s="5"/>
      <c r="U68" s="5"/>
      <c r="V68" s="24"/>
      <c r="W68" s="15"/>
      <c r="X68" s="15"/>
      <c r="Y68" s="15"/>
      <c r="Z68" s="19" t="str">
        <f t="shared" si="10"/>
        <v/>
      </c>
      <c r="AA68" s="19" t="str">
        <f t="shared" si="11"/>
        <v/>
      </c>
      <c r="AB68" s="5"/>
      <c r="AC68" s="5"/>
      <c r="AE68" t="str">
        <f>IFERROR(INDEX(EqTag,_xlfn.AGGREGATE(15,6,(ROW(EqTag)-4)/((EqSys=$D$3)*(EqTag&lt;&gt;"")),ROWS($AE$14:AE68))),"")</f>
        <v/>
      </c>
    </row>
    <row r="69" spans="1:31" ht="30" customHeight="1" x14ac:dyDescent="0.2">
      <c r="A69" s="19" t="str">
        <f>IF(F69="","",LEFT($D$3,3)&amp;"-"&amp;TEXT(COUNTIF(F$14:F69,"?*"),"00"))</f>
        <v/>
      </c>
      <c r="B69" s="5"/>
      <c r="C69" s="6" t="str">
        <f t="shared" si="6"/>
        <v/>
      </c>
      <c r="D69" s="5"/>
      <c r="E69" s="5"/>
      <c r="F69" s="5"/>
      <c r="G69" s="5"/>
      <c r="H69" s="5"/>
      <c r="I69" s="5"/>
      <c r="J69" s="5"/>
      <c r="K69" s="15"/>
      <c r="L69" s="5"/>
      <c r="M69" s="15"/>
      <c r="N69" s="5"/>
      <c r="O69" s="15"/>
      <c r="P69" s="19" t="str">
        <f t="shared" si="7"/>
        <v/>
      </c>
      <c r="Q69" s="19" t="str">
        <f t="shared" si="8"/>
        <v/>
      </c>
      <c r="R69" s="19" t="str">
        <f t="shared" si="9"/>
        <v/>
      </c>
      <c r="S69" s="5"/>
      <c r="T69" s="5"/>
      <c r="U69" s="5"/>
      <c r="V69" s="24"/>
      <c r="W69" s="15"/>
      <c r="X69" s="15"/>
      <c r="Y69" s="15"/>
      <c r="Z69" s="19" t="str">
        <f t="shared" si="10"/>
        <v/>
      </c>
      <c r="AA69" s="19" t="str">
        <f t="shared" si="11"/>
        <v/>
      </c>
      <c r="AB69" s="5"/>
      <c r="AC69" s="5"/>
      <c r="AE69" t="str">
        <f>IFERROR(INDEX(EqTag,_xlfn.AGGREGATE(15,6,(ROW(EqTag)-4)/((EqSys=$D$3)*(EqTag&lt;&gt;"")),ROWS($AE$14:AE69))),"")</f>
        <v/>
      </c>
    </row>
    <row r="70" spans="1:31" ht="30" customHeight="1" x14ac:dyDescent="0.2">
      <c r="A70" s="19" t="str">
        <f>IF(F70="","",LEFT($D$3,3)&amp;"-"&amp;TEXT(COUNTIF(F$14:F70,"?*"),"00"))</f>
        <v/>
      </c>
      <c r="B70" s="5"/>
      <c r="C70" s="6" t="str">
        <f t="shared" si="6"/>
        <v/>
      </c>
      <c r="D70" s="5"/>
      <c r="E70" s="5"/>
      <c r="F70" s="5"/>
      <c r="G70" s="5"/>
      <c r="H70" s="5"/>
      <c r="I70" s="5"/>
      <c r="J70" s="5"/>
      <c r="K70" s="15"/>
      <c r="L70" s="5"/>
      <c r="M70" s="15"/>
      <c r="N70" s="5"/>
      <c r="O70" s="15"/>
      <c r="P70" s="19" t="str">
        <f t="shared" si="7"/>
        <v/>
      </c>
      <c r="Q70" s="19" t="str">
        <f t="shared" si="8"/>
        <v/>
      </c>
      <c r="R70" s="19" t="str">
        <f t="shared" si="9"/>
        <v/>
      </c>
      <c r="S70" s="5"/>
      <c r="T70" s="5"/>
      <c r="U70" s="5"/>
      <c r="V70" s="24"/>
      <c r="W70" s="15"/>
      <c r="X70" s="15"/>
      <c r="Y70" s="15"/>
      <c r="Z70" s="19" t="str">
        <f t="shared" si="10"/>
        <v/>
      </c>
      <c r="AA70" s="19" t="str">
        <f t="shared" si="11"/>
        <v/>
      </c>
      <c r="AB70" s="5"/>
      <c r="AC70" s="5"/>
      <c r="AE70" t="str">
        <f>IFERROR(INDEX(EqTag,_xlfn.AGGREGATE(15,6,(ROW(EqTag)-4)/((EqSys=$D$3)*(EqTag&lt;&gt;"")),ROWS($AE$14:AE70))),"")</f>
        <v/>
      </c>
    </row>
    <row r="71" spans="1:31" ht="30" customHeight="1" x14ac:dyDescent="0.2">
      <c r="A71" s="19" t="str">
        <f>IF(F71="","",LEFT($D$3,3)&amp;"-"&amp;TEXT(COUNTIF(F$14:F71,"?*"),"00"))</f>
        <v/>
      </c>
      <c r="B71" s="5"/>
      <c r="C71" s="6" t="str">
        <f t="shared" si="6"/>
        <v/>
      </c>
      <c r="D71" s="5"/>
      <c r="E71" s="5"/>
      <c r="F71" s="5"/>
      <c r="G71" s="5"/>
      <c r="H71" s="5"/>
      <c r="I71" s="5"/>
      <c r="J71" s="5"/>
      <c r="K71" s="15"/>
      <c r="L71" s="5"/>
      <c r="M71" s="15"/>
      <c r="N71" s="5"/>
      <c r="O71" s="15"/>
      <c r="P71" s="19" t="str">
        <f t="shared" si="7"/>
        <v/>
      </c>
      <c r="Q71" s="19" t="str">
        <f t="shared" si="8"/>
        <v/>
      </c>
      <c r="R71" s="19" t="str">
        <f t="shared" si="9"/>
        <v/>
      </c>
      <c r="S71" s="5"/>
      <c r="T71" s="5"/>
      <c r="U71" s="5"/>
      <c r="V71" s="24"/>
      <c r="W71" s="15"/>
      <c r="X71" s="15"/>
      <c r="Y71" s="15"/>
      <c r="Z71" s="19" t="str">
        <f t="shared" si="10"/>
        <v/>
      </c>
      <c r="AA71" s="19" t="str">
        <f t="shared" si="11"/>
        <v/>
      </c>
      <c r="AB71" s="5"/>
      <c r="AC71" s="5"/>
      <c r="AE71" t="str">
        <f>IFERROR(INDEX(EqTag,_xlfn.AGGREGATE(15,6,(ROW(EqTag)-4)/((EqSys=$D$3)*(EqTag&lt;&gt;"")),ROWS($AE$14:AE71))),"")</f>
        <v/>
      </c>
    </row>
    <row r="72" spans="1:31" ht="30" customHeight="1" x14ac:dyDescent="0.2">
      <c r="A72" s="19" t="str">
        <f>IF(F72="","",LEFT($D$3,3)&amp;"-"&amp;TEXT(COUNTIF(F$14:F72,"?*"),"00"))</f>
        <v/>
      </c>
      <c r="B72" s="5"/>
      <c r="C72" s="6" t="str">
        <f t="shared" si="6"/>
        <v/>
      </c>
      <c r="D72" s="5"/>
      <c r="E72" s="5"/>
      <c r="F72" s="5"/>
      <c r="G72" s="5"/>
      <c r="H72" s="5"/>
      <c r="I72" s="5"/>
      <c r="J72" s="5"/>
      <c r="K72" s="15"/>
      <c r="L72" s="5"/>
      <c r="M72" s="15"/>
      <c r="N72" s="5"/>
      <c r="O72" s="15"/>
      <c r="P72" s="19" t="str">
        <f t="shared" si="7"/>
        <v/>
      </c>
      <c r="Q72" s="19" t="str">
        <f t="shared" si="8"/>
        <v/>
      </c>
      <c r="R72" s="19" t="str">
        <f t="shared" si="9"/>
        <v/>
      </c>
      <c r="S72" s="5"/>
      <c r="T72" s="5"/>
      <c r="U72" s="5"/>
      <c r="V72" s="24"/>
      <c r="W72" s="15"/>
      <c r="X72" s="15"/>
      <c r="Y72" s="15"/>
      <c r="Z72" s="19" t="str">
        <f t="shared" si="10"/>
        <v/>
      </c>
      <c r="AA72" s="19" t="str">
        <f t="shared" si="11"/>
        <v/>
      </c>
      <c r="AB72" s="5"/>
      <c r="AC72" s="5"/>
      <c r="AE72" t="str">
        <f>IFERROR(INDEX(EqTag,_xlfn.AGGREGATE(15,6,(ROW(EqTag)-4)/((EqSys=$D$3)*(EqTag&lt;&gt;"")),ROWS($AE$14:AE72))),"")</f>
        <v/>
      </c>
    </row>
    <row r="73" spans="1:31" ht="30" customHeight="1" x14ac:dyDescent="0.2">
      <c r="A73" s="19" t="str">
        <f>IF(F73="","",LEFT($D$3,3)&amp;"-"&amp;TEXT(COUNTIF(F$14:F73,"?*"),"00"))</f>
        <v/>
      </c>
      <c r="B73" s="5"/>
      <c r="C73" s="6" t="str">
        <f t="shared" si="6"/>
        <v/>
      </c>
      <c r="D73" s="5"/>
      <c r="E73" s="5"/>
      <c r="F73" s="5"/>
      <c r="G73" s="5"/>
      <c r="H73" s="5"/>
      <c r="I73" s="5"/>
      <c r="J73" s="5"/>
      <c r="K73" s="15"/>
      <c r="L73" s="5"/>
      <c r="M73" s="15"/>
      <c r="N73" s="5"/>
      <c r="O73" s="15"/>
      <c r="P73" s="19" t="str">
        <f t="shared" si="7"/>
        <v/>
      </c>
      <c r="Q73" s="19" t="str">
        <f t="shared" si="8"/>
        <v/>
      </c>
      <c r="R73" s="19" t="str">
        <f t="shared" si="9"/>
        <v/>
      </c>
      <c r="S73" s="5"/>
      <c r="T73" s="5"/>
      <c r="U73" s="5"/>
      <c r="V73" s="24"/>
      <c r="W73" s="15"/>
      <c r="X73" s="15"/>
      <c r="Y73" s="15"/>
      <c r="Z73" s="19" t="str">
        <f t="shared" si="10"/>
        <v/>
      </c>
      <c r="AA73" s="19" t="str">
        <f t="shared" si="11"/>
        <v/>
      </c>
      <c r="AB73" s="5"/>
      <c r="AC73" s="5"/>
      <c r="AE73" t="str">
        <f>IFERROR(INDEX(EqTag,_xlfn.AGGREGATE(15,6,(ROW(EqTag)-4)/((EqSys=$D$3)*(EqTag&lt;&gt;"")),ROWS($AE$14:AE73))),"")</f>
        <v/>
      </c>
    </row>
    <row r="74" spans="1:31" ht="30" customHeight="1" x14ac:dyDescent="0.2">
      <c r="A74" s="19" t="str">
        <f>IF(F74="","",LEFT($D$3,3)&amp;"-"&amp;TEXT(COUNTIF(F$14:F74,"?*"),"00"))</f>
        <v/>
      </c>
      <c r="B74" s="5"/>
      <c r="C74" s="6" t="str">
        <f t="shared" si="6"/>
        <v/>
      </c>
      <c r="D74" s="5"/>
      <c r="E74" s="5"/>
      <c r="F74" s="5"/>
      <c r="G74" s="5"/>
      <c r="H74" s="5"/>
      <c r="I74" s="5"/>
      <c r="J74" s="5"/>
      <c r="K74" s="15"/>
      <c r="L74" s="5"/>
      <c r="M74" s="15"/>
      <c r="N74" s="5"/>
      <c r="O74" s="15"/>
      <c r="P74" s="19" t="str">
        <f t="shared" si="7"/>
        <v/>
      </c>
      <c r="Q74" s="19" t="str">
        <f t="shared" si="8"/>
        <v/>
      </c>
      <c r="R74" s="19" t="str">
        <f t="shared" si="9"/>
        <v/>
      </c>
      <c r="S74" s="5"/>
      <c r="T74" s="5"/>
      <c r="U74" s="5"/>
      <c r="V74" s="24"/>
      <c r="W74" s="15"/>
      <c r="X74" s="15"/>
      <c r="Y74" s="15"/>
      <c r="Z74" s="19" t="str">
        <f t="shared" si="10"/>
        <v/>
      </c>
      <c r="AA74" s="19" t="str">
        <f t="shared" si="11"/>
        <v/>
      </c>
      <c r="AB74" s="5"/>
      <c r="AC74" s="5"/>
      <c r="AE74" t="str">
        <f>IFERROR(INDEX(EqTag,_xlfn.AGGREGATE(15,6,(ROW(EqTag)-4)/((EqSys=$D$3)*(EqTag&lt;&gt;"")),ROWS($AE$14:AE74))),"")</f>
        <v/>
      </c>
    </row>
    <row r="75" spans="1:31" ht="30" customHeight="1" x14ac:dyDescent="0.2">
      <c r="A75" s="19" t="str">
        <f>IF(F75="","",LEFT($D$3,3)&amp;"-"&amp;TEXT(COUNTIF(F$14:F75,"?*"),"00"))</f>
        <v/>
      </c>
      <c r="B75" s="5"/>
      <c r="C75" s="6" t="str">
        <f t="shared" si="6"/>
        <v/>
      </c>
      <c r="D75" s="5"/>
      <c r="E75" s="5"/>
      <c r="F75" s="5"/>
      <c r="G75" s="5"/>
      <c r="H75" s="5"/>
      <c r="I75" s="5"/>
      <c r="J75" s="5"/>
      <c r="K75" s="15"/>
      <c r="L75" s="5"/>
      <c r="M75" s="15"/>
      <c r="N75" s="5"/>
      <c r="O75" s="15"/>
      <c r="P75" s="19" t="str">
        <f t="shared" si="7"/>
        <v/>
      </c>
      <c r="Q75" s="19" t="str">
        <f t="shared" si="8"/>
        <v/>
      </c>
      <c r="R75" s="19" t="str">
        <f t="shared" si="9"/>
        <v/>
      </c>
      <c r="S75" s="5"/>
      <c r="T75" s="5"/>
      <c r="U75" s="5"/>
      <c r="V75" s="24"/>
      <c r="W75" s="15"/>
      <c r="X75" s="15"/>
      <c r="Y75" s="15"/>
      <c r="Z75" s="19" t="str">
        <f t="shared" si="10"/>
        <v/>
      </c>
      <c r="AA75" s="19" t="str">
        <f t="shared" si="11"/>
        <v/>
      </c>
      <c r="AB75" s="5"/>
      <c r="AC75" s="5"/>
      <c r="AE75" t="str">
        <f>IFERROR(INDEX(EqTag,_xlfn.AGGREGATE(15,6,(ROW(EqTag)-4)/((EqSys=$D$3)*(EqTag&lt;&gt;"")),ROWS($AE$14:AE75))),"")</f>
        <v/>
      </c>
    </row>
    <row r="76" spans="1:31" ht="30" customHeight="1" x14ac:dyDescent="0.2">
      <c r="A76" s="19" t="str">
        <f>IF(F76="","",LEFT($D$3,3)&amp;"-"&amp;TEXT(COUNTIF(F$14:F76,"?*"),"00"))</f>
        <v/>
      </c>
      <c r="B76" s="5"/>
      <c r="C76" s="6" t="str">
        <f t="shared" si="6"/>
        <v/>
      </c>
      <c r="D76" s="5"/>
      <c r="E76" s="5"/>
      <c r="F76" s="5"/>
      <c r="G76" s="5"/>
      <c r="H76" s="5"/>
      <c r="I76" s="5"/>
      <c r="J76" s="5"/>
      <c r="K76" s="15"/>
      <c r="L76" s="5"/>
      <c r="M76" s="15"/>
      <c r="N76" s="5"/>
      <c r="O76" s="15"/>
      <c r="P76" s="19" t="str">
        <f t="shared" si="7"/>
        <v/>
      </c>
      <c r="Q76" s="19" t="str">
        <f t="shared" si="8"/>
        <v/>
      </c>
      <c r="R76" s="19" t="str">
        <f t="shared" si="9"/>
        <v/>
      </c>
      <c r="S76" s="5"/>
      <c r="T76" s="5"/>
      <c r="U76" s="5"/>
      <c r="V76" s="24"/>
      <c r="W76" s="15"/>
      <c r="X76" s="15"/>
      <c r="Y76" s="15"/>
      <c r="Z76" s="19" t="str">
        <f t="shared" si="10"/>
        <v/>
      </c>
      <c r="AA76" s="19" t="str">
        <f t="shared" si="11"/>
        <v/>
      </c>
      <c r="AB76" s="5"/>
      <c r="AC76" s="5"/>
      <c r="AE76" t="str">
        <f>IFERROR(INDEX(EqTag,_xlfn.AGGREGATE(15,6,(ROW(EqTag)-4)/((EqSys=$D$3)*(EqTag&lt;&gt;"")),ROWS($AE$14:AE76))),"")</f>
        <v/>
      </c>
    </row>
    <row r="77" spans="1:31" ht="30" customHeight="1" x14ac:dyDescent="0.2">
      <c r="A77" s="19" t="str">
        <f>IF(F77="","",LEFT($D$3,3)&amp;"-"&amp;TEXT(COUNTIF(F$14:F77,"?*"),"00"))</f>
        <v/>
      </c>
      <c r="B77" s="5"/>
      <c r="C77" s="6" t="str">
        <f t="shared" si="6"/>
        <v/>
      </c>
      <c r="D77" s="5"/>
      <c r="E77" s="5"/>
      <c r="F77" s="5"/>
      <c r="G77" s="5"/>
      <c r="H77" s="5"/>
      <c r="I77" s="5"/>
      <c r="J77" s="5"/>
      <c r="K77" s="15"/>
      <c r="L77" s="5"/>
      <c r="M77" s="15"/>
      <c r="N77" s="5"/>
      <c r="O77" s="15"/>
      <c r="P77" s="19" t="str">
        <f t="shared" si="7"/>
        <v/>
      </c>
      <c r="Q77" s="19" t="str">
        <f t="shared" si="8"/>
        <v/>
      </c>
      <c r="R77" s="19" t="str">
        <f t="shared" si="9"/>
        <v/>
      </c>
      <c r="S77" s="5"/>
      <c r="T77" s="5"/>
      <c r="U77" s="5"/>
      <c r="V77" s="24"/>
      <c r="W77" s="15"/>
      <c r="X77" s="15"/>
      <c r="Y77" s="15"/>
      <c r="Z77" s="19" t="str">
        <f t="shared" si="10"/>
        <v/>
      </c>
      <c r="AA77" s="19" t="str">
        <f t="shared" si="11"/>
        <v/>
      </c>
      <c r="AB77" s="5"/>
      <c r="AC77" s="5"/>
      <c r="AE77" t="str">
        <f>IFERROR(INDEX(EqTag,_xlfn.AGGREGATE(15,6,(ROW(EqTag)-4)/((EqSys=$D$3)*(EqTag&lt;&gt;"")),ROWS($AE$14:AE77))),"")</f>
        <v/>
      </c>
    </row>
    <row r="78" spans="1:31" ht="30" customHeight="1" x14ac:dyDescent="0.2">
      <c r="A78" s="19" t="str">
        <f>IF(F78="","",LEFT($D$3,3)&amp;"-"&amp;TEXT(COUNTIF(F$14:F78,"?*"),"00"))</f>
        <v/>
      </c>
      <c r="B78" s="5"/>
      <c r="C78" s="6" t="str">
        <f t="shared" ref="C78:C109" si="12">IF(B78="","",IFERROR(INDEX(EqTypeCol,MATCH(B78,EqTag,0)),"Tag not in register"))</f>
        <v/>
      </c>
      <c r="D78" s="5"/>
      <c r="E78" s="5"/>
      <c r="F78" s="5"/>
      <c r="G78" s="5"/>
      <c r="H78" s="5"/>
      <c r="I78" s="5"/>
      <c r="J78" s="5"/>
      <c r="K78" s="15"/>
      <c r="L78" s="5"/>
      <c r="M78" s="15"/>
      <c r="N78" s="5"/>
      <c r="O78" s="15"/>
      <c r="P78" s="19" t="str">
        <f t="shared" ref="P78:P109" si="13">IF(OR(K78="",M78="",O78=""),"",(--TRIM(LEFT(K78,2)))*(--TRIM(LEFT(M78,2)))*(--TRIM(LEFT(O78,2))))</f>
        <v/>
      </c>
      <c r="Q78" s="19" t="str">
        <f t="shared" ref="Q78:Q109" si="14">IF(OR(K78="",M78="",O78=""),"",INDEX(APGrid,COUNTIF(APS,"&gt;"&amp;(--TRIM(LEFT(K78,2))))*5+COUNTIF(APO,"&gt;"&amp;(--TRIM(LEFT(M78,2))))+1,COUNTIF(APD,"&gt;"&amp;(--TRIM(LEFT(O78,2))))+1))</f>
        <v/>
      </c>
      <c r="R78" s="19" t="str">
        <f t="shared" ref="R78:R109" si="15">IF(P78="","",IF(OR((--TRIM(LEFT(K78,2)))&gt;=SThr,P78&gt;=RPNThr,Q78="H"),"Yes","No"))</f>
        <v/>
      </c>
      <c r="S78" s="5"/>
      <c r="T78" s="5"/>
      <c r="U78" s="5"/>
      <c r="V78" s="24"/>
      <c r="W78" s="15"/>
      <c r="X78" s="15"/>
      <c r="Y78" s="15"/>
      <c r="Z78" s="19" t="str">
        <f t="shared" ref="Z78:Z109" si="16">IF(OR(W78="",X78="",Y78=""),"",(--TRIM(LEFT(W78,2)))*(--TRIM(LEFT(X78,2)))*(--TRIM(LEFT(Y78,2))))</f>
        <v/>
      </c>
      <c r="AA78" s="19" t="str">
        <f t="shared" ref="AA78:AA109" si="17">IF(OR(W78="",X78="",Y78=""),"",INDEX(APGrid,COUNTIF(APS,"&gt;"&amp;(--TRIM(LEFT(W78,2))))*5+COUNTIF(APO,"&gt;"&amp;(--TRIM(LEFT(X78,2))))+1,COUNTIF(APD,"&gt;"&amp;(--TRIM(LEFT(Y78,2))))+1))</f>
        <v/>
      </c>
      <c r="AB78" s="5"/>
      <c r="AC78" s="5"/>
      <c r="AE78" t="str">
        <f>IFERROR(INDEX(EqTag,_xlfn.AGGREGATE(15,6,(ROW(EqTag)-4)/((EqSys=$D$3)*(EqTag&lt;&gt;"")),ROWS($AE$14:AE78))),"")</f>
        <v/>
      </c>
    </row>
    <row r="79" spans="1:31" ht="30" customHeight="1" x14ac:dyDescent="0.2">
      <c r="A79" s="19" t="str">
        <f>IF(F79="","",LEFT($D$3,3)&amp;"-"&amp;TEXT(COUNTIF(F$14:F79,"?*"),"00"))</f>
        <v/>
      </c>
      <c r="B79" s="5"/>
      <c r="C79" s="6" t="str">
        <f t="shared" si="12"/>
        <v/>
      </c>
      <c r="D79" s="5"/>
      <c r="E79" s="5"/>
      <c r="F79" s="5"/>
      <c r="G79" s="5"/>
      <c r="H79" s="5"/>
      <c r="I79" s="5"/>
      <c r="J79" s="5"/>
      <c r="K79" s="15"/>
      <c r="L79" s="5"/>
      <c r="M79" s="15"/>
      <c r="N79" s="5"/>
      <c r="O79" s="15"/>
      <c r="P79" s="19" t="str">
        <f t="shared" si="13"/>
        <v/>
      </c>
      <c r="Q79" s="19" t="str">
        <f t="shared" si="14"/>
        <v/>
      </c>
      <c r="R79" s="19" t="str">
        <f t="shared" si="15"/>
        <v/>
      </c>
      <c r="S79" s="5"/>
      <c r="T79" s="5"/>
      <c r="U79" s="5"/>
      <c r="V79" s="24"/>
      <c r="W79" s="15"/>
      <c r="X79" s="15"/>
      <c r="Y79" s="15"/>
      <c r="Z79" s="19" t="str">
        <f t="shared" si="16"/>
        <v/>
      </c>
      <c r="AA79" s="19" t="str">
        <f t="shared" si="17"/>
        <v/>
      </c>
      <c r="AB79" s="5"/>
      <c r="AC79" s="5"/>
      <c r="AE79" t="str">
        <f>IFERROR(INDEX(EqTag,_xlfn.AGGREGATE(15,6,(ROW(EqTag)-4)/((EqSys=$D$3)*(EqTag&lt;&gt;"")),ROWS($AE$14:AE79))),"")</f>
        <v/>
      </c>
    </row>
    <row r="80" spans="1:31" ht="30" customHeight="1" x14ac:dyDescent="0.2">
      <c r="A80" s="19" t="str">
        <f>IF(F80="","",LEFT($D$3,3)&amp;"-"&amp;TEXT(COUNTIF(F$14:F80,"?*"),"00"))</f>
        <v/>
      </c>
      <c r="B80" s="5"/>
      <c r="C80" s="6" t="str">
        <f t="shared" si="12"/>
        <v/>
      </c>
      <c r="D80" s="5"/>
      <c r="E80" s="5"/>
      <c r="F80" s="5"/>
      <c r="G80" s="5"/>
      <c r="H80" s="5"/>
      <c r="I80" s="5"/>
      <c r="J80" s="5"/>
      <c r="K80" s="15"/>
      <c r="L80" s="5"/>
      <c r="M80" s="15"/>
      <c r="N80" s="5"/>
      <c r="O80" s="15"/>
      <c r="P80" s="19" t="str">
        <f t="shared" si="13"/>
        <v/>
      </c>
      <c r="Q80" s="19" t="str">
        <f t="shared" si="14"/>
        <v/>
      </c>
      <c r="R80" s="19" t="str">
        <f t="shared" si="15"/>
        <v/>
      </c>
      <c r="S80" s="5"/>
      <c r="T80" s="5"/>
      <c r="U80" s="5"/>
      <c r="V80" s="24"/>
      <c r="W80" s="15"/>
      <c r="X80" s="15"/>
      <c r="Y80" s="15"/>
      <c r="Z80" s="19" t="str">
        <f t="shared" si="16"/>
        <v/>
      </c>
      <c r="AA80" s="19" t="str">
        <f t="shared" si="17"/>
        <v/>
      </c>
      <c r="AB80" s="5"/>
      <c r="AC80" s="5"/>
      <c r="AE80" t="str">
        <f>IFERROR(INDEX(EqTag,_xlfn.AGGREGATE(15,6,(ROW(EqTag)-4)/((EqSys=$D$3)*(EqTag&lt;&gt;"")),ROWS($AE$14:AE80))),"")</f>
        <v/>
      </c>
    </row>
    <row r="81" spans="1:31" ht="30" customHeight="1" x14ac:dyDescent="0.2">
      <c r="A81" s="19" t="str">
        <f>IF(F81="","",LEFT($D$3,3)&amp;"-"&amp;TEXT(COUNTIF(F$14:F81,"?*"),"00"))</f>
        <v/>
      </c>
      <c r="B81" s="5"/>
      <c r="C81" s="6" t="str">
        <f t="shared" si="12"/>
        <v/>
      </c>
      <c r="D81" s="5"/>
      <c r="E81" s="5"/>
      <c r="F81" s="5"/>
      <c r="G81" s="5"/>
      <c r="H81" s="5"/>
      <c r="I81" s="5"/>
      <c r="J81" s="5"/>
      <c r="K81" s="15"/>
      <c r="L81" s="5"/>
      <c r="M81" s="15"/>
      <c r="N81" s="5"/>
      <c r="O81" s="15"/>
      <c r="P81" s="19" t="str">
        <f t="shared" si="13"/>
        <v/>
      </c>
      <c r="Q81" s="19" t="str">
        <f t="shared" si="14"/>
        <v/>
      </c>
      <c r="R81" s="19" t="str">
        <f t="shared" si="15"/>
        <v/>
      </c>
      <c r="S81" s="5"/>
      <c r="T81" s="5"/>
      <c r="U81" s="5"/>
      <c r="V81" s="24"/>
      <c r="W81" s="15"/>
      <c r="X81" s="15"/>
      <c r="Y81" s="15"/>
      <c r="Z81" s="19" t="str">
        <f t="shared" si="16"/>
        <v/>
      </c>
      <c r="AA81" s="19" t="str">
        <f t="shared" si="17"/>
        <v/>
      </c>
      <c r="AB81" s="5"/>
      <c r="AC81" s="5"/>
      <c r="AE81" t="str">
        <f>IFERROR(INDEX(EqTag,_xlfn.AGGREGATE(15,6,(ROW(EqTag)-4)/((EqSys=$D$3)*(EqTag&lt;&gt;"")),ROWS($AE$14:AE81))),"")</f>
        <v/>
      </c>
    </row>
    <row r="82" spans="1:31" ht="30" customHeight="1" x14ac:dyDescent="0.2">
      <c r="A82" s="19" t="str">
        <f>IF(F82="","",LEFT($D$3,3)&amp;"-"&amp;TEXT(COUNTIF(F$14:F82,"?*"),"00"))</f>
        <v/>
      </c>
      <c r="B82" s="5"/>
      <c r="C82" s="6" t="str">
        <f t="shared" si="12"/>
        <v/>
      </c>
      <c r="D82" s="5"/>
      <c r="E82" s="5"/>
      <c r="F82" s="5"/>
      <c r="G82" s="5"/>
      <c r="H82" s="5"/>
      <c r="I82" s="5"/>
      <c r="J82" s="5"/>
      <c r="K82" s="15"/>
      <c r="L82" s="5"/>
      <c r="M82" s="15"/>
      <c r="N82" s="5"/>
      <c r="O82" s="15"/>
      <c r="P82" s="19" t="str">
        <f t="shared" si="13"/>
        <v/>
      </c>
      <c r="Q82" s="19" t="str">
        <f t="shared" si="14"/>
        <v/>
      </c>
      <c r="R82" s="19" t="str">
        <f t="shared" si="15"/>
        <v/>
      </c>
      <c r="S82" s="5"/>
      <c r="T82" s="5"/>
      <c r="U82" s="5"/>
      <c r="V82" s="24"/>
      <c r="W82" s="15"/>
      <c r="X82" s="15"/>
      <c r="Y82" s="15"/>
      <c r="Z82" s="19" t="str">
        <f t="shared" si="16"/>
        <v/>
      </c>
      <c r="AA82" s="19" t="str">
        <f t="shared" si="17"/>
        <v/>
      </c>
      <c r="AB82" s="5"/>
      <c r="AC82" s="5"/>
      <c r="AE82" t="str">
        <f>IFERROR(INDEX(EqTag,_xlfn.AGGREGATE(15,6,(ROW(EqTag)-4)/((EqSys=$D$3)*(EqTag&lt;&gt;"")),ROWS($AE$14:AE82))),"")</f>
        <v/>
      </c>
    </row>
    <row r="83" spans="1:31" ht="30" customHeight="1" x14ac:dyDescent="0.2">
      <c r="A83" s="19" t="str">
        <f>IF(F83="","",LEFT($D$3,3)&amp;"-"&amp;TEXT(COUNTIF(F$14:F83,"?*"),"00"))</f>
        <v/>
      </c>
      <c r="B83" s="5"/>
      <c r="C83" s="6" t="str">
        <f t="shared" si="12"/>
        <v/>
      </c>
      <c r="D83" s="5"/>
      <c r="E83" s="5"/>
      <c r="F83" s="5"/>
      <c r="G83" s="5"/>
      <c r="H83" s="5"/>
      <c r="I83" s="5"/>
      <c r="J83" s="5"/>
      <c r="K83" s="15"/>
      <c r="L83" s="5"/>
      <c r="M83" s="15"/>
      <c r="N83" s="5"/>
      <c r="O83" s="15"/>
      <c r="P83" s="19" t="str">
        <f t="shared" si="13"/>
        <v/>
      </c>
      <c r="Q83" s="19" t="str">
        <f t="shared" si="14"/>
        <v/>
      </c>
      <c r="R83" s="19" t="str">
        <f t="shared" si="15"/>
        <v/>
      </c>
      <c r="S83" s="5"/>
      <c r="T83" s="5"/>
      <c r="U83" s="5"/>
      <c r="V83" s="24"/>
      <c r="W83" s="15"/>
      <c r="X83" s="15"/>
      <c r="Y83" s="15"/>
      <c r="Z83" s="19" t="str">
        <f t="shared" si="16"/>
        <v/>
      </c>
      <c r="AA83" s="19" t="str">
        <f t="shared" si="17"/>
        <v/>
      </c>
      <c r="AB83" s="5"/>
      <c r="AC83" s="5"/>
      <c r="AE83" t="str">
        <f>IFERROR(INDEX(EqTag,_xlfn.AGGREGATE(15,6,(ROW(EqTag)-4)/((EqSys=$D$3)*(EqTag&lt;&gt;"")),ROWS($AE$14:AE83))),"")</f>
        <v/>
      </c>
    </row>
    <row r="84" spans="1:31" ht="30" customHeight="1" x14ac:dyDescent="0.2">
      <c r="A84" s="19" t="str">
        <f>IF(F84="","",LEFT($D$3,3)&amp;"-"&amp;TEXT(COUNTIF(F$14:F84,"?*"),"00"))</f>
        <v/>
      </c>
      <c r="B84" s="5"/>
      <c r="C84" s="6" t="str">
        <f t="shared" si="12"/>
        <v/>
      </c>
      <c r="D84" s="5"/>
      <c r="E84" s="5"/>
      <c r="F84" s="5"/>
      <c r="G84" s="5"/>
      <c r="H84" s="5"/>
      <c r="I84" s="5"/>
      <c r="J84" s="5"/>
      <c r="K84" s="15"/>
      <c r="L84" s="5"/>
      <c r="M84" s="15"/>
      <c r="N84" s="5"/>
      <c r="O84" s="15"/>
      <c r="P84" s="19" t="str">
        <f t="shared" si="13"/>
        <v/>
      </c>
      <c r="Q84" s="19" t="str">
        <f t="shared" si="14"/>
        <v/>
      </c>
      <c r="R84" s="19" t="str">
        <f t="shared" si="15"/>
        <v/>
      </c>
      <c r="S84" s="5"/>
      <c r="T84" s="5"/>
      <c r="U84" s="5"/>
      <c r="V84" s="24"/>
      <c r="W84" s="15"/>
      <c r="X84" s="15"/>
      <c r="Y84" s="15"/>
      <c r="Z84" s="19" t="str">
        <f t="shared" si="16"/>
        <v/>
      </c>
      <c r="AA84" s="19" t="str">
        <f t="shared" si="17"/>
        <v/>
      </c>
      <c r="AB84" s="5"/>
      <c r="AC84" s="5"/>
      <c r="AE84" t="str">
        <f>IFERROR(INDEX(EqTag,_xlfn.AGGREGATE(15,6,(ROW(EqTag)-4)/((EqSys=$D$3)*(EqTag&lt;&gt;"")),ROWS($AE$14:AE84))),"")</f>
        <v/>
      </c>
    </row>
    <row r="85" spans="1:31" ht="30" customHeight="1" x14ac:dyDescent="0.2">
      <c r="A85" s="19" t="str">
        <f>IF(F85="","",LEFT($D$3,3)&amp;"-"&amp;TEXT(COUNTIF(F$14:F85,"?*"),"00"))</f>
        <v/>
      </c>
      <c r="B85" s="5"/>
      <c r="C85" s="6" t="str">
        <f t="shared" si="12"/>
        <v/>
      </c>
      <c r="D85" s="5"/>
      <c r="E85" s="5"/>
      <c r="F85" s="5"/>
      <c r="G85" s="5"/>
      <c r="H85" s="5"/>
      <c r="I85" s="5"/>
      <c r="J85" s="5"/>
      <c r="K85" s="15"/>
      <c r="L85" s="5"/>
      <c r="M85" s="15"/>
      <c r="N85" s="5"/>
      <c r="O85" s="15"/>
      <c r="P85" s="19" t="str">
        <f t="shared" si="13"/>
        <v/>
      </c>
      <c r="Q85" s="19" t="str">
        <f t="shared" si="14"/>
        <v/>
      </c>
      <c r="R85" s="19" t="str">
        <f t="shared" si="15"/>
        <v/>
      </c>
      <c r="S85" s="5"/>
      <c r="T85" s="5"/>
      <c r="U85" s="5"/>
      <c r="V85" s="24"/>
      <c r="W85" s="15"/>
      <c r="X85" s="15"/>
      <c r="Y85" s="15"/>
      <c r="Z85" s="19" t="str">
        <f t="shared" si="16"/>
        <v/>
      </c>
      <c r="AA85" s="19" t="str">
        <f t="shared" si="17"/>
        <v/>
      </c>
      <c r="AB85" s="5"/>
      <c r="AC85" s="5"/>
      <c r="AE85" t="str">
        <f>IFERROR(INDEX(EqTag,_xlfn.AGGREGATE(15,6,(ROW(EqTag)-4)/((EqSys=$D$3)*(EqTag&lt;&gt;"")),ROWS($AE$14:AE85))),"")</f>
        <v/>
      </c>
    </row>
    <row r="86" spans="1:31" ht="30" customHeight="1" x14ac:dyDescent="0.2">
      <c r="A86" s="19" t="str">
        <f>IF(F86="","",LEFT($D$3,3)&amp;"-"&amp;TEXT(COUNTIF(F$14:F86,"?*"),"00"))</f>
        <v/>
      </c>
      <c r="B86" s="5"/>
      <c r="C86" s="6" t="str">
        <f t="shared" si="12"/>
        <v/>
      </c>
      <c r="D86" s="5"/>
      <c r="E86" s="5"/>
      <c r="F86" s="5"/>
      <c r="G86" s="5"/>
      <c r="H86" s="5"/>
      <c r="I86" s="5"/>
      <c r="J86" s="5"/>
      <c r="K86" s="15"/>
      <c r="L86" s="5"/>
      <c r="M86" s="15"/>
      <c r="N86" s="5"/>
      <c r="O86" s="15"/>
      <c r="P86" s="19" t="str">
        <f t="shared" si="13"/>
        <v/>
      </c>
      <c r="Q86" s="19" t="str">
        <f t="shared" si="14"/>
        <v/>
      </c>
      <c r="R86" s="19" t="str">
        <f t="shared" si="15"/>
        <v/>
      </c>
      <c r="S86" s="5"/>
      <c r="T86" s="5"/>
      <c r="U86" s="5"/>
      <c r="V86" s="24"/>
      <c r="W86" s="15"/>
      <c r="X86" s="15"/>
      <c r="Y86" s="15"/>
      <c r="Z86" s="19" t="str">
        <f t="shared" si="16"/>
        <v/>
      </c>
      <c r="AA86" s="19" t="str">
        <f t="shared" si="17"/>
        <v/>
      </c>
      <c r="AB86" s="5"/>
      <c r="AC86" s="5"/>
      <c r="AE86" t="str">
        <f>IFERROR(INDEX(EqTag,_xlfn.AGGREGATE(15,6,(ROW(EqTag)-4)/((EqSys=$D$3)*(EqTag&lt;&gt;"")),ROWS($AE$14:AE86))),"")</f>
        <v/>
      </c>
    </row>
    <row r="87" spans="1:31" ht="30" customHeight="1" x14ac:dyDescent="0.2">
      <c r="A87" s="19" t="str">
        <f>IF(F87="","",LEFT($D$3,3)&amp;"-"&amp;TEXT(COUNTIF(F$14:F87,"?*"),"00"))</f>
        <v/>
      </c>
      <c r="B87" s="5"/>
      <c r="C87" s="6" t="str">
        <f t="shared" si="12"/>
        <v/>
      </c>
      <c r="D87" s="5"/>
      <c r="E87" s="5"/>
      <c r="F87" s="5"/>
      <c r="G87" s="5"/>
      <c r="H87" s="5"/>
      <c r="I87" s="5"/>
      <c r="J87" s="5"/>
      <c r="K87" s="15"/>
      <c r="L87" s="5"/>
      <c r="M87" s="15"/>
      <c r="N87" s="5"/>
      <c r="O87" s="15"/>
      <c r="P87" s="19" t="str">
        <f t="shared" si="13"/>
        <v/>
      </c>
      <c r="Q87" s="19" t="str">
        <f t="shared" si="14"/>
        <v/>
      </c>
      <c r="R87" s="19" t="str">
        <f t="shared" si="15"/>
        <v/>
      </c>
      <c r="S87" s="5"/>
      <c r="T87" s="5"/>
      <c r="U87" s="5"/>
      <c r="V87" s="24"/>
      <c r="W87" s="15"/>
      <c r="X87" s="15"/>
      <c r="Y87" s="15"/>
      <c r="Z87" s="19" t="str">
        <f t="shared" si="16"/>
        <v/>
      </c>
      <c r="AA87" s="19" t="str">
        <f t="shared" si="17"/>
        <v/>
      </c>
      <c r="AB87" s="5"/>
      <c r="AC87" s="5"/>
      <c r="AE87" t="str">
        <f>IFERROR(INDEX(EqTag,_xlfn.AGGREGATE(15,6,(ROW(EqTag)-4)/((EqSys=$D$3)*(EqTag&lt;&gt;"")),ROWS($AE$14:AE87))),"")</f>
        <v/>
      </c>
    </row>
    <row r="88" spans="1:31" ht="30" customHeight="1" x14ac:dyDescent="0.2">
      <c r="A88" s="19" t="str">
        <f>IF(F88="","",LEFT($D$3,3)&amp;"-"&amp;TEXT(COUNTIF(F$14:F88,"?*"),"00"))</f>
        <v/>
      </c>
      <c r="B88" s="5"/>
      <c r="C88" s="6" t="str">
        <f t="shared" si="12"/>
        <v/>
      </c>
      <c r="D88" s="5"/>
      <c r="E88" s="5"/>
      <c r="F88" s="5"/>
      <c r="G88" s="5"/>
      <c r="H88" s="5"/>
      <c r="I88" s="5"/>
      <c r="J88" s="5"/>
      <c r="K88" s="15"/>
      <c r="L88" s="5"/>
      <c r="M88" s="15"/>
      <c r="N88" s="5"/>
      <c r="O88" s="15"/>
      <c r="P88" s="19" t="str">
        <f t="shared" si="13"/>
        <v/>
      </c>
      <c r="Q88" s="19" t="str">
        <f t="shared" si="14"/>
        <v/>
      </c>
      <c r="R88" s="19" t="str">
        <f t="shared" si="15"/>
        <v/>
      </c>
      <c r="S88" s="5"/>
      <c r="T88" s="5"/>
      <c r="U88" s="5"/>
      <c r="V88" s="24"/>
      <c r="W88" s="15"/>
      <c r="X88" s="15"/>
      <c r="Y88" s="15"/>
      <c r="Z88" s="19" t="str">
        <f t="shared" si="16"/>
        <v/>
      </c>
      <c r="AA88" s="19" t="str">
        <f t="shared" si="17"/>
        <v/>
      </c>
      <c r="AB88" s="5"/>
      <c r="AC88" s="5"/>
      <c r="AE88" t="str">
        <f>IFERROR(INDEX(EqTag,_xlfn.AGGREGATE(15,6,(ROW(EqTag)-4)/((EqSys=$D$3)*(EqTag&lt;&gt;"")),ROWS($AE$14:AE88))),"")</f>
        <v/>
      </c>
    </row>
    <row r="89" spans="1:31" ht="30" customHeight="1" x14ac:dyDescent="0.2">
      <c r="A89" s="19" t="str">
        <f>IF(F89="","",LEFT($D$3,3)&amp;"-"&amp;TEXT(COUNTIF(F$14:F89,"?*"),"00"))</f>
        <v/>
      </c>
      <c r="B89" s="5"/>
      <c r="C89" s="6" t="str">
        <f t="shared" si="12"/>
        <v/>
      </c>
      <c r="D89" s="5"/>
      <c r="E89" s="5"/>
      <c r="F89" s="5"/>
      <c r="G89" s="5"/>
      <c r="H89" s="5"/>
      <c r="I89" s="5"/>
      <c r="J89" s="5"/>
      <c r="K89" s="15"/>
      <c r="L89" s="5"/>
      <c r="M89" s="15"/>
      <c r="N89" s="5"/>
      <c r="O89" s="15"/>
      <c r="P89" s="19" t="str">
        <f t="shared" si="13"/>
        <v/>
      </c>
      <c r="Q89" s="19" t="str">
        <f t="shared" si="14"/>
        <v/>
      </c>
      <c r="R89" s="19" t="str">
        <f t="shared" si="15"/>
        <v/>
      </c>
      <c r="S89" s="5"/>
      <c r="T89" s="5"/>
      <c r="U89" s="5"/>
      <c r="V89" s="24"/>
      <c r="W89" s="15"/>
      <c r="X89" s="15"/>
      <c r="Y89" s="15"/>
      <c r="Z89" s="19" t="str">
        <f t="shared" si="16"/>
        <v/>
      </c>
      <c r="AA89" s="19" t="str">
        <f t="shared" si="17"/>
        <v/>
      </c>
      <c r="AB89" s="5"/>
      <c r="AC89" s="5"/>
      <c r="AE89" t="str">
        <f>IFERROR(INDEX(EqTag,_xlfn.AGGREGATE(15,6,(ROW(EqTag)-4)/((EqSys=$D$3)*(EqTag&lt;&gt;"")),ROWS($AE$14:AE89))),"")</f>
        <v/>
      </c>
    </row>
    <row r="90" spans="1:31" ht="30" customHeight="1" x14ac:dyDescent="0.2">
      <c r="A90" s="19" t="str">
        <f>IF(F90="","",LEFT($D$3,3)&amp;"-"&amp;TEXT(COUNTIF(F$14:F90,"?*"),"00"))</f>
        <v/>
      </c>
      <c r="B90" s="5"/>
      <c r="C90" s="6" t="str">
        <f t="shared" si="12"/>
        <v/>
      </c>
      <c r="D90" s="5"/>
      <c r="E90" s="5"/>
      <c r="F90" s="5"/>
      <c r="G90" s="5"/>
      <c r="H90" s="5"/>
      <c r="I90" s="5"/>
      <c r="J90" s="5"/>
      <c r="K90" s="15"/>
      <c r="L90" s="5"/>
      <c r="M90" s="15"/>
      <c r="N90" s="5"/>
      <c r="O90" s="15"/>
      <c r="P90" s="19" t="str">
        <f t="shared" si="13"/>
        <v/>
      </c>
      <c r="Q90" s="19" t="str">
        <f t="shared" si="14"/>
        <v/>
      </c>
      <c r="R90" s="19" t="str">
        <f t="shared" si="15"/>
        <v/>
      </c>
      <c r="S90" s="5"/>
      <c r="T90" s="5"/>
      <c r="U90" s="5"/>
      <c r="V90" s="24"/>
      <c r="W90" s="15"/>
      <c r="X90" s="15"/>
      <c r="Y90" s="15"/>
      <c r="Z90" s="19" t="str">
        <f t="shared" si="16"/>
        <v/>
      </c>
      <c r="AA90" s="19" t="str">
        <f t="shared" si="17"/>
        <v/>
      </c>
      <c r="AB90" s="5"/>
      <c r="AC90" s="5"/>
      <c r="AE90" t="str">
        <f>IFERROR(INDEX(EqTag,_xlfn.AGGREGATE(15,6,(ROW(EqTag)-4)/((EqSys=$D$3)*(EqTag&lt;&gt;"")),ROWS($AE$14:AE90))),"")</f>
        <v/>
      </c>
    </row>
    <row r="91" spans="1:31" ht="30" customHeight="1" x14ac:dyDescent="0.2">
      <c r="A91" s="19" t="str">
        <f>IF(F91="","",LEFT($D$3,3)&amp;"-"&amp;TEXT(COUNTIF(F$14:F91,"?*"),"00"))</f>
        <v/>
      </c>
      <c r="B91" s="5"/>
      <c r="C91" s="6" t="str">
        <f t="shared" si="12"/>
        <v/>
      </c>
      <c r="D91" s="5"/>
      <c r="E91" s="5"/>
      <c r="F91" s="5"/>
      <c r="G91" s="5"/>
      <c r="H91" s="5"/>
      <c r="I91" s="5"/>
      <c r="J91" s="5"/>
      <c r="K91" s="15"/>
      <c r="L91" s="5"/>
      <c r="M91" s="15"/>
      <c r="N91" s="5"/>
      <c r="O91" s="15"/>
      <c r="P91" s="19" t="str">
        <f t="shared" si="13"/>
        <v/>
      </c>
      <c r="Q91" s="19" t="str">
        <f t="shared" si="14"/>
        <v/>
      </c>
      <c r="R91" s="19" t="str">
        <f t="shared" si="15"/>
        <v/>
      </c>
      <c r="S91" s="5"/>
      <c r="T91" s="5"/>
      <c r="U91" s="5"/>
      <c r="V91" s="24"/>
      <c r="W91" s="15"/>
      <c r="X91" s="15"/>
      <c r="Y91" s="15"/>
      <c r="Z91" s="19" t="str">
        <f t="shared" si="16"/>
        <v/>
      </c>
      <c r="AA91" s="19" t="str">
        <f t="shared" si="17"/>
        <v/>
      </c>
      <c r="AB91" s="5"/>
      <c r="AC91" s="5"/>
      <c r="AE91" t="str">
        <f>IFERROR(INDEX(EqTag,_xlfn.AGGREGATE(15,6,(ROW(EqTag)-4)/((EqSys=$D$3)*(EqTag&lt;&gt;"")),ROWS($AE$14:AE91))),"")</f>
        <v/>
      </c>
    </row>
    <row r="92" spans="1:31" ht="30" customHeight="1" x14ac:dyDescent="0.2">
      <c r="A92" s="19" t="str">
        <f>IF(F92="","",LEFT($D$3,3)&amp;"-"&amp;TEXT(COUNTIF(F$14:F92,"?*"),"00"))</f>
        <v/>
      </c>
      <c r="B92" s="5"/>
      <c r="C92" s="6" t="str">
        <f t="shared" si="12"/>
        <v/>
      </c>
      <c r="D92" s="5"/>
      <c r="E92" s="5"/>
      <c r="F92" s="5"/>
      <c r="G92" s="5"/>
      <c r="H92" s="5"/>
      <c r="I92" s="5"/>
      <c r="J92" s="5"/>
      <c r="K92" s="15"/>
      <c r="L92" s="5"/>
      <c r="M92" s="15"/>
      <c r="N92" s="5"/>
      <c r="O92" s="15"/>
      <c r="P92" s="19" t="str">
        <f t="shared" si="13"/>
        <v/>
      </c>
      <c r="Q92" s="19" t="str">
        <f t="shared" si="14"/>
        <v/>
      </c>
      <c r="R92" s="19" t="str">
        <f t="shared" si="15"/>
        <v/>
      </c>
      <c r="S92" s="5"/>
      <c r="T92" s="5"/>
      <c r="U92" s="5"/>
      <c r="V92" s="24"/>
      <c r="W92" s="15"/>
      <c r="X92" s="15"/>
      <c r="Y92" s="15"/>
      <c r="Z92" s="19" t="str">
        <f t="shared" si="16"/>
        <v/>
      </c>
      <c r="AA92" s="19" t="str">
        <f t="shared" si="17"/>
        <v/>
      </c>
      <c r="AB92" s="5"/>
      <c r="AC92" s="5"/>
      <c r="AE92" t="str">
        <f>IFERROR(INDEX(EqTag,_xlfn.AGGREGATE(15,6,(ROW(EqTag)-4)/((EqSys=$D$3)*(EqTag&lt;&gt;"")),ROWS($AE$14:AE92))),"")</f>
        <v/>
      </c>
    </row>
    <row r="93" spans="1:31" ht="30" customHeight="1" x14ac:dyDescent="0.2">
      <c r="A93" s="19" t="str">
        <f>IF(F93="","",LEFT($D$3,3)&amp;"-"&amp;TEXT(COUNTIF(F$14:F93,"?*"),"00"))</f>
        <v/>
      </c>
      <c r="B93" s="5"/>
      <c r="C93" s="6" t="str">
        <f t="shared" si="12"/>
        <v/>
      </c>
      <c r="D93" s="5"/>
      <c r="E93" s="5"/>
      <c r="F93" s="5"/>
      <c r="G93" s="5"/>
      <c r="H93" s="5"/>
      <c r="I93" s="5"/>
      <c r="J93" s="5"/>
      <c r="K93" s="15"/>
      <c r="L93" s="5"/>
      <c r="M93" s="15"/>
      <c r="N93" s="5"/>
      <c r="O93" s="15"/>
      <c r="P93" s="19" t="str">
        <f t="shared" si="13"/>
        <v/>
      </c>
      <c r="Q93" s="19" t="str">
        <f t="shared" si="14"/>
        <v/>
      </c>
      <c r="R93" s="19" t="str">
        <f t="shared" si="15"/>
        <v/>
      </c>
      <c r="S93" s="5"/>
      <c r="T93" s="5"/>
      <c r="U93" s="5"/>
      <c r="V93" s="24"/>
      <c r="W93" s="15"/>
      <c r="X93" s="15"/>
      <c r="Y93" s="15"/>
      <c r="Z93" s="19" t="str">
        <f t="shared" si="16"/>
        <v/>
      </c>
      <c r="AA93" s="19" t="str">
        <f t="shared" si="17"/>
        <v/>
      </c>
      <c r="AB93" s="5"/>
      <c r="AC93" s="5"/>
      <c r="AE93" t="str">
        <f>IFERROR(INDEX(EqTag,_xlfn.AGGREGATE(15,6,(ROW(EqTag)-4)/((EqSys=$D$3)*(EqTag&lt;&gt;"")),ROWS($AE$14:AE93))),"")</f>
        <v/>
      </c>
    </row>
    <row r="94" spans="1:31" ht="30" customHeight="1" x14ac:dyDescent="0.2">
      <c r="A94" s="19" t="str">
        <f>IF(F94="","",LEFT($D$3,3)&amp;"-"&amp;TEXT(COUNTIF(F$14:F94,"?*"),"00"))</f>
        <v/>
      </c>
      <c r="B94" s="5"/>
      <c r="C94" s="6" t="str">
        <f t="shared" si="12"/>
        <v/>
      </c>
      <c r="D94" s="5"/>
      <c r="E94" s="5"/>
      <c r="F94" s="5"/>
      <c r="G94" s="5"/>
      <c r="H94" s="5"/>
      <c r="I94" s="5"/>
      <c r="J94" s="5"/>
      <c r="K94" s="15"/>
      <c r="L94" s="5"/>
      <c r="M94" s="15"/>
      <c r="N94" s="5"/>
      <c r="O94" s="15"/>
      <c r="P94" s="19" t="str">
        <f t="shared" si="13"/>
        <v/>
      </c>
      <c r="Q94" s="19" t="str">
        <f t="shared" si="14"/>
        <v/>
      </c>
      <c r="R94" s="19" t="str">
        <f t="shared" si="15"/>
        <v/>
      </c>
      <c r="S94" s="5"/>
      <c r="T94" s="5"/>
      <c r="U94" s="5"/>
      <c r="V94" s="24"/>
      <c r="W94" s="15"/>
      <c r="X94" s="15"/>
      <c r="Y94" s="15"/>
      <c r="Z94" s="19" t="str">
        <f t="shared" si="16"/>
        <v/>
      </c>
      <c r="AA94" s="19" t="str">
        <f t="shared" si="17"/>
        <v/>
      </c>
      <c r="AB94" s="5"/>
      <c r="AC94" s="5"/>
      <c r="AE94" t="str">
        <f>IFERROR(INDEX(EqTag,_xlfn.AGGREGATE(15,6,(ROW(EqTag)-4)/((EqSys=$D$3)*(EqTag&lt;&gt;"")),ROWS($AE$14:AE94))),"")</f>
        <v/>
      </c>
    </row>
    <row r="95" spans="1:31" ht="30" customHeight="1" x14ac:dyDescent="0.2">
      <c r="A95" s="19" t="str">
        <f>IF(F95="","",LEFT($D$3,3)&amp;"-"&amp;TEXT(COUNTIF(F$14:F95,"?*"),"00"))</f>
        <v/>
      </c>
      <c r="B95" s="5"/>
      <c r="C95" s="6" t="str">
        <f t="shared" si="12"/>
        <v/>
      </c>
      <c r="D95" s="5"/>
      <c r="E95" s="5"/>
      <c r="F95" s="5"/>
      <c r="G95" s="5"/>
      <c r="H95" s="5"/>
      <c r="I95" s="5"/>
      <c r="J95" s="5"/>
      <c r="K95" s="15"/>
      <c r="L95" s="5"/>
      <c r="M95" s="15"/>
      <c r="N95" s="5"/>
      <c r="O95" s="15"/>
      <c r="P95" s="19" t="str">
        <f t="shared" si="13"/>
        <v/>
      </c>
      <c r="Q95" s="19" t="str">
        <f t="shared" si="14"/>
        <v/>
      </c>
      <c r="R95" s="19" t="str">
        <f t="shared" si="15"/>
        <v/>
      </c>
      <c r="S95" s="5"/>
      <c r="T95" s="5"/>
      <c r="U95" s="5"/>
      <c r="V95" s="24"/>
      <c r="W95" s="15"/>
      <c r="X95" s="15"/>
      <c r="Y95" s="15"/>
      <c r="Z95" s="19" t="str">
        <f t="shared" si="16"/>
        <v/>
      </c>
      <c r="AA95" s="19" t="str">
        <f t="shared" si="17"/>
        <v/>
      </c>
      <c r="AB95" s="5"/>
      <c r="AC95" s="5"/>
      <c r="AE95" t="str">
        <f>IFERROR(INDEX(EqTag,_xlfn.AGGREGATE(15,6,(ROW(EqTag)-4)/((EqSys=$D$3)*(EqTag&lt;&gt;"")),ROWS($AE$14:AE95))),"")</f>
        <v/>
      </c>
    </row>
    <row r="96" spans="1:31" ht="30" customHeight="1" x14ac:dyDescent="0.2">
      <c r="A96" s="19" t="str">
        <f>IF(F96="","",LEFT($D$3,3)&amp;"-"&amp;TEXT(COUNTIF(F$14:F96,"?*"),"00"))</f>
        <v/>
      </c>
      <c r="B96" s="5"/>
      <c r="C96" s="6" t="str">
        <f t="shared" si="12"/>
        <v/>
      </c>
      <c r="D96" s="5"/>
      <c r="E96" s="5"/>
      <c r="F96" s="5"/>
      <c r="G96" s="5"/>
      <c r="H96" s="5"/>
      <c r="I96" s="5"/>
      <c r="J96" s="5"/>
      <c r="K96" s="15"/>
      <c r="L96" s="5"/>
      <c r="M96" s="15"/>
      <c r="N96" s="5"/>
      <c r="O96" s="15"/>
      <c r="P96" s="19" t="str">
        <f t="shared" si="13"/>
        <v/>
      </c>
      <c r="Q96" s="19" t="str">
        <f t="shared" si="14"/>
        <v/>
      </c>
      <c r="R96" s="19" t="str">
        <f t="shared" si="15"/>
        <v/>
      </c>
      <c r="S96" s="5"/>
      <c r="T96" s="5"/>
      <c r="U96" s="5"/>
      <c r="V96" s="24"/>
      <c r="W96" s="15"/>
      <c r="X96" s="15"/>
      <c r="Y96" s="15"/>
      <c r="Z96" s="19" t="str">
        <f t="shared" si="16"/>
        <v/>
      </c>
      <c r="AA96" s="19" t="str">
        <f t="shared" si="17"/>
        <v/>
      </c>
      <c r="AB96" s="5"/>
      <c r="AC96" s="5"/>
      <c r="AE96" t="str">
        <f>IFERROR(INDEX(EqTag,_xlfn.AGGREGATE(15,6,(ROW(EqTag)-4)/((EqSys=$D$3)*(EqTag&lt;&gt;"")),ROWS($AE$14:AE96))),"")</f>
        <v/>
      </c>
    </row>
    <row r="97" spans="1:31" ht="30" customHeight="1" x14ac:dyDescent="0.2">
      <c r="A97" s="19" t="str">
        <f>IF(F97="","",LEFT($D$3,3)&amp;"-"&amp;TEXT(COUNTIF(F$14:F97,"?*"),"00"))</f>
        <v/>
      </c>
      <c r="B97" s="5"/>
      <c r="C97" s="6" t="str">
        <f t="shared" si="12"/>
        <v/>
      </c>
      <c r="D97" s="5"/>
      <c r="E97" s="5"/>
      <c r="F97" s="5"/>
      <c r="G97" s="5"/>
      <c r="H97" s="5"/>
      <c r="I97" s="5"/>
      <c r="J97" s="5"/>
      <c r="K97" s="15"/>
      <c r="L97" s="5"/>
      <c r="M97" s="15"/>
      <c r="N97" s="5"/>
      <c r="O97" s="15"/>
      <c r="P97" s="19" t="str">
        <f t="shared" si="13"/>
        <v/>
      </c>
      <c r="Q97" s="19" t="str">
        <f t="shared" si="14"/>
        <v/>
      </c>
      <c r="R97" s="19" t="str">
        <f t="shared" si="15"/>
        <v/>
      </c>
      <c r="S97" s="5"/>
      <c r="T97" s="5"/>
      <c r="U97" s="5"/>
      <c r="V97" s="24"/>
      <c r="W97" s="15"/>
      <c r="X97" s="15"/>
      <c r="Y97" s="15"/>
      <c r="Z97" s="19" t="str">
        <f t="shared" si="16"/>
        <v/>
      </c>
      <c r="AA97" s="19" t="str">
        <f t="shared" si="17"/>
        <v/>
      </c>
      <c r="AB97" s="5"/>
      <c r="AC97" s="5"/>
      <c r="AE97" t="str">
        <f>IFERROR(INDEX(EqTag,_xlfn.AGGREGATE(15,6,(ROW(EqTag)-4)/((EqSys=$D$3)*(EqTag&lt;&gt;"")),ROWS($AE$14:AE97))),"")</f>
        <v/>
      </c>
    </row>
    <row r="98" spans="1:31" ht="30" customHeight="1" x14ac:dyDescent="0.2">
      <c r="A98" s="19" t="str">
        <f>IF(F98="","",LEFT($D$3,3)&amp;"-"&amp;TEXT(COUNTIF(F$14:F98,"?*"),"00"))</f>
        <v/>
      </c>
      <c r="B98" s="5"/>
      <c r="C98" s="6" t="str">
        <f t="shared" si="12"/>
        <v/>
      </c>
      <c r="D98" s="5"/>
      <c r="E98" s="5"/>
      <c r="F98" s="5"/>
      <c r="G98" s="5"/>
      <c r="H98" s="5"/>
      <c r="I98" s="5"/>
      <c r="J98" s="5"/>
      <c r="K98" s="15"/>
      <c r="L98" s="5"/>
      <c r="M98" s="15"/>
      <c r="N98" s="5"/>
      <c r="O98" s="15"/>
      <c r="P98" s="19" t="str">
        <f t="shared" si="13"/>
        <v/>
      </c>
      <c r="Q98" s="19" t="str">
        <f t="shared" si="14"/>
        <v/>
      </c>
      <c r="R98" s="19" t="str">
        <f t="shared" si="15"/>
        <v/>
      </c>
      <c r="S98" s="5"/>
      <c r="T98" s="5"/>
      <c r="U98" s="5"/>
      <c r="V98" s="24"/>
      <c r="W98" s="15"/>
      <c r="X98" s="15"/>
      <c r="Y98" s="15"/>
      <c r="Z98" s="19" t="str">
        <f t="shared" si="16"/>
        <v/>
      </c>
      <c r="AA98" s="19" t="str">
        <f t="shared" si="17"/>
        <v/>
      </c>
      <c r="AB98" s="5"/>
      <c r="AC98" s="5"/>
      <c r="AE98" t="str">
        <f>IFERROR(INDEX(EqTag,_xlfn.AGGREGATE(15,6,(ROW(EqTag)-4)/((EqSys=$D$3)*(EqTag&lt;&gt;"")),ROWS($AE$14:AE98))),"")</f>
        <v/>
      </c>
    </row>
    <row r="99" spans="1:31" ht="30" customHeight="1" x14ac:dyDescent="0.2">
      <c r="A99" s="19" t="str">
        <f>IF(F99="","",LEFT($D$3,3)&amp;"-"&amp;TEXT(COUNTIF(F$14:F99,"?*"),"00"))</f>
        <v/>
      </c>
      <c r="B99" s="5"/>
      <c r="C99" s="6" t="str">
        <f t="shared" si="12"/>
        <v/>
      </c>
      <c r="D99" s="5"/>
      <c r="E99" s="5"/>
      <c r="F99" s="5"/>
      <c r="G99" s="5"/>
      <c r="H99" s="5"/>
      <c r="I99" s="5"/>
      <c r="J99" s="5"/>
      <c r="K99" s="15"/>
      <c r="L99" s="5"/>
      <c r="M99" s="15"/>
      <c r="N99" s="5"/>
      <c r="O99" s="15"/>
      <c r="P99" s="19" t="str">
        <f t="shared" si="13"/>
        <v/>
      </c>
      <c r="Q99" s="19" t="str">
        <f t="shared" si="14"/>
        <v/>
      </c>
      <c r="R99" s="19" t="str">
        <f t="shared" si="15"/>
        <v/>
      </c>
      <c r="S99" s="5"/>
      <c r="T99" s="5"/>
      <c r="U99" s="5"/>
      <c r="V99" s="24"/>
      <c r="W99" s="15"/>
      <c r="X99" s="15"/>
      <c r="Y99" s="15"/>
      <c r="Z99" s="19" t="str">
        <f t="shared" si="16"/>
        <v/>
      </c>
      <c r="AA99" s="19" t="str">
        <f t="shared" si="17"/>
        <v/>
      </c>
      <c r="AB99" s="5"/>
      <c r="AC99" s="5"/>
      <c r="AE99" t="str">
        <f>IFERROR(INDEX(EqTag,_xlfn.AGGREGATE(15,6,(ROW(EqTag)-4)/((EqSys=$D$3)*(EqTag&lt;&gt;"")),ROWS($AE$14:AE99))),"")</f>
        <v/>
      </c>
    </row>
    <row r="100" spans="1:31" ht="30" customHeight="1" x14ac:dyDescent="0.2">
      <c r="A100" s="19" t="str">
        <f>IF(F100="","",LEFT($D$3,3)&amp;"-"&amp;TEXT(COUNTIF(F$14:F100,"?*"),"00"))</f>
        <v/>
      </c>
      <c r="B100" s="5"/>
      <c r="C100" s="6" t="str">
        <f t="shared" si="12"/>
        <v/>
      </c>
      <c r="D100" s="5"/>
      <c r="E100" s="5"/>
      <c r="F100" s="5"/>
      <c r="G100" s="5"/>
      <c r="H100" s="5"/>
      <c r="I100" s="5"/>
      <c r="J100" s="5"/>
      <c r="K100" s="15"/>
      <c r="L100" s="5"/>
      <c r="M100" s="15"/>
      <c r="N100" s="5"/>
      <c r="O100" s="15"/>
      <c r="P100" s="19" t="str">
        <f t="shared" si="13"/>
        <v/>
      </c>
      <c r="Q100" s="19" t="str">
        <f t="shared" si="14"/>
        <v/>
      </c>
      <c r="R100" s="19" t="str">
        <f t="shared" si="15"/>
        <v/>
      </c>
      <c r="S100" s="5"/>
      <c r="T100" s="5"/>
      <c r="U100" s="5"/>
      <c r="V100" s="24"/>
      <c r="W100" s="15"/>
      <c r="X100" s="15"/>
      <c r="Y100" s="15"/>
      <c r="Z100" s="19" t="str">
        <f t="shared" si="16"/>
        <v/>
      </c>
      <c r="AA100" s="19" t="str">
        <f t="shared" si="17"/>
        <v/>
      </c>
      <c r="AB100" s="5"/>
      <c r="AC100" s="5"/>
      <c r="AE100" t="str">
        <f>IFERROR(INDEX(EqTag,_xlfn.AGGREGATE(15,6,(ROW(EqTag)-4)/((EqSys=$D$3)*(EqTag&lt;&gt;"")),ROWS($AE$14:AE100))),"")</f>
        <v/>
      </c>
    </row>
    <row r="101" spans="1:31" ht="30" customHeight="1" x14ac:dyDescent="0.2">
      <c r="A101" s="19" t="str">
        <f>IF(F101="","",LEFT($D$3,3)&amp;"-"&amp;TEXT(COUNTIF(F$14:F101,"?*"),"00"))</f>
        <v/>
      </c>
      <c r="B101" s="5"/>
      <c r="C101" s="6" t="str">
        <f t="shared" si="12"/>
        <v/>
      </c>
      <c r="D101" s="5"/>
      <c r="E101" s="5"/>
      <c r="F101" s="5"/>
      <c r="G101" s="5"/>
      <c r="H101" s="5"/>
      <c r="I101" s="5"/>
      <c r="J101" s="5"/>
      <c r="K101" s="15"/>
      <c r="L101" s="5"/>
      <c r="M101" s="15"/>
      <c r="N101" s="5"/>
      <c r="O101" s="15"/>
      <c r="P101" s="19" t="str">
        <f t="shared" si="13"/>
        <v/>
      </c>
      <c r="Q101" s="19" t="str">
        <f t="shared" si="14"/>
        <v/>
      </c>
      <c r="R101" s="19" t="str">
        <f t="shared" si="15"/>
        <v/>
      </c>
      <c r="S101" s="5"/>
      <c r="T101" s="5"/>
      <c r="U101" s="5"/>
      <c r="V101" s="24"/>
      <c r="W101" s="15"/>
      <c r="X101" s="15"/>
      <c r="Y101" s="15"/>
      <c r="Z101" s="19" t="str">
        <f t="shared" si="16"/>
        <v/>
      </c>
      <c r="AA101" s="19" t="str">
        <f t="shared" si="17"/>
        <v/>
      </c>
      <c r="AB101" s="5"/>
      <c r="AC101" s="5"/>
      <c r="AE101" t="str">
        <f>IFERROR(INDEX(EqTag,_xlfn.AGGREGATE(15,6,(ROW(EqTag)-4)/((EqSys=$D$3)*(EqTag&lt;&gt;"")),ROWS($AE$14:AE101))),"")</f>
        <v/>
      </c>
    </row>
    <row r="102" spans="1:31" ht="30" customHeight="1" x14ac:dyDescent="0.2">
      <c r="A102" s="19" t="str">
        <f>IF(F102="","",LEFT($D$3,3)&amp;"-"&amp;TEXT(COUNTIF(F$14:F102,"?*"),"00"))</f>
        <v/>
      </c>
      <c r="B102" s="5"/>
      <c r="C102" s="6" t="str">
        <f t="shared" si="12"/>
        <v/>
      </c>
      <c r="D102" s="5"/>
      <c r="E102" s="5"/>
      <c r="F102" s="5"/>
      <c r="G102" s="5"/>
      <c r="H102" s="5"/>
      <c r="I102" s="5"/>
      <c r="J102" s="5"/>
      <c r="K102" s="15"/>
      <c r="L102" s="5"/>
      <c r="M102" s="15"/>
      <c r="N102" s="5"/>
      <c r="O102" s="15"/>
      <c r="P102" s="19" t="str">
        <f t="shared" si="13"/>
        <v/>
      </c>
      <c r="Q102" s="19" t="str">
        <f t="shared" si="14"/>
        <v/>
      </c>
      <c r="R102" s="19" t="str">
        <f t="shared" si="15"/>
        <v/>
      </c>
      <c r="S102" s="5"/>
      <c r="T102" s="5"/>
      <c r="U102" s="5"/>
      <c r="V102" s="24"/>
      <c r="W102" s="15"/>
      <c r="X102" s="15"/>
      <c r="Y102" s="15"/>
      <c r="Z102" s="19" t="str">
        <f t="shared" si="16"/>
        <v/>
      </c>
      <c r="AA102" s="19" t="str">
        <f t="shared" si="17"/>
        <v/>
      </c>
      <c r="AB102" s="5"/>
      <c r="AC102" s="5"/>
      <c r="AE102" t="str">
        <f>IFERROR(INDEX(EqTag,_xlfn.AGGREGATE(15,6,(ROW(EqTag)-4)/((EqSys=$D$3)*(EqTag&lt;&gt;"")),ROWS($AE$14:AE102))),"")</f>
        <v/>
      </c>
    </row>
    <row r="103" spans="1:31" ht="30" customHeight="1" x14ac:dyDescent="0.2">
      <c r="A103" s="19" t="str">
        <f>IF(F103="","",LEFT($D$3,3)&amp;"-"&amp;TEXT(COUNTIF(F$14:F103,"?*"),"00"))</f>
        <v/>
      </c>
      <c r="B103" s="5"/>
      <c r="C103" s="6" t="str">
        <f t="shared" si="12"/>
        <v/>
      </c>
      <c r="D103" s="5"/>
      <c r="E103" s="5"/>
      <c r="F103" s="5"/>
      <c r="G103" s="5"/>
      <c r="H103" s="5"/>
      <c r="I103" s="5"/>
      <c r="J103" s="5"/>
      <c r="K103" s="15"/>
      <c r="L103" s="5"/>
      <c r="M103" s="15"/>
      <c r="N103" s="5"/>
      <c r="O103" s="15"/>
      <c r="P103" s="19" t="str">
        <f t="shared" si="13"/>
        <v/>
      </c>
      <c r="Q103" s="19" t="str">
        <f t="shared" si="14"/>
        <v/>
      </c>
      <c r="R103" s="19" t="str">
        <f t="shared" si="15"/>
        <v/>
      </c>
      <c r="S103" s="5"/>
      <c r="T103" s="5"/>
      <c r="U103" s="5"/>
      <c r="V103" s="24"/>
      <c r="W103" s="15"/>
      <c r="X103" s="15"/>
      <c r="Y103" s="15"/>
      <c r="Z103" s="19" t="str">
        <f t="shared" si="16"/>
        <v/>
      </c>
      <c r="AA103" s="19" t="str">
        <f t="shared" si="17"/>
        <v/>
      </c>
      <c r="AB103" s="5"/>
      <c r="AC103" s="5"/>
      <c r="AE103" t="str">
        <f>IFERROR(INDEX(EqTag,_xlfn.AGGREGATE(15,6,(ROW(EqTag)-4)/((EqSys=$D$3)*(EqTag&lt;&gt;"")),ROWS($AE$14:AE103))),"")</f>
        <v/>
      </c>
    </row>
    <row r="104" spans="1:31" ht="30" customHeight="1" x14ac:dyDescent="0.2">
      <c r="A104" s="19" t="str">
        <f>IF(F104="","",LEFT($D$3,3)&amp;"-"&amp;TEXT(COUNTIF(F$14:F104,"?*"),"00"))</f>
        <v/>
      </c>
      <c r="B104" s="5"/>
      <c r="C104" s="6" t="str">
        <f t="shared" si="12"/>
        <v/>
      </c>
      <c r="D104" s="5"/>
      <c r="E104" s="5"/>
      <c r="F104" s="5"/>
      <c r="G104" s="5"/>
      <c r="H104" s="5"/>
      <c r="I104" s="5"/>
      <c r="J104" s="5"/>
      <c r="K104" s="15"/>
      <c r="L104" s="5"/>
      <c r="M104" s="15"/>
      <c r="N104" s="5"/>
      <c r="O104" s="15"/>
      <c r="P104" s="19" t="str">
        <f t="shared" si="13"/>
        <v/>
      </c>
      <c r="Q104" s="19" t="str">
        <f t="shared" si="14"/>
        <v/>
      </c>
      <c r="R104" s="19" t="str">
        <f t="shared" si="15"/>
        <v/>
      </c>
      <c r="S104" s="5"/>
      <c r="T104" s="5"/>
      <c r="U104" s="5"/>
      <c r="V104" s="24"/>
      <c r="W104" s="15"/>
      <c r="X104" s="15"/>
      <c r="Y104" s="15"/>
      <c r="Z104" s="19" t="str">
        <f t="shared" si="16"/>
        <v/>
      </c>
      <c r="AA104" s="19" t="str">
        <f t="shared" si="17"/>
        <v/>
      </c>
      <c r="AB104" s="5"/>
      <c r="AC104" s="5"/>
      <c r="AE104" t="str">
        <f>IFERROR(INDEX(EqTag,_xlfn.AGGREGATE(15,6,(ROW(EqTag)-4)/((EqSys=$D$3)*(EqTag&lt;&gt;"")),ROWS($AE$14:AE104))),"")</f>
        <v/>
      </c>
    </row>
    <row r="105" spans="1:31" ht="30" customHeight="1" x14ac:dyDescent="0.2">
      <c r="A105" s="19" t="str">
        <f>IF(F105="","",LEFT($D$3,3)&amp;"-"&amp;TEXT(COUNTIF(F$14:F105,"?*"),"00"))</f>
        <v/>
      </c>
      <c r="B105" s="5"/>
      <c r="C105" s="6" t="str">
        <f t="shared" si="12"/>
        <v/>
      </c>
      <c r="D105" s="5"/>
      <c r="E105" s="5"/>
      <c r="F105" s="5"/>
      <c r="G105" s="5"/>
      <c r="H105" s="5"/>
      <c r="I105" s="5"/>
      <c r="J105" s="5"/>
      <c r="K105" s="15"/>
      <c r="L105" s="5"/>
      <c r="M105" s="15"/>
      <c r="N105" s="5"/>
      <c r="O105" s="15"/>
      <c r="P105" s="19" t="str">
        <f t="shared" si="13"/>
        <v/>
      </c>
      <c r="Q105" s="19" t="str">
        <f t="shared" si="14"/>
        <v/>
      </c>
      <c r="R105" s="19" t="str">
        <f t="shared" si="15"/>
        <v/>
      </c>
      <c r="S105" s="5"/>
      <c r="T105" s="5"/>
      <c r="U105" s="5"/>
      <c r="V105" s="24"/>
      <c r="W105" s="15"/>
      <c r="X105" s="15"/>
      <c r="Y105" s="15"/>
      <c r="Z105" s="19" t="str">
        <f t="shared" si="16"/>
        <v/>
      </c>
      <c r="AA105" s="19" t="str">
        <f t="shared" si="17"/>
        <v/>
      </c>
      <c r="AB105" s="5"/>
      <c r="AC105" s="5"/>
      <c r="AE105" t="str">
        <f>IFERROR(INDEX(EqTag,_xlfn.AGGREGATE(15,6,(ROW(EqTag)-4)/((EqSys=$D$3)*(EqTag&lt;&gt;"")),ROWS($AE$14:AE105))),"")</f>
        <v/>
      </c>
    </row>
    <row r="106" spans="1:31" ht="30" customHeight="1" x14ac:dyDescent="0.2">
      <c r="A106" s="19" t="str">
        <f>IF(F106="","",LEFT($D$3,3)&amp;"-"&amp;TEXT(COUNTIF(F$14:F106,"?*"),"00"))</f>
        <v/>
      </c>
      <c r="B106" s="5"/>
      <c r="C106" s="6" t="str">
        <f t="shared" si="12"/>
        <v/>
      </c>
      <c r="D106" s="5"/>
      <c r="E106" s="5"/>
      <c r="F106" s="5"/>
      <c r="G106" s="5"/>
      <c r="H106" s="5"/>
      <c r="I106" s="5"/>
      <c r="J106" s="5"/>
      <c r="K106" s="15"/>
      <c r="L106" s="5"/>
      <c r="M106" s="15"/>
      <c r="N106" s="5"/>
      <c r="O106" s="15"/>
      <c r="P106" s="19" t="str">
        <f t="shared" si="13"/>
        <v/>
      </c>
      <c r="Q106" s="19" t="str">
        <f t="shared" si="14"/>
        <v/>
      </c>
      <c r="R106" s="19" t="str">
        <f t="shared" si="15"/>
        <v/>
      </c>
      <c r="S106" s="5"/>
      <c r="T106" s="5"/>
      <c r="U106" s="5"/>
      <c r="V106" s="24"/>
      <c r="W106" s="15"/>
      <c r="X106" s="15"/>
      <c r="Y106" s="15"/>
      <c r="Z106" s="19" t="str">
        <f t="shared" si="16"/>
        <v/>
      </c>
      <c r="AA106" s="19" t="str">
        <f t="shared" si="17"/>
        <v/>
      </c>
      <c r="AB106" s="5"/>
      <c r="AC106" s="5"/>
      <c r="AE106" t="str">
        <f>IFERROR(INDEX(EqTag,_xlfn.AGGREGATE(15,6,(ROW(EqTag)-4)/((EqSys=$D$3)*(EqTag&lt;&gt;"")),ROWS($AE$14:AE106))),"")</f>
        <v/>
      </c>
    </row>
    <row r="107" spans="1:31" ht="30" customHeight="1" x14ac:dyDescent="0.2">
      <c r="A107" s="19" t="str">
        <f>IF(F107="","",LEFT($D$3,3)&amp;"-"&amp;TEXT(COUNTIF(F$14:F107,"?*"),"00"))</f>
        <v/>
      </c>
      <c r="B107" s="5"/>
      <c r="C107" s="6" t="str">
        <f t="shared" si="12"/>
        <v/>
      </c>
      <c r="D107" s="5"/>
      <c r="E107" s="5"/>
      <c r="F107" s="5"/>
      <c r="G107" s="5"/>
      <c r="H107" s="5"/>
      <c r="I107" s="5"/>
      <c r="J107" s="5"/>
      <c r="K107" s="15"/>
      <c r="L107" s="5"/>
      <c r="M107" s="15"/>
      <c r="N107" s="5"/>
      <c r="O107" s="15"/>
      <c r="P107" s="19" t="str">
        <f t="shared" si="13"/>
        <v/>
      </c>
      <c r="Q107" s="19" t="str">
        <f t="shared" si="14"/>
        <v/>
      </c>
      <c r="R107" s="19" t="str">
        <f t="shared" si="15"/>
        <v/>
      </c>
      <c r="S107" s="5"/>
      <c r="T107" s="5"/>
      <c r="U107" s="5"/>
      <c r="V107" s="24"/>
      <c r="W107" s="15"/>
      <c r="X107" s="15"/>
      <c r="Y107" s="15"/>
      <c r="Z107" s="19" t="str">
        <f t="shared" si="16"/>
        <v/>
      </c>
      <c r="AA107" s="19" t="str">
        <f t="shared" si="17"/>
        <v/>
      </c>
      <c r="AB107" s="5"/>
      <c r="AC107" s="5"/>
      <c r="AE107" t="str">
        <f>IFERROR(INDEX(EqTag,_xlfn.AGGREGATE(15,6,(ROW(EqTag)-4)/((EqSys=$D$3)*(EqTag&lt;&gt;"")),ROWS($AE$14:AE107))),"")</f>
        <v/>
      </c>
    </row>
    <row r="108" spans="1:31" ht="30" customHeight="1" x14ac:dyDescent="0.2">
      <c r="A108" s="19" t="str">
        <f>IF(F108="","",LEFT($D$3,3)&amp;"-"&amp;TEXT(COUNTIF(F$14:F108,"?*"),"00"))</f>
        <v/>
      </c>
      <c r="B108" s="5"/>
      <c r="C108" s="6" t="str">
        <f t="shared" si="12"/>
        <v/>
      </c>
      <c r="D108" s="5"/>
      <c r="E108" s="5"/>
      <c r="F108" s="5"/>
      <c r="G108" s="5"/>
      <c r="H108" s="5"/>
      <c r="I108" s="5"/>
      <c r="J108" s="5"/>
      <c r="K108" s="15"/>
      <c r="L108" s="5"/>
      <c r="M108" s="15"/>
      <c r="N108" s="5"/>
      <c r="O108" s="15"/>
      <c r="P108" s="19" t="str">
        <f t="shared" si="13"/>
        <v/>
      </c>
      <c r="Q108" s="19" t="str">
        <f t="shared" si="14"/>
        <v/>
      </c>
      <c r="R108" s="19" t="str">
        <f t="shared" si="15"/>
        <v/>
      </c>
      <c r="S108" s="5"/>
      <c r="T108" s="5"/>
      <c r="U108" s="5"/>
      <c r="V108" s="24"/>
      <c r="W108" s="15"/>
      <c r="X108" s="15"/>
      <c r="Y108" s="15"/>
      <c r="Z108" s="19" t="str">
        <f t="shared" si="16"/>
        <v/>
      </c>
      <c r="AA108" s="19" t="str">
        <f t="shared" si="17"/>
        <v/>
      </c>
      <c r="AB108" s="5"/>
      <c r="AC108" s="5"/>
      <c r="AE108" t="str">
        <f>IFERROR(INDEX(EqTag,_xlfn.AGGREGATE(15,6,(ROW(EqTag)-4)/((EqSys=$D$3)*(EqTag&lt;&gt;"")),ROWS($AE$14:AE108))),"")</f>
        <v/>
      </c>
    </row>
    <row r="109" spans="1:31" ht="30" customHeight="1" x14ac:dyDescent="0.2">
      <c r="A109" s="19" t="str">
        <f>IF(F109="","",LEFT($D$3,3)&amp;"-"&amp;TEXT(COUNTIF(F$14:F109,"?*"),"00"))</f>
        <v/>
      </c>
      <c r="B109" s="5"/>
      <c r="C109" s="6" t="str">
        <f t="shared" si="12"/>
        <v/>
      </c>
      <c r="D109" s="5"/>
      <c r="E109" s="5"/>
      <c r="F109" s="5"/>
      <c r="G109" s="5"/>
      <c r="H109" s="5"/>
      <c r="I109" s="5"/>
      <c r="J109" s="5"/>
      <c r="K109" s="15"/>
      <c r="L109" s="5"/>
      <c r="M109" s="15"/>
      <c r="N109" s="5"/>
      <c r="O109" s="15"/>
      <c r="P109" s="19" t="str">
        <f t="shared" si="13"/>
        <v/>
      </c>
      <c r="Q109" s="19" t="str">
        <f t="shared" si="14"/>
        <v/>
      </c>
      <c r="R109" s="19" t="str">
        <f t="shared" si="15"/>
        <v/>
      </c>
      <c r="S109" s="5"/>
      <c r="T109" s="5"/>
      <c r="U109" s="5"/>
      <c r="V109" s="24"/>
      <c r="W109" s="15"/>
      <c r="X109" s="15"/>
      <c r="Y109" s="15"/>
      <c r="Z109" s="19" t="str">
        <f t="shared" si="16"/>
        <v/>
      </c>
      <c r="AA109" s="19" t="str">
        <f t="shared" si="17"/>
        <v/>
      </c>
      <c r="AB109" s="5"/>
      <c r="AC109" s="5"/>
      <c r="AE109" t="str">
        <f>IFERROR(INDEX(EqTag,_xlfn.AGGREGATE(15,6,(ROW(EqTag)-4)/((EqSys=$D$3)*(EqTag&lt;&gt;"")),ROWS($AE$14:AE109))),"")</f>
        <v/>
      </c>
    </row>
    <row r="110" spans="1:31" ht="30" customHeight="1" x14ac:dyDescent="0.2">
      <c r="A110" s="19" t="str">
        <f>IF(F110="","",LEFT($D$3,3)&amp;"-"&amp;TEXT(COUNTIF(F$14:F110,"?*"),"00"))</f>
        <v/>
      </c>
      <c r="B110" s="5"/>
      <c r="C110" s="6" t="str">
        <f t="shared" ref="C110:C141" si="18">IF(B110="","",IFERROR(INDEX(EqTypeCol,MATCH(B110,EqTag,0)),"Tag not in register"))</f>
        <v/>
      </c>
      <c r="D110" s="5"/>
      <c r="E110" s="5"/>
      <c r="F110" s="5"/>
      <c r="G110" s="5"/>
      <c r="H110" s="5"/>
      <c r="I110" s="5"/>
      <c r="J110" s="5"/>
      <c r="K110" s="15"/>
      <c r="L110" s="5"/>
      <c r="M110" s="15"/>
      <c r="N110" s="5"/>
      <c r="O110" s="15"/>
      <c r="P110" s="19" t="str">
        <f t="shared" ref="P110:P141" si="19">IF(OR(K110="",M110="",O110=""),"",(--TRIM(LEFT(K110,2)))*(--TRIM(LEFT(M110,2)))*(--TRIM(LEFT(O110,2))))</f>
        <v/>
      </c>
      <c r="Q110" s="19" t="str">
        <f t="shared" ref="Q110:Q141" si="20">IF(OR(K110="",M110="",O110=""),"",INDEX(APGrid,COUNTIF(APS,"&gt;"&amp;(--TRIM(LEFT(K110,2))))*5+COUNTIF(APO,"&gt;"&amp;(--TRIM(LEFT(M110,2))))+1,COUNTIF(APD,"&gt;"&amp;(--TRIM(LEFT(O110,2))))+1))</f>
        <v/>
      </c>
      <c r="R110" s="19" t="str">
        <f t="shared" ref="R110:R141" si="21">IF(P110="","",IF(OR((--TRIM(LEFT(K110,2)))&gt;=SThr,P110&gt;=RPNThr,Q110="H"),"Yes","No"))</f>
        <v/>
      </c>
      <c r="S110" s="5"/>
      <c r="T110" s="5"/>
      <c r="U110" s="5"/>
      <c r="V110" s="24"/>
      <c r="W110" s="15"/>
      <c r="X110" s="15"/>
      <c r="Y110" s="15"/>
      <c r="Z110" s="19" t="str">
        <f t="shared" ref="Z110:Z141" si="22">IF(OR(W110="",X110="",Y110=""),"",(--TRIM(LEFT(W110,2)))*(--TRIM(LEFT(X110,2)))*(--TRIM(LEFT(Y110,2))))</f>
        <v/>
      </c>
      <c r="AA110" s="19" t="str">
        <f t="shared" ref="AA110:AA141" si="23">IF(OR(W110="",X110="",Y110=""),"",INDEX(APGrid,COUNTIF(APS,"&gt;"&amp;(--TRIM(LEFT(W110,2))))*5+COUNTIF(APO,"&gt;"&amp;(--TRIM(LEFT(X110,2))))+1,COUNTIF(APD,"&gt;"&amp;(--TRIM(LEFT(Y110,2))))+1))</f>
        <v/>
      </c>
      <c r="AB110" s="5"/>
      <c r="AC110" s="5"/>
      <c r="AE110" t="str">
        <f>IFERROR(INDEX(EqTag,_xlfn.AGGREGATE(15,6,(ROW(EqTag)-4)/((EqSys=$D$3)*(EqTag&lt;&gt;"")),ROWS($AE$14:AE110))),"")</f>
        <v/>
      </c>
    </row>
    <row r="111" spans="1:31" ht="30" customHeight="1" x14ac:dyDescent="0.2">
      <c r="A111" s="19" t="str">
        <f>IF(F111="","",LEFT($D$3,3)&amp;"-"&amp;TEXT(COUNTIF(F$14:F111,"?*"),"00"))</f>
        <v/>
      </c>
      <c r="B111" s="5"/>
      <c r="C111" s="6" t="str">
        <f t="shared" si="18"/>
        <v/>
      </c>
      <c r="D111" s="5"/>
      <c r="E111" s="5"/>
      <c r="F111" s="5"/>
      <c r="G111" s="5"/>
      <c r="H111" s="5"/>
      <c r="I111" s="5"/>
      <c r="J111" s="5"/>
      <c r="K111" s="15"/>
      <c r="L111" s="5"/>
      <c r="M111" s="15"/>
      <c r="N111" s="5"/>
      <c r="O111" s="15"/>
      <c r="P111" s="19" t="str">
        <f t="shared" si="19"/>
        <v/>
      </c>
      <c r="Q111" s="19" t="str">
        <f t="shared" si="20"/>
        <v/>
      </c>
      <c r="R111" s="19" t="str">
        <f t="shared" si="21"/>
        <v/>
      </c>
      <c r="S111" s="5"/>
      <c r="T111" s="5"/>
      <c r="U111" s="5"/>
      <c r="V111" s="24"/>
      <c r="W111" s="15"/>
      <c r="X111" s="15"/>
      <c r="Y111" s="15"/>
      <c r="Z111" s="19" t="str">
        <f t="shared" si="22"/>
        <v/>
      </c>
      <c r="AA111" s="19" t="str">
        <f t="shared" si="23"/>
        <v/>
      </c>
      <c r="AB111" s="5"/>
      <c r="AC111" s="5"/>
      <c r="AE111" t="str">
        <f>IFERROR(INDEX(EqTag,_xlfn.AGGREGATE(15,6,(ROW(EqTag)-4)/((EqSys=$D$3)*(EqTag&lt;&gt;"")),ROWS($AE$14:AE111))),"")</f>
        <v/>
      </c>
    </row>
    <row r="112" spans="1:31" ht="30" customHeight="1" x14ac:dyDescent="0.2">
      <c r="A112" s="19" t="str">
        <f>IF(F112="","",LEFT($D$3,3)&amp;"-"&amp;TEXT(COUNTIF(F$14:F112,"?*"),"00"))</f>
        <v/>
      </c>
      <c r="B112" s="5"/>
      <c r="C112" s="6" t="str">
        <f t="shared" si="18"/>
        <v/>
      </c>
      <c r="D112" s="5"/>
      <c r="E112" s="5"/>
      <c r="F112" s="5"/>
      <c r="G112" s="5"/>
      <c r="H112" s="5"/>
      <c r="I112" s="5"/>
      <c r="J112" s="5"/>
      <c r="K112" s="15"/>
      <c r="L112" s="5"/>
      <c r="M112" s="15"/>
      <c r="N112" s="5"/>
      <c r="O112" s="15"/>
      <c r="P112" s="19" t="str">
        <f t="shared" si="19"/>
        <v/>
      </c>
      <c r="Q112" s="19" t="str">
        <f t="shared" si="20"/>
        <v/>
      </c>
      <c r="R112" s="19" t="str">
        <f t="shared" si="21"/>
        <v/>
      </c>
      <c r="S112" s="5"/>
      <c r="T112" s="5"/>
      <c r="U112" s="5"/>
      <c r="V112" s="24"/>
      <c r="W112" s="15"/>
      <c r="X112" s="15"/>
      <c r="Y112" s="15"/>
      <c r="Z112" s="19" t="str">
        <f t="shared" si="22"/>
        <v/>
      </c>
      <c r="AA112" s="19" t="str">
        <f t="shared" si="23"/>
        <v/>
      </c>
      <c r="AB112" s="5"/>
      <c r="AC112" s="5"/>
      <c r="AE112" t="str">
        <f>IFERROR(INDEX(EqTag,_xlfn.AGGREGATE(15,6,(ROW(EqTag)-4)/((EqSys=$D$3)*(EqTag&lt;&gt;"")),ROWS($AE$14:AE112))),"")</f>
        <v/>
      </c>
    </row>
    <row r="113" spans="1:31" ht="30" customHeight="1" x14ac:dyDescent="0.2">
      <c r="A113" s="19" t="str">
        <f>IF(F113="","",LEFT($D$3,3)&amp;"-"&amp;TEXT(COUNTIF(F$14:F113,"?*"),"00"))</f>
        <v/>
      </c>
      <c r="B113" s="5"/>
      <c r="C113" s="6" t="str">
        <f t="shared" si="18"/>
        <v/>
      </c>
      <c r="D113" s="5"/>
      <c r="E113" s="5"/>
      <c r="F113" s="5"/>
      <c r="G113" s="5"/>
      <c r="H113" s="5"/>
      <c r="I113" s="5"/>
      <c r="J113" s="5"/>
      <c r="K113" s="15"/>
      <c r="L113" s="5"/>
      <c r="M113" s="15"/>
      <c r="N113" s="5"/>
      <c r="O113" s="15"/>
      <c r="P113" s="19" t="str">
        <f t="shared" si="19"/>
        <v/>
      </c>
      <c r="Q113" s="19" t="str">
        <f t="shared" si="20"/>
        <v/>
      </c>
      <c r="R113" s="19" t="str">
        <f t="shared" si="21"/>
        <v/>
      </c>
      <c r="S113" s="5"/>
      <c r="T113" s="5"/>
      <c r="U113" s="5"/>
      <c r="V113" s="24"/>
      <c r="W113" s="15"/>
      <c r="X113" s="15"/>
      <c r="Y113" s="15"/>
      <c r="Z113" s="19" t="str">
        <f t="shared" si="22"/>
        <v/>
      </c>
      <c r="AA113" s="19" t="str">
        <f t="shared" si="23"/>
        <v/>
      </c>
      <c r="AB113" s="5"/>
      <c r="AC113" s="5"/>
      <c r="AE113" t="str">
        <f>IFERROR(INDEX(EqTag,_xlfn.AGGREGATE(15,6,(ROW(EqTag)-4)/((EqSys=$D$3)*(EqTag&lt;&gt;"")),ROWS($AE$14:AE113))),"")</f>
        <v/>
      </c>
    </row>
    <row r="114" spans="1:31" ht="30" customHeight="1" x14ac:dyDescent="0.2">
      <c r="A114" s="19" t="str">
        <f>IF(F114="","",LEFT($D$3,3)&amp;"-"&amp;TEXT(COUNTIF(F$14:F114,"?*"),"00"))</f>
        <v/>
      </c>
      <c r="B114" s="5"/>
      <c r="C114" s="6" t="str">
        <f t="shared" si="18"/>
        <v/>
      </c>
      <c r="D114" s="5"/>
      <c r="E114" s="5"/>
      <c r="F114" s="5"/>
      <c r="G114" s="5"/>
      <c r="H114" s="5"/>
      <c r="I114" s="5"/>
      <c r="J114" s="5"/>
      <c r="K114" s="15"/>
      <c r="L114" s="5"/>
      <c r="M114" s="15"/>
      <c r="N114" s="5"/>
      <c r="O114" s="15"/>
      <c r="P114" s="19" t="str">
        <f t="shared" si="19"/>
        <v/>
      </c>
      <c r="Q114" s="19" t="str">
        <f t="shared" si="20"/>
        <v/>
      </c>
      <c r="R114" s="19" t="str">
        <f t="shared" si="21"/>
        <v/>
      </c>
      <c r="S114" s="5"/>
      <c r="T114" s="5"/>
      <c r="U114" s="5"/>
      <c r="V114" s="24"/>
      <c r="W114" s="15"/>
      <c r="X114" s="15"/>
      <c r="Y114" s="15"/>
      <c r="Z114" s="19" t="str">
        <f t="shared" si="22"/>
        <v/>
      </c>
      <c r="AA114" s="19" t="str">
        <f t="shared" si="23"/>
        <v/>
      </c>
      <c r="AB114" s="5"/>
      <c r="AC114" s="5"/>
      <c r="AE114" t="str">
        <f>IFERROR(INDEX(EqTag,_xlfn.AGGREGATE(15,6,(ROW(EqTag)-4)/((EqSys=$D$3)*(EqTag&lt;&gt;"")),ROWS($AE$14:AE114))),"")</f>
        <v/>
      </c>
    </row>
    <row r="115" spans="1:31" ht="30" customHeight="1" x14ac:dyDescent="0.2">
      <c r="A115" s="19" t="str">
        <f>IF(F115="","",LEFT($D$3,3)&amp;"-"&amp;TEXT(COUNTIF(F$14:F115,"?*"),"00"))</f>
        <v/>
      </c>
      <c r="B115" s="5"/>
      <c r="C115" s="6" t="str">
        <f t="shared" si="18"/>
        <v/>
      </c>
      <c r="D115" s="5"/>
      <c r="E115" s="5"/>
      <c r="F115" s="5"/>
      <c r="G115" s="5"/>
      <c r="H115" s="5"/>
      <c r="I115" s="5"/>
      <c r="J115" s="5"/>
      <c r="K115" s="15"/>
      <c r="L115" s="5"/>
      <c r="M115" s="15"/>
      <c r="N115" s="5"/>
      <c r="O115" s="15"/>
      <c r="P115" s="19" t="str">
        <f t="shared" si="19"/>
        <v/>
      </c>
      <c r="Q115" s="19" t="str">
        <f t="shared" si="20"/>
        <v/>
      </c>
      <c r="R115" s="19" t="str">
        <f t="shared" si="21"/>
        <v/>
      </c>
      <c r="S115" s="5"/>
      <c r="T115" s="5"/>
      <c r="U115" s="5"/>
      <c r="V115" s="24"/>
      <c r="W115" s="15"/>
      <c r="X115" s="15"/>
      <c r="Y115" s="15"/>
      <c r="Z115" s="19" t="str">
        <f t="shared" si="22"/>
        <v/>
      </c>
      <c r="AA115" s="19" t="str">
        <f t="shared" si="23"/>
        <v/>
      </c>
      <c r="AB115" s="5"/>
      <c r="AC115" s="5"/>
      <c r="AE115" t="str">
        <f>IFERROR(INDEX(EqTag,_xlfn.AGGREGATE(15,6,(ROW(EqTag)-4)/((EqSys=$D$3)*(EqTag&lt;&gt;"")),ROWS($AE$14:AE115))),"")</f>
        <v/>
      </c>
    </row>
    <row r="116" spans="1:31" ht="30" customHeight="1" x14ac:dyDescent="0.2">
      <c r="A116" s="19" t="str">
        <f>IF(F116="","",LEFT($D$3,3)&amp;"-"&amp;TEXT(COUNTIF(F$14:F116,"?*"),"00"))</f>
        <v/>
      </c>
      <c r="B116" s="5"/>
      <c r="C116" s="6" t="str">
        <f t="shared" si="18"/>
        <v/>
      </c>
      <c r="D116" s="5"/>
      <c r="E116" s="5"/>
      <c r="F116" s="5"/>
      <c r="G116" s="5"/>
      <c r="H116" s="5"/>
      <c r="I116" s="5"/>
      <c r="J116" s="5"/>
      <c r="K116" s="15"/>
      <c r="L116" s="5"/>
      <c r="M116" s="15"/>
      <c r="N116" s="5"/>
      <c r="O116" s="15"/>
      <c r="P116" s="19" t="str">
        <f t="shared" si="19"/>
        <v/>
      </c>
      <c r="Q116" s="19" t="str">
        <f t="shared" si="20"/>
        <v/>
      </c>
      <c r="R116" s="19" t="str">
        <f t="shared" si="21"/>
        <v/>
      </c>
      <c r="S116" s="5"/>
      <c r="T116" s="5"/>
      <c r="U116" s="5"/>
      <c r="V116" s="24"/>
      <c r="W116" s="15"/>
      <c r="X116" s="15"/>
      <c r="Y116" s="15"/>
      <c r="Z116" s="19" t="str">
        <f t="shared" si="22"/>
        <v/>
      </c>
      <c r="AA116" s="19" t="str">
        <f t="shared" si="23"/>
        <v/>
      </c>
      <c r="AB116" s="5"/>
      <c r="AC116" s="5"/>
      <c r="AE116" t="str">
        <f>IFERROR(INDEX(EqTag,_xlfn.AGGREGATE(15,6,(ROW(EqTag)-4)/((EqSys=$D$3)*(EqTag&lt;&gt;"")),ROWS($AE$14:AE116))),"")</f>
        <v/>
      </c>
    </row>
    <row r="117" spans="1:31" ht="30" customHeight="1" x14ac:dyDescent="0.2">
      <c r="A117" s="19" t="str">
        <f>IF(F117="","",LEFT($D$3,3)&amp;"-"&amp;TEXT(COUNTIF(F$14:F117,"?*"),"00"))</f>
        <v/>
      </c>
      <c r="B117" s="5"/>
      <c r="C117" s="6" t="str">
        <f t="shared" si="18"/>
        <v/>
      </c>
      <c r="D117" s="5"/>
      <c r="E117" s="5"/>
      <c r="F117" s="5"/>
      <c r="G117" s="5"/>
      <c r="H117" s="5"/>
      <c r="I117" s="5"/>
      <c r="J117" s="5"/>
      <c r="K117" s="15"/>
      <c r="L117" s="5"/>
      <c r="M117" s="15"/>
      <c r="N117" s="5"/>
      <c r="O117" s="15"/>
      <c r="P117" s="19" t="str">
        <f t="shared" si="19"/>
        <v/>
      </c>
      <c r="Q117" s="19" t="str">
        <f t="shared" si="20"/>
        <v/>
      </c>
      <c r="R117" s="19" t="str">
        <f t="shared" si="21"/>
        <v/>
      </c>
      <c r="S117" s="5"/>
      <c r="T117" s="5"/>
      <c r="U117" s="5"/>
      <c r="V117" s="24"/>
      <c r="W117" s="15"/>
      <c r="X117" s="15"/>
      <c r="Y117" s="15"/>
      <c r="Z117" s="19" t="str">
        <f t="shared" si="22"/>
        <v/>
      </c>
      <c r="AA117" s="19" t="str">
        <f t="shared" si="23"/>
        <v/>
      </c>
      <c r="AB117" s="5"/>
      <c r="AC117" s="5"/>
      <c r="AE117" t="str">
        <f>IFERROR(INDEX(EqTag,_xlfn.AGGREGATE(15,6,(ROW(EqTag)-4)/((EqSys=$D$3)*(EqTag&lt;&gt;"")),ROWS($AE$14:AE117))),"")</f>
        <v/>
      </c>
    </row>
    <row r="118" spans="1:31" ht="30" customHeight="1" x14ac:dyDescent="0.2">
      <c r="A118" s="19" t="str">
        <f>IF(F118="","",LEFT($D$3,3)&amp;"-"&amp;TEXT(COUNTIF(F$14:F118,"?*"),"00"))</f>
        <v/>
      </c>
      <c r="B118" s="5"/>
      <c r="C118" s="6" t="str">
        <f t="shared" si="18"/>
        <v/>
      </c>
      <c r="D118" s="5"/>
      <c r="E118" s="5"/>
      <c r="F118" s="5"/>
      <c r="G118" s="5"/>
      <c r="H118" s="5"/>
      <c r="I118" s="5"/>
      <c r="J118" s="5"/>
      <c r="K118" s="15"/>
      <c r="L118" s="5"/>
      <c r="M118" s="15"/>
      <c r="N118" s="5"/>
      <c r="O118" s="15"/>
      <c r="P118" s="19" t="str">
        <f t="shared" si="19"/>
        <v/>
      </c>
      <c r="Q118" s="19" t="str">
        <f t="shared" si="20"/>
        <v/>
      </c>
      <c r="R118" s="19" t="str">
        <f t="shared" si="21"/>
        <v/>
      </c>
      <c r="S118" s="5"/>
      <c r="T118" s="5"/>
      <c r="U118" s="5"/>
      <c r="V118" s="24"/>
      <c r="W118" s="15"/>
      <c r="X118" s="15"/>
      <c r="Y118" s="15"/>
      <c r="Z118" s="19" t="str">
        <f t="shared" si="22"/>
        <v/>
      </c>
      <c r="AA118" s="19" t="str">
        <f t="shared" si="23"/>
        <v/>
      </c>
      <c r="AB118" s="5"/>
      <c r="AC118" s="5"/>
      <c r="AE118" t="str">
        <f>IFERROR(INDEX(EqTag,_xlfn.AGGREGATE(15,6,(ROW(EqTag)-4)/((EqSys=$D$3)*(EqTag&lt;&gt;"")),ROWS($AE$14:AE118))),"")</f>
        <v/>
      </c>
    </row>
    <row r="119" spans="1:31" ht="30" customHeight="1" x14ac:dyDescent="0.2">
      <c r="A119" s="19" t="str">
        <f>IF(F119="","",LEFT($D$3,3)&amp;"-"&amp;TEXT(COUNTIF(F$14:F119,"?*"),"00"))</f>
        <v/>
      </c>
      <c r="B119" s="5"/>
      <c r="C119" s="6" t="str">
        <f t="shared" si="18"/>
        <v/>
      </c>
      <c r="D119" s="5"/>
      <c r="E119" s="5"/>
      <c r="F119" s="5"/>
      <c r="G119" s="5"/>
      <c r="H119" s="5"/>
      <c r="I119" s="5"/>
      <c r="J119" s="5"/>
      <c r="K119" s="15"/>
      <c r="L119" s="5"/>
      <c r="M119" s="15"/>
      <c r="N119" s="5"/>
      <c r="O119" s="15"/>
      <c r="P119" s="19" t="str">
        <f t="shared" si="19"/>
        <v/>
      </c>
      <c r="Q119" s="19" t="str">
        <f t="shared" si="20"/>
        <v/>
      </c>
      <c r="R119" s="19" t="str">
        <f t="shared" si="21"/>
        <v/>
      </c>
      <c r="S119" s="5"/>
      <c r="T119" s="5"/>
      <c r="U119" s="5"/>
      <c r="V119" s="24"/>
      <c r="W119" s="15"/>
      <c r="X119" s="15"/>
      <c r="Y119" s="15"/>
      <c r="Z119" s="19" t="str">
        <f t="shared" si="22"/>
        <v/>
      </c>
      <c r="AA119" s="19" t="str">
        <f t="shared" si="23"/>
        <v/>
      </c>
      <c r="AB119" s="5"/>
      <c r="AC119" s="5"/>
      <c r="AE119" t="str">
        <f>IFERROR(INDEX(EqTag,_xlfn.AGGREGATE(15,6,(ROW(EqTag)-4)/((EqSys=$D$3)*(EqTag&lt;&gt;"")),ROWS($AE$14:AE119))),"")</f>
        <v/>
      </c>
    </row>
    <row r="120" spans="1:31" ht="30" customHeight="1" x14ac:dyDescent="0.2">
      <c r="A120" s="19" t="str">
        <f>IF(F120="","",LEFT($D$3,3)&amp;"-"&amp;TEXT(COUNTIF(F$14:F120,"?*"),"00"))</f>
        <v/>
      </c>
      <c r="B120" s="5"/>
      <c r="C120" s="6" t="str">
        <f t="shared" si="18"/>
        <v/>
      </c>
      <c r="D120" s="5"/>
      <c r="E120" s="5"/>
      <c r="F120" s="5"/>
      <c r="G120" s="5"/>
      <c r="H120" s="5"/>
      <c r="I120" s="5"/>
      <c r="J120" s="5"/>
      <c r="K120" s="15"/>
      <c r="L120" s="5"/>
      <c r="M120" s="15"/>
      <c r="N120" s="5"/>
      <c r="O120" s="15"/>
      <c r="P120" s="19" t="str">
        <f t="shared" si="19"/>
        <v/>
      </c>
      <c r="Q120" s="19" t="str">
        <f t="shared" si="20"/>
        <v/>
      </c>
      <c r="R120" s="19" t="str">
        <f t="shared" si="21"/>
        <v/>
      </c>
      <c r="S120" s="5"/>
      <c r="T120" s="5"/>
      <c r="U120" s="5"/>
      <c r="V120" s="24"/>
      <c r="W120" s="15"/>
      <c r="X120" s="15"/>
      <c r="Y120" s="15"/>
      <c r="Z120" s="19" t="str">
        <f t="shared" si="22"/>
        <v/>
      </c>
      <c r="AA120" s="19" t="str">
        <f t="shared" si="23"/>
        <v/>
      </c>
      <c r="AB120" s="5"/>
      <c r="AC120" s="5"/>
      <c r="AE120" t="str">
        <f>IFERROR(INDEX(EqTag,_xlfn.AGGREGATE(15,6,(ROW(EqTag)-4)/((EqSys=$D$3)*(EqTag&lt;&gt;"")),ROWS($AE$14:AE120))),"")</f>
        <v/>
      </c>
    </row>
    <row r="121" spans="1:31" ht="30" customHeight="1" x14ac:dyDescent="0.2">
      <c r="A121" s="19" t="str">
        <f>IF(F121="","",LEFT($D$3,3)&amp;"-"&amp;TEXT(COUNTIF(F$14:F121,"?*"),"00"))</f>
        <v/>
      </c>
      <c r="B121" s="5"/>
      <c r="C121" s="6" t="str">
        <f t="shared" si="18"/>
        <v/>
      </c>
      <c r="D121" s="5"/>
      <c r="E121" s="5"/>
      <c r="F121" s="5"/>
      <c r="G121" s="5"/>
      <c r="H121" s="5"/>
      <c r="I121" s="5"/>
      <c r="J121" s="5"/>
      <c r="K121" s="15"/>
      <c r="L121" s="5"/>
      <c r="M121" s="15"/>
      <c r="N121" s="5"/>
      <c r="O121" s="15"/>
      <c r="P121" s="19" t="str">
        <f t="shared" si="19"/>
        <v/>
      </c>
      <c r="Q121" s="19" t="str">
        <f t="shared" si="20"/>
        <v/>
      </c>
      <c r="R121" s="19" t="str">
        <f t="shared" si="21"/>
        <v/>
      </c>
      <c r="S121" s="5"/>
      <c r="T121" s="5"/>
      <c r="U121" s="5"/>
      <c r="V121" s="24"/>
      <c r="W121" s="15"/>
      <c r="X121" s="15"/>
      <c r="Y121" s="15"/>
      <c r="Z121" s="19" t="str">
        <f t="shared" si="22"/>
        <v/>
      </c>
      <c r="AA121" s="19" t="str">
        <f t="shared" si="23"/>
        <v/>
      </c>
      <c r="AB121" s="5"/>
      <c r="AC121" s="5"/>
      <c r="AE121" t="str">
        <f>IFERROR(INDEX(EqTag,_xlfn.AGGREGATE(15,6,(ROW(EqTag)-4)/((EqSys=$D$3)*(EqTag&lt;&gt;"")),ROWS($AE$14:AE121))),"")</f>
        <v/>
      </c>
    </row>
    <row r="122" spans="1:31" ht="30" customHeight="1" x14ac:dyDescent="0.2">
      <c r="A122" s="19" t="str">
        <f>IF(F122="","",LEFT($D$3,3)&amp;"-"&amp;TEXT(COUNTIF(F$14:F122,"?*"),"00"))</f>
        <v/>
      </c>
      <c r="B122" s="5"/>
      <c r="C122" s="6" t="str">
        <f t="shared" si="18"/>
        <v/>
      </c>
      <c r="D122" s="5"/>
      <c r="E122" s="5"/>
      <c r="F122" s="5"/>
      <c r="G122" s="5"/>
      <c r="H122" s="5"/>
      <c r="I122" s="5"/>
      <c r="J122" s="5"/>
      <c r="K122" s="15"/>
      <c r="L122" s="5"/>
      <c r="M122" s="15"/>
      <c r="N122" s="5"/>
      <c r="O122" s="15"/>
      <c r="P122" s="19" t="str">
        <f t="shared" si="19"/>
        <v/>
      </c>
      <c r="Q122" s="19" t="str">
        <f t="shared" si="20"/>
        <v/>
      </c>
      <c r="R122" s="19" t="str">
        <f t="shared" si="21"/>
        <v/>
      </c>
      <c r="S122" s="5"/>
      <c r="T122" s="5"/>
      <c r="U122" s="5"/>
      <c r="V122" s="24"/>
      <c r="W122" s="15"/>
      <c r="X122" s="15"/>
      <c r="Y122" s="15"/>
      <c r="Z122" s="19" t="str">
        <f t="shared" si="22"/>
        <v/>
      </c>
      <c r="AA122" s="19" t="str">
        <f t="shared" si="23"/>
        <v/>
      </c>
      <c r="AB122" s="5"/>
      <c r="AC122" s="5"/>
      <c r="AE122" t="str">
        <f>IFERROR(INDEX(EqTag,_xlfn.AGGREGATE(15,6,(ROW(EqTag)-4)/((EqSys=$D$3)*(EqTag&lt;&gt;"")),ROWS($AE$14:AE122))),"")</f>
        <v/>
      </c>
    </row>
    <row r="123" spans="1:31" ht="30" customHeight="1" x14ac:dyDescent="0.2">
      <c r="A123" s="19" t="str">
        <f>IF(F123="","",LEFT($D$3,3)&amp;"-"&amp;TEXT(COUNTIF(F$14:F123,"?*"),"00"))</f>
        <v/>
      </c>
      <c r="B123" s="5"/>
      <c r="C123" s="6" t="str">
        <f t="shared" si="18"/>
        <v/>
      </c>
      <c r="D123" s="5"/>
      <c r="E123" s="5"/>
      <c r="F123" s="5"/>
      <c r="G123" s="5"/>
      <c r="H123" s="5"/>
      <c r="I123" s="5"/>
      <c r="J123" s="5"/>
      <c r="K123" s="15"/>
      <c r="L123" s="5"/>
      <c r="M123" s="15"/>
      <c r="N123" s="5"/>
      <c r="O123" s="15"/>
      <c r="P123" s="19" t="str">
        <f t="shared" si="19"/>
        <v/>
      </c>
      <c r="Q123" s="19" t="str">
        <f t="shared" si="20"/>
        <v/>
      </c>
      <c r="R123" s="19" t="str">
        <f t="shared" si="21"/>
        <v/>
      </c>
      <c r="S123" s="5"/>
      <c r="T123" s="5"/>
      <c r="U123" s="5"/>
      <c r="V123" s="24"/>
      <c r="W123" s="15"/>
      <c r="X123" s="15"/>
      <c r="Y123" s="15"/>
      <c r="Z123" s="19" t="str">
        <f t="shared" si="22"/>
        <v/>
      </c>
      <c r="AA123" s="19" t="str">
        <f t="shared" si="23"/>
        <v/>
      </c>
      <c r="AB123" s="5"/>
      <c r="AC123" s="5"/>
      <c r="AE123" t="str">
        <f>IFERROR(INDEX(EqTag,_xlfn.AGGREGATE(15,6,(ROW(EqTag)-4)/((EqSys=$D$3)*(EqTag&lt;&gt;"")),ROWS($AE$14:AE123))),"")</f>
        <v/>
      </c>
    </row>
    <row r="124" spans="1:31" ht="30" customHeight="1" x14ac:dyDescent="0.2">
      <c r="A124" s="19" t="str">
        <f>IF(F124="","",LEFT($D$3,3)&amp;"-"&amp;TEXT(COUNTIF(F$14:F124,"?*"),"00"))</f>
        <v/>
      </c>
      <c r="B124" s="5"/>
      <c r="C124" s="6" t="str">
        <f t="shared" si="18"/>
        <v/>
      </c>
      <c r="D124" s="5"/>
      <c r="E124" s="5"/>
      <c r="F124" s="5"/>
      <c r="G124" s="5"/>
      <c r="H124" s="5"/>
      <c r="I124" s="5"/>
      <c r="J124" s="5"/>
      <c r="K124" s="15"/>
      <c r="L124" s="5"/>
      <c r="M124" s="15"/>
      <c r="N124" s="5"/>
      <c r="O124" s="15"/>
      <c r="P124" s="19" t="str">
        <f t="shared" si="19"/>
        <v/>
      </c>
      <c r="Q124" s="19" t="str">
        <f t="shared" si="20"/>
        <v/>
      </c>
      <c r="R124" s="19" t="str">
        <f t="shared" si="21"/>
        <v/>
      </c>
      <c r="S124" s="5"/>
      <c r="T124" s="5"/>
      <c r="U124" s="5"/>
      <c r="V124" s="24"/>
      <c r="W124" s="15"/>
      <c r="X124" s="15"/>
      <c r="Y124" s="15"/>
      <c r="Z124" s="19" t="str">
        <f t="shared" si="22"/>
        <v/>
      </c>
      <c r="AA124" s="19" t="str">
        <f t="shared" si="23"/>
        <v/>
      </c>
      <c r="AB124" s="5"/>
      <c r="AC124" s="5"/>
      <c r="AE124" t="str">
        <f>IFERROR(INDEX(EqTag,_xlfn.AGGREGATE(15,6,(ROW(EqTag)-4)/((EqSys=$D$3)*(EqTag&lt;&gt;"")),ROWS($AE$14:AE124))),"")</f>
        <v/>
      </c>
    </row>
    <row r="125" spans="1:31" ht="30" customHeight="1" x14ac:dyDescent="0.2">
      <c r="A125" s="19" t="str">
        <f>IF(F125="","",LEFT($D$3,3)&amp;"-"&amp;TEXT(COUNTIF(F$14:F125,"?*"),"00"))</f>
        <v/>
      </c>
      <c r="B125" s="5"/>
      <c r="C125" s="6" t="str">
        <f t="shared" si="18"/>
        <v/>
      </c>
      <c r="D125" s="5"/>
      <c r="E125" s="5"/>
      <c r="F125" s="5"/>
      <c r="G125" s="5"/>
      <c r="H125" s="5"/>
      <c r="I125" s="5"/>
      <c r="J125" s="5"/>
      <c r="K125" s="15"/>
      <c r="L125" s="5"/>
      <c r="M125" s="15"/>
      <c r="N125" s="5"/>
      <c r="O125" s="15"/>
      <c r="P125" s="19" t="str">
        <f t="shared" si="19"/>
        <v/>
      </c>
      <c r="Q125" s="19" t="str">
        <f t="shared" si="20"/>
        <v/>
      </c>
      <c r="R125" s="19" t="str">
        <f t="shared" si="21"/>
        <v/>
      </c>
      <c r="S125" s="5"/>
      <c r="T125" s="5"/>
      <c r="U125" s="5"/>
      <c r="V125" s="24"/>
      <c r="W125" s="15"/>
      <c r="X125" s="15"/>
      <c r="Y125" s="15"/>
      <c r="Z125" s="19" t="str">
        <f t="shared" si="22"/>
        <v/>
      </c>
      <c r="AA125" s="19" t="str">
        <f t="shared" si="23"/>
        <v/>
      </c>
      <c r="AB125" s="5"/>
      <c r="AC125" s="5"/>
      <c r="AE125" t="str">
        <f>IFERROR(INDEX(EqTag,_xlfn.AGGREGATE(15,6,(ROW(EqTag)-4)/((EqSys=$D$3)*(EqTag&lt;&gt;"")),ROWS($AE$14:AE125))),"")</f>
        <v/>
      </c>
    </row>
    <row r="126" spans="1:31" ht="30" customHeight="1" x14ac:dyDescent="0.2">
      <c r="A126" s="19" t="str">
        <f>IF(F126="","",LEFT($D$3,3)&amp;"-"&amp;TEXT(COUNTIF(F$14:F126,"?*"),"00"))</f>
        <v/>
      </c>
      <c r="B126" s="5"/>
      <c r="C126" s="6" t="str">
        <f t="shared" si="18"/>
        <v/>
      </c>
      <c r="D126" s="5"/>
      <c r="E126" s="5"/>
      <c r="F126" s="5"/>
      <c r="G126" s="5"/>
      <c r="H126" s="5"/>
      <c r="I126" s="5"/>
      <c r="J126" s="5"/>
      <c r="K126" s="15"/>
      <c r="L126" s="5"/>
      <c r="M126" s="15"/>
      <c r="N126" s="5"/>
      <c r="O126" s="15"/>
      <c r="P126" s="19" t="str">
        <f t="shared" si="19"/>
        <v/>
      </c>
      <c r="Q126" s="19" t="str">
        <f t="shared" si="20"/>
        <v/>
      </c>
      <c r="R126" s="19" t="str">
        <f t="shared" si="21"/>
        <v/>
      </c>
      <c r="S126" s="5"/>
      <c r="T126" s="5"/>
      <c r="U126" s="5"/>
      <c r="V126" s="24"/>
      <c r="W126" s="15"/>
      <c r="X126" s="15"/>
      <c r="Y126" s="15"/>
      <c r="Z126" s="19" t="str">
        <f t="shared" si="22"/>
        <v/>
      </c>
      <c r="AA126" s="19" t="str">
        <f t="shared" si="23"/>
        <v/>
      </c>
      <c r="AB126" s="5"/>
      <c r="AC126" s="5"/>
      <c r="AE126" t="str">
        <f>IFERROR(INDEX(EqTag,_xlfn.AGGREGATE(15,6,(ROW(EqTag)-4)/((EqSys=$D$3)*(EqTag&lt;&gt;"")),ROWS($AE$14:AE126))),"")</f>
        <v/>
      </c>
    </row>
    <row r="127" spans="1:31" ht="30" customHeight="1" x14ac:dyDescent="0.2">
      <c r="A127" s="19" t="str">
        <f>IF(F127="","",LEFT($D$3,3)&amp;"-"&amp;TEXT(COUNTIF(F$14:F127,"?*"),"00"))</f>
        <v/>
      </c>
      <c r="B127" s="5"/>
      <c r="C127" s="6" t="str">
        <f t="shared" si="18"/>
        <v/>
      </c>
      <c r="D127" s="5"/>
      <c r="E127" s="5"/>
      <c r="F127" s="5"/>
      <c r="G127" s="5"/>
      <c r="H127" s="5"/>
      <c r="I127" s="5"/>
      <c r="J127" s="5"/>
      <c r="K127" s="15"/>
      <c r="L127" s="5"/>
      <c r="M127" s="15"/>
      <c r="N127" s="5"/>
      <c r="O127" s="15"/>
      <c r="P127" s="19" t="str">
        <f t="shared" si="19"/>
        <v/>
      </c>
      <c r="Q127" s="19" t="str">
        <f t="shared" si="20"/>
        <v/>
      </c>
      <c r="R127" s="19" t="str">
        <f t="shared" si="21"/>
        <v/>
      </c>
      <c r="S127" s="5"/>
      <c r="T127" s="5"/>
      <c r="U127" s="5"/>
      <c r="V127" s="24"/>
      <c r="W127" s="15"/>
      <c r="X127" s="15"/>
      <c r="Y127" s="15"/>
      <c r="Z127" s="19" t="str">
        <f t="shared" si="22"/>
        <v/>
      </c>
      <c r="AA127" s="19" t="str">
        <f t="shared" si="23"/>
        <v/>
      </c>
      <c r="AB127" s="5"/>
      <c r="AC127" s="5"/>
      <c r="AE127" t="str">
        <f>IFERROR(INDEX(EqTag,_xlfn.AGGREGATE(15,6,(ROW(EqTag)-4)/((EqSys=$D$3)*(EqTag&lt;&gt;"")),ROWS($AE$14:AE127))),"")</f>
        <v/>
      </c>
    </row>
    <row r="128" spans="1:31" ht="30" customHeight="1" x14ac:dyDescent="0.2">
      <c r="A128" s="19" t="str">
        <f>IF(F128="","",LEFT($D$3,3)&amp;"-"&amp;TEXT(COUNTIF(F$14:F128,"?*"),"00"))</f>
        <v/>
      </c>
      <c r="B128" s="5"/>
      <c r="C128" s="6" t="str">
        <f t="shared" si="18"/>
        <v/>
      </c>
      <c r="D128" s="5"/>
      <c r="E128" s="5"/>
      <c r="F128" s="5"/>
      <c r="G128" s="5"/>
      <c r="H128" s="5"/>
      <c r="I128" s="5"/>
      <c r="J128" s="5"/>
      <c r="K128" s="15"/>
      <c r="L128" s="5"/>
      <c r="M128" s="15"/>
      <c r="N128" s="5"/>
      <c r="O128" s="15"/>
      <c r="P128" s="19" t="str">
        <f t="shared" si="19"/>
        <v/>
      </c>
      <c r="Q128" s="19" t="str">
        <f t="shared" si="20"/>
        <v/>
      </c>
      <c r="R128" s="19" t="str">
        <f t="shared" si="21"/>
        <v/>
      </c>
      <c r="S128" s="5"/>
      <c r="T128" s="5"/>
      <c r="U128" s="5"/>
      <c r="V128" s="24"/>
      <c r="W128" s="15"/>
      <c r="X128" s="15"/>
      <c r="Y128" s="15"/>
      <c r="Z128" s="19" t="str">
        <f t="shared" si="22"/>
        <v/>
      </c>
      <c r="AA128" s="19" t="str">
        <f t="shared" si="23"/>
        <v/>
      </c>
      <c r="AB128" s="5"/>
      <c r="AC128" s="5"/>
      <c r="AE128" t="str">
        <f>IFERROR(INDEX(EqTag,_xlfn.AGGREGATE(15,6,(ROW(EqTag)-4)/((EqSys=$D$3)*(EqTag&lt;&gt;"")),ROWS($AE$14:AE128))),"")</f>
        <v/>
      </c>
    </row>
    <row r="129" spans="1:31" ht="30" customHeight="1" x14ac:dyDescent="0.2">
      <c r="A129" s="19" t="str">
        <f>IF(F129="","",LEFT($D$3,3)&amp;"-"&amp;TEXT(COUNTIF(F$14:F129,"?*"),"00"))</f>
        <v/>
      </c>
      <c r="B129" s="5"/>
      <c r="C129" s="6" t="str">
        <f t="shared" si="18"/>
        <v/>
      </c>
      <c r="D129" s="5"/>
      <c r="E129" s="5"/>
      <c r="F129" s="5"/>
      <c r="G129" s="5"/>
      <c r="H129" s="5"/>
      <c r="I129" s="5"/>
      <c r="J129" s="5"/>
      <c r="K129" s="15"/>
      <c r="L129" s="5"/>
      <c r="M129" s="15"/>
      <c r="N129" s="5"/>
      <c r="O129" s="15"/>
      <c r="P129" s="19" t="str">
        <f t="shared" si="19"/>
        <v/>
      </c>
      <c r="Q129" s="19" t="str">
        <f t="shared" si="20"/>
        <v/>
      </c>
      <c r="R129" s="19" t="str">
        <f t="shared" si="21"/>
        <v/>
      </c>
      <c r="S129" s="5"/>
      <c r="T129" s="5"/>
      <c r="U129" s="5"/>
      <c r="V129" s="24"/>
      <c r="W129" s="15"/>
      <c r="X129" s="15"/>
      <c r="Y129" s="15"/>
      <c r="Z129" s="19" t="str">
        <f t="shared" si="22"/>
        <v/>
      </c>
      <c r="AA129" s="19" t="str">
        <f t="shared" si="23"/>
        <v/>
      </c>
      <c r="AB129" s="5"/>
      <c r="AC129" s="5"/>
      <c r="AE129" t="str">
        <f>IFERROR(INDEX(EqTag,_xlfn.AGGREGATE(15,6,(ROW(EqTag)-4)/((EqSys=$D$3)*(EqTag&lt;&gt;"")),ROWS($AE$14:AE129))),"")</f>
        <v/>
      </c>
    </row>
    <row r="130" spans="1:31" ht="30" customHeight="1" x14ac:dyDescent="0.2">
      <c r="A130" s="19" t="str">
        <f>IF(F130="","",LEFT($D$3,3)&amp;"-"&amp;TEXT(COUNTIF(F$14:F130,"?*"),"00"))</f>
        <v/>
      </c>
      <c r="B130" s="5"/>
      <c r="C130" s="6" t="str">
        <f t="shared" si="18"/>
        <v/>
      </c>
      <c r="D130" s="5"/>
      <c r="E130" s="5"/>
      <c r="F130" s="5"/>
      <c r="G130" s="5"/>
      <c r="H130" s="5"/>
      <c r="I130" s="5"/>
      <c r="J130" s="5"/>
      <c r="K130" s="15"/>
      <c r="L130" s="5"/>
      <c r="M130" s="15"/>
      <c r="N130" s="5"/>
      <c r="O130" s="15"/>
      <c r="P130" s="19" t="str">
        <f t="shared" si="19"/>
        <v/>
      </c>
      <c r="Q130" s="19" t="str">
        <f t="shared" si="20"/>
        <v/>
      </c>
      <c r="R130" s="19" t="str">
        <f t="shared" si="21"/>
        <v/>
      </c>
      <c r="S130" s="5"/>
      <c r="T130" s="5"/>
      <c r="U130" s="5"/>
      <c r="V130" s="24"/>
      <c r="W130" s="15"/>
      <c r="X130" s="15"/>
      <c r="Y130" s="15"/>
      <c r="Z130" s="19" t="str">
        <f t="shared" si="22"/>
        <v/>
      </c>
      <c r="AA130" s="19" t="str">
        <f t="shared" si="23"/>
        <v/>
      </c>
      <c r="AB130" s="5"/>
      <c r="AC130" s="5"/>
      <c r="AE130" t="str">
        <f>IFERROR(INDEX(EqTag,_xlfn.AGGREGATE(15,6,(ROW(EqTag)-4)/((EqSys=$D$3)*(EqTag&lt;&gt;"")),ROWS($AE$14:AE130))),"")</f>
        <v/>
      </c>
    </row>
    <row r="131" spans="1:31" ht="30" customHeight="1" x14ac:dyDescent="0.2">
      <c r="A131" s="19" t="str">
        <f>IF(F131="","",LEFT($D$3,3)&amp;"-"&amp;TEXT(COUNTIF(F$14:F131,"?*"),"00"))</f>
        <v/>
      </c>
      <c r="B131" s="5"/>
      <c r="C131" s="6" t="str">
        <f t="shared" si="18"/>
        <v/>
      </c>
      <c r="D131" s="5"/>
      <c r="E131" s="5"/>
      <c r="F131" s="5"/>
      <c r="G131" s="5"/>
      <c r="H131" s="5"/>
      <c r="I131" s="5"/>
      <c r="J131" s="5"/>
      <c r="K131" s="15"/>
      <c r="L131" s="5"/>
      <c r="M131" s="15"/>
      <c r="N131" s="5"/>
      <c r="O131" s="15"/>
      <c r="P131" s="19" t="str">
        <f t="shared" si="19"/>
        <v/>
      </c>
      <c r="Q131" s="19" t="str">
        <f t="shared" si="20"/>
        <v/>
      </c>
      <c r="R131" s="19" t="str">
        <f t="shared" si="21"/>
        <v/>
      </c>
      <c r="S131" s="5"/>
      <c r="T131" s="5"/>
      <c r="U131" s="5"/>
      <c r="V131" s="24"/>
      <c r="W131" s="15"/>
      <c r="X131" s="15"/>
      <c r="Y131" s="15"/>
      <c r="Z131" s="19" t="str">
        <f t="shared" si="22"/>
        <v/>
      </c>
      <c r="AA131" s="19" t="str">
        <f t="shared" si="23"/>
        <v/>
      </c>
      <c r="AB131" s="5"/>
      <c r="AC131" s="5"/>
      <c r="AE131" t="str">
        <f>IFERROR(INDEX(EqTag,_xlfn.AGGREGATE(15,6,(ROW(EqTag)-4)/((EqSys=$D$3)*(EqTag&lt;&gt;"")),ROWS($AE$14:AE131))),"")</f>
        <v/>
      </c>
    </row>
    <row r="132" spans="1:31" ht="30" customHeight="1" x14ac:dyDescent="0.2">
      <c r="A132" s="19" t="str">
        <f>IF(F132="","",LEFT($D$3,3)&amp;"-"&amp;TEXT(COUNTIF(F$14:F132,"?*"),"00"))</f>
        <v/>
      </c>
      <c r="B132" s="5"/>
      <c r="C132" s="6" t="str">
        <f t="shared" si="18"/>
        <v/>
      </c>
      <c r="D132" s="5"/>
      <c r="E132" s="5"/>
      <c r="F132" s="5"/>
      <c r="G132" s="5"/>
      <c r="H132" s="5"/>
      <c r="I132" s="5"/>
      <c r="J132" s="5"/>
      <c r="K132" s="15"/>
      <c r="L132" s="5"/>
      <c r="M132" s="15"/>
      <c r="N132" s="5"/>
      <c r="O132" s="15"/>
      <c r="P132" s="19" t="str">
        <f t="shared" si="19"/>
        <v/>
      </c>
      <c r="Q132" s="19" t="str">
        <f t="shared" si="20"/>
        <v/>
      </c>
      <c r="R132" s="19" t="str">
        <f t="shared" si="21"/>
        <v/>
      </c>
      <c r="S132" s="5"/>
      <c r="T132" s="5"/>
      <c r="U132" s="5"/>
      <c r="V132" s="24"/>
      <c r="W132" s="15"/>
      <c r="X132" s="15"/>
      <c r="Y132" s="15"/>
      <c r="Z132" s="19" t="str">
        <f t="shared" si="22"/>
        <v/>
      </c>
      <c r="AA132" s="19" t="str">
        <f t="shared" si="23"/>
        <v/>
      </c>
      <c r="AB132" s="5"/>
      <c r="AC132" s="5"/>
      <c r="AE132" t="str">
        <f>IFERROR(INDEX(EqTag,_xlfn.AGGREGATE(15,6,(ROW(EqTag)-4)/((EqSys=$D$3)*(EqTag&lt;&gt;"")),ROWS($AE$14:AE132))),"")</f>
        <v/>
      </c>
    </row>
    <row r="133" spans="1:31" ht="30" customHeight="1" x14ac:dyDescent="0.2">
      <c r="A133" s="19" t="str">
        <f>IF(F133="","",LEFT($D$3,3)&amp;"-"&amp;TEXT(COUNTIF(F$14:F133,"?*"),"00"))</f>
        <v/>
      </c>
      <c r="B133" s="5"/>
      <c r="C133" s="6" t="str">
        <f t="shared" si="18"/>
        <v/>
      </c>
      <c r="D133" s="5"/>
      <c r="E133" s="5"/>
      <c r="F133" s="5"/>
      <c r="G133" s="5"/>
      <c r="H133" s="5"/>
      <c r="I133" s="5"/>
      <c r="J133" s="5"/>
      <c r="K133" s="15"/>
      <c r="L133" s="5"/>
      <c r="M133" s="15"/>
      <c r="N133" s="5"/>
      <c r="O133" s="15"/>
      <c r="P133" s="19" t="str">
        <f t="shared" si="19"/>
        <v/>
      </c>
      <c r="Q133" s="19" t="str">
        <f t="shared" si="20"/>
        <v/>
      </c>
      <c r="R133" s="19" t="str">
        <f t="shared" si="21"/>
        <v/>
      </c>
      <c r="S133" s="5"/>
      <c r="T133" s="5"/>
      <c r="U133" s="5"/>
      <c r="V133" s="24"/>
      <c r="W133" s="15"/>
      <c r="X133" s="15"/>
      <c r="Y133" s="15"/>
      <c r="Z133" s="19" t="str">
        <f t="shared" si="22"/>
        <v/>
      </c>
      <c r="AA133" s="19" t="str">
        <f t="shared" si="23"/>
        <v/>
      </c>
      <c r="AB133" s="5"/>
      <c r="AC133" s="5"/>
      <c r="AE133" t="str">
        <f>IFERROR(INDEX(EqTag,_xlfn.AGGREGATE(15,6,(ROW(EqTag)-4)/((EqSys=$D$3)*(EqTag&lt;&gt;"")),ROWS($AE$14:AE133))),"")</f>
        <v/>
      </c>
    </row>
    <row r="134" spans="1:31" ht="30" customHeight="1" x14ac:dyDescent="0.2">
      <c r="A134" s="19" t="str">
        <f>IF(F134="","",LEFT($D$3,3)&amp;"-"&amp;TEXT(COUNTIF(F$14:F134,"?*"),"00"))</f>
        <v/>
      </c>
      <c r="B134" s="5"/>
      <c r="C134" s="6" t="str">
        <f t="shared" si="18"/>
        <v/>
      </c>
      <c r="D134" s="5"/>
      <c r="E134" s="5"/>
      <c r="F134" s="5"/>
      <c r="G134" s="5"/>
      <c r="H134" s="5"/>
      <c r="I134" s="5"/>
      <c r="J134" s="5"/>
      <c r="K134" s="15"/>
      <c r="L134" s="5"/>
      <c r="M134" s="15"/>
      <c r="N134" s="5"/>
      <c r="O134" s="15"/>
      <c r="P134" s="19" t="str">
        <f t="shared" si="19"/>
        <v/>
      </c>
      <c r="Q134" s="19" t="str">
        <f t="shared" si="20"/>
        <v/>
      </c>
      <c r="R134" s="19" t="str">
        <f t="shared" si="21"/>
        <v/>
      </c>
      <c r="S134" s="5"/>
      <c r="T134" s="5"/>
      <c r="U134" s="5"/>
      <c r="V134" s="24"/>
      <c r="W134" s="15"/>
      <c r="X134" s="15"/>
      <c r="Y134" s="15"/>
      <c r="Z134" s="19" t="str">
        <f t="shared" si="22"/>
        <v/>
      </c>
      <c r="AA134" s="19" t="str">
        <f t="shared" si="23"/>
        <v/>
      </c>
      <c r="AB134" s="5"/>
      <c r="AC134" s="5"/>
      <c r="AE134" t="str">
        <f>IFERROR(INDEX(EqTag,_xlfn.AGGREGATE(15,6,(ROW(EqTag)-4)/((EqSys=$D$3)*(EqTag&lt;&gt;"")),ROWS($AE$14:AE134))),"")</f>
        <v/>
      </c>
    </row>
    <row r="135" spans="1:31" ht="30" customHeight="1" x14ac:dyDescent="0.2">
      <c r="A135" s="19" t="str">
        <f>IF(F135="","",LEFT($D$3,3)&amp;"-"&amp;TEXT(COUNTIF(F$14:F135,"?*"),"00"))</f>
        <v/>
      </c>
      <c r="B135" s="5"/>
      <c r="C135" s="6" t="str">
        <f t="shared" si="18"/>
        <v/>
      </c>
      <c r="D135" s="5"/>
      <c r="E135" s="5"/>
      <c r="F135" s="5"/>
      <c r="G135" s="5"/>
      <c r="H135" s="5"/>
      <c r="I135" s="5"/>
      <c r="J135" s="5"/>
      <c r="K135" s="15"/>
      <c r="L135" s="5"/>
      <c r="M135" s="15"/>
      <c r="N135" s="5"/>
      <c r="O135" s="15"/>
      <c r="P135" s="19" t="str">
        <f t="shared" si="19"/>
        <v/>
      </c>
      <c r="Q135" s="19" t="str">
        <f t="shared" si="20"/>
        <v/>
      </c>
      <c r="R135" s="19" t="str">
        <f t="shared" si="21"/>
        <v/>
      </c>
      <c r="S135" s="5"/>
      <c r="T135" s="5"/>
      <c r="U135" s="5"/>
      <c r="V135" s="24"/>
      <c r="W135" s="15"/>
      <c r="X135" s="15"/>
      <c r="Y135" s="15"/>
      <c r="Z135" s="19" t="str">
        <f t="shared" si="22"/>
        <v/>
      </c>
      <c r="AA135" s="19" t="str">
        <f t="shared" si="23"/>
        <v/>
      </c>
      <c r="AB135" s="5"/>
      <c r="AC135" s="5"/>
      <c r="AE135" t="str">
        <f>IFERROR(INDEX(EqTag,_xlfn.AGGREGATE(15,6,(ROW(EqTag)-4)/((EqSys=$D$3)*(EqTag&lt;&gt;"")),ROWS($AE$14:AE135))),"")</f>
        <v/>
      </c>
    </row>
    <row r="136" spans="1:31" ht="30" customHeight="1" x14ac:dyDescent="0.2">
      <c r="A136" s="19" t="str">
        <f>IF(F136="","",LEFT($D$3,3)&amp;"-"&amp;TEXT(COUNTIF(F$14:F136,"?*"),"00"))</f>
        <v/>
      </c>
      <c r="B136" s="5"/>
      <c r="C136" s="6" t="str">
        <f t="shared" si="18"/>
        <v/>
      </c>
      <c r="D136" s="5"/>
      <c r="E136" s="5"/>
      <c r="F136" s="5"/>
      <c r="G136" s="5"/>
      <c r="H136" s="5"/>
      <c r="I136" s="5"/>
      <c r="J136" s="5"/>
      <c r="K136" s="15"/>
      <c r="L136" s="5"/>
      <c r="M136" s="15"/>
      <c r="N136" s="5"/>
      <c r="O136" s="15"/>
      <c r="P136" s="19" t="str">
        <f t="shared" si="19"/>
        <v/>
      </c>
      <c r="Q136" s="19" t="str">
        <f t="shared" si="20"/>
        <v/>
      </c>
      <c r="R136" s="19" t="str">
        <f t="shared" si="21"/>
        <v/>
      </c>
      <c r="S136" s="5"/>
      <c r="T136" s="5"/>
      <c r="U136" s="5"/>
      <c r="V136" s="24"/>
      <c r="W136" s="15"/>
      <c r="X136" s="15"/>
      <c r="Y136" s="15"/>
      <c r="Z136" s="19" t="str">
        <f t="shared" si="22"/>
        <v/>
      </c>
      <c r="AA136" s="19" t="str">
        <f t="shared" si="23"/>
        <v/>
      </c>
      <c r="AB136" s="5"/>
      <c r="AC136" s="5"/>
      <c r="AE136" t="str">
        <f>IFERROR(INDEX(EqTag,_xlfn.AGGREGATE(15,6,(ROW(EqTag)-4)/((EqSys=$D$3)*(EqTag&lt;&gt;"")),ROWS($AE$14:AE136))),"")</f>
        <v/>
      </c>
    </row>
    <row r="137" spans="1:31" ht="30" customHeight="1" x14ac:dyDescent="0.2">
      <c r="A137" s="19" t="str">
        <f>IF(F137="","",LEFT($D$3,3)&amp;"-"&amp;TEXT(COUNTIF(F$14:F137,"?*"),"00"))</f>
        <v/>
      </c>
      <c r="B137" s="5"/>
      <c r="C137" s="6" t="str">
        <f t="shared" si="18"/>
        <v/>
      </c>
      <c r="D137" s="5"/>
      <c r="E137" s="5"/>
      <c r="F137" s="5"/>
      <c r="G137" s="5"/>
      <c r="H137" s="5"/>
      <c r="I137" s="5"/>
      <c r="J137" s="5"/>
      <c r="K137" s="15"/>
      <c r="L137" s="5"/>
      <c r="M137" s="15"/>
      <c r="N137" s="5"/>
      <c r="O137" s="15"/>
      <c r="P137" s="19" t="str">
        <f t="shared" si="19"/>
        <v/>
      </c>
      <c r="Q137" s="19" t="str">
        <f t="shared" si="20"/>
        <v/>
      </c>
      <c r="R137" s="19" t="str">
        <f t="shared" si="21"/>
        <v/>
      </c>
      <c r="S137" s="5"/>
      <c r="T137" s="5"/>
      <c r="U137" s="5"/>
      <c r="V137" s="24"/>
      <c r="W137" s="15"/>
      <c r="X137" s="15"/>
      <c r="Y137" s="15"/>
      <c r="Z137" s="19" t="str">
        <f t="shared" si="22"/>
        <v/>
      </c>
      <c r="AA137" s="19" t="str">
        <f t="shared" si="23"/>
        <v/>
      </c>
      <c r="AB137" s="5"/>
      <c r="AC137" s="5"/>
      <c r="AE137" t="str">
        <f>IFERROR(INDEX(EqTag,_xlfn.AGGREGATE(15,6,(ROW(EqTag)-4)/((EqSys=$D$3)*(EqTag&lt;&gt;"")),ROWS($AE$14:AE137))),"")</f>
        <v/>
      </c>
    </row>
    <row r="138" spans="1:31" ht="30" customHeight="1" x14ac:dyDescent="0.2">
      <c r="A138" s="19" t="str">
        <f>IF(F138="","",LEFT($D$3,3)&amp;"-"&amp;TEXT(COUNTIF(F$14:F138,"?*"),"00"))</f>
        <v/>
      </c>
      <c r="B138" s="5"/>
      <c r="C138" s="6" t="str">
        <f t="shared" si="18"/>
        <v/>
      </c>
      <c r="D138" s="5"/>
      <c r="E138" s="5"/>
      <c r="F138" s="5"/>
      <c r="G138" s="5"/>
      <c r="H138" s="5"/>
      <c r="I138" s="5"/>
      <c r="J138" s="5"/>
      <c r="K138" s="15"/>
      <c r="L138" s="5"/>
      <c r="M138" s="15"/>
      <c r="N138" s="5"/>
      <c r="O138" s="15"/>
      <c r="P138" s="19" t="str">
        <f t="shared" si="19"/>
        <v/>
      </c>
      <c r="Q138" s="19" t="str">
        <f t="shared" si="20"/>
        <v/>
      </c>
      <c r="R138" s="19" t="str">
        <f t="shared" si="21"/>
        <v/>
      </c>
      <c r="S138" s="5"/>
      <c r="T138" s="5"/>
      <c r="U138" s="5"/>
      <c r="V138" s="24"/>
      <c r="W138" s="15"/>
      <c r="X138" s="15"/>
      <c r="Y138" s="15"/>
      <c r="Z138" s="19" t="str">
        <f t="shared" si="22"/>
        <v/>
      </c>
      <c r="AA138" s="19" t="str">
        <f t="shared" si="23"/>
        <v/>
      </c>
      <c r="AB138" s="5"/>
      <c r="AC138" s="5"/>
      <c r="AE138" t="str">
        <f>IFERROR(INDEX(EqTag,_xlfn.AGGREGATE(15,6,(ROW(EqTag)-4)/((EqSys=$D$3)*(EqTag&lt;&gt;"")),ROWS($AE$14:AE138))),"")</f>
        <v/>
      </c>
    </row>
    <row r="139" spans="1:31" ht="30" customHeight="1" x14ac:dyDescent="0.2">
      <c r="A139" s="19" t="str">
        <f>IF(F139="","",LEFT($D$3,3)&amp;"-"&amp;TEXT(COUNTIF(F$14:F139,"?*"),"00"))</f>
        <v/>
      </c>
      <c r="B139" s="5"/>
      <c r="C139" s="6" t="str">
        <f t="shared" si="18"/>
        <v/>
      </c>
      <c r="D139" s="5"/>
      <c r="E139" s="5"/>
      <c r="F139" s="5"/>
      <c r="G139" s="5"/>
      <c r="H139" s="5"/>
      <c r="I139" s="5"/>
      <c r="J139" s="5"/>
      <c r="K139" s="15"/>
      <c r="L139" s="5"/>
      <c r="M139" s="15"/>
      <c r="N139" s="5"/>
      <c r="O139" s="15"/>
      <c r="P139" s="19" t="str">
        <f t="shared" si="19"/>
        <v/>
      </c>
      <c r="Q139" s="19" t="str">
        <f t="shared" si="20"/>
        <v/>
      </c>
      <c r="R139" s="19" t="str">
        <f t="shared" si="21"/>
        <v/>
      </c>
      <c r="S139" s="5"/>
      <c r="T139" s="5"/>
      <c r="U139" s="5"/>
      <c r="V139" s="24"/>
      <c r="W139" s="15"/>
      <c r="X139" s="15"/>
      <c r="Y139" s="15"/>
      <c r="Z139" s="19" t="str">
        <f t="shared" si="22"/>
        <v/>
      </c>
      <c r="AA139" s="19" t="str">
        <f t="shared" si="23"/>
        <v/>
      </c>
      <c r="AB139" s="5"/>
      <c r="AC139" s="5"/>
      <c r="AE139" t="str">
        <f>IFERROR(INDEX(EqTag,_xlfn.AGGREGATE(15,6,(ROW(EqTag)-4)/((EqSys=$D$3)*(EqTag&lt;&gt;"")),ROWS($AE$14:AE139))),"")</f>
        <v/>
      </c>
    </row>
    <row r="140" spans="1:31" ht="30" customHeight="1" x14ac:dyDescent="0.2">
      <c r="A140" s="19" t="str">
        <f>IF(F140="","",LEFT($D$3,3)&amp;"-"&amp;TEXT(COUNTIF(F$14:F140,"?*"),"00"))</f>
        <v/>
      </c>
      <c r="B140" s="5"/>
      <c r="C140" s="6" t="str">
        <f t="shared" si="18"/>
        <v/>
      </c>
      <c r="D140" s="5"/>
      <c r="E140" s="5"/>
      <c r="F140" s="5"/>
      <c r="G140" s="5"/>
      <c r="H140" s="5"/>
      <c r="I140" s="5"/>
      <c r="J140" s="5"/>
      <c r="K140" s="15"/>
      <c r="L140" s="5"/>
      <c r="M140" s="15"/>
      <c r="N140" s="5"/>
      <c r="O140" s="15"/>
      <c r="P140" s="19" t="str">
        <f t="shared" si="19"/>
        <v/>
      </c>
      <c r="Q140" s="19" t="str">
        <f t="shared" si="20"/>
        <v/>
      </c>
      <c r="R140" s="19" t="str">
        <f t="shared" si="21"/>
        <v/>
      </c>
      <c r="S140" s="5"/>
      <c r="T140" s="5"/>
      <c r="U140" s="5"/>
      <c r="V140" s="24"/>
      <c r="W140" s="15"/>
      <c r="X140" s="15"/>
      <c r="Y140" s="15"/>
      <c r="Z140" s="19" t="str">
        <f t="shared" si="22"/>
        <v/>
      </c>
      <c r="AA140" s="19" t="str">
        <f t="shared" si="23"/>
        <v/>
      </c>
      <c r="AB140" s="5"/>
      <c r="AC140" s="5"/>
      <c r="AE140" t="str">
        <f>IFERROR(INDEX(EqTag,_xlfn.AGGREGATE(15,6,(ROW(EqTag)-4)/((EqSys=$D$3)*(EqTag&lt;&gt;"")),ROWS($AE$14:AE140))),"")</f>
        <v/>
      </c>
    </row>
    <row r="141" spans="1:31" ht="30" customHeight="1" x14ac:dyDescent="0.2">
      <c r="A141" s="19" t="str">
        <f>IF(F141="","",LEFT($D$3,3)&amp;"-"&amp;TEXT(COUNTIF(F$14:F141,"?*"),"00"))</f>
        <v/>
      </c>
      <c r="B141" s="5"/>
      <c r="C141" s="6" t="str">
        <f t="shared" si="18"/>
        <v/>
      </c>
      <c r="D141" s="5"/>
      <c r="E141" s="5"/>
      <c r="F141" s="5"/>
      <c r="G141" s="5"/>
      <c r="H141" s="5"/>
      <c r="I141" s="5"/>
      <c r="J141" s="5"/>
      <c r="K141" s="15"/>
      <c r="L141" s="5"/>
      <c r="M141" s="15"/>
      <c r="N141" s="5"/>
      <c r="O141" s="15"/>
      <c r="P141" s="19" t="str">
        <f t="shared" si="19"/>
        <v/>
      </c>
      <c r="Q141" s="19" t="str">
        <f t="shared" si="20"/>
        <v/>
      </c>
      <c r="R141" s="19" t="str">
        <f t="shared" si="21"/>
        <v/>
      </c>
      <c r="S141" s="5"/>
      <c r="T141" s="5"/>
      <c r="U141" s="5"/>
      <c r="V141" s="24"/>
      <c r="W141" s="15"/>
      <c r="X141" s="15"/>
      <c r="Y141" s="15"/>
      <c r="Z141" s="19" t="str">
        <f t="shared" si="22"/>
        <v/>
      </c>
      <c r="AA141" s="19" t="str">
        <f t="shared" si="23"/>
        <v/>
      </c>
      <c r="AB141" s="5"/>
      <c r="AC141" s="5"/>
      <c r="AE141" t="str">
        <f>IFERROR(INDEX(EqTag,_xlfn.AGGREGATE(15,6,(ROW(EqTag)-4)/((EqSys=$D$3)*(EqTag&lt;&gt;"")),ROWS($AE$14:AE141))),"")</f>
        <v/>
      </c>
    </row>
    <row r="142" spans="1:31" ht="30" customHeight="1" x14ac:dyDescent="0.2">
      <c r="A142" s="19" t="str">
        <f>IF(F142="","",LEFT($D$3,3)&amp;"-"&amp;TEXT(COUNTIF(F$14:F142,"?*"),"00"))</f>
        <v/>
      </c>
      <c r="B142" s="5"/>
      <c r="C142" s="6" t="str">
        <f t="shared" ref="C142:C163" si="24">IF(B142="","",IFERROR(INDEX(EqTypeCol,MATCH(B142,EqTag,0)),"Tag not in register"))</f>
        <v/>
      </c>
      <c r="D142" s="5"/>
      <c r="E142" s="5"/>
      <c r="F142" s="5"/>
      <c r="G142" s="5"/>
      <c r="H142" s="5"/>
      <c r="I142" s="5"/>
      <c r="J142" s="5"/>
      <c r="K142" s="15"/>
      <c r="L142" s="5"/>
      <c r="M142" s="15"/>
      <c r="N142" s="5"/>
      <c r="O142" s="15"/>
      <c r="P142" s="19" t="str">
        <f t="shared" ref="P142:P163" si="25">IF(OR(K142="",M142="",O142=""),"",(--TRIM(LEFT(K142,2)))*(--TRIM(LEFT(M142,2)))*(--TRIM(LEFT(O142,2))))</f>
        <v/>
      </c>
      <c r="Q142" s="19" t="str">
        <f t="shared" ref="Q142:Q163" si="26">IF(OR(K142="",M142="",O142=""),"",INDEX(APGrid,COUNTIF(APS,"&gt;"&amp;(--TRIM(LEFT(K142,2))))*5+COUNTIF(APO,"&gt;"&amp;(--TRIM(LEFT(M142,2))))+1,COUNTIF(APD,"&gt;"&amp;(--TRIM(LEFT(O142,2))))+1))</f>
        <v/>
      </c>
      <c r="R142" s="19" t="str">
        <f t="shared" ref="R142:R163" si="27">IF(P142="","",IF(OR((--TRIM(LEFT(K142,2)))&gt;=SThr,P142&gt;=RPNThr,Q142="H"),"Yes","No"))</f>
        <v/>
      </c>
      <c r="S142" s="5"/>
      <c r="T142" s="5"/>
      <c r="U142" s="5"/>
      <c r="V142" s="24"/>
      <c r="W142" s="15"/>
      <c r="X142" s="15"/>
      <c r="Y142" s="15"/>
      <c r="Z142" s="19" t="str">
        <f t="shared" ref="Z142:Z163" si="28">IF(OR(W142="",X142="",Y142=""),"",(--TRIM(LEFT(W142,2)))*(--TRIM(LEFT(X142,2)))*(--TRIM(LEFT(Y142,2))))</f>
        <v/>
      </c>
      <c r="AA142" s="19" t="str">
        <f t="shared" ref="AA142:AA163" si="29">IF(OR(W142="",X142="",Y142=""),"",INDEX(APGrid,COUNTIF(APS,"&gt;"&amp;(--TRIM(LEFT(W142,2))))*5+COUNTIF(APO,"&gt;"&amp;(--TRIM(LEFT(X142,2))))+1,COUNTIF(APD,"&gt;"&amp;(--TRIM(LEFT(Y142,2))))+1))</f>
        <v/>
      </c>
      <c r="AB142" s="5"/>
      <c r="AC142" s="5"/>
      <c r="AE142" t="str">
        <f>IFERROR(INDEX(EqTag,_xlfn.AGGREGATE(15,6,(ROW(EqTag)-4)/((EqSys=$D$3)*(EqTag&lt;&gt;"")),ROWS($AE$14:AE142))),"")</f>
        <v/>
      </c>
    </row>
    <row r="143" spans="1:31" ht="30" customHeight="1" x14ac:dyDescent="0.2">
      <c r="A143" s="19" t="str">
        <f>IF(F143="","",LEFT($D$3,3)&amp;"-"&amp;TEXT(COUNTIF(F$14:F143,"?*"),"00"))</f>
        <v/>
      </c>
      <c r="B143" s="5"/>
      <c r="C143" s="6" t="str">
        <f t="shared" si="24"/>
        <v/>
      </c>
      <c r="D143" s="5"/>
      <c r="E143" s="5"/>
      <c r="F143" s="5"/>
      <c r="G143" s="5"/>
      <c r="H143" s="5"/>
      <c r="I143" s="5"/>
      <c r="J143" s="5"/>
      <c r="K143" s="15"/>
      <c r="L143" s="5"/>
      <c r="M143" s="15"/>
      <c r="N143" s="5"/>
      <c r="O143" s="15"/>
      <c r="P143" s="19" t="str">
        <f t="shared" si="25"/>
        <v/>
      </c>
      <c r="Q143" s="19" t="str">
        <f t="shared" si="26"/>
        <v/>
      </c>
      <c r="R143" s="19" t="str">
        <f t="shared" si="27"/>
        <v/>
      </c>
      <c r="S143" s="5"/>
      <c r="T143" s="5"/>
      <c r="U143" s="5"/>
      <c r="V143" s="24"/>
      <c r="W143" s="15"/>
      <c r="X143" s="15"/>
      <c r="Y143" s="15"/>
      <c r="Z143" s="19" t="str">
        <f t="shared" si="28"/>
        <v/>
      </c>
      <c r="AA143" s="19" t="str">
        <f t="shared" si="29"/>
        <v/>
      </c>
      <c r="AB143" s="5"/>
      <c r="AC143" s="5"/>
      <c r="AE143" t="str">
        <f>IFERROR(INDEX(EqTag,_xlfn.AGGREGATE(15,6,(ROW(EqTag)-4)/((EqSys=$D$3)*(EqTag&lt;&gt;"")),ROWS($AE$14:AE143))),"")</f>
        <v/>
      </c>
    </row>
    <row r="144" spans="1:31" ht="30" customHeight="1" x14ac:dyDescent="0.2">
      <c r="A144" s="19" t="str">
        <f>IF(F144="","",LEFT($D$3,3)&amp;"-"&amp;TEXT(COUNTIF(F$14:F144,"?*"),"00"))</f>
        <v/>
      </c>
      <c r="B144" s="5"/>
      <c r="C144" s="6" t="str">
        <f t="shared" si="24"/>
        <v/>
      </c>
      <c r="D144" s="5"/>
      <c r="E144" s="5"/>
      <c r="F144" s="5"/>
      <c r="G144" s="5"/>
      <c r="H144" s="5"/>
      <c r="I144" s="5"/>
      <c r="J144" s="5"/>
      <c r="K144" s="15"/>
      <c r="L144" s="5"/>
      <c r="M144" s="15"/>
      <c r="N144" s="5"/>
      <c r="O144" s="15"/>
      <c r="P144" s="19" t="str">
        <f t="shared" si="25"/>
        <v/>
      </c>
      <c r="Q144" s="19" t="str">
        <f t="shared" si="26"/>
        <v/>
      </c>
      <c r="R144" s="19" t="str">
        <f t="shared" si="27"/>
        <v/>
      </c>
      <c r="S144" s="5"/>
      <c r="T144" s="5"/>
      <c r="U144" s="5"/>
      <c r="V144" s="24"/>
      <c r="W144" s="15"/>
      <c r="X144" s="15"/>
      <c r="Y144" s="15"/>
      <c r="Z144" s="19" t="str">
        <f t="shared" si="28"/>
        <v/>
      </c>
      <c r="AA144" s="19" t="str">
        <f t="shared" si="29"/>
        <v/>
      </c>
      <c r="AB144" s="5"/>
      <c r="AC144" s="5"/>
      <c r="AE144" t="str">
        <f>IFERROR(INDEX(EqTag,_xlfn.AGGREGATE(15,6,(ROW(EqTag)-4)/((EqSys=$D$3)*(EqTag&lt;&gt;"")),ROWS($AE$14:AE144))),"")</f>
        <v/>
      </c>
    </row>
    <row r="145" spans="1:31" ht="30" customHeight="1" x14ac:dyDescent="0.2">
      <c r="A145" s="19" t="str">
        <f>IF(F145="","",LEFT($D$3,3)&amp;"-"&amp;TEXT(COUNTIF(F$14:F145,"?*"),"00"))</f>
        <v/>
      </c>
      <c r="B145" s="5"/>
      <c r="C145" s="6" t="str">
        <f t="shared" si="24"/>
        <v/>
      </c>
      <c r="D145" s="5"/>
      <c r="E145" s="5"/>
      <c r="F145" s="5"/>
      <c r="G145" s="5"/>
      <c r="H145" s="5"/>
      <c r="I145" s="5"/>
      <c r="J145" s="5"/>
      <c r="K145" s="15"/>
      <c r="L145" s="5"/>
      <c r="M145" s="15"/>
      <c r="N145" s="5"/>
      <c r="O145" s="15"/>
      <c r="P145" s="19" t="str">
        <f t="shared" si="25"/>
        <v/>
      </c>
      <c r="Q145" s="19" t="str">
        <f t="shared" si="26"/>
        <v/>
      </c>
      <c r="R145" s="19" t="str">
        <f t="shared" si="27"/>
        <v/>
      </c>
      <c r="S145" s="5"/>
      <c r="T145" s="5"/>
      <c r="U145" s="5"/>
      <c r="V145" s="24"/>
      <c r="W145" s="15"/>
      <c r="X145" s="15"/>
      <c r="Y145" s="15"/>
      <c r="Z145" s="19" t="str">
        <f t="shared" si="28"/>
        <v/>
      </c>
      <c r="AA145" s="19" t="str">
        <f t="shared" si="29"/>
        <v/>
      </c>
      <c r="AB145" s="5"/>
      <c r="AC145" s="5"/>
      <c r="AE145" t="str">
        <f>IFERROR(INDEX(EqTag,_xlfn.AGGREGATE(15,6,(ROW(EqTag)-4)/((EqSys=$D$3)*(EqTag&lt;&gt;"")),ROWS($AE$14:AE145))),"")</f>
        <v/>
      </c>
    </row>
    <row r="146" spans="1:31" ht="30" customHeight="1" x14ac:dyDescent="0.2">
      <c r="A146" s="19" t="str">
        <f>IF(F146="","",LEFT($D$3,3)&amp;"-"&amp;TEXT(COUNTIF(F$14:F146,"?*"),"00"))</f>
        <v/>
      </c>
      <c r="B146" s="5"/>
      <c r="C146" s="6" t="str">
        <f t="shared" si="24"/>
        <v/>
      </c>
      <c r="D146" s="5"/>
      <c r="E146" s="5"/>
      <c r="F146" s="5"/>
      <c r="G146" s="5"/>
      <c r="H146" s="5"/>
      <c r="I146" s="5"/>
      <c r="J146" s="5"/>
      <c r="K146" s="15"/>
      <c r="L146" s="5"/>
      <c r="M146" s="15"/>
      <c r="N146" s="5"/>
      <c r="O146" s="15"/>
      <c r="P146" s="19" t="str">
        <f t="shared" si="25"/>
        <v/>
      </c>
      <c r="Q146" s="19" t="str">
        <f t="shared" si="26"/>
        <v/>
      </c>
      <c r="R146" s="19" t="str">
        <f t="shared" si="27"/>
        <v/>
      </c>
      <c r="S146" s="5"/>
      <c r="T146" s="5"/>
      <c r="U146" s="5"/>
      <c r="V146" s="24"/>
      <c r="W146" s="15"/>
      <c r="X146" s="15"/>
      <c r="Y146" s="15"/>
      <c r="Z146" s="19" t="str">
        <f t="shared" si="28"/>
        <v/>
      </c>
      <c r="AA146" s="19" t="str">
        <f t="shared" si="29"/>
        <v/>
      </c>
      <c r="AB146" s="5"/>
      <c r="AC146" s="5"/>
      <c r="AE146" t="str">
        <f>IFERROR(INDEX(EqTag,_xlfn.AGGREGATE(15,6,(ROW(EqTag)-4)/((EqSys=$D$3)*(EqTag&lt;&gt;"")),ROWS($AE$14:AE146))),"")</f>
        <v/>
      </c>
    </row>
    <row r="147" spans="1:31" ht="30" customHeight="1" x14ac:dyDescent="0.2">
      <c r="A147" s="19" t="str">
        <f>IF(F147="","",LEFT($D$3,3)&amp;"-"&amp;TEXT(COUNTIF(F$14:F147,"?*"),"00"))</f>
        <v/>
      </c>
      <c r="B147" s="5"/>
      <c r="C147" s="6" t="str">
        <f t="shared" si="24"/>
        <v/>
      </c>
      <c r="D147" s="5"/>
      <c r="E147" s="5"/>
      <c r="F147" s="5"/>
      <c r="G147" s="5"/>
      <c r="H147" s="5"/>
      <c r="I147" s="5"/>
      <c r="J147" s="5"/>
      <c r="K147" s="15"/>
      <c r="L147" s="5"/>
      <c r="M147" s="15"/>
      <c r="N147" s="5"/>
      <c r="O147" s="15"/>
      <c r="P147" s="19" t="str">
        <f t="shared" si="25"/>
        <v/>
      </c>
      <c r="Q147" s="19" t="str">
        <f t="shared" si="26"/>
        <v/>
      </c>
      <c r="R147" s="19" t="str">
        <f t="shared" si="27"/>
        <v/>
      </c>
      <c r="S147" s="5"/>
      <c r="T147" s="5"/>
      <c r="U147" s="5"/>
      <c r="V147" s="24"/>
      <c r="W147" s="15"/>
      <c r="X147" s="15"/>
      <c r="Y147" s="15"/>
      <c r="Z147" s="19" t="str">
        <f t="shared" si="28"/>
        <v/>
      </c>
      <c r="AA147" s="19" t="str">
        <f t="shared" si="29"/>
        <v/>
      </c>
      <c r="AB147" s="5"/>
      <c r="AC147" s="5"/>
      <c r="AE147" t="str">
        <f>IFERROR(INDEX(EqTag,_xlfn.AGGREGATE(15,6,(ROW(EqTag)-4)/((EqSys=$D$3)*(EqTag&lt;&gt;"")),ROWS($AE$14:AE147))),"")</f>
        <v/>
      </c>
    </row>
    <row r="148" spans="1:31" ht="30" customHeight="1" x14ac:dyDescent="0.2">
      <c r="A148" s="19" t="str">
        <f>IF(F148="","",LEFT($D$3,3)&amp;"-"&amp;TEXT(COUNTIF(F$14:F148,"?*"),"00"))</f>
        <v/>
      </c>
      <c r="B148" s="5"/>
      <c r="C148" s="6" t="str">
        <f t="shared" si="24"/>
        <v/>
      </c>
      <c r="D148" s="5"/>
      <c r="E148" s="5"/>
      <c r="F148" s="5"/>
      <c r="G148" s="5"/>
      <c r="H148" s="5"/>
      <c r="I148" s="5"/>
      <c r="J148" s="5"/>
      <c r="K148" s="15"/>
      <c r="L148" s="5"/>
      <c r="M148" s="15"/>
      <c r="N148" s="5"/>
      <c r="O148" s="15"/>
      <c r="P148" s="19" t="str">
        <f t="shared" si="25"/>
        <v/>
      </c>
      <c r="Q148" s="19" t="str">
        <f t="shared" si="26"/>
        <v/>
      </c>
      <c r="R148" s="19" t="str">
        <f t="shared" si="27"/>
        <v/>
      </c>
      <c r="S148" s="5"/>
      <c r="T148" s="5"/>
      <c r="U148" s="5"/>
      <c r="V148" s="24"/>
      <c r="W148" s="15"/>
      <c r="X148" s="15"/>
      <c r="Y148" s="15"/>
      <c r="Z148" s="19" t="str">
        <f t="shared" si="28"/>
        <v/>
      </c>
      <c r="AA148" s="19" t="str">
        <f t="shared" si="29"/>
        <v/>
      </c>
      <c r="AB148" s="5"/>
      <c r="AC148" s="5"/>
      <c r="AE148" t="str">
        <f>IFERROR(INDEX(EqTag,_xlfn.AGGREGATE(15,6,(ROW(EqTag)-4)/((EqSys=$D$3)*(EqTag&lt;&gt;"")),ROWS($AE$14:AE148))),"")</f>
        <v/>
      </c>
    </row>
    <row r="149" spans="1:31" ht="30" customHeight="1" x14ac:dyDescent="0.2">
      <c r="A149" s="19" t="str">
        <f>IF(F149="","",LEFT($D$3,3)&amp;"-"&amp;TEXT(COUNTIF(F$14:F149,"?*"),"00"))</f>
        <v/>
      </c>
      <c r="B149" s="5"/>
      <c r="C149" s="6" t="str">
        <f t="shared" si="24"/>
        <v/>
      </c>
      <c r="D149" s="5"/>
      <c r="E149" s="5"/>
      <c r="F149" s="5"/>
      <c r="G149" s="5"/>
      <c r="H149" s="5"/>
      <c r="I149" s="5"/>
      <c r="J149" s="5"/>
      <c r="K149" s="15"/>
      <c r="L149" s="5"/>
      <c r="M149" s="15"/>
      <c r="N149" s="5"/>
      <c r="O149" s="15"/>
      <c r="P149" s="19" t="str">
        <f t="shared" si="25"/>
        <v/>
      </c>
      <c r="Q149" s="19" t="str">
        <f t="shared" si="26"/>
        <v/>
      </c>
      <c r="R149" s="19" t="str">
        <f t="shared" si="27"/>
        <v/>
      </c>
      <c r="S149" s="5"/>
      <c r="T149" s="5"/>
      <c r="U149" s="5"/>
      <c r="V149" s="24"/>
      <c r="W149" s="15"/>
      <c r="X149" s="15"/>
      <c r="Y149" s="15"/>
      <c r="Z149" s="19" t="str">
        <f t="shared" si="28"/>
        <v/>
      </c>
      <c r="AA149" s="19" t="str">
        <f t="shared" si="29"/>
        <v/>
      </c>
      <c r="AB149" s="5"/>
      <c r="AC149" s="5"/>
      <c r="AE149" t="str">
        <f>IFERROR(INDEX(EqTag,_xlfn.AGGREGATE(15,6,(ROW(EqTag)-4)/((EqSys=$D$3)*(EqTag&lt;&gt;"")),ROWS($AE$14:AE149))),"")</f>
        <v/>
      </c>
    </row>
    <row r="150" spans="1:31" ht="30" customHeight="1" x14ac:dyDescent="0.2">
      <c r="A150" s="19" t="str">
        <f>IF(F150="","",LEFT($D$3,3)&amp;"-"&amp;TEXT(COUNTIF(F$14:F150,"?*"),"00"))</f>
        <v/>
      </c>
      <c r="B150" s="5"/>
      <c r="C150" s="6" t="str">
        <f t="shared" si="24"/>
        <v/>
      </c>
      <c r="D150" s="5"/>
      <c r="E150" s="5"/>
      <c r="F150" s="5"/>
      <c r="G150" s="5"/>
      <c r="H150" s="5"/>
      <c r="I150" s="5"/>
      <c r="J150" s="5"/>
      <c r="K150" s="15"/>
      <c r="L150" s="5"/>
      <c r="M150" s="15"/>
      <c r="N150" s="5"/>
      <c r="O150" s="15"/>
      <c r="P150" s="19" t="str">
        <f t="shared" si="25"/>
        <v/>
      </c>
      <c r="Q150" s="19" t="str">
        <f t="shared" si="26"/>
        <v/>
      </c>
      <c r="R150" s="19" t="str">
        <f t="shared" si="27"/>
        <v/>
      </c>
      <c r="S150" s="5"/>
      <c r="T150" s="5"/>
      <c r="U150" s="5"/>
      <c r="V150" s="24"/>
      <c r="W150" s="15"/>
      <c r="X150" s="15"/>
      <c r="Y150" s="15"/>
      <c r="Z150" s="19" t="str">
        <f t="shared" si="28"/>
        <v/>
      </c>
      <c r="AA150" s="19" t="str">
        <f t="shared" si="29"/>
        <v/>
      </c>
      <c r="AB150" s="5"/>
      <c r="AC150" s="5"/>
      <c r="AE150" t="str">
        <f>IFERROR(INDEX(EqTag,_xlfn.AGGREGATE(15,6,(ROW(EqTag)-4)/((EqSys=$D$3)*(EqTag&lt;&gt;"")),ROWS($AE$14:AE150))),"")</f>
        <v/>
      </c>
    </row>
    <row r="151" spans="1:31" ht="30" customHeight="1" x14ac:dyDescent="0.2">
      <c r="A151" s="19" t="str">
        <f>IF(F151="","",LEFT($D$3,3)&amp;"-"&amp;TEXT(COUNTIF(F$14:F151,"?*"),"00"))</f>
        <v/>
      </c>
      <c r="B151" s="5"/>
      <c r="C151" s="6" t="str">
        <f t="shared" si="24"/>
        <v/>
      </c>
      <c r="D151" s="5"/>
      <c r="E151" s="5"/>
      <c r="F151" s="5"/>
      <c r="G151" s="5"/>
      <c r="H151" s="5"/>
      <c r="I151" s="5"/>
      <c r="J151" s="5"/>
      <c r="K151" s="15"/>
      <c r="L151" s="5"/>
      <c r="M151" s="15"/>
      <c r="N151" s="5"/>
      <c r="O151" s="15"/>
      <c r="P151" s="19" t="str">
        <f t="shared" si="25"/>
        <v/>
      </c>
      <c r="Q151" s="19" t="str">
        <f t="shared" si="26"/>
        <v/>
      </c>
      <c r="R151" s="19" t="str">
        <f t="shared" si="27"/>
        <v/>
      </c>
      <c r="S151" s="5"/>
      <c r="T151" s="5"/>
      <c r="U151" s="5"/>
      <c r="V151" s="24"/>
      <c r="W151" s="15"/>
      <c r="X151" s="15"/>
      <c r="Y151" s="15"/>
      <c r="Z151" s="19" t="str">
        <f t="shared" si="28"/>
        <v/>
      </c>
      <c r="AA151" s="19" t="str">
        <f t="shared" si="29"/>
        <v/>
      </c>
      <c r="AB151" s="5"/>
      <c r="AC151" s="5"/>
      <c r="AE151" t="str">
        <f>IFERROR(INDEX(EqTag,_xlfn.AGGREGATE(15,6,(ROW(EqTag)-4)/((EqSys=$D$3)*(EqTag&lt;&gt;"")),ROWS($AE$14:AE151))),"")</f>
        <v/>
      </c>
    </row>
    <row r="152" spans="1:31" ht="30" customHeight="1" x14ac:dyDescent="0.2">
      <c r="A152" s="19" t="str">
        <f>IF(F152="","",LEFT($D$3,3)&amp;"-"&amp;TEXT(COUNTIF(F$14:F152,"?*"),"00"))</f>
        <v/>
      </c>
      <c r="B152" s="5"/>
      <c r="C152" s="6" t="str">
        <f t="shared" si="24"/>
        <v/>
      </c>
      <c r="D152" s="5"/>
      <c r="E152" s="5"/>
      <c r="F152" s="5"/>
      <c r="G152" s="5"/>
      <c r="H152" s="5"/>
      <c r="I152" s="5"/>
      <c r="J152" s="5"/>
      <c r="K152" s="15"/>
      <c r="L152" s="5"/>
      <c r="M152" s="15"/>
      <c r="N152" s="5"/>
      <c r="O152" s="15"/>
      <c r="P152" s="19" t="str">
        <f t="shared" si="25"/>
        <v/>
      </c>
      <c r="Q152" s="19" t="str">
        <f t="shared" si="26"/>
        <v/>
      </c>
      <c r="R152" s="19" t="str">
        <f t="shared" si="27"/>
        <v/>
      </c>
      <c r="S152" s="5"/>
      <c r="T152" s="5"/>
      <c r="U152" s="5"/>
      <c r="V152" s="24"/>
      <c r="W152" s="15"/>
      <c r="X152" s="15"/>
      <c r="Y152" s="15"/>
      <c r="Z152" s="19" t="str">
        <f t="shared" si="28"/>
        <v/>
      </c>
      <c r="AA152" s="19" t="str">
        <f t="shared" si="29"/>
        <v/>
      </c>
      <c r="AB152" s="5"/>
      <c r="AC152" s="5"/>
      <c r="AE152" t="str">
        <f>IFERROR(INDEX(EqTag,_xlfn.AGGREGATE(15,6,(ROW(EqTag)-4)/((EqSys=$D$3)*(EqTag&lt;&gt;"")),ROWS($AE$14:AE152))),"")</f>
        <v/>
      </c>
    </row>
    <row r="153" spans="1:31" ht="30" customHeight="1" x14ac:dyDescent="0.2">
      <c r="A153" s="19" t="str">
        <f>IF(F153="","",LEFT($D$3,3)&amp;"-"&amp;TEXT(COUNTIF(F$14:F153,"?*"),"00"))</f>
        <v/>
      </c>
      <c r="B153" s="5"/>
      <c r="C153" s="6" t="str">
        <f t="shared" si="24"/>
        <v/>
      </c>
      <c r="D153" s="5"/>
      <c r="E153" s="5"/>
      <c r="F153" s="5"/>
      <c r="G153" s="5"/>
      <c r="H153" s="5"/>
      <c r="I153" s="5"/>
      <c r="J153" s="5"/>
      <c r="K153" s="15"/>
      <c r="L153" s="5"/>
      <c r="M153" s="15"/>
      <c r="N153" s="5"/>
      <c r="O153" s="15"/>
      <c r="P153" s="19" t="str">
        <f t="shared" si="25"/>
        <v/>
      </c>
      <c r="Q153" s="19" t="str">
        <f t="shared" si="26"/>
        <v/>
      </c>
      <c r="R153" s="19" t="str">
        <f t="shared" si="27"/>
        <v/>
      </c>
      <c r="S153" s="5"/>
      <c r="T153" s="5"/>
      <c r="U153" s="5"/>
      <c r="V153" s="24"/>
      <c r="W153" s="15"/>
      <c r="X153" s="15"/>
      <c r="Y153" s="15"/>
      <c r="Z153" s="19" t="str">
        <f t="shared" si="28"/>
        <v/>
      </c>
      <c r="AA153" s="19" t="str">
        <f t="shared" si="29"/>
        <v/>
      </c>
      <c r="AB153" s="5"/>
      <c r="AC153" s="5"/>
      <c r="AE153" t="str">
        <f>IFERROR(INDEX(EqTag,_xlfn.AGGREGATE(15,6,(ROW(EqTag)-4)/((EqSys=$D$3)*(EqTag&lt;&gt;"")),ROWS($AE$14:AE153))),"")</f>
        <v/>
      </c>
    </row>
    <row r="154" spans="1:31" ht="30" customHeight="1" x14ac:dyDescent="0.2">
      <c r="A154" s="19" t="str">
        <f>IF(F154="","",LEFT($D$3,3)&amp;"-"&amp;TEXT(COUNTIF(F$14:F154,"?*"),"00"))</f>
        <v/>
      </c>
      <c r="B154" s="5"/>
      <c r="C154" s="6" t="str">
        <f t="shared" si="24"/>
        <v/>
      </c>
      <c r="D154" s="5"/>
      <c r="E154" s="5"/>
      <c r="F154" s="5"/>
      <c r="G154" s="5"/>
      <c r="H154" s="5"/>
      <c r="I154" s="5"/>
      <c r="J154" s="5"/>
      <c r="K154" s="15"/>
      <c r="L154" s="5"/>
      <c r="M154" s="15"/>
      <c r="N154" s="5"/>
      <c r="O154" s="15"/>
      <c r="P154" s="19" t="str">
        <f t="shared" si="25"/>
        <v/>
      </c>
      <c r="Q154" s="19" t="str">
        <f t="shared" si="26"/>
        <v/>
      </c>
      <c r="R154" s="19" t="str">
        <f t="shared" si="27"/>
        <v/>
      </c>
      <c r="S154" s="5"/>
      <c r="T154" s="5"/>
      <c r="U154" s="5"/>
      <c r="V154" s="24"/>
      <c r="W154" s="15"/>
      <c r="X154" s="15"/>
      <c r="Y154" s="15"/>
      <c r="Z154" s="19" t="str">
        <f t="shared" si="28"/>
        <v/>
      </c>
      <c r="AA154" s="19" t="str">
        <f t="shared" si="29"/>
        <v/>
      </c>
      <c r="AB154" s="5"/>
      <c r="AC154" s="5"/>
      <c r="AE154" t="str">
        <f>IFERROR(INDEX(EqTag,_xlfn.AGGREGATE(15,6,(ROW(EqTag)-4)/((EqSys=$D$3)*(EqTag&lt;&gt;"")),ROWS($AE$14:AE154))),"")</f>
        <v/>
      </c>
    </row>
    <row r="155" spans="1:31" ht="30" customHeight="1" x14ac:dyDescent="0.2">
      <c r="A155" s="19" t="str">
        <f>IF(F155="","",LEFT($D$3,3)&amp;"-"&amp;TEXT(COUNTIF(F$14:F155,"?*"),"00"))</f>
        <v/>
      </c>
      <c r="B155" s="5"/>
      <c r="C155" s="6" t="str">
        <f t="shared" si="24"/>
        <v/>
      </c>
      <c r="D155" s="5"/>
      <c r="E155" s="5"/>
      <c r="F155" s="5"/>
      <c r="G155" s="5"/>
      <c r="H155" s="5"/>
      <c r="I155" s="5"/>
      <c r="J155" s="5"/>
      <c r="K155" s="15"/>
      <c r="L155" s="5"/>
      <c r="M155" s="15"/>
      <c r="N155" s="5"/>
      <c r="O155" s="15"/>
      <c r="P155" s="19" t="str">
        <f t="shared" si="25"/>
        <v/>
      </c>
      <c r="Q155" s="19" t="str">
        <f t="shared" si="26"/>
        <v/>
      </c>
      <c r="R155" s="19" t="str">
        <f t="shared" si="27"/>
        <v/>
      </c>
      <c r="S155" s="5"/>
      <c r="T155" s="5"/>
      <c r="U155" s="5"/>
      <c r="V155" s="24"/>
      <c r="W155" s="15"/>
      <c r="X155" s="15"/>
      <c r="Y155" s="15"/>
      <c r="Z155" s="19" t="str">
        <f t="shared" si="28"/>
        <v/>
      </c>
      <c r="AA155" s="19" t="str">
        <f t="shared" si="29"/>
        <v/>
      </c>
      <c r="AB155" s="5"/>
      <c r="AC155" s="5"/>
      <c r="AE155" t="str">
        <f>IFERROR(INDEX(EqTag,_xlfn.AGGREGATE(15,6,(ROW(EqTag)-4)/((EqSys=$D$3)*(EqTag&lt;&gt;"")),ROWS($AE$14:AE155))),"")</f>
        <v/>
      </c>
    </row>
    <row r="156" spans="1:31" ht="30" customHeight="1" x14ac:dyDescent="0.2">
      <c r="A156" s="19" t="str">
        <f>IF(F156="","",LEFT($D$3,3)&amp;"-"&amp;TEXT(COUNTIF(F$14:F156,"?*"),"00"))</f>
        <v/>
      </c>
      <c r="B156" s="5"/>
      <c r="C156" s="6" t="str">
        <f t="shared" si="24"/>
        <v/>
      </c>
      <c r="D156" s="5"/>
      <c r="E156" s="5"/>
      <c r="F156" s="5"/>
      <c r="G156" s="5"/>
      <c r="H156" s="5"/>
      <c r="I156" s="5"/>
      <c r="J156" s="5"/>
      <c r="K156" s="15"/>
      <c r="L156" s="5"/>
      <c r="M156" s="15"/>
      <c r="N156" s="5"/>
      <c r="O156" s="15"/>
      <c r="P156" s="19" t="str">
        <f t="shared" si="25"/>
        <v/>
      </c>
      <c r="Q156" s="19" t="str">
        <f t="shared" si="26"/>
        <v/>
      </c>
      <c r="R156" s="19" t="str">
        <f t="shared" si="27"/>
        <v/>
      </c>
      <c r="S156" s="5"/>
      <c r="T156" s="5"/>
      <c r="U156" s="5"/>
      <c r="V156" s="24"/>
      <c r="W156" s="15"/>
      <c r="X156" s="15"/>
      <c r="Y156" s="15"/>
      <c r="Z156" s="19" t="str">
        <f t="shared" si="28"/>
        <v/>
      </c>
      <c r="AA156" s="19" t="str">
        <f t="shared" si="29"/>
        <v/>
      </c>
      <c r="AB156" s="5"/>
      <c r="AC156" s="5"/>
      <c r="AE156" t="str">
        <f>IFERROR(INDEX(EqTag,_xlfn.AGGREGATE(15,6,(ROW(EqTag)-4)/((EqSys=$D$3)*(EqTag&lt;&gt;"")),ROWS($AE$14:AE156))),"")</f>
        <v/>
      </c>
    </row>
    <row r="157" spans="1:31" ht="30" customHeight="1" x14ac:dyDescent="0.2">
      <c r="A157" s="19" t="str">
        <f>IF(F157="","",LEFT($D$3,3)&amp;"-"&amp;TEXT(COUNTIF(F$14:F157,"?*"),"00"))</f>
        <v/>
      </c>
      <c r="B157" s="5"/>
      <c r="C157" s="6" t="str">
        <f t="shared" si="24"/>
        <v/>
      </c>
      <c r="D157" s="5"/>
      <c r="E157" s="5"/>
      <c r="F157" s="5"/>
      <c r="G157" s="5"/>
      <c r="H157" s="5"/>
      <c r="I157" s="5"/>
      <c r="J157" s="5"/>
      <c r="K157" s="15"/>
      <c r="L157" s="5"/>
      <c r="M157" s="15"/>
      <c r="N157" s="5"/>
      <c r="O157" s="15"/>
      <c r="P157" s="19" t="str">
        <f t="shared" si="25"/>
        <v/>
      </c>
      <c r="Q157" s="19" t="str">
        <f t="shared" si="26"/>
        <v/>
      </c>
      <c r="R157" s="19" t="str">
        <f t="shared" si="27"/>
        <v/>
      </c>
      <c r="S157" s="5"/>
      <c r="T157" s="5"/>
      <c r="U157" s="5"/>
      <c r="V157" s="24"/>
      <c r="W157" s="15"/>
      <c r="X157" s="15"/>
      <c r="Y157" s="15"/>
      <c r="Z157" s="19" t="str">
        <f t="shared" si="28"/>
        <v/>
      </c>
      <c r="AA157" s="19" t="str">
        <f t="shared" si="29"/>
        <v/>
      </c>
      <c r="AB157" s="5"/>
      <c r="AC157" s="5"/>
      <c r="AE157" t="str">
        <f>IFERROR(INDEX(EqTag,_xlfn.AGGREGATE(15,6,(ROW(EqTag)-4)/((EqSys=$D$3)*(EqTag&lt;&gt;"")),ROWS($AE$14:AE157))),"")</f>
        <v/>
      </c>
    </row>
    <row r="158" spans="1:31" ht="30" customHeight="1" x14ac:dyDescent="0.2">
      <c r="A158" s="19" t="str">
        <f>IF(F158="","",LEFT($D$3,3)&amp;"-"&amp;TEXT(COUNTIF(F$14:F158,"?*"),"00"))</f>
        <v/>
      </c>
      <c r="B158" s="5"/>
      <c r="C158" s="6" t="str">
        <f t="shared" si="24"/>
        <v/>
      </c>
      <c r="D158" s="5"/>
      <c r="E158" s="5"/>
      <c r="F158" s="5"/>
      <c r="G158" s="5"/>
      <c r="H158" s="5"/>
      <c r="I158" s="5"/>
      <c r="J158" s="5"/>
      <c r="K158" s="15"/>
      <c r="L158" s="5"/>
      <c r="M158" s="15"/>
      <c r="N158" s="5"/>
      <c r="O158" s="15"/>
      <c r="P158" s="19" t="str">
        <f t="shared" si="25"/>
        <v/>
      </c>
      <c r="Q158" s="19" t="str">
        <f t="shared" si="26"/>
        <v/>
      </c>
      <c r="R158" s="19" t="str">
        <f t="shared" si="27"/>
        <v/>
      </c>
      <c r="S158" s="5"/>
      <c r="T158" s="5"/>
      <c r="U158" s="5"/>
      <c r="V158" s="24"/>
      <c r="W158" s="15"/>
      <c r="X158" s="15"/>
      <c r="Y158" s="15"/>
      <c r="Z158" s="19" t="str">
        <f t="shared" si="28"/>
        <v/>
      </c>
      <c r="AA158" s="19" t="str">
        <f t="shared" si="29"/>
        <v/>
      </c>
      <c r="AB158" s="5"/>
      <c r="AC158" s="5"/>
      <c r="AE158" t="str">
        <f>IFERROR(INDEX(EqTag,_xlfn.AGGREGATE(15,6,(ROW(EqTag)-4)/((EqSys=$D$3)*(EqTag&lt;&gt;"")),ROWS($AE$14:AE158))),"")</f>
        <v/>
      </c>
    </row>
    <row r="159" spans="1:31" ht="30" customHeight="1" x14ac:dyDescent="0.2">
      <c r="A159" s="19" t="str">
        <f>IF(F159="","",LEFT($D$3,3)&amp;"-"&amp;TEXT(COUNTIF(F$14:F159,"?*"),"00"))</f>
        <v/>
      </c>
      <c r="B159" s="5"/>
      <c r="C159" s="6" t="str">
        <f t="shared" si="24"/>
        <v/>
      </c>
      <c r="D159" s="5"/>
      <c r="E159" s="5"/>
      <c r="F159" s="5"/>
      <c r="G159" s="5"/>
      <c r="H159" s="5"/>
      <c r="I159" s="5"/>
      <c r="J159" s="5"/>
      <c r="K159" s="15"/>
      <c r="L159" s="5"/>
      <c r="M159" s="15"/>
      <c r="N159" s="5"/>
      <c r="O159" s="15"/>
      <c r="P159" s="19" t="str">
        <f t="shared" si="25"/>
        <v/>
      </c>
      <c r="Q159" s="19" t="str">
        <f t="shared" si="26"/>
        <v/>
      </c>
      <c r="R159" s="19" t="str">
        <f t="shared" si="27"/>
        <v/>
      </c>
      <c r="S159" s="5"/>
      <c r="T159" s="5"/>
      <c r="U159" s="5"/>
      <c r="V159" s="24"/>
      <c r="W159" s="15"/>
      <c r="X159" s="15"/>
      <c r="Y159" s="15"/>
      <c r="Z159" s="19" t="str">
        <f t="shared" si="28"/>
        <v/>
      </c>
      <c r="AA159" s="19" t="str">
        <f t="shared" si="29"/>
        <v/>
      </c>
      <c r="AB159" s="5"/>
      <c r="AC159" s="5"/>
      <c r="AE159" t="str">
        <f>IFERROR(INDEX(EqTag,_xlfn.AGGREGATE(15,6,(ROW(EqTag)-4)/((EqSys=$D$3)*(EqTag&lt;&gt;"")),ROWS($AE$14:AE159))),"")</f>
        <v/>
      </c>
    </row>
    <row r="160" spans="1:31" ht="30" customHeight="1" x14ac:dyDescent="0.2">
      <c r="A160" s="19" t="str">
        <f>IF(F160="","",LEFT($D$3,3)&amp;"-"&amp;TEXT(COUNTIF(F$14:F160,"?*"),"00"))</f>
        <v/>
      </c>
      <c r="B160" s="5"/>
      <c r="C160" s="6" t="str">
        <f t="shared" si="24"/>
        <v/>
      </c>
      <c r="D160" s="5"/>
      <c r="E160" s="5"/>
      <c r="F160" s="5"/>
      <c r="G160" s="5"/>
      <c r="H160" s="5"/>
      <c r="I160" s="5"/>
      <c r="J160" s="5"/>
      <c r="K160" s="15"/>
      <c r="L160" s="5"/>
      <c r="M160" s="15"/>
      <c r="N160" s="5"/>
      <c r="O160" s="15"/>
      <c r="P160" s="19" t="str">
        <f t="shared" si="25"/>
        <v/>
      </c>
      <c r="Q160" s="19" t="str">
        <f t="shared" si="26"/>
        <v/>
      </c>
      <c r="R160" s="19" t="str">
        <f t="shared" si="27"/>
        <v/>
      </c>
      <c r="S160" s="5"/>
      <c r="T160" s="5"/>
      <c r="U160" s="5"/>
      <c r="V160" s="24"/>
      <c r="W160" s="15"/>
      <c r="X160" s="15"/>
      <c r="Y160" s="15"/>
      <c r="Z160" s="19" t="str">
        <f t="shared" si="28"/>
        <v/>
      </c>
      <c r="AA160" s="19" t="str">
        <f t="shared" si="29"/>
        <v/>
      </c>
      <c r="AB160" s="5"/>
      <c r="AC160" s="5"/>
      <c r="AE160" t="str">
        <f>IFERROR(INDEX(EqTag,_xlfn.AGGREGATE(15,6,(ROW(EqTag)-4)/((EqSys=$D$3)*(EqTag&lt;&gt;"")),ROWS($AE$14:AE160))),"")</f>
        <v/>
      </c>
    </row>
    <row r="161" spans="1:31" ht="30" customHeight="1" x14ac:dyDescent="0.2">
      <c r="A161" s="19" t="str">
        <f>IF(F161="","",LEFT($D$3,3)&amp;"-"&amp;TEXT(COUNTIF(F$14:F161,"?*"),"00"))</f>
        <v/>
      </c>
      <c r="B161" s="5"/>
      <c r="C161" s="6" t="str">
        <f t="shared" si="24"/>
        <v/>
      </c>
      <c r="D161" s="5"/>
      <c r="E161" s="5"/>
      <c r="F161" s="5"/>
      <c r="G161" s="5"/>
      <c r="H161" s="5"/>
      <c r="I161" s="5"/>
      <c r="J161" s="5"/>
      <c r="K161" s="15"/>
      <c r="L161" s="5"/>
      <c r="M161" s="15"/>
      <c r="N161" s="5"/>
      <c r="O161" s="15"/>
      <c r="P161" s="19" t="str">
        <f t="shared" si="25"/>
        <v/>
      </c>
      <c r="Q161" s="19" t="str">
        <f t="shared" si="26"/>
        <v/>
      </c>
      <c r="R161" s="19" t="str">
        <f t="shared" si="27"/>
        <v/>
      </c>
      <c r="S161" s="5"/>
      <c r="T161" s="5"/>
      <c r="U161" s="5"/>
      <c r="V161" s="24"/>
      <c r="W161" s="15"/>
      <c r="X161" s="15"/>
      <c r="Y161" s="15"/>
      <c r="Z161" s="19" t="str">
        <f t="shared" si="28"/>
        <v/>
      </c>
      <c r="AA161" s="19" t="str">
        <f t="shared" si="29"/>
        <v/>
      </c>
      <c r="AB161" s="5"/>
      <c r="AC161" s="5"/>
      <c r="AE161" t="str">
        <f>IFERROR(INDEX(EqTag,_xlfn.AGGREGATE(15,6,(ROW(EqTag)-4)/((EqSys=$D$3)*(EqTag&lt;&gt;"")),ROWS($AE$14:AE161))),"")</f>
        <v/>
      </c>
    </row>
    <row r="162" spans="1:31" ht="30" customHeight="1" x14ac:dyDescent="0.2">
      <c r="A162" s="19" t="str">
        <f>IF(F162="","",LEFT($D$3,3)&amp;"-"&amp;TEXT(COUNTIF(F$14:F162,"?*"),"00"))</f>
        <v/>
      </c>
      <c r="B162" s="5"/>
      <c r="C162" s="6" t="str">
        <f t="shared" si="24"/>
        <v/>
      </c>
      <c r="D162" s="5"/>
      <c r="E162" s="5"/>
      <c r="F162" s="5"/>
      <c r="G162" s="5"/>
      <c r="H162" s="5"/>
      <c r="I162" s="5"/>
      <c r="J162" s="5"/>
      <c r="K162" s="15"/>
      <c r="L162" s="5"/>
      <c r="M162" s="15"/>
      <c r="N162" s="5"/>
      <c r="O162" s="15"/>
      <c r="P162" s="19" t="str">
        <f t="shared" si="25"/>
        <v/>
      </c>
      <c r="Q162" s="19" t="str">
        <f t="shared" si="26"/>
        <v/>
      </c>
      <c r="R162" s="19" t="str">
        <f t="shared" si="27"/>
        <v/>
      </c>
      <c r="S162" s="5"/>
      <c r="T162" s="5"/>
      <c r="U162" s="5"/>
      <c r="V162" s="24"/>
      <c r="W162" s="15"/>
      <c r="X162" s="15"/>
      <c r="Y162" s="15"/>
      <c r="Z162" s="19" t="str">
        <f t="shared" si="28"/>
        <v/>
      </c>
      <c r="AA162" s="19" t="str">
        <f t="shared" si="29"/>
        <v/>
      </c>
      <c r="AB162" s="5"/>
      <c r="AC162" s="5"/>
      <c r="AE162" t="str">
        <f>IFERROR(INDEX(EqTag,_xlfn.AGGREGATE(15,6,(ROW(EqTag)-4)/((EqSys=$D$3)*(EqTag&lt;&gt;"")),ROWS($AE$14:AE162))),"")</f>
        <v/>
      </c>
    </row>
    <row r="163" spans="1:31" ht="30" customHeight="1" x14ac:dyDescent="0.2">
      <c r="A163" s="19" t="str">
        <f>IF(F163="","",LEFT($D$3,3)&amp;"-"&amp;TEXT(COUNTIF(F$14:F163,"?*"),"00"))</f>
        <v/>
      </c>
      <c r="B163" s="5"/>
      <c r="C163" s="6" t="str">
        <f t="shared" si="24"/>
        <v/>
      </c>
      <c r="D163" s="5"/>
      <c r="E163" s="5"/>
      <c r="F163" s="5"/>
      <c r="G163" s="5"/>
      <c r="H163" s="5"/>
      <c r="I163" s="5"/>
      <c r="J163" s="5"/>
      <c r="K163" s="15"/>
      <c r="L163" s="5"/>
      <c r="M163" s="15"/>
      <c r="N163" s="5"/>
      <c r="O163" s="15"/>
      <c r="P163" s="19" t="str">
        <f t="shared" si="25"/>
        <v/>
      </c>
      <c r="Q163" s="19" t="str">
        <f t="shared" si="26"/>
        <v/>
      </c>
      <c r="R163" s="19" t="str">
        <f t="shared" si="27"/>
        <v/>
      </c>
      <c r="S163" s="5"/>
      <c r="T163" s="5"/>
      <c r="U163" s="5"/>
      <c r="V163" s="24"/>
      <c r="W163" s="15"/>
      <c r="X163" s="15"/>
      <c r="Y163" s="15"/>
      <c r="Z163" s="19" t="str">
        <f t="shared" si="28"/>
        <v/>
      </c>
      <c r="AA163" s="19" t="str">
        <f t="shared" si="29"/>
        <v/>
      </c>
      <c r="AB163" s="5"/>
      <c r="AC163" s="5"/>
      <c r="AE163" t="str">
        <f>IFERROR(INDEX(EqTag,_xlfn.AGGREGATE(15,6,(ROW(EqTag)-4)/((EqSys=$D$3)*(EqTag&lt;&gt;"")),ROWS($AE$14:AE163))),"")</f>
        <v/>
      </c>
    </row>
  </sheetData>
  <mergeCells count="22">
    <mergeCell ref="S12:V12"/>
    <mergeCell ref="D8:O8"/>
    <mergeCell ref="AB12:AC12"/>
    <mergeCell ref="K12:R12"/>
    <mergeCell ref="D5:O5"/>
    <mergeCell ref="W12:AA12"/>
    <mergeCell ref="A11:O11"/>
    <mergeCell ref="A7:C7"/>
    <mergeCell ref="D6:O6"/>
    <mergeCell ref="D3:J3"/>
    <mergeCell ref="A3:C3"/>
    <mergeCell ref="A12:F12"/>
    <mergeCell ref="D7:O7"/>
    <mergeCell ref="L3:M3"/>
    <mergeCell ref="A5:C5"/>
    <mergeCell ref="A8:C8"/>
    <mergeCell ref="G12:J12"/>
    <mergeCell ref="D4:O4"/>
    <mergeCell ref="D9:O9"/>
    <mergeCell ref="A4:C4"/>
    <mergeCell ref="A9:C9"/>
    <mergeCell ref="A6:C6"/>
  </mergeCells>
  <conditionalFormatting sqref="Q14:Q163">
    <cfRule type="expression" dxfId="80" priority="1">
      <formula>Q14="H"</formula>
    </cfRule>
    <cfRule type="expression" dxfId="79" priority="3">
      <formula>Q14="M"</formula>
    </cfRule>
    <cfRule type="expression" dxfId="78" priority="5">
      <formula>Q14="L"</formula>
    </cfRule>
  </conditionalFormatting>
  <conditionalFormatting sqref="AA14:AA163">
    <cfRule type="expression" dxfId="77" priority="2">
      <formula>AA14="H"</formula>
    </cfRule>
    <cfRule type="expression" dxfId="76" priority="4">
      <formula>AA14="M"</formula>
    </cfRule>
    <cfRule type="expression" dxfId="75" priority="6">
      <formula>AA14="L"</formula>
    </cfRule>
  </conditionalFormatting>
  <conditionalFormatting sqref="R14:R163">
    <cfRule type="expression" dxfId="74" priority="7">
      <formula>R14="Yes"</formula>
    </cfRule>
  </conditionalFormatting>
  <conditionalFormatting sqref="P14:P163">
    <cfRule type="expression" dxfId="73" priority="8">
      <formula>AND(ISNUMBER(P14),P14&gt;=RPNThr)</formula>
    </cfRule>
  </conditionalFormatting>
  <conditionalFormatting sqref="Z14:Z163">
    <cfRule type="expression" dxfId="72" priority="9">
      <formula>AND(ISNUMBER(Z14),Z14&gt;=RPNThr)</formula>
    </cfRule>
  </conditionalFormatting>
  <dataValidations count="10">
    <dataValidation type="list" allowBlank="1" showInputMessage="1" showErrorMessage="1" promptTitle="Select" prompt="Choose the system analysed on this sheet" sqref="D3" xr:uid="{00000000-0002-0000-0800-000000000000}">
      <formula1>SystemList</formula1>
    </dataValidation>
    <dataValidation type="list" errorStyle="information" allowBlank="1" showInputMessage="1" showErrorMessage="1" errorTitle="Not in list" error="Entry is not in the list – it will be accepted as free text." promptTitle="Select" prompt="Equipment tags of the selected system (from the Equipment Register)" sqref="B14:B163" xr:uid="{00000000-0002-0000-0800-000001000000}">
      <formula1>OFFSET($AE$14,0,0,MAX(1,COUNTIFS(EqSys,$D$3,EqTag,"?*")),1)</formula1>
    </dataValidation>
    <dataValidation type="list" errorStyle="information" allowBlank="1" showInputMessage="1" showErrorMessage="1" errorTitle="Not in list" error="Entry is not in the list – it will be accepted as free text." promptTitle="Select" prompt="Components for this equipment type – or type your own" sqref="D14:D163" xr:uid="{00000000-0002-0000-0800-000002000000}">
      <formula1>OFFSET(CompStart,MATCH($C14,CompType,0)-1,0,MAX(1,COUNTIF(CompType,$C14)),1)</formula1>
    </dataValidation>
    <dataValidation type="list" errorStyle="information" allowBlank="1" showInputMessage="1" showErrorMessage="1" errorTitle="Not in list" error="Entry is not in the list – it will be accepted as free text." promptTitle="Select" prompt="Failure modes for this equipment type – or type your own" sqref="F14:F163" xr:uid="{00000000-0002-0000-0800-000003000000}">
      <formula1>OFFSET(FMStart,MATCH($C14,FMType,0)-1,0,MAX(1,COUNTIF(FMType,$C14)),1)</formula1>
    </dataValidation>
    <dataValidation type="list" allowBlank="1" showInputMessage="1" promptTitle="Multi-select" prompt="Pick a cause – each pick is added as a new line; pick again to remove." sqref="G14:G163" xr:uid="{00000000-0002-0000-0800-000004000000}">
      <formula1>MechList</formula1>
    </dataValidation>
    <dataValidation type="list" allowBlank="1" showInputMessage="1" promptTitle="Multi-select" prompt="Pick a detection method – each pick is added as a new line; pick again to remove." sqref="N14:N163" xr:uid="{00000000-0002-0000-0800-000005000000}">
      <formula1>DetList</formula1>
    </dataValidation>
    <dataValidation type="list" errorStyle="information" allowBlank="1" showErrorMessage="1" errorTitle="Not in list" error="Entry is not in the list – it will be accepted as free text." sqref="T14:T163" xr:uid="{00000000-0002-0000-0800-000006000000}">
      <formula1>TaskList</formula1>
    </dataValidation>
    <dataValidation type="list" allowBlank="1" showErrorMessage="1" sqref="K14:K163 W14:W163" xr:uid="{00000000-0002-0000-0800-000007000000}">
      <formula1>SevList</formula1>
    </dataValidation>
    <dataValidation type="list" allowBlank="1" showErrorMessage="1" sqref="M14:M163 X14:X163" xr:uid="{00000000-0002-0000-0800-000008000000}">
      <formula1>OccList</formula1>
    </dataValidation>
    <dataValidation type="list" allowBlank="1" showErrorMessage="1" sqref="O14:O163 Y14:Y163" xr:uid="{00000000-0002-0000-0800-000009000000}">
      <formula1>DetScaleList</formula1>
    </dataValidation>
  </dataValidations>
  <pageMargins left="0.75" right="0.75" top="1" bottom="1" header="0.5" footer="0.5"/>
  <pageSetup paperSize="8" fitToHeight="0"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AE163"/>
  <sheetViews>
    <sheetView workbookViewId="0">
      <pane xSplit="2" ySplit="13" topLeftCell="C14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7" customWidth="1"/>
    <col min="2" max="2" width="14" customWidth="1"/>
    <col min="3" max="4" width="22" customWidth="1"/>
    <col min="5" max="5" width="26" customWidth="1"/>
    <col min="6" max="6" width="28" customWidth="1"/>
    <col min="7" max="7" width="44" customWidth="1"/>
    <col min="8" max="9" width="28" customWidth="1"/>
    <col min="10" max="10" width="32" customWidth="1"/>
    <col min="11" max="11" width="18" customWidth="1"/>
    <col min="12" max="12" width="30" customWidth="1"/>
    <col min="13" max="13" width="18" customWidth="1"/>
    <col min="14" max="14" width="38" customWidth="1"/>
    <col min="15" max="15" width="18" customWidth="1"/>
    <col min="16" max="16" width="7" customWidth="1"/>
    <col min="17" max="17" width="6" customWidth="1"/>
    <col min="18" max="18" width="9" customWidth="1"/>
    <col min="19" max="19" width="34" customWidth="1"/>
    <col min="20" max="20" width="22" customWidth="1"/>
    <col min="21" max="21" width="14" customWidth="1"/>
    <col min="22" max="22" width="12" customWidth="1"/>
    <col min="23" max="25" width="18" customWidth="1"/>
    <col min="26" max="26" width="7" customWidth="1"/>
    <col min="27" max="27" width="6" customWidth="1"/>
    <col min="28" max="28" width="12" customWidth="1"/>
    <col min="29" max="29" width="24" customWidth="1"/>
    <col min="31" max="31" width="13" hidden="1" customWidth="1"/>
  </cols>
  <sheetData>
    <row r="1" spans="1:31" ht="18" x14ac:dyDescent="0.2">
      <c r="A1" s="21" t="s">
        <v>820</v>
      </c>
      <c r="F1" s="22" t="str">
        <f>Cover!B7</f>
        <v>FMECA – [Plant / Unit name]</v>
      </c>
    </row>
    <row r="3" spans="1:31" ht="16" x14ac:dyDescent="0.2">
      <c r="A3" s="28" t="s">
        <v>821</v>
      </c>
      <c r="B3" s="29"/>
      <c r="C3" s="30"/>
      <c r="D3" s="26"/>
      <c r="E3" s="27"/>
      <c r="F3" s="27"/>
      <c r="G3" s="27"/>
      <c r="H3" s="27"/>
      <c r="I3" s="27"/>
      <c r="J3" s="27"/>
      <c r="K3" s="23" t="s">
        <v>822</v>
      </c>
      <c r="L3" s="34"/>
      <c r="M3" s="27"/>
      <c r="N3" s="23" t="s">
        <v>823</v>
      </c>
      <c r="O3" s="19" t="str">
        <f>IF($D$3="","",COUNTIFS(EqSys,$D$3,EqTag,"?*"))</f>
        <v/>
      </c>
    </row>
    <row r="4" spans="1:31" ht="16" customHeight="1" x14ac:dyDescent="0.2">
      <c r="A4" s="35" t="s">
        <v>824</v>
      </c>
      <c r="B4" s="27"/>
      <c r="C4" s="27"/>
      <c r="D4" s="33" t="str">
        <f>IF($D$3="","",IFERROR(INDEX(Systems!$B$5:$B$34,MATCH($D$3,Systems!$C$5:$C$34,0))&amp;"",""))</f>
        <v/>
      </c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</row>
    <row r="5" spans="1:31" ht="30" customHeight="1" x14ac:dyDescent="0.2">
      <c r="A5" s="35" t="s">
        <v>140</v>
      </c>
      <c r="B5" s="27"/>
      <c r="C5" s="27"/>
      <c r="D5" s="33" t="str">
        <f>IF($D$3="","",IFERROR(INDEX(Systems!$D$5:$D$34,MATCH($D$3,Systems!$C$5:$C$34,0))&amp;"",""))</f>
        <v/>
      </c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</row>
    <row r="6" spans="1:31" ht="30" customHeight="1" x14ac:dyDescent="0.2">
      <c r="A6" s="35" t="s">
        <v>24</v>
      </c>
      <c r="B6" s="27"/>
      <c r="C6" s="27"/>
      <c r="D6" s="33" t="str">
        <f>IF($D$3="","",IFERROR(INDEX(Systems!$E$5:$E$34,MATCH($D$3,Systems!$C$5:$C$34,0))&amp;"",""))</f>
        <v/>
      </c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</row>
    <row r="7" spans="1:31" ht="30" customHeight="1" x14ac:dyDescent="0.2">
      <c r="A7" s="35" t="s">
        <v>142</v>
      </c>
      <c r="B7" s="27"/>
      <c r="C7" s="27"/>
      <c r="D7" s="33" t="str">
        <f>IF($D$3="","",IFERROR(INDEX(Systems!$F$5:$F$34,MATCH($D$3,Systems!$C$5:$C$34,0))&amp;"",""))</f>
        <v/>
      </c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</row>
    <row r="8" spans="1:31" ht="16" customHeight="1" x14ac:dyDescent="0.2">
      <c r="A8" s="35" t="s">
        <v>143</v>
      </c>
      <c r="B8" s="27"/>
      <c r="C8" s="27"/>
      <c r="D8" s="33" t="str">
        <f>IF($D$3="","",IFERROR(INDEX(Systems!$G$5:$G$34,MATCH($D$3,Systems!$C$5:$C$34,0))&amp;"",""))</f>
        <v/>
      </c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</row>
    <row r="9" spans="1:31" ht="16" customHeight="1" x14ac:dyDescent="0.2">
      <c r="A9" s="35" t="s">
        <v>144</v>
      </c>
      <c r="B9" s="27"/>
      <c r="C9" s="27"/>
      <c r="D9" s="33" t="str">
        <f>IF($D$3="","",IFERROR(INDEX(Systems!$H$5:$H$34,MATCH($D$3,Systems!$C$5:$C$34,0))&amp;"",""))</f>
        <v/>
      </c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</row>
    <row r="11" spans="1:31" ht="26" customHeight="1" x14ac:dyDescent="0.2">
      <c r="A11" s="36" t="s">
        <v>825</v>
      </c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</row>
    <row r="12" spans="1:31" x14ac:dyDescent="0.2">
      <c r="A12" s="31" t="s">
        <v>826</v>
      </c>
      <c r="B12" s="32"/>
      <c r="C12" s="32"/>
      <c r="D12" s="32"/>
      <c r="E12" s="32"/>
      <c r="F12" s="32"/>
      <c r="G12" s="31" t="s">
        <v>827</v>
      </c>
      <c r="H12" s="32"/>
      <c r="I12" s="32"/>
      <c r="J12" s="32"/>
      <c r="K12" s="31" t="s">
        <v>828</v>
      </c>
      <c r="L12" s="32"/>
      <c r="M12" s="32"/>
      <c r="N12" s="32"/>
      <c r="O12" s="32"/>
      <c r="P12" s="32"/>
      <c r="Q12" s="32"/>
      <c r="R12" s="32"/>
      <c r="S12" s="31" t="s">
        <v>829</v>
      </c>
      <c r="T12" s="32"/>
      <c r="U12" s="32"/>
      <c r="V12" s="32"/>
      <c r="W12" s="31" t="s">
        <v>830</v>
      </c>
      <c r="X12" s="32"/>
      <c r="Y12" s="32"/>
      <c r="Z12" s="32"/>
      <c r="AA12" s="32"/>
      <c r="AB12" s="31" t="s">
        <v>831</v>
      </c>
      <c r="AC12" s="32"/>
    </row>
    <row r="13" spans="1:31" ht="54" customHeight="1" x14ac:dyDescent="0.2">
      <c r="A13" s="8" t="s">
        <v>62</v>
      </c>
      <c r="B13" s="8" t="s">
        <v>192</v>
      </c>
      <c r="C13" s="8" t="s">
        <v>832</v>
      </c>
      <c r="D13" s="8" t="s">
        <v>260</v>
      </c>
      <c r="E13" s="8" t="s">
        <v>833</v>
      </c>
      <c r="F13" s="8" t="s">
        <v>261</v>
      </c>
      <c r="G13" s="8" t="s">
        <v>834</v>
      </c>
      <c r="H13" s="8" t="s">
        <v>835</v>
      </c>
      <c r="I13" s="8" t="s">
        <v>836</v>
      </c>
      <c r="J13" s="8" t="s">
        <v>837</v>
      </c>
      <c r="K13" s="8" t="s">
        <v>685</v>
      </c>
      <c r="L13" s="8" t="s">
        <v>838</v>
      </c>
      <c r="M13" s="8" t="s">
        <v>718</v>
      </c>
      <c r="N13" s="8" t="s">
        <v>839</v>
      </c>
      <c r="O13" s="8" t="s">
        <v>739</v>
      </c>
      <c r="P13" s="8" t="s">
        <v>840</v>
      </c>
      <c r="Q13" s="8" t="s">
        <v>841</v>
      </c>
      <c r="R13" s="8" t="s">
        <v>842</v>
      </c>
      <c r="S13" s="8" t="s">
        <v>843</v>
      </c>
      <c r="T13" s="8" t="s">
        <v>264</v>
      </c>
      <c r="U13" s="8" t="s">
        <v>844</v>
      </c>
      <c r="V13" s="8" t="s">
        <v>845</v>
      </c>
      <c r="W13" s="8" t="s">
        <v>685</v>
      </c>
      <c r="X13" s="8" t="s">
        <v>718</v>
      </c>
      <c r="Y13" s="8" t="s">
        <v>739</v>
      </c>
      <c r="Z13" s="8" t="s">
        <v>846</v>
      </c>
      <c r="AA13" s="8" t="s">
        <v>847</v>
      </c>
      <c r="AB13" s="8" t="s">
        <v>848</v>
      </c>
      <c r="AC13" s="8" t="s">
        <v>68</v>
      </c>
    </row>
    <row r="14" spans="1:31" ht="30" customHeight="1" x14ac:dyDescent="0.2">
      <c r="A14" s="19" t="str">
        <f>IF(F14="","",LEFT($D$3,3)&amp;"-"&amp;TEXT(COUNTIF(F$14:F14,"?*"),"00"))</f>
        <v/>
      </c>
      <c r="B14" s="5"/>
      <c r="C14" s="6" t="str">
        <f t="shared" ref="C14:C45" si="0">IF(B14="","",IFERROR(INDEX(EqTypeCol,MATCH(B14,EqTag,0)),"Tag not in register"))</f>
        <v/>
      </c>
      <c r="D14" s="5"/>
      <c r="E14" s="5"/>
      <c r="F14" s="5"/>
      <c r="G14" s="5"/>
      <c r="H14" s="5"/>
      <c r="I14" s="5"/>
      <c r="J14" s="5"/>
      <c r="K14" s="15"/>
      <c r="L14" s="5"/>
      <c r="M14" s="15"/>
      <c r="N14" s="5"/>
      <c r="O14" s="15"/>
      <c r="P14" s="19" t="str">
        <f t="shared" ref="P14:P45" si="1">IF(OR(K14="",M14="",O14=""),"",(--TRIM(LEFT(K14,2)))*(--TRIM(LEFT(M14,2)))*(--TRIM(LEFT(O14,2))))</f>
        <v/>
      </c>
      <c r="Q14" s="19" t="str">
        <f t="shared" ref="Q14:Q45" si="2">IF(OR(K14="",M14="",O14=""),"",INDEX(APGrid,COUNTIF(APS,"&gt;"&amp;(--TRIM(LEFT(K14,2))))*5+COUNTIF(APO,"&gt;"&amp;(--TRIM(LEFT(M14,2))))+1,COUNTIF(APD,"&gt;"&amp;(--TRIM(LEFT(O14,2))))+1))</f>
        <v/>
      </c>
      <c r="R14" s="19" t="str">
        <f t="shared" ref="R14:R45" si="3">IF(P14="","",IF(OR((--TRIM(LEFT(K14,2)))&gt;=SThr,P14&gt;=RPNThr,Q14="H"),"Yes","No"))</f>
        <v/>
      </c>
      <c r="S14" s="5"/>
      <c r="T14" s="5"/>
      <c r="U14" s="5"/>
      <c r="V14" s="24"/>
      <c r="W14" s="15"/>
      <c r="X14" s="15"/>
      <c r="Y14" s="15"/>
      <c r="Z14" s="19" t="str">
        <f t="shared" ref="Z14:Z45" si="4">IF(OR(W14="",X14="",Y14=""),"",(--TRIM(LEFT(W14,2)))*(--TRIM(LEFT(X14,2)))*(--TRIM(LEFT(Y14,2))))</f>
        <v/>
      </c>
      <c r="AA14" s="19" t="str">
        <f t="shared" ref="AA14:AA45" si="5">IF(OR(W14="",X14="",Y14=""),"",INDEX(APGrid,COUNTIF(APS,"&gt;"&amp;(--TRIM(LEFT(W14,2))))*5+COUNTIF(APO,"&gt;"&amp;(--TRIM(LEFT(X14,2))))+1,COUNTIF(APD,"&gt;"&amp;(--TRIM(LEFT(Y14,2))))+1))</f>
        <v/>
      </c>
      <c r="AB14" s="5"/>
      <c r="AC14" s="5"/>
      <c r="AE14" t="str">
        <f>IFERROR(INDEX(EqTag,_xlfn.AGGREGATE(15,6,(ROW(EqTag)-4)/((EqSys=$D$3)*(EqTag&lt;&gt;"")),ROWS($AE$14:AE14))),"")</f>
        <v/>
      </c>
    </row>
    <row r="15" spans="1:31" ht="30" customHeight="1" x14ac:dyDescent="0.2">
      <c r="A15" s="19" t="str">
        <f>IF(F15="","",LEFT($D$3,3)&amp;"-"&amp;TEXT(COUNTIF(F$14:F15,"?*"),"00"))</f>
        <v/>
      </c>
      <c r="B15" s="5"/>
      <c r="C15" s="6" t="str">
        <f t="shared" si="0"/>
        <v/>
      </c>
      <c r="D15" s="5"/>
      <c r="E15" s="5"/>
      <c r="F15" s="5"/>
      <c r="G15" s="5"/>
      <c r="H15" s="5"/>
      <c r="I15" s="5"/>
      <c r="J15" s="5"/>
      <c r="K15" s="15"/>
      <c r="L15" s="5"/>
      <c r="M15" s="15"/>
      <c r="N15" s="5"/>
      <c r="O15" s="15"/>
      <c r="P15" s="19" t="str">
        <f t="shared" si="1"/>
        <v/>
      </c>
      <c r="Q15" s="19" t="str">
        <f t="shared" si="2"/>
        <v/>
      </c>
      <c r="R15" s="19" t="str">
        <f t="shared" si="3"/>
        <v/>
      </c>
      <c r="S15" s="5"/>
      <c r="T15" s="5"/>
      <c r="U15" s="5"/>
      <c r="V15" s="24"/>
      <c r="W15" s="15"/>
      <c r="X15" s="15"/>
      <c r="Y15" s="15"/>
      <c r="Z15" s="19" t="str">
        <f t="shared" si="4"/>
        <v/>
      </c>
      <c r="AA15" s="19" t="str">
        <f t="shared" si="5"/>
        <v/>
      </c>
      <c r="AB15" s="5"/>
      <c r="AC15" s="5"/>
      <c r="AE15" t="str">
        <f>IFERROR(INDEX(EqTag,_xlfn.AGGREGATE(15,6,(ROW(EqTag)-4)/((EqSys=$D$3)*(EqTag&lt;&gt;"")),ROWS($AE$14:AE15))),"")</f>
        <v/>
      </c>
    </row>
    <row r="16" spans="1:31" ht="30" customHeight="1" x14ac:dyDescent="0.2">
      <c r="A16" s="19" t="str">
        <f>IF(F16="","",LEFT($D$3,3)&amp;"-"&amp;TEXT(COUNTIF(F$14:F16,"?*"),"00"))</f>
        <v/>
      </c>
      <c r="B16" s="5"/>
      <c r="C16" s="6" t="str">
        <f t="shared" si="0"/>
        <v/>
      </c>
      <c r="D16" s="5"/>
      <c r="E16" s="5"/>
      <c r="F16" s="5"/>
      <c r="G16" s="5"/>
      <c r="H16" s="5"/>
      <c r="I16" s="5"/>
      <c r="J16" s="5"/>
      <c r="K16" s="15"/>
      <c r="L16" s="5"/>
      <c r="M16" s="15"/>
      <c r="N16" s="5"/>
      <c r="O16" s="15"/>
      <c r="P16" s="19" t="str">
        <f t="shared" si="1"/>
        <v/>
      </c>
      <c r="Q16" s="19" t="str">
        <f t="shared" si="2"/>
        <v/>
      </c>
      <c r="R16" s="19" t="str">
        <f t="shared" si="3"/>
        <v/>
      </c>
      <c r="S16" s="5"/>
      <c r="T16" s="5"/>
      <c r="U16" s="5"/>
      <c r="V16" s="24"/>
      <c r="W16" s="15"/>
      <c r="X16" s="15"/>
      <c r="Y16" s="15"/>
      <c r="Z16" s="19" t="str">
        <f t="shared" si="4"/>
        <v/>
      </c>
      <c r="AA16" s="19" t="str">
        <f t="shared" si="5"/>
        <v/>
      </c>
      <c r="AB16" s="5"/>
      <c r="AC16" s="5"/>
      <c r="AE16" t="str">
        <f>IFERROR(INDEX(EqTag,_xlfn.AGGREGATE(15,6,(ROW(EqTag)-4)/((EqSys=$D$3)*(EqTag&lt;&gt;"")),ROWS($AE$14:AE16))),"")</f>
        <v/>
      </c>
    </row>
    <row r="17" spans="1:31" ht="30" customHeight="1" x14ac:dyDescent="0.2">
      <c r="A17" s="19" t="str">
        <f>IF(F17="","",LEFT($D$3,3)&amp;"-"&amp;TEXT(COUNTIF(F$14:F17,"?*"),"00"))</f>
        <v/>
      </c>
      <c r="B17" s="5"/>
      <c r="C17" s="6" t="str">
        <f t="shared" si="0"/>
        <v/>
      </c>
      <c r="D17" s="5"/>
      <c r="E17" s="5"/>
      <c r="F17" s="5"/>
      <c r="G17" s="5"/>
      <c r="H17" s="5"/>
      <c r="I17" s="5"/>
      <c r="J17" s="5"/>
      <c r="K17" s="15"/>
      <c r="L17" s="5"/>
      <c r="M17" s="15"/>
      <c r="N17" s="5"/>
      <c r="O17" s="15"/>
      <c r="P17" s="19" t="str">
        <f t="shared" si="1"/>
        <v/>
      </c>
      <c r="Q17" s="19" t="str">
        <f t="shared" si="2"/>
        <v/>
      </c>
      <c r="R17" s="19" t="str">
        <f t="shared" si="3"/>
        <v/>
      </c>
      <c r="S17" s="5"/>
      <c r="T17" s="5"/>
      <c r="U17" s="5"/>
      <c r="V17" s="24"/>
      <c r="W17" s="15"/>
      <c r="X17" s="15"/>
      <c r="Y17" s="15"/>
      <c r="Z17" s="19" t="str">
        <f t="shared" si="4"/>
        <v/>
      </c>
      <c r="AA17" s="19" t="str">
        <f t="shared" si="5"/>
        <v/>
      </c>
      <c r="AB17" s="5"/>
      <c r="AC17" s="5"/>
      <c r="AE17" t="str">
        <f>IFERROR(INDEX(EqTag,_xlfn.AGGREGATE(15,6,(ROW(EqTag)-4)/((EqSys=$D$3)*(EqTag&lt;&gt;"")),ROWS($AE$14:AE17))),"")</f>
        <v/>
      </c>
    </row>
    <row r="18" spans="1:31" ht="30" customHeight="1" x14ac:dyDescent="0.2">
      <c r="A18" s="19" t="str">
        <f>IF(F18="","",LEFT($D$3,3)&amp;"-"&amp;TEXT(COUNTIF(F$14:F18,"?*"),"00"))</f>
        <v/>
      </c>
      <c r="B18" s="5"/>
      <c r="C18" s="6" t="str">
        <f t="shared" si="0"/>
        <v/>
      </c>
      <c r="D18" s="5"/>
      <c r="E18" s="5"/>
      <c r="F18" s="5"/>
      <c r="G18" s="5"/>
      <c r="H18" s="5"/>
      <c r="I18" s="5"/>
      <c r="J18" s="5"/>
      <c r="K18" s="15"/>
      <c r="L18" s="5"/>
      <c r="M18" s="15"/>
      <c r="N18" s="5"/>
      <c r="O18" s="15"/>
      <c r="P18" s="19" t="str">
        <f t="shared" si="1"/>
        <v/>
      </c>
      <c r="Q18" s="19" t="str">
        <f t="shared" si="2"/>
        <v/>
      </c>
      <c r="R18" s="19" t="str">
        <f t="shared" si="3"/>
        <v/>
      </c>
      <c r="S18" s="5"/>
      <c r="T18" s="5"/>
      <c r="U18" s="5"/>
      <c r="V18" s="24"/>
      <c r="W18" s="15"/>
      <c r="X18" s="15"/>
      <c r="Y18" s="15"/>
      <c r="Z18" s="19" t="str">
        <f t="shared" si="4"/>
        <v/>
      </c>
      <c r="AA18" s="19" t="str">
        <f t="shared" si="5"/>
        <v/>
      </c>
      <c r="AB18" s="5"/>
      <c r="AC18" s="5"/>
      <c r="AE18" t="str">
        <f>IFERROR(INDEX(EqTag,_xlfn.AGGREGATE(15,6,(ROW(EqTag)-4)/((EqSys=$D$3)*(EqTag&lt;&gt;"")),ROWS($AE$14:AE18))),"")</f>
        <v/>
      </c>
    </row>
    <row r="19" spans="1:31" ht="30" customHeight="1" x14ac:dyDescent="0.2">
      <c r="A19" s="19" t="str">
        <f>IF(F19="","",LEFT($D$3,3)&amp;"-"&amp;TEXT(COUNTIF(F$14:F19,"?*"),"00"))</f>
        <v/>
      </c>
      <c r="B19" s="5"/>
      <c r="C19" s="6" t="str">
        <f t="shared" si="0"/>
        <v/>
      </c>
      <c r="D19" s="5"/>
      <c r="E19" s="5"/>
      <c r="F19" s="5"/>
      <c r="G19" s="5"/>
      <c r="H19" s="5"/>
      <c r="I19" s="5"/>
      <c r="J19" s="5"/>
      <c r="K19" s="15"/>
      <c r="L19" s="5"/>
      <c r="M19" s="15"/>
      <c r="N19" s="5"/>
      <c r="O19" s="15"/>
      <c r="P19" s="19" t="str">
        <f t="shared" si="1"/>
        <v/>
      </c>
      <c r="Q19" s="19" t="str">
        <f t="shared" si="2"/>
        <v/>
      </c>
      <c r="R19" s="19" t="str">
        <f t="shared" si="3"/>
        <v/>
      </c>
      <c r="S19" s="5"/>
      <c r="T19" s="5"/>
      <c r="U19" s="5"/>
      <c r="V19" s="24"/>
      <c r="W19" s="15"/>
      <c r="X19" s="15"/>
      <c r="Y19" s="15"/>
      <c r="Z19" s="19" t="str">
        <f t="shared" si="4"/>
        <v/>
      </c>
      <c r="AA19" s="19" t="str">
        <f t="shared" si="5"/>
        <v/>
      </c>
      <c r="AB19" s="5"/>
      <c r="AC19" s="5"/>
      <c r="AE19" t="str">
        <f>IFERROR(INDEX(EqTag,_xlfn.AGGREGATE(15,6,(ROW(EqTag)-4)/((EqSys=$D$3)*(EqTag&lt;&gt;"")),ROWS($AE$14:AE19))),"")</f>
        <v/>
      </c>
    </row>
    <row r="20" spans="1:31" ht="30" customHeight="1" x14ac:dyDescent="0.2">
      <c r="A20" s="19" t="str">
        <f>IF(F20="","",LEFT($D$3,3)&amp;"-"&amp;TEXT(COUNTIF(F$14:F20,"?*"),"00"))</f>
        <v/>
      </c>
      <c r="B20" s="5"/>
      <c r="C20" s="6" t="str">
        <f t="shared" si="0"/>
        <v/>
      </c>
      <c r="D20" s="5"/>
      <c r="E20" s="5"/>
      <c r="F20" s="5"/>
      <c r="G20" s="5"/>
      <c r="H20" s="5"/>
      <c r="I20" s="5"/>
      <c r="J20" s="5"/>
      <c r="K20" s="15"/>
      <c r="L20" s="5"/>
      <c r="M20" s="15"/>
      <c r="N20" s="5"/>
      <c r="O20" s="15"/>
      <c r="P20" s="19" t="str">
        <f t="shared" si="1"/>
        <v/>
      </c>
      <c r="Q20" s="19" t="str">
        <f t="shared" si="2"/>
        <v/>
      </c>
      <c r="R20" s="19" t="str">
        <f t="shared" si="3"/>
        <v/>
      </c>
      <c r="S20" s="5"/>
      <c r="T20" s="5"/>
      <c r="U20" s="5"/>
      <c r="V20" s="24"/>
      <c r="W20" s="15"/>
      <c r="X20" s="15"/>
      <c r="Y20" s="15"/>
      <c r="Z20" s="19" t="str">
        <f t="shared" si="4"/>
        <v/>
      </c>
      <c r="AA20" s="19" t="str">
        <f t="shared" si="5"/>
        <v/>
      </c>
      <c r="AB20" s="5"/>
      <c r="AC20" s="5"/>
      <c r="AE20" t="str">
        <f>IFERROR(INDEX(EqTag,_xlfn.AGGREGATE(15,6,(ROW(EqTag)-4)/((EqSys=$D$3)*(EqTag&lt;&gt;"")),ROWS($AE$14:AE20))),"")</f>
        <v/>
      </c>
    </row>
    <row r="21" spans="1:31" ht="30" customHeight="1" x14ac:dyDescent="0.2">
      <c r="A21" s="19" t="str">
        <f>IF(F21="","",LEFT($D$3,3)&amp;"-"&amp;TEXT(COUNTIF(F$14:F21,"?*"),"00"))</f>
        <v/>
      </c>
      <c r="B21" s="5"/>
      <c r="C21" s="6" t="str">
        <f t="shared" si="0"/>
        <v/>
      </c>
      <c r="D21" s="5"/>
      <c r="E21" s="5"/>
      <c r="F21" s="5"/>
      <c r="G21" s="5"/>
      <c r="H21" s="5"/>
      <c r="I21" s="5"/>
      <c r="J21" s="5"/>
      <c r="K21" s="15"/>
      <c r="L21" s="5"/>
      <c r="M21" s="15"/>
      <c r="N21" s="5"/>
      <c r="O21" s="15"/>
      <c r="P21" s="19" t="str">
        <f t="shared" si="1"/>
        <v/>
      </c>
      <c r="Q21" s="19" t="str">
        <f t="shared" si="2"/>
        <v/>
      </c>
      <c r="R21" s="19" t="str">
        <f t="shared" si="3"/>
        <v/>
      </c>
      <c r="S21" s="5"/>
      <c r="T21" s="5"/>
      <c r="U21" s="5"/>
      <c r="V21" s="24"/>
      <c r="W21" s="15"/>
      <c r="X21" s="15"/>
      <c r="Y21" s="15"/>
      <c r="Z21" s="19" t="str">
        <f t="shared" si="4"/>
        <v/>
      </c>
      <c r="AA21" s="19" t="str">
        <f t="shared" si="5"/>
        <v/>
      </c>
      <c r="AB21" s="5"/>
      <c r="AC21" s="5"/>
      <c r="AE21" t="str">
        <f>IFERROR(INDEX(EqTag,_xlfn.AGGREGATE(15,6,(ROW(EqTag)-4)/((EqSys=$D$3)*(EqTag&lt;&gt;"")),ROWS($AE$14:AE21))),"")</f>
        <v/>
      </c>
    </row>
    <row r="22" spans="1:31" ht="30" customHeight="1" x14ac:dyDescent="0.2">
      <c r="A22" s="19" t="str">
        <f>IF(F22="","",LEFT($D$3,3)&amp;"-"&amp;TEXT(COUNTIF(F$14:F22,"?*"),"00"))</f>
        <v/>
      </c>
      <c r="B22" s="5"/>
      <c r="C22" s="6" t="str">
        <f t="shared" si="0"/>
        <v/>
      </c>
      <c r="D22" s="5"/>
      <c r="E22" s="5"/>
      <c r="F22" s="5"/>
      <c r="G22" s="5"/>
      <c r="H22" s="5"/>
      <c r="I22" s="5"/>
      <c r="J22" s="5"/>
      <c r="K22" s="15"/>
      <c r="L22" s="5"/>
      <c r="M22" s="15"/>
      <c r="N22" s="5"/>
      <c r="O22" s="15"/>
      <c r="P22" s="19" t="str">
        <f t="shared" si="1"/>
        <v/>
      </c>
      <c r="Q22" s="19" t="str">
        <f t="shared" si="2"/>
        <v/>
      </c>
      <c r="R22" s="19" t="str">
        <f t="shared" si="3"/>
        <v/>
      </c>
      <c r="S22" s="5"/>
      <c r="T22" s="5"/>
      <c r="U22" s="5"/>
      <c r="V22" s="24"/>
      <c r="W22" s="15"/>
      <c r="X22" s="15"/>
      <c r="Y22" s="15"/>
      <c r="Z22" s="19" t="str">
        <f t="shared" si="4"/>
        <v/>
      </c>
      <c r="AA22" s="19" t="str">
        <f t="shared" si="5"/>
        <v/>
      </c>
      <c r="AB22" s="5"/>
      <c r="AC22" s="5"/>
      <c r="AE22" t="str">
        <f>IFERROR(INDEX(EqTag,_xlfn.AGGREGATE(15,6,(ROW(EqTag)-4)/((EqSys=$D$3)*(EqTag&lt;&gt;"")),ROWS($AE$14:AE22))),"")</f>
        <v/>
      </c>
    </row>
    <row r="23" spans="1:31" ht="30" customHeight="1" x14ac:dyDescent="0.2">
      <c r="A23" s="19" t="str">
        <f>IF(F23="","",LEFT($D$3,3)&amp;"-"&amp;TEXT(COUNTIF(F$14:F23,"?*"),"00"))</f>
        <v/>
      </c>
      <c r="B23" s="5"/>
      <c r="C23" s="6" t="str">
        <f t="shared" si="0"/>
        <v/>
      </c>
      <c r="D23" s="5"/>
      <c r="E23" s="5"/>
      <c r="F23" s="5"/>
      <c r="G23" s="5"/>
      <c r="H23" s="5"/>
      <c r="I23" s="5"/>
      <c r="J23" s="5"/>
      <c r="K23" s="15"/>
      <c r="L23" s="5"/>
      <c r="M23" s="15"/>
      <c r="N23" s="5"/>
      <c r="O23" s="15"/>
      <c r="P23" s="19" t="str">
        <f t="shared" si="1"/>
        <v/>
      </c>
      <c r="Q23" s="19" t="str">
        <f t="shared" si="2"/>
        <v/>
      </c>
      <c r="R23" s="19" t="str">
        <f t="shared" si="3"/>
        <v/>
      </c>
      <c r="S23" s="5"/>
      <c r="T23" s="5"/>
      <c r="U23" s="5"/>
      <c r="V23" s="24"/>
      <c r="W23" s="15"/>
      <c r="X23" s="15"/>
      <c r="Y23" s="15"/>
      <c r="Z23" s="19" t="str">
        <f t="shared" si="4"/>
        <v/>
      </c>
      <c r="AA23" s="19" t="str">
        <f t="shared" si="5"/>
        <v/>
      </c>
      <c r="AB23" s="5"/>
      <c r="AC23" s="5"/>
      <c r="AE23" t="str">
        <f>IFERROR(INDEX(EqTag,_xlfn.AGGREGATE(15,6,(ROW(EqTag)-4)/((EqSys=$D$3)*(EqTag&lt;&gt;"")),ROWS($AE$14:AE23))),"")</f>
        <v/>
      </c>
    </row>
    <row r="24" spans="1:31" ht="30" customHeight="1" x14ac:dyDescent="0.2">
      <c r="A24" s="19" t="str">
        <f>IF(F24="","",LEFT($D$3,3)&amp;"-"&amp;TEXT(COUNTIF(F$14:F24,"?*"),"00"))</f>
        <v/>
      </c>
      <c r="B24" s="5"/>
      <c r="C24" s="6" t="str">
        <f t="shared" si="0"/>
        <v/>
      </c>
      <c r="D24" s="5"/>
      <c r="E24" s="5"/>
      <c r="F24" s="5"/>
      <c r="G24" s="5"/>
      <c r="H24" s="5"/>
      <c r="I24" s="5"/>
      <c r="J24" s="5"/>
      <c r="K24" s="15"/>
      <c r="L24" s="5"/>
      <c r="M24" s="15"/>
      <c r="N24" s="5"/>
      <c r="O24" s="15"/>
      <c r="P24" s="19" t="str">
        <f t="shared" si="1"/>
        <v/>
      </c>
      <c r="Q24" s="19" t="str">
        <f t="shared" si="2"/>
        <v/>
      </c>
      <c r="R24" s="19" t="str">
        <f t="shared" si="3"/>
        <v/>
      </c>
      <c r="S24" s="5"/>
      <c r="T24" s="5"/>
      <c r="U24" s="5"/>
      <c r="V24" s="24"/>
      <c r="W24" s="15"/>
      <c r="X24" s="15"/>
      <c r="Y24" s="15"/>
      <c r="Z24" s="19" t="str">
        <f t="shared" si="4"/>
        <v/>
      </c>
      <c r="AA24" s="19" t="str">
        <f t="shared" si="5"/>
        <v/>
      </c>
      <c r="AB24" s="5"/>
      <c r="AC24" s="5"/>
      <c r="AE24" t="str">
        <f>IFERROR(INDEX(EqTag,_xlfn.AGGREGATE(15,6,(ROW(EqTag)-4)/((EqSys=$D$3)*(EqTag&lt;&gt;"")),ROWS($AE$14:AE24))),"")</f>
        <v/>
      </c>
    </row>
    <row r="25" spans="1:31" ht="30" customHeight="1" x14ac:dyDescent="0.2">
      <c r="A25" s="19" t="str">
        <f>IF(F25="","",LEFT($D$3,3)&amp;"-"&amp;TEXT(COUNTIF(F$14:F25,"?*"),"00"))</f>
        <v/>
      </c>
      <c r="B25" s="5"/>
      <c r="C25" s="6" t="str">
        <f t="shared" si="0"/>
        <v/>
      </c>
      <c r="D25" s="5"/>
      <c r="E25" s="5"/>
      <c r="F25" s="5"/>
      <c r="G25" s="5"/>
      <c r="H25" s="5"/>
      <c r="I25" s="5"/>
      <c r="J25" s="5"/>
      <c r="K25" s="15"/>
      <c r="L25" s="5"/>
      <c r="M25" s="15"/>
      <c r="N25" s="5"/>
      <c r="O25" s="15"/>
      <c r="P25" s="19" t="str">
        <f t="shared" si="1"/>
        <v/>
      </c>
      <c r="Q25" s="19" t="str">
        <f t="shared" si="2"/>
        <v/>
      </c>
      <c r="R25" s="19" t="str">
        <f t="shared" si="3"/>
        <v/>
      </c>
      <c r="S25" s="5"/>
      <c r="T25" s="5"/>
      <c r="U25" s="5"/>
      <c r="V25" s="24"/>
      <c r="W25" s="15"/>
      <c r="X25" s="15"/>
      <c r="Y25" s="15"/>
      <c r="Z25" s="19" t="str">
        <f t="shared" si="4"/>
        <v/>
      </c>
      <c r="AA25" s="19" t="str">
        <f t="shared" si="5"/>
        <v/>
      </c>
      <c r="AB25" s="5"/>
      <c r="AC25" s="5"/>
      <c r="AE25" t="str">
        <f>IFERROR(INDEX(EqTag,_xlfn.AGGREGATE(15,6,(ROW(EqTag)-4)/((EqSys=$D$3)*(EqTag&lt;&gt;"")),ROWS($AE$14:AE25))),"")</f>
        <v/>
      </c>
    </row>
    <row r="26" spans="1:31" ht="30" customHeight="1" x14ac:dyDescent="0.2">
      <c r="A26" s="19" t="str">
        <f>IF(F26="","",LEFT($D$3,3)&amp;"-"&amp;TEXT(COUNTIF(F$14:F26,"?*"),"00"))</f>
        <v/>
      </c>
      <c r="B26" s="5"/>
      <c r="C26" s="6" t="str">
        <f t="shared" si="0"/>
        <v/>
      </c>
      <c r="D26" s="5"/>
      <c r="E26" s="5"/>
      <c r="F26" s="5"/>
      <c r="G26" s="5"/>
      <c r="H26" s="5"/>
      <c r="I26" s="5"/>
      <c r="J26" s="5"/>
      <c r="K26" s="15"/>
      <c r="L26" s="5"/>
      <c r="M26" s="15"/>
      <c r="N26" s="5"/>
      <c r="O26" s="15"/>
      <c r="P26" s="19" t="str">
        <f t="shared" si="1"/>
        <v/>
      </c>
      <c r="Q26" s="19" t="str">
        <f t="shared" si="2"/>
        <v/>
      </c>
      <c r="R26" s="19" t="str">
        <f t="shared" si="3"/>
        <v/>
      </c>
      <c r="S26" s="5"/>
      <c r="T26" s="5"/>
      <c r="U26" s="5"/>
      <c r="V26" s="24"/>
      <c r="W26" s="15"/>
      <c r="X26" s="15"/>
      <c r="Y26" s="15"/>
      <c r="Z26" s="19" t="str">
        <f t="shared" si="4"/>
        <v/>
      </c>
      <c r="AA26" s="19" t="str">
        <f t="shared" si="5"/>
        <v/>
      </c>
      <c r="AB26" s="5"/>
      <c r="AC26" s="5"/>
      <c r="AE26" t="str">
        <f>IFERROR(INDEX(EqTag,_xlfn.AGGREGATE(15,6,(ROW(EqTag)-4)/((EqSys=$D$3)*(EqTag&lt;&gt;"")),ROWS($AE$14:AE26))),"")</f>
        <v/>
      </c>
    </row>
    <row r="27" spans="1:31" ht="30" customHeight="1" x14ac:dyDescent="0.2">
      <c r="A27" s="19" t="str">
        <f>IF(F27="","",LEFT($D$3,3)&amp;"-"&amp;TEXT(COUNTIF(F$14:F27,"?*"),"00"))</f>
        <v/>
      </c>
      <c r="B27" s="5"/>
      <c r="C27" s="6" t="str">
        <f t="shared" si="0"/>
        <v/>
      </c>
      <c r="D27" s="5"/>
      <c r="E27" s="5"/>
      <c r="F27" s="5"/>
      <c r="G27" s="5"/>
      <c r="H27" s="5"/>
      <c r="I27" s="5"/>
      <c r="J27" s="5"/>
      <c r="K27" s="15"/>
      <c r="L27" s="5"/>
      <c r="M27" s="15"/>
      <c r="N27" s="5"/>
      <c r="O27" s="15"/>
      <c r="P27" s="19" t="str">
        <f t="shared" si="1"/>
        <v/>
      </c>
      <c r="Q27" s="19" t="str">
        <f t="shared" si="2"/>
        <v/>
      </c>
      <c r="R27" s="19" t="str">
        <f t="shared" si="3"/>
        <v/>
      </c>
      <c r="S27" s="5"/>
      <c r="T27" s="5"/>
      <c r="U27" s="5"/>
      <c r="V27" s="24"/>
      <c r="W27" s="15"/>
      <c r="X27" s="15"/>
      <c r="Y27" s="15"/>
      <c r="Z27" s="19" t="str">
        <f t="shared" si="4"/>
        <v/>
      </c>
      <c r="AA27" s="19" t="str">
        <f t="shared" si="5"/>
        <v/>
      </c>
      <c r="AB27" s="5"/>
      <c r="AC27" s="5"/>
      <c r="AE27" t="str">
        <f>IFERROR(INDEX(EqTag,_xlfn.AGGREGATE(15,6,(ROW(EqTag)-4)/((EqSys=$D$3)*(EqTag&lt;&gt;"")),ROWS($AE$14:AE27))),"")</f>
        <v/>
      </c>
    </row>
    <row r="28" spans="1:31" ht="30" customHeight="1" x14ac:dyDescent="0.2">
      <c r="A28" s="19" t="str">
        <f>IF(F28="","",LEFT($D$3,3)&amp;"-"&amp;TEXT(COUNTIF(F$14:F28,"?*"),"00"))</f>
        <v/>
      </c>
      <c r="B28" s="5"/>
      <c r="C28" s="6" t="str">
        <f t="shared" si="0"/>
        <v/>
      </c>
      <c r="D28" s="5"/>
      <c r="E28" s="5"/>
      <c r="F28" s="5"/>
      <c r="G28" s="5"/>
      <c r="H28" s="5"/>
      <c r="I28" s="5"/>
      <c r="J28" s="5"/>
      <c r="K28" s="15"/>
      <c r="L28" s="5"/>
      <c r="M28" s="15"/>
      <c r="N28" s="5"/>
      <c r="O28" s="15"/>
      <c r="P28" s="19" t="str">
        <f t="shared" si="1"/>
        <v/>
      </c>
      <c r="Q28" s="19" t="str">
        <f t="shared" si="2"/>
        <v/>
      </c>
      <c r="R28" s="19" t="str">
        <f t="shared" si="3"/>
        <v/>
      </c>
      <c r="S28" s="5"/>
      <c r="T28" s="5"/>
      <c r="U28" s="5"/>
      <c r="V28" s="24"/>
      <c r="W28" s="15"/>
      <c r="X28" s="15"/>
      <c r="Y28" s="15"/>
      <c r="Z28" s="19" t="str">
        <f t="shared" si="4"/>
        <v/>
      </c>
      <c r="AA28" s="19" t="str">
        <f t="shared" si="5"/>
        <v/>
      </c>
      <c r="AB28" s="5"/>
      <c r="AC28" s="5"/>
      <c r="AE28" t="str">
        <f>IFERROR(INDEX(EqTag,_xlfn.AGGREGATE(15,6,(ROW(EqTag)-4)/((EqSys=$D$3)*(EqTag&lt;&gt;"")),ROWS($AE$14:AE28))),"")</f>
        <v/>
      </c>
    </row>
    <row r="29" spans="1:31" ht="30" customHeight="1" x14ac:dyDescent="0.2">
      <c r="A29" s="19" t="str">
        <f>IF(F29="","",LEFT($D$3,3)&amp;"-"&amp;TEXT(COUNTIF(F$14:F29,"?*"),"00"))</f>
        <v/>
      </c>
      <c r="B29" s="5"/>
      <c r="C29" s="6" t="str">
        <f t="shared" si="0"/>
        <v/>
      </c>
      <c r="D29" s="5"/>
      <c r="E29" s="5"/>
      <c r="F29" s="5"/>
      <c r="G29" s="5"/>
      <c r="H29" s="5"/>
      <c r="I29" s="5"/>
      <c r="J29" s="5"/>
      <c r="K29" s="15"/>
      <c r="L29" s="5"/>
      <c r="M29" s="15"/>
      <c r="N29" s="5"/>
      <c r="O29" s="15"/>
      <c r="P29" s="19" t="str">
        <f t="shared" si="1"/>
        <v/>
      </c>
      <c r="Q29" s="19" t="str">
        <f t="shared" si="2"/>
        <v/>
      </c>
      <c r="R29" s="19" t="str">
        <f t="shared" si="3"/>
        <v/>
      </c>
      <c r="S29" s="5"/>
      <c r="T29" s="5"/>
      <c r="U29" s="5"/>
      <c r="V29" s="24"/>
      <c r="W29" s="15"/>
      <c r="X29" s="15"/>
      <c r="Y29" s="15"/>
      <c r="Z29" s="19" t="str">
        <f t="shared" si="4"/>
        <v/>
      </c>
      <c r="AA29" s="19" t="str">
        <f t="shared" si="5"/>
        <v/>
      </c>
      <c r="AB29" s="5"/>
      <c r="AC29" s="5"/>
      <c r="AE29" t="str">
        <f>IFERROR(INDEX(EqTag,_xlfn.AGGREGATE(15,6,(ROW(EqTag)-4)/((EqSys=$D$3)*(EqTag&lt;&gt;"")),ROWS($AE$14:AE29))),"")</f>
        <v/>
      </c>
    </row>
    <row r="30" spans="1:31" ht="30" customHeight="1" x14ac:dyDescent="0.2">
      <c r="A30" s="19" t="str">
        <f>IF(F30="","",LEFT($D$3,3)&amp;"-"&amp;TEXT(COUNTIF(F$14:F30,"?*"),"00"))</f>
        <v/>
      </c>
      <c r="B30" s="5"/>
      <c r="C30" s="6" t="str">
        <f t="shared" si="0"/>
        <v/>
      </c>
      <c r="D30" s="5"/>
      <c r="E30" s="5"/>
      <c r="F30" s="5"/>
      <c r="G30" s="5"/>
      <c r="H30" s="5"/>
      <c r="I30" s="5"/>
      <c r="J30" s="5"/>
      <c r="K30" s="15"/>
      <c r="L30" s="5"/>
      <c r="M30" s="15"/>
      <c r="N30" s="5"/>
      <c r="O30" s="15"/>
      <c r="P30" s="19" t="str">
        <f t="shared" si="1"/>
        <v/>
      </c>
      <c r="Q30" s="19" t="str">
        <f t="shared" si="2"/>
        <v/>
      </c>
      <c r="R30" s="19" t="str">
        <f t="shared" si="3"/>
        <v/>
      </c>
      <c r="S30" s="5"/>
      <c r="T30" s="5"/>
      <c r="U30" s="5"/>
      <c r="V30" s="24"/>
      <c r="W30" s="15"/>
      <c r="X30" s="15"/>
      <c r="Y30" s="15"/>
      <c r="Z30" s="19" t="str">
        <f t="shared" si="4"/>
        <v/>
      </c>
      <c r="AA30" s="19" t="str">
        <f t="shared" si="5"/>
        <v/>
      </c>
      <c r="AB30" s="5"/>
      <c r="AC30" s="5"/>
      <c r="AE30" t="str">
        <f>IFERROR(INDEX(EqTag,_xlfn.AGGREGATE(15,6,(ROW(EqTag)-4)/((EqSys=$D$3)*(EqTag&lt;&gt;"")),ROWS($AE$14:AE30))),"")</f>
        <v/>
      </c>
    </row>
    <row r="31" spans="1:31" ht="30" customHeight="1" x14ac:dyDescent="0.2">
      <c r="A31" s="19" t="str">
        <f>IF(F31="","",LEFT($D$3,3)&amp;"-"&amp;TEXT(COUNTIF(F$14:F31,"?*"),"00"))</f>
        <v/>
      </c>
      <c r="B31" s="5"/>
      <c r="C31" s="6" t="str">
        <f t="shared" si="0"/>
        <v/>
      </c>
      <c r="D31" s="5"/>
      <c r="E31" s="5"/>
      <c r="F31" s="5"/>
      <c r="G31" s="5"/>
      <c r="H31" s="5"/>
      <c r="I31" s="5"/>
      <c r="J31" s="5"/>
      <c r="K31" s="15"/>
      <c r="L31" s="5"/>
      <c r="M31" s="15"/>
      <c r="N31" s="5"/>
      <c r="O31" s="15"/>
      <c r="P31" s="19" t="str">
        <f t="shared" si="1"/>
        <v/>
      </c>
      <c r="Q31" s="19" t="str">
        <f t="shared" si="2"/>
        <v/>
      </c>
      <c r="R31" s="19" t="str">
        <f t="shared" si="3"/>
        <v/>
      </c>
      <c r="S31" s="5"/>
      <c r="T31" s="5"/>
      <c r="U31" s="5"/>
      <c r="V31" s="24"/>
      <c r="W31" s="15"/>
      <c r="X31" s="15"/>
      <c r="Y31" s="15"/>
      <c r="Z31" s="19" t="str">
        <f t="shared" si="4"/>
        <v/>
      </c>
      <c r="AA31" s="19" t="str">
        <f t="shared" si="5"/>
        <v/>
      </c>
      <c r="AB31" s="5"/>
      <c r="AC31" s="5"/>
      <c r="AE31" t="str">
        <f>IFERROR(INDEX(EqTag,_xlfn.AGGREGATE(15,6,(ROW(EqTag)-4)/((EqSys=$D$3)*(EqTag&lt;&gt;"")),ROWS($AE$14:AE31))),"")</f>
        <v/>
      </c>
    </row>
    <row r="32" spans="1:31" ht="30" customHeight="1" x14ac:dyDescent="0.2">
      <c r="A32" s="19" t="str">
        <f>IF(F32="","",LEFT($D$3,3)&amp;"-"&amp;TEXT(COUNTIF(F$14:F32,"?*"),"00"))</f>
        <v/>
      </c>
      <c r="B32" s="5"/>
      <c r="C32" s="6" t="str">
        <f t="shared" si="0"/>
        <v/>
      </c>
      <c r="D32" s="5"/>
      <c r="E32" s="5"/>
      <c r="F32" s="5"/>
      <c r="G32" s="5"/>
      <c r="H32" s="5"/>
      <c r="I32" s="5"/>
      <c r="J32" s="5"/>
      <c r="K32" s="15"/>
      <c r="L32" s="5"/>
      <c r="M32" s="15"/>
      <c r="N32" s="5"/>
      <c r="O32" s="15"/>
      <c r="P32" s="19" t="str">
        <f t="shared" si="1"/>
        <v/>
      </c>
      <c r="Q32" s="19" t="str">
        <f t="shared" si="2"/>
        <v/>
      </c>
      <c r="R32" s="19" t="str">
        <f t="shared" si="3"/>
        <v/>
      </c>
      <c r="S32" s="5"/>
      <c r="T32" s="5"/>
      <c r="U32" s="5"/>
      <c r="V32" s="24"/>
      <c r="W32" s="15"/>
      <c r="X32" s="15"/>
      <c r="Y32" s="15"/>
      <c r="Z32" s="19" t="str">
        <f t="shared" si="4"/>
        <v/>
      </c>
      <c r="AA32" s="19" t="str">
        <f t="shared" si="5"/>
        <v/>
      </c>
      <c r="AB32" s="5"/>
      <c r="AC32" s="5"/>
      <c r="AE32" t="str">
        <f>IFERROR(INDEX(EqTag,_xlfn.AGGREGATE(15,6,(ROW(EqTag)-4)/((EqSys=$D$3)*(EqTag&lt;&gt;"")),ROWS($AE$14:AE32))),"")</f>
        <v/>
      </c>
    </row>
    <row r="33" spans="1:31" ht="30" customHeight="1" x14ac:dyDescent="0.2">
      <c r="A33" s="19" t="str">
        <f>IF(F33="","",LEFT($D$3,3)&amp;"-"&amp;TEXT(COUNTIF(F$14:F33,"?*"),"00"))</f>
        <v/>
      </c>
      <c r="B33" s="5"/>
      <c r="C33" s="6" t="str">
        <f t="shared" si="0"/>
        <v/>
      </c>
      <c r="D33" s="5"/>
      <c r="E33" s="5"/>
      <c r="F33" s="5"/>
      <c r="G33" s="5"/>
      <c r="H33" s="5"/>
      <c r="I33" s="5"/>
      <c r="J33" s="5"/>
      <c r="K33" s="15"/>
      <c r="L33" s="5"/>
      <c r="M33" s="15"/>
      <c r="N33" s="5"/>
      <c r="O33" s="15"/>
      <c r="P33" s="19" t="str">
        <f t="shared" si="1"/>
        <v/>
      </c>
      <c r="Q33" s="19" t="str">
        <f t="shared" si="2"/>
        <v/>
      </c>
      <c r="R33" s="19" t="str">
        <f t="shared" si="3"/>
        <v/>
      </c>
      <c r="S33" s="5"/>
      <c r="T33" s="5"/>
      <c r="U33" s="5"/>
      <c r="V33" s="24"/>
      <c r="W33" s="15"/>
      <c r="X33" s="15"/>
      <c r="Y33" s="15"/>
      <c r="Z33" s="19" t="str">
        <f t="shared" si="4"/>
        <v/>
      </c>
      <c r="AA33" s="19" t="str">
        <f t="shared" si="5"/>
        <v/>
      </c>
      <c r="AB33" s="5"/>
      <c r="AC33" s="5"/>
      <c r="AE33" t="str">
        <f>IFERROR(INDEX(EqTag,_xlfn.AGGREGATE(15,6,(ROW(EqTag)-4)/((EqSys=$D$3)*(EqTag&lt;&gt;"")),ROWS($AE$14:AE33))),"")</f>
        <v/>
      </c>
    </row>
    <row r="34" spans="1:31" ht="30" customHeight="1" x14ac:dyDescent="0.2">
      <c r="A34" s="19" t="str">
        <f>IF(F34="","",LEFT($D$3,3)&amp;"-"&amp;TEXT(COUNTIF(F$14:F34,"?*"),"00"))</f>
        <v/>
      </c>
      <c r="B34" s="5"/>
      <c r="C34" s="6" t="str">
        <f t="shared" si="0"/>
        <v/>
      </c>
      <c r="D34" s="5"/>
      <c r="E34" s="5"/>
      <c r="F34" s="5"/>
      <c r="G34" s="5"/>
      <c r="H34" s="5"/>
      <c r="I34" s="5"/>
      <c r="J34" s="5"/>
      <c r="K34" s="15"/>
      <c r="L34" s="5"/>
      <c r="M34" s="15"/>
      <c r="N34" s="5"/>
      <c r="O34" s="15"/>
      <c r="P34" s="19" t="str">
        <f t="shared" si="1"/>
        <v/>
      </c>
      <c r="Q34" s="19" t="str">
        <f t="shared" si="2"/>
        <v/>
      </c>
      <c r="R34" s="19" t="str">
        <f t="shared" si="3"/>
        <v/>
      </c>
      <c r="S34" s="5"/>
      <c r="T34" s="5"/>
      <c r="U34" s="5"/>
      <c r="V34" s="24"/>
      <c r="W34" s="15"/>
      <c r="X34" s="15"/>
      <c r="Y34" s="15"/>
      <c r="Z34" s="19" t="str">
        <f t="shared" si="4"/>
        <v/>
      </c>
      <c r="AA34" s="19" t="str">
        <f t="shared" si="5"/>
        <v/>
      </c>
      <c r="AB34" s="5"/>
      <c r="AC34" s="5"/>
      <c r="AE34" t="str">
        <f>IFERROR(INDEX(EqTag,_xlfn.AGGREGATE(15,6,(ROW(EqTag)-4)/((EqSys=$D$3)*(EqTag&lt;&gt;"")),ROWS($AE$14:AE34))),"")</f>
        <v/>
      </c>
    </row>
    <row r="35" spans="1:31" ht="30" customHeight="1" x14ac:dyDescent="0.2">
      <c r="A35" s="19" t="str">
        <f>IF(F35="","",LEFT($D$3,3)&amp;"-"&amp;TEXT(COUNTIF(F$14:F35,"?*"),"00"))</f>
        <v/>
      </c>
      <c r="B35" s="5"/>
      <c r="C35" s="6" t="str">
        <f t="shared" si="0"/>
        <v/>
      </c>
      <c r="D35" s="5"/>
      <c r="E35" s="5"/>
      <c r="F35" s="5"/>
      <c r="G35" s="5"/>
      <c r="H35" s="5"/>
      <c r="I35" s="5"/>
      <c r="J35" s="5"/>
      <c r="K35" s="15"/>
      <c r="L35" s="5"/>
      <c r="M35" s="15"/>
      <c r="N35" s="5"/>
      <c r="O35" s="15"/>
      <c r="P35" s="19" t="str">
        <f t="shared" si="1"/>
        <v/>
      </c>
      <c r="Q35" s="19" t="str">
        <f t="shared" si="2"/>
        <v/>
      </c>
      <c r="R35" s="19" t="str">
        <f t="shared" si="3"/>
        <v/>
      </c>
      <c r="S35" s="5"/>
      <c r="T35" s="5"/>
      <c r="U35" s="5"/>
      <c r="V35" s="24"/>
      <c r="W35" s="15"/>
      <c r="X35" s="15"/>
      <c r="Y35" s="15"/>
      <c r="Z35" s="19" t="str">
        <f t="shared" si="4"/>
        <v/>
      </c>
      <c r="AA35" s="19" t="str">
        <f t="shared" si="5"/>
        <v/>
      </c>
      <c r="AB35" s="5"/>
      <c r="AC35" s="5"/>
      <c r="AE35" t="str">
        <f>IFERROR(INDEX(EqTag,_xlfn.AGGREGATE(15,6,(ROW(EqTag)-4)/((EqSys=$D$3)*(EqTag&lt;&gt;"")),ROWS($AE$14:AE35))),"")</f>
        <v/>
      </c>
    </row>
    <row r="36" spans="1:31" ht="30" customHeight="1" x14ac:dyDescent="0.2">
      <c r="A36" s="19" t="str">
        <f>IF(F36="","",LEFT($D$3,3)&amp;"-"&amp;TEXT(COUNTIF(F$14:F36,"?*"),"00"))</f>
        <v/>
      </c>
      <c r="B36" s="5"/>
      <c r="C36" s="6" t="str">
        <f t="shared" si="0"/>
        <v/>
      </c>
      <c r="D36" s="5"/>
      <c r="E36" s="5"/>
      <c r="F36" s="5"/>
      <c r="G36" s="5"/>
      <c r="H36" s="5"/>
      <c r="I36" s="5"/>
      <c r="J36" s="5"/>
      <c r="K36" s="15"/>
      <c r="L36" s="5"/>
      <c r="M36" s="15"/>
      <c r="N36" s="5"/>
      <c r="O36" s="15"/>
      <c r="P36" s="19" t="str">
        <f t="shared" si="1"/>
        <v/>
      </c>
      <c r="Q36" s="19" t="str">
        <f t="shared" si="2"/>
        <v/>
      </c>
      <c r="R36" s="19" t="str">
        <f t="shared" si="3"/>
        <v/>
      </c>
      <c r="S36" s="5"/>
      <c r="T36" s="5"/>
      <c r="U36" s="5"/>
      <c r="V36" s="24"/>
      <c r="W36" s="15"/>
      <c r="X36" s="15"/>
      <c r="Y36" s="15"/>
      <c r="Z36" s="19" t="str">
        <f t="shared" si="4"/>
        <v/>
      </c>
      <c r="AA36" s="19" t="str">
        <f t="shared" si="5"/>
        <v/>
      </c>
      <c r="AB36" s="5"/>
      <c r="AC36" s="5"/>
      <c r="AE36" t="str">
        <f>IFERROR(INDEX(EqTag,_xlfn.AGGREGATE(15,6,(ROW(EqTag)-4)/((EqSys=$D$3)*(EqTag&lt;&gt;"")),ROWS($AE$14:AE36))),"")</f>
        <v/>
      </c>
    </row>
    <row r="37" spans="1:31" ht="30" customHeight="1" x14ac:dyDescent="0.2">
      <c r="A37" s="19" t="str">
        <f>IF(F37="","",LEFT($D$3,3)&amp;"-"&amp;TEXT(COUNTIF(F$14:F37,"?*"),"00"))</f>
        <v/>
      </c>
      <c r="B37" s="5"/>
      <c r="C37" s="6" t="str">
        <f t="shared" si="0"/>
        <v/>
      </c>
      <c r="D37" s="5"/>
      <c r="E37" s="5"/>
      <c r="F37" s="5"/>
      <c r="G37" s="5"/>
      <c r="H37" s="5"/>
      <c r="I37" s="5"/>
      <c r="J37" s="5"/>
      <c r="K37" s="15"/>
      <c r="L37" s="5"/>
      <c r="M37" s="15"/>
      <c r="N37" s="5"/>
      <c r="O37" s="15"/>
      <c r="P37" s="19" t="str">
        <f t="shared" si="1"/>
        <v/>
      </c>
      <c r="Q37" s="19" t="str">
        <f t="shared" si="2"/>
        <v/>
      </c>
      <c r="R37" s="19" t="str">
        <f t="shared" si="3"/>
        <v/>
      </c>
      <c r="S37" s="5"/>
      <c r="T37" s="5"/>
      <c r="U37" s="5"/>
      <c r="V37" s="24"/>
      <c r="W37" s="15"/>
      <c r="X37" s="15"/>
      <c r="Y37" s="15"/>
      <c r="Z37" s="19" t="str">
        <f t="shared" si="4"/>
        <v/>
      </c>
      <c r="AA37" s="19" t="str">
        <f t="shared" si="5"/>
        <v/>
      </c>
      <c r="AB37" s="5"/>
      <c r="AC37" s="5"/>
      <c r="AE37" t="str">
        <f>IFERROR(INDEX(EqTag,_xlfn.AGGREGATE(15,6,(ROW(EqTag)-4)/((EqSys=$D$3)*(EqTag&lt;&gt;"")),ROWS($AE$14:AE37))),"")</f>
        <v/>
      </c>
    </row>
    <row r="38" spans="1:31" ht="30" customHeight="1" x14ac:dyDescent="0.2">
      <c r="A38" s="19" t="str">
        <f>IF(F38="","",LEFT($D$3,3)&amp;"-"&amp;TEXT(COUNTIF(F$14:F38,"?*"),"00"))</f>
        <v/>
      </c>
      <c r="B38" s="5"/>
      <c r="C38" s="6" t="str">
        <f t="shared" si="0"/>
        <v/>
      </c>
      <c r="D38" s="5"/>
      <c r="E38" s="5"/>
      <c r="F38" s="5"/>
      <c r="G38" s="5"/>
      <c r="H38" s="5"/>
      <c r="I38" s="5"/>
      <c r="J38" s="5"/>
      <c r="K38" s="15"/>
      <c r="L38" s="5"/>
      <c r="M38" s="15"/>
      <c r="N38" s="5"/>
      <c r="O38" s="15"/>
      <c r="P38" s="19" t="str">
        <f t="shared" si="1"/>
        <v/>
      </c>
      <c r="Q38" s="19" t="str">
        <f t="shared" si="2"/>
        <v/>
      </c>
      <c r="R38" s="19" t="str">
        <f t="shared" si="3"/>
        <v/>
      </c>
      <c r="S38" s="5"/>
      <c r="T38" s="5"/>
      <c r="U38" s="5"/>
      <c r="V38" s="24"/>
      <c r="W38" s="15"/>
      <c r="X38" s="15"/>
      <c r="Y38" s="15"/>
      <c r="Z38" s="19" t="str">
        <f t="shared" si="4"/>
        <v/>
      </c>
      <c r="AA38" s="19" t="str">
        <f t="shared" si="5"/>
        <v/>
      </c>
      <c r="AB38" s="5"/>
      <c r="AC38" s="5"/>
      <c r="AE38" t="str">
        <f>IFERROR(INDEX(EqTag,_xlfn.AGGREGATE(15,6,(ROW(EqTag)-4)/((EqSys=$D$3)*(EqTag&lt;&gt;"")),ROWS($AE$14:AE38))),"")</f>
        <v/>
      </c>
    </row>
    <row r="39" spans="1:31" ht="30" customHeight="1" x14ac:dyDescent="0.2">
      <c r="A39" s="19" t="str">
        <f>IF(F39="","",LEFT($D$3,3)&amp;"-"&amp;TEXT(COUNTIF(F$14:F39,"?*"),"00"))</f>
        <v/>
      </c>
      <c r="B39" s="5"/>
      <c r="C39" s="6" t="str">
        <f t="shared" si="0"/>
        <v/>
      </c>
      <c r="D39" s="5"/>
      <c r="E39" s="5"/>
      <c r="F39" s="5"/>
      <c r="G39" s="5"/>
      <c r="H39" s="5"/>
      <c r="I39" s="5"/>
      <c r="J39" s="5"/>
      <c r="K39" s="15"/>
      <c r="L39" s="5"/>
      <c r="M39" s="15"/>
      <c r="N39" s="5"/>
      <c r="O39" s="15"/>
      <c r="P39" s="19" t="str">
        <f t="shared" si="1"/>
        <v/>
      </c>
      <c r="Q39" s="19" t="str">
        <f t="shared" si="2"/>
        <v/>
      </c>
      <c r="R39" s="19" t="str">
        <f t="shared" si="3"/>
        <v/>
      </c>
      <c r="S39" s="5"/>
      <c r="T39" s="5"/>
      <c r="U39" s="5"/>
      <c r="V39" s="24"/>
      <c r="W39" s="15"/>
      <c r="X39" s="15"/>
      <c r="Y39" s="15"/>
      <c r="Z39" s="19" t="str">
        <f t="shared" si="4"/>
        <v/>
      </c>
      <c r="AA39" s="19" t="str">
        <f t="shared" si="5"/>
        <v/>
      </c>
      <c r="AB39" s="5"/>
      <c r="AC39" s="5"/>
      <c r="AE39" t="str">
        <f>IFERROR(INDEX(EqTag,_xlfn.AGGREGATE(15,6,(ROW(EqTag)-4)/((EqSys=$D$3)*(EqTag&lt;&gt;"")),ROWS($AE$14:AE39))),"")</f>
        <v/>
      </c>
    </row>
    <row r="40" spans="1:31" ht="30" customHeight="1" x14ac:dyDescent="0.2">
      <c r="A40" s="19" t="str">
        <f>IF(F40="","",LEFT($D$3,3)&amp;"-"&amp;TEXT(COUNTIF(F$14:F40,"?*"),"00"))</f>
        <v/>
      </c>
      <c r="B40" s="5"/>
      <c r="C40" s="6" t="str">
        <f t="shared" si="0"/>
        <v/>
      </c>
      <c r="D40" s="5"/>
      <c r="E40" s="5"/>
      <c r="F40" s="5"/>
      <c r="G40" s="5"/>
      <c r="H40" s="5"/>
      <c r="I40" s="5"/>
      <c r="J40" s="5"/>
      <c r="K40" s="15"/>
      <c r="L40" s="5"/>
      <c r="M40" s="15"/>
      <c r="N40" s="5"/>
      <c r="O40" s="15"/>
      <c r="P40" s="19" t="str">
        <f t="shared" si="1"/>
        <v/>
      </c>
      <c r="Q40" s="19" t="str">
        <f t="shared" si="2"/>
        <v/>
      </c>
      <c r="R40" s="19" t="str">
        <f t="shared" si="3"/>
        <v/>
      </c>
      <c r="S40" s="5"/>
      <c r="T40" s="5"/>
      <c r="U40" s="5"/>
      <c r="V40" s="24"/>
      <c r="W40" s="15"/>
      <c r="X40" s="15"/>
      <c r="Y40" s="15"/>
      <c r="Z40" s="19" t="str">
        <f t="shared" si="4"/>
        <v/>
      </c>
      <c r="AA40" s="19" t="str">
        <f t="shared" si="5"/>
        <v/>
      </c>
      <c r="AB40" s="5"/>
      <c r="AC40" s="5"/>
      <c r="AE40" t="str">
        <f>IFERROR(INDEX(EqTag,_xlfn.AGGREGATE(15,6,(ROW(EqTag)-4)/((EqSys=$D$3)*(EqTag&lt;&gt;"")),ROWS($AE$14:AE40))),"")</f>
        <v/>
      </c>
    </row>
    <row r="41" spans="1:31" ht="30" customHeight="1" x14ac:dyDescent="0.2">
      <c r="A41" s="19" t="str">
        <f>IF(F41="","",LEFT($D$3,3)&amp;"-"&amp;TEXT(COUNTIF(F$14:F41,"?*"),"00"))</f>
        <v/>
      </c>
      <c r="B41" s="5"/>
      <c r="C41" s="6" t="str">
        <f t="shared" si="0"/>
        <v/>
      </c>
      <c r="D41" s="5"/>
      <c r="E41" s="5"/>
      <c r="F41" s="5"/>
      <c r="G41" s="5"/>
      <c r="H41" s="5"/>
      <c r="I41" s="5"/>
      <c r="J41" s="5"/>
      <c r="K41" s="15"/>
      <c r="L41" s="5"/>
      <c r="M41" s="15"/>
      <c r="N41" s="5"/>
      <c r="O41" s="15"/>
      <c r="P41" s="19" t="str">
        <f t="shared" si="1"/>
        <v/>
      </c>
      <c r="Q41" s="19" t="str">
        <f t="shared" si="2"/>
        <v/>
      </c>
      <c r="R41" s="19" t="str">
        <f t="shared" si="3"/>
        <v/>
      </c>
      <c r="S41" s="5"/>
      <c r="T41" s="5"/>
      <c r="U41" s="5"/>
      <c r="V41" s="24"/>
      <c r="W41" s="15"/>
      <c r="X41" s="15"/>
      <c r="Y41" s="15"/>
      <c r="Z41" s="19" t="str">
        <f t="shared" si="4"/>
        <v/>
      </c>
      <c r="AA41" s="19" t="str">
        <f t="shared" si="5"/>
        <v/>
      </c>
      <c r="AB41" s="5"/>
      <c r="AC41" s="5"/>
      <c r="AE41" t="str">
        <f>IFERROR(INDEX(EqTag,_xlfn.AGGREGATE(15,6,(ROW(EqTag)-4)/((EqSys=$D$3)*(EqTag&lt;&gt;"")),ROWS($AE$14:AE41))),"")</f>
        <v/>
      </c>
    </row>
    <row r="42" spans="1:31" ht="30" customHeight="1" x14ac:dyDescent="0.2">
      <c r="A42" s="19" t="str">
        <f>IF(F42="","",LEFT($D$3,3)&amp;"-"&amp;TEXT(COUNTIF(F$14:F42,"?*"),"00"))</f>
        <v/>
      </c>
      <c r="B42" s="5"/>
      <c r="C42" s="6" t="str">
        <f t="shared" si="0"/>
        <v/>
      </c>
      <c r="D42" s="5"/>
      <c r="E42" s="5"/>
      <c r="F42" s="5"/>
      <c r="G42" s="5"/>
      <c r="H42" s="5"/>
      <c r="I42" s="5"/>
      <c r="J42" s="5"/>
      <c r="K42" s="15"/>
      <c r="L42" s="5"/>
      <c r="M42" s="15"/>
      <c r="N42" s="5"/>
      <c r="O42" s="15"/>
      <c r="P42" s="19" t="str">
        <f t="shared" si="1"/>
        <v/>
      </c>
      <c r="Q42" s="19" t="str">
        <f t="shared" si="2"/>
        <v/>
      </c>
      <c r="R42" s="19" t="str">
        <f t="shared" si="3"/>
        <v/>
      </c>
      <c r="S42" s="5"/>
      <c r="T42" s="5"/>
      <c r="U42" s="5"/>
      <c r="V42" s="24"/>
      <c r="W42" s="15"/>
      <c r="X42" s="15"/>
      <c r="Y42" s="15"/>
      <c r="Z42" s="19" t="str">
        <f t="shared" si="4"/>
        <v/>
      </c>
      <c r="AA42" s="19" t="str">
        <f t="shared" si="5"/>
        <v/>
      </c>
      <c r="AB42" s="5"/>
      <c r="AC42" s="5"/>
      <c r="AE42" t="str">
        <f>IFERROR(INDEX(EqTag,_xlfn.AGGREGATE(15,6,(ROW(EqTag)-4)/((EqSys=$D$3)*(EqTag&lt;&gt;"")),ROWS($AE$14:AE42))),"")</f>
        <v/>
      </c>
    </row>
    <row r="43" spans="1:31" ht="30" customHeight="1" x14ac:dyDescent="0.2">
      <c r="A43" s="19" t="str">
        <f>IF(F43="","",LEFT($D$3,3)&amp;"-"&amp;TEXT(COUNTIF(F$14:F43,"?*"),"00"))</f>
        <v/>
      </c>
      <c r="B43" s="5"/>
      <c r="C43" s="6" t="str">
        <f t="shared" si="0"/>
        <v/>
      </c>
      <c r="D43" s="5"/>
      <c r="E43" s="5"/>
      <c r="F43" s="5"/>
      <c r="G43" s="5"/>
      <c r="H43" s="5"/>
      <c r="I43" s="5"/>
      <c r="J43" s="5"/>
      <c r="K43" s="15"/>
      <c r="L43" s="5"/>
      <c r="M43" s="15"/>
      <c r="N43" s="5"/>
      <c r="O43" s="15"/>
      <c r="P43" s="19" t="str">
        <f t="shared" si="1"/>
        <v/>
      </c>
      <c r="Q43" s="19" t="str">
        <f t="shared" si="2"/>
        <v/>
      </c>
      <c r="R43" s="19" t="str">
        <f t="shared" si="3"/>
        <v/>
      </c>
      <c r="S43" s="5"/>
      <c r="T43" s="5"/>
      <c r="U43" s="5"/>
      <c r="V43" s="24"/>
      <c r="W43" s="15"/>
      <c r="X43" s="15"/>
      <c r="Y43" s="15"/>
      <c r="Z43" s="19" t="str">
        <f t="shared" si="4"/>
        <v/>
      </c>
      <c r="AA43" s="19" t="str">
        <f t="shared" si="5"/>
        <v/>
      </c>
      <c r="AB43" s="5"/>
      <c r="AC43" s="5"/>
      <c r="AE43" t="str">
        <f>IFERROR(INDEX(EqTag,_xlfn.AGGREGATE(15,6,(ROW(EqTag)-4)/((EqSys=$D$3)*(EqTag&lt;&gt;"")),ROWS($AE$14:AE43))),"")</f>
        <v/>
      </c>
    </row>
    <row r="44" spans="1:31" ht="30" customHeight="1" x14ac:dyDescent="0.2">
      <c r="A44" s="19" t="str">
        <f>IF(F44="","",LEFT($D$3,3)&amp;"-"&amp;TEXT(COUNTIF(F$14:F44,"?*"),"00"))</f>
        <v/>
      </c>
      <c r="B44" s="5"/>
      <c r="C44" s="6" t="str">
        <f t="shared" si="0"/>
        <v/>
      </c>
      <c r="D44" s="5"/>
      <c r="E44" s="5"/>
      <c r="F44" s="5"/>
      <c r="G44" s="5"/>
      <c r="H44" s="5"/>
      <c r="I44" s="5"/>
      <c r="J44" s="5"/>
      <c r="K44" s="15"/>
      <c r="L44" s="5"/>
      <c r="M44" s="15"/>
      <c r="N44" s="5"/>
      <c r="O44" s="15"/>
      <c r="P44" s="19" t="str">
        <f t="shared" si="1"/>
        <v/>
      </c>
      <c r="Q44" s="19" t="str">
        <f t="shared" si="2"/>
        <v/>
      </c>
      <c r="R44" s="19" t="str">
        <f t="shared" si="3"/>
        <v/>
      </c>
      <c r="S44" s="5"/>
      <c r="T44" s="5"/>
      <c r="U44" s="5"/>
      <c r="V44" s="24"/>
      <c r="W44" s="15"/>
      <c r="X44" s="15"/>
      <c r="Y44" s="15"/>
      <c r="Z44" s="19" t="str">
        <f t="shared" si="4"/>
        <v/>
      </c>
      <c r="AA44" s="19" t="str">
        <f t="shared" si="5"/>
        <v/>
      </c>
      <c r="AB44" s="5"/>
      <c r="AC44" s="5"/>
      <c r="AE44" t="str">
        <f>IFERROR(INDEX(EqTag,_xlfn.AGGREGATE(15,6,(ROW(EqTag)-4)/((EqSys=$D$3)*(EqTag&lt;&gt;"")),ROWS($AE$14:AE44))),"")</f>
        <v/>
      </c>
    </row>
    <row r="45" spans="1:31" ht="30" customHeight="1" x14ac:dyDescent="0.2">
      <c r="A45" s="19" t="str">
        <f>IF(F45="","",LEFT($D$3,3)&amp;"-"&amp;TEXT(COUNTIF(F$14:F45,"?*"),"00"))</f>
        <v/>
      </c>
      <c r="B45" s="5"/>
      <c r="C45" s="6" t="str">
        <f t="shared" si="0"/>
        <v/>
      </c>
      <c r="D45" s="5"/>
      <c r="E45" s="5"/>
      <c r="F45" s="5"/>
      <c r="G45" s="5"/>
      <c r="H45" s="5"/>
      <c r="I45" s="5"/>
      <c r="J45" s="5"/>
      <c r="K45" s="15"/>
      <c r="L45" s="5"/>
      <c r="M45" s="15"/>
      <c r="N45" s="5"/>
      <c r="O45" s="15"/>
      <c r="P45" s="19" t="str">
        <f t="shared" si="1"/>
        <v/>
      </c>
      <c r="Q45" s="19" t="str">
        <f t="shared" si="2"/>
        <v/>
      </c>
      <c r="R45" s="19" t="str">
        <f t="shared" si="3"/>
        <v/>
      </c>
      <c r="S45" s="5"/>
      <c r="T45" s="5"/>
      <c r="U45" s="5"/>
      <c r="V45" s="24"/>
      <c r="W45" s="15"/>
      <c r="X45" s="15"/>
      <c r="Y45" s="15"/>
      <c r="Z45" s="19" t="str">
        <f t="shared" si="4"/>
        <v/>
      </c>
      <c r="AA45" s="19" t="str">
        <f t="shared" si="5"/>
        <v/>
      </c>
      <c r="AB45" s="5"/>
      <c r="AC45" s="5"/>
      <c r="AE45" t="str">
        <f>IFERROR(INDEX(EqTag,_xlfn.AGGREGATE(15,6,(ROW(EqTag)-4)/((EqSys=$D$3)*(EqTag&lt;&gt;"")),ROWS($AE$14:AE45))),"")</f>
        <v/>
      </c>
    </row>
    <row r="46" spans="1:31" ht="30" customHeight="1" x14ac:dyDescent="0.2">
      <c r="A46" s="19" t="str">
        <f>IF(F46="","",LEFT($D$3,3)&amp;"-"&amp;TEXT(COUNTIF(F$14:F46,"?*"),"00"))</f>
        <v/>
      </c>
      <c r="B46" s="5"/>
      <c r="C46" s="6" t="str">
        <f t="shared" ref="C46:C77" si="6">IF(B46="","",IFERROR(INDEX(EqTypeCol,MATCH(B46,EqTag,0)),"Tag not in register"))</f>
        <v/>
      </c>
      <c r="D46" s="5"/>
      <c r="E46" s="5"/>
      <c r="F46" s="5"/>
      <c r="G46" s="5"/>
      <c r="H46" s="5"/>
      <c r="I46" s="5"/>
      <c r="J46" s="5"/>
      <c r="K46" s="15"/>
      <c r="L46" s="5"/>
      <c r="M46" s="15"/>
      <c r="N46" s="5"/>
      <c r="O46" s="15"/>
      <c r="P46" s="19" t="str">
        <f t="shared" ref="P46:P77" si="7">IF(OR(K46="",M46="",O46=""),"",(--TRIM(LEFT(K46,2)))*(--TRIM(LEFT(M46,2)))*(--TRIM(LEFT(O46,2))))</f>
        <v/>
      </c>
      <c r="Q46" s="19" t="str">
        <f t="shared" ref="Q46:Q77" si="8">IF(OR(K46="",M46="",O46=""),"",INDEX(APGrid,COUNTIF(APS,"&gt;"&amp;(--TRIM(LEFT(K46,2))))*5+COUNTIF(APO,"&gt;"&amp;(--TRIM(LEFT(M46,2))))+1,COUNTIF(APD,"&gt;"&amp;(--TRIM(LEFT(O46,2))))+1))</f>
        <v/>
      </c>
      <c r="R46" s="19" t="str">
        <f t="shared" ref="R46:R77" si="9">IF(P46="","",IF(OR((--TRIM(LEFT(K46,2)))&gt;=SThr,P46&gt;=RPNThr,Q46="H"),"Yes","No"))</f>
        <v/>
      </c>
      <c r="S46" s="5"/>
      <c r="T46" s="5"/>
      <c r="U46" s="5"/>
      <c r="V46" s="24"/>
      <c r="W46" s="15"/>
      <c r="X46" s="15"/>
      <c r="Y46" s="15"/>
      <c r="Z46" s="19" t="str">
        <f t="shared" ref="Z46:Z77" si="10">IF(OR(W46="",X46="",Y46=""),"",(--TRIM(LEFT(W46,2)))*(--TRIM(LEFT(X46,2)))*(--TRIM(LEFT(Y46,2))))</f>
        <v/>
      </c>
      <c r="AA46" s="19" t="str">
        <f t="shared" ref="AA46:AA77" si="11">IF(OR(W46="",X46="",Y46=""),"",INDEX(APGrid,COUNTIF(APS,"&gt;"&amp;(--TRIM(LEFT(W46,2))))*5+COUNTIF(APO,"&gt;"&amp;(--TRIM(LEFT(X46,2))))+1,COUNTIF(APD,"&gt;"&amp;(--TRIM(LEFT(Y46,2))))+1))</f>
        <v/>
      </c>
      <c r="AB46" s="5"/>
      <c r="AC46" s="5"/>
      <c r="AE46" t="str">
        <f>IFERROR(INDEX(EqTag,_xlfn.AGGREGATE(15,6,(ROW(EqTag)-4)/((EqSys=$D$3)*(EqTag&lt;&gt;"")),ROWS($AE$14:AE46))),"")</f>
        <v/>
      </c>
    </row>
    <row r="47" spans="1:31" ht="30" customHeight="1" x14ac:dyDescent="0.2">
      <c r="A47" s="19" t="str">
        <f>IF(F47="","",LEFT($D$3,3)&amp;"-"&amp;TEXT(COUNTIF(F$14:F47,"?*"),"00"))</f>
        <v/>
      </c>
      <c r="B47" s="5"/>
      <c r="C47" s="6" t="str">
        <f t="shared" si="6"/>
        <v/>
      </c>
      <c r="D47" s="5"/>
      <c r="E47" s="5"/>
      <c r="F47" s="5"/>
      <c r="G47" s="5"/>
      <c r="H47" s="5"/>
      <c r="I47" s="5"/>
      <c r="J47" s="5"/>
      <c r="K47" s="15"/>
      <c r="L47" s="5"/>
      <c r="M47" s="15"/>
      <c r="N47" s="5"/>
      <c r="O47" s="15"/>
      <c r="P47" s="19" t="str">
        <f t="shared" si="7"/>
        <v/>
      </c>
      <c r="Q47" s="19" t="str">
        <f t="shared" si="8"/>
        <v/>
      </c>
      <c r="R47" s="19" t="str">
        <f t="shared" si="9"/>
        <v/>
      </c>
      <c r="S47" s="5"/>
      <c r="T47" s="5"/>
      <c r="U47" s="5"/>
      <c r="V47" s="24"/>
      <c r="W47" s="15"/>
      <c r="X47" s="15"/>
      <c r="Y47" s="15"/>
      <c r="Z47" s="19" t="str">
        <f t="shared" si="10"/>
        <v/>
      </c>
      <c r="AA47" s="19" t="str">
        <f t="shared" si="11"/>
        <v/>
      </c>
      <c r="AB47" s="5"/>
      <c r="AC47" s="5"/>
      <c r="AE47" t="str">
        <f>IFERROR(INDEX(EqTag,_xlfn.AGGREGATE(15,6,(ROW(EqTag)-4)/((EqSys=$D$3)*(EqTag&lt;&gt;"")),ROWS($AE$14:AE47))),"")</f>
        <v/>
      </c>
    </row>
    <row r="48" spans="1:31" ht="30" customHeight="1" x14ac:dyDescent="0.2">
      <c r="A48" s="19" t="str">
        <f>IF(F48="","",LEFT($D$3,3)&amp;"-"&amp;TEXT(COUNTIF(F$14:F48,"?*"),"00"))</f>
        <v/>
      </c>
      <c r="B48" s="5"/>
      <c r="C48" s="6" t="str">
        <f t="shared" si="6"/>
        <v/>
      </c>
      <c r="D48" s="5"/>
      <c r="E48" s="5"/>
      <c r="F48" s="5"/>
      <c r="G48" s="5"/>
      <c r="H48" s="5"/>
      <c r="I48" s="5"/>
      <c r="J48" s="5"/>
      <c r="K48" s="15"/>
      <c r="L48" s="5"/>
      <c r="M48" s="15"/>
      <c r="N48" s="5"/>
      <c r="O48" s="15"/>
      <c r="P48" s="19" t="str">
        <f t="shared" si="7"/>
        <v/>
      </c>
      <c r="Q48" s="19" t="str">
        <f t="shared" si="8"/>
        <v/>
      </c>
      <c r="R48" s="19" t="str">
        <f t="shared" si="9"/>
        <v/>
      </c>
      <c r="S48" s="5"/>
      <c r="T48" s="5"/>
      <c r="U48" s="5"/>
      <c r="V48" s="24"/>
      <c r="W48" s="15"/>
      <c r="X48" s="15"/>
      <c r="Y48" s="15"/>
      <c r="Z48" s="19" t="str">
        <f t="shared" si="10"/>
        <v/>
      </c>
      <c r="AA48" s="19" t="str">
        <f t="shared" si="11"/>
        <v/>
      </c>
      <c r="AB48" s="5"/>
      <c r="AC48" s="5"/>
      <c r="AE48" t="str">
        <f>IFERROR(INDEX(EqTag,_xlfn.AGGREGATE(15,6,(ROW(EqTag)-4)/((EqSys=$D$3)*(EqTag&lt;&gt;"")),ROWS($AE$14:AE48))),"")</f>
        <v/>
      </c>
    </row>
    <row r="49" spans="1:31" ht="30" customHeight="1" x14ac:dyDescent="0.2">
      <c r="A49" s="19" t="str">
        <f>IF(F49="","",LEFT($D$3,3)&amp;"-"&amp;TEXT(COUNTIF(F$14:F49,"?*"),"00"))</f>
        <v/>
      </c>
      <c r="B49" s="5"/>
      <c r="C49" s="6" t="str">
        <f t="shared" si="6"/>
        <v/>
      </c>
      <c r="D49" s="5"/>
      <c r="E49" s="5"/>
      <c r="F49" s="5"/>
      <c r="G49" s="5"/>
      <c r="H49" s="5"/>
      <c r="I49" s="5"/>
      <c r="J49" s="5"/>
      <c r="K49" s="15"/>
      <c r="L49" s="5"/>
      <c r="M49" s="15"/>
      <c r="N49" s="5"/>
      <c r="O49" s="15"/>
      <c r="P49" s="19" t="str">
        <f t="shared" si="7"/>
        <v/>
      </c>
      <c r="Q49" s="19" t="str">
        <f t="shared" si="8"/>
        <v/>
      </c>
      <c r="R49" s="19" t="str">
        <f t="shared" si="9"/>
        <v/>
      </c>
      <c r="S49" s="5"/>
      <c r="T49" s="5"/>
      <c r="U49" s="5"/>
      <c r="V49" s="24"/>
      <c r="W49" s="15"/>
      <c r="X49" s="15"/>
      <c r="Y49" s="15"/>
      <c r="Z49" s="19" t="str">
        <f t="shared" si="10"/>
        <v/>
      </c>
      <c r="AA49" s="19" t="str">
        <f t="shared" si="11"/>
        <v/>
      </c>
      <c r="AB49" s="5"/>
      <c r="AC49" s="5"/>
      <c r="AE49" t="str">
        <f>IFERROR(INDEX(EqTag,_xlfn.AGGREGATE(15,6,(ROW(EqTag)-4)/((EqSys=$D$3)*(EqTag&lt;&gt;"")),ROWS($AE$14:AE49))),"")</f>
        <v/>
      </c>
    </row>
    <row r="50" spans="1:31" ht="30" customHeight="1" x14ac:dyDescent="0.2">
      <c r="A50" s="19" t="str">
        <f>IF(F50="","",LEFT($D$3,3)&amp;"-"&amp;TEXT(COUNTIF(F$14:F50,"?*"),"00"))</f>
        <v/>
      </c>
      <c r="B50" s="5"/>
      <c r="C50" s="6" t="str">
        <f t="shared" si="6"/>
        <v/>
      </c>
      <c r="D50" s="5"/>
      <c r="E50" s="5"/>
      <c r="F50" s="5"/>
      <c r="G50" s="5"/>
      <c r="H50" s="5"/>
      <c r="I50" s="5"/>
      <c r="J50" s="5"/>
      <c r="K50" s="15"/>
      <c r="L50" s="5"/>
      <c r="M50" s="15"/>
      <c r="N50" s="5"/>
      <c r="O50" s="15"/>
      <c r="P50" s="19" t="str">
        <f t="shared" si="7"/>
        <v/>
      </c>
      <c r="Q50" s="19" t="str">
        <f t="shared" si="8"/>
        <v/>
      </c>
      <c r="R50" s="19" t="str">
        <f t="shared" si="9"/>
        <v/>
      </c>
      <c r="S50" s="5"/>
      <c r="T50" s="5"/>
      <c r="U50" s="5"/>
      <c r="V50" s="24"/>
      <c r="W50" s="15"/>
      <c r="X50" s="15"/>
      <c r="Y50" s="15"/>
      <c r="Z50" s="19" t="str">
        <f t="shared" si="10"/>
        <v/>
      </c>
      <c r="AA50" s="19" t="str">
        <f t="shared" si="11"/>
        <v/>
      </c>
      <c r="AB50" s="5"/>
      <c r="AC50" s="5"/>
      <c r="AE50" t="str">
        <f>IFERROR(INDEX(EqTag,_xlfn.AGGREGATE(15,6,(ROW(EqTag)-4)/((EqSys=$D$3)*(EqTag&lt;&gt;"")),ROWS($AE$14:AE50))),"")</f>
        <v/>
      </c>
    </row>
    <row r="51" spans="1:31" ht="30" customHeight="1" x14ac:dyDescent="0.2">
      <c r="A51" s="19" t="str">
        <f>IF(F51="","",LEFT($D$3,3)&amp;"-"&amp;TEXT(COUNTIF(F$14:F51,"?*"),"00"))</f>
        <v/>
      </c>
      <c r="B51" s="5"/>
      <c r="C51" s="6" t="str">
        <f t="shared" si="6"/>
        <v/>
      </c>
      <c r="D51" s="5"/>
      <c r="E51" s="5"/>
      <c r="F51" s="5"/>
      <c r="G51" s="5"/>
      <c r="H51" s="5"/>
      <c r="I51" s="5"/>
      <c r="J51" s="5"/>
      <c r="K51" s="15"/>
      <c r="L51" s="5"/>
      <c r="M51" s="15"/>
      <c r="N51" s="5"/>
      <c r="O51" s="15"/>
      <c r="P51" s="19" t="str">
        <f t="shared" si="7"/>
        <v/>
      </c>
      <c r="Q51" s="19" t="str">
        <f t="shared" si="8"/>
        <v/>
      </c>
      <c r="R51" s="19" t="str">
        <f t="shared" si="9"/>
        <v/>
      </c>
      <c r="S51" s="5"/>
      <c r="T51" s="5"/>
      <c r="U51" s="5"/>
      <c r="V51" s="24"/>
      <c r="W51" s="15"/>
      <c r="X51" s="15"/>
      <c r="Y51" s="15"/>
      <c r="Z51" s="19" t="str">
        <f t="shared" si="10"/>
        <v/>
      </c>
      <c r="AA51" s="19" t="str">
        <f t="shared" si="11"/>
        <v/>
      </c>
      <c r="AB51" s="5"/>
      <c r="AC51" s="5"/>
      <c r="AE51" t="str">
        <f>IFERROR(INDEX(EqTag,_xlfn.AGGREGATE(15,6,(ROW(EqTag)-4)/((EqSys=$D$3)*(EqTag&lt;&gt;"")),ROWS($AE$14:AE51))),"")</f>
        <v/>
      </c>
    </row>
    <row r="52" spans="1:31" ht="30" customHeight="1" x14ac:dyDescent="0.2">
      <c r="A52" s="19" t="str">
        <f>IF(F52="","",LEFT($D$3,3)&amp;"-"&amp;TEXT(COUNTIF(F$14:F52,"?*"),"00"))</f>
        <v/>
      </c>
      <c r="B52" s="5"/>
      <c r="C52" s="6" t="str">
        <f t="shared" si="6"/>
        <v/>
      </c>
      <c r="D52" s="5"/>
      <c r="E52" s="5"/>
      <c r="F52" s="5"/>
      <c r="G52" s="5"/>
      <c r="H52" s="5"/>
      <c r="I52" s="5"/>
      <c r="J52" s="5"/>
      <c r="K52" s="15"/>
      <c r="L52" s="5"/>
      <c r="M52" s="15"/>
      <c r="N52" s="5"/>
      <c r="O52" s="15"/>
      <c r="P52" s="19" t="str">
        <f t="shared" si="7"/>
        <v/>
      </c>
      <c r="Q52" s="19" t="str">
        <f t="shared" si="8"/>
        <v/>
      </c>
      <c r="R52" s="19" t="str">
        <f t="shared" si="9"/>
        <v/>
      </c>
      <c r="S52" s="5"/>
      <c r="T52" s="5"/>
      <c r="U52" s="5"/>
      <c r="V52" s="24"/>
      <c r="W52" s="15"/>
      <c r="X52" s="15"/>
      <c r="Y52" s="15"/>
      <c r="Z52" s="19" t="str">
        <f t="shared" si="10"/>
        <v/>
      </c>
      <c r="AA52" s="19" t="str">
        <f t="shared" si="11"/>
        <v/>
      </c>
      <c r="AB52" s="5"/>
      <c r="AC52" s="5"/>
      <c r="AE52" t="str">
        <f>IFERROR(INDEX(EqTag,_xlfn.AGGREGATE(15,6,(ROW(EqTag)-4)/((EqSys=$D$3)*(EqTag&lt;&gt;"")),ROWS($AE$14:AE52))),"")</f>
        <v/>
      </c>
    </row>
    <row r="53" spans="1:31" ht="30" customHeight="1" x14ac:dyDescent="0.2">
      <c r="A53" s="19" t="str">
        <f>IF(F53="","",LEFT($D$3,3)&amp;"-"&amp;TEXT(COUNTIF(F$14:F53,"?*"),"00"))</f>
        <v/>
      </c>
      <c r="B53" s="5"/>
      <c r="C53" s="6" t="str">
        <f t="shared" si="6"/>
        <v/>
      </c>
      <c r="D53" s="5"/>
      <c r="E53" s="5"/>
      <c r="F53" s="5"/>
      <c r="G53" s="5"/>
      <c r="H53" s="5"/>
      <c r="I53" s="5"/>
      <c r="J53" s="5"/>
      <c r="K53" s="15"/>
      <c r="L53" s="5"/>
      <c r="M53" s="15"/>
      <c r="N53" s="5"/>
      <c r="O53" s="15"/>
      <c r="P53" s="19" t="str">
        <f t="shared" si="7"/>
        <v/>
      </c>
      <c r="Q53" s="19" t="str">
        <f t="shared" si="8"/>
        <v/>
      </c>
      <c r="R53" s="19" t="str">
        <f t="shared" si="9"/>
        <v/>
      </c>
      <c r="S53" s="5"/>
      <c r="T53" s="5"/>
      <c r="U53" s="5"/>
      <c r="V53" s="24"/>
      <c r="W53" s="15"/>
      <c r="X53" s="15"/>
      <c r="Y53" s="15"/>
      <c r="Z53" s="19" t="str">
        <f t="shared" si="10"/>
        <v/>
      </c>
      <c r="AA53" s="19" t="str">
        <f t="shared" si="11"/>
        <v/>
      </c>
      <c r="AB53" s="5"/>
      <c r="AC53" s="5"/>
      <c r="AE53" t="str">
        <f>IFERROR(INDEX(EqTag,_xlfn.AGGREGATE(15,6,(ROW(EqTag)-4)/((EqSys=$D$3)*(EqTag&lt;&gt;"")),ROWS($AE$14:AE53))),"")</f>
        <v/>
      </c>
    </row>
    <row r="54" spans="1:31" ht="30" customHeight="1" x14ac:dyDescent="0.2">
      <c r="A54" s="19" t="str">
        <f>IF(F54="","",LEFT($D$3,3)&amp;"-"&amp;TEXT(COUNTIF(F$14:F54,"?*"),"00"))</f>
        <v/>
      </c>
      <c r="B54" s="5"/>
      <c r="C54" s="6" t="str">
        <f t="shared" si="6"/>
        <v/>
      </c>
      <c r="D54" s="5"/>
      <c r="E54" s="5"/>
      <c r="F54" s="5"/>
      <c r="G54" s="5"/>
      <c r="H54" s="5"/>
      <c r="I54" s="5"/>
      <c r="J54" s="5"/>
      <c r="K54" s="15"/>
      <c r="L54" s="5"/>
      <c r="M54" s="15"/>
      <c r="N54" s="5"/>
      <c r="O54" s="15"/>
      <c r="P54" s="19" t="str">
        <f t="shared" si="7"/>
        <v/>
      </c>
      <c r="Q54" s="19" t="str">
        <f t="shared" si="8"/>
        <v/>
      </c>
      <c r="R54" s="19" t="str">
        <f t="shared" si="9"/>
        <v/>
      </c>
      <c r="S54" s="5"/>
      <c r="T54" s="5"/>
      <c r="U54" s="5"/>
      <c r="V54" s="24"/>
      <c r="W54" s="15"/>
      <c r="X54" s="15"/>
      <c r="Y54" s="15"/>
      <c r="Z54" s="19" t="str">
        <f t="shared" si="10"/>
        <v/>
      </c>
      <c r="AA54" s="19" t="str">
        <f t="shared" si="11"/>
        <v/>
      </c>
      <c r="AB54" s="5"/>
      <c r="AC54" s="5"/>
      <c r="AE54" t="str">
        <f>IFERROR(INDEX(EqTag,_xlfn.AGGREGATE(15,6,(ROW(EqTag)-4)/((EqSys=$D$3)*(EqTag&lt;&gt;"")),ROWS($AE$14:AE54))),"")</f>
        <v/>
      </c>
    </row>
    <row r="55" spans="1:31" ht="30" customHeight="1" x14ac:dyDescent="0.2">
      <c r="A55" s="19" t="str">
        <f>IF(F55="","",LEFT($D$3,3)&amp;"-"&amp;TEXT(COUNTIF(F$14:F55,"?*"),"00"))</f>
        <v/>
      </c>
      <c r="B55" s="5"/>
      <c r="C55" s="6" t="str">
        <f t="shared" si="6"/>
        <v/>
      </c>
      <c r="D55" s="5"/>
      <c r="E55" s="5"/>
      <c r="F55" s="5"/>
      <c r="G55" s="5"/>
      <c r="H55" s="5"/>
      <c r="I55" s="5"/>
      <c r="J55" s="5"/>
      <c r="K55" s="15"/>
      <c r="L55" s="5"/>
      <c r="M55" s="15"/>
      <c r="N55" s="5"/>
      <c r="O55" s="15"/>
      <c r="P55" s="19" t="str">
        <f t="shared" si="7"/>
        <v/>
      </c>
      <c r="Q55" s="19" t="str">
        <f t="shared" si="8"/>
        <v/>
      </c>
      <c r="R55" s="19" t="str">
        <f t="shared" si="9"/>
        <v/>
      </c>
      <c r="S55" s="5"/>
      <c r="T55" s="5"/>
      <c r="U55" s="5"/>
      <c r="V55" s="24"/>
      <c r="W55" s="15"/>
      <c r="X55" s="15"/>
      <c r="Y55" s="15"/>
      <c r="Z55" s="19" t="str">
        <f t="shared" si="10"/>
        <v/>
      </c>
      <c r="AA55" s="19" t="str">
        <f t="shared" si="11"/>
        <v/>
      </c>
      <c r="AB55" s="5"/>
      <c r="AC55" s="5"/>
      <c r="AE55" t="str">
        <f>IFERROR(INDEX(EqTag,_xlfn.AGGREGATE(15,6,(ROW(EqTag)-4)/((EqSys=$D$3)*(EqTag&lt;&gt;"")),ROWS($AE$14:AE55))),"")</f>
        <v/>
      </c>
    </row>
    <row r="56" spans="1:31" ht="30" customHeight="1" x14ac:dyDescent="0.2">
      <c r="A56" s="19" t="str">
        <f>IF(F56="","",LEFT($D$3,3)&amp;"-"&amp;TEXT(COUNTIF(F$14:F56,"?*"),"00"))</f>
        <v/>
      </c>
      <c r="B56" s="5"/>
      <c r="C56" s="6" t="str">
        <f t="shared" si="6"/>
        <v/>
      </c>
      <c r="D56" s="5"/>
      <c r="E56" s="5"/>
      <c r="F56" s="5"/>
      <c r="G56" s="5"/>
      <c r="H56" s="5"/>
      <c r="I56" s="5"/>
      <c r="J56" s="5"/>
      <c r="K56" s="15"/>
      <c r="L56" s="5"/>
      <c r="M56" s="15"/>
      <c r="N56" s="5"/>
      <c r="O56" s="15"/>
      <c r="P56" s="19" t="str">
        <f t="shared" si="7"/>
        <v/>
      </c>
      <c r="Q56" s="19" t="str">
        <f t="shared" si="8"/>
        <v/>
      </c>
      <c r="R56" s="19" t="str">
        <f t="shared" si="9"/>
        <v/>
      </c>
      <c r="S56" s="5"/>
      <c r="T56" s="5"/>
      <c r="U56" s="5"/>
      <c r="V56" s="24"/>
      <c r="W56" s="15"/>
      <c r="X56" s="15"/>
      <c r="Y56" s="15"/>
      <c r="Z56" s="19" t="str">
        <f t="shared" si="10"/>
        <v/>
      </c>
      <c r="AA56" s="19" t="str">
        <f t="shared" si="11"/>
        <v/>
      </c>
      <c r="AB56" s="5"/>
      <c r="AC56" s="5"/>
      <c r="AE56" t="str">
        <f>IFERROR(INDEX(EqTag,_xlfn.AGGREGATE(15,6,(ROW(EqTag)-4)/((EqSys=$D$3)*(EqTag&lt;&gt;"")),ROWS($AE$14:AE56))),"")</f>
        <v/>
      </c>
    </row>
    <row r="57" spans="1:31" ht="30" customHeight="1" x14ac:dyDescent="0.2">
      <c r="A57" s="19" t="str">
        <f>IF(F57="","",LEFT($D$3,3)&amp;"-"&amp;TEXT(COUNTIF(F$14:F57,"?*"),"00"))</f>
        <v/>
      </c>
      <c r="B57" s="5"/>
      <c r="C57" s="6" t="str">
        <f t="shared" si="6"/>
        <v/>
      </c>
      <c r="D57" s="5"/>
      <c r="E57" s="5"/>
      <c r="F57" s="5"/>
      <c r="G57" s="5"/>
      <c r="H57" s="5"/>
      <c r="I57" s="5"/>
      <c r="J57" s="5"/>
      <c r="K57" s="15"/>
      <c r="L57" s="5"/>
      <c r="M57" s="15"/>
      <c r="N57" s="5"/>
      <c r="O57" s="15"/>
      <c r="P57" s="19" t="str">
        <f t="shared" si="7"/>
        <v/>
      </c>
      <c r="Q57" s="19" t="str">
        <f t="shared" si="8"/>
        <v/>
      </c>
      <c r="R57" s="19" t="str">
        <f t="shared" si="9"/>
        <v/>
      </c>
      <c r="S57" s="5"/>
      <c r="T57" s="5"/>
      <c r="U57" s="5"/>
      <c r="V57" s="24"/>
      <c r="W57" s="15"/>
      <c r="X57" s="15"/>
      <c r="Y57" s="15"/>
      <c r="Z57" s="19" t="str">
        <f t="shared" si="10"/>
        <v/>
      </c>
      <c r="AA57" s="19" t="str">
        <f t="shared" si="11"/>
        <v/>
      </c>
      <c r="AB57" s="5"/>
      <c r="AC57" s="5"/>
      <c r="AE57" t="str">
        <f>IFERROR(INDEX(EqTag,_xlfn.AGGREGATE(15,6,(ROW(EqTag)-4)/((EqSys=$D$3)*(EqTag&lt;&gt;"")),ROWS($AE$14:AE57))),"")</f>
        <v/>
      </c>
    </row>
    <row r="58" spans="1:31" ht="30" customHeight="1" x14ac:dyDescent="0.2">
      <c r="A58" s="19" t="str">
        <f>IF(F58="","",LEFT($D$3,3)&amp;"-"&amp;TEXT(COUNTIF(F$14:F58,"?*"),"00"))</f>
        <v/>
      </c>
      <c r="B58" s="5"/>
      <c r="C58" s="6" t="str">
        <f t="shared" si="6"/>
        <v/>
      </c>
      <c r="D58" s="5"/>
      <c r="E58" s="5"/>
      <c r="F58" s="5"/>
      <c r="G58" s="5"/>
      <c r="H58" s="5"/>
      <c r="I58" s="5"/>
      <c r="J58" s="5"/>
      <c r="K58" s="15"/>
      <c r="L58" s="5"/>
      <c r="M58" s="15"/>
      <c r="N58" s="5"/>
      <c r="O58" s="15"/>
      <c r="P58" s="19" t="str">
        <f t="shared" si="7"/>
        <v/>
      </c>
      <c r="Q58" s="19" t="str">
        <f t="shared" si="8"/>
        <v/>
      </c>
      <c r="R58" s="19" t="str">
        <f t="shared" si="9"/>
        <v/>
      </c>
      <c r="S58" s="5"/>
      <c r="T58" s="5"/>
      <c r="U58" s="5"/>
      <c r="V58" s="24"/>
      <c r="W58" s="15"/>
      <c r="X58" s="15"/>
      <c r="Y58" s="15"/>
      <c r="Z58" s="19" t="str">
        <f t="shared" si="10"/>
        <v/>
      </c>
      <c r="AA58" s="19" t="str">
        <f t="shared" si="11"/>
        <v/>
      </c>
      <c r="AB58" s="5"/>
      <c r="AC58" s="5"/>
      <c r="AE58" t="str">
        <f>IFERROR(INDEX(EqTag,_xlfn.AGGREGATE(15,6,(ROW(EqTag)-4)/((EqSys=$D$3)*(EqTag&lt;&gt;"")),ROWS($AE$14:AE58))),"")</f>
        <v/>
      </c>
    </row>
    <row r="59" spans="1:31" ht="30" customHeight="1" x14ac:dyDescent="0.2">
      <c r="A59" s="19" t="str">
        <f>IF(F59="","",LEFT($D$3,3)&amp;"-"&amp;TEXT(COUNTIF(F$14:F59,"?*"),"00"))</f>
        <v/>
      </c>
      <c r="B59" s="5"/>
      <c r="C59" s="6" t="str">
        <f t="shared" si="6"/>
        <v/>
      </c>
      <c r="D59" s="5"/>
      <c r="E59" s="5"/>
      <c r="F59" s="5"/>
      <c r="G59" s="5"/>
      <c r="H59" s="5"/>
      <c r="I59" s="5"/>
      <c r="J59" s="5"/>
      <c r="K59" s="15"/>
      <c r="L59" s="5"/>
      <c r="M59" s="15"/>
      <c r="N59" s="5"/>
      <c r="O59" s="15"/>
      <c r="P59" s="19" t="str">
        <f t="shared" si="7"/>
        <v/>
      </c>
      <c r="Q59" s="19" t="str">
        <f t="shared" si="8"/>
        <v/>
      </c>
      <c r="R59" s="19" t="str">
        <f t="shared" si="9"/>
        <v/>
      </c>
      <c r="S59" s="5"/>
      <c r="T59" s="5"/>
      <c r="U59" s="5"/>
      <c r="V59" s="24"/>
      <c r="W59" s="15"/>
      <c r="X59" s="15"/>
      <c r="Y59" s="15"/>
      <c r="Z59" s="19" t="str">
        <f t="shared" si="10"/>
        <v/>
      </c>
      <c r="AA59" s="19" t="str">
        <f t="shared" si="11"/>
        <v/>
      </c>
      <c r="AB59" s="5"/>
      <c r="AC59" s="5"/>
      <c r="AE59" t="str">
        <f>IFERROR(INDEX(EqTag,_xlfn.AGGREGATE(15,6,(ROW(EqTag)-4)/((EqSys=$D$3)*(EqTag&lt;&gt;"")),ROWS($AE$14:AE59))),"")</f>
        <v/>
      </c>
    </row>
    <row r="60" spans="1:31" ht="30" customHeight="1" x14ac:dyDescent="0.2">
      <c r="A60" s="19" t="str">
        <f>IF(F60="","",LEFT($D$3,3)&amp;"-"&amp;TEXT(COUNTIF(F$14:F60,"?*"),"00"))</f>
        <v/>
      </c>
      <c r="B60" s="5"/>
      <c r="C60" s="6" t="str">
        <f t="shared" si="6"/>
        <v/>
      </c>
      <c r="D60" s="5"/>
      <c r="E60" s="5"/>
      <c r="F60" s="5"/>
      <c r="G60" s="5"/>
      <c r="H60" s="5"/>
      <c r="I60" s="5"/>
      <c r="J60" s="5"/>
      <c r="K60" s="15"/>
      <c r="L60" s="5"/>
      <c r="M60" s="15"/>
      <c r="N60" s="5"/>
      <c r="O60" s="15"/>
      <c r="P60" s="19" t="str">
        <f t="shared" si="7"/>
        <v/>
      </c>
      <c r="Q60" s="19" t="str">
        <f t="shared" si="8"/>
        <v/>
      </c>
      <c r="R60" s="19" t="str">
        <f t="shared" si="9"/>
        <v/>
      </c>
      <c r="S60" s="5"/>
      <c r="T60" s="5"/>
      <c r="U60" s="5"/>
      <c r="V60" s="24"/>
      <c r="W60" s="15"/>
      <c r="X60" s="15"/>
      <c r="Y60" s="15"/>
      <c r="Z60" s="19" t="str">
        <f t="shared" si="10"/>
        <v/>
      </c>
      <c r="AA60" s="19" t="str">
        <f t="shared" si="11"/>
        <v/>
      </c>
      <c r="AB60" s="5"/>
      <c r="AC60" s="5"/>
      <c r="AE60" t="str">
        <f>IFERROR(INDEX(EqTag,_xlfn.AGGREGATE(15,6,(ROW(EqTag)-4)/((EqSys=$D$3)*(EqTag&lt;&gt;"")),ROWS($AE$14:AE60))),"")</f>
        <v/>
      </c>
    </row>
    <row r="61" spans="1:31" ht="30" customHeight="1" x14ac:dyDescent="0.2">
      <c r="A61" s="19" t="str">
        <f>IF(F61="","",LEFT($D$3,3)&amp;"-"&amp;TEXT(COUNTIF(F$14:F61,"?*"),"00"))</f>
        <v/>
      </c>
      <c r="B61" s="5"/>
      <c r="C61" s="6" t="str">
        <f t="shared" si="6"/>
        <v/>
      </c>
      <c r="D61" s="5"/>
      <c r="E61" s="5"/>
      <c r="F61" s="5"/>
      <c r="G61" s="5"/>
      <c r="H61" s="5"/>
      <c r="I61" s="5"/>
      <c r="J61" s="5"/>
      <c r="K61" s="15"/>
      <c r="L61" s="5"/>
      <c r="M61" s="15"/>
      <c r="N61" s="5"/>
      <c r="O61" s="15"/>
      <c r="P61" s="19" t="str">
        <f t="shared" si="7"/>
        <v/>
      </c>
      <c r="Q61" s="19" t="str">
        <f t="shared" si="8"/>
        <v/>
      </c>
      <c r="R61" s="19" t="str">
        <f t="shared" si="9"/>
        <v/>
      </c>
      <c r="S61" s="5"/>
      <c r="T61" s="5"/>
      <c r="U61" s="5"/>
      <c r="V61" s="24"/>
      <c r="W61" s="15"/>
      <c r="X61" s="15"/>
      <c r="Y61" s="15"/>
      <c r="Z61" s="19" t="str">
        <f t="shared" si="10"/>
        <v/>
      </c>
      <c r="AA61" s="19" t="str">
        <f t="shared" si="11"/>
        <v/>
      </c>
      <c r="AB61" s="5"/>
      <c r="AC61" s="5"/>
      <c r="AE61" t="str">
        <f>IFERROR(INDEX(EqTag,_xlfn.AGGREGATE(15,6,(ROW(EqTag)-4)/((EqSys=$D$3)*(EqTag&lt;&gt;"")),ROWS($AE$14:AE61))),"")</f>
        <v/>
      </c>
    </row>
    <row r="62" spans="1:31" ht="30" customHeight="1" x14ac:dyDescent="0.2">
      <c r="A62" s="19" t="str">
        <f>IF(F62="","",LEFT($D$3,3)&amp;"-"&amp;TEXT(COUNTIF(F$14:F62,"?*"),"00"))</f>
        <v/>
      </c>
      <c r="B62" s="5"/>
      <c r="C62" s="6" t="str">
        <f t="shared" si="6"/>
        <v/>
      </c>
      <c r="D62" s="5"/>
      <c r="E62" s="5"/>
      <c r="F62" s="5"/>
      <c r="G62" s="5"/>
      <c r="H62" s="5"/>
      <c r="I62" s="5"/>
      <c r="J62" s="5"/>
      <c r="K62" s="15"/>
      <c r="L62" s="5"/>
      <c r="M62" s="15"/>
      <c r="N62" s="5"/>
      <c r="O62" s="15"/>
      <c r="P62" s="19" t="str">
        <f t="shared" si="7"/>
        <v/>
      </c>
      <c r="Q62" s="19" t="str">
        <f t="shared" si="8"/>
        <v/>
      </c>
      <c r="R62" s="19" t="str">
        <f t="shared" si="9"/>
        <v/>
      </c>
      <c r="S62" s="5"/>
      <c r="T62" s="5"/>
      <c r="U62" s="5"/>
      <c r="V62" s="24"/>
      <c r="W62" s="15"/>
      <c r="X62" s="15"/>
      <c r="Y62" s="15"/>
      <c r="Z62" s="19" t="str">
        <f t="shared" si="10"/>
        <v/>
      </c>
      <c r="AA62" s="19" t="str">
        <f t="shared" si="11"/>
        <v/>
      </c>
      <c r="AB62" s="5"/>
      <c r="AC62" s="5"/>
      <c r="AE62" t="str">
        <f>IFERROR(INDEX(EqTag,_xlfn.AGGREGATE(15,6,(ROW(EqTag)-4)/((EqSys=$D$3)*(EqTag&lt;&gt;"")),ROWS($AE$14:AE62))),"")</f>
        <v/>
      </c>
    </row>
    <row r="63" spans="1:31" ht="30" customHeight="1" x14ac:dyDescent="0.2">
      <c r="A63" s="19" t="str">
        <f>IF(F63="","",LEFT($D$3,3)&amp;"-"&amp;TEXT(COUNTIF(F$14:F63,"?*"),"00"))</f>
        <v/>
      </c>
      <c r="B63" s="5"/>
      <c r="C63" s="6" t="str">
        <f t="shared" si="6"/>
        <v/>
      </c>
      <c r="D63" s="5"/>
      <c r="E63" s="5"/>
      <c r="F63" s="5"/>
      <c r="G63" s="5"/>
      <c r="H63" s="5"/>
      <c r="I63" s="5"/>
      <c r="J63" s="5"/>
      <c r="K63" s="15"/>
      <c r="L63" s="5"/>
      <c r="M63" s="15"/>
      <c r="N63" s="5"/>
      <c r="O63" s="15"/>
      <c r="P63" s="19" t="str">
        <f t="shared" si="7"/>
        <v/>
      </c>
      <c r="Q63" s="19" t="str">
        <f t="shared" si="8"/>
        <v/>
      </c>
      <c r="R63" s="19" t="str">
        <f t="shared" si="9"/>
        <v/>
      </c>
      <c r="S63" s="5"/>
      <c r="T63" s="5"/>
      <c r="U63" s="5"/>
      <c r="V63" s="24"/>
      <c r="W63" s="15"/>
      <c r="X63" s="15"/>
      <c r="Y63" s="15"/>
      <c r="Z63" s="19" t="str">
        <f t="shared" si="10"/>
        <v/>
      </c>
      <c r="AA63" s="19" t="str">
        <f t="shared" si="11"/>
        <v/>
      </c>
      <c r="AB63" s="5"/>
      <c r="AC63" s="5"/>
      <c r="AE63" t="str">
        <f>IFERROR(INDEX(EqTag,_xlfn.AGGREGATE(15,6,(ROW(EqTag)-4)/((EqSys=$D$3)*(EqTag&lt;&gt;"")),ROWS($AE$14:AE63))),"")</f>
        <v/>
      </c>
    </row>
    <row r="64" spans="1:31" ht="30" customHeight="1" x14ac:dyDescent="0.2">
      <c r="A64" s="19" t="str">
        <f>IF(F64="","",LEFT($D$3,3)&amp;"-"&amp;TEXT(COUNTIF(F$14:F64,"?*"),"00"))</f>
        <v/>
      </c>
      <c r="B64" s="5"/>
      <c r="C64" s="6" t="str">
        <f t="shared" si="6"/>
        <v/>
      </c>
      <c r="D64" s="5"/>
      <c r="E64" s="5"/>
      <c r="F64" s="5"/>
      <c r="G64" s="5"/>
      <c r="H64" s="5"/>
      <c r="I64" s="5"/>
      <c r="J64" s="5"/>
      <c r="K64" s="15"/>
      <c r="L64" s="5"/>
      <c r="M64" s="15"/>
      <c r="N64" s="5"/>
      <c r="O64" s="15"/>
      <c r="P64" s="19" t="str">
        <f t="shared" si="7"/>
        <v/>
      </c>
      <c r="Q64" s="19" t="str">
        <f t="shared" si="8"/>
        <v/>
      </c>
      <c r="R64" s="19" t="str">
        <f t="shared" si="9"/>
        <v/>
      </c>
      <c r="S64" s="5"/>
      <c r="T64" s="5"/>
      <c r="U64" s="5"/>
      <c r="V64" s="24"/>
      <c r="W64" s="15"/>
      <c r="X64" s="15"/>
      <c r="Y64" s="15"/>
      <c r="Z64" s="19" t="str">
        <f t="shared" si="10"/>
        <v/>
      </c>
      <c r="AA64" s="19" t="str">
        <f t="shared" si="11"/>
        <v/>
      </c>
      <c r="AB64" s="5"/>
      <c r="AC64" s="5"/>
      <c r="AE64" t="str">
        <f>IFERROR(INDEX(EqTag,_xlfn.AGGREGATE(15,6,(ROW(EqTag)-4)/((EqSys=$D$3)*(EqTag&lt;&gt;"")),ROWS($AE$14:AE64))),"")</f>
        <v/>
      </c>
    </row>
    <row r="65" spans="1:31" ht="30" customHeight="1" x14ac:dyDescent="0.2">
      <c r="A65" s="19" t="str">
        <f>IF(F65="","",LEFT($D$3,3)&amp;"-"&amp;TEXT(COUNTIF(F$14:F65,"?*"),"00"))</f>
        <v/>
      </c>
      <c r="B65" s="5"/>
      <c r="C65" s="6" t="str">
        <f t="shared" si="6"/>
        <v/>
      </c>
      <c r="D65" s="5"/>
      <c r="E65" s="5"/>
      <c r="F65" s="5"/>
      <c r="G65" s="5"/>
      <c r="H65" s="5"/>
      <c r="I65" s="5"/>
      <c r="J65" s="5"/>
      <c r="K65" s="15"/>
      <c r="L65" s="5"/>
      <c r="M65" s="15"/>
      <c r="N65" s="5"/>
      <c r="O65" s="15"/>
      <c r="P65" s="19" t="str">
        <f t="shared" si="7"/>
        <v/>
      </c>
      <c r="Q65" s="19" t="str">
        <f t="shared" si="8"/>
        <v/>
      </c>
      <c r="R65" s="19" t="str">
        <f t="shared" si="9"/>
        <v/>
      </c>
      <c r="S65" s="5"/>
      <c r="T65" s="5"/>
      <c r="U65" s="5"/>
      <c r="V65" s="24"/>
      <c r="W65" s="15"/>
      <c r="X65" s="15"/>
      <c r="Y65" s="15"/>
      <c r="Z65" s="19" t="str">
        <f t="shared" si="10"/>
        <v/>
      </c>
      <c r="AA65" s="19" t="str">
        <f t="shared" si="11"/>
        <v/>
      </c>
      <c r="AB65" s="5"/>
      <c r="AC65" s="5"/>
      <c r="AE65" t="str">
        <f>IFERROR(INDEX(EqTag,_xlfn.AGGREGATE(15,6,(ROW(EqTag)-4)/((EqSys=$D$3)*(EqTag&lt;&gt;"")),ROWS($AE$14:AE65))),"")</f>
        <v/>
      </c>
    </row>
    <row r="66" spans="1:31" ht="30" customHeight="1" x14ac:dyDescent="0.2">
      <c r="A66" s="19" t="str">
        <f>IF(F66="","",LEFT($D$3,3)&amp;"-"&amp;TEXT(COUNTIF(F$14:F66,"?*"),"00"))</f>
        <v/>
      </c>
      <c r="B66" s="5"/>
      <c r="C66" s="6" t="str">
        <f t="shared" si="6"/>
        <v/>
      </c>
      <c r="D66" s="5"/>
      <c r="E66" s="5"/>
      <c r="F66" s="5"/>
      <c r="G66" s="5"/>
      <c r="H66" s="5"/>
      <c r="I66" s="5"/>
      <c r="J66" s="5"/>
      <c r="K66" s="15"/>
      <c r="L66" s="5"/>
      <c r="M66" s="15"/>
      <c r="N66" s="5"/>
      <c r="O66" s="15"/>
      <c r="P66" s="19" t="str">
        <f t="shared" si="7"/>
        <v/>
      </c>
      <c r="Q66" s="19" t="str">
        <f t="shared" si="8"/>
        <v/>
      </c>
      <c r="R66" s="19" t="str">
        <f t="shared" si="9"/>
        <v/>
      </c>
      <c r="S66" s="5"/>
      <c r="T66" s="5"/>
      <c r="U66" s="5"/>
      <c r="V66" s="24"/>
      <c r="W66" s="15"/>
      <c r="X66" s="15"/>
      <c r="Y66" s="15"/>
      <c r="Z66" s="19" t="str">
        <f t="shared" si="10"/>
        <v/>
      </c>
      <c r="AA66" s="19" t="str">
        <f t="shared" si="11"/>
        <v/>
      </c>
      <c r="AB66" s="5"/>
      <c r="AC66" s="5"/>
      <c r="AE66" t="str">
        <f>IFERROR(INDEX(EqTag,_xlfn.AGGREGATE(15,6,(ROW(EqTag)-4)/((EqSys=$D$3)*(EqTag&lt;&gt;"")),ROWS($AE$14:AE66))),"")</f>
        <v/>
      </c>
    </row>
    <row r="67" spans="1:31" ht="30" customHeight="1" x14ac:dyDescent="0.2">
      <c r="A67" s="19" t="str">
        <f>IF(F67="","",LEFT($D$3,3)&amp;"-"&amp;TEXT(COUNTIF(F$14:F67,"?*"),"00"))</f>
        <v/>
      </c>
      <c r="B67" s="5"/>
      <c r="C67" s="6" t="str">
        <f t="shared" si="6"/>
        <v/>
      </c>
      <c r="D67" s="5"/>
      <c r="E67" s="5"/>
      <c r="F67" s="5"/>
      <c r="G67" s="5"/>
      <c r="H67" s="5"/>
      <c r="I67" s="5"/>
      <c r="J67" s="5"/>
      <c r="K67" s="15"/>
      <c r="L67" s="5"/>
      <c r="M67" s="15"/>
      <c r="N67" s="5"/>
      <c r="O67" s="15"/>
      <c r="P67" s="19" t="str">
        <f t="shared" si="7"/>
        <v/>
      </c>
      <c r="Q67" s="19" t="str">
        <f t="shared" si="8"/>
        <v/>
      </c>
      <c r="R67" s="19" t="str">
        <f t="shared" si="9"/>
        <v/>
      </c>
      <c r="S67" s="5"/>
      <c r="T67" s="5"/>
      <c r="U67" s="5"/>
      <c r="V67" s="24"/>
      <c r="W67" s="15"/>
      <c r="X67" s="15"/>
      <c r="Y67" s="15"/>
      <c r="Z67" s="19" t="str">
        <f t="shared" si="10"/>
        <v/>
      </c>
      <c r="AA67" s="19" t="str">
        <f t="shared" si="11"/>
        <v/>
      </c>
      <c r="AB67" s="5"/>
      <c r="AC67" s="5"/>
      <c r="AE67" t="str">
        <f>IFERROR(INDEX(EqTag,_xlfn.AGGREGATE(15,6,(ROW(EqTag)-4)/((EqSys=$D$3)*(EqTag&lt;&gt;"")),ROWS($AE$14:AE67))),"")</f>
        <v/>
      </c>
    </row>
    <row r="68" spans="1:31" ht="30" customHeight="1" x14ac:dyDescent="0.2">
      <c r="A68" s="19" t="str">
        <f>IF(F68="","",LEFT($D$3,3)&amp;"-"&amp;TEXT(COUNTIF(F$14:F68,"?*"),"00"))</f>
        <v/>
      </c>
      <c r="B68" s="5"/>
      <c r="C68" s="6" t="str">
        <f t="shared" si="6"/>
        <v/>
      </c>
      <c r="D68" s="5"/>
      <c r="E68" s="5"/>
      <c r="F68" s="5"/>
      <c r="G68" s="5"/>
      <c r="H68" s="5"/>
      <c r="I68" s="5"/>
      <c r="J68" s="5"/>
      <c r="K68" s="15"/>
      <c r="L68" s="5"/>
      <c r="M68" s="15"/>
      <c r="N68" s="5"/>
      <c r="O68" s="15"/>
      <c r="P68" s="19" t="str">
        <f t="shared" si="7"/>
        <v/>
      </c>
      <c r="Q68" s="19" t="str">
        <f t="shared" si="8"/>
        <v/>
      </c>
      <c r="R68" s="19" t="str">
        <f t="shared" si="9"/>
        <v/>
      </c>
      <c r="S68" s="5"/>
      <c r="T68" s="5"/>
      <c r="U68" s="5"/>
      <c r="V68" s="24"/>
      <c r="W68" s="15"/>
      <c r="X68" s="15"/>
      <c r="Y68" s="15"/>
      <c r="Z68" s="19" t="str">
        <f t="shared" si="10"/>
        <v/>
      </c>
      <c r="AA68" s="19" t="str">
        <f t="shared" si="11"/>
        <v/>
      </c>
      <c r="AB68" s="5"/>
      <c r="AC68" s="5"/>
      <c r="AE68" t="str">
        <f>IFERROR(INDEX(EqTag,_xlfn.AGGREGATE(15,6,(ROW(EqTag)-4)/((EqSys=$D$3)*(EqTag&lt;&gt;"")),ROWS($AE$14:AE68))),"")</f>
        <v/>
      </c>
    </row>
    <row r="69" spans="1:31" ht="30" customHeight="1" x14ac:dyDescent="0.2">
      <c r="A69" s="19" t="str">
        <f>IF(F69="","",LEFT($D$3,3)&amp;"-"&amp;TEXT(COUNTIF(F$14:F69,"?*"),"00"))</f>
        <v/>
      </c>
      <c r="B69" s="5"/>
      <c r="C69" s="6" t="str">
        <f t="shared" si="6"/>
        <v/>
      </c>
      <c r="D69" s="5"/>
      <c r="E69" s="5"/>
      <c r="F69" s="5"/>
      <c r="G69" s="5"/>
      <c r="H69" s="5"/>
      <c r="I69" s="5"/>
      <c r="J69" s="5"/>
      <c r="K69" s="15"/>
      <c r="L69" s="5"/>
      <c r="M69" s="15"/>
      <c r="N69" s="5"/>
      <c r="O69" s="15"/>
      <c r="P69" s="19" t="str">
        <f t="shared" si="7"/>
        <v/>
      </c>
      <c r="Q69" s="19" t="str">
        <f t="shared" si="8"/>
        <v/>
      </c>
      <c r="R69" s="19" t="str">
        <f t="shared" si="9"/>
        <v/>
      </c>
      <c r="S69" s="5"/>
      <c r="T69" s="5"/>
      <c r="U69" s="5"/>
      <c r="V69" s="24"/>
      <c r="W69" s="15"/>
      <c r="X69" s="15"/>
      <c r="Y69" s="15"/>
      <c r="Z69" s="19" t="str">
        <f t="shared" si="10"/>
        <v/>
      </c>
      <c r="AA69" s="19" t="str">
        <f t="shared" si="11"/>
        <v/>
      </c>
      <c r="AB69" s="5"/>
      <c r="AC69" s="5"/>
      <c r="AE69" t="str">
        <f>IFERROR(INDEX(EqTag,_xlfn.AGGREGATE(15,6,(ROW(EqTag)-4)/((EqSys=$D$3)*(EqTag&lt;&gt;"")),ROWS($AE$14:AE69))),"")</f>
        <v/>
      </c>
    </row>
    <row r="70" spans="1:31" ht="30" customHeight="1" x14ac:dyDescent="0.2">
      <c r="A70" s="19" t="str">
        <f>IF(F70="","",LEFT($D$3,3)&amp;"-"&amp;TEXT(COUNTIF(F$14:F70,"?*"),"00"))</f>
        <v/>
      </c>
      <c r="B70" s="5"/>
      <c r="C70" s="6" t="str">
        <f t="shared" si="6"/>
        <v/>
      </c>
      <c r="D70" s="5"/>
      <c r="E70" s="5"/>
      <c r="F70" s="5"/>
      <c r="G70" s="5"/>
      <c r="H70" s="5"/>
      <c r="I70" s="5"/>
      <c r="J70" s="5"/>
      <c r="K70" s="15"/>
      <c r="L70" s="5"/>
      <c r="M70" s="15"/>
      <c r="N70" s="5"/>
      <c r="O70" s="15"/>
      <c r="P70" s="19" t="str">
        <f t="shared" si="7"/>
        <v/>
      </c>
      <c r="Q70" s="19" t="str">
        <f t="shared" si="8"/>
        <v/>
      </c>
      <c r="R70" s="19" t="str">
        <f t="shared" si="9"/>
        <v/>
      </c>
      <c r="S70" s="5"/>
      <c r="T70" s="5"/>
      <c r="U70" s="5"/>
      <c r="V70" s="24"/>
      <c r="W70" s="15"/>
      <c r="X70" s="15"/>
      <c r="Y70" s="15"/>
      <c r="Z70" s="19" t="str">
        <f t="shared" si="10"/>
        <v/>
      </c>
      <c r="AA70" s="19" t="str">
        <f t="shared" si="11"/>
        <v/>
      </c>
      <c r="AB70" s="5"/>
      <c r="AC70" s="5"/>
      <c r="AE70" t="str">
        <f>IFERROR(INDEX(EqTag,_xlfn.AGGREGATE(15,6,(ROW(EqTag)-4)/((EqSys=$D$3)*(EqTag&lt;&gt;"")),ROWS($AE$14:AE70))),"")</f>
        <v/>
      </c>
    </row>
    <row r="71" spans="1:31" ht="30" customHeight="1" x14ac:dyDescent="0.2">
      <c r="A71" s="19" t="str">
        <f>IF(F71="","",LEFT($D$3,3)&amp;"-"&amp;TEXT(COUNTIF(F$14:F71,"?*"),"00"))</f>
        <v/>
      </c>
      <c r="B71" s="5"/>
      <c r="C71" s="6" t="str">
        <f t="shared" si="6"/>
        <v/>
      </c>
      <c r="D71" s="5"/>
      <c r="E71" s="5"/>
      <c r="F71" s="5"/>
      <c r="G71" s="5"/>
      <c r="H71" s="5"/>
      <c r="I71" s="5"/>
      <c r="J71" s="5"/>
      <c r="K71" s="15"/>
      <c r="L71" s="5"/>
      <c r="M71" s="15"/>
      <c r="N71" s="5"/>
      <c r="O71" s="15"/>
      <c r="P71" s="19" t="str">
        <f t="shared" si="7"/>
        <v/>
      </c>
      <c r="Q71" s="19" t="str">
        <f t="shared" si="8"/>
        <v/>
      </c>
      <c r="R71" s="19" t="str">
        <f t="shared" si="9"/>
        <v/>
      </c>
      <c r="S71" s="5"/>
      <c r="T71" s="5"/>
      <c r="U71" s="5"/>
      <c r="V71" s="24"/>
      <c r="W71" s="15"/>
      <c r="X71" s="15"/>
      <c r="Y71" s="15"/>
      <c r="Z71" s="19" t="str">
        <f t="shared" si="10"/>
        <v/>
      </c>
      <c r="AA71" s="19" t="str">
        <f t="shared" si="11"/>
        <v/>
      </c>
      <c r="AB71" s="5"/>
      <c r="AC71" s="5"/>
      <c r="AE71" t="str">
        <f>IFERROR(INDEX(EqTag,_xlfn.AGGREGATE(15,6,(ROW(EqTag)-4)/((EqSys=$D$3)*(EqTag&lt;&gt;"")),ROWS($AE$14:AE71))),"")</f>
        <v/>
      </c>
    </row>
    <row r="72" spans="1:31" ht="30" customHeight="1" x14ac:dyDescent="0.2">
      <c r="A72" s="19" t="str">
        <f>IF(F72="","",LEFT($D$3,3)&amp;"-"&amp;TEXT(COUNTIF(F$14:F72,"?*"),"00"))</f>
        <v/>
      </c>
      <c r="B72" s="5"/>
      <c r="C72" s="6" t="str">
        <f t="shared" si="6"/>
        <v/>
      </c>
      <c r="D72" s="5"/>
      <c r="E72" s="5"/>
      <c r="F72" s="5"/>
      <c r="G72" s="5"/>
      <c r="H72" s="5"/>
      <c r="I72" s="5"/>
      <c r="J72" s="5"/>
      <c r="K72" s="15"/>
      <c r="L72" s="5"/>
      <c r="M72" s="15"/>
      <c r="N72" s="5"/>
      <c r="O72" s="15"/>
      <c r="P72" s="19" t="str">
        <f t="shared" si="7"/>
        <v/>
      </c>
      <c r="Q72" s="19" t="str">
        <f t="shared" si="8"/>
        <v/>
      </c>
      <c r="R72" s="19" t="str">
        <f t="shared" si="9"/>
        <v/>
      </c>
      <c r="S72" s="5"/>
      <c r="T72" s="5"/>
      <c r="U72" s="5"/>
      <c r="V72" s="24"/>
      <c r="W72" s="15"/>
      <c r="X72" s="15"/>
      <c r="Y72" s="15"/>
      <c r="Z72" s="19" t="str">
        <f t="shared" si="10"/>
        <v/>
      </c>
      <c r="AA72" s="19" t="str">
        <f t="shared" si="11"/>
        <v/>
      </c>
      <c r="AB72" s="5"/>
      <c r="AC72" s="5"/>
      <c r="AE72" t="str">
        <f>IFERROR(INDEX(EqTag,_xlfn.AGGREGATE(15,6,(ROW(EqTag)-4)/((EqSys=$D$3)*(EqTag&lt;&gt;"")),ROWS($AE$14:AE72))),"")</f>
        <v/>
      </c>
    </row>
    <row r="73" spans="1:31" ht="30" customHeight="1" x14ac:dyDescent="0.2">
      <c r="A73" s="19" t="str">
        <f>IF(F73="","",LEFT($D$3,3)&amp;"-"&amp;TEXT(COUNTIF(F$14:F73,"?*"),"00"))</f>
        <v/>
      </c>
      <c r="B73" s="5"/>
      <c r="C73" s="6" t="str">
        <f t="shared" si="6"/>
        <v/>
      </c>
      <c r="D73" s="5"/>
      <c r="E73" s="5"/>
      <c r="F73" s="5"/>
      <c r="G73" s="5"/>
      <c r="H73" s="5"/>
      <c r="I73" s="5"/>
      <c r="J73" s="5"/>
      <c r="K73" s="15"/>
      <c r="L73" s="5"/>
      <c r="M73" s="15"/>
      <c r="N73" s="5"/>
      <c r="O73" s="15"/>
      <c r="P73" s="19" t="str">
        <f t="shared" si="7"/>
        <v/>
      </c>
      <c r="Q73" s="19" t="str">
        <f t="shared" si="8"/>
        <v/>
      </c>
      <c r="R73" s="19" t="str">
        <f t="shared" si="9"/>
        <v/>
      </c>
      <c r="S73" s="5"/>
      <c r="T73" s="5"/>
      <c r="U73" s="5"/>
      <c r="V73" s="24"/>
      <c r="W73" s="15"/>
      <c r="X73" s="15"/>
      <c r="Y73" s="15"/>
      <c r="Z73" s="19" t="str">
        <f t="shared" si="10"/>
        <v/>
      </c>
      <c r="AA73" s="19" t="str">
        <f t="shared" si="11"/>
        <v/>
      </c>
      <c r="AB73" s="5"/>
      <c r="AC73" s="5"/>
      <c r="AE73" t="str">
        <f>IFERROR(INDEX(EqTag,_xlfn.AGGREGATE(15,6,(ROW(EqTag)-4)/((EqSys=$D$3)*(EqTag&lt;&gt;"")),ROWS($AE$14:AE73))),"")</f>
        <v/>
      </c>
    </row>
    <row r="74" spans="1:31" ht="30" customHeight="1" x14ac:dyDescent="0.2">
      <c r="A74" s="19" t="str">
        <f>IF(F74="","",LEFT($D$3,3)&amp;"-"&amp;TEXT(COUNTIF(F$14:F74,"?*"),"00"))</f>
        <v/>
      </c>
      <c r="B74" s="5"/>
      <c r="C74" s="6" t="str">
        <f t="shared" si="6"/>
        <v/>
      </c>
      <c r="D74" s="5"/>
      <c r="E74" s="5"/>
      <c r="F74" s="5"/>
      <c r="G74" s="5"/>
      <c r="H74" s="5"/>
      <c r="I74" s="5"/>
      <c r="J74" s="5"/>
      <c r="K74" s="15"/>
      <c r="L74" s="5"/>
      <c r="M74" s="15"/>
      <c r="N74" s="5"/>
      <c r="O74" s="15"/>
      <c r="P74" s="19" t="str">
        <f t="shared" si="7"/>
        <v/>
      </c>
      <c r="Q74" s="19" t="str">
        <f t="shared" si="8"/>
        <v/>
      </c>
      <c r="R74" s="19" t="str">
        <f t="shared" si="9"/>
        <v/>
      </c>
      <c r="S74" s="5"/>
      <c r="T74" s="5"/>
      <c r="U74" s="5"/>
      <c r="V74" s="24"/>
      <c r="W74" s="15"/>
      <c r="X74" s="15"/>
      <c r="Y74" s="15"/>
      <c r="Z74" s="19" t="str">
        <f t="shared" si="10"/>
        <v/>
      </c>
      <c r="AA74" s="19" t="str">
        <f t="shared" si="11"/>
        <v/>
      </c>
      <c r="AB74" s="5"/>
      <c r="AC74" s="5"/>
      <c r="AE74" t="str">
        <f>IFERROR(INDEX(EqTag,_xlfn.AGGREGATE(15,6,(ROW(EqTag)-4)/((EqSys=$D$3)*(EqTag&lt;&gt;"")),ROWS($AE$14:AE74))),"")</f>
        <v/>
      </c>
    </row>
    <row r="75" spans="1:31" ht="30" customHeight="1" x14ac:dyDescent="0.2">
      <c r="A75" s="19" t="str">
        <f>IF(F75="","",LEFT($D$3,3)&amp;"-"&amp;TEXT(COUNTIF(F$14:F75,"?*"),"00"))</f>
        <v/>
      </c>
      <c r="B75" s="5"/>
      <c r="C75" s="6" t="str">
        <f t="shared" si="6"/>
        <v/>
      </c>
      <c r="D75" s="5"/>
      <c r="E75" s="5"/>
      <c r="F75" s="5"/>
      <c r="G75" s="5"/>
      <c r="H75" s="5"/>
      <c r="I75" s="5"/>
      <c r="J75" s="5"/>
      <c r="K75" s="15"/>
      <c r="L75" s="5"/>
      <c r="M75" s="15"/>
      <c r="N75" s="5"/>
      <c r="O75" s="15"/>
      <c r="P75" s="19" t="str">
        <f t="shared" si="7"/>
        <v/>
      </c>
      <c r="Q75" s="19" t="str">
        <f t="shared" si="8"/>
        <v/>
      </c>
      <c r="R75" s="19" t="str">
        <f t="shared" si="9"/>
        <v/>
      </c>
      <c r="S75" s="5"/>
      <c r="T75" s="5"/>
      <c r="U75" s="5"/>
      <c r="V75" s="24"/>
      <c r="W75" s="15"/>
      <c r="X75" s="15"/>
      <c r="Y75" s="15"/>
      <c r="Z75" s="19" t="str">
        <f t="shared" si="10"/>
        <v/>
      </c>
      <c r="AA75" s="19" t="str">
        <f t="shared" si="11"/>
        <v/>
      </c>
      <c r="AB75" s="5"/>
      <c r="AC75" s="5"/>
      <c r="AE75" t="str">
        <f>IFERROR(INDEX(EqTag,_xlfn.AGGREGATE(15,6,(ROW(EqTag)-4)/((EqSys=$D$3)*(EqTag&lt;&gt;"")),ROWS($AE$14:AE75))),"")</f>
        <v/>
      </c>
    </row>
    <row r="76" spans="1:31" ht="30" customHeight="1" x14ac:dyDescent="0.2">
      <c r="A76" s="19" t="str">
        <f>IF(F76="","",LEFT($D$3,3)&amp;"-"&amp;TEXT(COUNTIF(F$14:F76,"?*"),"00"))</f>
        <v/>
      </c>
      <c r="B76" s="5"/>
      <c r="C76" s="6" t="str">
        <f t="shared" si="6"/>
        <v/>
      </c>
      <c r="D76" s="5"/>
      <c r="E76" s="5"/>
      <c r="F76" s="5"/>
      <c r="G76" s="5"/>
      <c r="H76" s="5"/>
      <c r="I76" s="5"/>
      <c r="J76" s="5"/>
      <c r="K76" s="15"/>
      <c r="L76" s="5"/>
      <c r="M76" s="15"/>
      <c r="N76" s="5"/>
      <c r="O76" s="15"/>
      <c r="P76" s="19" t="str">
        <f t="shared" si="7"/>
        <v/>
      </c>
      <c r="Q76" s="19" t="str">
        <f t="shared" si="8"/>
        <v/>
      </c>
      <c r="R76" s="19" t="str">
        <f t="shared" si="9"/>
        <v/>
      </c>
      <c r="S76" s="5"/>
      <c r="T76" s="5"/>
      <c r="U76" s="5"/>
      <c r="V76" s="24"/>
      <c r="W76" s="15"/>
      <c r="X76" s="15"/>
      <c r="Y76" s="15"/>
      <c r="Z76" s="19" t="str">
        <f t="shared" si="10"/>
        <v/>
      </c>
      <c r="AA76" s="19" t="str">
        <f t="shared" si="11"/>
        <v/>
      </c>
      <c r="AB76" s="5"/>
      <c r="AC76" s="5"/>
      <c r="AE76" t="str">
        <f>IFERROR(INDEX(EqTag,_xlfn.AGGREGATE(15,6,(ROW(EqTag)-4)/((EqSys=$D$3)*(EqTag&lt;&gt;"")),ROWS($AE$14:AE76))),"")</f>
        <v/>
      </c>
    </row>
    <row r="77" spans="1:31" ht="30" customHeight="1" x14ac:dyDescent="0.2">
      <c r="A77" s="19" t="str">
        <f>IF(F77="","",LEFT($D$3,3)&amp;"-"&amp;TEXT(COUNTIF(F$14:F77,"?*"),"00"))</f>
        <v/>
      </c>
      <c r="B77" s="5"/>
      <c r="C77" s="6" t="str">
        <f t="shared" si="6"/>
        <v/>
      </c>
      <c r="D77" s="5"/>
      <c r="E77" s="5"/>
      <c r="F77" s="5"/>
      <c r="G77" s="5"/>
      <c r="H77" s="5"/>
      <c r="I77" s="5"/>
      <c r="J77" s="5"/>
      <c r="K77" s="15"/>
      <c r="L77" s="5"/>
      <c r="M77" s="15"/>
      <c r="N77" s="5"/>
      <c r="O77" s="15"/>
      <c r="P77" s="19" t="str">
        <f t="shared" si="7"/>
        <v/>
      </c>
      <c r="Q77" s="19" t="str">
        <f t="shared" si="8"/>
        <v/>
      </c>
      <c r="R77" s="19" t="str">
        <f t="shared" si="9"/>
        <v/>
      </c>
      <c r="S77" s="5"/>
      <c r="T77" s="5"/>
      <c r="U77" s="5"/>
      <c r="V77" s="24"/>
      <c r="W77" s="15"/>
      <c r="X77" s="15"/>
      <c r="Y77" s="15"/>
      <c r="Z77" s="19" t="str">
        <f t="shared" si="10"/>
        <v/>
      </c>
      <c r="AA77" s="19" t="str">
        <f t="shared" si="11"/>
        <v/>
      </c>
      <c r="AB77" s="5"/>
      <c r="AC77" s="5"/>
      <c r="AE77" t="str">
        <f>IFERROR(INDEX(EqTag,_xlfn.AGGREGATE(15,6,(ROW(EqTag)-4)/((EqSys=$D$3)*(EqTag&lt;&gt;"")),ROWS($AE$14:AE77))),"")</f>
        <v/>
      </c>
    </row>
    <row r="78" spans="1:31" ht="30" customHeight="1" x14ac:dyDescent="0.2">
      <c r="A78" s="19" t="str">
        <f>IF(F78="","",LEFT($D$3,3)&amp;"-"&amp;TEXT(COUNTIF(F$14:F78,"?*"),"00"))</f>
        <v/>
      </c>
      <c r="B78" s="5"/>
      <c r="C78" s="6" t="str">
        <f t="shared" ref="C78:C109" si="12">IF(B78="","",IFERROR(INDEX(EqTypeCol,MATCH(B78,EqTag,0)),"Tag not in register"))</f>
        <v/>
      </c>
      <c r="D78" s="5"/>
      <c r="E78" s="5"/>
      <c r="F78" s="5"/>
      <c r="G78" s="5"/>
      <c r="H78" s="5"/>
      <c r="I78" s="5"/>
      <c r="J78" s="5"/>
      <c r="K78" s="15"/>
      <c r="L78" s="5"/>
      <c r="M78" s="15"/>
      <c r="N78" s="5"/>
      <c r="O78" s="15"/>
      <c r="P78" s="19" t="str">
        <f t="shared" ref="P78:P109" si="13">IF(OR(K78="",M78="",O78=""),"",(--TRIM(LEFT(K78,2)))*(--TRIM(LEFT(M78,2)))*(--TRIM(LEFT(O78,2))))</f>
        <v/>
      </c>
      <c r="Q78" s="19" t="str">
        <f t="shared" ref="Q78:Q109" si="14">IF(OR(K78="",M78="",O78=""),"",INDEX(APGrid,COUNTIF(APS,"&gt;"&amp;(--TRIM(LEFT(K78,2))))*5+COUNTIF(APO,"&gt;"&amp;(--TRIM(LEFT(M78,2))))+1,COUNTIF(APD,"&gt;"&amp;(--TRIM(LEFT(O78,2))))+1))</f>
        <v/>
      </c>
      <c r="R78" s="19" t="str">
        <f t="shared" ref="R78:R109" si="15">IF(P78="","",IF(OR((--TRIM(LEFT(K78,2)))&gt;=SThr,P78&gt;=RPNThr,Q78="H"),"Yes","No"))</f>
        <v/>
      </c>
      <c r="S78" s="5"/>
      <c r="T78" s="5"/>
      <c r="U78" s="5"/>
      <c r="V78" s="24"/>
      <c r="W78" s="15"/>
      <c r="X78" s="15"/>
      <c r="Y78" s="15"/>
      <c r="Z78" s="19" t="str">
        <f t="shared" ref="Z78:Z109" si="16">IF(OR(W78="",X78="",Y78=""),"",(--TRIM(LEFT(W78,2)))*(--TRIM(LEFT(X78,2)))*(--TRIM(LEFT(Y78,2))))</f>
        <v/>
      </c>
      <c r="AA78" s="19" t="str">
        <f t="shared" ref="AA78:AA109" si="17">IF(OR(W78="",X78="",Y78=""),"",INDEX(APGrid,COUNTIF(APS,"&gt;"&amp;(--TRIM(LEFT(W78,2))))*5+COUNTIF(APO,"&gt;"&amp;(--TRIM(LEFT(X78,2))))+1,COUNTIF(APD,"&gt;"&amp;(--TRIM(LEFT(Y78,2))))+1))</f>
        <v/>
      </c>
      <c r="AB78" s="5"/>
      <c r="AC78" s="5"/>
      <c r="AE78" t="str">
        <f>IFERROR(INDEX(EqTag,_xlfn.AGGREGATE(15,6,(ROW(EqTag)-4)/((EqSys=$D$3)*(EqTag&lt;&gt;"")),ROWS($AE$14:AE78))),"")</f>
        <v/>
      </c>
    </row>
    <row r="79" spans="1:31" ht="30" customHeight="1" x14ac:dyDescent="0.2">
      <c r="A79" s="19" t="str">
        <f>IF(F79="","",LEFT($D$3,3)&amp;"-"&amp;TEXT(COUNTIF(F$14:F79,"?*"),"00"))</f>
        <v/>
      </c>
      <c r="B79" s="5"/>
      <c r="C79" s="6" t="str">
        <f t="shared" si="12"/>
        <v/>
      </c>
      <c r="D79" s="5"/>
      <c r="E79" s="5"/>
      <c r="F79" s="5"/>
      <c r="G79" s="5"/>
      <c r="H79" s="5"/>
      <c r="I79" s="5"/>
      <c r="J79" s="5"/>
      <c r="K79" s="15"/>
      <c r="L79" s="5"/>
      <c r="M79" s="15"/>
      <c r="N79" s="5"/>
      <c r="O79" s="15"/>
      <c r="P79" s="19" t="str">
        <f t="shared" si="13"/>
        <v/>
      </c>
      <c r="Q79" s="19" t="str">
        <f t="shared" si="14"/>
        <v/>
      </c>
      <c r="R79" s="19" t="str">
        <f t="shared" si="15"/>
        <v/>
      </c>
      <c r="S79" s="5"/>
      <c r="T79" s="5"/>
      <c r="U79" s="5"/>
      <c r="V79" s="24"/>
      <c r="W79" s="15"/>
      <c r="X79" s="15"/>
      <c r="Y79" s="15"/>
      <c r="Z79" s="19" t="str">
        <f t="shared" si="16"/>
        <v/>
      </c>
      <c r="AA79" s="19" t="str">
        <f t="shared" si="17"/>
        <v/>
      </c>
      <c r="AB79" s="5"/>
      <c r="AC79" s="5"/>
      <c r="AE79" t="str">
        <f>IFERROR(INDEX(EqTag,_xlfn.AGGREGATE(15,6,(ROW(EqTag)-4)/((EqSys=$D$3)*(EqTag&lt;&gt;"")),ROWS($AE$14:AE79))),"")</f>
        <v/>
      </c>
    </row>
    <row r="80" spans="1:31" ht="30" customHeight="1" x14ac:dyDescent="0.2">
      <c r="A80" s="19" t="str">
        <f>IF(F80="","",LEFT($D$3,3)&amp;"-"&amp;TEXT(COUNTIF(F$14:F80,"?*"),"00"))</f>
        <v/>
      </c>
      <c r="B80" s="5"/>
      <c r="C80" s="6" t="str">
        <f t="shared" si="12"/>
        <v/>
      </c>
      <c r="D80" s="5"/>
      <c r="E80" s="5"/>
      <c r="F80" s="5"/>
      <c r="G80" s="5"/>
      <c r="H80" s="5"/>
      <c r="I80" s="5"/>
      <c r="J80" s="5"/>
      <c r="K80" s="15"/>
      <c r="L80" s="5"/>
      <c r="M80" s="15"/>
      <c r="N80" s="5"/>
      <c r="O80" s="15"/>
      <c r="P80" s="19" t="str">
        <f t="shared" si="13"/>
        <v/>
      </c>
      <c r="Q80" s="19" t="str">
        <f t="shared" si="14"/>
        <v/>
      </c>
      <c r="R80" s="19" t="str">
        <f t="shared" si="15"/>
        <v/>
      </c>
      <c r="S80" s="5"/>
      <c r="T80" s="5"/>
      <c r="U80" s="5"/>
      <c r="V80" s="24"/>
      <c r="W80" s="15"/>
      <c r="X80" s="15"/>
      <c r="Y80" s="15"/>
      <c r="Z80" s="19" t="str">
        <f t="shared" si="16"/>
        <v/>
      </c>
      <c r="AA80" s="19" t="str">
        <f t="shared" si="17"/>
        <v/>
      </c>
      <c r="AB80" s="5"/>
      <c r="AC80" s="5"/>
      <c r="AE80" t="str">
        <f>IFERROR(INDEX(EqTag,_xlfn.AGGREGATE(15,6,(ROW(EqTag)-4)/((EqSys=$D$3)*(EqTag&lt;&gt;"")),ROWS($AE$14:AE80))),"")</f>
        <v/>
      </c>
    </row>
    <row r="81" spans="1:31" ht="30" customHeight="1" x14ac:dyDescent="0.2">
      <c r="A81" s="19" t="str">
        <f>IF(F81="","",LEFT($D$3,3)&amp;"-"&amp;TEXT(COUNTIF(F$14:F81,"?*"),"00"))</f>
        <v/>
      </c>
      <c r="B81" s="5"/>
      <c r="C81" s="6" t="str">
        <f t="shared" si="12"/>
        <v/>
      </c>
      <c r="D81" s="5"/>
      <c r="E81" s="5"/>
      <c r="F81" s="5"/>
      <c r="G81" s="5"/>
      <c r="H81" s="5"/>
      <c r="I81" s="5"/>
      <c r="J81" s="5"/>
      <c r="K81" s="15"/>
      <c r="L81" s="5"/>
      <c r="M81" s="15"/>
      <c r="N81" s="5"/>
      <c r="O81" s="15"/>
      <c r="P81" s="19" t="str">
        <f t="shared" si="13"/>
        <v/>
      </c>
      <c r="Q81" s="19" t="str">
        <f t="shared" si="14"/>
        <v/>
      </c>
      <c r="R81" s="19" t="str">
        <f t="shared" si="15"/>
        <v/>
      </c>
      <c r="S81" s="5"/>
      <c r="T81" s="5"/>
      <c r="U81" s="5"/>
      <c r="V81" s="24"/>
      <c r="W81" s="15"/>
      <c r="X81" s="15"/>
      <c r="Y81" s="15"/>
      <c r="Z81" s="19" t="str">
        <f t="shared" si="16"/>
        <v/>
      </c>
      <c r="AA81" s="19" t="str">
        <f t="shared" si="17"/>
        <v/>
      </c>
      <c r="AB81" s="5"/>
      <c r="AC81" s="5"/>
      <c r="AE81" t="str">
        <f>IFERROR(INDEX(EqTag,_xlfn.AGGREGATE(15,6,(ROW(EqTag)-4)/((EqSys=$D$3)*(EqTag&lt;&gt;"")),ROWS($AE$14:AE81))),"")</f>
        <v/>
      </c>
    </row>
    <row r="82" spans="1:31" ht="30" customHeight="1" x14ac:dyDescent="0.2">
      <c r="A82" s="19" t="str">
        <f>IF(F82="","",LEFT($D$3,3)&amp;"-"&amp;TEXT(COUNTIF(F$14:F82,"?*"),"00"))</f>
        <v/>
      </c>
      <c r="B82" s="5"/>
      <c r="C82" s="6" t="str">
        <f t="shared" si="12"/>
        <v/>
      </c>
      <c r="D82" s="5"/>
      <c r="E82" s="5"/>
      <c r="F82" s="5"/>
      <c r="G82" s="5"/>
      <c r="H82" s="5"/>
      <c r="I82" s="5"/>
      <c r="J82" s="5"/>
      <c r="K82" s="15"/>
      <c r="L82" s="5"/>
      <c r="M82" s="15"/>
      <c r="N82" s="5"/>
      <c r="O82" s="15"/>
      <c r="P82" s="19" t="str">
        <f t="shared" si="13"/>
        <v/>
      </c>
      <c r="Q82" s="19" t="str">
        <f t="shared" si="14"/>
        <v/>
      </c>
      <c r="R82" s="19" t="str">
        <f t="shared" si="15"/>
        <v/>
      </c>
      <c r="S82" s="5"/>
      <c r="T82" s="5"/>
      <c r="U82" s="5"/>
      <c r="V82" s="24"/>
      <c r="W82" s="15"/>
      <c r="X82" s="15"/>
      <c r="Y82" s="15"/>
      <c r="Z82" s="19" t="str">
        <f t="shared" si="16"/>
        <v/>
      </c>
      <c r="AA82" s="19" t="str">
        <f t="shared" si="17"/>
        <v/>
      </c>
      <c r="AB82" s="5"/>
      <c r="AC82" s="5"/>
      <c r="AE82" t="str">
        <f>IFERROR(INDEX(EqTag,_xlfn.AGGREGATE(15,6,(ROW(EqTag)-4)/((EqSys=$D$3)*(EqTag&lt;&gt;"")),ROWS($AE$14:AE82))),"")</f>
        <v/>
      </c>
    </row>
    <row r="83" spans="1:31" ht="30" customHeight="1" x14ac:dyDescent="0.2">
      <c r="A83" s="19" t="str">
        <f>IF(F83="","",LEFT($D$3,3)&amp;"-"&amp;TEXT(COUNTIF(F$14:F83,"?*"),"00"))</f>
        <v/>
      </c>
      <c r="B83" s="5"/>
      <c r="C83" s="6" t="str">
        <f t="shared" si="12"/>
        <v/>
      </c>
      <c r="D83" s="5"/>
      <c r="E83" s="5"/>
      <c r="F83" s="5"/>
      <c r="G83" s="5"/>
      <c r="H83" s="5"/>
      <c r="I83" s="5"/>
      <c r="J83" s="5"/>
      <c r="K83" s="15"/>
      <c r="L83" s="5"/>
      <c r="M83" s="15"/>
      <c r="N83" s="5"/>
      <c r="O83" s="15"/>
      <c r="P83" s="19" t="str">
        <f t="shared" si="13"/>
        <v/>
      </c>
      <c r="Q83" s="19" t="str">
        <f t="shared" si="14"/>
        <v/>
      </c>
      <c r="R83" s="19" t="str">
        <f t="shared" si="15"/>
        <v/>
      </c>
      <c r="S83" s="5"/>
      <c r="T83" s="5"/>
      <c r="U83" s="5"/>
      <c r="V83" s="24"/>
      <c r="W83" s="15"/>
      <c r="X83" s="15"/>
      <c r="Y83" s="15"/>
      <c r="Z83" s="19" t="str">
        <f t="shared" si="16"/>
        <v/>
      </c>
      <c r="AA83" s="19" t="str">
        <f t="shared" si="17"/>
        <v/>
      </c>
      <c r="AB83" s="5"/>
      <c r="AC83" s="5"/>
      <c r="AE83" t="str">
        <f>IFERROR(INDEX(EqTag,_xlfn.AGGREGATE(15,6,(ROW(EqTag)-4)/((EqSys=$D$3)*(EqTag&lt;&gt;"")),ROWS($AE$14:AE83))),"")</f>
        <v/>
      </c>
    </row>
    <row r="84" spans="1:31" ht="30" customHeight="1" x14ac:dyDescent="0.2">
      <c r="A84" s="19" t="str">
        <f>IF(F84="","",LEFT($D$3,3)&amp;"-"&amp;TEXT(COUNTIF(F$14:F84,"?*"),"00"))</f>
        <v/>
      </c>
      <c r="B84" s="5"/>
      <c r="C84" s="6" t="str">
        <f t="shared" si="12"/>
        <v/>
      </c>
      <c r="D84" s="5"/>
      <c r="E84" s="5"/>
      <c r="F84" s="5"/>
      <c r="G84" s="5"/>
      <c r="H84" s="5"/>
      <c r="I84" s="5"/>
      <c r="J84" s="5"/>
      <c r="K84" s="15"/>
      <c r="L84" s="5"/>
      <c r="M84" s="15"/>
      <c r="N84" s="5"/>
      <c r="O84" s="15"/>
      <c r="P84" s="19" t="str">
        <f t="shared" si="13"/>
        <v/>
      </c>
      <c r="Q84" s="19" t="str">
        <f t="shared" si="14"/>
        <v/>
      </c>
      <c r="R84" s="19" t="str">
        <f t="shared" si="15"/>
        <v/>
      </c>
      <c r="S84" s="5"/>
      <c r="T84" s="5"/>
      <c r="U84" s="5"/>
      <c r="V84" s="24"/>
      <c r="W84" s="15"/>
      <c r="X84" s="15"/>
      <c r="Y84" s="15"/>
      <c r="Z84" s="19" t="str">
        <f t="shared" si="16"/>
        <v/>
      </c>
      <c r="AA84" s="19" t="str">
        <f t="shared" si="17"/>
        <v/>
      </c>
      <c r="AB84" s="5"/>
      <c r="AC84" s="5"/>
      <c r="AE84" t="str">
        <f>IFERROR(INDEX(EqTag,_xlfn.AGGREGATE(15,6,(ROW(EqTag)-4)/((EqSys=$D$3)*(EqTag&lt;&gt;"")),ROWS($AE$14:AE84))),"")</f>
        <v/>
      </c>
    </row>
    <row r="85" spans="1:31" ht="30" customHeight="1" x14ac:dyDescent="0.2">
      <c r="A85" s="19" t="str">
        <f>IF(F85="","",LEFT($D$3,3)&amp;"-"&amp;TEXT(COUNTIF(F$14:F85,"?*"),"00"))</f>
        <v/>
      </c>
      <c r="B85" s="5"/>
      <c r="C85" s="6" t="str">
        <f t="shared" si="12"/>
        <v/>
      </c>
      <c r="D85" s="5"/>
      <c r="E85" s="5"/>
      <c r="F85" s="5"/>
      <c r="G85" s="5"/>
      <c r="H85" s="5"/>
      <c r="I85" s="5"/>
      <c r="J85" s="5"/>
      <c r="K85" s="15"/>
      <c r="L85" s="5"/>
      <c r="M85" s="15"/>
      <c r="N85" s="5"/>
      <c r="O85" s="15"/>
      <c r="P85" s="19" t="str">
        <f t="shared" si="13"/>
        <v/>
      </c>
      <c r="Q85" s="19" t="str">
        <f t="shared" si="14"/>
        <v/>
      </c>
      <c r="R85" s="19" t="str">
        <f t="shared" si="15"/>
        <v/>
      </c>
      <c r="S85" s="5"/>
      <c r="T85" s="5"/>
      <c r="U85" s="5"/>
      <c r="V85" s="24"/>
      <c r="W85" s="15"/>
      <c r="X85" s="15"/>
      <c r="Y85" s="15"/>
      <c r="Z85" s="19" t="str">
        <f t="shared" si="16"/>
        <v/>
      </c>
      <c r="AA85" s="19" t="str">
        <f t="shared" si="17"/>
        <v/>
      </c>
      <c r="AB85" s="5"/>
      <c r="AC85" s="5"/>
      <c r="AE85" t="str">
        <f>IFERROR(INDEX(EqTag,_xlfn.AGGREGATE(15,6,(ROW(EqTag)-4)/((EqSys=$D$3)*(EqTag&lt;&gt;"")),ROWS($AE$14:AE85))),"")</f>
        <v/>
      </c>
    </row>
    <row r="86" spans="1:31" ht="30" customHeight="1" x14ac:dyDescent="0.2">
      <c r="A86" s="19" t="str">
        <f>IF(F86="","",LEFT($D$3,3)&amp;"-"&amp;TEXT(COUNTIF(F$14:F86,"?*"),"00"))</f>
        <v/>
      </c>
      <c r="B86" s="5"/>
      <c r="C86" s="6" t="str">
        <f t="shared" si="12"/>
        <v/>
      </c>
      <c r="D86" s="5"/>
      <c r="E86" s="5"/>
      <c r="F86" s="5"/>
      <c r="G86" s="5"/>
      <c r="H86" s="5"/>
      <c r="I86" s="5"/>
      <c r="J86" s="5"/>
      <c r="K86" s="15"/>
      <c r="L86" s="5"/>
      <c r="M86" s="15"/>
      <c r="N86" s="5"/>
      <c r="O86" s="15"/>
      <c r="P86" s="19" t="str">
        <f t="shared" si="13"/>
        <v/>
      </c>
      <c r="Q86" s="19" t="str">
        <f t="shared" si="14"/>
        <v/>
      </c>
      <c r="R86" s="19" t="str">
        <f t="shared" si="15"/>
        <v/>
      </c>
      <c r="S86" s="5"/>
      <c r="T86" s="5"/>
      <c r="U86" s="5"/>
      <c r="V86" s="24"/>
      <c r="W86" s="15"/>
      <c r="X86" s="15"/>
      <c r="Y86" s="15"/>
      <c r="Z86" s="19" t="str">
        <f t="shared" si="16"/>
        <v/>
      </c>
      <c r="AA86" s="19" t="str">
        <f t="shared" si="17"/>
        <v/>
      </c>
      <c r="AB86" s="5"/>
      <c r="AC86" s="5"/>
      <c r="AE86" t="str">
        <f>IFERROR(INDEX(EqTag,_xlfn.AGGREGATE(15,6,(ROW(EqTag)-4)/((EqSys=$D$3)*(EqTag&lt;&gt;"")),ROWS($AE$14:AE86))),"")</f>
        <v/>
      </c>
    </row>
    <row r="87" spans="1:31" ht="30" customHeight="1" x14ac:dyDescent="0.2">
      <c r="A87" s="19" t="str">
        <f>IF(F87="","",LEFT($D$3,3)&amp;"-"&amp;TEXT(COUNTIF(F$14:F87,"?*"),"00"))</f>
        <v/>
      </c>
      <c r="B87" s="5"/>
      <c r="C87" s="6" t="str">
        <f t="shared" si="12"/>
        <v/>
      </c>
      <c r="D87" s="5"/>
      <c r="E87" s="5"/>
      <c r="F87" s="5"/>
      <c r="G87" s="5"/>
      <c r="H87" s="5"/>
      <c r="I87" s="5"/>
      <c r="J87" s="5"/>
      <c r="K87" s="15"/>
      <c r="L87" s="5"/>
      <c r="M87" s="15"/>
      <c r="N87" s="5"/>
      <c r="O87" s="15"/>
      <c r="P87" s="19" t="str">
        <f t="shared" si="13"/>
        <v/>
      </c>
      <c r="Q87" s="19" t="str">
        <f t="shared" si="14"/>
        <v/>
      </c>
      <c r="R87" s="19" t="str">
        <f t="shared" si="15"/>
        <v/>
      </c>
      <c r="S87" s="5"/>
      <c r="T87" s="5"/>
      <c r="U87" s="5"/>
      <c r="V87" s="24"/>
      <c r="W87" s="15"/>
      <c r="X87" s="15"/>
      <c r="Y87" s="15"/>
      <c r="Z87" s="19" t="str">
        <f t="shared" si="16"/>
        <v/>
      </c>
      <c r="AA87" s="19" t="str">
        <f t="shared" si="17"/>
        <v/>
      </c>
      <c r="AB87" s="5"/>
      <c r="AC87" s="5"/>
      <c r="AE87" t="str">
        <f>IFERROR(INDEX(EqTag,_xlfn.AGGREGATE(15,6,(ROW(EqTag)-4)/((EqSys=$D$3)*(EqTag&lt;&gt;"")),ROWS($AE$14:AE87))),"")</f>
        <v/>
      </c>
    </row>
    <row r="88" spans="1:31" ht="30" customHeight="1" x14ac:dyDescent="0.2">
      <c r="A88" s="19" t="str">
        <f>IF(F88="","",LEFT($D$3,3)&amp;"-"&amp;TEXT(COUNTIF(F$14:F88,"?*"),"00"))</f>
        <v/>
      </c>
      <c r="B88" s="5"/>
      <c r="C88" s="6" t="str">
        <f t="shared" si="12"/>
        <v/>
      </c>
      <c r="D88" s="5"/>
      <c r="E88" s="5"/>
      <c r="F88" s="5"/>
      <c r="G88" s="5"/>
      <c r="H88" s="5"/>
      <c r="I88" s="5"/>
      <c r="J88" s="5"/>
      <c r="K88" s="15"/>
      <c r="L88" s="5"/>
      <c r="M88" s="15"/>
      <c r="N88" s="5"/>
      <c r="O88" s="15"/>
      <c r="P88" s="19" t="str">
        <f t="shared" si="13"/>
        <v/>
      </c>
      <c r="Q88" s="19" t="str">
        <f t="shared" si="14"/>
        <v/>
      </c>
      <c r="R88" s="19" t="str">
        <f t="shared" si="15"/>
        <v/>
      </c>
      <c r="S88" s="5"/>
      <c r="T88" s="5"/>
      <c r="U88" s="5"/>
      <c r="V88" s="24"/>
      <c r="W88" s="15"/>
      <c r="X88" s="15"/>
      <c r="Y88" s="15"/>
      <c r="Z88" s="19" t="str">
        <f t="shared" si="16"/>
        <v/>
      </c>
      <c r="AA88" s="19" t="str">
        <f t="shared" si="17"/>
        <v/>
      </c>
      <c r="AB88" s="5"/>
      <c r="AC88" s="5"/>
      <c r="AE88" t="str">
        <f>IFERROR(INDEX(EqTag,_xlfn.AGGREGATE(15,6,(ROW(EqTag)-4)/((EqSys=$D$3)*(EqTag&lt;&gt;"")),ROWS($AE$14:AE88))),"")</f>
        <v/>
      </c>
    </row>
    <row r="89" spans="1:31" ht="30" customHeight="1" x14ac:dyDescent="0.2">
      <c r="A89" s="19" t="str">
        <f>IF(F89="","",LEFT($D$3,3)&amp;"-"&amp;TEXT(COUNTIF(F$14:F89,"?*"),"00"))</f>
        <v/>
      </c>
      <c r="B89" s="5"/>
      <c r="C89" s="6" t="str">
        <f t="shared" si="12"/>
        <v/>
      </c>
      <c r="D89" s="5"/>
      <c r="E89" s="5"/>
      <c r="F89" s="5"/>
      <c r="G89" s="5"/>
      <c r="H89" s="5"/>
      <c r="I89" s="5"/>
      <c r="J89" s="5"/>
      <c r="K89" s="15"/>
      <c r="L89" s="5"/>
      <c r="M89" s="15"/>
      <c r="N89" s="5"/>
      <c r="O89" s="15"/>
      <c r="P89" s="19" t="str">
        <f t="shared" si="13"/>
        <v/>
      </c>
      <c r="Q89" s="19" t="str">
        <f t="shared" si="14"/>
        <v/>
      </c>
      <c r="R89" s="19" t="str">
        <f t="shared" si="15"/>
        <v/>
      </c>
      <c r="S89" s="5"/>
      <c r="T89" s="5"/>
      <c r="U89" s="5"/>
      <c r="V89" s="24"/>
      <c r="W89" s="15"/>
      <c r="X89" s="15"/>
      <c r="Y89" s="15"/>
      <c r="Z89" s="19" t="str">
        <f t="shared" si="16"/>
        <v/>
      </c>
      <c r="AA89" s="19" t="str">
        <f t="shared" si="17"/>
        <v/>
      </c>
      <c r="AB89" s="5"/>
      <c r="AC89" s="5"/>
      <c r="AE89" t="str">
        <f>IFERROR(INDEX(EqTag,_xlfn.AGGREGATE(15,6,(ROW(EqTag)-4)/((EqSys=$D$3)*(EqTag&lt;&gt;"")),ROWS($AE$14:AE89))),"")</f>
        <v/>
      </c>
    </row>
    <row r="90" spans="1:31" ht="30" customHeight="1" x14ac:dyDescent="0.2">
      <c r="A90" s="19" t="str">
        <f>IF(F90="","",LEFT($D$3,3)&amp;"-"&amp;TEXT(COUNTIF(F$14:F90,"?*"),"00"))</f>
        <v/>
      </c>
      <c r="B90" s="5"/>
      <c r="C90" s="6" t="str">
        <f t="shared" si="12"/>
        <v/>
      </c>
      <c r="D90" s="5"/>
      <c r="E90" s="5"/>
      <c r="F90" s="5"/>
      <c r="G90" s="5"/>
      <c r="H90" s="5"/>
      <c r="I90" s="5"/>
      <c r="J90" s="5"/>
      <c r="K90" s="15"/>
      <c r="L90" s="5"/>
      <c r="M90" s="15"/>
      <c r="N90" s="5"/>
      <c r="O90" s="15"/>
      <c r="P90" s="19" t="str">
        <f t="shared" si="13"/>
        <v/>
      </c>
      <c r="Q90" s="19" t="str">
        <f t="shared" si="14"/>
        <v/>
      </c>
      <c r="R90" s="19" t="str">
        <f t="shared" si="15"/>
        <v/>
      </c>
      <c r="S90" s="5"/>
      <c r="T90" s="5"/>
      <c r="U90" s="5"/>
      <c r="V90" s="24"/>
      <c r="W90" s="15"/>
      <c r="X90" s="15"/>
      <c r="Y90" s="15"/>
      <c r="Z90" s="19" t="str">
        <f t="shared" si="16"/>
        <v/>
      </c>
      <c r="AA90" s="19" t="str">
        <f t="shared" si="17"/>
        <v/>
      </c>
      <c r="AB90" s="5"/>
      <c r="AC90" s="5"/>
      <c r="AE90" t="str">
        <f>IFERROR(INDEX(EqTag,_xlfn.AGGREGATE(15,6,(ROW(EqTag)-4)/((EqSys=$D$3)*(EqTag&lt;&gt;"")),ROWS($AE$14:AE90))),"")</f>
        <v/>
      </c>
    </row>
    <row r="91" spans="1:31" ht="30" customHeight="1" x14ac:dyDescent="0.2">
      <c r="A91" s="19" t="str">
        <f>IF(F91="","",LEFT($D$3,3)&amp;"-"&amp;TEXT(COUNTIF(F$14:F91,"?*"),"00"))</f>
        <v/>
      </c>
      <c r="B91" s="5"/>
      <c r="C91" s="6" t="str">
        <f t="shared" si="12"/>
        <v/>
      </c>
      <c r="D91" s="5"/>
      <c r="E91" s="5"/>
      <c r="F91" s="5"/>
      <c r="G91" s="5"/>
      <c r="H91" s="5"/>
      <c r="I91" s="5"/>
      <c r="J91" s="5"/>
      <c r="K91" s="15"/>
      <c r="L91" s="5"/>
      <c r="M91" s="15"/>
      <c r="N91" s="5"/>
      <c r="O91" s="15"/>
      <c r="P91" s="19" t="str">
        <f t="shared" si="13"/>
        <v/>
      </c>
      <c r="Q91" s="19" t="str">
        <f t="shared" si="14"/>
        <v/>
      </c>
      <c r="R91" s="19" t="str">
        <f t="shared" si="15"/>
        <v/>
      </c>
      <c r="S91" s="5"/>
      <c r="T91" s="5"/>
      <c r="U91" s="5"/>
      <c r="V91" s="24"/>
      <c r="W91" s="15"/>
      <c r="X91" s="15"/>
      <c r="Y91" s="15"/>
      <c r="Z91" s="19" t="str">
        <f t="shared" si="16"/>
        <v/>
      </c>
      <c r="AA91" s="19" t="str">
        <f t="shared" si="17"/>
        <v/>
      </c>
      <c r="AB91" s="5"/>
      <c r="AC91" s="5"/>
      <c r="AE91" t="str">
        <f>IFERROR(INDEX(EqTag,_xlfn.AGGREGATE(15,6,(ROW(EqTag)-4)/((EqSys=$D$3)*(EqTag&lt;&gt;"")),ROWS($AE$14:AE91))),"")</f>
        <v/>
      </c>
    </row>
    <row r="92" spans="1:31" ht="30" customHeight="1" x14ac:dyDescent="0.2">
      <c r="A92" s="19" t="str">
        <f>IF(F92="","",LEFT($D$3,3)&amp;"-"&amp;TEXT(COUNTIF(F$14:F92,"?*"),"00"))</f>
        <v/>
      </c>
      <c r="B92" s="5"/>
      <c r="C92" s="6" t="str">
        <f t="shared" si="12"/>
        <v/>
      </c>
      <c r="D92" s="5"/>
      <c r="E92" s="5"/>
      <c r="F92" s="5"/>
      <c r="G92" s="5"/>
      <c r="H92" s="5"/>
      <c r="I92" s="5"/>
      <c r="J92" s="5"/>
      <c r="K92" s="15"/>
      <c r="L92" s="5"/>
      <c r="M92" s="15"/>
      <c r="N92" s="5"/>
      <c r="O92" s="15"/>
      <c r="P92" s="19" t="str">
        <f t="shared" si="13"/>
        <v/>
      </c>
      <c r="Q92" s="19" t="str">
        <f t="shared" si="14"/>
        <v/>
      </c>
      <c r="R92" s="19" t="str">
        <f t="shared" si="15"/>
        <v/>
      </c>
      <c r="S92" s="5"/>
      <c r="T92" s="5"/>
      <c r="U92" s="5"/>
      <c r="V92" s="24"/>
      <c r="W92" s="15"/>
      <c r="X92" s="15"/>
      <c r="Y92" s="15"/>
      <c r="Z92" s="19" t="str">
        <f t="shared" si="16"/>
        <v/>
      </c>
      <c r="AA92" s="19" t="str">
        <f t="shared" si="17"/>
        <v/>
      </c>
      <c r="AB92" s="5"/>
      <c r="AC92" s="5"/>
      <c r="AE92" t="str">
        <f>IFERROR(INDEX(EqTag,_xlfn.AGGREGATE(15,6,(ROW(EqTag)-4)/((EqSys=$D$3)*(EqTag&lt;&gt;"")),ROWS($AE$14:AE92))),"")</f>
        <v/>
      </c>
    </row>
    <row r="93" spans="1:31" ht="30" customHeight="1" x14ac:dyDescent="0.2">
      <c r="A93" s="19" t="str">
        <f>IF(F93="","",LEFT($D$3,3)&amp;"-"&amp;TEXT(COUNTIF(F$14:F93,"?*"),"00"))</f>
        <v/>
      </c>
      <c r="B93" s="5"/>
      <c r="C93" s="6" t="str">
        <f t="shared" si="12"/>
        <v/>
      </c>
      <c r="D93" s="5"/>
      <c r="E93" s="5"/>
      <c r="F93" s="5"/>
      <c r="G93" s="5"/>
      <c r="H93" s="5"/>
      <c r="I93" s="5"/>
      <c r="J93" s="5"/>
      <c r="K93" s="15"/>
      <c r="L93" s="5"/>
      <c r="M93" s="15"/>
      <c r="N93" s="5"/>
      <c r="O93" s="15"/>
      <c r="P93" s="19" t="str">
        <f t="shared" si="13"/>
        <v/>
      </c>
      <c r="Q93" s="19" t="str">
        <f t="shared" si="14"/>
        <v/>
      </c>
      <c r="R93" s="19" t="str">
        <f t="shared" si="15"/>
        <v/>
      </c>
      <c r="S93" s="5"/>
      <c r="T93" s="5"/>
      <c r="U93" s="5"/>
      <c r="V93" s="24"/>
      <c r="W93" s="15"/>
      <c r="X93" s="15"/>
      <c r="Y93" s="15"/>
      <c r="Z93" s="19" t="str">
        <f t="shared" si="16"/>
        <v/>
      </c>
      <c r="AA93" s="19" t="str">
        <f t="shared" si="17"/>
        <v/>
      </c>
      <c r="AB93" s="5"/>
      <c r="AC93" s="5"/>
      <c r="AE93" t="str">
        <f>IFERROR(INDEX(EqTag,_xlfn.AGGREGATE(15,6,(ROW(EqTag)-4)/((EqSys=$D$3)*(EqTag&lt;&gt;"")),ROWS($AE$14:AE93))),"")</f>
        <v/>
      </c>
    </row>
    <row r="94" spans="1:31" ht="30" customHeight="1" x14ac:dyDescent="0.2">
      <c r="A94" s="19" t="str">
        <f>IF(F94="","",LEFT($D$3,3)&amp;"-"&amp;TEXT(COUNTIF(F$14:F94,"?*"),"00"))</f>
        <v/>
      </c>
      <c r="B94" s="5"/>
      <c r="C94" s="6" t="str">
        <f t="shared" si="12"/>
        <v/>
      </c>
      <c r="D94" s="5"/>
      <c r="E94" s="5"/>
      <c r="F94" s="5"/>
      <c r="G94" s="5"/>
      <c r="H94" s="5"/>
      <c r="I94" s="5"/>
      <c r="J94" s="5"/>
      <c r="K94" s="15"/>
      <c r="L94" s="5"/>
      <c r="M94" s="15"/>
      <c r="N94" s="5"/>
      <c r="O94" s="15"/>
      <c r="P94" s="19" t="str">
        <f t="shared" si="13"/>
        <v/>
      </c>
      <c r="Q94" s="19" t="str">
        <f t="shared" si="14"/>
        <v/>
      </c>
      <c r="R94" s="19" t="str">
        <f t="shared" si="15"/>
        <v/>
      </c>
      <c r="S94" s="5"/>
      <c r="T94" s="5"/>
      <c r="U94" s="5"/>
      <c r="V94" s="24"/>
      <c r="W94" s="15"/>
      <c r="X94" s="15"/>
      <c r="Y94" s="15"/>
      <c r="Z94" s="19" t="str">
        <f t="shared" si="16"/>
        <v/>
      </c>
      <c r="AA94" s="19" t="str">
        <f t="shared" si="17"/>
        <v/>
      </c>
      <c r="AB94" s="5"/>
      <c r="AC94" s="5"/>
      <c r="AE94" t="str">
        <f>IFERROR(INDEX(EqTag,_xlfn.AGGREGATE(15,6,(ROW(EqTag)-4)/((EqSys=$D$3)*(EqTag&lt;&gt;"")),ROWS($AE$14:AE94))),"")</f>
        <v/>
      </c>
    </row>
    <row r="95" spans="1:31" ht="30" customHeight="1" x14ac:dyDescent="0.2">
      <c r="A95" s="19" t="str">
        <f>IF(F95="","",LEFT($D$3,3)&amp;"-"&amp;TEXT(COUNTIF(F$14:F95,"?*"),"00"))</f>
        <v/>
      </c>
      <c r="B95" s="5"/>
      <c r="C95" s="6" t="str">
        <f t="shared" si="12"/>
        <v/>
      </c>
      <c r="D95" s="5"/>
      <c r="E95" s="5"/>
      <c r="F95" s="5"/>
      <c r="G95" s="5"/>
      <c r="H95" s="5"/>
      <c r="I95" s="5"/>
      <c r="J95" s="5"/>
      <c r="K95" s="15"/>
      <c r="L95" s="5"/>
      <c r="M95" s="15"/>
      <c r="N95" s="5"/>
      <c r="O95" s="15"/>
      <c r="P95" s="19" t="str">
        <f t="shared" si="13"/>
        <v/>
      </c>
      <c r="Q95" s="19" t="str">
        <f t="shared" si="14"/>
        <v/>
      </c>
      <c r="R95" s="19" t="str">
        <f t="shared" si="15"/>
        <v/>
      </c>
      <c r="S95" s="5"/>
      <c r="T95" s="5"/>
      <c r="U95" s="5"/>
      <c r="V95" s="24"/>
      <c r="W95" s="15"/>
      <c r="X95" s="15"/>
      <c r="Y95" s="15"/>
      <c r="Z95" s="19" t="str">
        <f t="shared" si="16"/>
        <v/>
      </c>
      <c r="AA95" s="19" t="str">
        <f t="shared" si="17"/>
        <v/>
      </c>
      <c r="AB95" s="5"/>
      <c r="AC95" s="5"/>
      <c r="AE95" t="str">
        <f>IFERROR(INDEX(EqTag,_xlfn.AGGREGATE(15,6,(ROW(EqTag)-4)/((EqSys=$D$3)*(EqTag&lt;&gt;"")),ROWS($AE$14:AE95))),"")</f>
        <v/>
      </c>
    </row>
    <row r="96" spans="1:31" ht="30" customHeight="1" x14ac:dyDescent="0.2">
      <c r="A96" s="19" t="str">
        <f>IF(F96="","",LEFT($D$3,3)&amp;"-"&amp;TEXT(COUNTIF(F$14:F96,"?*"),"00"))</f>
        <v/>
      </c>
      <c r="B96" s="5"/>
      <c r="C96" s="6" t="str">
        <f t="shared" si="12"/>
        <v/>
      </c>
      <c r="D96" s="5"/>
      <c r="E96" s="5"/>
      <c r="F96" s="5"/>
      <c r="G96" s="5"/>
      <c r="H96" s="5"/>
      <c r="I96" s="5"/>
      <c r="J96" s="5"/>
      <c r="K96" s="15"/>
      <c r="L96" s="5"/>
      <c r="M96" s="15"/>
      <c r="N96" s="5"/>
      <c r="O96" s="15"/>
      <c r="P96" s="19" t="str">
        <f t="shared" si="13"/>
        <v/>
      </c>
      <c r="Q96" s="19" t="str">
        <f t="shared" si="14"/>
        <v/>
      </c>
      <c r="R96" s="19" t="str">
        <f t="shared" si="15"/>
        <v/>
      </c>
      <c r="S96" s="5"/>
      <c r="T96" s="5"/>
      <c r="U96" s="5"/>
      <c r="V96" s="24"/>
      <c r="W96" s="15"/>
      <c r="X96" s="15"/>
      <c r="Y96" s="15"/>
      <c r="Z96" s="19" t="str">
        <f t="shared" si="16"/>
        <v/>
      </c>
      <c r="AA96" s="19" t="str">
        <f t="shared" si="17"/>
        <v/>
      </c>
      <c r="AB96" s="5"/>
      <c r="AC96" s="5"/>
      <c r="AE96" t="str">
        <f>IFERROR(INDEX(EqTag,_xlfn.AGGREGATE(15,6,(ROW(EqTag)-4)/((EqSys=$D$3)*(EqTag&lt;&gt;"")),ROWS($AE$14:AE96))),"")</f>
        <v/>
      </c>
    </row>
    <row r="97" spans="1:31" ht="30" customHeight="1" x14ac:dyDescent="0.2">
      <c r="A97" s="19" t="str">
        <f>IF(F97="","",LEFT($D$3,3)&amp;"-"&amp;TEXT(COUNTIF(F$14:F97,"?*"),"00"))</f>
        <v/>
      </c>
      <c r="B97" s="5"/>
      <c r="C97" s="6" t="str">
        <f t="shared" si="12"/>
        <v/>
      </c>
      <c r="D97" s="5"/>
      <c r="E97" s="5"/>
      <c r="F97" s="5"/>
      <c r="G97" s="5"/>
      <c r="H97" s="5"/>
      <c r="I97" s="5"/>
      <c r="J97" s="5"/>
      <c r="K97" s="15"/>
      <c r="L97" s="5"/>
      <c r="M97" s="15"/>
      <c r="N97" s="5"/>
      <c r="O97" s="15"/>
      <c r="P97" s="19" t="str">
        <f t="shared" si="13"/>
        <v/>
      </c>
      <c r="Q97" s="19" t="str">
        <f t="shared" si="14"/>
        <v/>
      </c>
      <c r="R97" s="19" t="str">
        <f t="shared" si="15"/>
        <v/>
      </c>
      <c r="S97" s="5"/>
      <c r="T97" s="5"/>
      <c r="U97" s="5"/>
      <c r="V97" s="24"/>
      <c r="W97" s="15"/>
      <c r="X97" s="15"/>
      <c r="Y97" s="15"/>
      <c r="Z97" s="19" t="str">
        <f t="shared" si="16"/>
        <v/>
      </c>
      <c r="AA97" s="19" t="str">
        <f t="shared" si="17"/>
        <v/>
      </c>
      <c r="AB97" s="5"/>
      <c r="AC97" s="5"/>
      <c r="AE97" t="str">
        <f>IFERROR(INDEX(EqTag,_xlfn.AGGREGATE(15,6,(ROW(EqTag)-4)/((EqSys=$D$3)*(EqTag&lt;&gt;"")),ROWS($AE$14:AE97))),"")</f>
        <v/>
      </c>
    </row>
    <row r="98" spans="1:31" ht="30" customHeight="1" x14ac:dyDescent="0.2">
      <c r="A98" s="19" t="str">
        <f>IF(F98="","",LEFT($D$3,3)&amp;"-"&amp;TEXT(COUNTIF(F$14:F98,"?*"),"00"))</f>
        <v/>
      </c>
      <c r="B98" s="5"/>
      <c r="C98" s="6" t="str">
        <f t="shared" si="12"/>
        <v/>
      </c>
      <c r="D98" s="5"/>
      <c r="E98" s="5"/>
      <c r="F98" s="5"/>
      <c r="G98" s="5"/>
      <c r="H98" s="5"/>
      <c r="I98" s="5"/>
      <c r="J98" s="5"/>
      <c r="K98" s="15"/>
      <c r="L98" s="5"/>
      <c r="M98" s="15"/>
      <c r="N98" s="5"/>
      <c r="O98" s="15"/>
      <c r="P98" s="19" t="str">
        <f t="shared" si="13"/>
        <v/>
      </c>
      <c r="Q98" s="19" t="str">
        <f t="shared" si="14"/>
        <v/>
      </c>
      <c r="R98" s="19" t="str">
        <f t="shared" si="15"/>
        <v/>
      </c>
      <c r="S98" s="5"/>
      <c r="T98" s="5"/>
      <c r="U98" s="5"/>
      <c r="V98" s="24"/>
      <c r="W98" s="15"/>
      <c r="X98" s="15"/>
      <c r="Y98" s="15"/>
      <c r="Z98" s="19" t="str">
        <f t="shared" si="16"/>
        <v/>
      </c>
      <c r="AA98" s="19" t="str">
        <f t="shared" si="17"/>
        <v/>
      </c>
      <c r="AB98" s="5"/>
      <c r="AC98" s="5"/>
      <c r="AE98" t="str">
        <f>IFERROR(INDEX(EqTag,_xlfn.AGGREGATE(15,6,(ROW(EqTag)-4)/((EqSys=$D$3)*(EqTag&lt;&gt;"")),ROWS($AE$14:AE98))),"")</f>
        <v/>
      </c>
    </row>
    <row r="99" spans="1:31" ht="30" customHeight="1" x14ac:dyDescent="0.2">
      <c r="A99" s="19" t="str">
        <f>IF(F99="","",LEFT($D$3,3)&amp;"-"&amp;TEXT(COUNTIF(F$14:F99,"?*"),"00"))</f>
        <v/>
      </c>
      <c r="B99" s="5"/>
      <c r="C99" s="6" t="str">
        <f t="shared" si="12"/>
        <v/>
      </c>
      <c r="D99" s="5"/>
      <c r="E99" s="5"/>
      <c r="F99" s="5"/>
      <c r="G99" s="5"/>
      <c r="H99" s="5"/>
      <c r="I99" s="5"/>
      <c r="J99" s="5"/>
      <c r="K99" s="15"/>
      <c r="L99" s="5"/>
      <c r="M99" s="15"/>
      <c r="N99" s="5"/>
      <c r="O99" s="15"/>
      <c r="P99" s="19" t="str">
        <f t="shared" si="13"/>
        <v/>
      </c>
      <c r="Q99" s="19" t="str">
        <f t="shared" si="14"/>
        <v/>
      </c>
      <c r="R99" s="19" t="str">
        <f t="shared" si="15"/>
        <v/>
      </c>
      <c r="S99" s="5"/>
      <c r="T99" s="5"/>
      <c r="U99" s="5"/>
      <c r="V99" s="24"/>
      <c r="W99" s="15"/>
      <c r="X99" s="15"/>
      <c r="Y99" s="15"/>
      <c r="Z99" s="19" t="str">
        <f t="shared" si="16"/>
        <v/>
      </c>
      <c r="AA99" s="19" t="str">
        <f t="shared" si="17"/>
        <v/>
      </c>
      <c r="AB99" s="5"/>
      <c r="AC99" s="5"/>
      <c r="AE99" t="str">
        <f>IFERROR(INDEX(EqTag,_xlfn.AGGREGATE(15,6,(ROW(EqTag)-4)/((EqSys=$D$3)*(EqTag&lt;&gt;"")),ROWS($AE$14:AE99))),"")</f>
        <v/>
      </c>
    </row>
    <row r="100" spans="1:31" ht="30" customHeight="1" x14ac:dyDescent="0.2">
      <c r="A100" s="19" t="str">
        <f>IF(F100="","",LEFT($D$3,3)&amp;"-"&amp;TEXT(COUNTIF(F$14:F100,"?*"),"00"))</f>
        <v/>
      </c>
      <c r="B100" s="5"/>
      <c r="C100" s="6" t="str">
        <f t="shared" si="12"/>
        <v/>
      </c>
      <c r="D100" s="5"/>
      <c r="E100" s="5"/>
      <c r="F100" s="5"/>
      <c r="G100" s="5"/>
      <c r="H100" s="5"/>
      <c r="I100" s="5"/>
      <c r="J100" s="5"/>
      <c r="K100" s="15"/>
      <c r="L100" s="5"/>
      <c r="M100" s="15"/>
      <c r="N100" s="5"/>
      <c r="O100" s="15"/>
      <c r="P100" s="19" t="str">
        <f t="shared" si="13"/>
        <v/>
      </c>
      <c r="Q100" s="19" t="str">
        <f t="shared" si="14"/>
        <v/>
      </c>
      <c r="R100" s="19" t="str">
        <f t="shared" si="15"/>
        <v/>
      </c>
      <c r="S100" s="5"/>
      <c r="T100" s="5"/>
      <c r="U100" s="5"/>
      <c r="V100" s="24"/>
      <c r="W100" s="15"/>
      <c r="X100" s="15"/>
      <c r="Y100" s="15"/>
      <c r="Z100" s="19" t="str">
        <f t="shared" si="16"/>
        <v/>
      </c>
      <c r="AA100" s="19" t="str">
        <f t="shared" si="17"/>
        <v/>
      </c>
      <c r="AB100" s="5"/>
      <c r="AC100" s="5"/>
      <c r="AE100" t="str">
        <f>IFERROR(INDEX(EqTag,_xlfn.AGGREGATE(15,6,(ROW(EqTag)-4)/((EqSys=$D$3)*(EqTag&lt;&gt;"")),ROWS($AE$14:AE100))),"")</f>
        <v/>
      </c>
    </row>
    <row r="101" spans="1:31" ht="30" customHeight="1" x14ac:dyDescent="0.2">
      <c r="A101" s="19" t="str">
        <f>IF(F101="","",LEFT($D$3,3)&amp;"-"&amp;TEXT(COUNTIF(F$14:F101,"?*"),"00"))</f>
        <v/>
      </c>
      <c r="B101" s="5"/>
      <c r="C101" s="6" t="str">
        <f t="shared" si="12"/>
        <v/>
      </c>
      <c r="D101" s="5"/>
      <c r="E101" s="5"/>
      <c r="F101" s="5"/>
      <c r="G101" s="5"/>
      <c r="H101" s="5"/>
      <c r="I101" s="5"/>
      <c r="J101" s="5"/>
      <c r="K101" s="15"/>
      <c r="L101" s="5"/>
      <c r="M101" s="15"/>
      <c r="N101" s="5"/>
      <c r="O101" s="15"/>
      <c r="P101" s="19" t="str">
        <f t="shared" si="13"/>
        <v/>
      </c>
      <c r="Q101" s="19" t="str">
        <f t="shared" si="14"/>
        <v/>
      </c>
      <c r="R101" s="19" t="str">
        <f t="shared" si="15"/>
        <v/>
      </c>
      <c r="S101" s="5"/>
      <c r="T101" s="5"/>
      <c r="U101" s="5"/>
      <c r="V101" s="24"/>
      <c r="W101" s="15"/>
      <c r="X101" s="15"/>
      <c r="Y101" s="15"/>
      <c r="Z101" s="19" t="str">
        <f t="shared" si="16"/>
        <v/>
      </c>
      <c r="AA101" s="19" t="str">
        <f t="shared" si="17"/>
        <v/>
      </c>
      <c r="AB101" s="5"/>
      <c r="AC101" s="5"/>
      <c r="AE101" t="str">
        <f>IFERROR(INDEX(EqTag,_xlfn.AGGREGATE(15,6,(ROW(EqTag)-4)/((EqSys=$D$3)*(EqTag&lt;&gt;"")),ROWS($AE$14:AE101))),"")</f>
        <v/>
      </c>
    </row>
    <row r="102" spans="1:31" ht="30" customHeight="1" x14ac:dyDescent="0.2">
      <c r="A102" s="19" t="str">
        <f>IF(F102="","",LEFT($D$3,3)&amp;"-"&amp;TEXT(COUNTIF(F$14:F102,"?*"),"00"))</f>
        <v/>
      </c>
      <c r="B102" s="5"/>
      <c r="C102" s="6" t="str">
        <f t="shared" si="12"/>
        <v/>
      </c>
      <c r="D102" s="5"/>
      <c r="E102" s="5"/>
      <c r="F102" s="5"/>
      <c r="G102" s="5"/>
      <c r="H102" s="5"/>
      <c r="I102" s="5"/>
      <c r="J102" s="5"/>
      <c r="K102" s="15"/>
      <c r="L102" s="5"/>
      <c r="M102" s="15"/>
      <c r="N102" s="5"/>
      <c r="O102" s="15"/>
      <c r="P102" s="19" t="str">
        <f t="shared" si="13"/>
        <v/>
      </c>
      <c r="Q102" s="19" t="str">
        <f t="shared" si="14"/>
        <v/>
      </c>
      <c r="R102" s="19" t="str">
        <f t="shared" si="15"/>
        <v/>
      </c>
      <c r="S102" s="5"/>
      <c r="T102" s="5"/>
      <c r="U102" s="5"/>
      <c r="V102" s="24"/>
      <c r="W102" s="15"/>
      <c r="X102" s="15"/>
      <c r="Y102" s="15"/>
      <c r="Z102" s="19" t="str">
        <f t="shared" si="16"/>
        <v/>
      </c>
      <c r="AA102" s="19" t="str">
        <f t="shared" si="17"/>
        <v/>
      </c>
      <c r="AB102" s="5"/>
      <c r="AC102" s="5"/>
      <c r="AE102" t="str">
        <f>IFERROR(INDEX(EqTag,_xlfn.AGGREGATE(15,6,(ROW(EqTag)-4)/((EqSys=$D$3)*(EqTag&lt;&gt;"")),ROWS($AE$14:AE102))),"")</f>
        <v/>
      </c>
    </row>
    <row r="103" spans="1:31" ht="30" customHeight="1" x14ac:dyDescent="0.2">
      <c r="A103" s="19" t="str">
        <f>IF(F103="","",LEFT($D$3,3)&amp;"-"&amp;TEXT(COUNTIF(F$14:F103,"?*"),"00"))</f>
        <v/>
      </c>
      <c r="B103" s="5"/>
      <c r="C103" s="6" t="str">
        <f t="shared" si="12"/>
        <v/>
      </c>
      <c r="D103" s="5"/>
      <c r="E103" s="5"/>
      <c r="F103" s="5"/>
      <c r="G103" s="5"/>
      <c r="H103" s="5"/>
      <c r="I103" s="5"/>
      <c r="J103" s="5"/>
      <c r="K103" s="15"/>
      <c r="L103" s="5"/>
      <c r="M103" s="15"/>
      <c r="N103" s="5"/>
      <c r="O103" s="15"/>
      <c r="P103" s="19" t="str">
        <f t="shared" si="13"/>
        <v/>
      </c>
      <c r="Q103" s="19" t="str">
        <f t="shared" si="14"/>
        <v/>
      </c>
      <c r="R103" s="19" t="str">
        <f t="shared" si="15"/>
        <v/>
      </c>
      <c r="S103" s="5"/>
      <c r="T103" s="5"/>
      <c r="U103" s="5"/>
      <c r="V103" s="24"/>
      <c r="W103" s="15"/>
      <c r="X103" s="15"/>
      <c r="Y103" s="15"/>
      <c r="Z103" s="19" t="str">
        <f t="shared" si="16"/>
        <v/>
      </c>
      <c r="AA103" s="19" t="str">
        <f t="shared" si="17"/>
        <v/>
      </c>
      <c r="AB103" s="5"/>
      <c r="AC103" s="5"/>
      <c r="AE103" t="str">
        <f>IFERROR(INDEX(EqTag,_xlfn.AGGREGATE(15,6,(ROW(EqTag)-4)/((EqSys=$D$3)*(EqTag&lt;&gt;"")),ROWS($AE$14:AE103))),"")</f>
        <v/>
      </c>
    </row>
    <row r="104" spans="1:31" ht="30" customHeight="1" x14ac:dyDescent="0.2">
      <c r="A104" s="19" t="str">
        <f>IF(F104="","",LEFT($D$3,3)&amp;"-"&amp;TEXT(COUNTIF(F$14:F104,"?*"),"00"))</f>
        <v/>
      </c>
      <c r="B104" s="5"/>
      <c r="C104" s="6" t="str">
        <f t="shared" si="12"/>
        <v/>
      </c>
      <c r="D104" s="5"/>
      <c r="E104" s="5"/>
      <c r="F104" s="5"/>
      <c r="G104" s="5"/>
      <c r="H104" s="5"/>
      <c r="I104" s="5"/>
      <c r="J104" s="5"/>
      <c r="K104" s="15"/>
      <c r="L104" s="5"/>
      <c r="M104" s="15"/>
      <c r="N104" s="5"/>
      <c r="O104" s="15"/>
      <c r="P104" s="19" t="str">
        <f t="shared" si="13"/>
        <v/>
      </c>
      <c r="Q104" s="19" t="str">
        <f t="shared" si="14"/>
        <v/>
      </c>
      <c r="R104" s="19" t="str">
        <f t="shared" si="15"/>
        <v/>
      </c>
      <c r="S104" s="5"/>
      <c r="T104" s="5"/>
      <c r="U104" s="5"/>
      <c r="V104" s="24"/>
      <c r="W104" s="15"/>
      <c r="X104" s="15"/>
      <c r="Y104" s="15"/>
      <c r="Z104" s="19" t="str">
        <f t="shared" si="16"/>
        <v/>
      </c>
      <c r="AA104" s="19" t="str">
        <f t="shared" si="17"/>
        <v/>
      </c>
      <c r="AB104" s="5"/>
      <c r="AC104" s="5"/>
      <c r="AE104" t="str">
        <f>IFERROR(INDEX(EqTag,_xlfn.AGGREGATE(15,6,(ROW(EqTag)-4)/((EqSys=$D$3)*(EqTag&lt;&gt;"")),ROWS($AE$14:AE104))),"")</f>
        <v/>
      </c>
    </row>
    <row r="105" spans="1:31" ht="30" customHeight="1" x14ac:dyDescent="0.2">
      <c r="A105" s="19" t="str">
        <f>IF(F105="","",LEFT($D$3,3)&amp;"-"&amp;TEXT(COUNTIF(F$14:F105,"?*"),"00"))</f>
        <v/>
      </c>
      <c r="B105" s="5"/>
      <c r="C105" s="6" t="str">
        <f t="shared" si="12"/>
        <v/>
      </c>
      <c r="D105" s="5"/>
      <c r="E105" s="5"/>
      <c r="F105" s="5"/>
      <c r="G105" s="5"/>
      <c r="H105" s="5"/>
      <c r="I105" s="5"/>
      <c r="J105" s="5"/>
      <c r="K105" s="15"/>
      <c r="L105" s="5"/>
      <c r="M105" s="15"/>
      <c r="N105" s="5"/>
      <c r="O105" s="15"/>
      <c r="P105" s="19" t="str">
        <f t="shared" si="13"/>
        <v/>
      </c>
      <c r="Q105" s="19" t="str">
        <f t="shared" si="14"/>
        <v/>
      </c>
      <c r="R105" s="19" t="str">
        <f t="shared" si="15"/>
        <v/>
      </c>
      <c r="S105" s="5"/>
      <c r="T105" s="5"/>
      <c r="U105" s="5"/>
      <c r="V105" s="24"/>
      <c r="W105" s="15"/>
      <c r="X105" s="15"/>
      <c r="Y105" s="15"/>
      <c r="Z105" s="19" t="str">
        <f t="shared" si="16"/>
        <v/>
      </c>
      <c r="AA105" s="19" t="str">
        <f t="shared" si="17"/>
        <v/>
      </c>
      <c r="AB105" s="5"/>
      <c r="AC105" s="5"/>
      <c r="AE105" t="str">
        <f>IFERROR(INDEX(EqTag,_xlfn.AGGREGATE(15,6,(ROW(EqTag)-4)/((EqSys=$D$3)*(EqTag&lt;&gt;"")),ROWS($AE$14:AE105))),"")</f>
        <v/>
      </c>
    </row>
    <row r="106" spans="1:31" ht="30" customHeight="1" x14ac:dyDescent="0.2">
      <c r="A106" s="19" t="str">
        <f>IF(F106="","",LEFT($D$3,3)&amp;"-"&amp;TEXT(COUNTIF(F$14:F106,"?*"),"00"))</f>
        <v/>
      </c>
      <c r="B106" s="5"/>
      <c r="C106" s="6" t="str">
        <f t="shared" si="12"/>
        <v/>
      </c>
      <c r="D106" s="5"/>
      <c r="E106" s="5"/>
      <c r="F106" s="5"/>
      <c r="G106" s="5"/>
      <c r="H106" s="5"/>
      <c r="I106" s="5"/>
      <c r="J106" s="5"/>
      <c r="K106" s="15"/>
      <c r="L106" s="5"/>
      <c r="M106" s="15"/>
      <c r="N106" s="5"/>
      <c r="O106" s="15"/>
      <c r="P106" s="19" t="str">
        <f t="shared" si="13"/>
        <v/>
      </c>
      <c r="Q106" s="19" t="str">
        <f t="shared" si="14"/>
        <v/>
      </c>
      <c r="R106" s="19" t="str">
        <f t="shared" si="15"/>
        <v/>
      </c>
      <c r="S106" s="5"/>
      <c r="T106" s="5"/>
      <c r="U106" s="5"/>
      <c r="V106" s="24"/>
      <c r="W106" s="15"/>
      <c r="X106" s="15"/>
      <c r="Y106" s="15"/>
      <c r="Z106" s="19" t="str">
        <f t="shared" si="16"/>
        <v/>
      </c>
      <c r="AA106" s="19" t="str">
        <f t="shared" si="17"/>
        <v/>
      </c>
      <c r="AB106" s="5"/>
      <c r="AC106" s="5"/>
      <c r="AE106" t="str">
        <f>IFERROR(INDEX(EqTag,_xlfn.AGGREGATE(15,6,(ROW(EqTag)-4)/((EqSys=$D$3)*(EqTag&lt;&gt;"")),ROWS($AE$14:AE106))),"")</f>
        <v/>
      </c>
    </row>
    <row r="107" spans="1:31" ht="30" customHeight="1" x14ac:dyDescent="0.2">
      <c r="A107" s="19" t="str">
        <f>IF(F107="","",LEFT($D$3,3)&amp;"-"&amp;TEXT(COUNTIF(F$14:F107,"?*"),"00"))</f>
        <v/>
      </c>
      <c r="B107" s="5"/>
      <c r="C107" s="6" t="str">
        <f t="shared" si="12"/>
        <v/>
      </c>
      <c r="D107" s="5"/>
      <c r="E107" s="5"/>
      <c r="F107" s="5"/>
      <c r="G107" s="5"/>
      <c r="H107" s="5"/>
      <c r="I107" s="5"/>
      <c r="J107" s="5"/>
      <c r="K107" s="15"/>
      <c r="L107" s="5"/>
      <c r="M107" s="15"/>
      <c r="N107" s="5"/>
      <c r="O107" s="15"/>
      <c r="P107" s="19" t="str">
        <f t="shared" si="13"/>
        <v/>
      </c>
      <c r="Q107" s="19" t="str">
        <f t="shared" si="14"/>
        <v/>
      </c>
      <c r="R107" s="19" t="str">
        <f t="shared" si="15"/>
        <v/>
      </c>
      <c r="S107" s="5"/>
      <c r="T107" s="5"/>
      <c r="U107" s="5"/>
      <c r="V107" s="24"/>
      <c r="W107" s="15"/>
      <c r="X107" s="15"/>
      <c r="Y107" s="15"/>
      <c r="Z107" s="19" t="str">
        <f t="shared" si="16"/>
        <v/>
      </c>
      <c r="AA107" s="19" t="str">
        <f t="shared" si="17"/>
        <v/>
      </c>
      <c r="AB107" s="5"/>
      <c r="AC107" s="5"/>
      <c r="AE107" t="str">
        <f>IFERROR(INDEX(EqTag,_xlfn.AGGREGATE(15,6,(ROW(EqTag)-4)/((EqSys=$D$3)*(EqTag&lt;&gt;"")),ROWS($AE$14:AE107))),"")</f>
        <v/>
      </c>
    </row>
    <row r="108" spans="1:31" ht="30" customHeight="1" x14ac:dyDescent="0.2">
      <c r="A108" s="19" t="str">
        <f>IF(F108="","",LEFT($D$3,3)&amp;"-"&amp;TEXT(COUNTIF(F$14:F108,"?*"),"00"))</f>
        <v/>
      </c>
      <c r="B108" s="5"/>
      <c r="C108" s="6" t="str">
        <f t="shared" si="12"/>
        <v/>
      </c>
      <c r="D108" s="5"/>
      <c r="E108" s="5"/>
      <c r="F108" s="5"/>
      <c r="G108" s="5"/>
      <c r="H108" s="5"/>
      <c r="I108" s="5"/>
      <c r="J108" s="5"/>
      <c r="K108" s="15"/>
      <c r="L108" s="5"/>
      <c r="M108" s="15"/>
      <c r="N108" s="5"/>
      <c r="O108" s="15"/>
      <c r="P108" s="19" t="str">
        <f t="shared" si="13"/>
        <v/>
      </c>
      <c r="Q108" s="19" t="str">
        <f t="shared" si="14"/>
        <v/>
      </c>
      <c r="R108" s="19" t="str">
        <f t="shared" si="15"/>
        <v/>
      </c>
      <c r="S108" s="5"/>
      <c r="T108" s="5"/>
      <c r="U108" s="5"/>
      <c r="V108" s="24"/>
      <c r="W108" s="15"/>
      <c r="X108" s="15"/>
      <c r="Y108" s="15"/>
      <c r="Z108" s="19" t="str">
        <f t="shared" si="16"/>
        <v/>
      </c>
      <c r="AA108" s="19" t="str">
        <f t="shared" si="17"/>
        <v/>
      </c>
      <c r="AB108" s="5"/>
      <c r="AC108" s="5"/>
      <c r="AE108" t="str">
        <f>IFERROR(INDEX(EqTag,_xlfn.AGGREGATE(15,6,(ROW(EqTag)-4)/((EqSys=$D$3)*(EqTag&lt;&gt;"")),ROWS($AE$14:AE108))),"")</f>
        <v/>
      </c>
    </row>
    <row r="109" spans="1:31" ht="30" customHeight="1" x14ac:dyDescent="0.2">
      <c r="A109" s="19" t="str">
        <f>IF(F109="","",LEFT($D$3,3)&amp;"-"&amp;TEXT(COUNTIF(F$14:F109,"?*"),"00"))</f>
        <v/>
      </c>
      <c r="B109" s="5"/>
      <c r="C109" s="6" t="str">
        <f t="shared" si="12"/>
        <v/>
      </c>
      <c r="D109" s="5"/>
      <c r="E109" s="5"/>
      <c r="F109" s="5"/>
      <c r="G109" s="5"/>
      <c r="H109" s="5"/>
      <c r="I109" s="5"/>
      <c r="J109" s="5"/>
      <c r="K109" s="15"/>
      <c r="L109" s="5"/>
      <c r="M109" s="15"/>
      <c r="N109" s="5"/>
      <c r="O109" s="15"/>
      <c r="P109" s="19" t="str">
        <f t="shared" si="13"/>
        <v/>
      </c>
      <c r="Q109" s="19" t="str">
        <f t="shared" si="14"/>
        <v/>
      </c>
      <c r="R109" s="19" t="str">
        <f t="shared" si="15"/>
        <v/>
      </c>
      <c r="S109" s="5"/>
      <c r="T109" s="5"/>
      <c r="U109" s="5"/>
      <c r="V109" s="24"/>
      <c r="W109" s="15"/>
      <c r="X109" s="15"/>
      <c r="Y109" s="15"/>
      <c r="Z109" s="19" t="str">
        <f t="shared" si="16"/>
        <v/>
      </c>
      <c r="AA109" s="19" t="str">
        <f t="shared" si="17"/>
        <v/>
      </c>
      <c r="AB109" s="5"/>
      <c r="AC109" s="5"/>
      <c r="AE109" t="str">
        <f>IFERROR(INDEX(EqTag,_xlfn.AGGREGATE(15,6,(ROW(EqTag)-4)/((EqSys=$D$3)*(EqTag&lt;&gt;"")),ROWS($AE$14:AE109))),"")</f>
        <v/>
      </c>
    </row>
    <row r="110" spans="1:31" ht="30" customHeight="1" x14ac:dyDescent="0.2">
      <c r="A110" s="19" t="str">
        <f>IF(F110="","",LEFT($D$3,3)&amp;"-"&amp;TEXT(COUNTIF(F$14:F110,"?*"),"00"))</f>
        <v/>
      </c>
      <c r="B110" s="5"/>
      <c r="C110" s="6" t="str">
        <f t="shared" ref="C110:C141" si="18">IF(B110="","",IFERROR(INDEX(EqTypeCol,MATCH(B110,EqTag,0)),"Tag not in register"))</f>
        <v/>
      </c>
      <c r="D110" s="5"/>
      <c r="E110" s="5"/>
      <c r="F110" s="5"/>
      <c r="G110" s="5"/>
      <c r="H110" s="5"/>
      <c r="I110" s="5"/>
      <c r="J110" s="5"/>
      <c r="K110" s="15"/>
      <c r="L110" s="5"/>
      <c r="M110" s="15"/>
      <c r="N110" s="5"/>
      <c r="O110" s="15"/>
      <c r="P110" s="19" t="str">
        <f t="shared" ref="P110:P141" si="19">IF(OR(K110="",M110="",O110=""),"",(--TRIM(LEFT(K110,2)))*(--TRIM(LEFT(M110,2)))*(--TRIM(LEFT(O110,2))))</f>
        <v/>
      </c>
      <c r="Q110" s="19" t="str">
        <f t="shared" ref="Q110:Q141" si="20">IF(OR(K110="",M110="",O110=""),"",INDEX(APGrid,COUNTIF(APS,"&gt;"&amp;(--TRIM(LEFT(K110,2))))*5+COUNTIF(APO,"&gt;"&amp;(--TRIM(LEFT(M110,2))))+1,COUNTIF(APD,"&gt;"&amp;(--TRIM(LEFT(O110,2))))+1))</f>
        <v/>
      </c>
      <c r="R110" s="19" t="str">
        <f t="shared" ref="R110:R141" si="21">IF(P110="","",IF(OR((--TRIM(LEFT(K110,2)))&gt;=SThr,P110&gt;=RPNThr,Q110="H"),"Yes","No"))</f>
        <v/>
      </c>
      <c r="S110" s="5"/>
      <c r="T110" s="5"/>
      <c r="U110" s="5"/>
      <c r="V110" s="24"/>
      <c r="W110" s="15"/>
      <c r="X110" s="15"/>
      <c r="Y110" s="15"/>
      <c r="Z110" s="19" t="str">
        <f t="shared" ref="Z110:Z141" si="22">IF(OR(W110="",X110="",Y110=""),"",(--TRIM(LEFT(W110,2)))*(--TRIM(LEFT(X110,2)))*(--TRIM(LEFT(Y110,2))))</f>
        <v/>
      </c>
      <c r="AA110" s="19" t="str">
        <f t="shared" ref="AA110:AA141" si="23">IF(OR(W110="",X110="",Y110=""),"",INDEX(APGrid,COUNTIF(APS,"&gt;"&amp;(--TRIM(LEFT(W110,2))))*5+COUNTIF(APO,"&gt;"&amp;(--TRIM(LEFT(X110,2))))+1,COUNTIF(APD,"&gt;"&amp;(--TRIM(LEFT(Y110,2))))+1))</f>
        <v/>
      </c>
      <c r="AB110" s="5"/>
      <c r="AC110" s="5"/>
      <c r="AE110" t="str">
        <f>IFERROR(INDEX(EqTag,_xlfn.AGGREGATE(15,6,(ROW(EqTag)-4)/((EqSys=$D$3)*(EqTag&lt;&gt;"")),ROWS($AE$14:AE110))),"")</f>
        <v/>
      </c>
    </row>
    <row r="111" spans="1:31" ht="30" customHeight="1" x14ac:dyDescent="0.2">
      <c r="A111" s="19" t="str">
        <f>IF(F111="","",LEFT($D$3,3)&amp;"-"&amp;TEXT(COUNTIF(F$14:F111,"?*"),"00"))</f>
        <v/>
      </c>
      <c r="B111" s="5"/>
      <c r="C111" s="6" t="str">
        <f t="shared" si="18"/>
        <v/>
      </c>
      <c r="D111" s="5"/>
      <c r="E111" s="5"/>
      <c r="F111" s="5"/>
      <c r="G111" s="5"/>
      <c r="H111" s="5"/>
      <c r="I111" s="5"/>
      <c r="J111" s="5"/>
      <c r="K111" s="15"/>
      <c r="L111" s="5"/>
      <c r="M111" s="15"/>
      <c r="N111" s="5"/>
      <c r="O111" s="15"/>
      <c r="P111" s="19" t="str">
        <f t="shared" si="19"/>
        <v/>
      </c>
      <c r="Q111" s="19" t="str">
        <f t="shared" si="20"/>
        <v/>
      </c>
      <c r="R111" s="19" t="str">
        <f t="shared" si="21"/>
        <v/>
      </c>
      <c r="S111" s="5"/>
      <c r="T111" s="5"/>
      <c r="U111" s="5"/>
      <c r="V111" s="24"/>
      <c r="W111" s="15"/>
      <c r="X111" s="15"/>
      <c r="Y111" s="15"/>
      <c r="Z111" s="19" t="str">
        <f t="shared" si="22"/>
        <v/>
      </c>
      <c r="AA111" s="19" t="str">
        <f t="shared" si="23"/>
        <v/>
      </c>
      <c r="AB111" s="5"/>
      <c r="AC111" s="5"/>
      <c r="AE111" t="str">
        <f>IFERROR(INDEX(EqTag,_xlfn.AGGREGATE(15,6,(ROW(EqTag)-4)/((EqSys=$D$3)*(EqTag&lt;&gt;"")),ROWS($AE$14:AE111))),"")</f>
        <v/>
      </c>
    </row>
    <row r="112" spans="1:31" ht="30" customHeight="1" x14ac:dyDescent="0.2">
      <c r="A112" s="19" t="str">
        <f>IF(F112="","",LEFT($D$3,3)&amp;"-"&amp;TEXT(COUNTIF(F$14:F112,"?*"),"00"))</f>
        <v/>
      </c>
      <c r="B112" s="5"/>
      <c r="C112" s="6" t="str">
        <f t="shared" si="18"/>
        <v/>
      </c>
      <c r="D112" s="5"/>
      <c r="E112" s="5"/>
      <c r="F112" s="5"/>
      <c r="G112" s="5"/>
      <c r="H112" s="5"/>
      <c r="I112" s="5"/>
      <c r="J112" s="5"/>
      <c r="K112" s="15"/>
      <c r="L112" s="5"/>
      <c r="M112" s="15"/>
      <c r="N112" s="5"/>
      <c r="O112" s="15"/>
      <c r="P112" s="19" t="str">
        <f t="shared" si="19"/>
        <v/>
      </c>
      <c r="Q112" s="19" t="str">
        <f t="shared" si="20"/>
        <v/>
      </c>
      <c r="R112" s="19" t="str">
        <f t="shared" si="21"/>
        <v/>
      </c>
      <c r="S112" s="5"/>
      <c r="T112" s="5"/>
      <c r="U112" s="5"/>
      <c r="V112" s="24"/>
      <c r="W112" s="15"/>
      <c r="X112" s="15"/>
      <c r="Y112" s="15"/>
      <c r="Z112" s="19" t="str">
        <f t="shared" si="22"/>
        <v/>
      </c>
      <c r="AA112" s="19" t="str">
        <f t="shared" si="23"/>
        <v/>
      </c>
      <c r="AB112" s="5"/>
      <c r="AC112" s="5"/>
      <c r="AE112" t="str">
        <f>IFERROR(INDEX(EqTag,_xlfn.AGGREGATE(15,6,(ROW(EqTag)-4)/((EqSys=$D$3)*(EqTag&lt;&gt;"")),ROWS($AE$14:AE112))),"")</f>
        <v/>
      </c>
    </row>
    <row r="113" spans="1:31" ht="30" customHeight="1" x14ac:dyDescent="0.2">
      <c r="A113" s="19" t="str">
        <f>IF(F113="","",LEFT($D$3,3)&amp;"-"&amp;TEXT(COUNTIF(F$14:F113,"?*"),"00"))</f>
        <v/>
      </c>
      <c r="B113" s="5"/>
      <c r="C113" s="6" t="str">
        <f t="shared" si="18"/>
        <v/>
      </c>
      <c r="D113" s="5"/>
      <c r="E113" s="5"/>
      <c r="F113" s="5"/>
      <c r="G113" s="5"/>
      <c r="H113" s="5"/>
      <c r="I113" s="5"/>
      <c r="J113" s="5"/>
      <c r="K113" s="15"/>
      <c r="L113" s="5"/>
      <c r="M113" s="15"/>
      <c r="N113" s="5"/>
      <c r="O113" s="15"/>
      <c r="P113" s="19" t="str">
        <f t="shared" si="19"/>
        <v/>
      </c>
      <c r="Q113" s="19" t="str">
        <f t="shared" si="20"/>
        <v/>
      </c>
      <c r="R113" s="19" t="str">
        <f t="shared" si="21"/>
        <v/>
      </c>
      <c r="S113" s="5"/>
      <c r="T113" s="5"/>
      <c r="U113" s="5"/>
      <c r="V113" s="24"/>
      <c r="W113" s="15"/>
      <c r="X113" s="15"/>
      <c r="Y113" s="15"/>
      <c r="Z113" s="19" t="str">
        <f t="shared" si="22"/>
        <v/>
      </c>
      <c r="AA113" s="19" t="str">
        <f t="shared" si="23"/>
        <v/>
      </c>
      <c r="AB113" s="5"/>
      <c r="AC113" s="5"/>
      <c r="AE113" t="str">
        <f>IFERROR(INDEX(EqTag,_xlfn.AGGREGATE(15,6,(ROW(EqTag)-4)/((EqSys=$D$3)*(EqTag&lt;&gt;"")),ROWS($AE$14:AE113))),"")</f>
        <v/>
      </c>
    </row>
    <row r="114" spans="1:31" ht="30" customHeight="1" x14ac:dyDescent="0.2">
      <c r="A114" s="19" t="str">
        <f>IF(F114="","",LEFT($D$3,3)&amp;"-"&amp;TEXT(COUNTIF(F$14:F114,"?*"),"00"))</f>
        <v/>
      </c>
      <c r="B114" s="5"/>
      <c r="C114" s="6" t="str">
        <f t="shared" si="18"/>
        <v/>
      </c>
      <c r="D114" s="5"/>
      <c r="E114" s="5"/>
      <c r="F114" s="5"/>
      <c r="G114" s="5"/>
      <c r="H114" s="5"/>
      <c r="I114" s="5"/>
      <c r="J114" s="5"/>
      <c r="K114" s="15"/>
      <c r="L114" s="5"/>
      <c r="M114" s="15"/>
      <c r="N114" s="5"/>
      <c r="O114" s="15"/>
      <c r="P114" s="19" t="str">
        <f t="shared" si="19"/>
        <v/>
      </c>
      <c r="Q114" s="19" t="str">
        <f t="shared" si="20"/>
        <v/>
      </c>
      <c r="R114" s="19" t="str">
        <f t="shared" si="21"/>
        <v/>
      </c>
      <c r="S114" s="5"/>
      <c r="T114" s="5"/>
      <c r="U114" s="5"/>
      <c r="V114" s="24"/>
      <c r="W114" s="15"/>
      <c r="X114" s="15"/>
      <c r="Y114" s="15"/>
      <c r="Z114" s="19" t="str">
        <f t="shared" si="22"/>
        <v/>
      </c>
      <c r="AA114" s="19" t="str">
        <f t="shared" si="23"/>
        <v/>
      </c>
      <c r="AB114" s="5"/>
      <c r="AC114" s="5"/>
      <c r="AE114" t="str">
        <f>IFERROR(INDEX(EqTag,_xlfn.AGGREGATE(15,6,(ROW(EqTag)-4)/((EqSys=$D$3)*(EqTag&lt;&gt;"")),ROWS($AE$14:AE114))),"")</f>
        <v/>
      </c>
    </row>
    <row r="115" spans="1:31" ht="30" customHeight="1" x14ac:dyDescent="0.2">
      <c r="A115" s="19" t="str">
        <f>IF(F115="","",LEFT($D$3,3)&amp;"-"&amp;TEXT(COUNTIF(F$14:F115,"?*"),"00"))</f>
        <v/>
      </c>
      <c r="B115" s="5"/>
      <c r="C115" s="6" t="str">
        <f t="shared" si="18"/>
        <v/>
      </c>
      <c r="D115" s="5"/>
      <c r="E115" s="5"/>
      <c r="F115" s="5"/>
      <c r="G115" s="5"/>
      <c r="H115" s="5"/>
      <c r="I115" s="5"/>
      <c r="J115" s="5"/>
      <c r="K115" s="15"/>
      <c r="L115" s="5"/>
      <c r="M115" s="15"/>
      <c r="N115" s="5"/>
      <c r="O115" s="15"/>
      <c r="P115" s="19" t="str">
        <f t="shared" si="19"/>
        <v/>
      </c>
      <c r="Q115" s="19" t="str">
        <f t="shared" si="20"/>
        <v/>
      </c>
      <c r="R115" s="19" t="str">
        <f t="shared" si="21"/>
        <v/>
      </c>
      <c r="S115" s="5"/>
      <c r="T115" s="5"/>
      <c r="U115" s="5"/>
      <c r="V115" s="24"/>
      <c r="W115" s="15"/>
      <c r="X115" s="15"/>
      <c r="Y115" s="15"/>
      <c r="Z115" s="19" t="str">
        <f t="shared" si="22"/>
        <v/>
      </c>
      <c r="AA115" s="19" t="str">
        <f t="shared" si="23"/>
        <v/>
      </c>
      <c r="AB115" s="5"/>
      <c r="AC115" s="5"/>
      <c r="AE115" t="str">
        <f>IFERROR(INDEX(EqTag,_xlfn.AGGREGATE(15,6,(ROW(EqTag)-4)/((EqSys=$D$3)*(EqTag&lt;&gt;"")),ROWS($AE$14:AE115))),"")</f>
        <v/>
      </c>
    </row>
    <row r="116" spans="1:31" ht="30" customHeight="1" x14ac:dyDescent="0.2">
      <c r="A116" s="19" t="str">
        <f>IF(F116="","",LEFT($D$3,3)&amp;"-"&amp;TEXT(COUNTIF(F$14:F116,"?*"),"00"))</f>
        <v/>
      </c>
      <c r="B116" s="5"/>
      <c r="C116" s="6" t="str">
        <f t="shared" si="18"/>
        <v/>
      </c>
      <c r="D116" s="5"/>
      <c r="E116" s="5"/>
      <c r="F116" s="5"/>
      <c r="G116" s="5"/>
      <c r="H116" s="5"/>
      <c r="I116" s="5"/>
      <c r="J116" s="5"/>
      <c r="K116" s="15"/>
      <c r="L116" s="5"/>
      <c r="M116" s="15"/>
      <c r="N116" s="5"/>
      <c r="O116" s="15"/>
      <c r="P116" s="19" t="str">
        <f t="shared" si="19"/>
        <v/>
      </c>
      <c r="Q116" s="19" t="str">
        <f t="shared" si="20"/>
        <v/>
      </c>
      <c r="R116" s="19" t="str">
        <f t="shared" si="21"/>
        <v/>
      </c>
      <c r="S116" s="5"/>
      <c r="T116" s="5"/>
      <c r="U116" s="5"/>
      <c r="V116" s="24"/>
      <c r="W116" s="15"/>
      <c r="X116" s="15"/>
      <c r="Y116" s="15"/>
      <c r="Z116" s="19" t="str">
        <f t="shared" si="22"/>
        <v/>
      </c>
      <c r="AA116" s="19" t="str">
        <f t="shared" si="23"/>
        <v/>
      </c>
      <c r="AB116" s="5"/>
      <c r="AC116" s="5"/>
      <c r="AE116" t="str">
        <f>IFERROR(INDEX(EqTag,_xlfn.AGGREGATE(15,6,(ROW(EqTag)-4)/((EqSys=$D$3)*(EqTag&lt;&gt;"")),ROWS($AE$14:AE116))),"")</f>
        <v/>
      </c>
    </row>
    <row r="117" spans="1:31" ht="30" customHeight="1" x14ac:dyDescent="0.2">
      <c r="A117" s="19" t="str">
        <f>IF(F117="","",LEFT($D$3,3)&amp;"-"&amp;TEXT(COUNTIF(F$14:F117,"?*"),"00"))</f>
        <v/>
      </c>
      <c r="B117" s="5"/>
      <c r="C117" s="6" t="str">
        <f t="shared" si="18"/>
        <v/>
      </c>
      <c r="D117" s="5"/>
      <c r="E117" s="5"/>
      <c r="F117" s="5"/>
      <c r="G117" s="5"/>
      <c r="H117" s="5"/>
      <c r="I117" s="5"/>
      <c r="J117" s="5"/>
      <c r="K117" s="15"/>
      <c r="L117" s="5"/>
      <c r="M117" s="15"/>
      <c r="N117" s="5"/>
      <c r="O117" s="15"/>
      <c r="P117" s="19" t="str">
        <f t="shared" si="19"/>
        <v/>
      </c>
      <c r="Q117" s="19" t="str">
        <f t="shared" si="20"/>
        <v/>
      </c>
      <c r="R117" s="19" t="str">
        <f t="shared" si="21"/>
        <v/>
      </c>
      <c r="S117" s="5"/>
      <c r="T117" s="5"/>
      <c r="U117" s="5"/>
      <c r="V117" s="24"/>
      <c r="W117" s="15"/>
      <c r="X117" s="15"/>
      <c r="Y117" s="15"/>
      <c r="Z117" s="19" t="str">
        <f t="shared" si="22"/>
        <v/>
      </c>
      <c r="AA117" s="19" t="str">
        <f t="shared" si="23"/>
        <v/>
      </c>
      <c r="AB117" s="5"/>
      <c r="AC117" s="5"/>
      <c r="AE117" t="str">
        <f>IFERROR(INDEX(EqTag,_xlfn.AGGREGATE(15,6,(ROW(EqTag)-4)/((EqSys=$D$3)*(EqTag&lt;&gt;"")),ROWS($AE$14:AE117))),"")</f>
        <v/>
      </c>
    </row>
    <row r="118" spans="1:31" ht="30" customHeight="1" x14ac:dyDescent="0.2">
      <c r="A118" s="19" t="str">
        <f>IF(F118="","",LEFT($D$3,3)&amp;"-"&amp;TEXT(COUNTIF(F$14:F118,"?*"),"00"))</f>
        <v/>
      </c>
      <c r="B118" s="5"/>
      <c r="C118" s="6" t="str">
        <f t="shared" si="18"/>
        <v/>
      </c>
      <c r="D118" s="5"/>
      <c r="E118" s="5"/>
      <c r="F118" s="5"/>
      <c r="G118" s="5"/>
      <c r="H118" s="5"/>
      <c r="I118" s="5"/>
      <c r="J118" s="5"/>
      <c r="K118" s="15"/>
      <c r="L118" s="5"/>
      <c r="M118" s="15"/>
      <c r="N118" s="5"/>
      <c r="O118" s="15"/>
      <c r="P118" s="19" t="str">
        <f t="shared" si="19"/>
        <v/>
      </c>
      <c r="Q118" s="19" t="str">
        <f t="shared" si="20"/>
        <v/>
      </c>
      <c r="R118" s="19" t="str">
        <f t="shared" si="21"/>
        <v/>
      </c>
      <c r="S118" s="5"/>
      <c r="T118" s="5"/>
      <c r="U118" s="5"/>
      <c r="V118" s="24"/>
      <c r="W118" s="15"/>
      <c r="X118" s="15"/>
      <c r="Y118" s="15"/>
      <c r="Z118" s="19" t="str">
        <f t="shared" si="22"/>
        <v/>
      </c>
      <c r="AA118" s="19" t="str">
        <f t="shared" si="23"/>
        <v/>
      </c>
      <c r="AB118" s="5"/>
      <c r="AC118" s="5"/>
      <c r="AE118" t="str">
        <f>IFERROR(INDEX(EqTag,_xlfn.AGGREGATE(15,6,(ROW(EqTag)-4)/((EqSys=$D$3)*(EqTag&lt;&gt;"")),ROWS($AE$14:AE118))),"")</f>
        <v/>
      </c>
    </row>
    <row r="119" spans="1:31" ht="30" customHeight="1" x14ac:dyDescent="0.2">
      <c r="A119" s="19" t="str">
        <f>IF(F119="","",LEFT($D$3,3)&amp;"-"&amp;TEXT(COUNTIF(F$14:F119,"?*"),"00"))</f>
        <v/>
      </c>
      <c r="B119" s="5"/>
      <c r="C119" s="6" t="str">
        <f t="shared" si="18"/>
        <v/>
      </c>
      <c r="D119" s="5"/>
      <c r="E119" s="5"/>
      <c r="F119" s="5"/>
      <c r="G119" s="5"/>
      <c r="H119" s="5"/>
      <c r="I119" s="5"/>
      <c r="J119" s="5"/>
      <c r="K119" s="15"/>
      <c r="L119" s="5"/>
      <c r="M119" s="15"/>
      <c r="N119" s="5"/>
      <c r="O119" s="15"/>
      <c r="P119" s="19" t="str">
        <f t="shared" si="19"/>
        <v/>
      </c>
      <c r="Q119" s="19" t="str">
        <f t="shared" si="20"/>
        <v/>
      </c>
      <c r="R119" s="19" t="str">
        <f t="shared" si="21"/>
        <v/>
      </c>
      <c r="S119" s="5"/>
      <c r="T119" s="5"/>
      <c r="U119" s="5"/>
      <c r="V119" s="24"/>
      <c r="W119" s="15"/>
      <c r="X119" s="15"/>
      <c r="Y119" s="15"/>
      <c r="Z119" s="19" t="str">
        <f t="shared" si="22"/>
        <v/>
      </c>
      <c r="AA119" s="19" t="str">
        <f t="shared" si="23"/>
        <v/>
      </c>
      <c r="AB119" s="5"/>
      <c r="AC119" s="5"/>
      <c r="AE119" t="str">
        <f>IFERROR(INDEX(EqTag,_xlfn.AGGREGATE(15,6,(ROW(EqTag)-4)/((EqSys=$D$3)*(EqTag&lt;&gt;"")),ROWS($AE$14:AE119))),"")</f>
        <v/>
      </c>
    </row>
    <row r="120" spans="1:31" ht="30" customHeight="1" x14ac:dyDescent="0.2">
      <c r="A120" s="19" t="str">
        <f>IF(F120="","",LEFT($D$3,3)&amp;"-"&amp;TEXT(COUNTIF(F$14:F120,"?*"),"00"))</f>
        <v/>
      </c>
      <c r="B120" s="5"/>
      <c r="C120" s="6" t="str">
        <f t="shared" si="18"/>
        <v/>
      </c>
      <c r="D120" s="5"/>
      <c r="E120" s="5"/>
      <c r="F120" s="5"/>
      <c r="G120" s="5"/>
      <c r="H120" s="5"/>
      <c r="I120" s="5"/>
      <c r="J120" s="5"/>
      <c r="K120" s="15"/>
      <c r="L120" s="5"/>
      <c r="M120" s="15"/>
      <c r="N120" s="5"/>
      <c r="O120" s="15"/>
      <c r="P120" s="19" t="str">
        <f t="shared" si="19"/>
        <v/>
      </c>
      <c r="Q120" s="19" t="str">
        <f t="shared" si="20"/>
        <v/>
      </c>
      <c r="R120" s="19" t="str">
        <f t="shared" si="21"/>
        <v/>
      </c>
      <c r="S120" s="5"/>
      <c r="T120" s="5"/>
      <c r="U120" s="5"/>
      <c r="V120" s="24"/>
      <c r="W120" s="15"/>
      <c r="X120" s="15"/>
      <c r="Y120" s="15"/>
      <c r="Z120" s="19" t="str">
        <f t="shared" si="22"/>
        <v/>
      </c>
      <c r="AA120" s="19" t="str">
        <f t="shared" si="23"/>
        <v/>
      </c>
      <c r="AB120" s="5"/>
      <c r="AC120" s="5"/>
      <c r="AE120" t="str">
        <f>IFERROR(INDEX(EqTag,_xlfn.AGGREGATE(15,6,(ROW(EqTag)-4)/((EqSys=$D$3)*(EqTag&lt;&gt;"")),ROWS($AE$14:AE120))),"")</f>
        <v/>
      </c>
    </row>
    <row r="121" spans="1:31" ht="30" customHeight="1" x14ac:dyDescent="0.2">
      <c r="A121" s="19" t="str">
        <f>IF(F121="","",LEFT($D$3,3)&amp;"-"&amp;TEXT(COUNTIF(F$14:F121,"?*"),"00"))</f>
        <v/>
      </c>
      <c r="B121" s="5"/>
      <c r="C121" s="6" t="str">
        <f t="shared" si="18"/>
        <v/>
      </c>
      <c r="D121" s="5"/>
      <c r="E121" s="5"/>
      <c r="F121" s="5"/>
      <c r="G121" s="5"/>
      <c r="H121" s="5"/>
      <c r="I121" s="5"/>
      <c r="J121" s="5"/>
      <c r="K121" s="15"/>
      <c r="L121" s="5"/>
      <c r="M121" s="15"/>
      <c r="N121" s="5"/>
      <c r="O121" s="15"/>
      <c r="P121" s="19" t="str">
        <f t="shared" si="19"/>
        <v/>
      </c>
      <c r="Q121" s="19" t="str">
        <f t="shared" si="20"/>
        <v/>
      </c>
      <c r="R121" s="19" t="str">
        <f t="shared" si="21"/>
        <v/>
      </c>
      <c r="S121" s="5"/>
      <c r="T121" s="5"/>
      <c r="U121" s="5"/>
      <c r="V121" s="24"/>
      <c r="W121" s="15"/>
      <c r="X121" s="15"/>
      <c r="Y121" s="15"/>
      <c r="Z121" s="19" t="str">
        <f t="shared" si="22"/>
        <v/>
      </c>
      <c r="AA121" s="19" t="str">
        <f t="shared" si="23"/>
        <v/>
      </c>
      <c r="AB121" s="5"/>
      <c r="AC121" s="5"/>
      <c r="AE121" t="str">
        <f>IFERROR(INDEX(EqTag,_xlfn.AGGREGATE(15,6,(ROW(EqTag)-4)/((EqSys=$D$3)*(EqTag&lt;&gt;"")),ROWS($AE$14:AE121))),"")</f>
        <v/>
      </c>
    </row>
    <row r="122" spans="1:31" ht="30" customHeight="1" x14ac:dyDescent="0.2">
      <c r="A122" s="19" t="str">
        <f>IF(F122="","",LEFT($D$3,3)&amp;"-"&amp;TEXT(COUNTIF(F$14:F122,"?*"),"00"))</f>
        <v/>
      </c>
      <c r="B122" s="5"/>
      <c r="C122" s="6" t="str">
        <f t="shared" si="18"/>
        <v/>
      </c>
      <c r="D122" s="5"/>
      <c r="E122" s="5"/>
      <c r="F122" s="5"/>
      <c r="G122" s="5"/>
      <c r="H122" s="5"/>
      <c r="I122" s="5"/>
      <c r="J122" s="5"/>
      <c r="K122" s="15"/>
      <c r="L122" s="5"/>
      <c r="M122" s="15"/>
      <c r="N122" s="5"/>
      <c r="O122" s="15"/>
      <c r="P122" s="19" t="str">
        <f t="shared" si="19"/>
        <v/>
      </c>
      <c r="Q122" s="19" t="str">
        <f t="shared" si="20"/>
        <v/>
      </c>
      <c r="R122" s="19" t="str">
        <f t="shared" si="21"/>
        <v/>
      </c>
      <c r="S122" s="5"/>
      <c r="T122" s="5"/>
      <c r="U122" s="5"/>
      <c r="V122" s="24"/>
      <c r="W122" s="15"/>
      <c r="X122" s="15"/>
      <c r="Y122" s="15"/>
      <c r="Z122" s="19" t="str">
        <f t="shared" si="22"/>
        <v/>
      </c>
      <c r="AA122" s="19" t="str">
        <f t="shared" si="23"/>
        <v/>
      </c>
      <c r="AB122" s="5"/>
      <c r="AC122" s="5"/>
      <c r="AE122" t="str">
        <f>IFERROR(INDEX(EqTag,_xlfn.AGGREGATE(15,6,(ROW(EqTag)-4)/((EqSys=$D$3)*(EqTag&lt;&gt;"")),ROWS($AE$14:AE122))),"")</f>
        <v/>
      </c>
    </row>
    <row r="123" spans="1:31" ht="30" customHeight="1" x14ac:dyDescent="0.2">
      <c r="A123" s="19" t="str">
        <f>IF(F123="","",LEFT($D$3,3)&amp;"-"&amp;TEXT(COUNTIF(F$14:F123,"?*"),"00"))</f>
        <v/>
      </c>
      <c r="B123" s="5"/>
      <c r="C123" s="6" t="str">
        <f t="shared" si="18"/>
        <v/>
      </c>
      <c r="D123" s="5"/>
      <c r="E123" s="5"/>
      <c r="F123" s="5"/>
      <c r="G123" s="5"/>
      <c r="H123" s="5"/>
      <c r="I123" s="5"/>
      <c r="J123" s="5"/>
      <c r="K123" s="15"/>
      <c r="L123" s="5"/>
      <c r="M123" s="15"/>
      <c r="N123" s="5"/>
      <c r="O123" s="15"/>
      <c r="P123" s="19" t="str">
        <f t="shared" si="19"/>
        <v/>
      </c>
      <c r="Q123" s="19" t="str">
        <f t="shared" si="20"/>
        <v/>
      </c>
      <c r="R123" s="19" t="str">
        <f t="shared" si="21"/>
        <v/>
      </c>
      <c r="S123" s="5"/>
      <c r="T123" s="5"/>
      <c r="U123" s="5"/>
      <c r="V123" s="24"/>
      <c r="W123" s="15"/>
      <c r="X123" s="15"/>
      <c r="Y123" s="15"/>
      <c r="Z123" s="19" t="str">
        <f t="shared" si="22"/>
        <v/>
      </c>
      <c r="AA123" s="19" t="str">
        <f t="shared" si="23"/>
        <v/>
      </c>
      <c r="AB123" s="5"/>
      <c r="AC123" s="5"/>
      <c r="AE123" t="str">
        <f>IFERROR(INDEX(EqTag,_xlfn.AGGREGATE(15,6,(ROW(EqTag)-4)/((EqSys=$D$3)*(EqTag&lt;&gt;"")),ROWS($AE$14:AE123))),"")</f>
        <v/>
      </c>
    </row>
    <row r="124" spans="1:31" ht="30" customHeight="1" x14ac:dyDescent="0.2">
      <c r="A124" s="19" t="str">
        <f>IF(F124="","",LEFT($D$3,3)&amp;"-"&amp;TEXT(COUNTIF(F$14:F124,"?*"),"00"))</f>
        <v/>
      </c>
      <c r="B124" s="5"/>
      <c r="C124" s="6" t="str">
        <f t="shared" si="18"/>
        <v/>
      </c>
      <c r="D124" s="5"/>
      <c r="E124" s="5"/>
      <c r="F124" s="5"/>
      <c r="G124" s="5"/>
      <c r="H124" s="5"/>
      <c r="I124" s="5"/>
      <c r="J124" s="5"/>
      <c r="K124" s="15"/>
      <c r="L124" s="5"/>
      <c r="M124" s="15"/>
      <c r="N124" s="5"/>
      <c r="O124" s="15"/>
      <c r="P124" s="19" t="str">
        <f t="shared" si="19"/>
        <v/>
      </c>
      <c r="Q124" s="19" t="str">
        <f t="shared" si="20"/>
        <v/>
      </c>
      <c r="R124" s="19" t="str">
        <f t="shared" si="21"/>
        <v/>
      </c>
      <c r="S124" s="5"/>
      <c r="T124" s="5"/>
      <c r="U124" s="5"/>
      <c r="V124" s="24"/>
      <c r="W124" s="15"/>
      <c r="X124" s="15"/>
      <c r="Y124" s="15"/>
      <c r="Z124" s="19" t="str">
        <f t="shared" si="22"/>
        <v/>
      </c>
      <c r="AA124" s="19" t="str">
        <f t="shared" si="23"/>
        <v/>
      </c>
      <c r="AB124" s="5"/>
      <c r="AC124" s="5"/>
      <c r="AE124" t="str">
        <f>IFERROR(INDEX(EqTag,_xlfn.AGGREGATE(15,6,(ROW(EqTag)-4)/((EqSys=$D$3)*(EqTag&lt;&gt;"")),ROWS($AE$14:AE124))),"")</f>
        <v/>
      </c>
    </row>
    <row r="125" spans="1:31" ht="30" customHeight="1" x14ac:dyDescent="0.2">
      <c r="A125" s="19" t="str">
        <f>IF(F125="","",LEFT($D$3,3)&amp;"-"&amp;TEXT(COUNTIF(F$14:F125,"?*"),"00"))</f>
        <v/>
      </c>
      <c r="B125" s="5"/>
      <c r="C125" s="6" t="str">
        <f t="shared" si="18"/>
        <v/>
      </c>
      <c r="D125" s="5"/>
      <c r="E125" s="5"/>
      <c r="F125" s="5"/>
      <c r="G125" s="5"/>
      <c r="H125" s="5"/>
      <c r="I125" s="5"/>
      <c r="J125" s="5"/>
      <c r="K125" s="15"/>
      <c r="L125" s="5"/>
      <c r="M125" s="15"/>
      <c r="N125" s="5"/>
      <c r="O125" s="15"/>
      <c r="P125" s="19" t="str">
        <f t="shared" si="19"/>
        <v/>
      </c>
      <c r="Q125" s="19" t="str">
        <f t="shared" si="20"/>
        <v/>
      </c>
      <c r="R125" s="19" t="str">
        <f t="shared" si="21"/>
        <v/>
      </c>
      <c r="S125" s="5"/>
      <c r="T125" s="5"/>
      <c r="U125" s="5"/>
      <c r="V125" s="24"/>
      <c r="W125" s="15"/>
      <c r="X125" s="15"/>
      <c r="Y125" s="15"/>
      <c r="Z125" s="19" t="str">
        <f t="shared" si="22"/>
        <v/>
      </c>
      <c r="AA125" s="19" t="str">
        <f t="shared" si="23"/>
        <v/>
      </c>
      <c r="AB125" s="5"/>
      <c r="AC125" s="5"/>
      <c r="AE125" t="str">
        <f>IFERROR(INDEX(EqTag,_xlfn.AGGREGATE(15,6,(ROW(EqTag)-4)/((EqSys=$D$3)*(EqTag&lt;&gt;"")),ROWS($AE$14:AE125))),"")</f>
        <v/>
      </c>
    </row>
    <row r="126" spans="1:31" ht="30" customHeight="1" x14ac:dyDescent="0.2">
      <c r="A126" s="19" t="str">
        <f>IF(F126="","",LEFT($D$3,3)&amp;"-"&amp;TEXT(COUNTIF(F$14:F126,"?*"),"00"))</f>
        <v/>
      </c>
      <c r="B126" s="5"/>
      <c r="C126" s="6" t="str">
        <f t="shared" si="18"/>
        <v/>
      </c>
      <c r="D126" s="5"/>
      <c r="E126" s="5"/>
      <c r="F126" s="5"/>
      <c r="G126" s="5"/>
      <c r="H126" s="5"/>
      <c r="I126" s="5"/>
      <c r="J126" s="5"/>
      <c r="K126" s="15"/>
      <c r="L126" s="5"/>
      <c r="M126" s="15"/>
      <c r="N126" s="5"/>
      <c r="O126" s="15"/>
      <c r="P126" s="19" t="str">
        <f t="shared" si="19"/>
        <v/>
      </c>
      <c r="Q126" s="19" t="str">
        <f t="shared" si="20"/>
        <v/>
      </c>
      <c r="R126" s="19" t="str">
        <f t="shared" si="21"/>
        <v/>
      </c>
      <c r="S126" s="5"/>
      <c r="T126" s="5"/>
      <c r="U126" s="5"/>
      <c r="V126" s="24"/>
      <c r="W126" s="15"/>
      <c r="X126" s="15"/>
      <c r="Y126" s="15"/>
      <c r="Z126" s="19" t="str">
        <f t="shared" si="22"/>
        <v/>
      </c>
      <c r="AA126" s="19" t="str">
        <f t="shared" si="23"/>
        <v/>
      </c>
      <c r="AB126" s="5"/>
      <c r="AC126" s="5"/>
      <c r="AE126" t="str">
        <f>IFERROR(INDEX(EqTag,_xlfn.AGGREGATE(15,6,(ROW(EqTag)-4)/((EqSys=$D$3)*(EqTag&lt;&gt;"")),ROWS($AE$14:AE126))),"")</f>
        <v/>
      </c>
    </row>
    <row r="127" spans="1:31" ht="30" customHeight="1" x14ac:dyDescent="0.2">
      <c r="A127" s="19" t="str">
        <f>IF(F127="","",LEFT($D$3,3)&amp;"-"&amp;TEXT(COUNTIF(F$14:F127,"?*"),"00"))</f>
        <v/>
      </c>
      <c r="B127" s="5"/>
      <c r="C127" s="6" t="str">
        <f t="shared" si="18"/>
        <v/>
      </c>
      <c r="D127" s="5"/>
      <c r="E127" s="5"/>
      <c r="F127" s="5"/>
      <c r="G127" s="5"/>
      <c r="H127" s="5"/>
      <c r="I127" s="5"/>
      <c r="J127" s="5"/>
      <c r="K127" s="15"/>
      <c r="L127" s="5"/>
      <c r="M127" s="15"/>
      <c r="N127" s="5"/>
      <c r="O127" s="15"/>
      <c r="P127" s="19" t="str">
        <f t="shared" si="19"/>
        <v/>
      </c>
      <c r="Q127" s="19" t="str">
        <f t="shared" si="20"/>
        <v/>
      </c>
      <c r="R127" s="19" t="str">
        <f t="shared" si="21"/>
        <v/>
      </c>
      <c r="S127" s="5"/>
      <c r="T127" s="5"/>
      <c r="U127" s="5"/>
      <c r="V127" s="24"/>
      <c r="W127" s="15"/>
      <c r="X127" s="15"/>
      <c r="Y127" s="15"/>
      <c r="Z127" s="19" t="str">
        <f t="shared" si="22"/>
        <v/>
      </c>
      <c r="AA127" s="19" t="str">
        <f t="shared" si="23"/>
        <v/>
      </c>
      <c r="AB127" s="5"/>
      <c r="AC127" s="5"/>
      <c r="AE127" t="str">
        <f>IFERROR(INDEX(EqTag,_xlfn.AGGREGATE(15,6,(ROW(EqTag)-4)/((EqSys=$D$3)*(EqTag&lt;&gt;"")),ROWS($AE$14:AE127))),"")</f>
        <v/>
      </c>
    </row>
    <row r="128" spans="1:31" ht="30" customHeight="1" x14ac:dyDescent="0.2">
      <c r="A128" s="19" t="str">
        <f>IF(F128="","",LEFT($D$3,3)&amp;"-"&amp;TEXT(COUNTIF(F$14:F128,"?*"),"00"))</f>
        <v/>
      </c>
      <c r="B128" s="5"/>
      <c r="C128" s="6" t="str">
        <f t="shared" si="18"/>
        <v/>
      </c>
      <c r="D128" s="5"/>
      <c r="E128" s="5"/>
      <c r="F128" s="5"/>
      <c r="G128" s="5"/>
      <c r="H128" s="5"/>
      <c r="I128" s="5"/>
      <c r="J128" s="5"/>
      <c r="K128" s="15"/>
      <c r="L128" s="5"/>
      <c r="M128" s="15"/>
      <c r="N128" s="5"/>
      <c r="O128" s="15"/>
      <c r="P128" s="19" t="str">
        <f t="shared" si="19"/>
        <v/>
      </c>
      <c r="Q128" s="19" t="str">
        <f t="shared" si="20"/>
        <v/>
      </c>
      <c r="R128" s="19" t="str">
        <f t="shared" si="21"/>
        <v/>
      </c>
      <c r="S128" s="5"/>
      <c r="T128" s="5"/>
      <c r="U128" s="5"/>
      <c r="V128" s="24"/>
      <c r="W128" s="15"/>
      <c r="X128" s="15"/>
      <c r="Y128" s="15"/>
      <c r="Z128" s="19" t="str">
        <f t="shared" si="22"/>
        <v/>
      </c>
      <c r="AA128" s="19" t="str">
        <f t="shared" si="23"/>
        <v/>
      </c>
      <c r="AB128" s="5"/>
      <c r="AC128" s="5"/>
      <c r="AE128" t="str">
        <f>IFERROR(INDEX(EqTag,_xlfn.AGGREGATE(15,6,(ROW(EqTag)-4)/((EqSys=$D$3)*(EqTag&lt;&gt;"")),ROWS($AE$14:AE128))),"")</f>
        <v/>
      </c>
    </row>
    <row r="129" spans="1:31" ht="30" customHeight="1" x14ac:dyDescent="0.2">
      <c r="A129" s="19" t="str">
        <f>IF(F129="","",LEFT($D$3,3)&amp;"-"&amp;TEXT(COUNTIF(F$14:F129,"?*"),"00"))</f>
        <v/>
      </c>
      <c r="B129" s="5"/>
      <c r="C129" s="6" t="str">
        <f t="shared" si="18"/>
        <v/>
      </c>
      <c r="D129" s="5"/>
      <c r="E129" s="5"/>
      <c r="F129" s="5"/>
      <c r="G129" s="5"/>
      <c r="H129" s="5"/>
      <c r="I129" s="5"/>
      <c r="J129" s="5"/>
      <c r="K129" s="15"/>
      <c r="L129" s="5"/>
      <c r="M129" s="15"/>
      <c r="N129" s="5"/>
      <c r="O129" s="15"/>
      <c r="P129" s="19" t="str">
        <f t="shared" si="19"/>
        <v/>
      </c>
      <c r="Q129" s="19" t="str">
        <f t="shared" si="20"/>
        <v/>
      </c>
      <c r="R129" s="19" t="str">
        <f t="shared" si="21"/>
        <v/>
      </c>
      <c r="S129" s="5"/>
      <c r="T129" s="5"/>
      <c r="U129" s="5"/>
      <c r="V129" s="24"/>
      <c r="W129" s="15"/>
      <c r="X129" s="15"/>
      <c r="Y129" s="15"/>
      <c r="Z129" s="19" t="str">
        <f t="shared" si="22"/>
        <v/>
      </c>
      <c r="AA129" s="19" t="str">
        <f t="shared" si="23"/>
        <v/>
      </c>
      <c r="AB129" s="5"/>
      <c r="AC129" s="5"/>
      <c r="AE129" t="str">
        <f>IFERROR(INDEX(EqTag,_xlfn.AGGREGATE(15,6,(ROW(EqTag)-4)/((EqSys=$D$3)*(EqTag&lt;&gt;"")),ROWS($AE$14:AE129))),"")</f>
        <v/>
      </c>
    </row>
    <row r="130" spans="1:31" ht="30" customHeight="1" x14ac:dyDescent="0.2">
      <c r="A130" s="19" t="str">
        <f>IF(F130="","",LEFT($D$3,3)&amp;"-"&amp;TEXT(COUNTIF(F$14:F130,"?*"),"00"))</f>
        <v/>
      </c>
      <c r="B130" s="5"/>
      <c r="C130" s="6" t="str">
        <f t="shared" si="18"/>
        <v/>
      </c>
      <c r="D130" s="5"/>
      <c r="E130" s="5"/>
      <c r="F130" s="5"/>
      <c r="G130" s="5"/>
      <c r="H130" s="5"/>
      <c r="I130" s="5"/>
      <c r="J130" s="5"/>
      <c r="K130" s="15"/>
      <c r="L130" s="5"/>
      <c r="M130" s="15"/>
      <c r="N130" s="5"/>
      <c r="O130" s="15"/>
      <c r="P130" s="19" t="str">
        <f t="shared" si="19"/>
        <v/>
      </c>
      <c r="Q130" s="19" t="str">
        <f t="shared" si="20"/>
        <v/>
      </c>
      <c r="R130" s="19" t="str">
        <f t="shared" si="21"/>
        <v/>
      </c>
      <c r="S130" s="5"/>
      <c r="T130" s="5"/>
      <c r="U130" s="5"/>
      <c r="V130" s="24"/>
      <c r="W130" s="15"/>
      <c r="X130" s="15"/>
      <c r="Y130" s="15"/>
      <c r="Z130" s="19" t="str">
        <f t="shared" si="22"/>
        <v/>
      </c>
      <c r="AA130" s="19" t="str">
        <f t="shared" si="23"/>
        <v/>
      </c>
      <c r="AB130" s="5"/>
      <c r="AC130" s="5"/>
      <c r="AE130" t="str">
        <f>IFERROR(INDEX(EqTag,_xlfn.AGGREGATE(15,6,(ROW(EqTag)-4)/((EqSys=$D$3)*(EqTag&lt;&gt;"")),ROWS($AE$14:AE130))),"")</f>
        <v/>
      </c>
    </row>
    <row r="131" spans="1:31" ht="30" customHeight="1" x14ac:dyDescent="0.2">
      <c r="A131" s="19" t="str">
        <f>IF(F131="","",LEFT($D$3,3)&amp;"-"&amp;TEXT(COUNTIF(F$14:F131,"?*"),"00"))</f>
        <v/>
      </c>
      <c r="B131" s="5"/>
      <c r="C131" s="6" t="str">
        <f t="shared" si="18"/>
        <v/>
      </c>
      <c r="D131" s="5"/>
      <c r="E131" s="5"/>
      <c r="F131" s="5"/>
      <c r="G131" s="5"/>
      <c r="H131" s="5"/>
      <c r="I131" s="5"/>
      <c r="J131" s="5"/>
      <c r="K131" s="15"/>
      <c r="L131" s="5"/>
      <c r="M131" s="15"/>
      <c r="N131" s="5"/>
      <c r="O131" s="15"/>
      <c r="P131" s="19" t="str">
        <f t="shared" si="19"/>
        <v/>
      </c>
      <c r="Q131" s="19" t="str">
        <f t="shared" si="20"/>
        <v/>
      </c>
      <c r="R131" s="19" t="str">
        <f t="shared" si="21"/>
        <v/>
      </c>
      <c r="S131" s="5"/>
      <c r="T131" s="5"/>
      <c r="U131" s="5"/>
      <c r="V131" s="24"/>
      <c r="W131" s="15"/>
      <c r="X131" s="15"/>
      <c r="Y131" s="15"/>
      <c r="Z131" s="19" t="str">
        <f t="shared" si="22"/>
        <v/>
      </c>
      <c r="AA131" s="19" t="str">
        <f t="shared" si="23"/>
        <v/>
      </c>
      <c r="AB131" s="5"/>
      <c r="AC131" s="5"/>
      <c r="AE131" t="str">
        <f>IFERROR(INDEX(EqTag,_xlfn.AGGREGATE(15,6,(ROW(EqTag)-4)/((EqSys=$D$3)*(EqTag&lt;&gt;"")),ROWS($AE$14:AE131))),"")</f>
        <v/>
      </c>
    </row>
    <row r="132" spans="1:31" ht="30" customHeight="1" x14ac:dyDescent="0.2">
      <c r="A132" s="19" t="str">
        <f>IF(F132="","",LEFT($D$3,3)&amp;"-"&amp;TEXT(COUNTIF(F$14:F132,"?*"),"00"))</f>
        <v/>
      </c>
      <c r="B132" s="5"/>
      <c r="C132" s="6" t="str">
        <f t="shared" si="18"/>
        <v/>
      </c>
      <c r="D132" s="5"/>
      <c r="E132" s="5"/>
      <c r="F132" s="5"/>
      <c r="G132" s="5"/>
      <c r="H132" s="5"/>
      <c r="I132" s="5"/>
      <c r="J132" s="5"/>
      <c r="K132" s="15"/>
      <c r="L132" s="5"/>
      <c r="M132" s="15"/>
      <c r="N132" s="5"/>
      <c r="O132" s="15"/>
      <c r="P132" s="19" t="str">
        <f t="shared" si="19"/>
        <v/>
      </c>
      <c r="Q132" s="19" t="str">
        <f t="shared" si="20"/>
        <v/>
      </c>
      <c r="R132" s="19" t="str">
        <f t="shared" si="21"/>
        <v/>
      </c>
      <c r="S132" s="5"/>
      <c r="T132" s="5"/>
      <c r="U132" s="5"/>
      <c r="V132" s="24"/>
      <c r="W132" s="15"/>
      <c r="X132" s="15"/>
      <c r="Y132" s="15"/>
      <c r="Z132" s="19" t="str">
        <f t="shared" si="22"/>
        <v/>
      </c>
      <c r="AA132" s="19" t="str">
        <f t="shared" si="23"/>
        <v/>
      </c>
      <c r="AB132" s="5"/>
      <c r="AC132" s="5"/>
      <c r="AE132" t="str">
        <f>IFERROR(INDEX(EqTag,_xlfn.AGGREGATE(15,6,(ROW(EqTag)-4)/((EqSys=$D$3)*(EqTag&lt;&gt;"")),ROWS($AE$14:AE132))),"")</f>
        <v/>
      </c>
    </row>
    <row r="133" spans="1:31" ht="30" customHeight="1" x14ac:dyDescent="0.2">
      <c r="A133" s="19" t="str">
        <f>IF(F133="","",LEFT($D$3,3)&amp;"-"&amp;TEXT(COUNTIF(F$14:F133,"?*"),"00"))</f>
        <v/>
      </c>
      <c r="B133" s="5"/>
      <c r="C133" s="6" t="str">
        <f t="shared" si="18"/>
        <v/>
      </c>
      <c r="D133" s="5"/>
      <c r="E133" s="5"/>
      <c r="F133" s="5"/>
      <c r="G133" s="5"/>
      <c r="H133" s="5"/>
      <c r="I133" s="5"/>
      <c r="J133" s="5"/>
      <c r="K133" s="15"/>
      <c r="L133" s="5"/>
      <c r="M133" s="15"/>
      <c r="N133" s="5"/>
      <c r="O133" s="15"/>
      <c r="P133" s="19" t="str">
        <f t="shared" si="19"/>
        <v/>
      </c>
      <c r="Q133" s="19" t="str">
        <f t="shared" si="20"/>
        <v/>
      </c>
      <c r="R133" s="19" t="str">
        <f t="shared" si="21"/>
        <v/>
      </c>
      <c r="S133" s="5"/>
      <c r="T133" s="5"/>
      <c r="U133" s="5"/>
      <c r="V133" s="24"/>
      <c r="W133" s="15"/>
      <c r="X133" s="15"/>
      <c r="Y133" s="15"/>
      <c r="Z133" s="19" t="str">
        <f t="shared" si="22"/>
        <v/>
      </c>
      <c r="AA133" s="19" t="str">
        <f t="shared" si="23"/>
        <v/>
      </c>
      <c r="AB133" s="5"/>
      <c r="AC133" s="5"/>
      <c r="AE133" t="str">
        <f>IFERROR(INDEX(EqTag,_xlfn.AGGREGATE(15,6,(ROW(EqTag)-4)/((EqSys=$D$3)*(EqTag&lt;&gt;"")),ROWS($AE$14:AE133))),"")</f>
        <v/>
      </c>
    </row>
    <row r="134" spans="1:31" ht="30" customHeight="1" x14ac:dyDescent="0.2">
      <c r="A134" s="19" t="str">
        <f>IF(F134="","",LEFT($D$3,3)&amp;"-"&amp;TEXT(COUNTIF(F$14:F134,"?*"),"00"))</f>
        <v/>
      </c>
      <c r="B134" s="5"/>
      <c r="C134" s="6" t="str">
        <f t="shared" si="18"/>
        <v/>
      </c>
      <c r="D134" s="5"/>
      <c r="E134" s="5"/>
      <c r="F134" s="5"/>
      <c r="G134" s="5"/>
      <c r="H134" s="5"/>
      <c r="I134" s="5"/>
      <c r="J134" s="5"/>
      <c r="K134" s="15"/>
      <c r="L134" s="5"/>
      <c r="M134" s="15"/>
      <c r="N134" s="5"/>
      <c r="O134" s="15"/>
      <c r="P134" s="19" t="str">
        <f t="shared" si="19"/>
        <v/>
      </c>
      <c r="Q134" s="19" t="str">
        <f t="shared" si="20"/>
        <v/>
      </c>
      <c r="R134" s="19" t="str">
        <f t="shared" si="21"/>
        <v/>
      </c>
      <c r="S134" s="5"/>
      <c r="T134" s="5"/>
      <c r="U134" s="5"/>
      <c r="V134" s="24"/>
      <c r="W134" s="15"/>
      <c r="X134" s="15"/>
      <c r="Y134" s="15"/>
      <c r="Z134" s="19" t="str">
        <f t="shared" si="22"/>
        <v/>
      </c>
      <c r="AA134" s="19" t="str">
        <f t="shared" si="23"/>
        <v/>
      </c>
      <c r="AB134" s="5"/>
      <c r="AC134" s="5"/>
      <c r="AE134" t="str">
        <f>IFERROR(INDEX(EqTag,_xlfn.AGGREGATE(15,6,(ROW(EqTag)-4)/((EqSys=$D$3)*(EqTag&lt;&gt;"")),ROWS($AE$14:AE134))),"")</f>
        <v/>
      </c>
    </row>
    <row r="135" spans="1:31" ht="30" customHeight="1" x14ac:dyDescent="0.2">
      <c r="A135" s="19" t="str">
        <f>IF(F135="","",LEFT($D$3,3)&amp;"-"&amp;TEXT(COUNTIF(F$14:F135,"?*"),"00"))</f>
        <v/>
      </c>
      <c r="B135" s="5"/>
      <c r="C135" s="6" t="str">
        <f t="shared" si="18"/>
        <v/>
      </c>
      <c r="D135" s="5"/>
      <c r="E135" s="5"/>
      <c r="F135" s="5"/>
      <c r="G135" s="5"/>
      <c r="H135" s="5"/>
      <c r="I135" s="5"/>
      <c r="J135" s="5"/>
      <c r="K135" s="15"/>
      <c r="L135" s="5"/>
      <c r="M135" s="15"/>
      <c r="N135" s="5"/>
      <c r="O135" s="15"/>
      <c r="P135" s="19" t="str">
        <f t="shared" si="19"/>
        <v/>
      </c>
      <c r="Q135" s="19" t="str">
        <f t="shared" si="20"/>
        <v/>
      </c>
      <c r="R135" s="19" t="str">
        <f t="shared" si="21"/>
        <v/>
      </c>
      <c r="S135" s="5"/>
      <c r="T135" s="5"/>
      <c r="U135" s="5"/>
      <c r="V135" s="24"/>
      <c r="W135" s="15"/>
      <c r="X135" s="15"/>
      <c r="Y135" s="15"/>
      <c r="Z135" s="19" t="str">
        <f t="shared" si="22"/>
        <v/>
      </c>
      <c r="AA135" s="19" t="str">
        <f t="shared" si="23"/>
        <v/>
      </c>
      <c r="AB135" s="5"/>
      <c r="AC135" s="5"/>
      <c r="AE135" t="str">
        <f>IFERROR(INDEX(EqTag,_xlfn.AGGREGATE(15,6,(ROW(EqTag)-4)/((EqSys=$D$3)*(EqTag&lt;&gt;"")),ROWS($AE$14:AE135))),"")</f>
        <v/>
      </c>
    </row>
    <row r="136" spans="1:31" ht="30" customHeight="1" x14ac:dyDescent="0.2">
      <c r="A136" s="19" t="str">
        <f>IF(F136="","",LEFT($D$3,3)&amp;"-"&amp;TEXT(COUNTIF(F$14:F136,"?*"),"00"))</f>
        <v/>
      </c>
      <c r="B136" s="5"/>
      <c r="C136" s="6" t="str">
        <f t="shared" si="18"/>
        <v/>
      </c>
      <c r="D136" s="5"/>
      <c r="E136" s="5"/>
      <c r="F136" s="5"/>
      <c r="G136" s="5"/>
      <c r="H136" s="5"/>
      <c r="I136" s="5"/>
      <c r="J136" s="5"/>
      <c r="K136" s="15"/>
      <c r="L136" s="5"/>
      <c r="M136" s="15"/>
      <c r="N136" s="5"/>
      <c r="O136" s="15"/>
      <c r="P136" s="19" t="str">
        <f t="shared" si="19"/>
        <v/>
      </c>
      <c r="Q136" s="19" t="str">
        <f t="shared" si="20"/>
        <v/>
      </c>
      <c r="R136" s="19" t="str">
        <f t="shared" si="21"/>
        <v/>
      </c>
      <c r="S136" s="5"/>
      <c r="T136" s="5"/>
      <c r="U136" s="5"/>
      <c r="V136" s="24"/>
      <c r="W136" s="15"/>
      <c r="X136" s="15"/>
      <c r="Y136" s="15"/>
      <c r="Z136" s="19" t="str">
        <f t="shared" si="22"/>
        <v/>
      </c>
      <c r="AA136" s="19" t="str">
        <f t="shared" si="23"/>
        <v/>
      </c>
      <c r="AB136" s="5"/>
      <c r="AC136" s="5"/>
      <c r="AE136" t="str">
        <f>IFERROR(INDEX(EqTag,_xlfn.AGGREGATE(15,6,(ROW(EqTag)-4)/((EqSys=$D$3)*(EqTag&lt;&gt;"")),ROWS($AE$14:AE136))),"")</f>
        <v/>
      </c>
    </row>
    <row r="137" spans="1:31" ht="30" customHeight="1" x14ac:dyDescent="0.2">
      <c r="A137" s="19" t="str">
        <f>IF(F137="","",LEFT($D$3,3)&amp;"-"&amp;TEXT(COUNTIF(F$14:F137,"?*"),"00"))</f>
        <v/>
      </c>
      <c r="B137" s="5"/>
      <c r="C137" s="6" t="str">
        <f t="shared" si="18"/>
        <v/>
      </c>
      <c r="D137" s="5"/>
      <c r="E137" s="5"/>
      <c r="F137" s="5"/>
      <c r="G137" s="5"/>
      <c r="H137" s="5"/>
      <c r="I137" s="5"/>
      <c r="J137" s="5"/>
      <c r="K137" s="15"/>
      <c r="L137" s="5"/>
      <c r="M137" s="15"/>
      <c r="N137" s="5"/>
      <c r="O137" s="15"/>
      <c r="P137" s="19" t="str">
        <f t="shared" si="19"/>
        <v/>
      </c>
      <c r="Q137" s="19" t="str">
        <f t="shared" si="20"/>
        <v/>
      </c>
      <c r="R137" s="19" t="str">
        <f t="shared" si="21"/>
        <v/>
      </c>
      <c r="S137" s="5"/>
      <c r="T137" s="5"/>
      <c r="U137" s="5"/>
      <c r="V137" s="24"/>
      <c r="W137" s="15"/>
      <c r="X137" s="15"/>
      <c r="Y137" s="15"/>
      <c r="Z137" s="19" t="str">
        <f t="shared" si="22"/>
        <v/>
      </c>
      <c r="AA137" s="19" t="str">
        <f t="shared" si="23"/>
        <v/>
      </c>
      <c r="AB137" s="5"/>
      <c r="AC137" s="5"/>
      <c r="AE137" t="str">
        <f>IFERROR(INDEX(EqTag,_xlfn.AGGREGATE(15,6,(ROW(EqTag)-4)/((EqSys=$D$3)*(EqTag&lt;&gt;"")),ROWS($AE$14:AE137))),"")</f>
        <v/>
      </c>
    </row>
    <row r="138" spans="1:31" ht="30" customHeight="1" x14ac:dyDescent="0.2">
      <c r="A138" s="19" t="str">
        <f>IF(F138="","",LEFT($D$3,3)&amp;"-"&amp;TEXT(COUNTIF(F$14:F138,"?*"),"00"))</f>
        <v/>
      </c>
      <c r="B138" s="5"/>
      <c r="C138" s="6" t="str">
        <f t="shared" si="18"/>
        <v/>
      </c>
      <c r="D138" s="5"/>
      <c r="E138" s="5"/>
      <c r="F138" s="5"/>
      <c r="G138" s="5"/>
      <c r="H138" s="5"/>
      <c r="I138" s="5"/>
      <c r="J138" s="5"/>
      <c r="K138" s="15"/>
      <c r="L138" s="5"/>
      <c r="M138" s="15"/>
      <c r="N138" s="5"/>
      <c r="O138" s="15"/>
      <c r="P138" s="19" t="str">
        <f t="shared" si="19"/>
        <v/>
      </c>
      <c r="Q138" s="19" t="str">
        <f t="shared" si="20"/>
        <v/>
      </c>
      <c r="R138" s="19" t="str">
        <f t="shared" si="21"/>
        <v/>
      </c>
      <c r="S138" s="5"/>
      <c r="T138" s="5"/>
      <c r="U138" s="5"/>
      <c r="V138" s="24"/>
      <c r="W138" s="15"/>
      <c r="X138" s="15"/>
      <c r="Y138" s="15"/>
      <c r="Z138" s="19" t="str">
        <f t="shared" si="22"/>
        <v/>
      </c>
      <c r="AA138" s="19" t="str">
        <f t="shared" si="23"/>
        <v/>
      </c>
      <c r="AB138" s="5"/>
      <c r="AC138" s="5"/>
      <c r="AE138" t="str">
        <f>IFERROR(INDEX(EqTag,_xlfn.AGGREGATE(15,6,(ROW(EqTag)-4)/((EqSys=$D$3)*(EqTag&lt;&gt;"")),ROWS($AE$14:AE138))),"")</f>
        <v/>
      </c>
    </row>
    <row r="139" spans="1:31" ht="30" customHeight="1" x14ac:dyDescent="0.2">
      <c r="A139" s="19" t="str">
        <f>IF(F139="","",LEFT($D$3,3)&amp;"-"&amp;TEXT(COUNTIF(F$14:F139,"?*"),"00"))</f>
        <v/>
      </c>
      <c r="B139" s="5"/>
      <c r="C139" s="6" t="str">
        <f t="shared" si="18"/>
        <v/>
      </c>
      <c r="D139" s="5"/>
      <c r="E139" s="5"/>
      <c r="F139" s="5"/>
      <c r="G139" s="5"/>
      <c r="H139" s="5"/>
      <c r="I139" s="5"/>
      <c r="J139" s="5"/>
      <c r="K139" s="15"/>
      <c r="L139" s="5"/>
      <c r="M139" s="15"/>
      <c r="N139" s="5"/>
      <c r="O139" s="15"/>
      <c r="P139" s="19" t="str">
        <f t="shared" si="19"/>
        <v/>
      </c>
      <c r="Q139" s="19" t="str">
        <f t="shared" si="20"/>
        <v/>
      </c>
      <c r="R139" s="19" t="str">
        <f t="shared" si="21"/>
        <v/>
      </c>
      <c r="S139" s="5"/>
      <c r="T139" s="5"/>
      <c r="U139" s="5"/>
      <c r="V139" s="24"/>
      <c r="W139" s="15"/>
      <c r="X139" s="15"/>
      <c r="Y139" s="15"/>
      <c r="Z139" s="19" t="str">
        <f t="shared" si="22"/>
        <v/>
      </c>
      <c r="AA139" s="19" t="str">
        <f t="shared" si="23"/>
        <v/>
      </c>
      <c r="AB139" s="5"/>
      <c r="AC139" s="5"/>
      <c r="AE139" t="str">
        <f>IFERROR(INDEX(EqTag,_xlfn.AGGREGATE(15,6,(ROW(EqTag)-4)/((EqSys=$D$3)*(EqTag&lt;&gt;"")),ROWS($AE$14:AE139))),"")</f>
        <v/>
      </c>
    </row>
    <row r="140" spans="1:31" ht="30" customHeight="1" x14ac:dyDescent="0.2">
      <c r="A140" s="19" t="str">
        <f>IF(F140="","",LEFT($D$3,3)&amp;"-"&amp;TEXT(COUNTIF(F$14:F140,"?*"),"00"))</f>
        <v/>
      </c>
      <c r="B140" s="5"/>
      <c r="C140" s="6" t="str">
        <f t="shared" si="18"/>
        <v/>
      </c>
      <c r="D140" s="5"/>
      <c r="E140" s="5"/>
      <c r="F140" s="5"/>
      <c r="G140" s="5"/>
      <c r="H140" s="5"/>
      <c r="I140" s="5"/>
      <c r="J140" s="5"/>
      <c r="K140" s="15"/>
      <c r="L140" s="5"/>
      <c r="M140" s="15"/>
      <c r="N140" s="5"/>
      <c r="O140" s="15"/>
      <c r="P140" s="19" t="str">
        <f t="shared" si="19"/>
        <v/>
      </c>
      <c r="Q140" s="19" t="str">
        <f t="shared" si="20"/>
        <v/>
      </c>
      <c r="R140" s="19" t="str">
        <f t="shared" si="21"/>
        <v/>
      </c>
      <c r="S140" s="5"/>
      <c r="T140" s="5"/>
      <c r="U140" s="5"/>
      <c r="V140" s="24"/>
      <c r="W140" s="15"/>
      <c r="X140" s="15"/>
      <c r="Y140" s="15"/>
      <c r="Z140" s="19" t="str">
        <f t="shared" si="22"/>
        <v/>
      </c>
      <c r="AA140" s="19" t="str">
        <f t="shared" si="23"/>
        <v/>
      </c>
      <c r="AB140" s="5"/>
      <c r="AC140" s="5"/>
      <c r="AE140" t="str">
        <f>IFERROR(INDEX(EqTag,_xlfn.AGGREGATE(15,6,(ROW(EqTag)-4)/((EqSys=$D$3)*(EqTag&lt;&gt;"")),ROWS($AE$14:AE140))),"")</f>
        <v/>
      </c>
    </row>
    <row r="141" spans="1:31" ht="30" customHeight="1" x14ac:dyDescent="0.2">
      <c r="A141" s="19" t="str">
        <f>IF(F141="","",LEFT($D$3,3)&amp;"-"&amp;TEXT(COUNTIF(F$14:F141,"?*"),"00"))</f>
        <v/>
      </c>
      <c r="B141" s="5"/>
      <c r="C141" s="6" t="str">
        <f t="shared" si="18"/>
        <v/>
      </c>
      <c r="D141" s="5"/>
      <c r="E141" s="5"/>
      <c r="F141" s="5"/>
      <c r="G141" s="5"/>
      <c r="H141" s="5"/>
      <c r="I141" s="5"/>
      <c r="J141" s="5"/>
      <c r="K141" s="15"/>
      <c r="L141" s="5"/>
      <c r="M141" s="15"/>
      <c r="N141" s="5"/>
      <c r="O141" s="15"/>
      <c r="P141" s="19" t="str">
        <f t="shared" si="19"/>
        <v/>
      </c>
      <c r="Q141" s="19" t="str">
        <f t="shared" si="20"/>
        <v/>
      </c>
      <c r="R141" s="19" t="str">
        <f t="shared" si="21"/>
        <v/>
      </c>
      <c r="S141" s="5"/>
      <c r="T141" s="5"/>
      <c r="U141" s="5"/>
      <c r="V141" s="24"/>
      <c r="W141" s="15"/>
      <c r="X141" s="15"/>
      <c r="Y141" s="15"/>
      <c r="Z141" s="19" t="str">
        <f t="shared" si="22"/>
        <v/>
      </c>
      <c r="AA141" s="19" t="str">
        <f t="shared" si="23"/>
        <v/>
      </c>
      <c r="AB141" s="5"/>
      <c r="AC141" s="5"/>
      <c r="AE141" t="str">
        <f>IFERROR(INDEX(EqTag,_xlfn.AGGREGATE(15,6,(ROW(EqTag)-4)/((EqSys=$D$3)*(EqTag&lt;&gt;"")),ROWS($AE$14:AE141))),"")</f>
        <v/>
      </c>
    </row>
    <row r="142" spans="1:31" ht="30" customHeight="1" x14ac:dyDescent="0.2">
      <c r="A142" s="19" t="str">
        <f>IF(F142="","",LEFT($D$3,3)&amp;"-"&amp;TEXT(COUNTIF(F$14:F142,"?*"),"00"))</f>
        <v/>
      </c>
      <c r="B142" s="5"/>
      <c r="C142" s="6" t="str">
        <f t="shared" ref="C142:C163" si="24">IF(B142="","",IFERROR(INDEX(EqTypeCol,MATCH(B142,EqTag,0)),"Tag not in register"))</f>
        <v/>
      </c>
      <c r="D142" s="5"/>
      <c r="E142" s="5"/>
      <c r="F142" s="5"/>
      <c r="G142" s="5"/>
      <c r="H142" s="5"/>
      <c r="I142" s="5"/>
      <c r="J142" s="5"/>
      <c r="K142" s="15"/>
      <c r="L142" s="5"/>
      <c r="M142" s="15"/>
      <c r="N142" s="5"/>
      <c r="O142" s="15"/>
      <c r="P142" s="19" t="str">
        <f t="shared" ref="P142:P163" si="25">IF(OR(K142="",M142="",O142=""),"",(--TRIM(LEFT(K142,2)))*(--TRIM(LEFT(M142,2)))*(--TRIM(LEFT(O142,2))))</f>
        <v/>
      </c>
      <c r="Q142" s="19" t="str">
        <f t="shared" ref="Q142:Q163" si="26">IF(OR(K142="",M142="",O142=""),"",INDEX(APGrid,COUNTIF(APS,"&gt;"&amp;(--TRIM(LEFT(K142,2))))*5+COUNTIF(APO,"&gt;"&amp;(--TRIM(LEFT(M142,2))))+1,COUNTIF(APD,"&gt;"&amp;(--TRIM(LEFT(O142,2))))+1))</f>
        <v/>
      </c>
      <c r="R142" s="19" t="str">
        <f t="shared" ref="R142:R163" si="27">IF(P142="","",IF(OR((--TRIM(LEFT(K142,2)))&gt;=SThr,P142&gt;=RPNThr,Q142="H"),"Yes","No"))</f>
        <v/>
      </c>
      <c r="S142" s="5"/>
      <c r="T142" s="5"/>
      <c r="U142" s="5"/>
      <c r="V142" s="24"/>
      <c r="W142" s="15"/>
      <c r="X142" s="15"/>
      <c r="Y142" s="15"/>
      <c r="Z142" s="19" t="str">
        <f t="shared" ref="Z142:Z163" si="28">IF(OR(W142="",X142="",Y142=""),"",(--TRIM(LEFT(W142,2)))*(--TRIM(LEFT(X142,2)))*(--TRIM(LEFT(Y142,2))))</f>
        <v/>
      </c>
      <c r="AA142" s="19" t="str">
        <f t="shared" ref="AA142:AA163" si="29">IF(OR(W142="",X142="",Y142=""),"",INDEX(APGrid,COUNTIF(APS,"&gt;"&amp;(--TRIM(LEFT(W142,2))))*5+COUNTIF(APO,"&gt;"&amp;(--TRIM(LEFT(X142,2))))+1,COUNTIF(APD,"&gt;"&amp;(--TRIM(LEFT(Y142,2))))+1))</f>
        <v/>
      </c>
      <c r="AB142" s="5"/>
      <c r="AC142" s="5"/>
      <c r="AE142" t="str">
        <f>IFERROR(INDEX(EqTag,_xlfn.AGGREGATE(15,6,(ROW(EqTag)-4)/((EqSys=$D$3)*(EqTag&lt;&gt;"")),ROWS($AE$14:AE142))),"")</f>
        <v/>
      </c>
    </row>
    <row r="143" spans="1:31" ht="30" customHeight="1" x14ac:dyDescent="0.2">
      <c r="A143" s="19" t="str">
        <f>IF(F143="","",LEFT($D$3,3)&amp;"-"&amp;TEXT(COUNTIF(F$14:F143,"?*"),"00"))</f>
        <v/>
      </c>
      <c r="B143" s="5"/>
      <c r="C143" s="6" t="str">
        <f t="shared" si="24"/>
        <v/>
      </c>
      <c r="D143" s="5"/>
      <c r="E143" s="5"/>
      <c r="F143" s="5"/>
      <c r="G143" s="5"/>
      <c r="H143" s="5"/>
      <c r="I143" s="5"/>
      <c r="J143" s="5"/>
      <c r="K143" s="15"/>
      <c r="L143" s="5"/>
      <c r="M143" s="15"/>
      <c r="N143" s="5"/>
      <c r="O143" s="15"/>
      <c r="P143" s="19" t="str">
        <f t="shared" si="25"/>
        <v/>
      </c>
      <c r="Q143" s="19" t="str">
        <f t="shared" si="26"/>
        <v/>
      </c>
      <c r="R143" s="19" t="str">
        <f t="shared" si="27"/>
        <v/>
      </c>
      <c r="S143" s="5"/>
      <c r="T143" s="5"/>
      <c r="U143" s="5"/>
      <c r="V143" s="24"/>
      <c r="W143" s="15"/>
      <c r="X143" s="15"/>
      <c r="Y143" s="15"/>
      <c r="Z143" s="19" t="str">
        <f t="shared" si="28"/>
        <v/>
      </c>
      <c r="AA143" s="19" t="str">
        <f t="shared" si="29"/>
        <v/>
      </c>
      <c r="AB143" s="5"/>
      <c r="AC143" s="5"/>
      <c r="AE143" t="str">
        <f>IFERROR(INDEX(EqTag,_xlfn.AGGREGATE(15,6,(ROW(EqTag)-4)/((EqSys=$D$3)*(EqTag&lt;&gt;"")),ROWS($AE$14:AE143))),"")</f>
        <v/>
      </c>
    </row>
    <row r="144" spans="1:31" ht="30" customHeight="1" x14ac:dyDescent="0.2">
      <c r="A144" s="19" t="str">
        <f>IF(F144="","",LEFT($D$3,3)&amp;"-"&amp;TEXT(COUNTIF(F$14:F144,"?*"),"00"))</f>
        <v/>
      </c>
      <c r="B144" s="5"/>
      <c r="C144" s="6" t="str">
        <f t="shared" si="24"/>
        <v/>
      </c>
      <c r="D144" s="5"/>
      <c r="E144" s="5"/>
      <c r="F144" s="5"/>
      <c r="G144" s="5"/>
      <c r="H144" s="5"/>
      <c r="I144" s="5"/>
      <c r="J144" s="5"/>
      <c r="K144" s="15"/>
      <c r="L144" s="5"/>
      <c r="M144" s="15"/>
      <c r="N144" s="5"/>
      <c r="O144" s="15"/>
      <c r="P144" s="19" t="str">
        <f t="shared" si="25"/>
        <v/>
      </c>
      <c r="Q144" s="19" t="str">
        <f t="shared" si="26"/>
        <v/>
      </c>
      <c r="R144" s="19" t="str">
        <f t="shared" si="27"/>
        <v/>
      </c>
      <c r="S144" s="5"/>
      <c r="T144" s="5"/>
      <c r="U144" s="5"/>
      <c r="V144" s="24"/>
      <c r="W144" s="15"/>
      <c r="X144" s="15"/>
      <c r="Y144" s="15"/>
      <c r="Z144" s="19" t="str">
        <f t="shared" si="28"/>
        <v/>
      </c>
      <c r="AA144" s="19" t="str">
        <f t="shared" si="29"/>
        <v/>
      </c>
      <c r="AB144" s="5"/>
      <c r="AC144" s="5"/>
      <c r="AE144" t="str">
        <f>IFERROR(INDEX(EqTag,_xlfn.AGGREGATE(15,6,(ROW(EqTag)-4)/((EqSys=$D$3)*(EqTag&lt;&gt;"")),ROWS($AE$14:AE144))),"")</f>
        <v/>
      </c>
    </row>
    <row r="145" spans="1:31" ht="30" customHeight="1" x14ac:dyDescent="0.2">
      <c r="A145" s="19" t="str">
        <f>IF(F145="","",LEFT($D$3,3)&amp;"-"&amp;TEXT(COUNTIF(F$14:F145,"?*"),"00"))</f>
        <v/>
      </c>
      <c r="B145" s="5"/>
      <c r="C145" s="6" t="str">
        <f t="shared" si="24"/>
        <v/>
      </c>
      <c r="D145" s="5"/>
      <c r="E145" s="5"/>
      <c r="F145" s="5"/>
      <c r="G145" s="5"/>
      <c r="H145" s="5"/>
      <c r="I145" s="5"/>
      <c r="J145" s="5"/>
      <c r="K145" s="15"/>
      <c r="L145" s="5"/>
      <c r="M145" s="15"/>
      <c r="N145" s="5"/>
      <c r="O145" s="15"/>
      <c r="P145" s="19" t="str">
        <f t="shared" si="25"/>
        <v/>
      </c>
      <c r="Q145" s="19" t="str">
        <f t="shared" si="26"/>
        <v/>
      </c>
      <c r="R145" s="19" t="str">
        <f t="shared" si="27"/>
        <v/>
      </c>
      <c r="S145" s="5"/>
      <c r="T145" s="5"/>
      <c r="U145" s="5"/>
      <c r="V145" s="24"/>
      <c r="W145" s="15"/>
      <c r="X145" s="15"/>
      <c r="Y145" s="15"/>
      <c r="Z145" s="19" t="str">
        <f t="shared" si="28"/>
        <v/>
      </c>
      <c r="AA145" s="19" t="str">
        <f t="shared" si="29"/>
        <v/>
      </c>
      <c r="AB145" s="5"/>
      <c r="AC145" s="5"/>
      <c r="AE145" t="str">
        <f>IFERROR(INDEX(EqTag,_xlfn.AGGREGATE(15,6,(ROW(EqTag)-4)/((EqSys=$D$3)*(EqTag&lt;&gt;"")),ROWS($AE$14:AE145))),"")</f>
        <v/>
      </c>
    </row>
    <row r="146" spans="1:31" ht="30" customHeight="1" x14ac:dyDescent="0.2">
      <c r="A146" s="19" t="str">
        <f>IF(F146="","",LEFT($D$3,3)&amp;"-"&amp;TEXT(COUNTIF(F$14:F146,"?*"),"00"))</f>
        <v/>
      </c>
      <c r="B146" s="5"/>
      <c r="C146" s="6" t="str">
        <f t="shared" si="24"/>
        <v/>
      </c>
      <c r="D146" s="5"/>
      <c r="E146" s="5"/>
      <c r="F146" s="5"/>
      <c r="G146" s="5"/>
      <c r="H146" s="5"/>
      <c r="I146" s="5"/>
      <c r="J146" s="5"/>
      <c r="K146" s="15"/>
      <c r="L146" s="5"/>
      <c r="M146" s="15"/>
      <c r="N146" s="5"/>
      <c r="O146" s="15"/>
      <c r="P146" s="19" t="str">
        <f t="shared" si="25"/>
        <v/>
      </c>
      <c r="Q146" s="19" t="str">
        <f t="shared" si="26"/>
        <v/>
      </c>
      <c r="R146" s="19" t="str">
        <f t="shared" si="27"/>
        <v/>
      </c>
      <c r="S146" s="5"/>
      <c r="T146" s="5"/>
      <c r="U146" s="5"/>
      <c r="V146" s="24"/>
      <c r="W146" s="15"/>
      <c r="X146" s="15"/>
      <c r="Y146" s="15"/>
      <c r="Z146" s="19" t="str">
        <f t="shared" si="28"/>
        <v/>
      </c>
      <c r="AA146" s="19" t="str">
        <f t="shared" si="29"/>
        <v/>
      </c>
      <c r="AB146" s="5"/>
      <c r="AC146" s="5"/>
      <c r="AE146" t="str">
        <f>IFERROR(INDEX(EqTag,_xlfn.AGGREGATE(15,6,(ROW(EqTag)-4)/((EqSys=$D$3)*(EqTag&lt;&gt;"")),ROWS($AE$14:AE146))),"")</f>
        <v/>
      </c>
    </row>
    <row r="147" spans="1:31" ht="30" customHeight="1" x14ac:dyDescent="0.2">
      <c r="A147" s="19" t="str">
        <f>IF(F147="","",LEFT($D$3,3)&amp;"-"&amp;TEXT(COUNTIF(F$14:F147,"?*"),"00"))</f>
        <v/>
      </c>
      <c r="B147" s="5"/>
      <c r="C147" s="6" t="str">
        <f t="shared" si="24"/>
        <v/>
      </c>
      <c r="D147" s="5"/>
      <c r="E147" s="5"/>
      <c r="F147" s="5"/>
      <c r="G147" s="5"/>
      <c r="H147" s="5"/>
      <c r="I147" s="5"/>
      <c r="J147" s="5"/>
      <c r="K147" s="15"/>
      <c r="L147" s="5"/>
      <c r="M147" s="15"/>
      <c r="N147" s="5"/>
      <c r="O147" s="15"/>
      <c r="P147" s="19" t="str">
        <f t="shared" si="25"/>
        <v/>
      </c>
      <c r="Q147" s="19" t="str">
        <f t="shared" si="26"/>
        <v/>
      </c>
      <c r="R147" s="19" t="str">
        <f t="shared" si="27"/>
        <v/>
      </c>
      <c r="S147" s="5"/>
      <c r="T147" s="5"/>
      <c r="U147" s="5"/>
      <c r="V147" s="24"/>
      <c r="W147" s="15"/>
      <c r="X147" s="15"/>
      <c r="Y147" s="15"/>
      <c r="Z147" s="19" t="str">
        <f t="shared" si="28"/>
        <v/>
      </c>
      <c r="AA147" s="19" t="str">
        <f t="shared" si="29"/>
        <v/>
      </c>
      <c r="AB147" s="5"/>
      <c r="AC147" s="5"/>
      <c r="AE147" t="str">
        <f>IFERROR(INDEX(EqTag,_xlfn.AGGREGATE(15,6,(ROW(EqTag)-4)/((EqSys=$D$3)*(EqTag&lt;&gt;"")),ROWS($AE$14:AE147))),"")</f>
        <v/>
      </c>
    </row>
    <row r="148" spans="1:31" ht="30" customHeight="1" x14ac:dyDescent="0.2">
      <c r="A148" s="19" t="str">
        <f>IF(F148="","",LEFT($D$3,3)&amp;"-"&amp;TEXT(COUNTIF(F$14:F148,"?*"),"00"))</f>
        <v/>
      </c>
      <c r="B148" s="5"/>
      <c r="C148" s="6" t="str">
        <f t="shared" si="24"/>
        <v/>
      </c>
      <c r="D148" s="5"/>
      <c r="E148" s="5"/>
      <c r="F148" s="5"/>
      <c r="G148" s="5"/>
      <c r="H148" s="5"/>
      <c r="I148" s="5"/>
      <c r="J148" s="5"/>
      <c r="K148" s="15"/>
      <c r="L148" s="5"/>
      <c r="M148" s="15"/>
      <c r="N148" s="5"/>
      <c r="O148" s="15"/>
      <c r="P148" s="19" t="str">
        <f t="shared" si="25"/>
        <v/>
      </c>
      <c r="Q148" s="19" t="str">
        <f t="shared" si="26"/>
        <v/>
      </c>
      <c r="R148" s="19" t="str">
        <f t="shared" si="27"/>
        <v/>
      </c>
      <c r="S148" s="5"/>
      <c r="T148" s="5"/>
      <c r="U148" s="5"/>
      <c r="V148" s="24"/>
      <c r="W148" s="15"/>
      <c r="X148" s="15"/>
      <c r="Y148" s="15"/>
      <c r="Z148" s="19" t="str">
        <f t="shared" si="28"/>
        <v/>
      </c>
      <c r="AA148" s="19" t="str">
        <f t="shared" si="29"/>
        <v/>
      </c>
      <c r="AB148" s="5"/>
      <c r="AC148" s="5"/>
      <c r="AE148" t="str">
        <f>IFERROR(INDEX(EqTag,_xlfn.AGGREGATE(15,6,(ROW(EqTag)-4)/((EqSys=$D$3)*(EqTag&lt;&gt;"")),ROWS($AE$14:AE148))),"")</f>
        <v/>
      </c>
    </row>
    <row r="149" spans="1:31" ht="30" customHeight="1" x14ac:dyDescent="0.2">
      <c r="A149" s="19" t="str">
        <f>IF(F149="","",LEFT($D$3,3)&amp;"-"&amp;TEXT(COUNTIF(F$14:F149,"?*"),"00"))</f>
        <v/>
      </c>
      <c r="B149" s="5"/>
      <c r="C149" s="6" t="str">
        <f t="shared" si="24"/>
        <v/>
      </c>
      <c r="D149" s="5"/>
      <c r="E149" s="5"/>
      <c r="F149" s="5"/>
      <c r="G149" s="5"/>
      <c r="H149" s="5"/>
      <c r="I149" s="5"/>
      <c r="J149" s="5"/>
      <c r="K149" s="15"/>
      <c r="L149" s="5"/>
      <c r="M149" s="15"/>
      <c r="N149" s="5"/>
      <c r="O149" s="15"/>
      <c r="P149" s="19" t="str">
        <f t="shared" si="25"/>
        <v/>
      </c>
      <c r="Q149" s="19" t="str">
        <f t="shared" si="26"/>
        <v/>
      </c>
      <c r="R149" s="19" t="str">
        <f t="shared" si="27"/>
        <v/>
      </c>
      <c r="S149" s="5"/>
      <c r="T149" s="5"/>
      <c r="U149" s="5"/>
      <c r="V149" s="24"/>
      <c r="W149" s="15"/>
      <c r="X149" s="15"/>
      <c r="Y149" s="15"/>
      <c r="Z149" s="19" t="str">
        <f t="shared" si="28"/>
        <v/>
      </c>
      <c r="AA149" s="19" t="str">
        <f t="shared" si="29"/>
        <v/>
      </c>
      <c r="AB149" s="5"/>
      <c r="AC149" s="5"/>
      <c r="AE149" t="str">
        <f>IFERROR(INDEX(EqTag,_xlfn.AGGREGATE(15,6,(ROW(EqTag)-4)/((EqSys=$D$3)*(EqTag&lt;&gt;"")),ROWS($AE$14:AE149))),"")</f>
        <v/>
      </c>
    </row>
    <row r="150" spans="1:31" ht="30" customHeight="1" x14ac:dyDescent="0.2">
      <c r="A150" s="19" t="str">
        <f>IF(F150="","",LEFT($D$3,3)&amp;"-"&amp;TEXT(COUNTIF(F$14:F150,"?*"),"00"))</f>
        <v/>
      </c>
      <c r="B150" s="5"/>
      <c r="C150" s="6" t="str">
        <f t="shared" si="24"/>
        <v/>
      </c>
      <c r="D150" s="5"/>
      <c r="E150" s="5"/>
      <c r="F150" s="5"/>
      <c r="G150" s="5"/>
      <c r="H150" s="5"/>
      <c r="I150" s="5"/>
      <c r="J150" s="5"/>
      <c r="K150" s="15"/>
      <c r="L150" s="5"/>
      <c r="M150" s="15"/>
      <c r="N150" s="5"/>
      <c r="O150" s="15"/>
      <c r="P150" s="19" t="str">
        <f t="shared" si="25"/>
        <v/>
      </c>
      <c r="Q150" s="19" t="str">
        <f t="shared" si="26"/>
        <v/>
      </c>
      <c r="R150" s="19" t="str">
        <f t="shared" si="27"/>
        <v/>
      </c>
      <c r="S150" s="5"/>
      <c r="T150" s="5"/>
      <c r="U150" s="5"/>
      <c r="V150" s="24"/>
      <c r="W150" s="15"/>
      <c r="X150" s="15"/>
      <c r="Y150" s="15"/>
      <c r="Z150" s="19" t="str">
        <f t="shared" si="28"/>
        <v/>
      </c>
      <c r="AA150" s="19" t="str">
        <f t="shared" si="29"/>
        <v/>
      </c>
      <c r="AB150" s="5"/>
      <c r="AC150" s="5"/>
      <c r="AE150" t="str">
        <f>IFERROR(INDEX(EqTag,_xlfn.AGGREGATE(15,6,(ROW(EqTag)-4)/((EqSys=$D$3)*(EqTag&lt;&gt;"")),ROWS($AE$14:AE150))),"")</f>
        <v/>
      </c>
    </row>
    <row r="151" spans="1:31" ht="30" customHeight="1" x14ac:dyDescent="0.2">
      <c r="A151" s="19" t="str">
        <f>IF(F151="","",LEFT($D$3,3)&amp;"-"&amp;TEXT(COUNTIF(F$14:F151,"?*"),"00"))</f>
        <v/>
      </c>
      <c r="B151" s="5"/>
      <c r="C151" s="6" t="str">
        <f t="shared" si="24"/>
        <v/>
      </c>
      <c r="D151" s="5"/>
      <c r="E151" s="5"/>
      <c r="F151" s="5"/>
      <c r="G151" s="5"/>
      <c r="H151" s="5"/>
      <c r="I151" s="5"/>
      <c r="J151" s="5"/>
      <c r="K151" s="15"/>
      <c r="L151" s="5"/>
      <c r="M151" s="15"/>
      <c r="N151" s="5"/>
      <c r="O151" s="15"/>
      <c r="P151" s="19" t="str">
        <f t="shared" si="25"/>
        <v/>
      </c>
      <c r="Q151" s="19" t="str">
        <f t="shared" si="26"/>
        <v/>
      </c>
      <c r="R151" s="19" t="str">
        <f t="shared" si="27"/>
        <v/>
      </c>
      <c r="S151" s="5"/>
      <c r="T151" s="5"/>
      <c r="U151" s="5"/>
      <c r="V151" s="24"/>
      <c r="W151" s="15"/>
      <c r="X151" s="15"/>
      <c r="Y151" s="15"/>
      <c r="Z151" s="19" t="str">
        <f t="shared" si="28"/>
        <v/>
      </c>
      <c r="AA151" s="19" t="str">
        <f t="shared" si="29"/>
        <v/>
      </c>
      <c r="AB151" s="5"/>
      <c r="AC151" s="5"/>
      <c r="AE151" t="str">
        <f>IFERROR(INDEX(EqTag,_xlfn.AGGREGATE(15,6,(ROW(EqTag)-4)/((EqSys=$D$3)*(EqTag&lt;&gt;"")),ROWS($AE$14:AE151))),"")</f>
        <v/>
      </c>
    </row>
    <row r="152" spans="1:31" ht="30" customHeight="1" x14ac:dyDescent="0.2">
      <c r="A152" s="19" t="str">
        <f>IF(F152="","",LEFT($D$3,3)&amp;"-"&amp;TEXT(COUNTIF(F$14:F152,"?*"),"00"))</f>
        <v/>
      </c>
      <c r="B152" s="5"/>
      <c r="C152" s="6" t="str">
        <f t="shared" si="24"/>
        <v/>
      </c>
      <c r="D152" s="5"/>
      <c r="E152" s="5"/>
      <c r="F152" s="5"/>
      <c r="G152" s="5"/>
      <c r="H152" s="5"/>
      <c r="I152" s="5"/>
      <c r="J152" s="5"/>
      <c r="K152" s="15"/>
      <c r="L152" s="5"/>
      <c r="M152" s="15"/>
      <c r="N152" s="5"/>
      <c r="O152" s="15"/>
      <c r="P152" s="19" t="str">
        <f t="shared" si="25"/>
        <v/>
      </c>
      <c r="Q152" s="19" t="str">
        <f t="shared" si="26"/>
        <v/>
      </c>
      <c r="R152" s="19" t="str">
        <f t="shared" si="27"/>
        <v/>
      </c>
      <c r="S152" s="5"/>
      <c r="T152" s="5"/>
      <c r="U152" s="5"/>
      <c r="V152" s="24"/>
      <c r="W152" s="15"/>
      <c r="X152" s="15"/>
      <c r="Y152" s="15"/>
      <c r="Z152" s="19" t="str">
        <f t="shared" si="28"/>
        <v/>
      </c>
      <c r="AA152" s="19" t="str">
        <f t="shared" si="29"/>
        <v/>
      </c>
      <c r="AB152" s="5"/>
      <c r="AC152" s="5"/>
      <c r="AE152" t="str">
        <f>IFERROR(INDEX(EqTag,_xlfn.AGGREGATE(15,6,(ROW(EqTag)-4)/((EqSys=$D$3)*(EqTag&lt;&gt;"")),ROWS($AE$14:AE152))),"")</f>
        <v/>
      </c>
    </row>
    <row r="153" spans="1:31" ht="30" customHeight="1" x14ac:dyDescent="0.2">
      <c r="A153" s="19" t="str">
        <f>IF(F153="","",LEFT($D$3,3)&amp;"-"&amp;TEXT(COUNTIF(F$14:F153,"?*"),"00"))</f>
        <v/>
      </c>
      <c r="B153" s="5"/>
      <c r="C153" s="6" t="str">
        <f t="shared" si="24"/>
        <v/>
      </c>
      <c r="D153" s="5"/>
      <c r="E153" s="5"/>
      <c r="F153" s="5"/>
      <c r="G153" s="5"/>
      <c r="H153" s="5"/>
      <c r="I153" s="5"/>
      <c r="J153" s="5"/>
      <c r="K153" s="15"/>
      <c r="L153" s="5"/>
      <c r="M153" s="15"/>
      <c r="N153" s="5"/>
      <c r="O153" s="15"/>
      <c r="P153" s="19" t="str">
        <f t="shared" si="25"/>
        <v/>
      </c>
      <c r="Q153" s="19" t="str">
        <f t="shared" si="26"/>
        <v/>
      </c>
      <c r="R153" s="19" t="str">
        <f t="shared" si="27"/>
        <v/>
      </c>
      <c r="S153" s="5"/>
      <c r="T153" s="5"/>
      <c r="U153" s="5"/>
      <c r="V153" s="24"/>
      <c r="W153" s="15"/>
      <c r="X153" s="15"/>
      <c r="Y153" s="15"/>
      <c r="Z153" s="19" t="str">
        <f t="shared" si="28"/>
        <v/>
      </c>
      <c r="AA153" s="19" t="str">
        <f t="shared" si="29"/>
        <v/>
      </c>
      <c r="AB153" s="5"/>
      <c r="AC153" s="5"/>
      <c r="AE153" t="str">
        <f>IFERROR(INDEX(EqTag,_xlfn.AGGREGATE(15,6,(ROW(EqTag)-4)/((EqSys=$D$3)*(EqTag&lt;&gt;"")),ROWS($AE$14:AE153))),"")</f>
        <v/>
      </c>
    </row>
    <row r="154" spans="1:31" ht="30" customHeight="1" x14ac:dyDescent="0.2">
      <c r="A154" s="19" t="str">
        <f>IF(F154="","",LEFT($D$3,3)&amp;"-"&amp;TEXT(COUNTIF(F$14:F154,"?*"),"00"))</f>
        <v/>
      </c>
      <c r="B154" s="5"/>
      <c r="C154" s="6" t="str">
        <f t="shared" si="24"/>
        <v/>
      </c>
      <c r="D154" s="5"/>
      <c r="E154" s="5"/>
      <c r="F154" s="5"/>
      <c r="G154" s="5"/>
      <c r="H154" s="5"/>
      <c r="I154" s="5"/>
      <c r="J154" s="5"/>
      <c r="K154" s="15"/>
      <c r="L154" s="5"/>
      <c r="M154" s="15"/>
      <c r="N154" s="5"/>
      <c r="O154" s="15"/>
      <c r="P154" s="19" t="str">
        <f t="shared" si="25"/>
        <v/>
      </c>
      <c r="Q154" s="19" t="str">
        <f t="shared" si="26"/>
        <v/>
      </c>
      <c r="R154" s="19" t="str">
        <f t="shared" si="27"/>
        <v/>
      </c>
      <c r="S154" s="5"/>
      <c r="T154" s="5"/>
      <c r="U154" s="5"/>
      <c r="V154" s="24"/>
      <c r="W154" s="15"/>
      <c r="X154" s="15"/>
      <c r="Y154" s="15"/>
      <c r="Z154" s="19" t="str">
        <f t="shared" si="28"/>
        <v/>
      </c>
      <c r="AA154" s="19" t="str">
        <f t="shared" si="29"/>
        <v/>
      </c>
      <c r="AB154" s="5"/>
      <c r="AC154" s="5"/>
      <c r="AE154" t="str">
        <f>IFERROR(INDEX(EqTag,_xlfn.AGGREGATE(15,6,(ROW(EqTag)-4)/((EqSys=$D$3)*(EqTag&lt;&gt;"")),ROWS($AE$14:AE154))),"")</f>
        <v/>
      </c>
    </row>
    <row r="155" spans="1:31" ht="30" customHeight="1" x14ac:dyDescent="0.2">
      <c r="A155" s="19" t="str">
        <f>IF(F155="","",LEFT($D$3,3)&amp;"-"&amp;TEXT(COUNTIF(F$14:F155,"?*"),"00"))</f>
        <v/>
      </c>
      <c r="B155" s="5"/>
      <c r="C155" s="6" t="str">
        <f t="shared" si="24"/>
        <v/>
      </c>
      <c r="D155" s="5"/>
      <c r="E155" s="5"/>
      <c r="F155" s="5"/>
      <c r="G155" s="5"/>
      <c r="H155" s="5"/>
      <c r="I155" s="5"/>
      <c r="J155" s="5"/>
      <c r="K155" s="15"/>
      <c r="L155" s="5"/>
      <c r="M155" s="15"/>
      <c r="N155" s="5"/>
      <c r="O155" s="15"/>
      <c r="P155" s="19" t="str">
        <f t="shared" si="25"/>
        <v/>
      </c>
      <c r="Q155" s="19" t="str">
        <f t="shared" si="26"/>
        <v/>
      </c>
      <c r="R155" s="19" t="str">
        <f t="shared" si="27"/>
        <v/>
      </c>
      <c r="S155" s="5"/>
      <c r="T155" s="5"/>
      <c r="U155" s="5"/>
      <c r="V155" s="24"/>
      <c r="W155" s="15"/>
      <c r="X155" s="15"/>
      <c r="Y155" s="15"/>
      <c r="Z155" s="19" t="str">
        <f t="shared" si="28"/>
        <v/>
      </c>
      <c r="AA155" s="19" t="str">
        <f t="shared" si="29"/>
        <v/>
      </c>
      <c r="AB155" s="5"/>
      <c r="AC155" s="5"/>
      <c r="AE155" t="str">
        <f>IFERROR(INDEX(EqTag,_xlfn.AGGREGATE(15,6,(ROW(EqTag)-4)/((EqSys=$D$3)*(EqTag&lt;&gt;"")),ROWS($AE$14:AE155))),"")</f>
        <v/>
      </c>
    </row>
    <row r="156" spans="1:31" ht="30" customHeight="1" x14ac:dyDescent="0.2">
      <c r="A156" s="19" t="str">
        <f>IF(F156="","",LEFT($D$3,3)&amp;"-"&amp;TEXT(COUNTIF(F$14:F156,"?*"),"00"))</f>
        <v/>
      </c>
      <c r="B156" s="5"/>
      <c r="C156" s="6" t="str">
        <f t="shared" si="24"/>
        <v/>
      </c>
      <c r="D156" s="5"/>
      <c r="E156" s="5"/>
      <c r="F156" s="5"/>
      <c r="G156" s="5"/>
      <c r="H156" s="5"/>
      <c r="I156" s="5"/>
      <c r="J156" s="5"/>
      <c r="K156" s="15"/>
      <c r="L156" s="5"/>
      <c r="M156" s="15"/>
      <c r="N156" s="5"/>
      <c r="O156" s="15"/>
      <c r="P156" s="19" t="str">
        <f t="shared" si="25"/>
        <v/>
      </c>
      <c r="Q156" s="19" t="str">
        <f t="shared" si="26"/>
        <v/>
      </c>
      <c r="R156" s="19" t="str">
        <f t="shared" si="27"/>
        <v/>
      </c>
      <c r="S156" s="5"/>
      <c r="T156" s="5"/>
      <c r="U156" s="5"/>
      <c r="V156" s="24"/>
      <c r="W156" s="15"/>
      <c r="X156" s="15"/>
      <c r="Y156" s="15"/>
      <c r="Z156" s="19" t="str">
        <f t="shared" si="28"/>
        <v/>
      </c>
      <c r="AA156" s="19" t="str">
        <f t="shared" si="29"/>
        <v/>
      </c>
      <c r="AB156" s="5"/>
      <c r="AC156" s="5"/>
      <c r="AE156" t="str">
        <f>IFERROR(INDEX(EqTag,_xlfn.AGGREGATE(15,6,(ROW(EqTag)-4)/((EqSys=$D$3)*(EqTag&lt;&gt;"")),ROWS($AE$14:AE156))),"")</f>
        <v/>
      </c>
    </row>
    <row r="157" spans="1:31" ht="30" customHeight="1" x14ac:dyDescent="0.2">
      <c r="A157" s="19" t="str">
        <f>IF(F157="","",LEFT($D$3,3)&amp;"-"&amp;TEXT(COUNTIF(F$14:F157,"?*"),"00"))</f>
        <v/>
      </c>
      <c r="B157" s="5"/>
      <c r="C157" s="6" t="str">
        <f t="shared" si="24"/>
        <v/>
      </c>
      <c r="D157" s="5"/>
      <c r="E157" s="5"/>
      <c r="F157" s="5"/>
      <c r="G157" s="5"/>
      <c r="H157" s="5"/>
      <c r="I157" s="5"/>
      <c r="J157" s="5"/>
      <c r="K157" s="15"/>
      <c r="L157" s="5"/>
      <c r="M157" s="15"/>
      <c r="N157" s="5"/>
      <c r="O157" s="15"/>
      <c r="P157" s="19" t="str">
        <f t="shared" si="25"/>
        <v/>
      </c>
      <c r="Q157" s="19" t="str">
        <f t="shared" si="26"/>
        <v/>
      </c>
      <c r="R157" s="19" t="str">
        <f t="shared" si="27"/>
        <v/>
      </c>
      <c r="S157" s="5"/>
      <c r="T157" s="5"/>
      <c r="U157" s="5"/>
      <c r="V157" s="24"/>
      <c r="W157" s="15"/>
      <c r="X157" s="15"/>
      <c r="Y157" s="15"/>
      <c r="Z157" s="19" t="str">
        <f t="shared" si="28"/>
        <v/>
      </c>
      <c r="AA157" s="19" t="str">
        <f t="shared" si="29"/>
        <v/>
      </c>
      <c r="AB157" s="5"/>
      <c r="AC157" s="5"/>
      <c r="AE157" t="str">
        <f>IFERROR(INDEX(EqTag,_xlfn.AGGREGATE(15,6,(ROW(EqTag)-4)/((EqSys=$D$3)*(EqTag&lt;&gt;"")),ROWS($AE$14:AE157))),"")</f>
        <v/>
      </c>
    </row>
    <row r="158" spans="1:31" ht="30" customHeight="1" x14ac:dyDescent="0.2">
      <c r="A158" s="19" t="str">
        <f>IF(F158="","",LEFT($D$3,3)&amp;"-"&amp;TEXT(COUNTIF(F$14:F158,"?*"),"00"))</f>
        <v/>
      </c>
      <c r="B158" s="5"/>
      <c r="C158" s="6" t="str">
        <f t="shared" si="24"/>
        <v/>
      </c>
      <c r="D158" s="5"/>
      <c r="E158" s="5"/>
      <c r="F158" s="5"/>
      <c r="G158" s="5"/>
      <c r="H158" s="5"/>
      <c r="I158" s="5"/>
      <c r="J158" s="5"/>
      <c r="K158" s="15"/>
      <c r="L158" s="5"/>
      <c r="M158" s="15"/>
      <c r="N158" s="5"/>
      <c r="O158" s="15"/>
      <c r="P158" s="19" t="str">
        <f t="shared" si="25"/>
        <v/>
      </c>
      <c r="Q158" s="19" t="str">
        <f t="shared" si="26"/>
        <v/>
      </c>
      <c r="R158" s="19" t="str">
        <f t="shared" si="27"/>
        <v/>
      </c>
      <c r="S158" s="5"/>
      <c r="T158" s="5"/>
      <c r="U158" s="5"/>
      <c r="V158" s="24"/>
      <c r="W158" s="15"/>
      <c r="X158" s="15"/>
      <c r="Y158" s="15"/>
      <c r="Z158" s="19" t="str">
        <f t="shared" si="28"/>
        <v/>
      </c>
      <c r="AA158" s="19" t="str">
        <f t="shared" si="29"/>
        <v/>
      </c>
      <c r="AB158" s="5"/>
      <c r="AC158" s="5"/>
      <c r="AE158" t="str">
        <f>IFERROR(INDEX(EqTag,_xlfn.AGGREGATE(15,6,(ROW(EqTag)-4)/((EqSys=$D$3)*(EqTag&lt;&gt;"")),ROWS($AE$14:AE158))),"")</f>
        <v/>
      </c>
    </row>
    <row r="159" spans="1:31" ht="30" customHeight="1" x14ac:dyDescent="0.2">
      <c r="A159" s="19" t="str">
        <f>IF(F159="","",LEFT($D$3,3)&amp;"-"&amp;TEXT(COUNTIF(F$14:F159,"?*"),"00"))</f>
        <v/>
      </c>
      <c r="B159" s="5"/>
      <c r="C159" s="6" t="str">
        <f t="shared" si="24"/>
        <v/>
      </c>
      <c r="D159" s="5"/>
      <c r="E159" s="5"/>
      <c r="F159" s="5"/>
      <c r="G159" s="5"/>
      <c r="H159" s="5"/>
      <c r="I159" s="5"/>
      <c r="J159" s="5"/>
      <c r="K159" s="15"/>
      <c r="L159" s="5"/>
      <c r="M159" s="15"/>
      <c r="N159" s="5"/>
      <c r="O159" s="15"/>
      <c r="P159" s="19" t="str">
        <f t="shared" si="25"/>
        <v/>
      </c>
      <c r="Q159" s="19" t="str">
        <f t="shared" si="26"/>
        <v/>
      </c>
      <c r="R159" s="19" t="str">
        <f t="shared" si="27"/>
        <v/>
      </c>
      <c r="S159" s="5"/>
      <c r="T159" s="5"/>
      <c r="U159" s="5"/>
      <c r="V159" s="24"/>
      <c r="W159" s="15"/>
      <c r="X159" s="15"/>
      <c r="Y159" s="15"/>
      <c r="Z159" s="19" t="str">
        <f t="shared" si="28"/>
        <v/>
      </c>
      <c r="AA159" s="19" t="str">
        <f t="shared" si="29"/>
        <v/>
      </c>
      <c r="AB159" s="5"/>
      <c r="AC159" s="5"/>
      <c r="AE159" t="str">
        <f>IFERROR(INDEX(EqTag,_xlfn.AGGREGATE(15,6,(ROW(EqTag)-4)/((EqSys=$D$3)*(EqTag&lt;&gt;"")),ROWS($AE$14:AE159))),"")</f>
        <v/>
      </c>
    </row>
    <row r="160" spans="1:31" ht="30" customHeight="1" x14ac:dyDescent="0.2">
      <c r="A160" s="19" t="str">
        <f>IF(F160="","",LEFT($D$3,3)&amp;"-"&amp;TEXT(COUNTIF(F$14:F160,"?*"),"00"))</f>
        <v/>
      </c>
      <c r="B160" s="5"/>
      <c r="C160" s="6" t="str">
        <f t="shared" si="24"/>
        <v/>
      </c>
      <c r="D160" s="5"/>
      <c r="E160" s="5"/>
      <c r="F160" s="5"/>
      <c r="G160" s="5"/>
      <c r="H160" s="5"/>
      <c r="I160" s="5"/>
      <c r="J160" s="5"/>
      <c r="K160" s="15"/>
      <c r="L160" s="5"/>
      <c r="M160" s="15"/>
      <c r="N160" s="5"/>
      <c r="O160" s="15"/>
      <c r="P160" s="19" t="str">
        <f t="shared" si="25"/>
        <v/>
      </c>
      <c r="Q160" s="19" t="str">
        <f t="shared" si="26"/>
        <v/>
      </c>
      <c r="R160" s="19" t="str">
        <f t="shared" si="27"/>
        <v/>
      </c>
      <c r="S160" s="5"/>
      <c r="T160" s="5"/>
      <c r="U160" s="5"/>
      <c r="V160" s="24"/>
      <c r="W160" s="15"/>
      <c r="X160" s="15"/>
      <c r="Y160" s="15"/>
      <c r="Z160" s="19" t="str">
        <f t="shared" si="28"/>
        <v/>
      </c>
      <c r="AA160" s="19" t="str">
        <f t="shared" si="29"/>
        <v/>
      </c>
      <c r="AB160" s="5"/>
      <c r="AC160" s="5"/>
      <c r="AE160" t="str">
        <f>IFERROR(INDEX(EqTag,_xlfn.AGGREGATE(15,6,(ROW(EqTag)-4)/((EqSys=$D$3)*(EqTag&lt;&gt;"")),ROWS($AE$14:AE160))),"")</f>
        <v/>
      </c>
    </row>
    <row r="161" spans="1:31" ht="30" customHeight="1" x14ac:dyDescent="0.2">
      <c r="A161" s="19" t="str">
        <f>IF(F161="","",LEFT($D$3,3)&amp;"-"&amp;TEXT(COUNTIF(F$14:F161,"?*"),"00"))</f>
        <v/>
      </c>
      <c r="B161" s="5"/>
      <c r="C161" s="6" t="str">
        <f t="shared" si="24"/>
        <v/>
      </c>
      <c r="D161" s="5"/>
      <c r="E161" s="5"/>
      <c r="F161" s="5"/>
      <c r="G161" s="5"/>
      <c r="H161" s="5"/>
      <c r="I161" s="5"/>
      <c r="J161" s="5"/>
      <c r="K161" s="15"/>
      <c r="L161" s="5"/>
      <c r="M161" s="15"/>
      <c r="N161" s="5"/>
      <c r="O161" s="15"/>
      <c r="P161" s="19" t="str">
        <f t="shared" si="25"/>
        <v/>
      </c>
      <c r="Q161" s="19" t="str">
        <f t="shared" si="26"/>
        <v/>
      </c>
      <c r="R161" s="19" t="str">
        <f t="shared" si="27"/>
        <v/>
      </c>
      <c r="S161" s="5"/>
      <c r="T161" s="5"/>
      <c r="U161" s="5"/>
      <c r="V161" s="24"/>
      <c r="W161" s="15"/>
      <c r="X161" s="15"/>
      <c r="Y161" s="15"/>
      <c r="Z161" s="19" t="str">
        <f t="shared" si="28"/>
        <v/>
      </c>
      <c r="AA161" s="19" t="str">
        <f t="shared" si="29"/>
        <v/>
      </c>
      <c r="AB161" s="5"/>
      <c r="AC161" s="5"/>
      <c r="AE161" t="str">
        <f>IFERROR(INDEX(EqTag,_xlfn.AGGREGATE(15,6,(ROW(EqTag)-4)/((EqSys=$D$3)*(EqTag&lt;&gt;"")),ROWS($AE$14:AE161))),"")</f>
        <v/>
      </c>
    </row>
    <row r="162" spans="1:31" ht="30" customHeight="1" x14ac:dyDescent="0.2">
      <c r="A162" s="19" t="str">
        <f>IF(F162="","",LEFT($D$3,3)&amp;"-"&amp;TEXT(COUNTIF(F$14:F162,"?*"),"00"))</f>
        <v/>
      </c>
      <c r="B162" s="5"/>
      <c r="C162" s="6" t="str">
        <f t="shared" si="24"/>
        <v/>
      </c>
      <c r="D162" s="5"/>
      <c r="E162" s="5"/>
      <c r="F162" s="5"/>
      <c r="G162" s="5"/>
      <c r="H162" s="5"/>
      <c r="I162" s="5"/>
      <c r="J162" s="5"/>
      <c r="K162" s="15"/>
      <c r="L162" s="5"/>
      <c r="M162" s="15"/>
      <c r="N162" s="5"/>
      <c r="O162" s="15"/>
      <c r="P162" s="19" t="str">
        <f t="shared" si="25"/>
        <v/>
      </c>
      <c r="Q162" s="19" t="str">
        <f t="shared" si="26"/>
        <v/>
      </c>
      <c r="R162" s="19" t="str">
        <f t="shared" si="27"/>
        <v/>
      </c>
      <c r="S162" s="5"/>
      <c r="T162" s="5"/>
      <c r="U162" s="5"/>
      <c r="V162" s="24"/>
      <c r="W162" s="15"/>
      <c r="X162" s="15"/>
      <c r="Y162" s="15"/>
      <c r="Z162" s="19" t="str">
        <f t="shared" si="28"/>
        <v/>
      </c>
      <c r="AA162" s="19" t="str">
        <f t="shared" si="29"/>
        <v/>
      </c>
      <c r="AB162" s="5"/>
      <c r="AC162" s="5"/>
      <c r="AE162" t="str">
        <f>IFERROR(INDEX(EqTag,_xlfn.AGGREGATE(15,6,(ROW(EqTag)-4)/((EqSys=$D$3)*(EqTag&lt;&gt;"")),ROWS($AE$14:AE162))),"")</f>
        <v/>
      </c>
    </row>
    <row r="163" spans="1:31" ht="30" customHeight="1" x14ac:dyDescent="0.2">
      <c r="A163" s="19" t="str">
        <f>IF(F163="","",LEFT($D$3,3)&amp;"-"&amp;TEXT(COUNTIF(F$14:F163,"?*"),"00"))</f>
        <v/>
      </c>
      <c r="B163" s="5"/>
      <c r="C163" s="6" t="str">
        <f t="shared" si="24"/>
        <v/>
      </c>
      <c r="D163" s="5"/>
      <c r="E163" s="5"/>
      <c r="F163" s="5"/>
      <c r="G163" s="5"/>
      <c r="H163" s="5"/>
      <c r="I163" s="5"/>
      <c r="J163" s="5"/>
      <c r="K163" s="15"/>
      <c r="L163" s="5"/>
      <c r="M163" s="15"/>
      <c r="N163" s="5"/>
      <c r="O163" s="15"/>
      <c r="P163" s="19" t="str">
        <f t="shared" si="25"/>
        <v/>
      </c>
      <c r="Q163" s="19" t="str">
        <f t="shared" si="26"/>
        <v/>
      </c>
      <c r="R163" s="19" t="str">
        <f t="shared" si="27"/>
        <v/>
      </c>
      <c r="S163" s="5"/>
      <c r="T163" s="5"/>
      <c r="U163" s="5"/>
      <c r="V163" s="24"/>
      <c r="W163" s="15"/>
      <c r="X163" s="15"/>
      <c r="Y163" s="15"/>
      <c r="Z163" s="19" t="str">
        <f t="shared" si="28"/>
        <v/>
      </c>
      <c r="AA163" s="19" t="str">
        <f t="shared" si="29"/>
        <v/>
      </c>
      <c r="AB163" s="5"/>
      <c r="AC163" s="5"/>
      <c r="AE163" t="str">
        <f>IFERROR(INDEX(EqTag,_xlfn.AGGREGATE(15,6,(ROW(EqTag)-4)/((EqSys=$D$3)*(EqTag&lt;&gt;"")),ROWS($AE$14:AE163))),"")</f>
        <v/>
      </c>
    </row>
  </sheetData>
  <mergeCells count="22">
    <mergeCell ref="S12:V12"/>
    <mergeCell ref="D8:O8"/>
    <mergeCell ref="AB12:AC12"/>
    <mergeCell ref="K12:R12"/>
    <mergeCell ref="D5:O5"/>
    <mergeCell ref="W12:AA12"/>
    <mergeCell ref="A11:O11"/>
    <mergeCell ref="A7:C7"/>
    <mergeCell ref="D6:O6"/>
    <mergeCell ref="D3:J3"/>
    <mergeCell ref="A3:C3"/>
    <mergeCell ref="A12:F12"/>
    <mergeCell ref="D7:O7"/>
    <mergeCell ref="L3:M3"/>
    <mergeCell ref="A5:C5"/>
    <mergeCell ref="A8:C8"/>
    <mergeCell ref="G12:J12"/>
    <mergeCell ref="D4:O4"/>
    <mergeCell ref="D9:O9"/>
    <mergeCell ref="A4:C4"/>
    <mergeCell ref="A9:C9"/>
    <mergeCell ref="A6:C6"/>
  </mergeCells>
  <conditionalFormatting sqref="Q14:Q163">
    <cfRule type="expression" dxfId="71" priority="1">
      <formula>Q14="H"</formula>
    </cfRule>
    <cfRule type="expression" dxfId="70" priority="3">
      <formula>Q14="M"</formula>
    </cfRule>
    <cfRule type="expression" dxfId="69" priority="5">
      <formula>Q14="L"</formula>
    </cfRule>
  </conditionalFormatting>
  <conditionalFormatting sqref="AA14:AA163">
    <cfRule type="expression" dxfId="68" priority="2">
      <formula>AA14="H"</formula>
    </cfRule>
    <cfRule type="expression" dxfId="67" priority="4">
      <formula>AA14="M"</formula>
    </cfRule>
    <cfRule type="expression" dxfId="66" priority="6">
      <formula>AA14="L"</formula>
    </cfRule>
  </conditionalFormatting>
  <conditionalFormatting sqref="R14:R163">
    <cfRule type="expression" dxfId="65" priority="7">
      <formula>R14="Yes"</formula>
    </cfRule>
  </conditionalFormatting>
  <conditionalFormatting sqref="P14:P163">
    <cfRule type="expression" dxfId="64" priority="8">
      <formula>AND(ISNUMBER(P14),P14&gt;=RPNThr)</formula>
    </cfRule>
  </conditionalFormatting>
  <conditionalFormatting sqref="Z14:Z163">
    <cfRule type="expression" dxfId="63" priority="9">
      <formula>AND(ISNUMBER(Z14),Z14&gt;=RPNThr)</formula>
    </cfRule>
  </conditionalFormatting>
  <dataValidations count="10">
    <dataValidation type="list" allowBlank="1" showInputMessage="1" showErrorMessage="1" promptTitle="Select" prompt="Choose the system analysed on this sheet" sqref="D3" xr:uid="{00000000-0002-0000-0900-000000000000}">
      <formula1>SystemList</formula1>
    </dataValidation>
    <dataValidation type="list" errorStyle="information" allowBlank="1" showInputMessage="1" showErrorMessage="1" errorTitle="Not in list" error="Entry is not in the list – it will be accepted as free text." promptTitle="Select" prompt="Equipment tags of the selected system (from the Equipment Register)" sqref="B14:B163" xr:uid="{00000000-0002-0000-0900-000001000000}">
      <formula1>OFFSET($AE$14,0,0,MAX(1,COUNTIFS(EqSys,$D$3,EqTag,"?*")),1)</formula1>
    </dataValidation>
    <dataValidation type="list" errorStyle="information" allowBlank="1" showInputMessage="1" showErrorMessage="1" errorTitle="Not in list" error="Entry is not in the list – it will be accepted as free text." promptTitle="Select" prompt="Components for this equipment type – or type your own" sqref="D14:D163" xr:uid="{00000000-0002-0000-0900-000002000000}">
      <formula1>OFFSET(CompStart,MATCH($C14,CompType,0)-1,0,MAX(1,COUNTIF(CompType,$C14)),1)</formula1>
    </dataValidation>
    <dataValidation type="list" errorStyle="information" allowBlank="1" showInputMessage="1" showErrorMessage="1" errorTitle="Not in list" error="Entry is not in the list – it will be accepted as free text." promptTitle="Select" prompt="Failure modes for this equipment type – or type your own" sqref="F14:F163" xr:uid="{00000000-0002-0000-0900-000003000000}">
      <formula1>OFFSET(FMStart,MATCH($C14,FMType,0)-1,0,MAX(1,COUNTIF(FMType,$C14)),1)</formula1>
    </dataValidation>
    <dataValidation type="list" allowBlank="1" showInputMessage="1" promptTitle="Multi-select" prompt="Pick a cause – each pick is added as a new line; pick again to remove." sqref="G14:G163" xr:uid="{00000000-0002-0000-0900-000004000000}">
      <formula1>MechList</formula1>
    </dataValidation>
    <dataValidation type="list" allowBlank="1" showInputMessage="1" promptTitle="Multi-select" prompt="Pick a detection method – each pick is added as a new line; pick again to remove." sqref="N14:N163" xr:uid="{00000000-0002-0000-0900-000005000000}">
      <formula1>DetList</formula1>
    </dataValidation>
    <dataValidation type="list" errorStyle="information" allowBlank="1" showErrorMessage="1" errorTitle="Not in list" error="Entry is not in the list – it will be accepted as free text." sqref="T14:T163" xr:uid="{00000000-0002-0000-0900-000006000000}">
      <formula1>TaskList</formula1>
    </dataValidation>
    <dataValidation type="list" allowBlank="1" showErrorMessage="1" sqref="K14:K163 W14:W163" xr:uid="{00000000-0002-0000-0900-000007000000}">
      <formula1>SevList</formula1>
    </dataValidation>
    <dataValidation type="list" allowBlank="1" showErrorMessage="1" sqref="M14:M163 X14:X163" xr:uid="{00000000-0002-0000-0900-000008000000}">
      <formula1>OccList</formula1>
    </dataValidation>
    <dataValidation type="list" allowBlank="1" showErrorMessage="1" sqref="O14:O163 Y14:Y163" xr:uid="{00000000-0002-0000-0900-000009000000}">
      <formula1>DetScaleList</formula1>
    </dataValidation>
  </dataValidations>
  <pageMargins left="0.75" right="0.75" top="1" bottom="1" header="0.5" footer="0.5"/>
  <pageSetup paperSize="8" fitToHeight="0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A1:AE163"/>
  <sheetViews>
    <sheetView workbookViewId="0">
      <pane xSplit="2" ySplit="13" topLeftCell="C14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7" customWidth="1"/>
    <col min="2" max="2" width="14" customWidth="1"/>
    <col min="3" max="4" width="22" customWidth="1"/>
    <col min="5" max="5" width="26" customWidth="1"/>
    <col min="6" max="6" width="28" customWidth="1"/>
    <col min="7" max="7" width="44" customWidth="1"/>
    <col min="8" max="9" width="28" customWidth="1"/>
    <col min="10" max="10" width="32" customWidth="1"/>
    <col min="11" max="11" width="18" customWidth="1"/>
    <col min="12" max="12" width="30" customWidth="1"/>
    <col min="13" max="13" width="18" customWidth="1"/>
    <col min="14" max="14" width="38" customWidth="1"/>
    <col min="15" max="15" width="18" customWidth="1"/>
    <col min="16" max="16" width="7" customWidth="1"/>
    <col min="17" max="17" width="6" customWidth="1"/>
    <col min="18" max="18" width="9" customWidth="1"/>
    <col min="19" max="19" width="34" customWidth="1"/>
    <col min="20" max="20" width="22" customWidth="1"/>
    <col min="21" max="21" width="14" customWidth="1"/>
    <col min="22" max="22" width="12" customWidth="1"/>
    <col min="23" max="25" width="18" customWidth="1"/>
    <col min="26" max="26" width="7" customWidth="1"/>
    <col min="27" max="27" width="6" customWidth="1"/>
    <col min="28" max="28" width="12" customWidth="1"/>
    <col min="29" max="29" width="24" customWidth="1"/>
    <col min="31" max="31" width="13" hidden="1" customWidth="1"/>
  </cols>
  <sheetData>
    <row r="1" spans="1:31" ht="18" x14ac:dyDescent="0.2">
      <c r="A1" s="21" t="s">
        <v>820</v>
      </c>
      <c r="F1" s="22" t="str">
        <f>Cover!B7</f>
        <v>FMECA – [Plant / Unit name]</v>
      </c>
    </row>
    <row r="3" spans="1:31" ht="16" x14ac:dyDescent="0.2">
      <c r="A3" s="28" t="s">
        <v>821</v>
      </c>
      <c r="B3" s="29"/>
      <c r="C3" s="30"/>
      <c r="D3" s="26"/>
      <c r="E3" s="27"/>
      <c r="F3" s="27"/>
      <c r="G3" s="27"/>
      <c r="H3" s="27"/>
      <c r="I3" s="27"/>
      <c r="J3" s="27"/>
      <c r="K3" s="23" t="s">
        <v>822</v>
      </c>
      <c r="L3" s="34"/>
      <c r="M3" s="27"/>
      <c r="N3" s="23" t="s">
        <v>823</v>
      </c>
      <c r="O3" s="19" t="str">
        <f>IF($D$3="","",COUNTIFS(EqSys,$D$3,EqTag,"?*"))</f>
        <v/>
      </c>
    </row>
    <row r="4" spans="1:31" ht="16" customHeight="1" x14ac:dyDescent="0.2">
      <c r="A4" s="35" t="s">
        <v>824</v>
      </c>
      <c r="B4" s="27"/>
      <c r="C4" s="27"/>
      <c r="D4" s="33" t="str">
        <f>IF($D$3="","",IFERROR(INDEX(Systems!$B$5:$B$34,MATCH($D$3,Systems!$C$5:$C$34,0))&amp;"",""))</f>
        <v/>
      </c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</row>
    <row r="5" spans="1:31" ht="30" customHeight="1" x14ac:dyDescent="0.2">
      <c r="A5" s="35" t="s">
        <v>140</v>
      </c>
      <c r="B5" s="27"/>
      <c r="C5" s="27"/>
      <c r="D5" s="33" t="str">
        <f>IF($D$3="","",IFERROR(INDEX(Systems!$D$5:$D$34,MATCH($D$3,Systems!$C$5:$C$34,0))&amp;"",""))</f>
        <v/>
      </c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</row>
    <row r="6" spans="1:31" ht="30" customHeight="1" x14ac:dyDescent="0.2">
      <c r="A6" s="35" t="s">
        <v>24</v>
      </c>
      <c r="B6" s="27"/>
      <c r="C6" s="27"/>
      <c r="D6" s="33" t="str">
        <f>IF($D$3="","",IFERROR(INDEX(Systems!$E$5:$E$34,MATCH($D$3,Systems!$C$5:$C$34,0))&amp;"",""))</f>
        <v/>
      </c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</row>
    <row r="7" spans="1:31" ht="30" customHeight="1" x14ac:dyDescent="0.2">
      <c r="A7" s="35" t="s">
        <v>142</v>
      </c>
      <c r="B7" s="27"/>
      <c r="C7" s="27"/>
      <c r="D7" s="33" t="str">
        <f>IF($D$3="","",IFERROR(INDEX(Systems!$F$5:$F$34,MATCH($D$3,Systems!$C$5:$C$34,0))&amp;"",""))</f>
        <v/>
      </c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</row>
    <row r="8" spans="1:31" ht="16" customHeight="1" x14ac:dyDescent="0.2">
      <c r="A8" s="35" t="s">
        <v>143</v>
      </c>
      <c r="B8" s="27"/>
      <c r="C8" s="27"/>
      <c r="D8" s="33" t="str">
        <f>IF($D$3="","",IFERROR(INDEX(Systems!$G$5:$G$34,MATCH($D$3,Systems!$C$5:$C$34,0))&amp;"",""))</f>
        <v/>
      </c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</row>
    <row r="9" spans="1:31" ht="16" customHeight="1" x14ac:dyDescent="0.2">
      <c r="A9" s="35" t="s">
        <v>144</v>
      </c>
      <c r="B9" s="27"/>
      <c r="C9" s="27"/>
      <c r="D9" s="33" t="str">
        <f>IF($D$3="","",IFERROR(INDEX(Systems!$H$5:$H$34,MATCH($D$3,Systems!$C$5:$C$34,0))&amp;"",""))</f>
        <v/>
      </c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</row>
    <row r="11" spans="1:31" ht="26" customHeight="1" x14ac:dyDescent="0.2">
      <c r="A11" s="36" t="s">
        <v>825</v>
      </c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</row>
    <row r="12" spans="1:31" x14ac:dyDescent="0.2">
      <c r="A12" s="31" t="s">
        <v>826</v>
      </c>
      <c r="B12" s="32"/>
      <c r="C12" s="32"/>
      <c r="D12" s="32"/>
      <c r="E12" s="32"/>
      <c r="F12" s="32"/>
      <c r="G12" s="31" t="s">
        <v>827</v>
      </c>
      <c r="H12" s="32"/>
      <c r="I12" s="32"/>
      <c r="J12" s="32"/>
      <c r="K12" s="31" t="s">
        <v>828</v>
      </c>
      <c r="L12" s="32"/>
      <c r="M12" s="32"/>
      <c r="N12" s="32"/>
      <c r="O12" s="32"/>
      <c r="P12" s="32"/>
      <c r="Q12" s="32"/>
      <c r="R12" s="32"/>
      <c r="S12" s="31" t="s">
        <v>829</v>
      </c>
      <c r="T12" s="32"/>
      <c r="U12" s="32"/>
      <c r="V12" s="32"/>
      <c r="W12" s="31" t="s">
        <v>830</v>
      </c>
      <c r="X12" s="32"/>
      <c r="Y12" s="32"/>
      <c r="Z12" s="32"/>
      <c r="AA12" s="32"/>
      <c r="AB12" s="31" t="s">
        <v>831</v>
      </c>
      <c r="AC12" s="32"/>
    </row>
    <row r="13" spans="1:31" ht="54" customHeight="1" x14ac:dyDescent="0.2">
      <c r="A13" s="8" t="s">
        <v>62</v>
      </c>
      <c r="B13" s="8" t="s">
        <v>192</v>
      </c>
      <c r="C13" s="8" t="s">
        <v>832</v>
      </c>
      <c r="D13" s="8" t="s">
        <v>260</v>
      </c>
      <c r="E13" s="8" t="s">
        <v>833</v>
      </c>
      <c r="F13" s="8" t="s">
        <v>261</v>
      </c>
      <c r="G13" s="8" t="s">
        <v>834</v>
      </c>
      <c r="H13" s="8" t="s">
        <v>835</v>
      </c>
      <c r="I13" s="8" t="s">
        <v>836</v>
      </c>
      <c r="J13" s="8" t="s">
        <v>837</v>
      </c>
      <c r="K13" s="8" t="s">
        <v>685</v>
      </c>
      <c r="L13" s="8" t="s">
        <v>838</v>
      </c>
      <c r="M13" s="8" t="s">
        <v>718</v>
      </c>
      <c r="N13" s="8" t="s">
        <v>839</v>
      </c>
      <c r="O13" s="8" t="s">
        <v>739</v>
      </c>
      <c r="P13" s="8" t="s">
        <v>840</v>
      </c>
      <c r="Q13" s="8" t="s">
        <v>841</v>
      </c>
      <c r="R13" s="8" t="s">
        <v>842</v>
      </c>
      <c r="S13" s="8" t="s">
        <v>843</v>
      </c>
      <c r="T13" s="8" t="s">
        <v>264</v>
      </c>
      <c r="U13" s="8" t="s">
        <v>844</v>
      </c>
      <c r="V13" s="8" t="s">
        <v>845</v>
      </c>
      <c r="W13" s="8" t="s">
        <v>685</v>
      </c>
      <c r="X13" s="8" t="s">
        <v>718</v>
      </c>
      <c r="Y13" s="8" t="s">
        <v>739</v>
      </c>
      <c r="Z13" s="8" t="s">
        <v>846</v>
      </c>
      <c r="AA13" s="8" t="s">
        <v>847</v>
      </c>
      <c r="AB13" s="8" t="s">
        <v>848</v>
      </c>
      <c r="AC13" s="8" t="s">
        <v>68</v>
      </c>
    </row>
    <row r="14" spans="1:31" ht="30" customHeight="1" x14ac:dyDescent="0.2">
      <c r="A14" s="19" t="str">
        <f>IF(F14="","",LEFT($D$3,3)&amp;"-"&amp;TEXT(COUNTIF(F$14:F14,"?*"),"00"))</f>
        <v/>
      </c>
      <c r="B14" s="5"/>
      <c r="C14" s="6" t="str">
        <f t="shared" ref="C14:C45" si="0">IF(B14="","",IFERROR(INDEX(EqTypeCol,MATCH(B14,EqTag,0)),"Tag not in register"))</f>
        <v/>
      </c>
      <c r="D14" s="5"/>
      <c r="E14" s="5"/>
      <c r="F14" s="5"/>
      <c r="G14" s="5"/>
      <c r="H14" s="5"/>
      <c r="I14" s="5"/>
      <c r="J14" s="5"/>
      <c r="K14" s="15"/>
      <c r="L14" s="5"/>
      <c r="M14" s="15"/>
      <c r="N14" s="5"/>
      <c r="O14" s="15"/>
      <c r="P14" s="19" t="str">
        <f t="shared" ref="P14:P45" si="1">IF(OR(K14="",M14="",O14=""),"",(--TRIM(LEFT(K14,2)))*(--TRIM(LEFT(M14,2)))*(--TRIM(LEFT(O14,2))))</f>
        <v/>
      </c>
      <c r="Q14" s="19" t="str">
        <f t="shared" ref="Q14:Q45" si="2">IF(OR(K14="",M14="",O14=""),"",INDEX(APGrid,COUNTIF(APS,"&gt;"&amp;(--TRIM(LEFT(K14,2))))*5+COUNTIF(APO,"&gt;"&amp;(--TRIM(LEFT(M14,2))))+1,COUNTIF(APD,"&gt;"&amp;(--TRIM(LEFT(O14,2))))+1))</f>
        <v/>
      </c>
      <c r="R14" s="19" t="str">
        <f t="shared" ref="R14:R45" si="3">IF(P14="","",IF(OR((--TRIM(LEFT(K14,2)))&gt;=SThr,P14&gt;=RPNThr,Q14="H"),"Yes","No"))</f>
        <v/>
      </c>
      <c r="S14" s="5"/>
      <c r="T14" s="5"/>
      <c r="U14" s="5"/>
      <c r="V14" s="24"/>
      <c r="W14" s="15"/>
      <c r="X14" s="15"/>
      <c r="Y14" s="15"/>
      <c r="Z14" s="19" t="str">
        <f t="shared" ref="Z14:Z45" si="4">IF(OR(W14="",X14="",Y14=""),"",(--TRIM(LEFT(W14,2)))*(--TRIM(LEFT(X14,2)))*(--TRIM(LEFT(Y14,2))))</f>
        <v/>
      </c>
      <c r="AA14" s="19" t="str">
        <f t="shared" ref="AA14:AA45" si="5">IF(OR(W14="",X14="",Y14=""),"",INDEX(APGrid,COUNTIF(APS,"&gt;"&amp;(--TRIM(LEFT(W14,2))))*5+COUNTIF(APO,"&gt;"&amp;(--TRIM(LEFT(X14,2))))+1,COUNTIF(APD,"&gt;"&amp;(--TRIM(LEFT(Y14,2))))+1))</f>
        <v/>
      </c>
      <c r="AB14" s="5"/>
      <c r="AC14" s="5"/>
      <c r="AE14" t="str">
        <f>IFERROR(INDEX(EqTag,_xlfn.AGGREGATE(15,6,(ROW(EqTag)-4)/((EqSys=$D$3)*(EqTag&lt;&gt;"")),ROWS($AE$14:AE14))),"")</f>
        <v/>
      </c>
    </row>
    <row r="15" spans="1:31" ht="30" customHeight="1" x14ac:dyDescent="0.2">
      <c r="A15" s="19" t="str">
        <f>IF(F15="","",LEFT($D$3,3)&amp;"-"&amp;TEXT(COUNTIF(F$14:F15,"?*"),"00"))</f>
        <v/>
      </c>
      <c r="B15" s="5"/>
      <c r="C15" s="6" t="str">
        <f t="shared" si="0"/>
        <v/>
      </c>
      <c r="D15" s="5"/>
      <c r="E15" s="5"/>
      <c r="F15" s="5"/>
      <c r="G15" s="5"/>
      <c r="H15" s="5"/>
      <c r="I15" s="5"/>
      <c r="J15" s="5"/>
      <c r="K15" s="15"/>
      <c r="L15" s="5"/>
      <c r="M15" s="15"/>
      <c r="N15" s="5"/>
      <c r="O15" s="15"/>
      <c r="P15" s="19" t="str">
        <f t="shared" si="1"/>
        <v/>
      </c>
      <c r="Q15" s="19" t="str">
        <f t="shared" si="2"/>
        <v/>
      </c>
      <c r="R15" s="19" t="str">
        <f t="shared" si="3"/>
        <v/>
      </c>
      <c r="S15" s="5"/>
      <c r="T15" s="5"/>
      <c r="U15" s="5"/>
      <c r="V15" s="24"/>
      <c r="W15" s="15"/>
      <c r="X15" s="15"/>
      <c r="Y15" s="15"/>
      <c r="Z15" s="19" t="str">
        <f t="shared" si="4"/>
        <v/>
      </c>
      <c r="AA15" s="19" t="str">
        <f t="shared" si="5"/>
        <v/>
      </c>
      <c r="AB15" s="5"/>
      <c r="AC15" s="5"/>
      <c r="AE15" t="str">
        <f>IFERROR(INDEX(EqTag,_xlfn.AGGREGATE(15,6,(ROW(EqTag)-4)/((EqSys=$D$3)*(EqTag&lt;&gt;"")),ROWS($AE$14:AE15))),"")</f>
        <v/>
      </c>
    </row>
    <row r="16" spans="1:31" ht="30" customHeight="1" x14ac:dyDescent="0.2">
      <c r="A16" s="19" t="str">
        <f>IF(F16="","",LEFT($D$3,3)&amp;"-"&amp;TEXT(COUNTIF(F$14:F16,"?*"),"00"))</f>
        <v/>
      </c>
      <c r="B16" s="5"/>
      <c r="C16" s="6" t="str">
        <f t="shared" si="0"/>
        <v/>
      </c>
      <c r="D16" s="5"/>
      <c r="E16" s="5"/>
      <c r="F16" s="5"/>
      <c r="G16" s="5"/>
      <c r="H16" s="5"/>
      <c r="I16" s="5"/>
      <c r="J16" s="5"/>
      <c r="K16" s="15"/>
      <c r="L16" s="5"/>
      <c r="M16" s="15"/>
      <c r="N16" s="5"/>
      <c r="O16" s="15"/>
      <c r="P16" s="19" t="str">
        <f t="shared" si="1"/>
        <v/>
      </c>
      <c r="Q16" s="19" t="str">
        <f t="shared" si="2"/>
        <v/>
      </c>
      <c r="R16" s="19" t="str">
        <f t="shared" si="3"/>
        <v/>
      </c>
      <c r="S16" s="5"/>
      <c r="T16" s="5"/>
      <c r="U16" s="5"/>
      <c r="V16" s="24"/>
      <c r="W16" s="15"/>
      <c r="X16" s="15"/>
      <c r="Y16" s="15"/>
      <c r="Z16" s="19" t="str">
        <f t="shared" si="4"/>
        <v/>
      </c>
      <c r="AA16" s="19" t="str">
        <f t="shared" si="5"/>
        <v/>
      </c>
      <c r="AB16" s="5"/>
      <c r="AC16" s="5"/>
      <c r="AE16" t="str">
        <f>IFERROR(INDEX(EqTag,_xlfn.AGGREGATE(15,6,(ROW(EqTag)-4)/((EqSys=$D$3)*(EqTag&lt;&gt;"")),ROWS($AE$14:AE16))),"")</f>
        <v/>
      </c>
    </row>
    <row r="17" spans="1:31" ht="30" customHeight="1" x14ac:dyDescent="0.2">
      <c r="A17" s="19" t="str">
        <f>IF(F17="","",LEFT($D$3,3)&amp;"-"&amp;TEXT(COUNTIF(F$14:F17,"?*"),"00"))</f>
        <v/>
      </c>
      <c r="B17" s="5"/>
      <c r="C17" s="6" t="str">
        <f t="shared" si="0"/>
        <v/>
      </c>
      <c r="D17" s="5"/>
      <c r="E17" s="5"/>
      <c r="F17" s="5"/>
      <c r="G17" s="5"/>
      <c r="H17" s="5"/>
      <c r="I17" s="5"/>
      <c r="J17" s="5"/>
      <c r="K17" s="15"/>
      <c r="L17" s="5"/>
      <c r="M17" s="15"/>
      <c r="N17" s="5"/>
      <c r="O17" s="15"/>
      <c r="P17" s="19" t="str">
        <f t="shared" si="1"/>
        <v/>
      </c>
      <c r="Q17" s="19" t="str">
        <f t="shared" si="2"/>
        <v/>
      </c>
      <c r="R17" s="19" t="str">
        <f t="shared" si="3"/>
        <v/>
      </c>
      <c r="S17" s="5"/>
      <c r="T17" s="5"/>
      <c r="U17" s="5"/>
      <c r="V17" s="24"/>
      <c r="W17" s="15"/>
      <c r="X17" s="15"/>
      <c r="Y17" s="15"/>
      <c r="Z17" s="19" t="str">
        <f t="shared" si="4"/>
        <v/>
      </c>
      <c r="AA17" s="19" t="str">
        <f t="shared" si="5"/>
        <v/>
      </c>
      <c r="AB17" s="5"/>
      <c r="AC17" s="5"/>
      <c r="AE17" t="str">
        <f>IFERROR(INDEX(EqTag,_xlfn.AGGREGATE(15,6,(ROW(EqTag)-4)/((EqSys=$D$3)*(EqTag&lt;&gt;"")),ROWS($AE$14:AE17))),"")</f>
        <v/>
      </c>
    </row>
    <row r="18" spans="1:31" ht="30" customHeight="1" x14ac:dyDescent="0.2">
      <c r="A18" s="19" t="str">
        <f>IF(F18="","",LEFT($D$3,3)&amp;"-"&amp;TEXT(COUNTIF(F$14:F18,"?*"),"00"))</f>
        <v/>
      </c>
      <c r="B18" s="5"/>
      <c r="C18" s="6" t="str">
        <f t="shared" si="0"/>
        <v/>
      </c>
      <c r="D18" s="5"/>
      <c r="E18" s="5"/>
      <c r="F18" s="5"/>
      <c r="G18" s="5"/>
      <c r="H18" s="5"/>
      <c r="I18" s="5"/>
      <c r="J18" s="5"/>
      <c r="K18" s="15"/>
      <c r="L18" s="5"/>
      <c r="M18" s="15"/>
      <c r="N18" s="5"/>
      <c r="O18" s="15"/>
      <c r="P18" s="19" t="str">
        <f t="shared" si="1"/>
        <v/>
      </c>
      <c r="Q18" s="19" t="str">
        <f t="shared" si="2"/>
        <v/>
      </c>
      <c r="R18" s="19" t="str">
        <f t="shared" si="3"/>
        <v/>
      </c>
      <c r="S18" s="5"/>
      <c r="T18" s="5"/>
      <c r="U18" s="5"/>
      <c r="V18" s="24"/>
      <c r="W18" s="15"/>
      <c r="X18" s="15"/>
      <c r="Y18" s="15"/>
      <c r="Z18" s="19" t="str">
        <f t="shared" si="4"/>
        <v/>
      </c>
      <c r="AA18" s="19" t="str">
        <f t="shared" si="5"/>
        <v/>
      </c>
      <c r="AB18" s="5"/>
      <c r="AC18" s="5"/>
      <c r="AE18" t="str">
        <f>IFERROR(INDEX(EqTag,_xlfn.AGGREGATE(15,6,(ROW(EqTag)-4)/((EqSys=$D$3)*(EqTag&lt;&gt;"")),ROWS($AE$14:AE18))),"")</f>
        <v/>
      </c>
    </row>
    <row r="19" spans="1:31" ht="30" customHeight="1" x14ac:dyDescent="0.2">
      <c r="A19" s="19" t="str">
        <f>IF(F19="","",LEFT($D$3,3)&amp;"-"&amp;TEXT(COUNTIF(F$14:F19,"?*"),"00"))</f>
        <v/>
      </c>
      <c r="B19" s="5"/>
      <c r="C19" s="6" t="str">
        <f t="shared" si="0"/>
        <v/>
      </c>
      <c r="D19" s="5"/>
      <c r="E19" s="5"/>
      <c r="F19" s="5"/>
      <c r="G19" s="5"/>
      <c r="H19" s="5"/>
      <c r="I19" s="5"/>
      <c r="J19" s="5"/>
      <c r="K19" s="15"/>
      <c r="L19" s="5"/>
      <c r="M19" s="15"/>
      <c r="N19" s="5"/>
      <c r="O19" s="15"/>
      <c r="P19" s="19" t="str">
        <f t="shared" si="1"/>
        <v/>
      </c>
      <c r="Q19" s="19" t="str">
        <f t="shared" si="2"/>
        <v/>
      </c>
      <c r="R19" s="19" t="str">
        <f t="shared" si="3"/>
        <v/>
      </c>
      <c r="S19" s="5"/>
      <c r="T19" s="5"/>
      <c r="U19" s="5"/>
      <c r="V19" s="24"/>
      <c r="W19" s="15"/>
      <c r="X19" s="15"/>
      <c r="Y19" s="15"/>
      <c r="Z19" s="19" t="str">
        <f t="shared" si="4"/>
        <v/>
      </c>
      <c r="AA19" s="19" t="str">
        <f t="shared" si="5"/>
        <v/>
      </c>
      <c r="AB19" s="5"/>
      <c r="AC19" s="5"/>
      <c r="AE19" t="str">
        <f>IFERROR(INDEX(EqTag,_xlfn.AGGREGATE(15,6,(ROW(EqTag)-4)/((EqSys=$D$3)*(EqTag&lt;&gt;"")),ROWS($AE$14:AE19))),"")</f>
        <v/>
      </c>
    </row>
    <row r="20" spans="1:31" ht="30" customHeight="1" x14ac:dyDescent="0.2">
      <c r="A20" s="19" t="str">
        <f>IF(F20="","",LEFT($D$3,3)&amp;"-"&amp;TEXT(COUNTIF(F$14:F20,"?*"),"00"))</f>
        <v/>
      </c>
      <c r="B20" s="5"/>
      <c r="C20" s="6" t="str">
        <f t="shared" si="0"/>
        <v/>
      </c>
      <c r="D20" s="5"/>
      <c r="E20" s="5"/>
      <c r="F20" s="5"/>
      <c r="G20" s="5"/>
      <c r="H20" s="5"/>
      <c r="I20" s="5"/>
      <c r="J20" s="5"/>
      <c r="K20" s="15"/>
      <c r="L20" s="5"/>
      <c r="M20" s="15"/>
      <c r="N20" s="5"/>
      <c r="O20" s="15"/>
      <c r="P20" s="19" t="str">
        <f t="shared" si="1"/>
        <v/>
      </c>
      <c r="Q20" s="19" t="str">
        <f t="shared" si="2"/>
        <v/>
      </c>
      <c r="R20" s="19" t="str">
        <f t="shared" si="3"/>
        <v/>
      </c>
      <c r="S20" s="5"/>
      <c r="T20" s="5"/>
      <c r="U20" s="5"/>
      <c r="V20" s="24"/>
      <c r="W20" s="15"/>
      <c r="X20" s="15"/>
      <c r="Y20" s="15"/>
      <c r="Z20" s="19" t="str">
        <f t="shared" si="4"/>
        <v/>
      </c>
      <c r="AA20" s="19" t="str">
        <f t="shared" si="5"/>
        <v/>
      </c>
      <c r="AB20" s="5"/>
      <c r="AC20" s="5"/>
      <c r="AE20" t="str">
        <f>IFERROR(INDEX(EqTag,_xlfn.AGGREGATE(15,6,(ROW(EqTag)-4)/((EqSys=$D$3)*(EqTag&lt;&gt;"")),ROWS($AE$14:AE20))),"")</f>
        <v/>
      </c>
    </row>
    <row r="21" spans="1:31" ht="30" customHeight="1" x14ac:dyDescent="0.2">
      <c r="A21" s="19" t="str">
        <f>IF(F21="","",LEFT($D$3,3)&amp;"-"&amp;TEXT(COUNTIF(F$14:F21,"?*"),"00"))</f>
        <v/>
      </c>
      <c r="B21" s="5"/>
      <c r="C21" s="6" t="str">
        <f t="shared" si="0"/>
        <v/>
      </c>
      <c r="D21" s="5"/>
      <c r="E21" s="5"/>
      <c r="F21" s="5"/>
      <c r="G21" s="5"/>
      <c r="H21" s="5"/>
      <c r="I21" s="5"/>
      <c r="J21" s="5"/>
      <c r="K21" s="15"/>
      <c r="L21" s="5"/>
      <c r="M21" s="15"/>
      <c r="N21" s="5"/>
      <c r="O21" s="15"/>
      <c r="P21" s="19" t="str">
        <f t="shared" si="1"/>
        <v/>
      </c>
      <c r="Q21" s="19" t="str">
        <f t="shared" si="2"/>
        <v/>
      </c>
      <c r="R21" s="19" t="str">
        <f t="shared" si="3"/>
        <v/>
      </c>
      <c r="S21" s="5"/>
      <c r="T21" s="5"/>
      <c r="U21" s="5"/>
      <c r="V21" s="24"/>
      <c r="W21" s="15"/>
      <c r="X21" s="15"/>
      <c r="Y21" s="15"/>
      <c r="Z21" s="19" t="str">
        <f t="shared" si="4"/>
        <v/>
      </c>
      <c r="AA21" s="19" t="str">
        <f t="shared" si="5"/>
        <v/>
      </c>
      <c r="AB21" s="5"/>
      <c r="AC21" s="5"/>
      <c r="AE21" t="str">
        <f>IFERROR(INDEX(EqTag,_xlfn.AGGREGATE(15,6,(ROW(EqTag)-4)/((EqSys=$D$3)*(EqTag&lt;&gt;"")),ROWS($AE$14:AE21))),"")</f>
        <v/>
      </c>
    </row>
    <row r="22" spans="1:31" ht="30" customHeight="1" x14ac:dyDescent="0.2">
      <c r="A22" s="19" t="str">
        <f>IF(F22="","",LEFT($D$3,3)&amp;"-"&amp;TEXT(COUNTIF(F$14:F22,"?*"),"00"))</f>
        <v/>
      </c>
      <c r="B22" s="5"/>
      <c r="C22" s="6" t="str">
        <f t="shared" si="0"/>
        <v/>
      </c>
      <c r="D22" s="5"/>
      <c r="E22" s="5"/>
      <c r="F22" s="5"/>
      <c r="G22" s="5"/>
      <c r="H22" s="5"/>
      <c r="I22" s="5"/>
      <c r="J22" s="5"/>
      <c r="K22" s="15"/>
      <c r="L22" s="5"/>
      <c r="M22" s="15"/>
      <c r="N22" s="5"/>
      <c r="O22" s="15"/>
      <c r="P22" s="19" t="str">
        <f t="shared" si="1"/>
        <v/>
      </c>
      <c r="Q22" s="19" t="str">
        <f t="shared" si="2"/>
        <v/>
      </c>
      <c r="R22" s="19" t="str">
        <f t="shared" si="3"/>
        <v/>
      </c>
      <c r="S22" s="5"/>
      <c r="T22" s="5"/>
      <c r="U22" s="5"/>
      <c r="V22" s="24"/>
      <c r="W22" s="15"/>
      <c r="X22" s="15"/>
      <c r="Y22" s="15"/>
      <c r="Z22" s="19" t="str">
        <f t="shared" si="4"/>
        <v/>
      </c>
      <c r="AA22" s="19" t="str">
        <f t="shared" si="5"/>
        <v/>
      </c>
      <c r="AB22" s="5"/>
      <c r="AC22" s="5"/>
      <c r="AE22" t="str">
        <f>IFERROR(INDEX(EqTag,_xlfn.AGGREGATE(15,6,(ROW(EqTag)-4)/((EqSys=$D$3)*(EqTag&lt;&gt;"")),ROWS($AE$14:AE22))),"")</f>
        <v/>
      </c>
    </row>
    <row r="23" spans="1:31" ht="30" customHeight="1" x14ac:dyDescent="0.2">
      <c r="A23" s="19" t="str">
        <f>IF(F23="","",LEFT($D$3,3)&amp;"-"&amp;TEXT(COUNTIF(F$14:F23,"?*"),"00"))</f>
        <v/>
      </c>
      <c r="B23" s="5"/>
      <c r="C23" s="6" t="str">
        <f t="shared" si="0"/>
        <v/>
      </c>
      <c r="D23" s="5"/>
      <c r="E23" s="5"/>
      <c r="F23" s="5"/>
      <c r="G23" s="5"/>
      <c r="H23" s="5"/>
      <c r="I23" s="5"/>
      <c r="J23" s="5"/>
      <c r="K23" s="15"/>
      <c r="L23" s="5"/>
      <c r="M23" s="15"/>
      <c r="N23" s="5"/>
      <c r="O23" s="15"/>
      <c r="P23" s="19" t="str">
        <f t="shared" si="1"/>
        <v/>
      </c>
      <c r="Q23" s="19" t="str">
        <f t="shared" si="2"/>
        <v/>
      </c>
      <c r="R23" s="19" t="str">
        <f t="shared" si="3"/>
        <v/>
      </c>
      <c r="S23" s="5"/>
      <c r="T23" s="5"/>
      <c r="U23" s="5"/>
      <c r="V23" s="24"/>
      <c r="W23" s="15"/>
      <c r="X23" s="15"/>
      <c r="Y23" s="15"/>
      <c r="Z23" s="19" t="str">
        <f t="shared" si="4"/>
        <v/>
      </c>
      <c r="AA23" s="19" t="str">
        <f t="shared" si="5"/>
        <v/>
      </c>
      <c r="AB23" s="5"/>
      <c r="AC23" s="5"/>
      <c r="AE23" t="str">
        <f>IFERROR(INDEX(EqTag,_xlfn.AGGREGATE(15,6,(ROW(EqTag)-4)/((EqSys=$D$3)*(EqTag&lt;&gt;"")),ROWS($AE$14:AE23))),"")</f>
        <v/>
      </c>
    </row>
    <row r="24" spans="1:31" ht="30" customHeight="1" x14ac:dyDescent="0.2">
      <c r="A24" s="19" t="str">
        <f>IF(F24="","",LEFT($D$3,3)&amp;"-"&amp;TEXT(COUNTIF(F$14:F24,"?*"),"00"))</f>
        <v/>
      </c>
      <c r="B24" s="5"/>
      <c r="C24" s="6" t="str">
        <f t="shared" si="0"/>
        <v/>
      </c>
      <c r="D24" s="5"/>
      <c r="E24" s="5"/>
      <c r="F24" s="5"/>
      <c r="G24" s="5"/>
      <c r="H24" s="5"/>
      <c r="I24" s="5"/>
      <c r="J24" s="5"/>
      <c r="K24" s="15"/>
      <c r="L24" s="5"/>
      <c r="M24" s="15"/>
      <c r="N24" s="5"/>
      <c r="O24" s="15"/>
      <c r="P24" s="19" t="str">
        <f t="shared" si="1"/>
        <v/>
      </c>
      <c r="Q24" s="19" t="str">
        <f t="shared" si="2"/>
        <v/>
      </c>
      <c r="R24" s="19" t="str">
        <f t="shared" si="3"/>
        <v/>
      </c>
      <c r="S24" s="5"/>
      <c r="T24" s="5"/>
      <c r="U24" s="5"/>
      <c r="V24" s="24"/>
      <c r="W24" s="15"/>
      <c r="X24" s="15"/>
      <c r="Y24" s="15"/>
      <c r="Z24" s="19" t="str">
        <f t="shared" si="4"/>
        <v/>
      </c>
      <c r="AA24" s="19" t="str">
        <f t="shared" si="5"/>
        <v/>
      </c>
      <c r="AB24" s="5"/>
      <c r="AC24" s="5"/>
      <c r="AE24" t="str">
        <f>IFERROR(INDEX(EqTag,_xlfn.AGGREGATE(15,6,(ROW(EqTag)-4)/((EqSys=$D$3)*(EqTag&lt;&gt;"")),ROWS($AE$14:AE24))),"")</f>
        <v/>
      </c>
    </row>
    <row r="25" spans="1:31" ht="30" customHeight="1" x14ac:dyDescent="0.2">
      <c r="A25" s="19" t="str">
        <f>IF(F25="","",LEFT($D$3,3)&amp;"-"&amp;TEXT(COUNTIF(F$14:F25,"?*"),"00"))</f>
        <v/>
      </c>
      <c r="B25" s="5"/>
      <c r="C25" s="6" t="str">
        <f t="shared" si="0"/>
        <v/>
      </c>
      <c r="D25" s="5"/>
      <c r="E25" s="5"/>
      <c r="F25" s="5"/>
      <c r="G25" s="5"/>
      <c r="H25" s="5"/>
      <c r="I25" s="5"/>
      <c r="J25" s="5"/>
      <c r="K25" s="15"/>
      <c r="L25" s="5"/>
      <c r="M25" s="15"/>
      <c r="N25" s="5"/>
      <c r="O25" s="15"/>
      <c r="P25" s="19" t="str">
        <f t="shared" si="1"/>
        <v/>
      </c>
      <c r="Q25" s="19" t="str">
        <f t="shared" si="2"/>
        <v/>
      </c>
      <c r="R25" s="19" t="str">
        <f t="shared" si="3"/>
        <v/>
      </c>
      <c r="S25" s="5"/>
      <c r="T25" s="5"/>
      <c r="U25" s="5"/>
      <c r="V25" s="24"/>
      <c r="W25" s="15"/>
      <c r="X25" s="15"/>
      <c r="Y25" s="15"/>
      <c r="Z25" s="19" t="str">
        <f t="shared" si="4"/>
        <v/>
      </c>
      <c r="AA25" s="19" t="str">
        <f t="shared" si="5"/>
        <v/>
      </c>
      <c r="AB25" s="5"/>
      <c r="AC25" s="5"/>
      <c r="AE25" t="str">
        <f>IFERROR(INDEX(EqTag,_xlfn.AGGREGATE(15,6,(ROW(EqTag)-4)/((EqSys=$D$3)*(EqTag&lt;&gt;"")),ROWS($AE$14:AE25))),"")</f>
        <v/>
      </c>
    </row>
    <row r="26" spans="1:31" ht="30" customHeight="1" x14ac:dyDescent="0.2">
      <c r="A26" s="19" t="str">
        <f>IF(F26="","",LEFT($D$3,3)&amp;"-"&amp;TEXT(COUNTIF(F$14:F26,"?*"),"00"))</f>
        <v/>
      </c>
      <c r="B26" s="5"/>
      <c r="C26" s="6" t="str">
        <f t="shared" si="0"/>
        <v/>
      </c>
      <c r="D26" s="5"/>
      <c r="E26" s="5"/>
      <c r="F26" s="5"/>
      <c r="G26" s="5"/>
      <c r="H26" s="5"/>
      <c r="I26" s="5"/>
      <c r="J26" s="5"/>
      <c r="K26" s="15"/>
      <c r="L26" s="5"/>
      <c r="M26" s="15"/>
      <c r="N26" s="5"/>
      <c r="O26" s="15"/>
      <c r="P26" s="19" t="str">
        <f t="shared" si="1"/>
        <v/>
      </c>
      <c r="Q26" s="19" t="str">
        <f t="shared" si="2"/>
        <v/>
      </c>
      <c r="R26" s="19" t="str">
        <f t="shared" si="3"/>
        <v/>
      </c>
      <c r="S26" s="5"/>
      <c r="T26" s="5"/>
      <c r="U26" s="5"/>
      <c r="V26" s="24"/>
      <c r="W26" s="15"/>
      <c r="X26" s="15"/>
      <c r="Y26" s="15"/>
      <c r="Z26" s="19" t="str">
        <f t="shared" si="4"/>
        <v/>
      </c>
      <c r="AA26" s="19" t="str">
        <f t="shared" si="5"/>
        <v/>
      </c>
      <c r="AB26" s="5"/>
      <c r="AC26" s="5"/>
      <c r="AE26" t="str">
        <f>IFERROR(INDEX(EqTag,_xlfn.AGGREGATE(15,6,(ROW(EqTag)-4)/((EqSys=$D$3)*(EqTag&lt;&gt;"")),ROWS($AE$14:AE26))),"")</f>
        <v/>
      </c>
    </row>
    <row r="27" spans="1:31" ht="30" customHeight="1" x14ac:dyDescent="0.2">
      <c r="A27" s="19" t="str">
        <f>IF(F27="","",LEFT($D$3,3)&amp;"-"&amp;TEXT(COUNTIF(F$14:F27,"?*"),"00"))</f>
        <v/>
      </c>
      <c r="B27" s="5"/>
      <c r="C27" s="6" t="str">
        <f t="shared" si="0"/>
        <v/>
      </c>
      <c r="D27" s="5"/>
      <c r="E27" s="5"/>
      <c r="F27" s="5"/>
      <c r="G27" s="5"/>
      <c r="H27" s="5"/>
      <c r="I27" s="5"/>
      <c r="J27" s="5"/>
      <c r="K27" s="15"/>
      <c r="L27" s="5"/>
      <c r="M27" s="15"/>
      <c r="N27" s="5"/>
      <c r="O27" s="15"/>
      <c r="P27" s="19" t="str">
        <f t="shared" si="1"/>
        <v/>
      </c>
      <c r="Q27" s="19" t="str">
        <f t="shared" si="2"/>
        <v/>
      </c>
      <c r="R27" s="19" t="str">
        <f t="shared" si="3"/>
        <v/>
      </c>
      <c r="S27" s="5"/>
      <c r="T27" s="5"/>
      <c r="U27" s="5"/>
      <c r="V27" s="24"/>
      <c r="W27" s="15"/>
      <c r="X27" s="15"/>
      <c r="Y27" s="15"/>
      <c r="Z27" s="19" t="str">
        <f t="shared" si="4"/>
        <v/>
      </c>
      <c r="AA27" s="19" t="str">
        <f t="shared" si="5"/>
        <v/>
      </c>
      <c r="AB27" s="5"/>
      <c r="AC27" s="5"/>
      <c r="AE27" t="str">
        <f>IFERROR(INDEX(EqTag,_xlfn.AGGREGATE(15,6,(ROW(EqTag)-4)/((EqSys=$D$3)*(EqTag&lt;&gt;"")),ROWS($AE$14:AE27))),"")</f>
        <v/>
      </c>
    </row>
    <row r="28" spans="1:31" ht="30" customHeight="1" x14ac:dyDescent="0.2">
      <c r="A28" s="19" t="str">
        <f>IF(F28="","",LEFT($D$3,3)&amp;"-"&amp;TEXT(COUNTIF(F$14:F28,"?*"),"00"))</f>
        <v/>
      </c>
      <c r="B28" s="5"/>
      <c r="C28" s="6" t="str">
        <f t="shared" si="0"/>
        <v/>
      </c>
      <c r="D28" s="5"/>
      <c r="E28" s="5"/>
      <c r="F28" s="5"/>
      <c r="G28" s="5"/>
      <c r="H28" s="5"/>
      <c r="I28" s="5"/>
      <c r="J28" s="5"/>
      <c r="K28" s="15"/>
      <c r="L28" s="5"/>
      <c r="M28" s="15"/>
      <c r="N28" s="5"/>
      <c r="O28" s="15"/>
      <c r="P28" s="19" t="str">
        <f t="shared" si="1"/>
        <v/>
      </c>
      <c r="Q28" s="19" t="str">
        <f t="shared" si="2"/>
        <v/>
      </c>
      <c r="R28" s="19" t="str">
        <f t="shared" si="3"/>
        <v/>
      </c>
      <c r="S28" s="5"/>
      <c r="T28" s="5"/>
      <c r="U28" s="5"/>
      <c r="V28" s="24"/>
      <c r="W28" s="15"/>
      <c r="X28" s="15"/>
      <c r="Y28" s="15"/>
      <c r="Z28" s="19" t="str">
        <f t="shared" si="4"/>
        <v/>
      </c>
      <c r="AA28" s="19" t="str">
        <f t="shared" si="5"/>
        <v/>
      </c>
      <c r="AB28" s="5"/>
      <c r="AC28" s="5"/>
      <c r="AE28" t="str">
        <f>IFERROR(INDEX(EqTag,_xlfn.AGGREGATE(15,6,(ROW(EqTag)-4)/((EqSys=$D$3)*(EqTag&lt;&gt;"")),ROWS($AE$14:AE28))),"")</f>
        <v/>
      </c>
    </row>
    <row r="29" spans="1:31" ht="30" customHeight="1" x14ac:dyDescent="0.2">
      <c r="A29" s="19" t="str">
        <f>IF(F29="","",LEFT($D$3,3)&amp;"-"&amp;TEXT(COUNTIF(F$14:F29,"?*"),"00"))</f>
        <v/>
      </c>
      <c r="B29" s="5"/>
      <c r="C29" s="6" t="str">
        <f t="shared" si="0"/>
        <v/>
      </c>
      <c r="D29" s="5"/>
      <c r="E29" s="5"/>
      <c r="F29" s="5"/>
      <c r="G29" s="5"/>
      <c r="H29" s="5"/>
      <c r="I29" s="5"/>
      <c r="J29" s="5"/>
      <c r="K29" s="15"/>
      <c r="L29" s="5"/>
      <c r="M29" s="15"/>
      <c r="N29" s="5"/>
      <c r="O29" s="15"/>
      <c r="P29" s="19" t="str">
        <f t="shared" si="1"/>
        <v/>
      </c>
      <c r="Q29" s="19" t="str">
        <f t="shared" si="2"/>
        <v/>
      </c>
      <c r="R29" s="19" t="str">
        <f t="shared" si="3"/>
        <v/>
      </c>
      <c r="S29" s="5"/>
      <c r="T29" s="5"/>
      <c r="U29" s="5"/>
      <c r="V29" s="24"/>
      <c r="W29" s="15"/>
      <c r="X29" s="15"/>
      <c r="Y29" s="15"/>
      <c r="Z29" s="19" t="str">
        <f t="shared" si="4"/>
        <v/>
      </c>
      <c r="AA29" s="19" t="str">
        <f t="shared" si="5"/>
        <v/>
      </c>
      <c r="AB29" s="5"/>
      <c r="AC29" s="5"/>
      <c r="AE29" t="str">
        <f>IFERROR(INDEX(EqTag,_xlfn.AGGREGATE(15,6,(ROW(EqTag)-4)/((EqSys=$D$3)*(EqTag&lt;&gt;"")),ROWS($AE$14:AE29))),"")</f>
        <v/>
      </c>
    </row>
    <row r="30" spans="1:31" ht="30" customHeight="1" x14ac:dyDescent="0.2">
      <c r="A30" s="19" t="str">
        <f>IF(F30="","",LEFT($D$3,3)&amp;"-"&amp;TEXT(COUNTIF(F$14:F30,"?*"),"00"))</f>
        <v/>
      </c>
      <c r="B30" s="5"/>
      <c r="C30" s="6" t="str">
        <f t="shared" si="0"/>
        <v/>
      </c>
      <c r="D30" s="5"/>
      <c r="E30" s="5"/>
      <c r="F30" s="5"/>
      <c r="G30" s="5"/>
      <c r="H30" s="5"/>
      <c r="I30" s="5"/>
      <c r="J30" s="5"/>
      <c r="K30" s="15"/>
      <c r="L30" s="5"/>
      <c r="M30" s="15"/>
      <c r="N30" s="5"/>
      <c r="O30" s="15"/>
      <c r="P30" s="19" t="str">
        <f t="shared" si="1"/>
        <v/>
      </c>
      <c r="Q30" s="19" t="str">
        <f t="shared" si="2"/>
        <v/>
      </c>
      <c r="R30" s="19" t="str">
        <f t="shared" si="3"/>
        <v/>
      </c>
      <c r="S30" s="5"/>
      <c r="T30" s="5"/>
      <c r="U30" s="5"/>
      <c r="V30" s="24"/>
      <c r="W30" s="15"/>
      <c r="X30" s="15"/>
      <c r="Y30" s="15"/>
      <c r="Z30" s="19" t="str">
        <f t="shared" si="4"/>
        <v/>
      </c>
      <c r="AA30" s="19" t="str">
        <f t="shared" si="5"/>
        <v/>
      </c>
      <c r="AB30" s="5"/>
      <c r="AC30" s="5"/>
      <c r="AE30" t="str">
        <f>IFERROR(INDEX(EqTag,_xlfn.AGGREGATE(15,6,(ROW(EqTag)-4)/((EqSys=$D$3)*(EqTag&lt;&gt;"")),ROWS($AE$14:AE30))),"")</f>
        <v/>
      </c>
    </row>
    <row r="31" spans="1:31" ht="30" customHeight="1" x14ac:dyDescent="0.2">
      <c r="A31" s="19" t="str">
        <f>IF(F31="","",LEFT($D$3,3)&amp;"-"&amp;TEXT(COUNTIF(F$14:F31,"?*"),"00"))</f>
        <v/>
      </c>
      <c r="B31" s="5"/>
      <c r="C31" s="6" t="str">
        <f t="shared" si="0"/>
        <v/>
      </c>
      <c r="D31" s="5"/>
      <c r="E31" s="5"/>
      <c r="F31" s="5"/>
      <c r="G31" s="5"/>
      <c r="H31" s="5"/>
      <c r="I31" s="5"/>
      <c r="J31" s="5"/>
      <c r="K31" s="15"/>
      <c r="L31" s="5"/>
      <c r="M31" s="15"/>
      <c r="N31" s="5"/>
      <c r="O31" s="15"/>
      <c r="P31" s="19" t="str">
        <f t="shared" si="1"/>
        <v/>
      </c>
      <c r="Q31" s="19" t="str">
        <f t="shared" si="2"/>
        <v/>
      </c>
      <c r="R31" s="19" t="str">
        <f t="shared" si="3"/>
        <v/>
      </c>
      <c r="S31" s="5"/>
      <c r="T31" s="5"/>
      <c r="U31" s="5"/>
      <c r="V31" s="24"/>
      <c r="W31" s="15"/>
      <c r="X31" s="15"/>
      <c r="Y31" s="15"/>
      <c r="Z31" s="19" t="str">
        <f t="shared" si="4"/>
        <v/>
      </c>
      <c r="AA31" s="19" t="str">
        <f t="shared" si="5"/>
        <v/>
      </c>
      <c r="AB31" s="5"/>
      <c r="AC31" s="5"/>
      <c r="AE31" t="str">
        <f>IFERROR(INDEX(EqTag,_xlfn.AGGREGATE(15,6,(ROW(EqTag)-4)/((EqSys=$D$3)*(EqTag&lt;&gt;"")),ROWS($AE$14:AE31))),"")</f>
        <v/>
      </c>
    </row>
    <row r="32" spans="1:31" ht="30" customHeight="1" x14ac:dyDescent="0.2">
      <c r="A32" s="19" t="str">
        <f>IF(F32="","",LEFT($D$3,3)&amp;"-"&amp;TEXT(COUNTIF(F$14:F32,"?*"),"00"))</f>
        <v/>
      </c>
      <c r="B32" s="5"/>
      <c r="C32" s="6" t="str">
        <f t="shared" si="0"/>
        <v/>
      </c>
      <c r="D32" s="5"/>
      <c r="E32" s="5"/>
      <c r="F32" s="5"/>
      <c r="G32" s="5"/>
      <c r="H32" s="5"/>
      <c r="I32" s="5"/>
      <c r="J32" s="5"/>
      <c r="K32" s="15"/>
      <c r="L32" s="5"/>
      <c r="M32" s="15"/>
      <c r="N32" s="5"/>
      <c r="O32" s="15"/>
      <c r="P32" s="19" t="str">
        <f t="shared" si="1"/>
        <v/>
      </c>
      <c r="Q32" s="19" t="str">
        <f t="shared" si="2"/>
        <v/>
      </c>
      <c r="R32" s="19" t="str">
        <f t="shared" si="3"/>
        <v/>
      </c>
      <c r="S32" s="5"/>
      <c r="T32" s="5"/>
      <c r="U32" s="5"/>
      <c r="V32" s="24"/>
      <c r="W32" s="15"/>
      <c r="X32" s="15"/>
      <c r="Y32" s="15"/>
      <c r="Z32" s="19" t="str">
        <f t="shared" si="4"/>
        <v/>
      </c>
      <c r="AA32" s="19" t="str">
        <f t="shared" si="5"/>
        <v/>
      </c>
      <c r="AB32" s="5"/>
      <c r="AC32" s="5"/>
      <c r="AE32" t="str">
        <f>IFERROR(INDEX(EqTag,_xlfn.AGGREGATE(15,6,(ROW(EqTag)-4)/((EqSys=$D$3)*(EqTag&lt;&gt;"")),ROWS($AE$14:AE32))),"")</f>
        <v/>
      </c>
    </row>
    <row r="33" spans="1:31" ht="30" customHeight="1" x14ac:dyDescent="0.2">
      <c r="A33" s="19" t="str">
        <f>IF(F33="","",LEFT($D$3,3)&amp;"-"&amp;TEXT(COUNTIF(F$14:F33,"?*"),"00"))</f>
        <v/>
      </c>
      <c r="B33" s="5"/>
      <c r="C33" s="6" t="str">
        <f t="shared" si="0"/>
        <v/>
      </c>
      <c r="D33" s="5"/>
      <c r="E33" s="5"/>
      <c r="F33" s="5"/>
      <c r="G33" s="5"/>
      <c r="H33" s="5"/>
      <c r="I33" s="5"/>
      <c r="J33" s="5"/>
      <c r="K33" s="15"/>
      <c r="L33" s="5"/>
      <c r="M33" s="15"/>
      <c r="N33" s="5"/>
      <c r="O33" s="15"/>
      <c r="P33" s="19" t="str">
        <f t="shared" si="1"/>
        <v/>
      </c>
      <c r="Q33" s="19" t="str">
        <f t="shared" si="2"/>
        <v/>
      </c>
      <c r="R33" s="19" t="str">
        <f t="shared" si="3"/>
        <v/>
      </c>
      <c r="S33" s="5"/>
      <c r="T33" s="5"/>
      <c r="U33" s="5"/>
      <c r="V33" s="24"/>
      <c r="W33" s="15"/>
      <c r="X33" s="15"/>
      <c r="Y33" s="15"/>
      <c r="Z33" s="19" t="str">
        <f t="shared" si="4"/>
        <v/>
      </c>
      <c r="AA33" s="19" t="str">
        <f t="shared" si="5"/>
        <v/>
      </c>
      <c r="AB33" s="5"/>
      <c r="AC33" s="5"/>
      <c r="AE33" t="str">
        <f>IFERROR(INDEX(EqTag,_xlfn.AGGREGATE(15,6,(ROW(EqTag)-4)/((EqSys=$D$3)*(EqTag&lt;&gt;"")),ROWS($AE$14:AE33))),"")</f>
        <v/>
      </c>
    </row>
    <row r="34" spans="1:31" ht="30" customHeight="1" x14ac:dyDescent="0.2">
      <c r="A34" s="19" t="str">
        <f>IF(F34="","",LEFT($D$3,3)&amp;"-"&amp;TEXT(COUNTIF(F$14:F34,"?*"),"00"))</f>
        <v/>
      </c>
      <c r="B34" s="5"/>
      <c r="C34" s="6" t="str">
        <f t="shared" si="0"/>
        <v/>
      </c>
      <c r="D34" s="5"/>
      <c r="E34" s="5"/>
      <c r="F34" s="5"/>
      <c r="G34" s="5"/>
      <c r="H34" s="5"/>
      <c r="I34" s="5"/>
      <c r="J34" s="5"/>
      <c r="K34" s="15"/>
      <c r="L34" s="5"/>
      <c r="M34" s="15"/>
      <c r="N34" s="5"/>
      <c r="O34" s="15"/>
      <c r="P34" s="19" t="str">
        <f t="shared" si="1"/>
        <v/>
      </c>
      <c r="Q34" s="19" t="str">
        <f t="shared" si="2"/>
        <v/>
      </c>
      <c r="R34" s="19" t="str">
        <f t="shared" si="3"/>
        <v/>
      </c>
      <c r="S34" s="5"/>
      <c r="T34" s="5"/>
      <c r="U34" s="5"/>
      <c r="V34" s="24"/>
      <c r="W34" s="15"/>
      <c r="X34" s="15"/>
      <c r="Y34" s="15"/>
      <c r="Z34" s="19" t="str">
        <f t="shared" si="4"/>
        <v/>
      </c>
      <c r="AA34" s="19" t="str">
        <f t="shared" si="5"/>
        <v/>
      </c>
      <c r="AB34" s="5"/>
      <c r="AC34" s="5"/>
      <c r="AE34" t="str">
        <f>IFERROR(INDEX(EqTag,_xlfn.AGGREGATE(15,6,(ROW(EqTag)-4)/((EqSys=$D$3)*(EqTag&lt;&gt;"")),ROWS($AE$14:AE34))),"")</f>
        <v/>
      </c>
    </row>
    <row r="35" spans="1:31" ht="30" customHeight="1" x14ac:dyDescent="0.2">
      <c r="A35" s="19" t="str">
        <f>IF(F35="","",LEFT($D$3,3)&amp;"-"&amp;TEXT(COUNTIF(F$14:F35,"?*"),"00"))</f>
        <v/>
      </c>
      <c r="B35" s="5"/>
      <c r="C35" s="6" t="str">
        <f t="shared" si="0"/>
        <v/>
      </c>
      <c r="D35" s="5"/>
      <c r="E35" s="5"/>
      <c r="F35" s="5"/>
      <c r="G35" s="5"/>
      <c r="H35" s="5"/>
      <c r="I35" s="5"/>
      <c r="J35" s="5"/>
      <c r="K35" s="15"/>
      <c r="L35" s="5"/>
      <c r="M35" s="15"/>
      <c r="N35" s="5"/>
      <c r="O35" s="15"/>
      <c r="P35" s="19" t="str">
        <f t="shared" si="1"/>
        <v/>
      </c>
      <c r="Q35" s="19" t="str">
        <f t="shared" si="2"/>
        <v/>
      </c>
      <c r="R35" s="19" t="str">
        <f t="shared" si="3"/>
        <v/>
      </c>
      <c r="S35" s="5"/>
      <c r="T35" s="5"/>
      <c r="U35" s="5"/>
      <c r="V35" s="24"/>
      <c r="W35" s="15"/>
      <c r="X35" s="15"/>
      <c r="Y35" s="15"/>
      <c r="Z35" s="19" t="str">
        <f t="shared" si="4"/>
        <v/>
      </c>
      <c r="AA35" s="19" t="str">
        <f t="shared" si="5"/>
        <v/>
      </c>
      <c r="AB35" s="5"/>
      <c r="AC35" s="5"/>
      <c r="AE35" t="str">
        <f>IFERROR(INDEX(EqTag,_xlfn.AGGREGATE(15,6,(ROW(EqTag)-4)/((EqSys=$D$3)*(EqTag&lt;&gt;"")),ROWS($AE$14:AE35))),"")</f>
        <v/>
      </c>
    </row>
    <row r="36" spans="1:31" ht="30" customHeight="1" x14ac:dyDescent="0.2">
      <c r="A36" s="19" t="str">
        <f>IF(F36="","",LEFT($D$3,3)&amp;"-"&amp;TEXT(COUNTIF(F$14:F36,"?*"),"00"))</f>
        <v/>
      </c>
      <c r="B36" s="5"/>
      <c r="C36" s="6" t="str">
        <f t="shared" si="0"/>
        <v/>
      </c>
      <c r="D36" s="5"/>
      <c r="E36" s="5"/>
      <c r="F36" s="5"/>
      <c r="G36" s="5"/>
      <c r="H36" s="5"/>
      <c r="I36" s="5"/>
      <c r="J36" s="5"/>
      <c r="K36" s="15"/>
      <c r="L36" s="5"/>
      <c r="M36" s="15"/>
      <c r="N36" s="5"/>
      <c r="O36" s="15"/>
      <c r="P36" s="19" t="str">
        <f t="shared" si="1"/>
        <v/>
      </c>
      <c r="Q36" s="19" t="str">
        <f t="shared" si="2"/>
        <v/>
      </c>
      <c r="R36" s="19" t="str">
        <f t="shared" si="3"/>
        <v/>
      </c>
      <c r="S36" s="5"/>
      <c r="T36" s="5"/>
      <c r="U36" s="5"/>
      <c r="V36" s="24"/>
      <c r="W36" s="15"/>
      <c r="X36" s="15"/>
      <c r="Y36" s="15"/>
      <c r="Z36" s="19" t="str">
        <f t="shared" si="4"/>
        <v/>
      </c>
      <c r="AA36" s="19" t="str">
        <f t="shared" si="5"/>
        <v/>
      </c>
      <c r="AB36" s="5"/>
      <c r="AC36" s="5"/>
      <c r="AE36" t="str">
        <f>IFERROR(INDEX(EqTag,_xlfn.AGGREGATE(15,6,(ROW(EqTag)-4)/((EqSys=$D$3)*(EqTag&lt;&gt;"")),ROWS($AE$14:AE36))),"")</f>
        <v/>
      </c>
    </row>
    <row r="37" spans="1:31" ht="30" customHeight="1" x14ac:dyDescent="0.2">
      <c r="A37" s="19" t="str">
        <f>IF(F37="","",LEFT($D$3,3)&amp;"-"&amp;TEXT(COUNTIF(F$14:F37,"?*"),"00"))</f>
        <v/>
      </c>
      <c r="B37" s="5"/>
      <c r="C37" s="6" t="str">
        <f t="shared" si="0"/>
        <v/>
      </c>
      <c r="D37" s="5"/>
      <c r="E37" s="5"/>
      <c r="F37" s="5"/>
      <c r="G37" s="5"/>
      <c r="H37" s="5"/>
      <c r="I37" s="5"/>
      <c r="J37" s="5"/>
      <c r="K37" s="15"/>
      <c r="L37" s="5"/>
      <c r="M37" s="15"/>
      <c r="N37" s="5"/>
      <c r="O37" s="15"/>
      <c r="P37" s="19" t="str">
        <f t="shared" si="1"/>
        <v/>
      </c>
      <c r="Q37" s="19" t="str">
        <f t="shared" si="2"/>
        <v/>
      </c>
      <c r="R37" s="19" t="str">
        <f t="shared" si="3"/>
        <v/>
      </c>
      <c r="S37" s="5"/>
      <c r="T37" s="5"/>
      <c r="U37" s="5"/>
      <c r="V37" s="24"/>
      <c r="W37" s="15"/>
      <c r="X37" s="15"/>
      <c r="Y37" s="15"/>
      <c r="Z37" s="19" t="str">
        <f t="shared" si="4"/>
        <v/>
      </c>
      <c r="AA37" s="19" t="str">
        <f t="shared" si="5"/>
        <v/>
      </c>
      <c r="AB37" s="5"/>
      <c r="AC37" s="5"/>
      <c r="AE37" t="str">
        <f>IFERROR(INDEX(EqTag,_xlfn.AGGREGATE(15,6,(ROW(EqTag)-4)/((EqSys=$D$3)*(EqTag&lt;&gt;"")),ROWS($AE$14:AE37))),"")</f>
        <v/>
      </c>
    </row>
    <row r="38" spans="1:31" ht="30" customHeight="1" x14ac:dyDescent="0.2">
      <c r="A38" s="19" t="str">
        <f>IF(F38="","",LEFT($D$3,3)&amp;"-"&amp;TEXT(COUNTIF(F$14:F38,"?*"),"00"))</f>
        <v/>
      </c>
      <c r="B38" s="5"/>
      <c r="C38" s="6" t="str">
        <f t="shared" si="0"/>
        <v/>
      </c>
      <c r="D38" s="5"/>
      <c r="E38" s="5"/>
      <c r="F38" s="5"/>
      <c r="G38" s="5"/>
      <c r="H38" s="5"/>
      <c r="I38" s="5"/>
      <c r="J38" s="5"/>
      <c r="K38" s="15"/>
      <c r="L38" s="5"/>
      <c r="M38" s="15"/>
      <c r="N38" s="5"/>
      <c r="O38" s="15"/>
      <c r="P38" s="19" t="str">
        <f t="shared" si="1"/>
        <v/>
      </c>
      <c r="Q38" s="19" t="str">
        <f t="shared" si="2"/>
        <v/>
      </c>
      <c r="R38" s="19" t="str">
        <f t="shared" si="3"/>
        <v/>
      </c>
      <c r="S38" s="5"/>
      <c r="T38" s="5"/>
      <c r="U38" s="5"/>
      <c r="V38" s="24"/>
      <c r="W38" s="15"/>
      <c r="X38" s="15"/>
      <c r="Y38" s="15"/>
      <c r="Z38" s="19" t="str">
        <f t="shared" si="4"/>
        <v/>
      </c>
      <c r="AA38" s="19" t="str">
        <f t="shared" si="5"/>
        <v/>
      </c>
      <c r="AB38" s="5"/>
      <c r="AC38" s="5"/>
      <c r="AE38" t="str">
        <f>IFERROR(INDEX(EqTag,_xlfn.AGGREGATE(15,6,(ROW(EqTag)-4)/((EqSys=$D$3)*(EqTag&lt;&gt;"")),ROWS($AE$14:AE38))),"")</f>
        <v/>
      </c>
    </row>
    <row r="39" spans="1:31" ht="30" customHeight="1" x14ac:dyDescent="0.2">
      <c r="A39" s="19" t="str">
        <f>IF(F39="","",LEFT($D$3,3)&amp;"-"&amp;TEXT(COUNTIF(F$14:F39,"?*"),"00"))</f>
        <v/>
      </c>
      <c r="B39" s="5"/>
      <c r="C39" s="6" t="str">
        <f t="shared" si="0"/>
        <v/>
      </c>
      <c r="D39" s="5"/>
      <c r="E39" s="5"/>
      <c r="F39" s="5"/>
      <c r="G39" s="5"/>
      <c r="H39" s="5"/>
      <c r="I39" s="5"/>
      <c r="J39" s="5"/>
      <c r="K39" s="15"/>
      <c r="L39" s="5"/>
      <c r="M39" s="15"/>
      <c r="N39" s="5"/>
      <c r="O39" s="15"/>
      <c r="P39" s="19" t="str">
        <f t="shared" si="1"/>
        <v/>
      </c>
      <c r="Q39" s="19" t="str">
        <f t="shared" si="2"/>
        <v/>
      </c>
      <c r="R39" s="19" t="str">
        <f t="shared" si="3"/>
        <v/>
      </c>
      <c r="S39" s="5"/>
      <c r="T39" s="5"/>
      <c r="U39" s="5"/>
      <c r="V39" s="24"/>
      <c r="W39" s="15"/>
      <c r="X39" s="15"/>
      <c r="Y39" s="15"/>
      <c r="Z39" s="19" t="str">
        <f t="shared" si="4"/>
        <v/>
      </c>
      <c r="AA39" s="19" t="str">
        <f t="shared" si="5"/>
        <v/>
      </c>
      <c r="AB39" s="5"/>
      <c r="AC39" s="5"/>
      <c r="AE39" t="str">
        <f>IFERROR(INDEX(EqTag,_xlfn.AGGREGATE(15,6,(ROW(EqTag)-4)/((EqSys=$D$3)*(EqTag&lt;&gt;"")),ROWS($AE$14:AE39))),"")</f>
        <v/>
      </c>
    </row>
    <row r="40" spans="1:31" ht="30" customHeight="1" x14ac:dyDescent="0.2">
      <c r="A40" s="19" t="str">
        <f>IF(F40="","",LEFT($D$3,3)&amp;"-"&amp;TEXT(COUNTIF(F$14:F40,"?*"),"00"))</f>
        <v/>
      </c>
      <c r="B40" s="5"/>
      <c r="C40" s="6" t="str">
        <f t="shared" si="0"/>
        <v/>
      </c>
      <c r="D40" s="5"/>
      <c r="E40" s="5"/>
      <c r="F40" s="5"/>
      <c r="G40" s="5"/>
      <c r="H40" s="5"/>
      <c r="I40" s="5"/>
      <c r="J40" s="5"/>
      <c r="K40" s="15"/>
      <c r="L40" s="5"/>
      <c r="M40" s="15"/>
      <c r="N40" s="5"/>
      <c r="O40" s="15"/>
      <c r="P40" s="19" t="str">
        <f t="shared" si="1"/>
        <v/>
      </c>
      <c r="Q40" s="19" t="str">
        <f t="shared" si="2"/>
        <v/>
      </c>
      <c r="R40" s="19" t="str">
        <f t="shared" si="3"/>
        <v/>
      </c>
      <c r="S40" s="5"/>
      <c r="T40" s="5"/>
      <c r="U40" s="5"/>
      <c r="V40" s="24"/>
      <c r="W40" s="15"/>
      <c r="X40" s="15"/>
      <c r="Y40" s="15"/>
      <c r="Z40" s="19" t="str">
        <f t="shared" si="4"/>
        <v/>
      </c>
      <c r="AA40" s="19" t="str">
        <f t="shared" si="5"/>
        <v/>
      </c>
      <c r="AB40" s="5"/>
      <c r="AC40" s="5"/>
      <c r="AE40" t="str">
        <f>IFERROR(INDEX(EqTag,_xlfn.AGGREGATE(15,6,(ROW(EqTag)-4)/((EqSys=$D$3)*(EqTag&lt;&gt;"")),ROWS($AE$14:AE40))),"")</f>
        <v/>
      </c>
    </row>
    <row r="41" spans="1:31" ht="30" customHeight="1" x14ac:dyDescent="0.2">
      <c r="A41" s="19" t="str">
        <f>IF(F41="","",LEFT($D$3,3)&amp;"-"&amp;TEXT(COUNTIF(F$14:F41,"?*"),"00"))</f>
        <v/>
      </c>
      <c r="B41" s="5"/>
      <c r="C41" s="6" t="str">
        <f t="shared" si="0"/>
        <v/>
      </c>
      <c r="D41" s="5"/>
      <c r="E41" s="5"/>
      <c r="F41" s="5"/>
      <c r="G41" s="5"/>
      <c r="H41" s="5"/>
      <c r="I41" s="5"/>
      <c r="J41" s="5"/>
      <c r="K41" s="15"/>
      <c r="L41" s="5"/>
      <c r="M41" s="15"/>
      <c r="N41" s="5"/>
      <c r="O41" s="15"/>
      <c r="P41" s="19" t="str">
        <f t="shared" si="1"/>
        <v/>
      </c>
      <c r="Q41" s="19" t="str">
        <f t="shared" si="2"/>
        <v/>
      </c>
      <c r="R41" s="19" t="str">
        <f t="shared" si="3"/>
        <v/>
      </c>
      <c r="S41" s="5"/>
      <c r="T41" s="5"/>
      <c r="U41" s="5"/>
      <c r="V41" s="24"/>
      <c r="W41" s="15"/>
      <c r="X41" s="15"/>
      <c r="Y41" s="15"/>
      <c r="Z41" s="19" t="str">
        <f t="shared" si="4"/>
        <v/>
      </c>
      <c r="AA41" s="19" t="str">
        <f t="shared" si="5"/>
        <v/>
      </c>
      <c r="AB41" s="5"/>
      <c r="AC41" s="5"/>
      <c r="AE41" t="str">
        <f>IFERROR(INDEX(EqTag,_xlfn.AGGREGATE(15,6,(ROW(EqTag)-4)/((EqSys=$D$3)*(EqTag&lt;&gt;"")),ROWS($AE$14:AE41))),"")</f>
        <v/>
      </c>
    </row>
    <row r="42" spans="1:31" ht="30" customHeight="1" x14ac:dyDescent="0.2">
      <c r="A42" s="19" t="str">
        <f>IF(F42="","",LEFT($D$3,3)&amp;"-"&amp;TEXT(COUNTIF(F$14:F42,"?*"),"00"))</f>
        <v/>
      </c>
      <c r="B42" s="5"/>
      <c r="C42" s="6" t="str">
        <f t="shared" si="0"/>
        <v/>
      </c>
      <c r="D42" s="5"/>
      <c r="E42" s="5"/>
      <c r="F42" s="5"/>
      <c r="G42" s="5"/>
      <c r="H42" s="5"/>
      <c r="I42" s="5"/>
      <c r="J42" s="5"/>
      <c r="K42" s="15"/>
      <c r="L42" s="5"/>
      <c r="M42" s="15"/>
      <c r="N42" s="5"/>
      <c r="O42" s="15"/>
      <c r="P42" s="19" t="str">
        <f t="shared" si="1"/>
        <v/>
      </c>
      <c r="Q42" s="19" t="str">
        <f t="shared" si="2"/>
        <v/>
      </c>
      <c r="R42" s="19" t="str">
        <f t="shared" si="3"/>
        <v/>
      </c>
      <c r="S42" s="5"/>
      <c r="T42" s="5"/>
      <c r="U42" s="5"/>
      <c r="V42" s="24"/>
      <c r="W42" s="15"/>
      <c r="X42" s="15"/>
      <c r="Y42" s="15"/>
      <c r="Z42" s="19" t="str">
        <f t="shared" si="4"/>
        <v/>
      </c>
      <c r="AA42" s="19" t="str">
        <f t="shared" si="5"/>
        <v/>
      </c>
      <c r="AB42" s="5"/>
      <c r="AC42" s="5"/>
      <c r="AE42" t="str">
        <f>IFERROR(INDEX(EqTag,_xlfn.AGGREGATE(15,6,(ROW(EqTag)-4)/((EqSys=$D$3)*(EqTag&lt;&gt;"")),ROWS($AE$14:AE42))),"")</f>
        <v/>
      </c>
    </row>
    <row r="43" spans="1:31" ht="30" customHeight="1" x14ac:dyDescent="0.2">
      <c r="A43" s="19" t="str">
        <f>IF(F43="","",LEFT($D$3,3)&amp;"-"&amp;TEXT(COUNTIF(F$14:F43,"?*"),"00"))</f>
        <v/>
      </c>
      <c r="B43" s="5"/>
      <c r="C43" s="6" t="str">
        <f t="shared" si="0"/>
        <v/>
      </c>
      <c r="D43" s="5"/>
      <c r="E43" s="5"/>
      <c r="F43" s="5"/>
      <c r="G43" s="5"/>
      <c r="H43" s="5"/>
      <c r="I43" s="5"/>
      <c r="J43" s="5"/>
      <c r="K43" s="15"/>
      <c r="L43" s="5"/>
      <c r="M43" s="15"/>
      <c r="N43" s="5"/>
      <c r="O43" s="15"/>
      <c r="P43" s="19" t="str">
        <f t="shared" si="1"/>
        <v/>
      </c>
      <c r="Q43" s="19" t="str">
        <f t="shared" si="2"/>
        <v/>
      </c>
      <c r="R43" s="19" t="str">
        <f t="shared" si="3"/>
        <v/>
      </c>
      <c r="S43" s="5"/>
      <c r="T43" s="5"/>
      <c r="U43" s="5"/>
      <c r="V43" s="24"/>
      <c r="W43" s="15"/>
      <c r="X43" s="15"/>
      <c r="Y43" s="15"/>
      <c r="Z43" s="19" t="str">
        <f t="shared" si="4"/>
        <v/>
      </c>
      <c r="AA43" s="19" t="str">
        <f t="shared" si="5"/>
        <v/>
      </c>
      <c r="AB43" s="5"/>
      <c r="AC43" s="5"/>
      <c r="AE43" t="str">
        <f>IFERROR(INDEX(EqTag,_xlfn.AGGREGATE(15,6,(ROW(EqTag)-4)/((EqSys=$D$3)*(EqTag&lt;&gt;"")),ROWS($AE$14:AE43))),"")</f>
        <v/>
      </c>
    </row>
    <row r="44" spans="1:31" ht="30" customHeight="1" x14ac:dyDescent="0.2">
      <c r="A44" s="19" t="str">
        <f>IF(F44="","",LEFT($D$3,3)&amp;"-"&amp;TEXT(COUNTIF(F$14:F44,"?*"),"00"))</f>
        <v/>
      </c>
      <c r="B44" s="5"/>
      <c r="C44" s="6" t="str">
        <f t="shared" si="0"/>
        <v/>
      </c>
      <c r="D44" s="5"/>
      <c r="E44" s="5"/>
      <c r="F44" s="5"/>
      <c r="G44" s="5"/>
      <c r="H44" s="5"/>
      <c r="I44" s="5"/>
      <c r="J44" s="5"/>
      <c r="K44" s="15"/>
      <c r="L44" s="5"/>
      <c r="M44" s="15"/>
      <c r="N44" s="5"/>
      <c r="O44" s="15"/>
      <c r="P44" s="19" t="str">
        <f t="shared" si="1"/>
        <v/>
      </c>
      <c r="Q44" s="19" t="str">
        <f t="shared" si="2"/>
        <v/>
      </c>
      <c r="R44" s="19" t="str">
        <f t="shared" si="3"/>
        <v/>
      </c>
      <c r="S44" s="5"/>
      <c r="T44" s="5"/>
      <c r="U44" s="5"/>
      <c r="V44" s="24"/>
      <c r="W44" s="15"/>
      <c r="X44" s="15"/>
      <c r="Y44" s="15"/>
      <c r="Z44" s="19" t="str">
        <f t="shared" si="4"/>
        <v/>
      </c>
      <c r="AA44" s="19" t="str">
        <f t="shared" si="5"/>
        <v/>
      </c>
      <c r="AB44" s="5"/>
      <c r="AC44" s="5"/>
      <c r="AE44" t="str">
        <f>IFERROR(INDEX(EqTag,_xlfn.AGGREGATE(15,6,(ROW(EqTag)-4)/((EqSys=$D$3)*(EqTag&lt;&gt;"")),ROWS($AE$14:AE44))),"")</f>
        <v/>
      </c>
    </row>
    <row r="45" spans="1:31" ht="30" customHeight="1" x14ac:dyDescent="0.2">
      <c r="A45" s="19" t="str">
        <f>IF(F45="","",LEFT($D$3,3)&amp;"-"&amp;TEXT(COUNTIF(F$14:F45,"?*"),"00"))</f>
        <v/>
      </c>
      <c r="B45" s="5"/>
      <c r="C45" s="6" t="str">
        <f t="shared" si="0"/>
        <v/>
      </c>
      <c r="D45" s="5"/>
      <c r="E45" s="5"/>
      <c r="F45" s="5"/>
      <c r="G45" s="5"/>
      <c r="H45" s="5"/>
      <c r="I45" s="5"/>
      <c r="J45" s="5"/>
      <c r="K45" s="15"/>
      <c r="L45" s="5"/>
      <c r="M45" s="15"/>
      <c r="N45" s="5"/>
      <c r="O45" s="15"/>
      <c r="P45" s="19" t="str">
        <f t="shared" si="1"/>
        <v/>
      </c>
      <c r="Q45" s="19" t="str">
        <f t="shared" si="2"/>
        <v/>
      </c>
      <c r="R45" s="19" t="str">
        <f t="shared" si="3"/>
        <v/>
      </c>
      <c r="S45" s="5"/>
      <c r="T45" s="5"/>
      <c r="U45" s="5"/>
      <c r="V45" s="24"/>
      <c r="W45" s="15"/>
      <c r="X45" s="15"/>
      <c r="Y45" s="15"/>
      <c r="Z45" s="19" t="str">
        <f t="shared" si="4"/>
        <v/>
      </c>
      <c r="AA45" s="19" t="str">
        <f t="shared" si="5"/>
        <v/>
      </c>
      <c r="AB45" s="5"/>
      <c r="AC45" s="5"/>
      <c r="AE45" t="str">
        <f>IFERROR(INDEX(EqTag,_xlfn.AGGREGATE(15,6,(ROW(EqTag)-4)/((EqSys=$D$3)*(EqTag&lt;&gt;"")),ROWS($AE$14:AE45))),"")</f>
        <v/>
      </c>
    </row>
    <row r="46" spans="1:31" ht="30" customHeight="1" x14ac:dyDescent="0.2">
      <c r="A46" s="19" t="str">
        <f>IF(F46="","",LEFT($D$3,3)&amp;"-"&amp;TEXT(COUNTIF(F$14:F46,"?*"),"00"))</f>
        <v/>
      </c>
      <c r="B46" s="5"/>
      <c r="C46" s="6" t="str">
        <f t="shared" ref="C46:C77" si="6">IF(B46="","",IFERROR(INDEX(EqTypeCol,MATCH(B46,EqTag,0)),"Tag not in register"))</f>
        <v/>
      </c>
      <c r="D46" s="5"/>
      <c r="E46" s="5"/>
      <c r="F46" s="5"/>
      <c r="G46" s="5"/>
      <c r="H46" s="5"/>
      <c r="I46" s="5"/>
      <c r="J46" s="5"/>
      <c r="K46" s="15"/>
      <c r="L46" s="5"/>
      <c r="M46" s="15"/>
      <c r="N46" s="5"/>
      <c r="O46" s="15"/>
      <c r="P46" s="19" t="str">
        <f t="shared" ref="P46:P77" si="7">IF(OR(K46="",M46="",O46=""),"",(--TRIM(LEFT(K46,2)))*(--TRIM(LEFT(M46,2)))*(--TRIM(LEFT(O46,2))))</f>
        <v/>
      </c>
      <c r="Q46" s="19" t="str">
        <f t="shared" ref="Q46:Q77" si="8">IF(OR(K46="",M46="",O46=""),"",INDEX(APGrid,COUNTIF(APS,"&gt;"&amp;(--TRIM(LEFT(K46,2))))*5+COUNTIF(APO,"&gt;"&amp;(--TRIM(LEFT(M46,2))))+1,COUNTIF(APD,"&gt;"&amp;(--TRIM(LEFT(O46,2))))+1))</f>
        <v/>
      </c>
      <c r="R46" s="19" t="str">
        <f t="shared" ref="R46:R77" si="9">IF(P46="","",IF(OR((--TRIM(LEFT(K46,2)))&gt;=SThr,P46&gt;=RPNThr,Q46="H"),"Yes","No"))</f>
        <v/>
      </c>
      <c r="S46" s="5"/>
      <c r="T46" s="5"/>
      <c r="U46" s="5"/>
      <c r="V46" s="24"/>
      <c r="W46" s="15"/>
      <c r="X46" s="15"/>
      <c r="Y46" s="15"/>
      <c r="Z46" s="19" t="str">
        <f t="shared" ref="Z46:Z77" si="10">IF(OR(W46="",X46="",Y46=""),"",(--TRIM(LEFT(W46,2)))*(--TRIM(LEFT(X46,2)))*(--TRIM(LEFT(Y46,2))))</f>
        <v/>
      </c>
      <c r="AA46" s="19" t="str">
        <f t="shared" ref="AA46:AA77" si="11">IF(OR(W46="",X46="",Y46=""),"",INDEX(APGrid,COUNTIF(APS,"&gt;"&amp;(--TRIM(LEFT(W46,2))))*5+COUNTIF(APO,"&gt;"&amp;(--TRIM(LEFT(X46,2))))+1,COUNTIF(APD,"&gt;"&amp;(--TRIM(LEFT(Y46,2))))+1))</f>
        <v/>
      </c>
      <c r="AB46" s="5"/>
      <c r="AC46" s="5"/>
      <c r="AE46" t="str">
        <f>IFERROR(INDEX(EqTag,_xlfn.AGGREGATE(15,6,(ROW(EqTag)-4)/((EqSys=$D$3)*(EqTag&lt;&gt;"")),ROWS($AE$14:AE46))),"")</f>
        <v/>
      </c>
    </row>
    <row r="47" spans="1:31" ht="30" customHeight="1" x14ac:dyDescent="0.2">
      <c r="A47" s="19" t="str">
        <f>IF(F47="","",LEFT($D$3,3)&amp;"-"&amp;TEXT(COUNTIF(F$14:F47,"?*"),"00"))</f>
        <v/>
      </c>
      <c r="B47" s="5"/>
      <c r="C47" s="6" t="str">
        <f t="shared" si="6"/>
        <v/>
      </c>
      <c r="D47" s="5"/>
      <c r="E47" s="5"/>
      <c r="F47" s="5"/>
      <c r="G47" s="5"/>
      <c r="H47" s="5"/>
      <c r="I47" s="5"/>
      <c r="J47" s="5"/>
      <c r="K47" s="15"/>
      <c r="L47" s="5"/>
      <c r="M47" s="15"/>
      <c r="N47" s="5"/>
      <c r="O47" s="15"/>
      <c r="P47" s="19" t="str">
        <f t="shared" si="7"/>
        <v/>
      </c>
      <c r="Q47" s="19" t="str">
        <f t="shared" si="8"/>
        <v/>
      </c>
      <c r="R47" s="19" t="str">
        <f t="shared" si="9"/>
        <v/>
      </c>
      <c r="S47" s="5"/>
      <c r="T47" s="5"/>
      <c r="U47" s="5"/>
      <c r="V47" s="24"/>
      <c r="W47" s="15"/>
      <c r="X47" s="15"/>
      <c r="Y47" s="15"/>
      <c r="Z47" s="19" t="str">
        <f t="shared" si="10"/>
        <v/>
      </c>
      <c r="AA47" s="19" t="str">
        <f t="shared" si="11"/>
        <v/>
      </c>
      <c r="AB47" s="5"/>
      <c r="AC47" s="5"/>
      <c r="AE47" t="str">
        <f>IFERROR(INDEX(EqTag,_xlfn.AGGREGATE(15,6,(ROW(EqTag)-4)/((EqSys=$D$3)*(EqTag&lt;&gt;"")),ROWS($AE$14:AE47))),"")</f>
        <v/>
      </c>
    </row>
    <row r="48" spans="1:31" ht="30" customHeight="1" x14ac:dyDescent="0.2">
      <c r="A48" s="19" t="str">
        <f>IF(F48="","",LEFT($D$3,3)&amp;"-"&amp;TEXT(COUNTIF(F$14:F48,"?*"),"00"))</f>
        <v/>
      </c>
      <c r="B48" s="5"/>
      <c r="C48" s="6" t="str">
        <f t="shared" si="6"/>
        <v/>
      </c>
      <c r="D48" s="5"/>
      <c r="E48" s="5"/>
      <c r="F48" s="5"/>
      <c r="G48" s="5"/>
      <c r="H48" s="5"/>
      <c r="I48" s="5"/>
      <c r="J48" s="5"/>
      <c r="K48" s="15"/>
      <c r="L48" s="5"/>
      <c r="M48" s="15"/>
      <c r="N48" s="5"/>
      <c r="O48" s="15"/>
      <c r="P48" s="19" t="str">
        <f t="shared" si="7"/>
        <v/>
      </c>
      <c r="Q48" s="19" t="str">
        <f t="shared" si="8"/>
        <v/>
      </c>
      <c r="R48" s="19" t="str">
        <f t="shared" si="9"/>
        <v/>
      </c>
      <c r="S48" s="5"/>
      <c r="T48" s="5"/>
      <c r="U48" s="5"/>
      <c r="V48" s="24"/>
      <c r="W48" s="15"/>
      <c r="X48" s="15"/>
      <c r="Y48" s="15"/>
      <c r="Z48" s="19" t="str">
        <f t="shared" si="10"/>
        <v/>
      </c>
      <c r="AA48" s="19" t="str">
        <f t="shared" si="11"/>
        <v/>
      </c>
      <c r="AB48" s="5"/>
      <c r="AC48" s="5"/>
      <c r="AE48" t="str">
        <f>IFERROR(INDEX(EqTag,_xlfn.AGGREGATE(15,6,(ROW(EqTag)-4)/((EqSys=$D$3)*(EqTag&lt;&gt;"")),ROWS($AE$14:AE48))),"")</f>
        <v/>
      </c>
    </row>
    <row r="49" spans="1:31" ht="30" customHeight="1" x14ac:dyDescent="0.2">
      <c r="A49" s="19" t="str">
        <f>IF(F49="","",LEFT($D$3,3)&amp;"-"&amp;TEXT(COUNTIF(F$14:F49,"?*"),"00"))</f>
        <v/>
      </c>
      <c r="B49" s="5"/>
      <c r="C49" s="6" t="str">
        <f t="shared" si="6"/>
        <v/>
      </c>
      <c r="D49" s="5"/>
      <c r="E49" s="5"/>
      <c r="F49" s="5"/>
      <c r="G49" s="5"/>
      <c r="H49" s="5"/>
      <c r="I49" s="5"/>
      <c r="J49" s="5"/>
      <c r="K49" s="15"/>
      <c r="L49" s="5"/>
      <c r="M49" s="15"/>
      <c r="N49" s="5"/>
      <c r="O49" s="15"/>
      <c r="P49" s="19" t="str">
        <f t="shared" si="7"/>
        <v/>
      </c>
      <c r="Q49" s="19" t="str">
        <f t="shared" si="8"/>
        <v/>
      </c>
      <c r="R49" s="19" t="str">
        <f t="shared" si="9"/>
        <v/>
      </c>
      <c r="S49" s="5"/>
      <c r="T49" s="5"/>
      <c r="U49" s="5"/>
      <c r="V49" s="24"/>
      <c r="W49" s="15"/>
      <c r="X49" s="15"/>
      <c r="Y49" s="15"/>
      <c r="Z49" s="19" t="str">
        <f t="shared" si="10"/>
        <v/>
      </c>
      <c r="AA49" s="19" t="str">
        <f t="shared" si="11"/>
        <v/>
      </c>
      <c r="AB49" s="5"/>
      <c r="AC49" s="5"/>
      <c r="AE49" t="str">
        <f>IFERROR(INDEX(EqTag,_xlfn.AGGREGATE(15,6,(ROW(EqTag)-4)/((EqSys=$D$3)*(EqTag&lt;&gt;"")),ROWS($AE$14:AE49))),"")</f>
        <v/>
      </c>
    </row>
    <row r="50" spans="1:31" ht="30" customHeight="1" x14ac:dyDescent="0.2">
      <c r="A50" s="19" t="str">
        <f>IF(F50="","",LEFT($D$3,3)&amp;"-"&amp;TEXT(COUNTIF(F$14:F50,"?*"),"00"))</f>
        <v/>
      </c>
      <c r="B50" s="5"/>
      <c r="C50" s="6" t="str">
        <f t="shared" si="6"/>
        <v/>
      </c>
      <c r="D50" s="5"/>
      <c r="E50" s="5"/>
      <c r="F50" s="5"/>
      <c r="G50" s="5"/>
      <c r="H50" s="5"/>
      <c r="I50" s="5"/>
      <c r="J50" s="5"/>
      <c r="K50" s="15"/>
      <c r="L50" s="5"/>
      <c r="M50" s="15"/>
      <c r="N50" s="5"/>
      <c r="O50" s="15"/>
      <c r="P50" s="19" t="str">
        <f t="shared" si="7"/>
        <v/>
      </c>
      <c r="Q50" s="19" t="str">
        <f t="shared" si="8"/>
        <v/>
      </c>
      <c r="R50" s="19" t="str">
        <f t="shared" si="9"/>
        <v/>
      </c>
      <c r="S50" s="5"/>
      <c r="T50" s="5"/>
      <c r="U50" s="5"/>
      <c r="V50" s="24"/>
      <c r="W50" s="15"/>
      <c r="X50" s="15"/>
      <c r="Y50" s="15"/>
      <c r="Z50" s="19" t="str">
        <f t="shared" si="10"/>
        <v/>
      </c>
      <c r="AA50" s="19" t="str">
        <f t="shared" si="11"/>
        <v/>
      </c>
      <c r="AB50" s="5"/>
      <c r="AC50" s="5"/>
      <c r="AE50" t="str">
        <f>IFERROR(INDEX(EqTag,_xlfn.AGGREGATE(15,6,(ROW(EqTag)-4)/((EqSys=$D$3)*(EqTag&lt;&gt;"")),ROWS($AE$14:AE50))),"")</f>
        <v/>
      </c>
    </row>
    <row r="51" spans="1:31" ht="30" customHeight="1" x14ac:dyDescent="0.2">
      <c r="A51" s="19" t="str">
        <f>IF(F51="","",LEFT($D$3,3)&amp;"-"&amp;TEXT(COUNTIF(F$14:F51,"?*"),"00"))</f>
        <v/>
      </c>
      <c r="B51" s="5"/>
      <c r="C51" s="6" t="str">
        <f t="shared" si="6"/>
        <v/>
      </c>
      <c r="D51" s="5"/>
      <c r="E51" s="5"/>
      <c r="F51" s="5"/>
      <c r="G51" s="5"/>
      <c r="H51" s="5"/>
      <c r="I51" s="5"/>
      <c r="J51" s="5"/>
      <c r="K51" s="15"/>
      <c r="L51" s="5"/>
      <c r="M51" s="15"/>
      <c r="N51" s="5"/>
      <c r="O51" s="15"/>
      <c r="P51" s="19" t="str">
        <f t="shared" si="7"/>
        <v/>
      </c>
      <c r="Q51" s="19" t="str">
        <f t="shared" si="8"/>
        <v/>
      </c>
      <c r="R51" s="19" t="str">
        <f t="shared" si="9"/>
        <v/>
      </c>
      <c r="S51" s="5"/>
      <c r="T51" s="5"/>
      <c r="U51" s="5"/>
      <c r="V51" s="24"/>
      <c r="W51" s="15"/>
      <c r="X51" s="15"/>
      <c r="Y51" s="15"/>
      <c r="Z51" s="19" t="str">
        <f t="shared" si="10"/>
        <v/>
      </c>
      <c r="AA51" s="19" t="str">
        <f t="shared" si="11"/>
        <v/>
      </c>
      <c r="AB51" s="5"/>
      <c r="AC51" s="5"/>
      <c r="AE51" t="str">
        <f>IFERROR(INDEX(EqTag,_xlfn.AGGREGATE(15,6,(ROW(EqTag)-4)/((EqSys=$D$3)*(EqTag&lt;&gt;"")),ROWS($AE$14:AE51))),"")</f>
        <v/>
      </c>
    </row>
    <row r="52" spans="1:31" ht="30" customHeight="1" x14ac:dyDescent="0.2">
      <c r="A52" s="19" t="str">
        <f>IF(F52="","",LEFT($D$3,3)&amp;"-"&amp;TEXT(COUNTIF(F$14:F52,"?*"),"00"))</f>
        <v/>
      </c>
      <c r="B52" s="5"/>
      <c r="C52" s="6" t="str">
        <f t="shared" si="6"/>
        <v/>
      </c>
      <c r="D52" s="5"/>
      <c r="E52" s="5"/>
      <c r="F52" s="5"/>
      <c r="G52" s="5"/>
      <c r="H52" s="5"/>
      <c r="I52" s="5"/>
      <c r="J52" s="5"/>
      <c r="K52" s="15"/>
      <c r="L52" s="5"/>
      <c r="M52" s="15"/>
      <c r="N52" s="5"/>
      <c r="O52" s="15"/>
      <c r="P52" s="19" t="str">
        <f t="shared" si="7"/>
        <v/>
      </c>
      <c r="Q52" s="19" t="str">
        <f t="shared" si="8"/>
        <v/>
      </c>
      <c r="R52" s="19" t="str">
        <f t="shared" si="9"/>
        <v/>
      </c>
      <c r="S52" s="5"/>
      <c r="T52" s="5"/>
      <c r="U52" s="5"/>
      <c r="V52" s="24"/>
      <c r="W52" s="15"/>
      <c r="X52" s="15"/>
      <c r="Y52" s="15"/>
      <c r="Z52" s="19" t="str">
        <f t="shared" si="10"/>
        <v/>
      </c>
      <c r="AA52" s="19" t="str">
        <f t="shared" si="11"/>
        <v/>
      </c>
      <c r="AB52" s="5"/>
      <c r="AC52" s="5"/>
      <c r="AE52" t="str">
        <f>IFERROR(INDEX(EqTag,_xlfn.AGGREGATE(15,6,(ROW(EqTag)-4)/((EqSys=$D$3)*(EqTag&lt;&gt;"")),ROWS($AE$14:AE52))),"")</f>
        <v/>
      </c>
    </row>
    <row r="53" spans="1:31" ht="30" customHeight="1" x14ac:dyDescent="0.2">
      <c r="A53" s="19" t="str">
        <f>IF(F53="","",LEFT($D$3,3)&amp;"-"&amp;TEXT(COUNTIF(F$14:F53,"?*"),"00"))</f>
        <v/>
      </c>
      <c r="B53" s="5"/>
      <c r="C53" s="6" t="str">
        <f t="shared" si="6"/>
        <v/>
      </c>
      <c r="D53" s="5"/>
      <c r="E53" s="5"/>
      <c r="F53" s="5"/>
      <c r="G53" s="5"/>
      <c r="H53" s="5"/>
      <c r="I53" s="5"/>
      <c r="J53" s="5"/>
      <c r="K53" s="15"/>
      <c r="L53" s="5"/>
      <c r="M53" s="15"/>
      <c r="N53" s="5"/>
      <c r="O53" s="15"/>
      <c r="P53" s="19" t="str">
        <f t="shared" si="7"/>
        <v/>
      </c>
      <c r="Q53" s="19" t="str">
        <f t="shared" si="8"/>
        <v/>
      </c>
      <c r="R53" s="19" t="str">
        <f t="shared" si="9"/>
        <v/>
      </c>
      <c r="S53" s="5"/>
      <c r="T53" s="5"/>
      <c r="U53" s="5"/>
      <c r="V53" s="24"/>
      <c r="W53" s="15"/>
      <c r="X53" s="15"/>
      <c r="Y53" s="15"/>
      <c r="Z53" s="19" t="str">
        <f t="shared" si="10"/>
        <v/>
      </c>
      <c r="AA53" s="19" t="str">
        <f t="shared" si="11"/>
        <v/>
      </c>
      <c r="AB53" s="5"/>
      <c r="AC53" s="5"/>
      <c r="AE53" t="str">
        <f>IFERROR(INDEX(EqTag,_xlfn.AGGREGATE(15,6,(ROW(EqTag)-4)/((EqSys=$D$3)*(EqTag&lt;&gt;"")),ROWS($AE$14:AE53))),"")</f>
        <v/>
      </c>
    </row>
    <row r="54" spans="1:31" ht="30" customHeight="1" x14ac:dyDescent="0.2">
      <c r="A54" s="19" t="str">
        <f>IF(F54="","",LEFT($D$3,3)&amp;"-"&amp;TEXT(COUNTIF(F$14:F54,"?*"),"00"))</f>
        <v/>
      </c>
      <c r="B54" s="5"/>
      <c r="C54" s="6" t="str">
        <f t="shared" si="6"/>
        <v/>
      </c>
      <c r="D54" s="5"/>
      <c r="E54" s="5"/>
      <c r="F54" s="5"/>
      <c r="G54" s="5"/>
      <c r="H54" s="5"/>
      <c r="I54" s="5"/>
      <c r="J54" s="5"/>
      <c r="K54" s="15"/>
      <c r="L54" s="5"/>
      <c r="M54" s="15"/>
      <c r="N54" s="5"/>
      <c r="O54" s="15"/>
      <c r="P54" s="19" t="str">
        <f t="shared" si="7"/>
        <v/>
      </c>
      <c r="Q54" s="19" t="str">
        <f t="shared" si="8"/>
        <v/>
      </c>
      <c r="R54" s="19" t="str">
        <f t="shared" si="9"/>
        <v/>
      </c>
      <c r="S54" s="5"/>
      <c r="T54" s="5"/>
      <c r="U54" s="5"/>
      <c r="V54" s="24"/>
      <c r="W54" s="15"/>
      <c r="X54" s="15"/>
      <c r="Y54" s="15"/>
      <c r="Z54" s="19" t="str">
        <f t="shared" si="10"/>
        <v/>
      </c>
      <c r="AA54" s="19" t="str">
        <f t="shared" si="11"/>
        <v/>
      </c>
      <c r="AB54" s="5"/>
      <c r="AC54" s="5"/>
      <c r="AE54" t="str">
        <f>IFERROR(INDEX(EqTag,_xlfn.AGGREGATE(15,6,(ROW(EqTag)-4)/((EqSys=$D$3)*(EqTag&lt;&gt;"")),ROWS($AE$14:AE54))),"")</f>
        <v/>
      </c>
    </row>
    <row r="55" spans="1:31" ht="30" customHeight="1" x14ac:dyDescent="0.2">
      <c r="A55" s="19" t="str">
        <f>IF(F55="","",LEFT($D$3,3)&amp;"-"&amp;TEXT(COUNTIF(F$14:F55,"?*"),"00"))</f>
        <v/>
      </c>
      <c r="B55" s="5"/>
      <c r="C55" s="6" t="str">
        <f t="shared" si="6"/>
        <v/>
      </c>
      <c r="D55" s="5"/>
      <c r="E55" s="5"/>
      <c r="F55" s="5"/>
      <c r="G55" s="5"/>
      <c r="H55" s="5"/>
      <c r="I55" s="5"/>
      <c r="J55" s="5"/>
      <c r="K55" s="15"/>
      <c r="L55" s="5"/>
      <c r="M55" s="15"/>
      <c r="N55" s="5"/>
      <c r="O55" s="15"/>
      <c r="P55" s="19" t="str">
        <f t="shared" si="7"/>
        <v/>
      </c>
      <c r="Q55" s="19" t="str">
        <f t="shared" si="8"/>
        <v/>
      </c>
      <c r="R55" s="19" t="str">
        <f t="shared" si="9"/>
        <v/>
      </c>
      <c r="S55" s="5"/>
      <c r="T55" s="5"/>
      <c r="U55" s="5"/>
      <c r="V55" s="24"/>
      <c r="W55" s="15"/>
      <c r="X55" s="15"/>
      <c r="Y55" s="15"/>
      <c r="Z55" s="19" t="str">
        <f t="shared" si="10"/>
        <v/>
      </c>
      <c r="AA55" s="19" t="str">
        <f t="shared" si="11"/>
        <v/>
      </c>
      <c r="AB55" s="5"/>
      <c r="AC55" s="5"/>
      <c r="AE55" t="str">
        <f>IFERROR(INDEX(EqTag,_xlfn.AGGREGATE(15,6,(ROW(EqTag)-4)/((EqSys=$D$3)*(EqTag&lt;&gt;"")),ROWS($AE$14:AE55))),"")</f>
        <v/>
      </c>
    </row>
    <row r="56" spans="1:31" ht="30" customHeight="1" x14ac:dyDescent="0.2">
      <c r="A56" s="19" t="str">
        <f>IF(F56="","",LEFT($D$3,3)&amp;"-"&amp;TEXT(COUNTIF(F$14:F56,"?*"),"00"))</f>
        <v/>
      </c>
      <c r="B56" s="5"/>
      <c r="C56" s="6" t="str">
        <f t="shared" si="6"/>
        <v/>
      </c>
      <c r="D56" s="5"/>
      <c r="E56" s="5"/>
      <c r="F56" s="5"/>
      <c r="G56" s="5"/>
      <c r="H56" s="5"/>
      <c r="I56" s="5"/>
      <c r="J56" s="5"/>
      <c r="K56" s="15"/>
      <c r="L56" s="5"/>
      <c r="M56" s="15"/>
      <c r="N56" s="5"/>
      <c r="O56" s="15"/>
      <c r="P56" s="19" t="str">
        <f t="shared" si="7"/>
        <v/>
      </c>
      <c r="Q56" s="19" t="str">
        <f t="shared" si="8"/>
        <v/>
      </c>
      <c r="R56" s="19" t="str">
        <f t="shared" si="9"/>
        <v/>
      </c>
      <c r="S56" s="5"/>
      <c r="T56" s="5"/>
      <c r="U56" s="5"/>
      <c r="V56" s="24"/>
      <c r="W56" s="15"/>
      <c r="X56" s="15"/>
      <c r="Y56" s="15"/>
      <c r="Z56" s="19" t="str">
        <f t="shared" si="10"/>
        <v/>
      </c>
      <c r="AA56" s="19" t="str">
        <f t="shared" si="11"/>
        <v/>
      </c>
      <c r="AB56" s="5"/>
      <c r="AC56" s="5"/>
      <c r="AE56" t="str">
        <f>IFERROR(INDEX(EqTag,_xlfn.AGGREGATE(15,6,(ROW(EqTag)-4)/((EqSys=$D$3)*(EqTag&lt;&gt;"")),ROWS($AE$14:AE56))),"")</f>
        <v/>
      </c>
    </row>
    <row r="57" spans="1:31" ht="30" customHeight="1" x14ac:dyDescent="0.2">
      <c r="A57" s="19" t="str">
        <f>IF(F57="","",LEFT($D$3,3)&amp;"-"&amp;TEXT(COUNTIF(F$14:F57,"?*"),"00"))</f>
        <v/>
      </c>
      <c r="B57" s="5"/>
      <c r="C57" s="6" t="str">
        <f t="shared" si="6"/>
        <v/>
      </c>
      <c r="D57" s="5"/>
      <c r="E57" s="5"/>
      <c r="F57" s="5"/>
      <c r="G57" s="5"/>
      <c r="H57" s="5"/>
      <c r="I57" s="5"/>
      <c r="J57" s="5"/>
      <c r="K57" s="15"/>
      <c r="L57" s="5"/>
      <c r="M57" s="15"/>
      <c r="N57" s="5"/>
      <c r="O57" s="15"/>
      <c r="P57" s="19" t="str">
        <f t="shared" si="7"/>
        <v/>
      </c>
      <c r="Q57" s="19" t="str">
        <f t="shared" si="8"/>
        <v/>
      </c>
      <c r="R57" s="19" t="str">
        <f t="shared" si="9"/>
        <v/>
      </c>
      <c r="S57" s="5"/>
      <c r="T57" s="5"/>
      <c r="U57" s="5"/>
      <c r="V57" s="24"/>
      <c r="W57" s="15"/>
      <c r="X57" s="15"/>
      <c r="Y57" s="15"/>
      <c r="Z57" s="19" t="str">
        <f t="shared" si="10"/>
        <v/>
      </c>
      <c r="AA57" s="19" t="str">
        <f t="shared" si="11"/>
        <v/>
      </c>
      <c r="AB57" s="5"/>
      <c r="AC57" s="5"/>
      <c r="AE57" t="str">
        <f>IFERROR(INDEX(EqTag,_xlfn.AGGREGATE(15,6,(ROW(EqTag)-4)/((EqSys=$D$3)*(EqTag&lt;&gt;"")),ROWS($AE$14:AE57))),"")</f>
        <v/>
      </c>
    </row>
    <row r="58" spans="1:31" ht="30" customHeight="1" x14ac:dyDescent="0.2">
      <c r="A58" s="19" t="str">
        <f>IF(F58="","",LEFT($D$3,3)&amp;"-"&amp;TEXT(COUNTIF(F$14:F58,"?*"),"00"))</f>
        <v/>
      </c>
      <c r="B58" s="5"/>
      <c r="C58" s="6" t="str">
        <f t="shared" si="6"/>
        <v/>
      </c>
      <c r="D58" s="5"/>
      <c r="E58" s="5"/>
      <c r="F58" s="5"/>
      <c r="G58" s="5"/>
      <c r="H58" s="5"/>
      <c r="I58" s="5"/>
      <c r="J58" s="5"/>
      <c r="K58" s="15"/>
      <c r="L58" s="5"/>
      <c r="M58" s="15"/>
      <c r="N58" s="5"/>
      <c r="O58" s="15"/>
      <c r="P58" s="19" t="str">
        <f t="shared" si="7"/>
        <v/>
      </c>
      <c r="Q58" s="19" t="str">
        <f t="shared" si="8"/>
        <v/>
      </c>
      <c r="R58" s="19" t="str">
        <f t="shared" si="9"/>
        <v/>
      </c>
      <c r="S58" s="5"/>
      <c r="T58" s="5"/>
      <c r="U58" s="5"/>
      <c r="V58" s="24"/>
      <c r="W58" s="15"/>
      <c r="X58" s="15"/>
      <c r="Y58" s="15"/>
      <c r="Z58" s="19" t="str">
        <f t="shared" si="10"/>
        <v/>
      </c>
      <c r="AA58" s="19" t="str">
        <f t="shared" si="11"/>
        <v/>
      </c>
      <c r="AB58" s="5"/>
      <c r="AC58" s="5"/>
      <c r="AE58" t="str">
        <f>IFERROR(INDEX(EqTag,_xlfn.AGGREGATE(15,6,(ROW(EqTag)-4)/((EqSys=$D$3)*(EqTag&lt;&gt;"")),ROWS($AE$14:AE58))),"")</f>
        <v/>
      </c>
    </row>
    <row r="59" spans="1:31" ht="30" customHeight="1" x14ac:dyDescent="0.2">
      <c r="A59" s="19" t="str">
        <f>IF(F59="","",LEFT($D$3,3)&amp;"-"&amp;TEXT(COUNTIF(F$14:F59,"?*"),"00"))</f>
        <v/>
      </c>
      <c r="B59" s="5"/>
      <c r="C59" s="6" t="str">
        <f t="shared" si="6"/>
        <v/>
      </c>
      <c r="D59" s="5"/>
      <c r="E59" s="5"/>
      <c r="F59" s="5"/>
      <c r="G59" s="5"/>
      <c r="H59" s="5"/>
      <c r="I59" s="5"/>
      <c r="J59" s="5"/>
      <c r="K59" s="15"/>
      <c r="L59" s="5"/>
      <c r="M59" s="15"/>
      <c r="N59" s="5"/>
      <c r="O59" s="15"/>
      <c r="P59" s="19" t="str">
        <f t="shared" si="7"/>
        <v/>
      </c>
      <c r="Q59" s="19" t="str">
        <f t="shared" si="8"/>
        <v/>
      </c>
      <c r="R59" s="19" t="str">
        <f t="shared" si="9"/>
        <v/>
      </c>
      <c r="S59" s="5"/>
      <c r="T59" s="5"/>
      <c r="U59" s="5"/>
      <c r="V59" s="24"/>
      <c r="W59" s="15"/>
      <c r="X59" s="15"/>
      <c r="Y59" s="15"/>
      <c r="Z59" s="19" t="str">
        <f t="shared" si="10"/>
        <v/>
      </c>
      <c r="AA59" s="19" t="str">
        <f t="shared" si="11"/>
        <v/>
      </c>
      <c r="AB59" s="5"/>
      <c r="AC59" s="5"/>
      <c r="AE59" t="str">
        <f>IFERROR(INDEX(EqTag,_xlfn.AGGREGATE(15,6,(ROW(EqTag)-4)/((EqSys=$D$3)*(EqTag&lt;&gt;"")),ROWS($AE$14:AE59))),"")</f>
        <v/>
      </c>
    </row>
    <row r="60" spans="1:31" ht="30" customHeight="1" x14ac:dyDescent="0.2">
      <c r="A60" s="19" t="str">
        <f>IF(F60="","",LEFT($D$3,3)&amp;"-"&amp;TEXT(COUNTIF(F$14:F60,"?*"),"00"))</f>
        <v/>
      </c>
      <c r="B60" s="5"/>
      <c r="C60" s="6" t="str">
        <f t="shared" si="6"/>
        <v/>
      </c>
      <c r="D60" s="5"/>
      <c r="E60" s="5"/>
      <c r="F60" s="5"/>
      <c r="G60" s="5"/>
      <c r="H60" s="5"/>
      <c r="I60" s="5"/>
      <c r="J60" s="5"/>
      <c r="K60" s="15"/>
      <c r="L60" s="5"/>
      <c r="M60" s="15"/>
      <c r="N60" s="5"/>
      <c r="O60" s="15"/>
      <c r="P60" s="19" t="str">
        <f t="shared" si="7"/>
        <v/>
      </c>
      <c r="Q60" s="19" t="str">
        <f t="shared" si="8"/>
        <v/>
      </c>
      <c r="R60" s="19" t="str">
        <f t="shared" si="9"/>
        <v/>
      </c>
      <c r="S60" s="5"/>
      <c r="T60" s="5"/>
      <c r="U60" s="5"/>
      <c r="V60" s="24"/>
      <c r="W60" s="15"/>
      <c r="X60" s="15"/>
      <c r="Y60" s="15"/>
      <c r="Z60" s="19" t="str">
        <f t="shared" si="10"/>
        <v/>
      </c>
      <c r="AA60" s="19" t="str">
        <f t="shared" si="11"/>
        <v/>
      </c>
      <c r="AB60" s="5"/>
      <c r="AC60" s="5"/>
      <c r="AE60" t="str">
        <f>IFERROR(INDEX(EqTag,_xlfn.AGGREGATE(15,6,(ROW(EqTag)-4)/((EqSys=$D$3)*(EqTag&lt;&gt;"")),ROWS($AE$14:AE60))),"")</f>
        <v/>
      </c>
    </row>
    <row r="61" spans="1:31" ht="30" customHeight="1" x14ac:dyDescent="0.2">
      <c r="A61" s="19" t="str">
        <f>IF(F61="","",LEFT($D$3,3)&amp;"-"&amp;TEXT(COUNTIF(F$14:F61,"?*"),"00"))</f>
        <v/>
      </c>
      <c r="B61" s="5"/>
      <c r="C61" s="6" t="str">
        <f t="shared" si="6"/>
        <v/>
      </c>
      <c r="D61" s="5"/>
      <c r="E61" s="5"/>
      <c r="F61" s="5"/>
      <c r="G61" s="5"/>
      <c r="H61" s="5"/>
      <c r="I61" s="5"/>
      <c r="J61" s="5"/>
      <c r="K61" s="15"/>
      <c r="L61" s="5"/>
      <c r="M61" s="15"/>
      <c r="N61" s="5"/>
      <c r="O61" s="15"/>
      <c r="P61" s="19" t="str">
        <f t="shared" si="7"/>
        <v/>
      </c>
      <c r="Q61" s="19" t="str">
        <f t="shared" si="8"/>
        <v/>
      </c>
      <c r="R61" s="19" t="str">
        <f t="shared" si="9"/>
        <v/>
      </c>
      <c r="S61" s="5"/>
      <c r="T61" s="5"/>
      <c r="U61" s="5"/>
      <c r="V61" s="24"/>
      <c r="W61" s="15"/>
      <c r="X61" s="15"/>
      <c r="Y61" s="15"/>
      <c r="Z61" s="19" t="str">
        <f t="shared" si="10"/>
        <v/>
      </c>
      <c r="AA61" s="19" t="str">
        <f t="shared" si="11"/>
        <v/>
      </c>
      <c r="AB61" s="5"/>
      <c r="AC61" s="5"/>
      <c r="AE61" t="str">
        <f>IFERROR(INDEX(EqTag,_xlfn.AGGREGATE(15,6,(ROW(EqTag)-4)/((EqSys=$D$3)*(EqTag&lt;&gt;"")),ROWS($AE$14:AE61))),"")</f>
        <v/>
      </c>
    </row>
    <row r="62" spans="1:31" ht="30" customHeight="1" x14ac:dyDescent="0.2">
      <c r="A62" s="19" t="str">
        <f>IF(F62="","",LEFT($D$3,3)&amp;"-"&amp;TEXT(COUNTIF(F$14:F62,"?*"),"00"))</f>
        <v/>
      </c>
      <c r="B62" s="5"/>
      <c r="C62" s="6" t="str">
        <f t="shared" si="6"/>
        <v/>
      </c>
      <c r="D62" s="5"/>
      <c r="E62" s="5"/>
      <c r="F62" s="5"/>
      <c r="G62" s="5"/>
      <c r="H62" s="5"/>
      <c r="I62" s="5"/>
      <c r="J62" s="5"/>
      <c r="K62" s="15"/>
      <c r="L62" s="5"/>
      <c r="M62" s="15"/>
      <c r="N62" s="5"/>
      <c r="O62" s="15"/>
      <c r="P62" s="19" t="str">
        <f t="shared" si="7"/>
        <v/>
      </c>
      <c r="Q62" s="19" t="str">
        <f t="shared" si="8"/>
        <v/>
      </c>
      <c r="R62" s="19" t="str">
        <f t="shared" si="9"/>
        <v/>
      </c>
      <c r="S62" s="5"/>
      <c r="T62" s="5"/>
      <c r="U62" s="5"/>
      <c r="V62" s="24"/>
      <c r="W62" s="15"/>
      <c r="X62" s="15"/>
      <c r="Y62" s="15"/>
      <c r="Z62" s="19" t="str">
        <f t="shared" si="10"/>
        <v/>
      </c>
      <c r="AA62" s="19" t="str">
        <f t="shared" si="11"/>
        <v/>
      </c>
      <c r="AB62" s="5"/>
      <c r="AC62" s="5"/>
      <c r="AE62" t="str">
        <f>IFERROR(INDEX(EqTag,_xlfn.AGGREGATE(15,6,(ROW(EqTag)-4)/((EqSys=$D$3)*(EqTag&lt;&gt;"")),ROWS($AE$14:AE62))),"")</f>
        <v/>
      </c>
    </row>
    <row r="63" spans="1:31" ht="30" customHeight="1" x14ac:dyDescent="0.2">
      <c r="A63" s="19" t="str">
        <f>IF(F63="","",LEFT($D$3,3)&amp;"-"&amp;TEXT(COUNTIF(F$14:F63,"?*"),"00"))</f>
        <v/>
      </c>
      <c r="B63" s="5"/>
      <c r="C63" s="6" t="str">
        <f t="shared" si="6"/>
        <v/>
      </c>
      <c r="D63" s="5"/>
      <c r="E63" s="5"/>
      <c r="F63" s="5"/>
      <c r="G63" s="5"/>
      <c r="H63" s="5"/>
      <c r="I63" s="5"/>
      <c r="J63" s="5"/>
      <c r="K63" s="15"/>
      <c r="L63" s="5"/>
      <c r="M63" s="15"/>
      <c r="N63" s="5"/>
      <c r="O63" s="15"/>
      <c r="P63" s="19" t="str">
        <f t="shared" si="7"/>
        <v/>
      </c>
      <c r="Q63" s="19" t="str">
        <f t="shared" si="8"/>
        <v/>
      </c>
      <c r="R63" s="19" t="str">
        <f t="shared" si="9"/>
        <v/>
      </c>
      <c r="S63" s="5"/>
      <c r="T63" s="5"/>
      <c r="U63" s="5"/>
      <c r="V63" s="24"/>
      <c r="W63" s="15"/>
      <c r="X63" s="15"/>
      <c r="Y63" s="15"/>
      <c r="Z63" s="19" t="str">
        <f t="shared" si="10"/>
        <v/>
      </c>
      <c r="AA63" s="19" t="str">
        <f t="shared" si="11"/>
        <v/>
      </c>
      <c r="AB63" s="5"/>
      <c r="AC63" s="5"/>
      <c r="AE63" t="str">
        <f>IFERROR(INDEX(EqTag,_xlfn.AGGREGATE(15,6,(ROW(EqTag)-4)/((EqSys=$D$3)*(EqTag&lt;&gt;"")),ROWS($AE$14:AE63))),"")</f>
        <v/>
      </c>
    </row>
    <row r="64" spans="1:31" ht="30" customHeight="1" x14ac:dyDescent="0.2">
      <c r="A64" s="19" t="str">
        <f>IF(F64="","",LEFT($D$3,3)&amp;"-"&amp;TEXT(COUNTIF(F$14:F64,"?*"),"00"))</f>
        <v/>
      </c>
      <c r="B64" s="5"/>
      <c r="C64" s="6" t="str">
        <f t="shared" si="6"/>
        <v/>
      </c>
      <c r="D64" s="5"/>
      <c r="E64" s="5"/>
      <c r="F64" s="5"/>
      <c r="G64" s="5"/>
      <c r="H64" s="5"/>
      <c r="I64" s="5"/>
      <c r="J64" s="5"/>
      <c r="K64" s="15"/>
      <c r="L64" s="5"/>
      <c r="M64" s="15"/>
      <c r="N64" s="5"/>
      <c r="O64" s="15"/>
      <c r="P64" s="19" t="str">
        <f t="shared" si="7"/>
        <v/>
      </c>
      <c r="Q64" s="19" t="str">
        <f t="shared" si="8"/>
        <v/>
      </c>
      <c r="R64" s="19" t="str">
        <f t="shared" si="9"/>
        <v/>
      </c>
      <c r="S64" s="5"/>
      <c r="T64" s="5"/>
      <c r="U64" s="5"/>
      <c r="V64" s="24"/>
      <c r="W64" s="15"/>
      <c r="X64" s="15"/>
      <c r="Y64" s="15"/>
      <c r="Z64" s="19" t="str">
        <f t="shared" si="10"/>
        <v/>
      </c>
      <c r="AA64" s="19" t="str">
        <f t="shared" si="11"/>
        <v/>
      </c>
      <c r="AB64" s="5"/>
      <c r="AC64" s="5"/>
      <c r="AE64" t="str">
        <f>IFERROR(INDEX(EqTag,_xlfn.AGGREGATE(15,6,(ROW(EqTag)-4)/((EqSys=$D$3)*(EqTag&lt;&gt;"")),ROWS($AE$14:AE64))),"")</f>
        <v/>
      </c>
    </row>
    <row r="65" spans="1:31" ht="30" customHeight="1" x14ac:dyDescent="0.2">
      <c r="A65" s="19" t="str">
        <f>IF(F65="","",LEFT($D$3,3)&amp;"-"&amp;TEXT(COUNTIF(F$14:F65,"?*"),"00"))</f>
        <v/>
      </c>
      <c r="B65" s="5"/>
      <c r="C65" s="6" t="str">
        <f t="shared" si="6"/>
        <v/>
      </c>
      <c r="D65" s="5"/>
      <c r="E65" s="5"/>
      <c r="F65" s="5"/>
      <c r="G65" s="5"/>
      <c r="H65" s="5"/>
      <c r="I65" s="5"/>
      <c r="J65" s="5"/>
      <c r="K65" s="15"/>
      <c r="L65" s="5"/>
      <c r="M65" s="15"/>
      <c r="N65" s="5"/>
      <c r="O65" s="15"/>
      <c r="P65" s="19" t="str">
        <f t="shared" si="7"/>
        <v/>
      </c>
      <c r="Q65" s="19" t="str">
        <f t="shared" si="8"/>
        <v/>
      </c>
      <c r="R65" s="19" t="str">
        <f t="shared" si="9"/>
        <v/>
      </c>
      <c r="S65" s="5"/>
      <c r="T65" s="5"/>
      <c r="U65" s="5"/>
      <c r="V65" s="24"/>
      <c r="W65" s="15"/>
      <c r="X65" s="15"/>
      <c r="Y65" s="15"/>
      <c r="Z65" s="19" t="str">
        <f t="shared" si="10"/>
        <v/>
      </c>
      <c r="AA65" s="19" t="str">
        <f t="shared" si="11"/>
        <v/>
      </c>
      <c r="AB65" s="5"/>
      <c r="AC65" s="5"/>
      <c r="AE65" t="str">
        <f>IFERROR(INDEX(EqTag,_xlfn.AGGREGATE(15,6,(ROW(EqTag)-4)/((EqSys=$D$3)*(EqTag&lt;&gt;"")),ROWS($AE$14:AE65))),"")</f>
        <v/>
      </c>
    </row>
    <row r="66" spans="1:31" ht="30" customHeight="1" x14ac:dyDescent="0.2">
      <c r="A66" s="19" t="str">
        <f>IF(F66="","",LEFT($D$3,3)&amp;"-"&amp;TEXT(COUNTIF(F$14:F66,"?*"),"00"))</f>
        <v/>
      </c>
      <c r="B66" s="5"/>
      <c r="C66" s="6" t="str">
        <f t="shared" si="6"/>
        <v/>
      </c>
      <c r="D66" s="5"/>
      <c r="E66" s="5"/>
      <c r="F66" s="5"/>
      <c r="G66" s="5"/>
      <c r="H66" s="5"/>
      <c r="I66" s="5"/>
      <c r="J66" s="5"/>
      <c r="K66" s="15"/>
      <c r="L66" s="5"/>
      <c r="M66" s="15"/>
      <c r="N66" s="5"/>
      <c r="O66" s="15"/>
      <c r="P66" s="19" t="str">
        <f t="shared" si="7"/>
        <v/>
      </c>
      <c r="Q66" s="19" t="str">
        <f t="shared" si="8"/>
        <v/>
      </c>
      <c r="R66" s="19" t="str">
        <f t="shared" si="9"/>
        <v/>
      </c>
      <c r="S66" s="5"/>
      <c r="T66" s="5"/>
      <c r="U66" s="5"/>
      <c r="V66" s="24"/>
      <c r="W66" s="15"/>
      <c r="X66" s="15"/>
      <c r="Y66" s="15"/>
      <c r="Z66" s="19" t="str">
        <f t="shared" si="10"/>
        <v/>
      </c>
      <c r="AA66" s="19" t="str">
        <f t="shared" si="11"/>
        <v/>
      </c>
      <c r="AB66" s="5"/>
      <c r="AC66" s="5"/>
      <c r="AE66" t="str">
        <f>IFERROR(INDEX(EqTag,_xlfn.AGGREGATE(15,6,(ROW(EqTag)-4)/((EqSys=$D$3)*(EqTag&lt;&gt;"")),ROWS($AE$14:AE66))),"")</f>
        <v/>
      </c>
    </row>
    <row r="67" spans="1:31" ht="30" customHeight="1" x14ac:dyDescent="0.2">
      <c r="A67" s="19" t="str">
        <f>IF(F67="","",LEFT($D$3,3)&amp;"-"&amp;TEXT(COUNTIF(F$14:F67,"?*"),"00"))</f>
        <v/>
      </c>
      <c r="B67" s="5"/>
      <c r="C67" s="6" t="str">
        <f t="shared" si="6"/>
        <v/>
      </c>
      <c r="D67" s="5"/>
      <c r="E67" s="5"/>
      <c r="F67" s="5"/>
      <c r="G67" s="5"/>
      <c r="H67" s="5"/>
      <c r="I67" s="5"/>
      <c r="J67" s="5"/>
      <c r="K67" s="15"/>
      <c r="L67" s="5"/>
      <c r="M67" s="15"/>
      <c r="N67" s="5"/>
      <c r="O67" s="15"/>
      <c r="P67" s="19" t="str">
        <f t="shared" si="7"/>
        <v/>
      </c>
      <c r="Q67" s="19" t="str">
        <f t="shared" si="8"/>
        <v/>
      </c>
      <c r="R67" s="19" t="str">
        <f t="shared" si="9"/>
        <v/>
      </c>
      <c r="S67" s="5"/>
      <c r="T67" s="5"/>
      <c r="U67" s="5"/>
      <c r="V67" s="24"/>
      <c r="W67" s="15"/>
      <c r="X67" s="15"/>
      <c r="Y67" s="15"/>
      <c r="Z67" s="19" t="str">
        <f t="shared" si="10"/>
        <v/>
      </c>
      <c r="AA67" s="19" t="str">
        <f t="shared" si="11"/>
        <v/>
      </c>
      <c r="AB67" s="5"/>
      <c r="AC67" s="5"/>
      <c r="AE67" t="str">
        <f>IFERROR(INDEX(EqTag,_xlfn.AGGREGATE(15,6,(ROW(EqTag)-4)/((EqSys=$D$3)*(EqTag&lt;&gt;"")),ROWS($AE$14:AE67))),"")</f>
        <v/>
      </c>
    </row>
    <row r="68" spans="1:31" ht="30" customHeight="1" x14ac:dyDescent="0.2">
      <c r="A68" s="19" t="str">
        <f>IF(F68="","",LEFT($D$3,3)&amp;"-"&amp;TEXT(COUNTIF(F$14:F68,"?*"),"00"))</f>
        <v/>
      </c>
      <c r="B68" s="5"/>
      <c r="C68" s="6" t="str">
        <f t="shared" si="6"/>
        <v/>
      </c>
      <c r="D68" s="5"/>
      <c r="E68" s="5"/>
      <c r="F68" s="5"/>
      <c r="G68" s="5"/>
      <c r="H68" s="5"/>
      <c r="I68" s="5"/>
      <c r="J68" s="5"/>
      <c r="K68" s="15"/>
      <c r="L68" s="5"/>
      <c r="M68" s="15"/>
      <c r="N68" s="5"/>
      <c r="O68" s="15"/>
      <c r="P68" s="19" t="str">
        <f t="shared" si="7"/>
        <v/>
      </c>
      <c r="Q68" s="19" t="str">
        <f t="shared" si="8"/>
        <v/>
      </c>
      <c r="R68" s="19" t="str">
        <f t="shared" si="9"/>
        <v/>
      </c>
      <c r="S68" s="5"/>
      <c r="T68" s="5"/>
      <c r="U68" s="5"/>
      <c r="V68" s="24"/>
      <c r="W68" s="15"/>
      <c r="X68" s="15"/>
      <c r="Y68" s="15"/>
      <c r="Z68" s="19" t="str">
        <f t="shared" si="10"/>
        <v/>
      </c>
      <c r="AA68" s="19" t="str">
        <f t="shared" si="11"/>
        <v/>
      </c>
      <c r="AB68" s="5"/>
      <c r="AC68" s="5"/>
      <c r="AE68" t="str">
        <f>IFERROR(INDEX(EqTag,_xlfn.AGGREGATE(15,6,(ROW(EqTag)-4)/((EqSys=$D$3)*(EqTag&lt;&gt;"")),ROWS($AE$14:AE68))),"")</f>
        <v/>
      </c>
    </row>
    <row r="69" spans="1:31" ht="30" customHeight="1" x14ac:dyDescent="0.2">
      <c r="A69" s="19" t="str">
        <f>IF(F69="","",LEFT($D$3,3)&amp;"-"&amp;TEXT(COUNTIF(F$14:F69,"?*"),"00"))</f>
        <v/>
      </c>
      <c r="B69" s="5"/>
      <c r="C69" s="6" t="str">
        <f t="shared" si="6"/>
        <v/>
      </c>
      <c r="D69" s="5"/>
      <c r="E69" s="5"/>
      <c r="F69" s="5"/>
      <c r="G69" s="5"/>
      <c r="H69" s="5"/>
      <c r="I69" s="5"/>
      <c r="J69" s="5"/>
      <c r="K69" s="15"/>
      <c r="L69" s="5"/>
      <c r="M69" s="15"/>
      <c r="N69" s="5"/>
      <c r="O69" s="15"/>
      <c r="P69" s="19" t="str">
        <f t="shared" si="7"/>
        <v/>
      </c>
      <c r="Q69" s="19" t="str">
        <f t="shared" si="8"/>
        <v/>
      </c>
      <c r="R69" s="19" t="str">
        <f t="shared" si="9"/>
        <v/>
      </c>
      <c r="S69" s="5"/>
      <c r="T69" s="5"/>
      <c r="U69" s="5"/>
      <c r="V69" s="24"/>
      <c r="W69" s="15"/>
      <c r="X69" s="15"/>
      <c r="Y69" s="15"/>
      <c r="Z69" s="19" t="str">
        <f t="shared" si="10"/>
        <v/>
      </c>
      <c r="AA69" s="19" t="str">
        <f t="shared" si="11"/>
        <v/>
      </c>
      <c r="AB69" s="5"/>
      <c r="AC69" s="5"/>
      <c r="AE69" t="str">
        <f>IFERROR(INDEX(EqTag,_xlfn.AGGREGATE(15,6,(ROW(EqTag)-4)/((EqSys=$D$3)*(EqTag&lt;&gt;"")),ROWS($AE$14:AE69))),"")</f>
        <v/>
      </c>
    </row>
    <row r="70" spans="1:31" ht="30" customHeight="1" x14ac:dyDescent="0.2">
      <c r="A70" s="19" t="str">
        <f>IF(F70="","",LEFT($D$3,3)&amp;"-"&amp;TEXT(COUNTIF(F$14:F70,"?*"),"00"))</f>
        <v/>
      </c>
      <c r="B70" s="5"/>
      <c r="C70" s="6" t="str">
        <f t="shared" si="6"/>
        <v/>
      </c>
      <c r="D70" s="5"/>
      <c r="E70" s="5"/>
      <c r="F70" s="5"/>
      <c r="G70" s="5"/>
      <c r="H70" s="5"/>
      <c r="I70" s="5"/>
      <c r="J70" s="5"/>
      <c r="K70" s="15"/>
      <c r="L70" s="5"/>
      <c r="M70" s="15"/>
      <c r="N70" s="5"/>
      <c r="O70" s="15"/>
      <c r="P70" s="19" t="str">
        <f t="shared" si="7"/>
        <v/>
      </c>
      <c r="Q70" s="19" t="str">
        <f t="shared" si="8"/>
        <v/>
      </c>
      <c r="R70" s="19" t="str">
        <f t="shared" si="9"/>
        <v/>
      </c>
      <c r="S70" s="5"/>
      <c r="T70" s="5"/>
      <c r="U70" s="5"/>
      <c r="V70" s="24"/>
      <c r="W70" s="15"/>
      <c r="X70" s="15"/>
      <c r="Y70" s="15"/>
      <c r="Z70" s="19" t="str">
        <f t="shared" si="10"/>
        <v/>
      </c>
      <c r="AA70" s="19" t="str">
        <f t="shared" si="11"/>
        <v/>
      </c>
      <c r="AB70" s="5"/>
      <c r="AC70" s="5"/>
      <c r="AE70" t="str">
        <f>IFERROR(INDEX(EqTag,_xlfn.AGGREGATE(15,6,(ROW(EqTag)-4)/((EqSys=$D$3)*(EqTag&lt;&gt;"")),ROWS($AE$14:AE70))),"")</f>
        <v/>
      </c>
    </row>
    <row r="71" spans="1:31" ht="30" customHeight="1" x14ac:dyDescent="0.2">
      <c r="A71" s="19" t="str">
        <f>IF(F71="","",LEFT($D$3,3)&amp;"-"&amp;TEXT(COUNTIF(F$14:F71,"?*"),"00"))</f>
        <v/>
      </c>
      <c r="B71" s="5"/>
      <c r="C71" s="6" t="str">
        <f t="shared" si="6"/>
        <v/>
      </c>
      <c r="D71" s="5"/>
      <c r="E71" s="5"/>
      <c r="F71" s="5"/>
      <c r="G71" s="5"/>
      <c r="H71" s="5"/>
      <c r="I71" s="5"/>
      <c r="J71" s="5"/>
      <c r="K71" s="15"/>
      <c r="L71" s="5"/>
      <c r="M71" s="15"/>
      <c r="N71" s="5"/>
      <c r="O71" s="15"/>
      <c r="P71" s="19" t="str">
        <f t="shared" si="7"/>
        <v/>
      </c>
      <c r="Q71" s="19" t="str">
        <f t="shared" si="8"/>
        <v/>
      </c>
      <c r="R71" s="19" t="str">
        <f t="shared" si="9"/>
        <v/>
      </c>
      <c r="S71" s="5"/>
      <c r="T71" s="5"/>
      <c r="U71" s="5"/>
      <c r="V71" s="24"/>
      <c r="W71" s="15"/>
      <c r="X71" s="15"/>
      <c r="Y71" s="15"/>
      <c r="Z71" s="19" t="str">
        <f t="shared" si="10"/>
        <v/>
      </c>
      <c r="AA71" s="19" t="str">
        <f t="shared" si="11"/>
        <v/>
      </c>
      <c r="AB71" s="5"/>
      <c r="AC71" s="5"/>
      <c r="AE71" t="str">
        <f>IFERROR(INDEX(EqTag,_xlfn.AGGREGATE(15,6,(ROW(EqTag)-4)/((EqSys=$D$3)*(EqTag&lt;&gt;"")),ROWS($AE$14:AE71))),"")</f>
        <v/>
      </c>
    </row>
    <row r="72" spans="1:31" ht="30" customHeight="1" x14ac:dyDescent="0.2">
      <c r="A72" s="19" t="str">
        <f>IF(F72="","",LEFT($D$3,3)&amp;"-"&amp;TEXT(COUNTIF(F$14:F72,"?*"),"00"))</f>
        <v/>
      </c>
      <c r="B72" s="5"/>
      <c r="C72" s="6" t="str">
        <f t="shared" si="6"/>
        <v/>
      </c>
      <c r="D72" s="5"/>
      <c r="E72" s="5"/>
      <c r="F72" s="5"/>
      <c r="G72" s="5"/>
      <c r="H72" s="5"/>
      <c r="I72" s="5"/>
      <c r="J72" s="5"/>
      <c r="K72" s="15"/>
      <c r="L72" s="5"/>
      <c r="M72" s="15"/>
      <c r="N72" s="5"/>
      <c r="O72" s="15"/>
      <c r="P72" s="19" t="str">
        <f t="shared" si="7"/>
        <v/>
      </c>
      <c r="Q72" s="19" t="str">
        <f t="shared" si="8"/>
        <v/>
      </c>
      <c r="R72" s="19" t="str">
        <f t="shared" si="9"/>
        <v/>
      </c>
      <c r="S72" s="5"/>
      <c r="T72" s="5"/>
      <c r="U72" s="5"/>
      <c r="V72" s="24"/>
      <c r="W72" s="15"/>
      <c r="X72" s="15"/>
      <c r="Y72" s="15"/>
      <c r="Z72" s="19" t="str">
        <f t="shared" si="10"/>
        <v/>
      </c>
      <c r="AA72" s="19" t="str">
        <f t="shared" si="11"/>
        <v/>
      </c>
      <c r="AB72" s="5"/>
      <c r="AC72" s="5"/>
      <c r="AE72" t="str">
        <f>IFERROR(INDEX(EqTag,_xlfn.AGGREGATE(15,6,(ROW(EqTag)-4)/((EqSys=$D$3)*(EqTag&lt;&gt;"")),ROWS($AE$14:AE72))),"")</f>
        <v/>
      </c>
    </row>
    <row r="73" spans="1:31" ht="30" customHeight="1" x14ac:dyDescent="0.2">
      <c r="A73" s="19" t="str">
        <f>IF(F73="","",LEFT($D$3,3)&amp;"-"&amp;TEXT(COUNTIF(F$14:F73,"?*"),"00"))</f>
        <v/>
      </c>
      <c r="B73" s="5"/>
      <c r="C73" s="6" t="str">
        <f t="shared" si="6"/>
        <v/>
      </c>
      <c r="D73" s="5"/>
      <c r="E73" s="5"/>
      <c r="F73" s="5"/>
      <c r="G73" s="5"/>
      <c r="H73" s="5"/>
      <c r="I73" s="5"/>
      <c r="J73" s="5"/>
      <c r="K73" s="15"/>
      <c r="L73" s="5"/>
      <c r="M73" s="15"/>
      <c r="N73" s="5"/>
      <c r="O73" s="15"/>
      <c r="P73" s="19" t="str">
        <f t="shared" si="7"/>
        <v/>
      </c>
      <c r="Q73" s="19" t="str">
        <f t="shared" si="8"/>
        <v/>
      </c>
      <c r="R73" s="19" t="str">
        <f t="shared" si="9"/>
        <v/>
      </c>
      <c r="S73" s="5"/>
      <c r="T73" s="5"/>
      <c r="U73" s="5"/>
      <c r="V73" s="24"/>
      <c r="W73" s="15"/>
      <c r="X73" s="15"/>
      <c r="Y73" s="15"/>
      <c r="Z73" s="19" t="str">
        <f t="shared" si="10"/>
        <v/>
      </c>
      <c r="AA73" s="19" t="str">
        <f t="shared" si="11"/>
        <v/>
      </c>
      <c r="AB73" s="5"/>
      <c r="AC73" s="5"/>
      <c r="AE73" t="str">
        <f>IFERROR(INDEX(EqTag,_xlfn.AGGREGATE(15,6,(ROW(EqTag)-4)/((EqSys=$D$3)*(EqTag&lt;&gt;"")),ROWS($AE$14:AE73))),"")</f>
        <v/>
      </c>
    </row>
    <row r="74" spans="1:31" ht="30" customHeight="1" x14ac:dyDescent="0.2">
      <c r="A74" s="19" t="str">
        <f>IF(F74="","",LEFT($D$3,3)&amp;"-"&amp;TEXT(COUNTIF(F$14:F74,"?*"),"00"))</f>
        <v/>
      </c>
      <c r="B74" s="5"/>
      <c r="C74" s="6" t="str">
        <f t="shared" si="6"/>
        <v/>
      </c>
      <c r="D74" s="5"/>
      <c r="E74" s="5"/>
      <c r="F74" s="5"/>
      <c r="G74" s="5"/>
      <c r="H74" s="5"/>
      <c r="I74" s="5"/>
      <c r="J74" s="5"/>
      <c r="K74" s="15"/>
      <c r="L74" s="5"/>
      <c r="M74" s="15"/>
      <c r="N74" s="5"/>
      <c r="O74" s="15"/>
      <c r="P74" s="19" t="str">
        <f t="shared" si="7"/>
        <v/>
      </c>
      <c r="Q74" s="19" t="str">
        <f t="shared" si="8"/>
        <v/>
      </c>
      <c r="R74" s="19" t="str">
        <f t="shared" si="9"/>
        <v/>
      </c>
      <c r="S74" s="5"/>
      <c r="T74" s="5"/>
      <c r="U74" s="5"/>
      <c r="V74" s="24"/>
      <c r="W74" s="15"/>
      <c r="X74" s="15"/>
      <c r="Y74" s="15"/>
      <c r="Z74" s="19" t="str">
        <f t="shared" si="10"/>
        <v/>
      </c>
      <c r="AA74" s="19" t="str">
        <f t="shared" si="11"/>
        <v/>
      </c>
      <c r="AB74" s="5"/>
      <c r="AC74" s="5"/>
      <c r="AE74" t="str">
        <f>IFERROR(INDEX(EqTag,_xlfn.AGGREGATE(15,6,(ROW(EqTag)-4)/((EqSys=$D$3)*(EqTag&lt;&gt;"")),ROWS($AE$14:AE74))),"")</f>
        <v/>
      </c>
    </row>
    <row r="75" spans="1:31" ht="30" customHeight="1" x14ac:dyDescent="0.2">
      <c r="A75" s="19" t="str">
        <f>IF(F75="","",LEFT($D$3,3)&amp;"-"&amp;TEXT(COUNTIF(F$14:F75,"?*"),"00"))</f>
        <v/>
      </c>
      <c r="B75" s="5"/>
      <c r="C75" s="6" t="str">
        <f t="shared" si="6"/>
        <v/>
      </c>
      <c r="D75" s="5"/>
      <c r="E75" s="5"/>
      <c r="F75" s="5"/>
      <c r="G75" s="5"/>
      <c r="H75" s="5"/>
      <c r="I75" s="5"/>
      <c r="J75" s="5"/>
      <c r="K75" s="15"/>
      <c r="L75" s="5"/>
      <c r="M75" s="15"/>
      <c r="N75" s="5"/>
      <c r="O75" s="15"/>
      <c r="P75" s="19" t="str">
        <f t="shared" si="7"/>
        <v/>
      </c>
      <c r="Q75" s="19" t="str">
        <f t="shared" si="8"/>
        <v/>
      </c>
      <c r="R75" s="19" t="str">
        <f t="shared" si="9"/>
        <v/>
      </c>
      <c r="S75" s="5"/>
      <c r="T75" s="5"/>
      <c r="U75" s="5"/>
      <c r="V75" s="24"/>
      <c r="W75" s="15"/>
      <c r="X75" s="15"/>
      <c r="Y75" s="15"/>
      <c r="Z75" s="19" t="str">
        <f t="shared" si="10"/>
        <v/>
      </c>
      <c r="AA75" s="19" t="str">
        <f t="shared" si="11"/>
        <v/>
      </c>
      <c r="AB75" s="5"/>
      <c r="AC75" s="5"/>
      <c r="AE75" t="str">
        <f>IFERROR(INDEX(EqTag,_xlfn.AGGREGATE(15,6,(ROW(EqTag)-4)/((EqSys=$D$3)*(EqTag&lt;&gt;"")),ROWS($AE$14:AE75))),"")</f>
        <v/>
      </c>
    </row>
    <row r="76" spans="1:31" ht="30" customHeight="1" x14ac:dyDescent="0.2">
      <c r="A76" s="19" t="str">
        <f>IF(F76="","",LEFT($D$3,3)&amp;"-"&amp;TEXT(COUNTIF(F$14:F76,"?*"),"00"))</f>
        <v/>
      </c>
      <c r="B76" s="5"/>
      <c r="C76" s="6" t="str">
        <f t="shared" si="6"/>
        <v/>
      </c>
      <c r="D76" s="5"/>
      <c r="E76" s="5"/>
      <c r="F76" s="5"/>
      <c r="G76" s="5"/>
      <c r="H76" s="5"/>
      <c r="I76" s="5"/>
      <c r="J76" s="5"/>
      <c r="K76" s="15"/>
      <c r="L76" s="5"/>
      <c r="M76" s="15"/>
      <c r="N76" s="5"/>
      <c r="O76" s="15"/>
      <c r="P76" s="19" t="str">
        <f t="shared" si="7"/>
        <v/>
      </c>
      <c r="Q76" s="19" t="str">
        <f t="shared" si="8"/>
        <v/>
      </c>
      <c r="R76" s="19" t="str">
        <f t="shared" si="9"/>
        <v/>
      </c>
      <c r="S76" s="5"/>
      <c r="T76" s="5"/>
      <c r="U76" s="5"/>
      <c r="V76" s="24"/>
      <c r="W76" s="15"/>
      <c r="X76" s="15"/>
      <c r="Y76" s="15"/>
      <c r="Z76" s="19" t="str">
        <f t="shared" si="10"/>
        <v/>
      </c>
      <c r="AA76" s="19" t="str">
        <f t="shared" si="11"/>
        <v/>
      </c>
      <c r="AB76" s="5"/>
      <c r="AC76" s="5"/>
      <c r="AE76" t="str">
        <f>IFERROR(INDEX(EqTag,_xlfn.AGGREGATE(15,6,(ROW(EqTag)-4)/((EqSys=$D$3)*(EqTag&lt;&gt;"")),ROWS($AE$14:AE76))),"")</f>
        <v/>
      </c>
    </row>
    <row r="77" spans="1:31" ht="30" customHeight="1" x14ac:dyDescent="0.2">
      <c r="A77" s="19" t="str">
        <f>IF(F77="","",LEFT($D$3,3)&amp;"-"&amp;TEXT(COUNTIF(F$14:F77,"?*"),"00"))</f>
        <v/>
      </c>
      <c r="B77" s="5"/>
      <c r="C77" s="6" t="str">
        <f t="shared" si="6"/>
        <v/>
      </c>
      <c r="D77" s="5"/>
      <c r="E77" s="5"/>
      <c r="F77" s="5"/>
      <c r="G77" s="5"/>
      <c r="H77" s="5"/>
      <c r="I77" s="5"/>
      <c r="J77" s="5"/>
      <c r="K77" s="15"/>
      <c r="L77" s="5"/>
      <c r="M77" s="15"/>
      <c r="N77" s="5"/>
      <c r="O77" s="15"/>
      <c r="P77" s="19" t="str">
        <f t="shared" si="7"/>
        <v/>
      </c>
      <c r="Q77" s="19" t="str">
        <f t="shared" si="8"/>
        <v/>
      </c>
      <c r="R77" s="19" t="str">
        <f t="shared" si="9"/>
        <v/>
      </c>
      <c r="S77" s="5"/>
      <c r="T77" s="5"/>
      <c r="U77" s="5"/>
      <c r="V77" s="24"/>
      <c r="W77" s="15"/>
      <c r="X77" s="15"/>
      <c r="Y77" s="15"/>
      <c r="Z77" s="19" t="str">
        <f t="shared" si="10"/>
        <v/>
      </c>
      <c r="AA77" s="19" t="str">
        <f t="shared" si="11"/>
        <v/>
      </c>
      <c r="AB77" s="5"/>
      <c r="AC77" s="5"/>
      <c r="AE77" t="str">
        <f>IFERROR(INDEX(EqTag,_xlfn.AGGREGATE(15,6,(ROW(EqTag)-4)/((EqSys=$D$3)*(EqTag&lt;&gt;"")),ROWS($AE$14:AE77))),"")</f>
        <v/>
      </c>
    </row>
    <row r="78" spans="1:31" ht="30" customHeight="1" x14ac:dyDescent="0.2">
      <c r="A78" s="19" t="str">
        <f>IF(F78="","",LEFT($D$3,3)&amp;"-"&amp;TEXT(COUNTIF(F$14:F78,"?*"),"00"))</f>
        <v/>
      </c>
      <c r="B78" s="5"/>
      <c r="C78" s="6" t="str">
        <f t="shared" ref="C78:C109" si="12">IF(B78="","",IFERROR(INDEX(EqTypeCol,MATCH(B78,EqTag,0)),"Tag not in register"))</f>
        <v/>
      </c>
      <c r="D78" s="5"/>
      <c r="E78" s="5"/>
      <c r="F78" s="5"/>
      <c r="G78" s="5"/>
      <c r="H78" s="5"/>
      <c r="I78" s="5"/>
      <c r="J78" s="5"/>
      <c r="K78" s="15"/>
      <c r="L78" s="5"/>
      <c r="M78" s="15"/>
      <c r="N78" s="5"/>
      <c r="O78" s="15"/>
      <c r="P78" s="19" t="str">
        <f t="shared" ref="P78:P109" si="13">IF(OR(K78="",M78="",O78=""),"",(--TRIM(LEFT(K78,2)))*(--TRIM(LEFT(M78,2)))*(--TRIM(LEFT(O78,2))))</f>
        <v/>
      </c>
      <c r="Q78" s="19" t="str">
        <f t="shared" ref="Q78:Q109" si="14">IF(OR(K78="",M78="",O78=""),"",INDEX(APGrid,COUNTIF(APS,"&gt;"&amp;(--TRIM(LEFT(K78,2))))*5+COUNTIF(APO,"&gt;"&amp;(--TRIM(LEFT(M78,2))))+1,COUNTIF(APD,"&gt;"&amp;(--TRIM(LEFT(O78,2))))+1))</f>
        <v/>
      </c>
      <c r="R78" s="19" t="str">
        <f t="shared" ref="R78:R109" si="15">IF(P78="","",IF(OR((--TRIM(LEFT(K78,2)))&gt;=SThr,P78&gt;=RPNThr,Q78="H"),"Yes","No"))</f>
        <v/>
      </c>
      <c r="S78" s="5"/>
      <c r="T78" s="5"/>
      <c r="U78" s="5"/>
      <c r="V78" s="24"/>
      <c r="W78" s="15"/>
      <c r="X78" s="15"/>
      <c r="Y78" s="15"/>
      <c r="Z78" s="19" t="str">
        <f t="shared" ref="Z78:Z109" si="16">IF(OR(W78="",X78="",Y78=""),"",(--TRIM(LEFT(W78,2)))*(--TRIM(LEFT(X78,2)))*(--TRIM(LEFT(Y78,2))))</f>
        <v/>
      </c>
      <c r="AA78" s="19" t="str">
        <f t="shared" ref="AA78:AA109" si="17">IF(OR(W78="",X78="",Y78=""),"",INDEX(APGrid,COUNTIF(APS,"&gt;"&amp;(--TRIM(LEFT(W78,2))))*5+COUNTIF(APO,"&gt;"&amp;(--TRIM(LEFT(X78,2))))+1,COUNTIF(APD,"&gt;"&amp;(--TRIM(LEFT(Y78,2))))+1))</f>
        <v/>
      </c>
      <c r="AB78" s="5"/>
      <c r="AC78" s="5"/>
      <c r="AE78" t="str">
        <f>IFERROR(INDEX(EqTag,_xlfn.AGGREGATE(15,6,(ROW(EqTag)-4)/((EqSys=$D$3)*(EqTag&lt;&gt;"")),ROWS($AE$14:AE78))),"")</f>
        <v/>
      </c>
    </row>
    <row r="79" spans="1:31" ht="30" customHeight="1" x14ac:dyDescent="0.2">
      <c r="A79" s="19" t="str">
        <f>IF(F79="","",LEFT($D$3,3)&amp;"-"&amp;TEXT(COUNTIF(F$14:F79,"?*"),"00"))</f>
        <v/>
      </c>
      <c r="B79" s="5"/>
      <c r="C79" s="6" t="str">
        <f t="shared" si="12"/>
        <v/>
      </c>
      <c r="D79" s="5"/>
      <c r="E79" s="5"/>
      <c r="F79" s="5"/>
      <c r="G79" s="5"/>
      <c r="H79" s="5"/>
      <c r="I79" s="5"/>
      <c r="J79" s="5"/>
      <c r="K79" s="15"/>
      <c r="L79" s="5"/>
      <c r="M79" s="15"/>
      <c r="N79" s="5"/>
      <c r="O79" s="15"/>
      <c r="P79" s="19" t="str">
        <f t="shared" si="13"/>
        <v/>
      </c>
      <c r="Q79" s="19" t="str">
        <f t="shared" si="14"/>
        <v/>
      </c>
      <c r="R79" s="19" t="str">
        <f t="shared" si="15"/>
        <v/>
      </c>
      <c r="S79" s="5"/>
      <c r="T79" s="5"/>
      <c r="U79" s="5"/>
      <c r="V79" s="24"/>
      <c r="W79" s="15"/>
      <c r="X79" s="15"/>
      <c r="Y79" s="15"/>
      <c r="Z79" s="19" t="str">
        <f t="shared" si="16"/>
        <v/>
      </c>
      <c r="AA79" s="19" t="str">
        <f t="shared" si="17"/>
        <v/>
      </c>
      <c r="AB79" s="5"/>
      <c r="AC79" s="5"/>
      <c r="AE79" t="str">
        <f>IFERROR(INDEX(EqTag,_xlfn.AGGREGATE(15,6,(ROW(EqTag)-4)/((EqSys=$D$3)*(EqTag&lt;&gt;"")),ROWS($AE$14:AE79))),"")</f>
        <v/>
      </c>
    </row>
    <row r="80" spans="1:31" ht="30" customHeight="1" x14ac:dyDescent="0.2">
      <c r="A80" s="19" t="str">
        <f>IF(F80="","",LEFT($D$3,3)&amp;"-"&amp;TEXT(COUNTIF(F$14:F80,"?*"),"00"))</f>
        <v/>
      </c>
      <c r="B80" s="5"/>
      <c r="C80" s="6" t="str">
        <f t="shared" si="12"/>
        <v/>
      </c>
      <c r="D80" s="5"/>
      <c r="E80" s="5"/>
      <c r="F80" s="5"/>
      <c r="G80" s="5"/>
      <c r="H80" s="5"/>
      <c r="I80" s="5"/>
      <c r="J80" s="5"/>
      <c r="K80" s="15"/>
      <c r="L80" s="5"/>
      <c r="M80" s="15"/>
      <c r="N80" s="5"/>
      <c r="O80" s="15"/>
      <c r="P80" s="19" t="str">
        <f t="shared" si="13"/>
        <v/>
      </c>
      <c r="Q80" s="19" t="str">
        <f t="shared" si="14"/>
        <v/>
      </c>
      <c r="R80" s="19" t="str">
        <f t="shared" si="15"/>
        <v/>
      </c>
      <c r="S80" s="5"/>
      <c r="T80" s="5"/>
      <c r="U80" s="5"/>
      <c r="V80" s="24"/>
      <c r="W80" s="15"/>
      <c r="X80" s="15"/>
      <c r="Y80" s="15"/>
      <c r="Z80" s="19" t="str">
        <f t="shared" si="16"/>
        <v/>
      </c>
      <c r="AA80" s="19" t="str">
        <f t="shared" si="17"/>
        <v/>
      </c>
      <c r="AB80" s="5"/>
      <c r="AC80" s="5"/>
      <c r="AE80" t="str">
        <f>IFERROR(INDEX(EqTag,_xlfn.AGGREGATE(15,6,(ROW(EqTag)-4)/((EqSys=$D$3)*(EqTag&lt;&gt;"")),ROWS($AE$14:AE80))),"")</f>
        <v/>
      </c>
    </row>
    <row r="81" spans="1:31" ht="30" customHeight="1" x14ac:dyDescent="0.2">
      <c r="A81" s="19" t="str">
        <f>IF(F81="","",LEFT($D$3,3)&amp;"-"&amp;TEXT(COUNTIF(F$14:F81,"?*"),"00"))</f>
        <v/>
      </c>
      <c r="B81" s="5"/>
      <c r="C81" s="6" t="str">
        <f t="shared" si="12"/>
        <v/>
      </c>
      <c r="D81" s="5"/>
      <c r="E81" s="5"/>
      <c r="F81" s="5"/>
      <c r="G81" s="5"/>
      <c r="H81" s="5"/>
      <c r="I81" s="5"/>
      <c r="J81" s="5"/>
      <c r="K81" s="15"/>
      <c r="L81" s="5"/>
      <c r="M81" s="15"/>
      <c r="N81" s="5"/>
      <c r="O81" s="15"/>
      <c r="P81" s="19" t="str">
        <f t="shared" si="13"/>
        <v/>
      </c>
      <c r="Q81" s="19" t="str">
        <f t="shared" si="14"/>
        <v/>
      </c>
      <c r="R81" s="19" t="str">
        <f t="shared" si="15"/>
        <v/>
      </c>
      <c r="S81" s="5"/>
      <c r="T81" s="5"/>
      <c r="U81" s="5"/>
      <c r="V81" s="24"/>
      <c r="W81" s="15"/>
      <c r="X81" s="15"/>
      <c r="Y81" s="15"/>
      <c r="Z81" s="19" t="str">
        <f t="shared" si="16"/>
        <v/>
      </c>
      <c r="AA81" s="19" t="str">
        <f t="shared" si="17"/>
        <v/>
      </c>
      <c r="AB81" s="5"/>
      <c r="AC81" s="5"/>
      <c r="AE81" t="str">
        <f>IFERROR(INDEX(EqTag,_xlfn.AGGREGATE(15,6,(ROW(EqTag)-4)/((EqSys=$D$3)*(EqTag&lt;&gt;"")),ROWS($AE$14:AE81))),"")</f>
        <v/>
      </c>
    </row>
    <row r="82" spans="1:31" ht="30" customHeight="1" x14ac:dyDescent="0.2">
      <c r="A82" s="19" t="str">
        <f>IF(F82="","",LEFT($D$3,3)&amp;"-"&amp;TEXT(COUNTIF(F$14:F82,"?*"),"00"))</f>
        <v/>
      </c>
      <c r="B82" s="5"/>
      <c r="C82" s="6" t="str">
        <f t="shared" si="12"/>
        <v/>
      </c>
      <c r="D82" s="5"/>
      <c r="E82" s="5"/>
      <c r="F82" s="5"/>
      <c r="G82" s="5"/>
      <c r="H82" s="5"/>
      <c r="I82" s="5"/>
      <c r="J82" s="5"/>
      <c r="K82" s="15"/>
      <c r="L82" s="5"/>
      <c r="M82" s="15"/>
      <c r="N82" s="5"/>
      <c r="O82" s="15"/>
      <c r="P82" s="19" t="str">
        <f t="shared" si="13"/>
        <v/>
      </c>
      <c r="Q82" s="19" t="str">
        <f t="shared" si="14"/>
        <v/>
      </c>
      <c r="R82" s="19" t="str">
        <f t="shared" si="15"/>
        <v/>
      </c>
      <c r="S82" s="5"/>
      <c r="T82" s="5"/>
      <c r="U82" s="5"/>
      <c r="V82" s="24"/>
      <c r="W82" s="15"/>
      <c r="X82" s="15"/>
      <c r="Y82" s="15"/>
      <c r="Z82" s="19" t="str">
        <f t="shared" si="16"/>
        <v/>
      </c>
      <c r="AA82" s="19" t="str">
        <f t="shared" si="17"/>
        <v/>
      </c>
      <c r="AB82" s="5"/>
      <c r="AC82" s="5"/>
      <c r="AE82" t="str">
        <f>IFERROR(INDEX(EqTag,_xlfn.AGGREGATE(15,6,(ROW(EqTag)-4)/((EqSys=$D$3)*(EqTag&lt;&gt;"")),ROWS($AE$14:AE82))),"")</f>
        <v/>
      </c>
    </row>
    <row r="83" spans="1:31" ht="30" customHeight="1" x14ac:dyDescent="0.2">
      <c r="A83" s="19" t="str">
        <f>IF(F83="","",LEFT($D$3,3)&amp;"-"&amp;TEXT(COUNTIF(F$14:F83,"?*"),"00"))</f>
        <v/>
      </c>
      <c r="B83" s="5"/>
      <c r="C83" s="6" t="str">
        <f t="shared" si="12"/>
        <v/>
      </c>
      <c r="D83" s="5"/>
      <c r="E83" s="5"/>
      <c r="F83" s="5"/>
      <c r="G83" s="5"/>
      <c r="H83" s="5"/>
      <c r="I83" s="5"/>
      <c r="J83" s="5"/>
      <c r="K83" s="15"/>
      <c r="L83" s="5"/>
      <c r="M83" s="15"/>
      <c r="N83" s="5"/>
      <c r="O83" s="15"/>
      <c r="P83" s="19" t="str">
        <f t="shared" si="13"/>
        <v/>
      </c>
      <c r="Q83" s="19" t="str">
        <f t="shared" si="14"/>
        <v/>
      </c>
      <c r="R83" s="19" t="str">
        <f t="shared" si="15"/>
        <v/>
      </c>
      <c r="S83" s="5"/>
      <c r="T83" s="5"/>
      <c r="U83" s="5"/>
      <c r="V83" s="24"/>
      <c r="W83" s="15"/>
      <c r="X83" s="15"/>
      <c r="Y83" s="15"/>
      <c r="Z83" s="19" t="str">
        <f t="shared" si="16"/>
        <v/>
      </c>
      <c r="AA83" s="19" t="str">
        <f t="shared" si="17"/>
        <v/>
      </c>
      <c r="AB83" s="5"/>
      <c r="AC83" s="5"/>
      <c r="AE83" t="str">
        <f>IFERROR(INDEX(EqTag,_xlfn.AGGREGATE(15,6,(ROW(EqTag)-4)/((EqSys=$D$3)*(EqTag&lt;&gt;"")),ROWS($AE$14:AE83))),"")</f>
        <v/>
      </c>
    </row>
    <row r="84" spans="1:31" ht="30" customHeight="1" x14ac:dyDescent="0.2">
      <c r="A84" s="19" t="str">
        <f>IF(F84="","",LEFT($D$3,3)&amp;"-"&amp;TEXT(COUNTIF(F$14:F84,"?*"),"00"))</f>
        <v/>
      </c>
      <c r="B84" s="5"/>
      <c r="C84" s="6" t="str">
        <f t="shared" si="12"/>
        <v/>
      </c>
      <c r="D84" s="5"/>
      <c r="E84" s="5"/>
      <c r="F84" s="5"/>
      <c r="G84" s="5"/>
      <c r="H84" s="5"/>
      <c r="I84" s="5"/>
      <c r="J84" s="5"/>
      <c r="K84" s="15"/>
      <c r="L84" s="5"/>
      <c r="M84" s="15"/>
      <c r="N84" s="5"/>
      <c r="O84" s="15"/>
      <c r="P84" s="19" t="str">
        <f t="shared" si="13"/>
        <v/>
      </c>
      <c r="Q84" s="19" t="str">
        <f t="shared" si="14"/>
        <v/>
      </c>
      <c r="R84" s="19" t="str">
        <f t="shared" si="15"/>
        <v/>
      </c>
      <c r="S84" s="5"/>
      <c r="T84" s="5"/>
      <c r="U84" s="5"/>
      <c r="V84" s="24"/>
      <c r="W84" s="15"/>
      <c r="X84" s="15"/>
      <c r="Y84" s="15"/>
      <c r="Z84" s="19" t="str">
        <f t="shared" si="16"/>
        <v/>
      </c>
      <c r="AA84" s="19" t="str">
        <f t="shared" si="17"/>
        <v/>
      </c>
      <c r="AB84" s="5"/>
      <c r="AC84" s="5"/>
      <c r="AE84" t="str">
        <f>IFERROR(INDEX(EqTag,_xlfn.AGGREGATE(15,6,(ROW(EqTag)-4)/((EqSys=$D$3)*(EqTag&lt;&gt;"")),ROWS($AE$14:AE84))),"")</f>
        <v/>
      </c>
    </row>
    <row r="85" spans="1:31" ht="30" customHeight="1" x14ac:dyDescent="0.2">
      <c r="A85" s="19" t="str">
        <f>IF(F85="","",LEFT($D$3,3)&amp;"-"&amp;TEXT(COUNTIF(F$14:F85,"?*"),"00"))</f>
        <v/>
      </c>
      <c r="B85" s="5"/>
      <c r="C85" s="6" t="str">
        <f t="shared" si="12"/>
        <v/>
      </c>
      <c r="D85" s="5"/>
      <c r="E85" s="5"/>
      <c r="F85" s="5"/>
      <c r="G85" s="5"/>
      <c r="H85" s="5"/>
      <c r="I85" s="5"/>
      <c r="J85" s="5"/>
      <c r="K85" s="15"/>
      <c r="L85" s="5"/>
      <c r="M85" s="15"/>
      <c r="N85" s="5"/>
      <c r="O85" s="15"/>
      <c r="P85" s="19" t="str">
        <f t="shared" si="13"/>
        <v/>
      </c>
      <c r="Q85" s="19" t="str">
        <f t="shared" si="14"/>
        <v/>
      </c>
      <c r="R85" s="19" t="str">
        <f t="shared" si="15"/>
        <v/>
      </c>
      <c r="S85" s="5"/>
      <c r="T85" s="5"/>
      <c r="U85" s="5"/>
      <c r="V85" s="24"/>
      <c r="W85" s="15"/>
      <c r="X85" s="15"/>
      <c r="Y85" s="15"/>
      <c r="Z85" s="19" t="str">
        <f t="shared" si="16"/>
        <v/>
      </c>
      <c r="AA85" s="19" t="str">
        <f t="shared" si="17"/>
        <v/>
      </c>
      <c r="AB85" s="5"/>
      <c r="AC85" s="5"/>
      <c r="AE85" t="str">
        <f>IFERROR(INDEX(EqTag,_xlfn.AGGREGATE(15,6,(ROW(EqTag)-4)/((EqSys=$D$3)*(EqTag&lt;&gt;"")),ROWS($AE$14:AE85))),"")</f>
        <v/>
      </c>
    </row>
    <row r="86" spans="1:31" ht="30" customHeight="1" x14ac:dyDescent="0.2">
      <c r="A86" s="19" t="str">
        <f>IF(F86="","",LEFT($D$3,3)&amp;"-"&amp;TEXT(COUNTIF(F$14:F86,"?*"),"00"))</f>
        <v/>
      </c>
      <c r="B86" s="5"/>
      <c r="C86" s="6" t="str">
        <f t="shared" si="12"/>
        <v/>
      </c>
      <c r="D86" s="5"/>
      <c r="E86" s="5"/>
      <c r="F86" s="5"/>
      <c r="G86" s="5"/>
      <c r="H86" s="5"/>
      <c r="I86" s="5"/>
      <c r="J86" s="5"/>
      <c r="K86" s="15"/>
      <c r="L86" s="5"/>
      <c r="M86" s="15"/>
      <c r="N86" s="5"/>
      <c r="O86" s="15"/>
      <c r="P86" s="19" t="str">
        <f t="shared" si="13"/>
        <v/>
      </c>
      <c r="Q86" s="19" t="str">
        <f t="shared" si="14"/>
        <v/>
      </c>
      <c r="R86" s="19" t="str">
        <f t="shared" si="15"/>
        <v/>
      </c>
      <c r="S86" s="5"/>
      <c r="T86" s="5"/>
      <c r="U86" s="5"/>
      <c r="V86" s="24"/>
      <c r="W86" s="15"/>
      <c r="X86" s="15"/>
      <c r="Y86" s="15"/>
      <c r="Z86" s="19" t="str">
        <f t="shared" si="16"/>
        <v/>
      </c>
      <c r="AA86" s="19" t="str">
        <f t="shared" si="17"/>
        <v/>
      </c>
      <c r="AB86" s="5"/>
      <c r="AC86" s="5"/>
      <c r="AE86" t="str">
        <f>IFERROR(INDEX(EqTag,_xlfn.AGGREGATE(15,6,(ROW(EqTag)-4)/((EqSys=$D$3)*(EqTag&lt;&gt;"")),ROWS($AE$14:AE86))),"")</f>
        <v/>
      </c>
    </row>
    <row r="87" spans="1:31" ht="30" customHeight="1" x14ac:dyDescent="0.2">
      <c r="A87" s="19" t="str">
        <f>IF(F87="","",LEFT($D$3,3)&amp;"-"&amp;TEXT(COUNTIF(F$14:F87,"?*"),"00"))</f>
        <v/>
      </c>
      <c r="B87" s="5"/>
      <c r="C87" s="6" t="str">
        <f t="shared" si="12"/>
        <v/>
      </c>
      <c r="D87" s="5"/>
      <c r="E87" s="5"/>
      <c r="F87" s="5"/>
      <c r="G87" s="5"/>
      <c r="H87" s="5"/>
      <c r="I87" s="5"/>
      <c r="J87" s="5"/>
      <c r="K87" s="15"/>
      <c r="L87" s="5"/>
      <c r="M87" s="15"/>
      <c r="N87" s="5"/>
      <c r="O87" s="15"/>
      <c r="P87" s="19" t="str">
        <f t="shared" si="13"/>
        <v/>
      </c>
      <c r="Q87" s="19" t="str">
        <f t="shared" si="14"/>
        <v/>
      </c>
      <c r="R87" s="19" t="str">
        <f t="shared" si="15"/>
        <v/>
      </c>
      <c r="S87" s="5"/>
      <c r="T87" s="5"/>
      <c r="U87" s="5"/>
      <c r="V87" s="24"/>
      <c r="W87" s="15"/>
      <c r="X87" s="15"/>
      <c r="Y87" s="15"/>
      <c r="Z87" s="19" t="str">
        <f t="shared" si="16"/>
        <v/>
      </c>
      <c r="AA87" s="19" t="str">
        <f t="shared" si="17"/>
        <v/>
      </c>
      <c r="AB87" s="5"/>
      <c r="AC87" s="5"/>
      <c r="AE87" t="str">
        <f>IFERROR(INDEX(EqTag,_xlfn.AGGREGATE(15,6,(ROW(EqTag)-4)/((EqSys=$D$3)*(EqTag&lt;&gt;"")),ROWS($AE$14:AE87))),"")</f>
        <v/>
      </c>
    </row>
    <row r="88" spans="1:31" ht="30" customHeight="1" x14ac:dyDescent="0.2">
      <c r="A88" s="19" t="str">
        <f>IF(F88="","",LEFT($D$3,3)&amp;"-"&amp;TEXT(COUNTIF(F$14:F88,"?*"),"00"))</f>
        <v/>
      </c>
      <c r="B88" s="5"/>
      <c r="C88" s="6" t="str">
        <f t="shared" si="12"/>
        <v/>
      </c>
      <c r="D88" s="5"/>
      <c r="E88" s="5"/>
      <c r="F88" s="5"/>
      <c r="G88" s="5"/>
      <c r="H88" s="5"/>
      <c r="I88" s="5"/>
      <c r="J88" s="5"/>
      <c r="K88" s="15"/>
      <c r="L88" s="5"/>
      <c r="M88" s="15"/>
      <c r="N88" s="5"/>
      <c r="O88" s="15"/>
      <c r="P88" s="19" t="str">
        <f t="shared" si="13"/>
        <v/>
      </c>
      <c r="Q88" s="19" t="str">
        <f t="shared" si="14"/>
        <v/>
      </c>
      <c r="R88" s="19" t="str">
        <f t="shared" si="15"/>
        <v/>
      </c>
      <c r="S88" s="5"/>
      <c r="T88" s="5"/>
      <c r="U88" s="5"/>
      <c r="V88" s="24"/>
      <c r="W88" s="15"/>
      <c r="X88" s="15"/>
      <c r="Y88" s="15"/>
      <c r="Z88" s="19" t="str">
        <f t="shared" si="16"/>
        <v/>
      </c>
      <c r="AA88" s="19" t="str">
        <f t="shared" si="17"/>
        <v/>
      </c>
      <c r="AB88" s="5"/>
      <c r="AC88" s="5"/>
      <c r="AE88" t="str">
        <f>IFERROR(INDEX(EqTag,_xlfn.AGGREGATE(15,6,(ROW(EqTag)-4)/((EqSys=$D$3)*(EqTag&lt;&gt;"")),ROWS($AE$14:AE88))),"")</f>
        <v/>
      </c>
    </row>
    <row r="89" spans="1:31" ht="30" customHeight="1" x14ac:dyDescent="0.2">
      <c r="A89" s="19" t="str">
        <f>IF(F89="","",LEFT($D$3,3)&amp;"-"&amp;TEXT(COUNTIF(F$14:F89,"?*"),"00"))</f>
        <v/>
      </c>
      <c r="B89" s="5"/>
      <c r="C89" s="6" t="str">
        <f t="shared" si="12"/>
        <v/>
      </c>
      <c r="D89" s="5"/>
      <c r="E89" s="5"/>
      <c r="F89" s="5"/>
      <c r="G89" s="5"/>
      <c r="H89" s="5"/>
      <c r="I89" s="5"/>
      <c r="J89" s="5"/>
      <c r="K89" s="15"/>
      <c r="L89" s="5"/>
      <c r="M89" s="15"/>
      <c r="N89" s="5"/>
      <c r="O89" s="15"/>
      <c r="P89" s="19" t="str">
        <f t="shared" si="13"/>
        <v/>
      </c>
      <c r="Q89" s="19" t="str">
        <f t="shared" si="14"/>
        <v/>
      </c>
      <c r="R89" s="19" t="str">
        <f t="shared" si="15"/>
        <v/>
      </c>
      <c r="S89" s="5"/>
      <c r="T89" s="5"/>
      <c r="U89" s="5"/>
      <c r="V89" s="24"/>
      <c r="W89" s="15"/>
      <c r="X89" s="15"/>
      <c r="Y89" s="15"/>
      <c r="Z89" s="19" t="str">
        <f t="shared" si="16"/>
        <v/>
      </c>
      <c r="AA89" s="19" t="str">
        <f t="shared" si="17"/>
        <v/>
      </c>
      <c r="AB89" s="5"/>
      <c r="AC89" s="5"/>
      <c r="AE89" t="str">
        <f>IFERROR(INDEX(EqTag,_xlfn.AGGREGATE(15,6,(ROW(EqTag)-4)/((EqSys=$D$3)*(EqTag&lt;&gt;"")),ROWS($AE$14:AE89))),"")</f>
        <v/>
      </c>
    </row>
    <row r="90" spans="1:31" ht="30" customHeight="1" x14ac:dyDescent="0.2">
      <c r="A90" s="19" t="str">
        <f>IF(F90="","",LEFT($D$3,3)&amp;"-"&amp;TEXT(COUNTIF(F$14:F90,"?*"),"00"))</f>
        <v/>
      </c>
      <c r="B90" s="5"/>
      <c r="C90" s="6" t="str">
        <f t="shared" si="12"/>
        <v/>
      </c>
      <c r="D90" s="5"/>
      <c r="E90" s="5"/>
      <c r="F90" s="5"/>
      <c r="G90" s="5"/>
      <c r="H90" s="5"/>
      <c r="I90" s="5"/>
      <c r="J90" s="5"/>
      <c r="K90" s="15"/>
      <c r="L90" s="5"/>
      <c r="M90" s="15"/>
      <c r="N90" s="5"/>
      <c r="O90" s="15"/>
      <c r="P90" s="19" t="str">
        <f t="shared" si="13"/>
        <v/>
      </c>
      <c r="Q90" s="19" t="str">
        <f t="shared" si="14"/>
        <v/>
      </c>
      <c r="R90" s="19" t="str">
        <f t="shared" si="15"/>
        <v/>
      </c>
      <c r="S90" s="5"/>
      <c r="T90" s="5"/>
      <c r="U90" s="5"/>
      <c r="V90" s="24"/>
      <c r="W90" s="15"/>
      <c r="X90" s="15"/>
      <c r="Y90" s="15"/>
      <c r="Z90" s="19" t="str">
        <f t="shared" si="16"/>
        <v/>
      </c>
      <c r="AA90" s="19" t="str">
        <f t="shared" si="17"/>
        <v/>
      </c>
      <c r="AB90" s="5"/>
      <c r="AC90" s="5"/>
      <c r="AE90" t="str">
        <f>IFERROR(INDEX(EqTag,_xlfn.AGGREGATE(15,6,(ROW(EqTag)-4)/((EqSys=$D$3)*(EqTag&lt;&gt;"")),ROWS($AE$14:AE90))),"")</f>
        <v/>
      </c>
    </row>
    <row r="91" spans="1:31" ht="30" customHeight="1" x14ac:dyDescent="0.2">
      <c r="A91" s="19" t="str">
        <f>IF(F91="","",LEFT($D$3,3)&amp;"-"&amp;TEXT(COUNTIF(F$14:F91,"?*"),"00"))</f>
        <v/>
      </c>
      <c r="B91" s="5"/>
      <c r="C91" s="6" t="str">
        <f t="shared" si="12"/>
        <v/>
      </c>
      <c r="D91" s="5"/>
      <c r="E91" s="5"/>
      <c r="F91" s="5"/>
      <c r="G91" s="5"/>
      <c r="H91" s="5"/>
      <c r="I91" s="5"/>
      <c r="J91" s="5"/>
      <c r="K91" s="15"/>
      <c r="L91" s="5"/>
      <c r="M91" s="15"/>
      <c r="N91" s="5"/>
      <c r="O91" s="15"/>
      <c r="P91" s="19" t="str">
        <f t="shared" si="13"/>
        <v/>
      </c>
      <c r="Q91" s="19" t="str">
        <f t="shared" si="14"/>
        <v/>
      </c>
      <c r="R91" s="19" t="str">
        <f t="shared" si="15"/>
        <v/>
      </c>
      <c r="S91" s="5"/>
      <c r="T91" s="5"/>
      <c r="U91" s="5"/>
      <c r="V91" s="24"/>
      <c r="W91" s="15"/>
      <c r="X91" s="15"/>
      <c r="Y91" s="15"/>
      <c r="Z91" s="19" t="str">
        <f t="shared" si="16"/>
        <v/>
      </c>
      <c r="AA91" s="19" t="str">
        <f t="shared" si="17"/>
        <v/>
      </c>
      <c r="AB91" s="5"/>
      <c r="AC91" s="5"/>
      <c r="AE91" t="str">
        <f>IFERROR(INDEX(EqTag,_xlfn.AGGREGATE(15,6,(ROW(EqTag)-4)/((EqSys=$D$3)*(EqTag&lt;&gt;"")),ROWS($AE$14:AE91))),"")</f>
        <v/>
      </c>
    </row>
    <row r="92" spans="1:31" ht="30" customHeight="1" x14ac:dyDescent="0.2">
      <c r="A92" s="19" t="str">
        <f>IF(F92="","",LEFT($D$3,3)&amp;"-"&amp;TEXT(COUNTIF(F$14:F92,"?*"),"00"))</f>
        <v/>
      </c>
      <c r="B92" s="5"/>
      <c r="C92" s="6" t="str">
        <f t="shared" si="12"/>
        <v/>
      </c>
      <c r="D92" s="5"/>
      <c r="E92" s="5"/>
      <c r="F92" s="5"/>
      <c r="G92" s="5"/>
      <c r="H92" s="5"/>
      <c r="I92" s="5"/>
      <c r="J92" s="5"/>
      <c r="K92" s="15"/>
      <c r="L92" s="5"/>
      <c r="M92" s="15"/>
      <c r="N92" s="5"/>
      <c r="O92" s="15"/>
      <c r="P92" s="19" t="str">
        <f t="shared" si="13"/>
        <v/>
      </c>
      <c r="Q92" s="19" t="str">
        <f t="shared" si="14"/>
        <v/>
      </c>
      <c r="R92" s="19" t="str">
        <f t="shared" si="15"/>
        <v/>
      </c>
      <c r="S92" s="5"/>
      <c r="T92" s="5"/>
      <c r="U92" s="5"/>
      <c r="V92" s="24"/>
      <c r="W92" s="15"/>
      <c r="X92" s="15"/>
      <c r="Y92" s="15"/>
      <c r="Z92" s="19" t="str">
        <f t="shared" si="16"/>
        <v/>
      </c>
      <c r="AA92" s="19" t="str">
        <f t="shared" si="17"/>
        <v/>
      </c>
      <c r="AB92" s="5"/>
      <c r="AC92" s="5"/>
      <c r="AE92" t="str">
        <f>IFERROR(INDEX(EqTag,_xlfn.AGGREGATE(15,6,(ROW(EqTag)-4)/((EqSys=$D$3)*(EqTag&lt;&gt;"")),ROWS($AE$14:AE92))),"")</f>
        <v/>
      </c>
    </row>
    <row r="93" spans="1:31" ht="30" customHeight="1" x14ac:dyDescent="0.2">
      <c r="A93" s="19" t="str">
        <f>IF(F93="","",LEFT($D$3,3)&amp;"-"&amp;TEXT(COUNTIF(F$14:F93,"?*"),"00"))</f>
        <v/>
      </c>
      <c r="B93" s="5"/>
      <c r="C93" s="6" t="str">
        <f t="shared" si="12"/>
        <v/>
      </c>
      <c r="D93" s="5"/>
      <c r="E93" s="5"/>
      <c r="F93" s="5"/>
      <c r="G93" s="5"/>
      <c r="H93" s="5"/>
      <c r="I93" s="5"/>
      <c r="J93" s="5"/>
      <c r="K93" s="15"/>
      <c r="L93" s="5"/>
      <c r="M93" s="15"/>
      <c r="N93" s="5"/>
      <c r="O93" s="15"/>
      <c r="P93" s="19" t="str">
        <f t="shared" si="13"/>
        <v/>
      </c>
      <c r="Q93" s="19" t="str">
        <f t="shared" si="14"/>
        <v/>
      </c>
      <c r="R93" s="19" t="str">
        <f t="shared" si="15"/>
        <v/>
      </c>
      <c r="S93" s="5"/>
      <c r="T93" s="5"/>
      <c r="U93" s="5"/>
      <c r="V93" s="24"/>
      <c r="W93" s="15"/>
      <c r="X93" s="15"/>
      <c r="Y93" s="15"/>
      <c r="Z93" s="19" t="str">
        <f t="shared" si="16"/>
        <v/>
      </c>
      <c r="AA93" s="19" t="str">
        <f t="shared" si="17"/>
        <v/>
      </c>
      <c r="AB93" s="5"/>
      <c r="AC93" s="5"/>
      <c r="AE93" t="str">
        <f>IFERROR(INDEX(EqTag,_xlfn.AGGREGATE(15,6,(ROW(EqTag)-4)/((EqSys=$D$3)*(EqTag&lt;&gt;"")),ROWS($AE$14:AE93))),"")</f>
        <v/>
      </c>
    </row>
    <row r="94" spans="1:31" ht="30" customHeight="1" x14ac:dyDescent="0.2">
      <c r="A94" s="19" t="str">
        <f>IF(F94="","",LEFT($D$3,3)&amp;"-"&amp;TEXT(COUNTIF(F$14:F94,"?*"),"00"))</f>
        <v/>
      </c>
      <c r="B94" s="5"/>
      <c r="C94" s="6" t="str">
        <f t="shared" si="12"/>
        <v/>
      </c>
      <c r="D94" s="5"/>
      <c r="E94" s="5"/>
      <c r="F94" s="5"/>
      <c r="G94" s="5"/>
      <c r="H94" s="5"/>
      <c r="I94" s="5"/>
      <c r="J94" s="5"/>
      <c r="K94" s="15"/>
      <c r="L94" s="5"/>
      <c r="M94" s="15"/>
      <c r="N94" s="5"/>
      <c r="O94" s="15"/>
      <c r="P94" s="19" t="str">
        <f t="shared" si="13"/>
        <v/>
      </c>
      <c r="Q94" s="19" t="str">
        <f t="shared" si="14"/>
        <v/>
      </c>
      <c r="R94" s="19" t="str">
        <f t="shared" si="15"/>
        <v/>
      </c>
      <c r="S94" s="5"/>
      <c r="T94" s="5"/>
      <c r="U94" s="5"/>
      <c r="V94" s="24"/>
      <c r="W94" s="15"/>
      <c r="X94" s="15"/>
      <c r="Y94" s="15"/>
      <c r="Z94" s="19" t="str">
        <f t="shared" si="16"/>
        <v/>
      </c>
      <c r="AA94" s="19" t="str">
        <f t="shared" si="17"/>
        <v/>
      </c>
      <c r="AB94" s="5"/>
      <c r="AC94" s="5"/>
      <c r="AE94" t="str">
        <f>IFERROR(INDEX(EqTag,_xlfn.AGGREGATE(15,6,(ROW(EqTag)-4)/((EqSys=$D$3)*(EqTag&lt;&gt;"")),ROWS($AE$14:AE94))),"")</f>
        <v/>
      </c>
    </row>
    <row r="95" spans="1:31" ht="30" customHeight="1" x14ac:dyDescent="0.2">
      <c r="A95" s="19" t="str">
        <f>IF(F95="","",LEFT($D$3,3)&amp;"-"&amp;TEXT(COUNTIF(F$14:F95,"?*"),"00"))</f>
        <v/>
      </c>
      <c r="B95" s="5"/>
      <c r="C95" s="6" t="str">
        <f t="shared" si="12"/>
        <v/>
      </c>
      <c r="D95" s="5"/>
      <c r="E95" s="5"/>
      <c r="F95" s="5"/>
      <c r="G95" s="5"/>
      <c r="H95" s="5"/>
      <c r="I95" s="5"/>
      <c r="J95" s="5"/>
      <c r="K95" s="15"/>
      <c r="L95" s="5"/>
      <c r="M95" s="15"/>
      <c r="N95" s="5"/>
      <c r="O95" s="15"/>
      <c r="P95" s="19" t="str">
        <f t="shared" si="13"/>
        <v/>
      </c>
      <c r="Q95" s="19" t="str">
        <f t="shared" si="14"/>
        <v/>
      </c>
      <c r="R95" s="19" t="str">
        <f t="shared" si="15"/>
        <v/>
      </c>
      <c r="S95" s="5"/>
      <c r="T95" s="5"/>
      <c r="U95" s="5"/>
      <c r="V95" s="24"/>
      <c r="W95" s="15"/>
      <c r="X95" s="15"/>
      <c r="Y95" s="15"/>
      <c r="Z95" s="19" t="str">
        <f t="shared" si="16"/>
        <v/>
      </c>
      <c r="AA95" s="19" t="str">
        <f t="shared" si="17"/>
        <v/>
      </c>
      <c r="AB95" s="5"/>
      <c r="AC95" s="5"/>
      <c r="AE95" t="str">
        <f>IFERROR(INDEX(EqTag,_xlfn.AGGREGATE(15,6,(ROW(EqTag)-4)/((EqSys=$D$3)*(EqTag&lt;&gt;"")),ROWS($AE$14:AE95))),"")</f>
        <v/>
      </c>
    </row>
    <row r="96" spans="1:31" ht="30" customHeight="1" x14ac:dyDescent="0.2">
      <c r="A96" s="19" t="str">
        <f>IF(F96="","",LEFT($D$3,3)&amp;"-"&amp;TEXT(COUNTIF(F$14:F96,"?*"),"00"))</f>
        <v/>
      </c>
      <c r="B96" s="5"/>
      <c r="C96" s="6" t="str">
        <f t="shared" si="12"/>
        <v/>
      </c>
      <c r="D96" s="5"/>
      <c r="E96" s="5"/>
      <c r="F96" s="5"/>
      <c r="G96" s="5"/>
      <c r="H96" s="5"/>
      <c r="I96" s="5"/>
      <c r="J96" s="5"/>
      <c r="K96" s="15"/>
      <c r="L96" s="5"/>
      <c r="M96" s="15"/>
      <c r="N96" s="5"/>
      <c r="O96" s="15"/>
      <c r="P96" s="19" t="str">
        <f t="shared" si="13"/>
        <v/>
      </c>
      <c r="Q96" s="19" t="str">
        <f t="shared" si="14"/>
        <v/>
      </c>
      <c r="R96" s="19" t="str">
        <f t="shared" si="15"/>
        <v/>
      </c>
      <c r="S96" s="5"/>
      <c r="T96" s="5"/>
      <c r="U96" s="5"/>
      <c r="V96" s="24"/>
      <c r="W96" s="15"/>
      <c r="X96" s="15"/>
      <c r="Y96" s="15"/>
      <c r="Z96" s="19" t="str">
        <f t="shared" si="16"/>
        <v/>
      </c>
      <c r="AA96" s="19" t="str">
        <f t="shared" si="17"/>
        <v/>
      </c>
      <c r="AB96" s="5"/>
      <c r="AC96" s="5"/>
      <c r="AE96" t="str">
        <f>IFERROR(INDEX(EqTag,_xlfn.AGGREGATE(15,6,(ROW(EqTag)-4)/((EqSys=$D$3)*(EqTag&lt;&gt;"")),ROWS($AE$14:AE96))),"")</f>
        <v/>
      </c>
    </row>
    <row r="97" spans="1:31" ht="30" customHeight="1" x14ac:dyDescent="0.2">
      <c r="A97" s="19" t="str">
        <f>IF(F97="","",LEFT($D$3,3)&amp;"-"&amp;TEXT(COUNTIF(F$14:F97,"?*"),"00"))</f>
        <v/>
      </c>
      <c r="B97" s="5"/>
      <c r="C97" s="6" t="str">
        <f t="shared" si="12"/>
        <v/>
      </c>
      <c r="D97" s="5"/>
      <c r="E97" s="5"/>
      <c r="F97" s="5"/>
      <c r="G97" s="5"/>
      <c r="H97" s="5"/>
      <c r="I97" s="5"/>
      <c r="J97" s="5"/>
      <c r="K97" s="15"/>
      <c r="L97" s="5"/>
      <c r="M97" s="15"/>
      <c r="N97" s="5"/>
      <c r="O97" s="15"/>
      <c r="P97" s="19" t="str">
        <f t="shared" si="13"/>
        <v/>
      </c>
      <c r="Q97" s="19" t="str">
        <f t="shared" si="14"/>
        <v/>
      </c>
      <c r="R97" s="19" t="str">
        <f t="shared" si="15"/>
        <v/>
      </c>
      <c r="S97" s="5"/>
      <c r="T97" s="5"/>
      <c r="U97" s="5"/>
      <c r="V97" s="24"/>
      <c r="W97" s="15"/>
      <c r="X97" s="15"/>
      <c r="Y97" s="15"/>
      <c r="Z97" s="19" t="str">
        <f t="shared" si="16"/>
        <v/>
      </c>
      <c r="AA97" s="19" t="str">
        <f t="shared" si="17"/>
        <v/>
      </c>
      <c r="AB97" s="5"/>
      <c r="AC97" s="5"/>
      <c r="AE97" t="str">
        <f>IFERROR(INDEX(EqTag,_xlfn.AGGREGATE(15,6,(ROW(EqTag)-4)/((EqSys=$D$3)*(EqTag&lt;&gt;"")),ROWS($AE$14:AE97))),"")</f>
        <v/>
      </c>
    </row>
    <row r="98" spans="1:31" ht="30" customHeight="1" x14ac:dyDescent="0.2">
      <c r="A98" s="19" t="str">
        <f>IF(F98="","",LEFT($D$3,3)&amp;"-"&amp;TEXT(COUNTIF(F$14:F98,"?*"),"00"))</f>
        <v/>
      </c>
      <c r="B98" s="5"/>
      <c r="C98" s="6" t="str">
        <f t="shared" si="12"/>
        <v/>
      </c>
      <c r="D98" s="5"/>
      <c r="E98" s="5"/>
      <c r="F98" s="5"/>
      <c r="G98" s="5"/>
      <c r="H98" s="5"/>
      <c r="I98" s="5"/>
      <c r="J98" s="5"/>
      <c r="K98" s="15"/>
      <c r="L98" s="5"/>
      <c r="M98" s="15"/>
      <c r="N98" s="5"/>
      <c r="O98" s="15"/>
      <c r="P98" s="19" t="str">
        <f t="shared" si="13"/>
        <v/>
      </c>
      <c r="Q98" s="19" t="str">
        <f t="shared" si="14"/>
        <v/>
      </c>
      <c r="R98" s="19" t="str">
        <f t="shared" si="15"/>
        <v/>
      </c>
      <c r="S98" s="5"/>
      <c r="T98" s="5"/>
      <c r="U98" s="5"/>
      <c r="V98" s="24"/>
      <c r="W98" s="15"/>
      <c r="X98" s="15"/>
      <c r="Y98" s="15"/>
      <c r="Z98" s="19" t="str">
        <f t="shared" si="16"/>
        <v/>
      </c>
      <c r="AA98" s="19" t="str">
        <f t="shared" si="17"/>
        <v/>
      </c>
      <c r="AB98" s="5"/>
      <c r="AC98" s="5"/>
      <c r="AE98" t="str">
        <f>IFERROR(INDEX(EqTag,_xlfn.AGGREGATE(15,6,(ROW(EqTag)-4)/((EqSys=$D$3)*(EqTag&lt;&gt;"")),ROWS($AE$14:AE98))),"")</f>
        <v/>
      </c>
    </row>
    <row r="99" spans="1:31" ht="30" customHeight="1" x14ac:dyDescent="0.2">
      <c r="A99" s="19" t="str">
        <f>IF(F99="","",LEFT($D$3,3)&amp;"-"&amp;TEXT(COUNTIF(F$14:F99,"?*"),"00"))</f>
        <v/>
      </c>
      <c r="B99" s="5"/>
      <c r="C99" s="6" t="str">
        <f t="shared" si="12"/>
        <v/>
      </c>
      <c r="D99" s="5"/>
      <c r="E99" s="5"/>
      <c r="F99" s="5"/>
      <c r="G99" s="5"/>
      <c r="H99" s="5"/>
      <c r="I99" s="5"/>
      <c r="J99" s="5"/>
      <c r="K99" s="15"/>
      <c r="L99" s="5"/>
      <c r="M99" s="15"/>
      <c r="N99" s="5"/>
      <c r="O99" s="15"/>
      <c r="P99" s="19" t="str">
        <f t="shared" si="13"/>
        <v/>
      </c>
      <c r="Q99" s="19" t="str">
        <f t="shared" si="14"/>
        <v/>
      </c>
      <c r="R99" s="19" t="str">
        <f t="shared" si="15"/>
        <v/>
      </c>
      <c r="S99" s="5"/>
      <c r="T99" s="5"/>
      <c r="U99" s="5"/>
      <c r="V99" s="24"/>
      <c r="W99" s="15"/>
      <c r="X99" s="15"/>
      <c r="Y99" s="15"/>
      <c r="Z99" s="19" t="str">
        <f t="shared" si="16"/>
        <v/>
      </c>
      <c r="AA99" s="19" t="str">
        <f t="shared" si="17"/>
        <v/>
      </c>
      <c r="AB99" s="5"/>
      <c r="AC99" s="5"/>
      <c r="AE99" t="str">
        <f>IFERROR(INDEX(EqTag,_xlfn.AGGREGATE(15,6,(ROW(EqTag)-4)/((EqSys=$D$3)*(EqTag&lt;&gt;"")),ROWS($AE$14:AE99))),"")</f>
        <v/>
      </c>
    </row>
    <row r="100" spans="1:31" ht="30" customHeight="1" x14ac:dyDescent="0.2">
      <c r="A100" s="19" t="str">
        <f>IF(F100="","",LEFT($D$3,3)&amp;"-"&amp;TEXT(COUNTIF(F$14:F100,"?*"),"00"))</f>
        <v/>
      </c>
      <c r="B100" s="5"/>
      <c r="C100" s="6" t="str">
        <f t="shared" si="12"/>
        <v/>
      </c>
      <c r="D100" s="5"/>
      <c r="E100" s="5"/>
      <c r="F100" s="5"/>
      <c r="G100" s="5"/>
      <c r="H100" s="5"/>
      <c r="I100" s="5"/>
      <c r="J100" s="5"/>
      <c r="K100" s="15"/>
      <c r="L100" s="5"/>
      <c r="M100" s="15"/>
      <c r="N100" s="5"/>
      <c r="O100" s="15"/>
      <c r="P100" s="19" t="str">
        <f t="shared" si="13"/>
        <v/>
      </c>
      <c r="Q100" s="19" t="str">
        <f t="shared" si="14"/>
        <v/>
      </c>
      <c r="R100" s="19" t="str">
        <f t="shared" si="15"/>
        <v/>
      </c>
      <c r="S100" s="5"/>
      <c r="T100" s="5"/>
      <c r="U100" s="5"/>
      <c r="V100" s="24"/>
      <c r="W100" s="15"/>
      <c r="X100" s="15"/>
      <c r="Y100" s="15"/>
      <c r="Z100" s="19" t="str">
        <f t="shared" si="16"/>
        <v/>
      </c>
      <c r="AA100" s="19" t="str">
        <f t="shared" si="17"/>
        <v/>
      </c>
      <c r="AB100" s="5"/>
      <c r="AC100" s="5"/>
      <c r="AE100" t="str">
        <f>IFERROR(INDEX(EqTag,_xlfn.AGGREGATE(15,6,(ROW(EqTag)-4)/((EqSys=$D$3)*(EqTag&lt;&gt;"")),ROWS($AE$14:AE100))),"")</f>
        <v/>
      </c>
    </row>
    <row r="101" spans="1:31" ht="30" customHeight="1" x14ac:dyDescent="0.2">
      <c r="A101" s="19" t="str">
        <f>IF(F101="","",LEFT($D$3,3)&amp;"-"&amp;TEXT(COUNTIF(F$14:F101,"?*"),"00"))</f>
        <v/>
      </c>
      <c r="B101" s="5"/>
      <c r="C101" s="6" t="str">
        <f t="shared" si="12"/>
        <v/>
      </c>
      <c r="D101" s="5"/>
      <c r="E101" s="5"/>
      <c r="F101" s="5"/>
      <c r="G101" s="5"/>
      <c r="H101" s="5"/>
      <c r="I101" s="5"/>
      <c r="J101" s="5"/>
      <c r="K101" s="15"/>
      <c r="L101" s="5"/>
      <c r="M101" s="15"/>
      <c r="N101" s="5"/>
      <c r="O101" s="15"/>
      <c r="P101" s="19" t="str">
        <f t="shared" si="13"/>
        <v/>
      </c>
      <c r="Q101" s="19" t="str">
        <f t="shared" si="14"/>
        <v/>
      </c>
      <c r="R101" s="19" t="str">
        <f t="shared" si="15"/>
        <v/>
      </c>
      <c r="S101" s="5"/>
      <c r="T101" s="5"/>
      <c r="U101" s="5"/>
      <c r="V101" s="24"/>
      <c r="W101" s="15"/>
      <c r="X101" s="15"/>
      <c r="Y101" s="15"/>
      <c r="Z101" s="19" t="str">
        <f t="shared" si="16"/>
        <v/>
      </c>
      <c r="AA101" s="19" t="str">
        <f t="shared" si="17"/>
        <v/>
      </c>
      <c r="AB101" s="5"/>
      <c r="AC101" s="5"/>
      <c r="AE101" t="str">
        <f>IFERROR(INDEX(EqTag,_xlfn.AGGREGATE(15,6,(ROW(EqTag)-4)/((EqSys=$D$3)*(EqTag&lt;&gt;"")),ROWS($AE$14:AE101))),"")</f>
        <v/>
      </c>
    </row>
    <row r="102" spans="1:31" ht="30" customHeight="1" x14ac:dyDescent="0.2">
      <c r="A102" s="19" t="str">
        <f>IF(F102="","",LEFT($D$3,3)&amp;"-"&amp;TEXT(COUNTIF(F$14:F102,"?*"),"00"))</f>
        <v/>
      </c>
      <c r="B102" s="5"/>
      <c r="C102" s="6" t="str">
        <f t="shared" si="12"/>
        <v/>
      </c>
      <c r="D102" s="5"/>
      <c r="E102" s="5"/>
      <c r="F102" s="5"/>
      <c r="G102" s="5"/>
      <c r="H102" s="5"/>
      <c r="I102" s="5"/>
      <c r="J102" s="5"/>
      <c r="K102" s="15"/>
      <c r="L102" s="5"/>
      <c r="M102" s="15"/>
      <c r="N102" s="5"/>
      <c r="O102" s="15"/>
      <c r="P102" s="19" t="str">
        <f t="shared" si="13"/>
        <v/>
      </c>
      <c r="Q102" s="19" t="str">
        <f t="shared" si="14"/>
        <v/>
      </c>
      <c r="R102" s="19" t="str">
        <f t="shared" si="15"/>
        <v/>
      </c>
      <c r="S102" s="5"/>
      <c r="T102" s="5"/>
      <c r="U102" s="5"/>
      <c r="V102" s="24"/>
      <c r="W102" s="15"/>
      <c r="X102" s="15"/>
      <c r="Y102" s="15"/>
      <c r="Z102" s="19" t="str">
        <f t="shared" si="16"/>
        <v/>
      </c>
      <c r="AA102" s="19" t="str">
        <f t="shared" si="17"/>
        <v/>
      </c>
      <c r="AB102" s="5"/>
      <c r="AC102" s="5"/>
      <c r="AE102" t="str">
        <f>IFERROR(INDEX(EqTag,_xlfn.AGGREGATE(15,6,(ROW(EqTag)-4)/((EqSys=$D$3)*(EqTag&lt;&gt;"")),ROWS($AE$14:AE102))),"")</f>
        <v/>
      </c>
    </row>
    <row r="103" spans="1:31" ht="30" customHeight="1" x14ac:dyDescent="0.2">
      <c r="A103" s="19" t="str">
        <f>IF(F103="","",LEFT($D$3,3)&amp;"-"&amp;TEXT(COUNTIF(F$14:F103,"?*"),"00"))</f>
        <v/>
      </c>
      <c r="B103" s="5"/>
      <c r="C103" s="6" t="str">
        <f t="shared" si="12"/>
        <v/>
      </c>
      <c r="D103" s="5"/>
      <c r="E103" s="5"/>
      <c r="F103" s="5"/>
      <c r="G103" s="5"/>
      <c r="H103" s="5"/>
      <c r="I103" s="5"/>
      <c r="J103" s="5"/>
      <c r="K103" s="15"/>
      <c r="L103" s="5"/>
      <c r="M103" s="15"/>
      <c r="N103" s="5"/>
      <c r="O103" s="15"/>
      <c r="P103" s="19" t="str">
        <f t="shared" si="13"/>
        <v/>
      </c>
      <c r="Q103" s="19" t="str">
        <f t="shared" si="14"/>
        <v/>
      </c>
      <c r="R103" s="19" t="str">
        <f t="shared" si="15"/>
        <v/>
      </c>
      <c r="S103" s="5"/>
      <c r="T103" s="5"/>
      <c r="U103" s="5"/>
      <c r="V103" s="24"/>
      <c r="W103" s="15"/>
      <c r="X103" s="15"/>
      <c r="Y103" s="15"/>
      <c r="Z103" s="19" t="str">
        <f t="shared" si="16"/>
        <v/>
      </c>
      <c r="AA103" s="19" t="str">
        <f t="shared" si="17"/>
        <v/>
      </c>
      <c r="AB103" s="5"/>
      <c r="AC103" s="5"/>
      <c r="AE103" t="str">
        <f>IFERROR(INDEX(EqTag,_xlfn.AGGREGATE(15,6,(ROW(EqTag)-4)/((EqSys=$D$3)*(EqTag&lt;&gt;"")),ROWS($AE$14:AE103))),"")</f>
        <v/>
      </c>
    </row>
    <row r="104" spans="1:31" ht="30" customHeight="1" x14ac:dyDescent="0.2">
      <c r="A104" s="19" t="str">
        <f>IF(F104="","",LEFT($D$3,3)&amp;"-"&amp;TEXT(COUNTIF(F$14:F104,"?*"),"00"))</f>
        <v/>
      </c>
      <c r="B104" s="5"/>
      <c r="C104" s="6" t="str">
        <f t="shared" si="12"/>
        <v/>
      </c>
      <c r="D104" s="5"/>
      <c r="E104" s="5"/>
      <c r="F104" s="5"/>
      <c r="G104" s="5"/>
      <c r="H104" s="5"/>
      <c r="I104" s="5"/>
      <c r="J104" s="5"/>
      <c r="K104" s="15"/>
      <c r="L104" s="5"/>
      <c r="M104" s="15"/>
      <c r="N104" s="5"/>
      <c r="O104" s="15"/>
      <c r="P104" s="19" t="str">
        <f t="shared" si="13"/>
        <v/>
      </c>
      <c r="Q104" s="19" t="str">
        <f t="shared" si="14"/>
        <v/>
      </c>
      <c r="R104" s="19" t="str">
        <f t="shared" si="15"/>
        <v/>
      </c>
      <c r="S104" s="5"/>
      <c r="T104" s="5"/>
      <c r="U104" s="5"/>
      <c r="V104" s="24"/>
      <c r="W104" s="15"/>
      <c r="X104" s="15"/>
      <c r="Y104" s="15"/>
      <c r="Z104" s="19" t="str">
        <f t="shared" si="16"/>
        <v/>
      </c>
      <c r="AA104" s="19" t="str">
        <f t="shared" si="17"/>
        <v/>
      </c>
      <c r="AB104" s="5"/>
      <c r="AC104" s="5"/>
      <c r="AE104" t="str">
        <f>IFERROR(INDEX(EqTag,_xlfn.AGGREGATE(15,6,(ROW(EqTag)-4)/((EqSys=$D$3)*(EqTag&lt;&gt;"")),ROWS($AE$14:AE104))),"")</f>
        <v/>
      </c>
    </row>
    <row r="105" spans="1:31" ht="30" customHeight="1" x14ac:dyDescent="0.2">
      <c r="A105" s="19" t="str">
        <f>IF(F105="","",LEFT($D$3,3)&amp;"-"&amp;TEXT(COUNTIF(F$14:F105,"?*"),"00"))</f>
        <v/>
      </c>
      <c r="B105" s="5"/>
      <c r="C105" s="6" t="str">
        <f t="shared" si="12"/>
        <v/>
      </c>
      <c r="D105" s="5"/>
      <c r="E105" s="5"/>
      <c r="F105" s="5"/>
      <c r="G105" s="5"/>
      <c r="H105" s="5"/>
      <c r="I105" s="5"/>
      <c r="J105" s="5"/>
      <c r="K105" s="15"/>
      <c r="L105" s="5"/>
      <c r="M105" s="15"/>
      <c r="N105" s="5"/>
      <c r="O105" s="15"/>
      <c r="P105" s="19" t="str">
        <f t="shared" si="13"/>
        <v/>
      </c>
      <c r="Q105" s="19" t="str">
        <f t="shared" si="14"/>
        <v/>
      </c>
      <c r="R105" s="19" t="str">
        <f t="shared" si="15"/>
        <v/>
      </c>
      <c r="S105" s="5"/>
      <c r="T105" s="5"/>
      <c r="U105" s="5"/>
      <c r="V105" s="24"/>
      <c r="W105" s="15"/>
      <c r="X105" s="15"/>
      <c r="Y105" s="15"/>
      <c r="Z105" s="19" t="str">
        <f t="shared" si="16"/>
        <v/>
      </c>
      <c r="AA105" s="19" t="str">
        <f t="shared" si="17"/>
        <v/>
      </c>
      <c r="AB105" s="5"/>
      <c r="AC105" s="5"/>
      <c r="AE105" t="str">
        <f>IFERROR(INDEX(EqTag,_xlfn.AGGREGATE(15,6,(ROW(EqTag)-4)/((EqSys=$D$3)*(EqTag&lt;&gt;"")),ROWS($AE$14:AE105))),"")</f>
        <v/>
      </c>
    </row>
    <row r="106" spans="1:31" ht="30" customHeight="1" x14ac:dyDescent="0.2">
      <c r="A106" s="19" t="str">
        <f>IF(F106="","",LEFT($D$3,3)&amp;"-"&amp;TEXT(COUNTIF(F$14:F106,"?*"),"00"))</f>
        <v/>
      </c>
      <c r="B106" s="5"/>
      <c r="C106" s="6" t="str">
        <f t="shared" si="12"/>
        <v/>
      </c>
      <c r="D106" s="5"/>
      <c r="E106" s="5"/>
      <c r="F106" s="5"/>
      <c r="G106" s="5"/>
      <c r="H106" s="5"/>
      <c r="I106" s="5"/>
      <c r="J106" s="5"/>
      <c r="K106" s="15"/>
      <c r="L106" s="5"/>
      <c r="M106" s="15"/>
      <c r="N106" s="5"/>
      <c r="O106" s="15"/>
      <c r="P106" s="19" t="str">
        <f t="shared" si="13"/>
        <v/>
      </c>
      <c r="Q106" s="19" t="str">
        <f t="shared" si="14"/>
        <v/>
      </c>
      <c r="R106" s="19" t="str">
        <f t="shared" si="15"/>
        <v/>
      </c>
      <c r="S106" s="5"/>
      <c r="T106" s="5"/>
      <c r="U106" s="5"/>
      <c r="V106" s="24"/>
      <c r="W106" s="15"/>
      <c r="X106" s="15"/>
      <c r="Y106" s="15"/>
      <c r="Z106" s="19" t="str">
        <f t="shared" si="16"/>
        <v/>
      </c>
      <c r="AA106" s="19" t="str">
        <f t="shared" si="17"/>
        <v/>
      </c>
      <c r="AB106" s="5"/>
      <c r="AC106" s="5"/>
      <c r="AE106" t="str">
        <f>IFERROR(INDEX(EqTag,_xlfn.AGGREGATE(15,6,(ROW(EqTag)-4)/((EqSys=$D$3)*(EqTag&lt;&gt;"")),ROWS($AE$14:AE106))),"")</f>
        <v/>
      </c>
    </row>
    <row r="107" spans="1:31" ht="30" customHeight="1" x14ac:dyDescent="0.2">
      <c r="A107" s="19" t="str">
        <f>IF(F107="","",LEFT($D$3,3)&amp;"-"&amp;TEXT(COUNTIF(F$14:F107,"?*"),"00"))</f>
        <v/>
      </c>
      <c r="B107" s="5"/>
      <c r="C107" s="6" t="str">
        <f t="shared" si="12"/>
        <v/>
      </c>
      <c r="D107" s="5"/>
      <c r="E107" s="5"/>
      <c r="F107" s="5"/>
      <c r="G107" s="5"/>
      <c r="H107" s="5"/>
      <c r="I107" s="5"/>
      <c r="J107" s="5"/>
      <c r="K107" s="15"/>
      <c r="L107" s="5"/>
      <c r="M107" s="15"/>
      <c r="N107" s="5"/>
      <c r="O107" s="15"/>
      <c r="P107" s="19" t="str">
        <f t="shared" si="13"/>
        <v/>
      </c>
      <c r="Q107" s="19" t="str">
        <f t="shared" si="14"/>
        <v/>
      </c>
      <c r="R107" s="19" t="str">
        <f t="shared" si="15"/>
        <v/>
      </c>
      <c r="S107" s="5"/>
      <c r="T107" s="5"/>
      <c r="U107" s="5"/>
      <c r="V107" s="24"/>
      <c r="W107" s="15"/>
      <c r="X107" s="15"/>
      <c r="Y107" s="15"/>
      <c r="Z107" s="19" t="str">
        <f t="shared" si="16"/>
        <v/>
      </c>
      <c r="AA107" s="19" t="str">
        <f t="shared" si="17"/>
        <v/>
      </c>
      <c r="AB107" s="5"/>
      <c r="AC107" s="5"/>
      <c r="AE107" t="str">
        <f>IFERROR(INDEX(EqTag,_xlfn.AGGREGATE(15,6,(ROW(EqTag)-4)/((EqSys=$D$3)*(EqTag&lt;&gt;"")),ROWS($AE$14:AE107))),"")</f>
        <v/>
      </c>
    </row>
    <row r="108" spans="1:31" ht="30" customHeight="1" x14ac:dyDescent="0.2">
      <c r="A108" s="19" t="str">
        <f>IF(F108="","",LEFT($D$3,3)&amp;"-"&amp;TEXT(COUNTIF(F$14:F108,"?*"),"00"))</f>
        <v/>
      </c>
      <c r="B108" s="5"/>
      <c r="C108" s="6" t="str">
        <f t="shared" si="12"/>
        <v/>
      </c>
      <c r="D108" s="5"/>
      <c r="E108" s="5"/>
      <c r="F108" s="5"/>
      <c r="G108" s="5"/>
      <c r="H108" s="5"/>
      <c r="I108" s="5"/>
      <c r="J108" s="5"/>
      <c r="K108" s="15"/>
      <c r="L108" s="5"/>
      <c r="M108" s="15"/>
      <c r="N108" s="5"/>
      <c r="O108" s="15"/>
      <c r="P108" s="19" t="str">
        <f t="shared" si="13"/>
        <v/>
      </c>
      <c r="Q108" s="19" t="str">
        <f t="shared" si="14"/>
        <v/>
      </c>
      <c r="R108" s="19" t="str">
        <f t="shared" si="15"/>
        <v/>
      </c>
      <c r="S108" s="5"/>
      <c r="T108" s="5"/>
      <c r="U108" s="5"/>
      <c r="V108" s="24"/>
      <c r="W108" s="15"/>
      <c r="X108" s="15"/>
      <c r="Y108" s="15"/>
      <c r="Z108" s="19" t="str">
        <f t="shared" si="16"/>
        <v/>
      </c>
      <c r="AA108" s="19" t="str">
        <f t="shared" si="17"/>
        <v/>
      </c>
      <c r="AB108" s="5"/>
      <c r="AC108" s="5"/>
      <c r="AE108" t="str">
        <f>IFERROR(INDEX(EqTag,_xlfn.AGGREGATE(15,6,(ROW(EqTag)-4)/((EqSys=$D$3)*(EqTag&lt;&gt;"")),ROWS($AE$14:AE108))),"")</f>
        <v/>
      </c>
    </row>
    <row r="109" spans="1:31" ht="30" customHeight="1" x14ac:dyDescent="0.2">
      <c r="A109" s="19" t="str">
        <f>IF(F109="","",LEFT($D$3,3)&amp;"-"&amp;TEXT(COUNTIF(F$14:F109,"?*"),"00"))</f>
        <v/>
      </c>
      <c r="B109" s="5"/>
      <c r="C109" s="6" t="str">
        <f t="shared" si="12"/>
        <v/>
      </c>
      <c r="D109" s="5"/>
      <c r="E109" s="5"/>
      <c r="F109" s="5"/>
      <c r="G109" s="5"/>
      <c r="H109" s="5"/>
      <c r="I109" s="5"/>
      <c r="J109" s="5"/>
      <c r="K109" s="15"/>
      <c r="L109" s="5"/>
      <c r="M109" s="15"/>
      <c r="N109" s="5"/>
      <c r="O109" s="15"/>
      <c r="P109" s="19" t="str">
        <f t="shared" si="13"/>
        <v/>
      </c>
      <c r="Q109" s="19" t="str">
        <f t="shared" si="14"/>
        <v/>
      </c>
      <c r="R109" s="19" t="str">
        <f t="shared" si="15"/>
        <v/>
      </c>
      <c r="S109" s="5"/>
      <c r="T109" s="5"/>
      <c r="U109" s="5"/>
      <c r="V109" s="24"/>
      <c r="W109" s="15"/>
      <c r="X109" s="15"/>
      <c r="Y109" s="15"/>
      <c r="Z109" s="19" t="str">
        <f t="shared" si="16"/>
        <v/>
      </c>
      <c r="AA109" s="19" t="str">
        <f t="shared" si="17"/>
        <v/>
      </c>
      <c r="AB109" s="5"/>
      <c r="AC109" s="5"/>
      <c r="AE109" t="str">
        <f>IFERROR(INDEX(EqTag,_xlfn.AGGREGATE(15,6,(ROW(EqTag)-4)/((EqSys=$D$3)*(EqTag&lt;&gt;"")),ROWS($AE$14:AE109))),"")</f>
        <v/>
      </c>
    </row>
    <row r="110" spans="1:31" ht="30" customHeight="1" x14ac:dyDescent="0.2">
      <c r="A110" s="19" t="str">
        <f>IF(F110="","",LEFT($D$3,3)&amp;"-"&amp;TEXT(COUNTIF(F$14:F110,"?*"),"00"))</f>
        <v/>
      </c>
      <c r="B110" s="5"/>
      <c r="C110" s="6" t="str">
        <f t="shared" ref="C110:C141" si="18">IF(B110="","",IFERROR(INDEX(EqTypeCol,MATCH(B110,EqTag,0)),"Tag not in register"))</f>
        <v/>
      </c>
      <c r="D110" s="5"/>
      <c r="E110" s="5"/>
      <c r="F110" s="5"/>
      <c r="G110" s="5"/>
      <c r="H110" s="5"/>
      <c r="I110" s="5"/>
      <c r="J110" s="5"/>
      <c r="K110" s="15"/>
      <c r="L110" s="5"/>
      <c r="M110" s="15"/>
      <c r="N110" s="5"/>
      <c r="O110" s="15"/>
      <c r="P110" s="19" t="str">
        <f t="shared" ref="P110:P141" si="19">IF(OR(K110="",M110="",O110=""),"",(--TRIM(LEFT(K110,2)))*(--TRIM(LEFT(M110,2)))*(--TRIM(LEFT(O110,2))))</f>
        <v/>
      </c>
      <c r="Q110" s="19" t="str">
        <f t="shared" ref="Q110:Q141" si="20">IF(OR(K110="",M110="",O110=""),"",INDEX(APGrid,COUNTIF(APS,"&gt;"&amp;(--TRIM(LEFT(K110,2))))*5+COUNTIF(APO,"&gt;"&amp;(--TRIM(LEFT(M110,2))))+1,COUNTIF(APD,"&gt;"&amp;(--TRIM(LEFT(O110,2))))+1))</f>
        <v/>
      </c>
      <c r="R110" s="19" t="str">
        <f t="shared" ref="R110:R141" si="21">IF(P110="","",IF(OR((--TRIM(LEFT(K110,2)))&gt;=SThr,P110&gt;=RPNThr,Q110="H"),"Yes","No"))</f>
        <v/>
      </c>
      <c r="S110" s="5"/>
      <c r="T110" s="5"/>
      <c r="U110" s="5"/>
      <c r="V110" s="24"/>
      <c r="W110" s="15"/>
      <c r="X110" s="15"/>
      <c r="Y110" s="15"/>
      <c r="Z110" s="19" t="str">
        <f t="shared" ref="Z110:Z141" si="22">IF(OR(W110="",X110="",Y110=""),"",(--TRIM(LEFT(W110,2)))*(--TRIM(LEFT(X110,2)))*(--TRIM(LEFT(Y110,2))))</f>
        <v/>
      </c>
      <c r="AA110" s="19" t="str">
        <f t="shared" ref="AA110:AA141" si="23">IF(OR(W110="",X110="",Y110=""),"",INDEX(APGrid,COUNTIF(APS,"&gt;"&amp;(--TRIM(LEFT(W110,2))))*5+COUNTIF(APO,"&gt;"&amp;(--TRIM(LEFT(X110,2))))+1,COUNTIF(APD,"&gt;"&amp;(--TRIM(LEFT(Y110,2))))+1))</f>
        <v/>
      </c>
      <c r="AB110" s="5"/>
      <c r="AC110" s="5"/>
      <c r="AE110" t="str">
        <f>IFERROR(INDEX(EqTag,_xlfn.AGGREGATE(15,6,(ROW(EqTag)-4)/((EqSys=$D$3)*(EqTag&lt;&gt;"")),ROWS($AE$14:AE110))),"")</f>
        <v/>
      </c>
    </row>
    <row r="111" spans="1:31" ht="30" customHeight="1" x14ac:dyDescent="0.2">
      <c r="A111" s="19" t="str">
        <f>IF(F111="","",LEFT($D$3,3)&amp;"-"&amp;TEXT(COUNTIF(F$14:F111,"?*"),"00"))</f>
        <v/>
      </c>
      <c r="B111" s="5"/>
      <c r="C111" s="6" t="str">
        <f t="shared" si="18"/>
        <v/>
      </c>
      <c r="D111" s="5"/>
      <c r="E111" s="5"/>
      <c r="F111" s="5"/>
      <c r="G111" s="5"/>
      <c r="H111" s="5"/>
      <c r="I111" s="5"/>
      <c r="J111" s="5"/>
      <c r="K111" s="15"/>
      <c r="L111" s="5"/>
      <c r="M111" s="15"/>
      <c r="N111" s="5"/>
      <c r="O111" s="15"/>
      <c r="P111" s="19" t="str">
        <f t="shared" si="19"/>
        <v/>
      </c>
      <c r="Q111" s="19" t="str">
        <f t="shared" si="20"/>
        <v/>
      </c>
      <c r="R111" s="19" t="str">
        <f t="shared" si="21"/>
        <v/>
      </c>
      <c r="S111" s="5"/>
      <c r="T111" s="5"/>
      <c r="U111" s="5"/>
      <c r="V111" s="24"/>
      <c r="W111" s="15"/>
      <c r="X111" s="15"/>
      <c r="Y111" s="15"/>
      <c r="Z111" s="19" t="str">
        <f t="shared" si="22"/>
        <v/>
      </c>
      <c r="AA111" s="19" t="str">
        <f t="shared" si="23"/>
        <v/>
      </c>
      <c r="AB111" s="5"/>
      <c r="AC111" s="5"/>
      <c r="AE111" t="str">
        <f>IFERROR(INDEX(EqTag,_xlfn.AGGREGATE(15,6,(ROW(EqTag)-4)/((EqSys=$D$3)*(EqTag&lt;&gt;"")),ROWS($AE$14:AE111))),"")</f>
        <v/>
      </c>
    </row>
    <row r="112" spans="1:31" ht="30" customHeight="1" x14ac:dyDescent="0.2">
      <c r="A112" s="19" t="str">
        <f>IF(F112="","",LEFT($D$3,3)&amp;"-"&amp;TEXT(COUNTIF(F$14:F112,"?*"),"00"))</f>
        <v/>
      </c>
      <c r="B112" s="5"/>
      <c r="C112" s="6" t="str">
        <f t="shared" si="18"/>
        <v/>
      </c>
      <c r="D112" s="5"/>
      <c r="E112" s="5"/>
      <c r="F112" s="5"/>
      <c r="G112" s="5"/>
      <c r="H112" s="5"/>
      <c r="I112" s="5"/>
      <c r="J112" s="5"/>
      <c r="K112" s="15"/>
      <c r="L112" s="5"/>
      <c r="M112" s="15"/>
      <c r="N112" s="5"/>
      <c r="O112" s="15"/>
      <c r="P112" s="19" t="str">
        <f t="shared" si="19"/>
        <v/>
      </c>
      <c r="Q112" s="19" t="str">
        <f t="shared" si="20"/>
        <v/>
      </c>
      <c r="R112" s="19" t="str">
        <f t="shared" si="21"/>
        <v/>
      </c>
      <c r="S112" s="5"/>
      <c r="T112" s="5"/>
      <c r="U112" s="5"/>
      <c r="V112" s="24"/>
      <c r="W112" s="15"/>
      <c r="X112" s="15"/>
      <c r="Y112" s="15"/>
      <c r="Z112" s="19" t="str">
        <f t="shared" si="22"/>
        <v/>
      </c>
      <c r="AA112" s="19" t="str">
        <f t="shared" si="23"/>
        <v/>
      </c>
      <c r="AB112" s="5"/>
      <c r="AC112" s="5"/>
      <c r="AE112" t="str">
        <f>IFERROR(INDEX(EqTag,_xlfn.AGGREGATE(15,6,(ROW(EqTag)-4)/((EqSys=$D$3)*(EqTag&lt;&gt;"")),ROWS($AE$14:AE112))),"")</f>
        <v/>
      </c>
    </row>
    <row r="113" spans="1:31" ht="30" customHeight="1" x14ac:dyDescent="0.2">
      <c r="A113" s="19" t="str">
        <f>IF(F113="","",LEFT($D$3,3)&amp;"-"&amp;TEXT(COUNTIF(F$14:F113,"?*"),"00"))</f>
        <v/>
      </c>
      <c r="B113" s="5"/>
      <c r="C113" s="6" t="str">
        <f t="shared" si="18"/>
        <v/>
      </c>
      <c r="D113" s="5"/>
      <c r="E113" s="5"/>
      <c r="F113" s="5"/>
      <c r="G113" s="5"/>
      <c r="H113" s="5"/>
      <c r="I113" s="5"/>
      <c r="J113" s="5"/>
      <c r="K113" s="15"/>
      <c r="L113" s="5"/>
      <c r="M113" s="15"/>
      <c r="N113" s="5"/>
      <c r="O113" s="15"/>
      <c r="P113" s="19" t="str">
        <f t="shared" si="19"/>
        <v/>
      </c>
      <c r="Q113" s="19" t="str">
        <f t="shared" si="20"/>
        <v/>
      </c>
      <c r="R113" s="19" t="str">
        <f t="shared" si="21"/>
        <v/>
      </c>
      <c r="S113" s="5"/>
      <c r="T113" s="5"/>
      <c r="U113" s="5"/>
      <c r="V113" s="24"/>
      <c r="W113" s="15"/>
      <c r="X113" s="15"/>
      <c r="Y113" s="15"/>
      <c r="Z113" s="19" t="str">
        <f t="shared" si="22"/>
        <v/>
      </c>
      <c r="AA113" s="19" t="str">
        <f t="shared" si="23"/>
        <v/>
      </c>
      <c r="AB113" s="5"/>
      <c r="AC113" s="5"/>
      <c r="AE113" t="str">
        <f>IFERROR(INDEX(EqTag,_xlfn.AGGREGATE(15,6,(ROW(EqTag)-4)/((EqSys=$D$3)*(EqTag&lt;&gt;"")),ROWS($AE$14:AE113))),"")</f>
        <v/>
      </c>
    </row>
    <row r="114" spans="1:31" ht="30" customHeight="1" x14ac:dyDescent="0.2">
      <c r="A114" s="19" t="str">
        <f>IF(F114="","",LEFT($D$3,3)&amp;"-"&amp;TEXT(COUNTIF(F$14:F114,"?*"),"00"))</f>
        <v/>
      </c>
      <c r="B114" s="5"/>
      <c r="C114" s="6" t="str">
        <f t="shared" si="18"/>
        <v/>
      </c>
      <c r="D114" s="5"/>
      <c r="E114" s="5"/>
      <c r="F114" s="5"/>
      <c r="G114" s="5"/>
      <c r="H114" s="5"/>
      <c r="I114" s="5"/>
      <c r="J114" s="5"/>
      <c r="K114" s="15"/>
      <c r="L114" s="5"/>
      <c r="M114" s="15"/>
      <c r="N114" s="5"/>
      <c r="O114" s="15"/>
      <c r="P114" s="19" t="str">
        <f t="shared" si="19"/>
        <v/>
      </c>
      <c r="Q114" s="19" t="str">
        <f t="shared" si="20"/>
        <v/>
      </c>
      <c r="R114" s="19" t="str">
        <f t="shared" si="21"/>
        <v/>
      </c>
      <c r="S114" s="5"/>
      <c r="T114" s="5"/>
      <c r="U114" s="5"/>
      <c r="V114" s="24"/>
      <c r="W114" s="15"/>
      <c r="X114" s="15"/>
      <c r="Y114" s="15"/>
      <c r="Z114" s="19" t="str">
        <f t="shared" si="22"/>
        <v/>
      </c>
      <c r="AA114" s="19" t="str">
        <f t="shared" si="23"/>
        <v/>
      </c>
      <c r="AB114" s="5"/>
      <c r="AC114" s="5"/>
      <c r="AE114" t="str">
        <f>IFERROR(INDEX(EqTag,_xlfn.AGGREGATE(15,6,(ROW(EqTag)-4)/((EqSys=$D$3)*(EqTag&lt;&gt;"")),ROWS($AE$14:AE114))),"")</f>
        <v/>
      </c>
    </row>
    <row r="115" spans="1:31" ht="30" customHeight="1" x14ac:dyDescent="0.2">
      <c r="A115" s="19" t="str">
        <f>IF(F115="","",LEFT($D$3,3)&amp;"-"&amp;TEXT(COUNTIF(F$14:F115,"?*"),"00"))</f>
        <v/>
      </c>
      <c r="B115" s="5"/>
      <c r="C115" s="6" t="str">
        <f t="shared" si="18"/>
        <v/>
      </c>
      <c r="D115" s="5"/>
      <c r="E115" s="5"/>
      <c r="F115" s="5"/>
      <c r="G115" s="5"/>
      <c r="H115" s="5"/>
      <c r="I115" s="5"/>
      <c r="J115" s="5"/>
      <c r="K115" s="15"/>
      <c r="L115" s="5"/>
      <c r="M115" s="15"/>
      <c r="N115" s="5"/>
      <c r="O115" s="15"/>
      <c r="P115" s="19" t="str">
        <f t="shared" si="19"/>
        <v/>
      </c>
      <c r="Q115" s="19" t="str">
        <f t="shared" si="20"/>
        <v/>
      </c>
      <c r="R115" s="19" t="str">
        <f t="shared" si="21"/>
        <v/>
      </c>
      <c r="S115" s="5"/>
      <c r="T115" s="5"/>
      <c r="U115" s="5"/>
      <c r="V115" s="24"/>
      <c r="W115" s="15"/>
      <c r="X115" s="15"/>
      <c r="Y115" s="15"/>
      <c r="Z115" s="19" t="str">
        <f t="shared" si="22"/>
        <v/>
      </c>
      <c r="AA115" s="19" t="str">
        <f t="shared" si="23"/>
        <v/>
      </c>
      <c r="AB115" s="5"/>
      <c r="AC115" s="5"/>
      <c r="AE115" t="str">
        <f>IFERROR(INDEX(EqTag,_xlfn.AGGREGATE(15,6,(ROW(EqTag)-4)/((EqSys=$D$3)*(EqTag&lt;&gt;"")),ROWS($AE$14:AE115))),"")</f>
        <v/>
      </c>
    </row>
    <row r="116" spans="1:31" ht="30" customHeight="1" x14ac:dyDescent="0.2">
      <c r="A116" s="19" t="str">
        <f>IF(F116="","",LEFT($D$3,3)&amp;"-"&amp;TEXT(COUNTIF(F$14:F116,"?*"),"00"))</f>
        <v/>
      </c>
      <c r="B116" s="5"/>
      <c r="C116" s="6" t="str">
        <f t="shared" si="18"/>
        <v/>
      </c>
      <c r="D116" s="5"/>
      <c r="E116" s="5"/>
      <c r="F116" s="5"/>
      <c r="G116" s="5"/>
      <c r="H116" s="5"/>
      <c r="I116" s="5"/>
      <c r="J116" s="5"/>
      <c r="K116" s="15"/>
      <c r="L116" s="5"/>
      <c r="M116" s="15"/>
      <c r="N116" s="5"/>
      <c r="O116" s="15"/>
      <c r="P116" s="19" t="str">
        <f t="shared" si="19"/>
        <v/>
      </c>
      <c r="Q116" s="19" t="str">
        <f t="shared" si="20"/>
        <v/>
      </c>
      <c r="R116" s="19" t="str">
        <f t="shared" si="21"/>
        <v/>
      </c>
      <c r="S116" s="5"/>
      <c r="T116" s="5"/>
      <c r="U116" s="5"/>
      <c r="V116" s="24"/>
      <c r="W116" s="15"/>
      <c r="X116" s="15"/>
      <c r="Y116" s="15"/>
      <c r="Z116" s="19" t="str">
        <f t="shared" si="22"/>
        <v/>
      </c>
      <c r="AA116" s="19" t="str">
        <f t="shared" si="23"/>
        <v/>
      </c>
      <c r="AB116" s="5"/>
      <c r="AC116" s="5"/>
      <c r="AE116" t="str">
        <f>IFERROR(INDEX(EqTag,_xlfn.AGGREGATE(15,6,(ROW(EqTag)-4)/((EqSys=$D$3)*(EqTag&lt;&gt;"")),ROWS($AE$14:AE116))),"")</f>
        <v/>
      </c>
    </row>
    <row r="117" spans="1:31" ht="30" customHeight="1" x14ac:dyDescent="0.2">
      <c r="A117" s="19" t="str">
        <f>IF(F117="","",LEFT($D$3,3)&amp;"-"&amp;TEXT(COUNTIF(F$14:F117,"?*"),"00"))</f>
        <v/>
      </c>
      <c r="B117" s="5"/>
      <c r="C117" s="6" t="str">
        <f t="shared" si="18"/>
        <v/>
      </c>
      <c r="D117" s="5"/>
      <c r="E117" s="5"/>
      <c r="F117" s="5"/>
      <c r="G117" s="5"/>
      <c r="H117" s="5"/>
      <c r="I117" s="5"/>
      <c r="J117" s="5"/>
      <c r="K117" s="15"/>
      <c r="L117" s="5"/>
      <c r="M117" s="15"/>
      <c r="N117" s="5"/>
      <c r="O117" s="15"/>
      <c r="P117" s="19" t="str">
        <f t="shared" si="19"/>
        <v/>
      </c>
      <c r="Q117" s="19" t="str">
        <f t="shared" si="20"/>
        <v/>
      </c>
      <c r="R117" s="19" t="str">
        <f t="shared" si="21"/>
        <v/>
      </c>
      <c r="S117" s="5"/>
      <c r="T117" s="5"/>
      <c r="U117" s="5"/>
      <c r="V117" s="24"/>
      <c r="W117" s="15"/>
      <c r="X117" s="15"/>
      <c r="Y117" s="15"/>
      <c r="Z117" s="19" t="str">
        <f t="shared" si="22"/>
        <v/>
      </c>
      <c r="AA117" s="19" t="str">
        <f t="shared" si="23"/>
        <v/>
      </c>
      <c r="AB117" s="5"/>
      <c r="AC117" s="5"/>
      <c r="AE117" t="str">
        <f>IFERROR(INDEX(EqTag,_xlfn.AGGREGATE(15,6,(ROW(EqTag)-4)/((EqSys=$D$3)*(EqTag&lt;&gt;"")),ROWS($AE$14:AE117))),"")</f>
        <v/>
      </c>
    </row>
    <row r="118" spans="1:31" ht="30" customHeight="1" x14ac:dyDescent="0.2">
      <c r="A118" s="19" t="str">
        <f>IF(F118="","",LEFT($D$3,3)&amp;"-"&amp;TEXT(COUNTIF(F$14:F118,"?*"),"00"))</f>
        <v/>
      </c>
      <c r="B118" s="5"/>
      <c r="C118" s="6" t="str">
        <f t="shared" si="18"/>
        <v/>
      </c>
      <c r="D118" s="5"/>
      <c r="E118" s="5"/>
      <c r="F118" s="5"/>
      <c r="G118" s="5"/>
      <c r="H118" s="5"/>
      <c r="I118" s="5"/>
      <c r="J118" s="5"/>
      <c r="K118" s="15"/>
      <c r="L118" s="5"/>
      <c r="M118" s="15"/>
      <c r="N118" s="5"/>
      <c r="O118" s="15"/>
      <c r="P118" s="19" t="str">
        <f t="shared" si="19"/>
        <v/>
      </c>
      <c r="Q118" s="19" t="str">
        <f t="shared" si="20"/>
        <v/>
      </c>
      <c r="R118" s="19" t="str">
        <f t="shared" si="21"/>
        <v/>
      </c>
      <c r="S118" s="5"/>
      <c r="T118" s="5"/>
      <c r="U118" s="5"/>
      <c r="V118" s="24"/>
      <c r="W118" s="15"/>
      <c r="X118" s="15"/>
      <c r="Y118" s="15"/>
      <c r="Z118" s="19" t="str">
        <f t="shared" si="22"/>
        <v/>
      </c>
      <c r="AA118" s="19" t="str">
        <f t="shared" si="23"/>
        <v/>
      </c>
      <c r="AB118" s="5"/>
      <c r="AC118" s="5"/>
      <c r="AE118" t="str">
        <f>IFERROR(INDEX(EqTag,_xlfn.AGGREGATE(15,6,(ROW(EqTag)-4)/((EqSys=$D$3)*(EqTag&lt;&gt;"")),ROWS($AE$14:AE118))),"")</f>
        <v/>
      </c>
    </row>
    <row r="119" spans="1:31" ht="30" customHeight="1" x14ac:dyDescent="0.2">
      <c r="A119" s="19" t="str">
        <f>IF(F119="","",LEFT($D$3,3)&amp;"-"&amp;TEXT(COUNTIF(F$14:F119,"?*"),"00"))</f>
        <v/>
      </c>
      <c r="B119" s="5"/>
      <c r="C119" s="6" t="str">
        <f t="shared" si="18"/>
        <v/>
      </c>
      <c r="D119" s="5"/>
      <c r="E119" s="5"/>
      <c r="F119" s="5"/>
      <c r="G119" s="5"/>
      <c r="H119" s="5"/>
      <c r="I119" s="5"/>
      <c r="J119" s="5"/>
      <c r="K119" s="15"/>
      <c r="L119" s="5"/>
      <c r="M119" s="15"/>
      <c r="N119" s="5"/>
      <c r="O119" s="15"/>
      <c r="P119" s="19" t="str">
        <f t="shared" si="19"/>
        <v/>
      </c>
      <c r="Q119" s="19" t="str">
        <f t="shared" si="20"/>
        <v/>
      </c>
      <c r="R119" s="19" t="str">
        <f t="shared" si="21"/>
        <v/>
      </c>
      <c r="S119" s="5"/>
      <c r="T119" s="5"/>
      <c r="U119" s="5"/>
      <c r="V119" s="24"/>
      <c r="W119" s="15"/>
      <c r="X119" s="15"/>
      <c r="Y119" s="15"/>
      <c r="Z119" s="19" t="str">
        <f t="shared" si="22"/>
        <v/>
      </c>
      <c r="AA119" s="19" t="str">
        <f t="shared" si="23"/>
        <v/>
      </c>
      <c r="AB119" s="5"/>
      <c r="AC119" s="5"/>
      <c r="AE119" t="str">
        <f>IFERROR(INDEX(EqTag,_xlfn.AGGREGATE(15,6,(ROW(EqTag)-4)/((EqSys=$D$3)*(EqTag&lt;&gt;"")),ROWS($AE$14:AE119))),"")</f>
        <v/>
      </c>
    </row>
    <row r="120" spans="1:31" ht="30" customHeight="1" x14ac:dyDescent="0.2">
      <c r="A120" s="19" t="str">
        <f>IF(F120="","",LEFT($D$3,3)&amp;"-"&amp;TEXT(COUNTIF(F$14:F120,"?*"),"00"))</f>
        <v/>
      </c>
      <c r="B120" s="5"/>
      <c r="C120" s="6" t="str">
        <f t="shared" si="18"/>
        <v/>
      </c>
      <c r="D120" s="5"/>
      <c r="E120" s="5"/>
      <c r="F120" s="5"/>
      <c r="G120" s="5"/>
      <c r="H120" s="5"/>
      <c r="I120" s="5"/>
      <c r="J120" s="5"/>
      <c r="K120" s="15"/>
      <c r="L120" s="5"/>
      <c r="M120" s="15"/>
      <c r="N120" s="5"/>
      <c r="O120" s="15"/>
      <c r="P120" s="19" t="str">
        <f t="shared" si="19"/>
        <v/>
      </c>
      <c r="Q120" s="19" t="str">
        <f t="shared" si="20"/>
        <v/>
      </c>
      <c r="R120" s="19" t="str">
        <f t="shared" si="21"/>
        <v/>
      </c>
      <c r="S120" s="5"/>
      <c r="T120" s="5"/>
      <c r="U120" s="5"/>
      <c r="V120" s="24"/>
      <c r="W120" s="15"/>
      <c r="X120" s="15"/>
      <c r="Y120" s="15"/>
      <c r="Z120" s="19" t="str">
        <f t="shared" si="22"/>
        <v/>
      </c>
      <c r="AA120" s="19" t="str">
        <f t="shared" si="23"/>
        <v/>
      </c>
      <c r="AB120" s="5"/>
      <c r="AC120" s="5"/>
      <c r="AE120" t="str">
        <f>IFERROR(INDEX(EqTag,_xlfn.AGGREGATE(15,6,(ROW(EqTag)-4)/((EqSys=$D$3)*(EqTag&lt;&gt;"")),ROWS($AE$14:AE120))),"")</f>
        <v/>
      </c>
    </row>
    <row r="121" spans="1:31" ht="30" customHeight="1" x14ac:dyDescent="0.2">
      <c r="A121" s="19" t="str">
        <f>IF(F121="","",LEFT($D$3,3)&amp;"-"&amp;TEXT(COUNTIF(F$14:F121,"?*"),"00"))</f>
        <v/>
      </c>
      <c r="B121" s="5"/>
      <c r="C121" s="6" t="str">
        <f t="shared" si="18"/>
        <v/>
      </c>
      <c r="D121" s="5"/>
      <c r="E121" s="5"/>
      <c r="F121" s="5"/>
      <c r="G121" s="5"/>
      <c r="H121" s="5"/>
      <c r="I121" s="5"/>
      <c r="J121" s="5"/>
      <c r="K121" s="15"/>
      <c r="L121" s="5"/>
      <c r="M121" s="15"/>
      <c r="N121" s="5"/>
      <c r="O121" s="15"/>
      <c r="P121" s="19" t="str">
        <f t="shared" si="19"/>
        <v/>
      </c>
      <c r="Q121" s="19" t="str">
        <f t="shared" si="20"/>
        <v/>
      </c>
      <c r="R121" s="19" t="str">
        <f t="shared" si="21"/>
        <v/>
      </c>
      <c r="S121" s="5"/>
      <c r="T121" s="5"/>
      <c r="U121" s="5"/>
      <c r="V121" s="24"/>
      <c r="W121" s="15"/>
      <c r="X121" s="15"/>
      <c r="Y121" s="15"/>
      <c r="Z121" s="19" t="str">
        <f t="shared" si="22"/>
        <v/>
      </c>
      <c r="AA121" s="19" t="str">
        <f t="shared" si="23"/>
        <v/>
      </c>
      <c r="AB121" s="5"/>
      <c r="AC121" s="5"/>
      <c r="AE121" t="str">
        <f>IFERROR(INDEX(EqTag,_xlfn.AGGREGATE(15,6,(ROW(EqTag)-4)/((EqSys=$D$3)*(EqTag&lt;&gt;"")),ROWS($AE$14:AE121))),"")</f>
        <v/>
      </c>
    </row>
    <row r="122" spans="1:31" ht="30" customHeight="1" x14ac:dyDescent="0.2">
      <c r="A122" s="19" t="str">
        <f>IF(F122="","",LEFT($D$3,3)&amp;"-"&amp;TEXT(COUNTIF(F$14:F122,"?*"),"00"))</f>
        <v/>
      </c>
      <c r="B122" s="5"/>
      <c r="C122" s="6" t="str">
        <f t="shared" si="18"/>
        <v/>
      </c>
      <c r="D122" s="5"/>
      <c r="E122" s="5"/>
      <c r="F122" s="5"/>
      <c r="G122" s="5"/>
      <c r="H122" s="5"/>
      <c r="I122" s="5"/>
      <c r="J122" s="5"/>
      <c r="K122" s="15"/>
      <c r="L122" s="5"/>
      <c r="M122" s="15"/>
      <c r="N122" s="5"/>
      <c r="O122" s="15"/>
      <c r="P122" s="19" t="str">
        <f t="shared" si="19"/>
        <v/>
      </c>
      <c r="Q122" s="19" t="str">
        <f t="shared" si="20"/>
        <v/>
      </c>
      <c r="R122" s="19" t="str">
        <f t="shared" si="21"/>
        <v/>
      </c>
      <c r="S122" s="5"/>
      <c r="T122" s="5"/>
      <c r="U122" s="5"/>
      <c r="V122" s="24"/>
      <c r="W122" s="15"/>
      <c r="X122" s="15"/>
      <c r="Y122" s="15"/>
      <c r="Z122" s="19" t="str">
        <f t="shared" si="22"/>
        <v/>
      </c>
      <c r="AA122" s="19" t="str">
        <f t="shared" si="23"/>
        <v/>
      </c>
      <c r="AB122" s="5"/>
      <c r="AC122" s="5"/>
      <c r="AE122" t="str">
        <f>IFERROR(INDEX(EqTag,_xlfn.AGGREGATE(15,6,(ROW(EqTag)-4)/((EqSys=$D$3)*(EqTag&lt;&gt;"")),ROWS($AE$14:AE122))),"")</f>
        <v/>
      </c>
    </row>
    <row r="123" spans="1:31" ht="30" customHeight="1" x14ac:dyDescent="0.2">
      <c r="A123" s="19" t="str">
        <f>IF(F123="","",LEFT($D$3,3)&amp;"-"&amp;TEXT(COUNTIF(F$14:F123,"?*"),"00"))</f>
        <v/>
      </c>
      <c r="B123" s="5"/>
      <c r="C123" s="6" t="str">
        <f t="shared" si="18"/>
        <v/>
      </c>
      <c r="D123" s="5"/>
      <c r="E123" s="5"/>
      <c r="F123" s="5"/>
      <c r="G123" s="5"/>
      <c r="H123" s="5"/>
      <c r="I123" s="5"/>
      <c r="J123" s="5"/>
      <c r="K123" s="15"/>
      <c r="L123" s="5"/>
      <c r="M123" s="15"/>
      <c r="N123" s="5"/>
      <c r="O123" s="15"/>
      <c r="P123" s="19" t="str">
        <f t="shared" si="19"/>
        <v/>
      </c>
      <c r="Q123" s="19" t="str">
        <f t="shared" si="20"/>
        <v/>
      </c>
      <c r="R123" s="19" t="str">
        <f t="shared" si="21"/>
        <v/>
      </c>
      <c r="S123" s="5"/>
      <c r="T123" s="5"/>
      <c r="U123" s="5"/>
      <c r="V123" s="24"/>
      <c r="W123" s="15"/>
      <c r="X123" s="15"/>
      <c r="Y123" s="15"/>
      <c r="Z123" s="19" t="str">
        <f t="shared" si="22"/>
        <v/>
      </c>
      <c r="AA123" s="19" t="str">
        <f t="shared" si="23"/>
        <v/>
      </c>
      <c r="AB123" s="5"/>
      <c r="AC123" s="5"/>
      <c r="AE123" t="str">
        <f>IFERROR(INDEX(EqTag,_xlfn.AGGREGATE(15,6,(ROW(EqTag)-4)/((EqSys=$D$3)*(EqTag&lt;&gt;"")),ROWS($AE$14:AE123))),"")</f>
        <v/>
      </c>
    </row>
    <row r="124" spans="1:31" ht="30" customHeight="1" x14ac:dyDescent="0.2">
      <c r="A124" s="19" t="str">
        <f>IF(F124="","",LEFT($D$3,3)&amp;"-"&amp;TEXT(COUNTIF(F$14:F124,"?*"),"00"))</f>
        <v/>
      </c>
      <c r="B124" s="5"/>
      <c r="C124" s="6" t="str">
        <f t="shared" si="18"/>
        <v/>
      </c>
      <c r="D124" s="5"/>
      <c r="E124" s="5"/>
      <c r="F124" s="5"/>
      <c r="G124" s="5"/>
      <c r="H124" s="5"/>
      <c r="I124" s="5"/>
      <c r="J124" s="5"/>
      <c r="K124" s="15"/>
      <c r="L124" s="5"/>
      <c r="M124" s="15"/>
      <c r="N124" s="5"/>
      <c r="O124" s="15"/>
      <c r="P124" s="19" t="str">
        <f t="shared" si="19"/>
        <v/>
      </c>
      <c r="Q124" s="19" t="str">
        <f t="shared" si="20"/>
        <v/>
      </c>
      <c r="R124" s="19" t="str">
        <f t="shared" si="21"/>
        <v/>
      </c>
      <c r="S124" s="5"/>
      <c r="T124" s="5"/>
      <c r="U124" s="5"/>
      <c r="V124" s="24"/>
      <c r="W124" s="15"/>
      <c r="X124" s="15"/>
      <c r="Y124" s="15"/>
      <c r="Z124" s="19" t="str">
        <f t="shared" si="22"/>
        <v/>
      </c>
      <c r="AA124" s="19" t="str">
        <f t="shared" si="23"/>
        <v/>
      </c>
      <c r="AB124" s="5"/>
      <c r="AC124" s="5"/>
      <c r="AE124" t="str">
        <f>IFERROR(INDEX(EqTag,_xlfn.AGGREGATE(15,6,(ROW(EqTag)-4)/((EqSys=$D$3)*(EqTag&lt;&gt;"")),ROWS($AE$14:AE124))),"")</f>
        <v/>
      </c>
    </row>
    <row r="125" spans="1:31" ht="30" customHeight="1" x14ac:dyDescent="0.2">
      <c r="A125" s="19" t="str">
        <f>IF(F125="","",LEFT($D$3,3)&amp;"-"&amp;TEXT(COUNTIF(F$14:F125,"?*"),"00"))</f>
        <v/>
      </c>
      <c r="B125" s="5"/>
      <c r="C125" s="6" t="str">
        <f t="shared" si="18"/>
        <v/>
      </c>
      <c r="D125" s="5"/>
      <c r="E125" s="5"/>
      <c r="F125" s="5"/>
      <c r="G125" s="5"/>
      <c r="H125" s="5"/>
      <c r="I125" s="5"/>
      <c r="J125" s="5"/>
      <c r="K125" s="15"/>
      <c r="L125" s="5"/>
      <c r="M125" s="15"/>
      <c r="N125" s="5"/>
      <c r="O125" s="15"/>
      <c r="P125" s="19" t="str">
        <f t="shared" si="19"/>
        <v/>
      </c>
      <c r="Q125" s="19" t="str">
        <f t="shared" si="20"/>
        <v/>
      </c>
      <c r="R125" s="19" t="str">
        <f t="shared" si="21"/>
        <v/>
      </c>
      <c r="S125" s="5"/>
      <c r="T125" s="5"/>
      <c r="U125" s="5"/>
      <c r="V125" s="24"/>
      <c r="W125" s="15"/>
      <c r="X125" s="15"/>
      <c r="Y125" s="15"/>
      <c r="Z125" s="19" t="str">
        <f t="shared" si="22"/>
        <v/>
      </c>
      <c r="AA125" s="19" t="str">
        <f t="shared" si="23"/>
        <v/>
      </c>
      <c r="AB125" s="5"/>
      <c r="AC125" s="5"/>
      <c r="AE125" t="str">
        <f>IFERROR(INDEX(EqTag,_xlfn.AGGREGATE(15,6,(ROW(EqTag)-4)/((EqSys=$D$3)*(EqTag&lt;&gt;"")),ROWS($AE$14:AE125))),"")</f>
        <v/>
      </c>
    </row>
    <row r="126" spans="1:31" ht="30" customHeight="1" x14ac:dyDescent="0.2">
      <c r="A126" s="19" t="str">
        <f>IF(F126="","",LEFT($D$3,3)&amp;"-"&amp;TEXT(COUNTIF(F$14:F126,"?*"),"00"))</f>
        <v/>
      </c>
      <c r="B126" s="5"/>
      <c r="C126" s="6" t="str">
        <f t="shared" si="18"/>
        <v/>
      </c>
      <c r="D126" s="5"/>
      <c r="E126" s="5"/>
      <c r="F126" s="5"/>
      <c r="G126" s="5"/>
      <c r="H126" s="5"/>
      <c r="I126" s="5"/>
      <c r="J126" s="5"/>
      <c r="K126" s="15"/>
      <c r="L126" s="5"/>
      <c r="M126" s="15"/>
      <c r="N126" s="5"/>
      <c r="O126" s="15"/>
      <c r="P126" s="19" t="str">
        <f t="shared" si="19"/>
        <v/>
      </c>
      <c r="Q126" s="19" t="str">
        <f t="shared" si="20"/>
        <v/>
      </c>
      <c r="R126" s="19" t="str">
        <f t="shared" si="21"/>
        <v/>
      </c>
      <c r="S126" s="5"/>
      <c r="T126" s="5"/>
      <c r="U126" s="5"/>
      <c r="V126" s="24"/>
      <c r="W126" s="15"/>
      <c r="X126" s="15"/>
      <c r="Y126" s="15"/>
      <c r="Z126" s="19" t="str">
        <f t="shared" si="22"/>
        <v/>
      </c>
      <c r="AA126" s="19" t="str">
        <f t="shared" si="23"/>
        <v/>
      </c>
      <c r="AB126" s="5"/>
      <c r="AC126" s="5"/>
      <c r="AE126" t="str">
        <f>IFERROR(INDEX(EqTag,_xlfn.AGGREGATE(15,6,(ROW(EqTag)-4)/((EqSys=$D$3)*(EqTag&lt;&gt;"")),ROWS($AE$14:AE126))),"")</f>
        <v/>
      </c>
    </row>
    <row r="127" spans="1:31" ht="30" customHeight="1" x14ac:dyDescent="0.2">
      <c r="A127" s="19" t="str">
        <f>IF(F127="","",LEFT($D$3,3)&amp;"-"&amp;TEXT(COUNTIF(F$14:F127,"?*"),"00"))</f>
        <v/>
      </c>
      <c r="B127" s="5"/>
      <c r="C127" s="6" t="str">
        <f t="shared" si="18"/>
        <v/>
      </c>
      <c r="D127" s="5"/>
      <c r="E127" s="5"/>
      <c r="F127" s="5"/>
      <c r="G127" s="5"/>
      <c r="H127" s="5"/>
      <c r="I127" s="5"/>
      <c r="J127" s="5"/>
      <c r="K127" s="15"/>
      <c r="L127" s="5"/>
      <c r="M127" s="15"/>
      <c r="N127" s="5"/>
      <c r="O127" s="15"/>
      <c r="P127" s="19" t="str">
        <f t="shared" si="19"/>
        <v/>
      </c>
      <c r="Q127" s="19" t="str">
        <f t="shared" si="20"/>
        <v/>
      </c>
      <c r="R127" s="19" t="str">
        <f t="shared" si="21"/>
        <v/>
      </c>
      <c r="S127" s="5"/>
      <c r="T127" s="5"/>
      <c r="U127" s="5"/>
      <c r="V127" s="24"/>
      <c r="W127" s="15"/>
      <c r="X127" s="15"/>
      <c r="Y127" s="15"/>
      <c r="Z127" s="19" t="str">
        <f t="shared" si="22"/>
        <v/>
      </c>
      <c r="AA127" s="19" t="str">
        <f t="shared" si="23"/>
        <v/>
      </c>
      <c r="AB127" s="5"/>
      <c r="AC127" s="5"/>
      <c r="AE127" t="str">
        <f>IFERROR(INDEX(EqTag,_xlfn.AGGREGATE(15,6,(ROW(EqTag)-4)/((EqSys=$D$3)*(EqTag&lt;&gt;"")),ROWS($AE$14:AE127))),"")</f>
        <v/>
      </c>
    </row>
    <row r="128" spans="1:31" ht="30" customHeight="1" x14ac:dyDescent="0.2">
      <c r="A128" s="19" t="str">
        <f>IF(F128="","",LEFT($D$3,3)&amp;"-"&amp;TEXT(COUNTIF(F$14:F128,"?*"),"00"))</f>
        <v/>
      </c>
      <c r="B128" s="5"/>
      <c r="C128" s="6" t="str">
        <f t="shared" si="18"/>
        <v/>
      </c>
      <c r="D128" s="5"/>
      <c r="E128" s="5"/>
      <c r="F128" s="5"/>
      <c r="G128" s="5"/>
      <c r="H128" s="5"/>
      <c r="I128" s="5"/>
      <c r="J128" s="5"/>
      <c r="K128" s="15"/>
      <c r="L128" s="5"/>
      <c r="M128" s="15"/>
      <c r="N128" s="5"/>
      <c r="O128" s="15"/>
      <c r="P128" s="19" t="str">
        <f t="shared" si="19"/>
        <v/>
      </c>
      <c r="Q128" s="19" t="str">
        <f t="shared" si="20"/>
        <v/>
      </c>
      <c r="R128" s="19" t="str">
        <f t="shared" si="21"/>
        <v/>
      </c>
      <c r="S128" s="5"/>
      <c r="T128" s="5"/>
      <c r="U128" s="5"/>
      <c r="V128" s="24"/>
      <c r="W128" s="15"/>
      <c r="X128" s="15"/>
      <c r="Y128" s="15"/>
      <c r="Z128" s="19" t="str">
        <f t="shared" si="22"/>
        <v/>
      </c>
      <c r="AA128" s="19" t="str">
        <f t="shared" si="23"/>
        <v/>
      </c>
      <c r="AB128" s="5"/>
      <c r="AC128" s="5"/>
      <c r="AE128" t="str">
        <f>IFERROR(INDEX(EqTag,_xlfn.AGGREGATE(15,6,(ROW(EqTag)-4)/((EqSys=$D$3)*(EqTag&lt;&gt;"")),ROWS($AE$14:AE128))),"")</f>
        <v/>
      </c>
    </row>
    <row r="129" spans="1:31" ht="30" customHeight="1" x14ac:dyDescent="0.2">
      <c r="A129" s="19" t="str">
        <f>IF(F129="","",LEFT($D$3,3)&amp;"-"&amp;TEXT(COUNTIF(F$14:F129,"?*"),"00"))</f>
        <v/>
      </c>
      <c r="B129" s="5"/>
      <c r="C129" s="6" t="str">
        <f t="shared" si="18"/>
        <v/>
      </c>
      <c r="D129" s="5"/>
      <c r="E129" s="5"/>
      <c r="F129" s="5"/>
      <c r="G129" s="5"/>
      <c r="H129" s="5"/>
      <c r="I129" s="5"/>
      <c r="J129" s="5"/>
      <c r="K129" s="15"/>
      <c r="L129" s="5"/>
      <c r="M129" s="15"/>
      <c r="N129" s="5"/>
      <c r="O129" s="15"/>
      <c r="P129" s="19" t="str">
        <f t="shared" si="19"/>
        <v/>
      </c>
      <c r="Q129" s="19" t="str">
        <f t="shared" si="20"/>
        <v/>
      </c>
      <c r="R129" s="19" t="str">
        <f t="shared" si="21"/>
        <v/>
      </c>
      <c r="S129" s="5"/>
      <c r="T129" s="5"/>
      <c r="U129" s="5"/>
      <c r="V129" s="24"/>
      <c r="W129" s="15"/>
      <c r="X129" s="15"/>
      <c r="Y129" s="15"/>
      <c r="Z129" s="19" t="str">
        <f t="shared" si="22"/>
        <v/>
      </c>
      <c r="AA129" s="19" t="str">
        <f t="shared" si="23"/>
        <v/>
      </c>
      <c r="AB129" s="5"/>
      <c r="AC129" s="5"/>
      <c r="AE129" t="str">
        <f>IFERROR(INDEX(EqTag,_xlfn.AGGREGATE(15,6,(ROW(EqTag)-4)/((EqSys=$D$3)*(EqTag&lt;&gt;"")),ROWS($AE$14:AE129))),"")</f>
        <v/>
      </c>
    </row>
    <row r="130" spans="1:31" ht="30" customHeight="1" x14ac:dyDescent="0.2">
      <c r="A130" s="19" t="str">
        <f>IF(F130="","",LEFT($D$3,3)&amp;"-"&amp;TEXT(COUNTIF(F$14:F130,"?*"),"00"))</f>
        <v/>
      </c>
      <c r="B130" s="5"/>
      <c r="C130" s="6" t="str">
        <f t="shared" si="18"/>
        <v/>
      </c>
      <c r="D130" s="5"/>
      <c r="E130" s="5"/>
      <c r="F130" s="5"/>
      <c r="G130" s="5"/>
      <c r="H130" s="5"/>
      <c r="I130" s="5"/>
      <c r="J130" s="5"/>
      <c r="K130" s="15"/>
      <c r="L130" s="5"/>
      <c r="M130" s="15"/>
      <c r="N130" s="5"/>
      <c r="O130" s="15"/>
      <c r="P130" s="19" t="str">
        <f t="shared" si="19"/>
        <v/>
      </c>
      <c r="Q130" s="19" t="str">
        <f t="shared" si="20"/>
        <v/>
      </c>
      <c r="R130" s="19" t="str">
        <f t="shared" si="21"/>
        <v/>
      </c>
      <c r="S130" s="5"/>
      <c r="T130" s="5"/>
      <c r="U130" s="5"/>
      <c r="V130" s="24"/>
      <c r="W130" s="15"/>
      <c r="X130" s="15"/>
      <c r="Y130" s="15"/>
      <c r="Z130" s="19" t="str">
        <f t="shared" si="22"/>
        <v/>
      </c>
      <c r="AA130" s="19" t="str">
        <f t="shared" si="23"/>
        <v/>
      </c>
      <c r="AB130" s="5"/>
      <c r="AC130" s="5"/>
      <c r="AE130" t="str">
        <f>IFERROR(INDEX(EqTag,_xlfn.AGGREGATE(15,6,(ROW(EqTag)-4)/((EqSys=$D$3)*(EqTag&lt;&gt;"")),ROWS($AE$14:AE130))),"")</f>
        <v/>
      </c>
    </row>
    <row r="131" spans="1:31" ht="30" customHeight="1" x14ac:dyDescent="0.2">
      <c r="A131" s="19" t="str">
        <f>IF(F131="","",LEFT($D$3,3)&amp;"-"&amp;TEXT(COUNTIF(F$14:F131,"?*"),"00"))</f>
        <v/>
      </c>
      <c r="B131" s="5"/>
      <c r="C131" s="6" t="str">
        <f t="shared" si="18"/>
        <v/>
      </c>
      <c r="D131" s="5"/>
      <c r="E131" s="5"/>
      <c r="F131" s="5"/>
      <c r="G131" s="5"/>
      <c r="H131" s="5"/>
      <c r="I131" s="5"/>
      <c r="J131" s="5"/>
      <c r="K131" s="15"/>
      <c r="L131" s="5"/>
      <c r="M131" s="15"/>
      <c r="N131" s="5"/>
      <c r="O131" s="15"/>
      <c r="P131" s="19" t="str">
        <f t="shared" si="19"/>
        <v/>
      </c>
      <c r="Q131" s="19" t="str">
        <f t="shared" si="20"/>
        <v/>
      </c>
      <c r="R131" s="19" t="str">
        <f t="shared" si="21"/>
        <v/>
      </c>
      <c r="S131" s="5"/>
      <c r="T131" s="5"/>
      <c r="U131" s="5"/>
      <c r="V131" s="24"/>
      <c r="W131" s="15"/>
      <c r="X131" s="15"/>
      <c r="Y131" s="15"/>
      <c r="Z131" s="19" t="str">
        <f t="shared" si="22"/>
        <v/>
      </c>
      <c r="AA131" s="19" t="str">
        <f t="shared" si="23"/>
        <v/>
      </c>
      <c r="AB131" s="5"/>
      <c r="AC131" s="5"/>
      <c r="AE131" t="str">
        <f>IFERROR(INDEX(EqTag,_xlfn.AGGREGATE(15,6,(ROW(EqTag)-4)/((EqSys=$D$3)*(EqTag&lt;&gt;"")),ROWS($AE$14:AE131))),"")</f>
        <v/>
      </c>
    </row>
    <row r="132" spans="1:31" ht="30" customHeight="1" x14ac:dyDescent="0.2">
      <c r="A132" s="19" t="str">
        <f>IF(F132="","",LEFT($D$3,3)&amp;"-"&amp;TEXT(COUNTIF(F$14:F132,"?*"),"00"))</f>
        <v/>
      </c>
      <c r="B132" s="5"/>
      <c r="C132" s="6" t="str">
        <f t="shared" si="18"/>
        <v/>
      </c>
      <c r="D132" s="5"/>
      <c r="E132" s="5"/>
      <c r="F132" s="5"/>
      <c r="G132" s="5"/>
      <c r="H132" s="5"/>
      <c r="I132" s="5"/>
      <c r="J132" s="5"/>
      <c r="K132" s="15"/>
      <c r="L132" s="5"/>
      <c r="M132" s="15"/>
      <c r="N132" s="5"/>
      <c r="O132" s="15"/>
      <c r="P132" s="19" t="str">
        <f t="shared" si="19"/>
        <v/>
      </c>
      <c r="Q132" s="19" t="str">
        <f t="shared" si="20"/>
        <v/>
      </c>
      <c r="R132" s="19" t="str">
        <f t="shared" si="21"/>
        <v/>
      </c>
      <c r="S132" s="5"/>
      <c r="T132" s="5"/>
      <c r="U132" s="5"/>
      <c r="V132" s="24"/>
      <c r="W132" s="15"/>
      <c r="X132" s="15"/>
      <c r="Y132" s="15"/>
      <c r="Z132" s="19" t="str">
        <f t="shared" si="22"/>
        <v/>
      </c>
      <c r="AA132" s="19" t="str">
        <f t="shared" si="23"/>
        <v/>
      </c>
      <c r="AB132" s="5"/>
      <c r="AC132" s="5"/>
      <c r="AE132" t="str">
        <f>IFERROR(INDEX(EqTag,_xlfn.AGGREGATE(15,6,(ROW(EqTag)-4)/((EqSys=$D$3)*(EqTag&lt;&gt;"")),ROWS($AE$14:AE132))),"")</f>
        <v/>
      </c>
    </row>
    <row r="133" spans="1:31" ht="30" customHeight="1" x14ac:dyDescent="0.2">
      <c r="A133" s="19" t="str">
        <f>IF(F133="","",LEFT($D$3,3)&amp;"-"&amp;TEXT(COUNTIF(F$14:F133,"?*"),"00"))</f>
        <v/>
      </c>
      <c r="B133" s="5"/>
      <c r="C133" s="6" t="str">
        <f t="shared" si="18"/>
        <v/>
      </c>
      <c r="D133" s="5"/>
      <c r="E133" s="5"/>
      <c r="F133" s="5"/>
      <c r="G133" s="5"/>
      <c r="H133" s="5"/>
      <c r="I133" s="5"/>
      <c r="J133" s="5"/>
      <c r="K133" s="15"/>
      <c r="L133" s="5"/>
      <c r="M133" s="15"/>
      <c r="N133" s="5"/>
      <c r="O133" s="15"/>
      <c r="P133" s="19" t="str">
        <f t="shared" si="19"/>
        <v/>
      </c>
      <c r="Q133" s="19" t="str">
        <f t="shared" si="20"/>
        <v/>
      </c>
      <c r="R133" s="19" t="str">
        <f t="shared" si="21"/>
        <v/>
      </c>
      <c r="S133" s="5"/>
      <c r="T133" s="5"/>
      <c r="U133" s="5"/>
      <c r="V133" s="24"/>
      <c r="W133" s="15"/>
      <c r="X133" s="15"/>
      <c r="Y133" s="15"/>
      <c r="Z133" s="19" t="str">
        <f t="shared" si="22"/>
        <v/>
      </c>
      <c r="AA133" s="19" t="str">
        <f t="shared" si="23"/>
        <v/>
      </c>
      <c r="AB133" s="5"/>
      <c r="AC133" s="5"/>
      <c r="AE133" t="str">
        <f>IFERROR(INDEX(EqTag,_xlfn.AGGREGATE(15,6,(ROW(EqTag)-4)/((EqSys=$D$3)*(EqTag&lt;&gt;"")),ROWS($AE$14:AE133))),"")</f>
        <v/>
      </c>
    </row>
    <row r="134" spans="1:31" ht="30" customHeight="1" x14ac:dyDescent="0.2">
      <c r="A134" s="19" t="str">
        <f>IF(F134="","",LEFT($D$3,3)&amp;"-"&amp;TEXT(COUNTIF(F$14:F134,"?*"),"00"))</f>
        <v/>
      </c>
      <c r="B134" s="5"/>
      <c r="C134" s="6" t="str">
        <f t="shared" si="18"/>
        <v/>
      </c>
      <c r="D134" s="5"/>
      <c r="E134" s="5"/>
      <c r="F134" s="5"/>
      <c r="G134" s="5"/>
      <c r="H134" s="5"/>
      <c r="I134" s="5"/>
      <c r="J134" s="5"/>
      <c r="K134" s="15"/>
      <c r="L134" s="5"/>
      <c r="M134" s="15"/>
      <c r="N134" s="5"/>
      <c r="O134" s="15"/>
      <c r="P134" s="19" t="str">
        <f t="shared" si="19"/>
        <v/>
      </c>
      <c r="Q134" s="19" t="str">
        <f t="shared" si="20"/>
        <v/>
      </c>
      <c r="R134" s="19" t="str">
        <f t="shared" si="21"/>
        <v/>
      </c>
      <c r="S134" s="5"/>
      <c r="T134" s="5"/>
      <c r="U134" s="5"/>
      <c r="V134" s="24"/>
      <c r="W134" s="15"/>
      <c r="X134" s="15"/>
      <c r="Y134" s="15"/>
      <c r="Z134" s="19" t="str">
        <f t="shared" si="22"/>
        <v/>
      </c>
      <c r="AA134" s="19" t="str">
        <f t="shared" si="23"/>
        <v/>
      </c>
      <c r="AB134" s="5"/>
      <c r="AC134" s="5"/>
      <c r="AE134" t="str">
        <f>IFERROR(INDEX(EqTag,_xlfn.AGGREGATE(15,6,(ROW(EqTag)-4)/((EqSys=$D$3)*(EqTag&lt;&gt;"")),ROWS($AE$14:AE134))),"")</f>
        <v/>
      </c>
    </row>
    <row r="135" spans="1:31" ht="30" customHeight="1" x14ac:dyDescent="0.2">
      <c r="A135" s="19" t="str">
        <f>IF(F135="","",LEFT($D$3,3)&amp;"-"&amp;TEXT(COUNTIF(F$14:F135,"?*"),"00"))</f>
        <v/>
      </c>
      <c r="B135" s="5"/>
      <c r="C135" s="6" t="str">
        <f t="shared" si="18"/>
        <v/>
      </c>
      <c r="D135" s="5"/>
      <c r="E135" s="5"/>
      <c r="F135" s="5"/>
      <c r="G135" s="5"/>
      <c r="H135" s="5"/>
      <c r="I135" s="5"/>
      <c r="J135" s="5"/>
      <c r="K135" s="15"/>
      <c r="L135" s="5"/>
      <c r="M135" s="15"/>
      <c r="N135" s="5"/>
      <c r="O135" s="15"/>
      <c r="P135" s="19" t="str">
        <f t="shared" si="19"/>
        <v/>
      </c>
      <c r="Q135" s="19" t="str">
        <f t="shared" si="20"/>
        <v/>
      </c>
      <c r="R135" s="19" t="str">
        <f t="shared" si="21"/>
        <v/>
      </c>
      <c r="S135" s="5"/>
      <c r="T135" s="5"/>
      <c r="U135" s="5"/>
      <c r="V135" s="24"/>
      <c r="W135" s="15"/>
      <c r="X135" s="15"/>
      <c r="Y135" s="15"/>
      <c r="Z135" s="19" t="str">
        <f t="shared" si="22"/>
        <v/>
      </c>
      <c r="AA135" s="19" t="str">
        <f t="shared" si="23"/>
        <v/>
      </c>
      <c r="AB135" s="5"/>
      <c r="AC135" s="5"/>
      <c r="AE135" t="str">
        <f>IFERROR(INDEX(EqTag,_xlfn.AGGREGATE(15,6,(ROW(EqTag)-4)/((EqSys=$D$3)*(EqTag&lt;&gt;"")),ROWS($AE$14:AE135))),"")</f>
        <v/>
      </c>
    </row>
    <row r="136" spans="1:31" ht="30" customHeight="1" x14ac:dyDescent="0.2">
      <c r="A136" s="19" t="str">
        <f>IF(F136="","",LEFT($D$3,3)&amp;"-"&amp;TEXT(COUNTIF(F$14:F136,"?*"),"00"))</f>
        <v/>
      </c>
      <c r="B136" s="5"/>
      <c r="C136" s="6" t="str">
        <f t="shared" si="18"/>
        <v/>
      </c>
      <c r="D136" s="5"/>
      <c r="E136" s="5"/>
      <c r="F136" s="5"/>
      <c r="G136" s="5"/>
      <c r="H136" s="5"/>
      <c r="I136" s="5"/>
      <c r="J136" s="5"/>
      <c r="K136" s="15"/>
      <c r="L136" s="5"/>
      <c r="M136" s="15"/>
      <c r="N136" s="5"/>
      <c r="O136" s="15"/>
      <c r="P136" s="19" t="str">
        <f t="shared" si="19"/>
        <v/>
      </c>
      <c r="Q136" s="19" t="str">
        <f t="shared" si="20"/>
        <v/>
      </c>
      <c r="R136" s="19" t="str">
        <f t="shared" si="21"/>
        <v/>
      </c>
      <c r="S136" s="5"/>
      <c r="T136" s="5"/>
      <c r="U136" s="5"/>
      <c r="V136" s="24"/>
      <c r="W136" s="15"/>
      <c r="X136" s="15"/>
      <c r="Y136" s="15"/>
      <c r="Z136" s="19" t="str">
        <f t="shared" si="22"/>
        <v/>
      </c>
      <c r="AA136" s="19" t="str">
        <f t="shared" si="23"/>
        <v/>
      </c>
      <c r="AB136" s="5"/>
      <c r="AC136" s="5"/>
      <c r="AE136" t="str">
        <f>IFERROR(INDEX(EqTag,_xlfn.AGGREGATE(15,6,(ROW(EqTag)-4)/((EqSys=$D$3)*(EqTag&lt;&gt;"")),ROWS($AE$14:AE136))),"")</f>
        <v/>
      </c>
    </row>
    <row r="137" spans="1:31" ht="30" customHeight="1" x14ac:dyDescent="0.2">
      <c r="A137" s="19" t="str">
        <f>IF(F137="","",LEFT($D$3,3)&amp;"-"&amp;TEXT(COUNTIF(F$14:F137,"?*"),"00"))</f>
        <v/>
      </c>
      <c r="B137" s="5"/>
      <c r="C137" s="6" t="str">
        <f t="shared" si="18"/>
        <v/>
      </c>
      <c r="D137" s="5"/>
      <c r="E137" s="5"/>
      <c r="F137" s="5"/>
      <c r="G137" s="5"/>
      <c r="H137" s="5"/>
      <c r="I137" s="5"/>
      <c r="J137" s="5"/>
      <c r="K137" s="15"/>
      <c r="L137" s="5"/>
      <c r="M137" s="15"/>
      <c r="N137" s="5"/>
      <c r="O137" s="15"/>
      <c r="P137" s="19" t="str">
        <f t="shared" si="19"/>
        <v/>
      </c>
      <c r="Q137" s="19" t="str">
        <f t="shared" si="20"/>
        <v/>
      </c>
      <c r="R137" s="19" t="str">
        <f t="shared" si="21"/>
        <v/>
      </c>
      <c r="S137" s="5"/>
      <c r="T137" s="5"/>
      <c r="U137" s="5"/>
      <c r="V137" s="24"/>
      <c r="W137" s="15"/>
      <c r="X137" s="15"/>
      <c r="Y137" s="15"/>
      <c r="Z137" s="19" t="str">
        <f t="shared" si="22"/>
        <v/>
      </c>
      <c r="AA137" s="19" t="str">
        <f t="shared" si="23"/>
        <v/>
      </c>
      <c r="AB137" s="5"/>
      <c r="AC137" s="5"/>
      <c r="AE137" t="str">
        <f>IFERROR(INDEX(EqTag,_xlfn.AGGREGATE(15,6,(ROW(EqTag)-4)/((EqSys=$D$3)*(EqTag&lt;&gt;"")),ROWS($AE$14:AE137))),"")</f>
        <v/>
      </c>
    </row>
    <row r="138" spans="1:31" ht="30" customHeight="1" x14ac:dyDescent="0.2">
      <c r="A138" s="19" t="str">
        <f>IF(F138="","",LEFT($D$3,3)&amp;"-"&amp;TEXT(COUNTIF(F$14:F138,"?*"),"00"))</f>
        <v/>
      </c>
      <c r="B138" s="5"/>
      <c r="C138" s="6" t="str">
        <f t="shared" si="18"/>
        <v/>
      </c>
      <c r="D138" s="5"/>
      <c r="E138" s="5"/>
      <c r="F138" s="5"/>
      <c r="G138" s="5"/>
      <c r="H138" s="5"/>
      <c r="I138" s="5"/>
      <c r="J138" s="5"/>
      <c r="K138" s="15"/>
      <c r="L138" s="5"/>
      <c r="M138" s="15"/>
      <c r="N138" s="5"/>
      <c r="O138" s="15"/>
      <c r="P138" s="19" t="str">
        <f t="shared" si="19"/>
        <v/>
      </c>
      <c r="Q138" s="19" t="str">
        <f t="shared" si="20"/>
        <v/>
      </c>
      <c r="R138" s="19" t="str">
        <f t="shared" si="21"/>
        <v/>
      </c>
      <c r="S138" s="5"/>
      <c r="T138" s="5"/>
      <c r="U138" s="5"/>
      <c r="V138" s="24"/>
      <c r="W138" s="15"/>
      <c r="X138" s="15"/>
      <c r="Y138" s="15"/>
      <c r="Z138" s="19" t="str">
        <f t="shared" si="22"/>
        <v/>
      </c>
      <c r="AA138" s="19" t="str">
        <f t="shared" si="23"/>
        <v/>
      </c>
      <c r="AB138" s="5"/>
      <c r="AC138" s="5"/>
      <c r="AE138" t="str">
        <f>IFERROR(INDEX(EqTag,_xlfn.AGGREGATE(15,6,(ROW(EqTag)-4)/((EqSys=$D$3)*(EqTag&lt;&gt;"")),ROWS($AE$14:AE138))),"")</f>
        <v/>
      </c>
    </row>
    <row r="139" spans="1:31" ht="30" customHeight="1" x14ac:dyDescent="0.2">
      <c r="A139" s="19" t="str">
        <f>IF(F139="","",LEFT($D$3,3)&amp;"-"&amp;TEXT(COUNTIF(F$14:F139,"?*"),"00"))</f>
        <v/>
      </c>
      <c r="B139" s="5"/>
      <c r="C139" s="6" t="str">
        <f t="shared" si="18"/>
        <v/>
      </c>
      <c r="D139" s="5"/>
      <c r="E139" s="5"/>
      <c r="F139" s="5"/>
      <c r="G139" s="5"/>
      <c r="H139" s="5"/>
      <c r="I139" s="5"/>
      <c r="J139" s="5"/>
      <c r="K139" s="15"/>
      <c r="L139" s="5"/>
      <c r="M139" s="15"/>
      <c r="N139" s="5"/>
      <c r="O139" s="15"/>
      <c r="P139" s="19" t="str">
        <f t="shared" si="19"/>
        <v/>
      </c>
      <c r="Q139" s="19" t="str">
        <f t="shared" si="20"/>
        <v/>
      </c>
      <c r="R139" s="19" t="str">
        <f t="shared" si="21"/>
        <v/>
      </c>
      <c r="S139" s="5"/>
      <c r="T139" s="5"/>
      <c r="U139" s="5"/>
      <c r="V139" s="24"/>
      <c r="W139" s="15"/>
      <c r="X139" s="15"/>
      <c r="Y139" s="15"/>
      <c r="Z139" s="19" t="str">
        <f t="shared" si="22"/>
        <v/>
      </c>
      <c r="AA139" s="19" t="str">
        <f t="shared" si="23"/>
        <v/>
      </c>
      <c r="AB139" s="5"/>
      <c r="AC139" s="5"/>
      <c r="AE139" t="str">
        <f>IFERROR(INDEX(EqTag,_xlfn.AGGREGATE(15,6,(ROW(EqTag)-4)/((EqSys=$D$3)*(EqTag&lt;&gt;"")),ROWS($AE$14:AE139))),"")</f>
        <v/>
      </c>
    </row>
    <row r="140" spans="1:31" ht="30" customHeight="1" x14ac:dyDescent="0.2">
      <c r="A140" s="19" t="str">
        <f>IF(F140="","",LEFT($D$3,3)&amp;"-"&amp;TEXT(COUNTIF(F$14:F140,"?*"),"00"))</f>
        <v/>
      </c>
      <c r="B140" s="5"/>
      <c r="C140" s="6" t="str">
        <f t="shared" si="18"/>
        <v/>
      </c>
      <c r="D140" s="5"/>
      <c r="E140" s="5"/>
      <c r="F140" s="5"/>
      <c r="G140" s="5"/>
      <c r="H140" s="5"/>
      <c r="I140" s="5"/>
      <c r="J140" s="5"/>
      <c r="K140" s="15"/>
      <c r="L140" s="5"/>
      <c r="M140" s="15"/>
      <c r="N140" s="5"/>
      <c r="O140" s="15"/>
      <c r="P140" s="19" t="str">
        <f t="shared" si="19"/>
        <v/>
      </c>
      <c r="Q140" s="19" t="str">
        <f t="shared" si="20"/>
        <v/>
      </c>
      <c r="R140" s="19" t="str">
        <f t="shared" si="21"/>
        <v/>
      </c>
      <c r="S140" s="5"/>
      <c r="T140" s="5"/>
      <c r="U140" s="5"/>
      <c r="V140" s="24"/>
      <c r="W140" s="15"/>
      <c r="X140" s="15"/>
      <c r="Y140" s="15"/>
      <c r="Z140" s="19" t="str">
        <f t="shared" si="22"/>
        <v/>
      </c>
      <c r="AA140" s="19" t="str">
        <f t="shared" si="23"/>
        <v/>
      </c>
      <c r="AB140" s="5"/>
      <c r="AC140" s="5"/>
      <c r="AE140" t="str">
        <f>IFERROR(INDEX(EqTag,_xlfn.AGGREGATE(15,6,(ROW(EqTag)-4)/((EqSys=$D$3)*(EqTag&lt;&gt;"")),ROWS($AE$14:AE140))),"")</f>
        <v/>
      </c>
    </row>
    <row r="141" spans="1:31" ht="30" customHeight="1" x14ac:dyDescent="0.2">
      <c r="A141" s="19" t="str">
        <f>IF(F141="","",LEFT($D$3,3)&amp;"-"&amp;TEXT(COUNTIF(F$14:F141,"?*"),"00"))</f>
        <v/>
      </c>
      <c r="B141" s="5"/>
      <c r="C141" s="6" t="str">
        <f t="shared" si="18"/>
        <v/>
      </c>
      <c r="D141" s="5"/>
      <c r="E141" s="5"/>
      <c r="F141" s="5"/>
      <c r="G141" s="5"/>
      <c r="H141" s="5"/>
      <c r="I141" s="5"/>
      <c r="J141" s="5"/>
      <c r="K141" s="15"/>
      <c r="L141" s="5"/>
      <c r="M141" s="15"/>
      <c r="N141" s="5"/>
      <c r="O141" s="15"/>
      <c r="P141" s="19" t="str">
        <f t="shared" si="19"/>
        <v/>
      </c>
      <c r="Q141" s="19" t="str">
        <f t="shared" si="20"/>
        <v/>
      </c>
      <c r="R141" s="19" t="str">
        <f t="shared" si="21"/>
        <v/>
      </c>
      <c r="S141" s="5"/>
      <c r="T141" s="5"/>
      <c r="U141" s="5"/>
      <c r="V141" s="24"/>
      <c r="W141" s="15"/>
      <c r="X141" s="15"/>
      <c r="Y141" s="15"/>
      <c r="Z141" s="19" t="str">
        <f t="shared" si="22"/>
        <v/>
      </c>
      <c r="AA141" s="19" t="str">
        <f t="shared" si="23"/>
        <v/>
      </c>
      <c r="AB141" s="5"/>
      <c r="AC141" s="5"/>
      <c r="AE141" t="str">
        <f>IFERROR(INDEX(EqTag,_xlfn.AGGREGATE(15,6,(ROW(EqTag)-4)/((EqSys=$D$3)*(EqTag&lt;&gt;"")),ROWS($AE$14:AE141))),"")</f>
        <v/>
      </c>
    </row>
    <row r="142" spans="1:31" ht="30" customHeight="1" x14ac:dyDescent="0.2">
      <c r="A142" s="19" t="str">
        <f>IF(F142="","",LEFT($D$3,3)&amp;"-"&amp;TEXT(COUNTIF(F$14:F142,"?*"),"00"))</f>
        <v/>
      </c>
      <c r="B142" s="5"/>
      <c r="C142" s="6" t="str">
        <f t="shared" ref="C142:C163" si="24">IF(B142="","",IFERROR(INDEX(EqTypeCol,MATCH(B142,EqTag,0)),"Tag not in register"))</f>
        <v/>
      </c>
      <c r="D142" s="5"/>
      <c r="E142" s="5"/>
      <c r="F142" s="5"/>
      <c r="G142" s="5"/>
      <c r="H142" s="5"/>
      <c r="I142" s="5"/>
      <c r="J142" s="5"/>
      <c r="K142" s="15"/>
      <c r="L142" s="5"/>
      <c r="M142" s="15"/>
      <c r="N142" s="5"/>
      <c r="O142" s="15"/>
      <c r="P142" s="19" t="str">
        <f t="shared" ref="P142:P163" si="25">IF(OR(K142="",M142="",O142=""),"",(--TRIM(LEFT(K142,2)))*(--TRIM(LEFT(M142,2)))*(--TRIM(LEFT(O142,2))))</f>
        <v/>
      </c>
      <c r="Q142" s="19" t="str">
        <f t="shared" ref="Q142:Q163" si="26">IF(OR(K142="",M142="",O142=""),"",INDEX(APGrid,COUNTIF(APS,"&gt;"&amp;(--TRIM(LEFT(K142,2))))*5+COUNTIF(APO,"&gt;"&amp;(--TRIM(LEFT(M142,2))))+1,COUNTIF(APD,"&gt;"&amp;(--TRIM(LEFT(O142,2))))+1))</f>
        <v/>
      </c>
      <c r="R142" s="19" t="str">
        <f t="shared" ref="R142:R163" si="27">IF(P142="","",IF(OR((--TRIM(LEFT(K142,2)))&gt;=SThr,P142&gt;=RPNThr,Q142="H"),"Yes","No"))</f>
        <v/>
      </c>
      <c r="S142" s="5"/>
      <c r="T142" s="5"/>
      <c r="U142" s="5"/>
      <c r="V142" s="24"/>
      <c r="W142" s="15"/>
      <c r="X142" s="15"/>
      <c r="Y142" s="15"/>
      <c r="Z142" s="19" t="str">
        <f t="shared" ref="Z142:Z163" si="28">IF(OR(W142="",X142="",Y142=""),"",(--TRIM(LEFT(W142,2)))*(--TRIM(LEFT(X142,2)))*(--TRIM(LEFT(Y142,2))))</f>
        <v/>
      </c>
      <c r="AA142" s="19" t="str">
        <f t="shared" ref="AA142:AA163" si="29">IF(OR(W142="",X142="",Y142=""),"",INDEX(APGrid,COUNTIF(APS,"&gt;"&amp;(--TRIM(LEFT(W142,2))))*5+COUNTIF(APO,"&gt;"&amp;(--TRIM(LEFT(X142,2))))+1,COUNTIF(APD,"&gt;"&amp;(--TRIM(LEFT(Y142,2))))+1))</f>
        <v/>
      </c>
      <c r="AB142" s="5"/>
      <c r="AC142" s="5"/>
      <c r="AE142" t="str">
        <f>IFERROR(INDEX(EqTag,_xlfn.AGGREGATE(15,6,(ROW(EqTag)-4)/((EqSys=$D$3)*(EqTag&lt;&gt;"")),ROWS($AE$14:AE142))),"")</f>
        <v/>
      </c>
    </row>
    <row r="143" spans="1:31" ht="30" customHeight="1" x14ac:dyDescent="0.2">
      <c r="A143" s="19" t="str">
        <f>IF(F143="","",LEFT($D$3,3)&amp;"-"&amp;TEXT(COUNTIF(F$14:F143,"?*"),"00"))</f>
        <v/>
      </c>
      <c r="B143" s="5"/>
      <c r="C143" s="6" t="str">
        <f t="shared" si="24"/>
        <v/>
      </c>
      <c r="D143" s="5"/>
      <c r="E143" s="5"/>
      <c r="F143" s="5"/>
      <c r="G143" s="5"/>
      <c r="H143" s="5"/>
      <c r="I143" s="5"/>
      <c r="J143" s="5"/>
      <c r="K143" s="15"/>
      <c r="L143" s="5"/>
      <c r="M143" s="15"/>
      <c r="N143" s="5"/>
      <c r="O143" s="15"/>
      <c r="P143" s="19" t="str">
        <f t="shared" si="25"/>
        <v/>
      </c>
      <c r="Q143" s="19" t="str">
        <f t="shared" si="26"/>
        <v/>
      </c>
      <c r="R143" s="19" t="str">
        <f t="shared" si="27"/>
        <v/>
      </c>
      <c r="S143" s="5"/>
      <c r="T143" s="5"/>
      <c r="U143" s="5"/>
      <c r="V143" s="24"/>
      <c r="W143" s="15"/>
      <c r="X143" s="15"/>
      <c r="Y143" s="15"/>
      <c r="Z143" s="19" t="str">
        <f t="shared" si="28"/>
        <v/>
      </c>
      <c r="AA143" s="19" t="str">
        <f t="shared" si="29"/>
        <v/>
      </c>
      <c r="AB143" s="5"/>
      <c r="AC143" s="5"/>
      <c r="AE143" t="str">
        <f>IFERROR(INDEX(EqTag,_xlfn.AGGREGATE(15,6,(ROW(EqTag)-4)/((EqSys=$D$3)*(EqTag&lt;&gt;"")),ROWS($AE$14:AE143))),"")</f>
        <v/>
      </c>
    </row>
    <row r="144" spans="1:31" ht="30" customHeight="1" x14ac:dyDescent="0.2">
      <c r="A144" s="19" t="str">
        <f>IF(F144="","",LEFT($D$3,3)&amp;"-"&amp;TEXT(COUNTIF(F$14:F144,"?*"),"00"))</f>
        <v/>
      </c>
      <c r="B144" s="5"/>
      <c r="C144" s="6" t="str">
        <f t="shared" si="24"/>
        <v/>
      </c>
      <c r="D144" s="5"/>
      <c r="E144" s="5"/>
      <c r="F144" s="5"/>
      <c r="G144" s="5"/>
      <c r="H144" s="5"/>
      <c r="I144" s="5"/>
      <c r="J144" s="5"/>
      <c r="K144" s="15"/>
      <c r="L144" s="5"/>
      <c r="M144" s="15"/>
      <c r="N144" s="5"/>
      <c r="O144" s="15"/>
      <c r="P144" s="19" t="str">
        <f t="shared" si="25"/>
        <v/>
      </c>
      <c r="Q144" s="19" t="str">
        <f t="shared" si="26"/>
        <v/>
      </c>
      <c r="R144" s="19" t="str">
        <f t="shared" si="27"/>
        <v/>
      </c>
      <c r="S144" s="5"/>
      <c r="T144" s="5"/>
      <c r="U144" s="5"/>
      <c r="V144" s="24"/>
      <c r="W144" s="15"/>
      <c r="X144" s="15"/>
      <c r="Y144" s="15"/>
      <c r="Z144" s="19" t="str">
        <f t="shared" si="28"/>
        <v/>
      </c>
      <c r="AA144" s="19" t="str">
        <f t="shared" si="29"/>
        <v/>
      </c>
      <c r="AB144" s="5"/>
      <c r="AC144" s="5"/>
      <c r="AE144" t="str">
        <f>IFERROR(INDEX(EqTag,_xlfn.AGGREGATE(15,6,(ROW(EqTag)-4)/((EqSys=$D$3)*(EqTag&lt;&gt;"")),ROWS($AE$14:AE144))),"")</f>
        <v/>
      </c>
    </row>
    <row r="145" spans="1:31" ht="30" customHeight="1" x14ac:dyDescent="0.2">
      <c r="A145" s="19" t="str">
        <f>IF(F145="","",LEFT($D$3,3)&amp;"-"&amp;TEXT(COUNTIF(F$14:F145,"?*"),"00"))</f>
        <v/>
      </c>
      <c r="B145" s="5"/>
      <c r="C145" s="6" t="str">
        <f t="shared" si="24"/>
        <v/>
      </c>
      <c r="D145" s="5"/>
      <c r="E145" s="5"/>
      <c r="F145" s="5"/>
      <c r="G145" s="5"/>
      <c r="H145" s="5"/>
      <c r="I145" s="5"/>
      <c r="J145" s="5"/>
      <c r="K145" s="15"/>
      <c r="L145" s="5"/>
      <c r="M145" s="15"/>
      <c r="N145" s="5"/>
      <c r="O145" s="15"/>
      <c r="P145" s="19" t="str">
        <f t="shared" si="25"/>
        <v/>
      </c>
      <c r="Q145" s="19" t="str">
        <f t="shared" si="26"/>
        <v/>
      </c>
      <c r="R145" s="19" t="str">
        <f t="shared" si="27"/>
        <v/>
      </c>
      <c r="S145" s="5"/>
      <c r="T145" s="5"/>
      <c r="U145" s="5"/>
      <c r="V145" s="24"/>
      <c r="W145" s="15"/>
      <c r="X145" s="15"/>
      <c r="Y145" s="15"/>
      <c r="Z145" s="19" t="str">
        <f t="shared" si="28"/>
        <v/>
      </c>
      <c r="AA145" s="19" t="str">
        <f t="shared" si="29"/>
        <v/>
      </c>
      <c r="AB145" s="5"/>
      <c r="AC145" s="5"/>
      <c r="AE145" t="str">
        <f>IFERROR(INDEX(EqTag,_xlfn.AGGREGATE(15,6,(ROW(EqTag)-4)/((EqSys=$D$3)*(EqTag&lt;&gt;"")),ROWS($AE$14:AE145))),"")</f>
        <v/>
      </c>
    </row>
    <row r="146" spans="1:31" ht="30" customHeight="1" x14ac:dyDescent="0.2">
      <c r="A146" s="19" t="str">
        <f>IF(F146="","",LEFT($D$3,3)&amp;"-"&amp;TEXT(COUNTIF(F$14:F146,"?*"),"00"))</f>
        <v/>
      </c>
      <c r="B146" s="5"/>
      <c r="C146" s="6" t="str">
        <f t="shared" si="24"/>
        <v/>
      </c>
      <c r="D146" s="5"/>
      <c r="E146" s="5"/>
      <c r="F146" s="5"/>
      <c r="G146" s="5"/>
      <c r="H146" s="5"/>
      <c r="I146" s="5"/>
      <c r="J146" s="5"/>
      <c r="K146" s="15"/>
      <c r="L146" s="5"/>
      <c r="M146" s="15"/>
      <c r="N146" s="5"/>
      <c r="O146" s="15"/>
      <c r="P146" s="19" t="str">
        <f t="shared" si="25"/>
        <v/>
      </c>
      <c r="Q146" s="19" t="str">
        <f t="shared" si="26"/>
        <v/>
      </c>
      <c r="R146" s="19" t="str">
        <f t="shared" si="27"/>
        <v/>
      </c>
      <c r="S146" s="5"/>
      <c r="T146" s="5"/>
      <c r="U146" s="5"/>
      <c r="V146" s="24"/>
      <c r="W146" s="15"/>
      <c r="X146" s="15"/>
      <c r="Y146" s="15"/>
      <c r="Z146" s="19" t="str">
        <f t="shared" si="28"/>
        <v/>
      </c>
      <c r="AA146" s="19" t="str">
        <f t="shared" si="29"/>
        <v/>
      </c>
      <c r="AB146" s="5"/>
      <c r="AC146" s="5"/>
      <c r="AE146" t="str">
        <f>IFERROR(INDEX(EqTag,_xlfn.AGGREGATE(15,6,(ROW(EqTag)-4)/((EqSys=$D$3)*(EqTag&lt;&gt;"")),ROWS($AE$14:AE146))),"")</f>
        <v/>
      </c>
    </row>
    <row r="147" spans="1:31" ht="30" customHeight="1" x14ac:dyDescent="0.2">
      <c r="A147" s="19" t="str">
        <f>IF(F147="","",LEFT($D$3,3)&amp;"-"&amp;TEXT(COUNTIF(F$14:F147,"?*"),"00"))</f>
        <v/>
      </c>
      <c r="B147" s="5"/>
      <c r="C147" s="6" t="str">
        <f t="shared" si="24"/>
        <v/>
      </c>
      <c r="D147" s="5"/>
      <c r="E147" s="5"/>
      <c r="F147" s="5"/>
      <c r="G147" s="5"/>
      <c r="H147" s="5"/>
      <c r="I147" s="5"/>
      <c r="J147" s="5"/>
      <c r="K147" s="15"/>
      <c r="L147" s="5"/>
      <c r="M147" s="15"/>
      <c r="N147" s="5"/>
      <c r="O147" s="15"/>
      <c r="P147" s="19" t="str">
        <f t="shared" si="25"/>
        <v/>
      </c>
      <c r="Q147" s="19" t="str">
        <f t="shared" si="26"/>
        <v/>
      </c>
      <c r="R147" s="19" t="str">
        <f t="shared" si="27"/>
        <v/>
      </c>
      <c r="S147" s="5"/>
      <c r="T147" s="5"/>
      <c r="U147" s="5"/>
      <c r="V147" s="24"/>
      <c r="W147" s="15"/>
      <c r="X147" s="15"/>
      <c r="Y147" s="15"/>
      <c r="Z147" s="19" t="str">
        <f t="shared" si="28"/>
        <v/>
      </c>
      <c r="AA147" s="19" t="str">
        <f t="shared" si="29"/>
        <v/>
      </c>
      <c r="AB147" s="5"/>
      <c r="AC147" s="5"/>
      <c r="AE147" t="str">
        <f>IFERROR(INDEX(EqTag,_xlfn.AGGREGATE(15,6,(ROW(EqTag)-4)/((EqSys=$D$3)*(EqTag&lt;&gt;"")),ROWS($AE$14:AE147))),"")</f>
        <v/>
      </c>
    </row>
    <row r="148" spans="1:31" ht="30" customHeight="1" x14ac:dyDescent="0.2">
      <c r="A148" s="19" t="str">
        <f>IF(F148="","",LEFT($D$3,3)&amp;"-"&amp;TEXT(COUNTIF(F$14:F148,"?*"),"00"))</f>
        <v/>
      </c>
      <c r="B148" s="5"/>
      <c r="C148" s="6" t="str">
        <f t="shared" si="24"/>
        <v/>
      </c>
      <c r="D148" s="5"/>
      <c r="E148" s="5"/>
      <c r="F148" s="5"/>
      <c r="G148" s="5"/>
      <c r="H148" s="5"/>
      <c r="I148" s="5"/>
      <c r="J148" s="5"/>
      <c r="K148" s="15"/>
      <c r="L148" s="5"/>
      <c r="M148" s="15"/>
      <c r="N148" s="5"/>
      <c r="O148" s="15"/>
      <c r="P148" s="19" t="str">
        <f t="shared" si="25"/>
        <v/>
      </c>
      <c r="Q148" s="19" t="str">
        <f t="shared" si="26"/>
        <v/>
      </c>
      <c r="R148" s="19" t="str">
        <f t="shared" si="27"/>
        <v/>
      </c>
      <c r="S148" s="5"/>
      <c r="T148" s="5"/>
      <c r="U148" s="5"/>
      <c r="V148" s="24"/>
      <c r="W148" s="15"/>
      <c r="X148" s="15"/>
      <c r="Y148" s="15"/>
      <c r="Z148" s="19" t="str">
        <f t="shared" si="28"/>
        <v/>
      </c>
      <c r="AA148" s="19" t="str">
        <f t="shared" si="29"/>
        <v/>
      </c>
      <c r="AB148" s="5"/>
      <c r="AC148" s="5"/>
      <c r="AE148" t="str">
        <f>IFERROR(INDEX(EqTag,_xlfn.AGGREGATE(15,6,(ROW(EqTag)-4)/((EqSys=$D$3)*(EqTag&lt;&gt;"")),ROWS($AE$14:AE148))),"")</f>
        <v/>
      </c>
    </row>
    <row r="149" spans="1:31" ht="30" customHeight="1" x14ac:dyDescent="0.2">
      <c r="A149" s="19" t="str">
        <f>IF(F149="","",LEFT($D$3,3)&amp;"-"&amp;TEXT(COUNTIF(F$14:F149,"?*"),"00"))</f>
        <v/>
      </c>
      <c r="B149" s="5"/>
      <c r="C149" s="6" t="str">
        <f t="shared" si="24"/>
        <v/>
      </c>
      <c r="D149" s="5"/>
      <c r="E149" s="5"/>
      <c r="F149" s="5"/>
      <c r="G149" s="5"/>
      <c r="H149" s="5"/>
      <c r="I149" s="5"/>
      <c r="J149" s="5"/>
      <c r="K149" s="15"/>
      <c r="L149" s="5"/>
      <c r="M149" s="15"/>
      <c r="N149" s="5"/>
      <c r="O149" s="15"/>
      <c r="P149" s="19" t="str">
        <f t="shared" si="25"/>
        <v/>
      </c>
      <c r="Q149" s="19" t="str">
        <f t="shared" si="26"/>
        <v/>
      </c>
      <c r="R149" s="19" t="str">
        <f t="shared" si="27"/>
        <v/>
      </c>
      <c r="S149" s="5"/>
      <c r="T149" s="5"/>
      <c r="U149" s="5"/>
      <c r="V149" s="24"/>
      <c r="W149" s="15"/>
      <c r="X149" s="15"/>
      <c r="Y149" s="15"/>
      <c r="Z149" s="19" t="str">
        <f t="shared" si="28"/>
        <v/>
      </c>
      <c r="AA149" s="19" t="str">
        <f t="shared" si="29"/>
        <v/>
      </c>
      <c r="AB149" s="5"/>
      <c r="AC149" s="5"/>
      <c r="AE149" t="str">
        <f>IFERROR(INDEX(EqTag,_xlfn.AGGREGATE(15,6,(ROW(EqTag)-4)/((EqSys=$D$3)*(EqTag&lt;&gt;"")),ROWS($AE$14:AE149))),"")</f>
        <v/>
      </c>
    </row>
    <row r="150" spans="1:31" ht="30" customHeight="1" x14ac:dyDescent="0.2">
      <c r="A150" s="19" t="str">
        <f>IF(F150="","",LEFT($D$3,3)&amp;"-"&amp;TEXT(COUNTIF(F$14:F150,"?*"),"00"))</f>
        <v/>
      </c>
      <c r="B150" s="5"/>
      <c r="C150" s="6" t="str">
        <f t="shared" si="24"/>
        <v/>
      </c>
      <c r="D150" s="5"/>
      <c r="E150" s="5"/>
      <c r="F150" s="5"/>
      <c r="G150" s="5"/>
      <c r="H150" s="5"/>
      <c r="I150" s="5"/>
      <c r="J150" s="5"/>
      <c r="K150" s="15"/>
      <c r="L150" s="5"/>
      <c r="M150" s="15"/>
      <c r="N150" s="5"/>
      <c r="O150" s="15"/>
      <c r="P150" s="19" t="str">
        <f t="shared" si="25"/>
        <v/>
      </c>
      <c r="Q150" s="19" t="str">
        <f t="shared" si="26"/>
        <v/>
      </c>
      <c r="R150" s="19" t="str">
        <f t="shared" si="27"/>
        <v/>
      </c>
      <c r="S150" s="5"/>
      <c r="T150" s="5"/>
      <c r="U150" s="5"/>
      <c r="V150" s="24"/>
      <c r="W150" s="15"/>
      <c r="X150" s="15"/>
      <c r="Y150" s="15"/>
      <c r="Z150" s="19" t="str">
        <f t="shared" si="28"/>
        <v/>
      </c>
      <c r="AA150" s="19" t="str">
        <f t="shared" si="29"/>
        <v/>
      </c>
      <c r="AB150" s="5"/>
      <c r="AC150" s="5"/>
      <c r="AE150" t="str">
        <f>IFERROR(INDEX(EqTag,_xlfn.AGGREGATE(15,6,(ROW(EqTag)-4)/((EqSys=$D$3)*(EqTag&lt;&gt;"")),ROWS($AE$14:AE150))),"")</f>
        <v/>
      </c>
    </row>
    <row r="151" spans="1:31" ht="30" customHeight="1" x14ac:dyDescent="0.2">
      <c r="A151" s="19" t="str">
        <f>IF(F151="","",LEFT($D$3,3)&amp;"-"&amp;TEXT(COUNTIF(F$14:F151,"?*"),"00"))</f>
        <v/>
      </c>
      <c r="B151" s="5"/>
      <c r="C151" s="6" t="str">
        <f t="shared" si="24"/>
        <v/>
      </c>
      <c r="D151" s="5"/>
      <c r="E151" s="5"/>
      <c r="F151" s="5"/>
      <c r="G151" s="5"/>
      <c r="H151" s="5"/>
      <c r="I151" s="5"/>
      <c r="J151" s="5"/>
      <c r="K151" s="15"/>
      <c r="L151" s="5"/>
      <c r="M151" s="15"/>
      <c r="N151" s="5"/>
      <c r="O151" s="15"/>
      <c r="P151" s="19" t="str">
        <f t="shared" si="25"/>
        <v/>
      </c>
      <c r="Q151" s="19" t="str">
        <f t="shared" si="26"/>
        <v/>
      </c>
      <c r="R151" s="19" t="str">
        <f t="shared" si="27"/>
        <v/>
      </c>
      <c r="S151" s="5"/>
      <c r="T151" s="5"/>
      <c r="U151" s="5"/>
      <c r="V151" s="24"/>
      <c r="W151" s="15"/>
      <c r="X151" s="15"/>
      <c r="Y151" s="15"/>
      <c r="Z151" s="19" t="str">
        <f t="shared" si="28"/>
        <v/>
      </c>
      <c r="AA151" s="19" t="str">
        <f t="shared" si="29"/>
        <v/>
      </c>
      <c r="AB151" s="5"/>
      <c r="AC151" s="5"/>
      <c r="AE151" t="str">
        <f>IFERROR(INDEX(EqTag,_xlfn.AGGREGATE(15,6,(ROW(EqTag)-4)/((EqSys=$D$3)*(EqTag&lt;&gt;"")),ROWS($AE$14:AE151))),"")</f>
        <v/>
      </c>
    </row>
    <row r="152" spans="1:31" ht="30" customHeight="1" x14ac:dyDescent="0.2">
      <c r="A152" s="19" t="str">
        <f>IF(F152="","",LEFT($D$3,3)&amp;"-"&amp;TEXT(COUNTIF(F$14:F152,"?*"),"00"))</f>
        <v/>
      </c>
      <c r="B152" s="5"/>
      <c r="C152" s="6" t="str">
        <f t="shared" si="24"/>
        <v/>
      </c>
      <c r="D152" s="5"/>
      <c r="E152" s="5"/>
      <c r="F152" s="5"/>
      <c r="G152" s="5"/>
      <c r="H152" s="5"/>
      <c r="I152" s="5"/>
      <c r="J152" s="5"/>
      <c r="K152" s="15"/>
      <c r="L152" s="5"/>
      <c r="M152" s="15"/>
      <c r="N152" s="5"/>
      <c r="O152" s="15"/>
      <c r="P152" s="19" t="str">
        <f t="shared" si="25"/>
        <v/>
      </c>
      <c r="Q152" s="19" t="str">
        <f t="shared" si="26"/>
        <v/>
      </c>
      <c r="R152" s="19" t="str">
        <f t="shared" si="27"/>
        <v/>
      </c>
      <c r="S152" s="5"/>
      <c r="T152" s="5"/>
      <c r="U152" s="5"/>
      <c r="V152" s="24"/>
      <c r="W152" s="15"/>
      <c r="X152" s="15"/>
      <c r="Y152" s="15"/>
      <c r="Z152" s="19" t="str">
        <f t="shared" si="28"/>
        <v/>
      </c>
      <c r="AA152" s="19" t="str">
        <f t="shared" si="29"/>
        <v/>
      </c>
      <c r="AB152" s="5"/>
      <c r="AC152" s="5"/>
      <c r="AE152" t="str">
        <f>IFERROR(INDEX(EqTag,_xlfn.AGGREGATE(15,6,(ROW(EqTag)-4)/((EqSys=$D$3)*(EqTag&lt;&gt;"")),ROWS($AE$14:AE152))),"")</f>
        <v/>
      </c>
    </row>
    <row r="153" spans="1:31" ht="30" customHeight="1" x14ac:dyDescent="0.2">
      <c r="A153" s="19" t="str">
        <f>IF(F153="","",LEFT($D$3,3)&amp;"-"&amp;TEXT(COUNTIF(F$14:F153,"?*"),"00"))</f>
        <v/>
      </c>
      <c r="B153" s="5"/>
      <c r="C153" s="6" t="str">
        <f t="shared" si="24"/>
        <v/>
      </c>
      <c r="D153" s="5"/>
      <c r="E153" s="5"/>
      <c r="F153" s="5"/>
      <c r="G153" s="5"/>
      <c r="H153" s="5"/>
      <c r="I153" s="5"/>
      <c r="J153" s="5"/>
      <c r="K153" s="15"/>
      <c r="L153" s="5"/>
      <c r="M153" s="15"/>
      <c r="N153" s="5"/>
      <c r="O153" s="15"/>
      <c r="P153" s="19" t="str">
        <f t="shared" si="25"/>
        <v/>
      </c>
      <c r="Q153" s="19" t="str">
        <f t="shared" si="26"/>
        <v/>
      </c>
      <c r="R153" s="19" t="str">
        <f t="shared" si="27"/>
        <v/>
      </c>
      <c r="S153" s="5"/>
      <c r="T153" s="5"/>
      <c r="U153" s="5"/>
      <c r="V153" s="24"/>
      <c r="W153" s="15"/>
      <c r="X153" s="15"/>
      <c r="Y153" s="15"/>
      <c r="Z153" s="19" t="str">
        <f t="shared" si="28"/>
        <v/>
      </c>
      <c r="AA153" s="19" t="str">
        <f t="shared" si="29"/>
        <v/>
      </c>
      <c r="AB153" s="5"/>
      <c r="AC153" s="5"/>
      <c r="AE153" t="str">
        <f>IFERROR(INDEX(EqTag,_xlfn.AGGREGATE(15,6,(ROW(EqTag)-4)/((EqSys=$D$3)*(EqTag&lt;&gt;"")),ROWS($AE$14:AE153))),"")</f>
        <v/>
      </c>
    </row>
    <row r="154" spans="1:31" ht="30" customHeight="1" x14ac:dyDescent="0.2">
      <c r="A154" s="19" t="str">
        <f>IF(F154="","",LEFT($D$3,3)&amp;"-"&amp;TEXT(COUNTIF(F$14:F154,"?*"),"00"))</f>
        <v/>
      </c>
      <c r="B154" s="5"/>
      <c r="C154" s="6" t="str">
        <f t="shared" si="24"/>
        <v/>
      </c>
      <c r="D154" s="5"/>
      <c r="E154" s="5"/>
      <c r="F154" s="5"/>
      <c r="G154" s="5"/>
      <c r="H154" s="5"/>
      <c r="I154" s="5"/>
      <c r="J154" s="5"/>
      <c r="K154" s="15"/>
      <c r="L154" s="5"/>
      <c r="M154" s="15"/>
      <c r="N154" s="5"/>
      <c r="O154" s="15"/>
      <c r="P154" s="19" t="str">
        <f t="shared" si="25"/>
        <v/>
      </c>
      <c r="Q154" s="19" t="str">
        <f t="shared" si="26"/>
        <v/>
      </c>
      <c r="R154" s="19" t="str">
        <f t="shared" si="27"/>
        <v/>
      </c>
      <c r="S154" s="5"/>
      <c r="T154" s="5"/>
      <c r="U154" s="5"/>
      <c r="V154" s="24"/>
      <c r="W154" s="15"/>
      <c r="X154" s="15"/>
      <c r="Y154" s="15"/>
      <c r="Z154" s="19" t="str">
        <f t="shared" si="28"/>
        <v/>
      </c>
      <c r="AA154" s="19" t="str">
        <f t="shared" si="29"/>
        <v/>
      </c>
      <c r="AB154" s="5"/>
      <c r="AC154" s="5"/>
      <c r="AE154" t="str">
        <f>IFERROR(INDEX(EqTag,_xlfn.AGGREGATE(15,6,(ROW(EqTag)-4)/((EqSys=$D$3)*(EqTag&lt;&gt;"")),ROWS($AE$14:AE154))),"")</f>
        <v/>
      </c>
    </row>
    <row r="155" spans="1:31" ht="30" customHeight="1" x14ac:dyDescent="0.2">
      <c r="A155" s="19" t="str">
        <f>IF(F155="","",LEFT($D$3,3)&amp;"-"&amp;TEXT(COUNTIF(F$14:F155,"?*"),"00"))</f>
        <v/>
      </c>
      <c r="B155" s="5"/>
      <c r="C155" s="6" t="str">
        <f t="shared" si="24"/>
        <v/>
      </c>
      <c r="D155" s="5"/>
      <c r="E155" s="5"/>
      <c r="F155" s="5"/>
      <c r="G155" s="5"/>
      <c r="H155" s="5"/>
      <c r="I155" s="5"/>
      <c r="J155" s="5"/>
      <c r="K155" s="15"/>
      <c r="L155" s="5"/>
      <c r="M155" s="15"/>
      <c r="N155" s="5"/>
      <c r="O155" s="15"/>
      <c r="P155" s="19" t="str">
        <f t="shared" si="25"/>
        <v/>
      </c>
      <c r="Q155" s="19" t="str">
        <f t="shared" si="26"/>
        <v/>
      </c>
      <c r="R155" s="19" t="str">
        <f t="shared" si="27"/>
        <v/>
      </c>
      <c r="S155" s="5"/>
      <c r="T155" s="5"/>
      <c r="U155" s="5"/>
      <c r="V155" s="24"/>
      <c r="W155" s="15"/>
      <c r="X155" s="15"/>
      <c r="Y155" s="15"/>
      <c r="Z155" s="19" t="str">
        <f t="shared" si="28"/>
        <v/>
      </c>
      <c r="AA155" s="19" t="str">
        <f t="shared" si="29"/>
        <v/>
      </c>
      <c r="AB155" s="5"/>
      <c r="AC155" s="5"/>
      <c r="AE155" t="str">
        <f>IFERROR(INDEX(EqTag,_xlfn.AGGREGATE(15,6,(ROW(EqTag)-4)/((EqSys=$D$3)*(EqTag&lt;&gt;"")),ROWS($AE$14:AE155))),"")</f>
        <v/>
      </c>
    </row>
    <row r="156" spans="1:31" ht="30" customHeight="1" x14ac:dyDescent="0.2">
      <c r="A156" s="19" t="str">
        <f>IF(F156="","",LEFT($D$3,3)&amp;"-"&amp;TEXT(COUNTIF(F$14:F156,"?*"),"00"))</f>
        <v/>
      </c>
      <c r="B156" s="5"/>
      <c r="C156" s="6" t="str">
        <f t="shared" si="24"/>
        <v/>
      </c>
      <c r="D156" s="5"/>
      <c r="E156" s="5"/>
      <c r="F156" s="5"/>
      <c r="G156" s="5"/>
      <c r="H156" s="5"/>
      <c r="I156" s="5"/>
      <c r="J156" s="5"/>
      <c r="K156" s="15"/>
      <c r="L156" s="5"/>
      <c r="M156" s="15"/>
      <c r="N156" s="5"/>
      <c r="O156" s="15"/>
      <c r="P156" s="19" t="str">
        <f t="shared" si="25"/>
        <v/>
      </c>
      <c r="Q156" s="19" t="str">
        <f t="shared" si="26"/>
        <v/>
      </c>
      <c r="R156" s="19" t="str">
        <f t="shared" si="27"/>
        <v/>
      </c>
      <c r="S156" s="5"/>
      <c r="T156" s="5"/>
      <c r="U156" s="5"/>
      <c r="V156" s="24"/>
      <c r="W156" s="15"/>
      <c r="X156" s="15"/>
      <c r="Y156" s="15"/>
      <c r="Z156" s="19" t="str">
        <f t="shared" si="28"/>
        <v/>
      </c>
      <c r="AA156" s="19" t="str">
        <f t="shared" si="29"/>
        <v/>
      </c>
      <c r="AB156" s="5"/>
      <c r="AC156" s="5"/>
      <c r="AE156" t="str">
        <f>IFERROR(INDEX(EqTag,_xlfn.AGGREGATE(15,6,(ROW(EqTag)-4)/((EqSys=$D$3)*(EqTag&lt;&gt;"")),ROWS($AE$14:AE156))),"")</f>
        <v/>
      </c>
    </row>
    <row r="157" spans="1:31" ht="30" customHeight="1" x14ac:dyDescent="0.2">
      <c r="A157" s="19" t="str">
        <f>IF(F157="","",LEFT($D$3,3)&amp;"-"&amp;TEXT(COUNTIF(F$14:F157,"?*"),"00"))</f>
        <v/>
      </c>
      <c r="B157" s="5"/>
      <c r="C157" s="6" t="str">
        <f t="shared" si="24"/>
        <v/>
      </c>
      <c r="D157" s="5"/>
      <c r="E157" s="5"/>
      <c r="F157" s="5"/>
      <c r="G157" s="5"/>
      <c r="H157" s="5"/>
      <c r="I157" s="5"/>
      <c r="J157" s="5"/>
      <c r="K157" s="15"/>
      <c r="L157" s="5"/>
      <c r="M157" s="15"/>
      <c r="N157" s="5"/>
      <c r="O157" s="15"/>
      <c r="P157" s="19" t="str">
        <f t="shared" si="25"/>
        <v/>
      </c>
      <c r="Q157" s="19" t="str">
        <f t="shared" si="26"/>
        <v/>
      </c>
      <c r="R157" s="19" t="str">
        <f t="shared" si="27"/>
        <v/>
      </c>
      <c r="S157" s="5"/>
      <c r="T157" s="5"/>
      <c r="U157" s="5"/>
      <c r="V157" s="24"/>
      <c r="W157" s="15"/>
      <c r="X157" s="15"/>
      <c r="Y157" s="15"/>
      <c r="Z157" s="19" t="str">
        <f t="shared" si="28"/>
        <v/>
      </c>
      <c r="AA157" s="19" t="str">
        <f t="shared" si="29"/>
        <v/>
      </c>
      <c r="AB157" s="5"/>
      <c r="AC157" s="5"/>
      <c r="AE157" t="str">
        <f>IFERROR(INDEX(EqTag,_xlfn.AGGREGATE(15,6,(ROW(EqTag)-4)/((EqSys=$D$3)*(EqTag&lt;&gt;"")),ROWS($AE$14:AE157))),"")</f>
        <v/>
      </c>
    </row>
    <row r="158" spans="1:31" ht="30" customHeight="1" x14ac:dyDescent="0.2">
      <c r="A158" s="19" t="str">
        <f>IF(F158="","",LEFT($D$3,3)&amp;"-"&amp;TEXT(COUNTIF(F$14:F158,"?*"),"00"))</f>
        <v/>
      </c>
      <c r="B158" s="5"/>
      <c r="C158" s="6" t="str">
        <f t="shared" si="24"/>
        <v/>
      </c>
      <c r="D158" s="5"/>
      <c r="E158" s="5"/>
      <c r="F158" s="5"/>
      <c r="G158" s="5"/>
      <c r="H158" s="5"/>
      <c r="I158" s="5"/>
      <c r="J158" s="5"/>
      <c r="K158" s="15"/>
      <c r="L158" s="5"/>
      <c r="M158" s="15"/>
      <c r="N158" s="5"/>
      <c r="O158" s="15"/>
      <c r="P158" s="19" t="str">
        <f t="shared" si="25"/>
        <v/>
      </c>
      <c r="Q158" s="19" t="str">
        <f t="shared" si="26"/>
        <v/>
      </c>
      <c r="R158" s="19" t="str">
        <f t="shared" si="27"/>
        <v/>
      </c>
      <c r="S158" s="5"/>
      <c r="T158" s="5"/>
      <c r="U158" s="5"/>
      <c r="V158" s="24"/>
      <c r="W158" s="15"/>
      <c r="X158" s="15"/>
      <c r="Y158" s="15"/>
      <c r="Z158" s="19" t="str">
        <f t="shared" si="28"/>
        <v/>
      </c>
      <c r="AA158" s="19" t="str">
        <f t="shared" si="29"/>
        <v/>
      </c>
      <c r="AB158" s="5"/>
      <c r="AC158" s="5"/>
      <c r="AE158" t="str">
        <f>IFERROR(INDEX(EqTag,_xlfn.AGGREGATE(15,6,(ROW(EqTag)-4)/((EqSys=$D$3)*(EqTag&lt;&gt;"")),ROWS($AE$14:AE158))),"")</f>
        <v/>
      </c>
    </row>
    <row r="159" spans="1:31" ht="30" customHeight="1" x14ac:dyDescent="0.2">
      <c r="A159" s="19" t="str">
        <f>IF(F159="","",LEFT($D$3,3)&amp;"-"&amp;TEXT(COUNTIF(F$14:F159,"?*"),"00"))</f>
        <v/>
      </c>
      <c r="B159" s="5"/>
      <c r="C159" s="6" t="str">
        <f t="shared" si="24"/>
        <v/>
      </c>
      <c r="D159" s="5"/>
      <c r="E159" s="5"/>
      <c r="F159" s="5"/>
      <c r="G159" s="5"/>
      <c r="H159" s="5"/>
      <c r="I159" s="5"/>
      <c r="J159" s="5"/>
      <c r="K159" s="15"/>
      <c r="L159" s="5"/>
      <c r="M159" s="15"/>
      <c r="N159" s="5"/>
      <c r="O159" s="15"/>
      <c r="P159" s="19" t="str">
        <f t="shared" si="25"/>
        <v/>
      </c>
      <c r="Q159" s="19" t="str">
        <f t="shared" si="26"/>
        <v/>
      </c>
      <c r="R159" s="19" t="str">
        <f t="shared" si="27"/>
        <v/>
      </c>
      <c r="S159" s="5"/>
      <c r="T159" s="5"/>
      <c r="U159" s="5"/>
      <c r="V159" s="24"/>
      <c r="W159" s="15"/>
      <c r="X159" s="15"/>
      <c r="Y159" s="15"/>
      <c r="Z159" s="19" t="str">
        <f t="shared" si="28"/>
        <v/>
      </c>
      <c r="AA159" s="19" t="str">
        <f t="shared" si="29"/>
        <v/>
      </c>
      <c r="AB159" s="5"/>
      <c r="AC159" s="5"/>
      <c r="AE159" t="str">
        <f>IFERROR(INDEX(EqTag,_xlfn.AGGREGATE(15,6,(ROW(EqTag)-4)/((EqSys=$D$3)*(EqTag&lt;&gt;"")),ROWS($AE$14:AE159))),"")</f>
        <v/>
      </c>
    </row>
    <row r="160" spans="1:31" ht="30" customHeight="1" x14ac:dyDescent="0.2">
      <c r="A160" s="19" t="str">
        <f>IF(F160="","",LEFT($D$3,3)&amp;"-"&amp;TEXT(COUNTIF(F$14:F160,"?*"),"00"))</f>
        <v/>
      </c>
      <c r="B160" s="5"/>
      <c r="C160" s="6" t="str">
        <f t="shared" si="24"/>
        <v/>
      </c>
      <c r="D160" s="5"/>
      <c r="E160" s="5"/>
      <c r="F160" s="5"/>
      <c r="G160" s="5"/>
      <c r="H160" s="5"/>
      <c r="I160" s="5"/>
      <c r="J160" s="5"/>
      <c r="K160" s="15"/>
      <c r="L160" s="5"/>
      <c r="M160" s="15"/>
      <c r="N160" s="5"/>
      <c r="O160" s="15"/>
      <c r="P160" s="19" t="str">
        <f t="shared" si="25"/>
        <v/>
      </c>
      <c r="Q160" s="19" t="str">
        <f t="shared" si="26"/>
        <v/>
      </c>
      <c r="R160" s="19" t="str">
        <f t="shared" si="27"/>
        <v/>
      </c>
      <c r="S160" s="5"/>
      <c r="T160" s="5"/>
      <c r="U160" s="5"/>
      <c r="V160" s="24"/>
      <c r="W160" s="15"/>
      <c r="X160" s="15"/>
      <c r="Y160" s="15"/>
      <c r="Z160" s="19" t="str">
        <f t="shared" si="28"/>
        <v/>
      </c>
      <c r="AA160" s="19" t="str">
        <f t="shared" si="29"/>
        <v/>
      </c>
      <c r="AB160" s="5"/>
      <c r="AC160" s="5"/>
      <c r="AE160" t="str">
        <f>IFERROR(INDEX(EqTag,_xlfn.AGGREGATE(15,6,(ROW(EqTag)-4)/((EqSys=$D$3)*(EqTag&lt;&gt;"")),ROWS($AE$14:AE160))),"")</f>
        <v/>
      </c>
    </row>
    <row r="161" spans="1:31" ht="30" customHeight="1" x14ac:dyDescent="0.2">
      <c r="A161" s="19" t="str">
        <f>IF(F161="","",LEFT($D$3,3)&amp;"-"&amp;TEXT(COUNTIF(F$14:F161,"?*"),"00"))</f>
        <v/>
      </c>
      <c r="B161" s="5"/>
      <c r="C161" s="6" t="str">
        <f t="shared" si="24"/>
        <v/>
      </c>
      <c r="D161" s="5"/>
      <c r="E161" s="5"/>
      <c r="F161" s="5"/>
      <c r="G161" s="5"/>
      <c r="H161" s="5"/>
      <c r="I161" s="5"/>
      <c r="J161" s="5"/>
      <c r="K161" s="15"/>
      <c r="L161" s="5"/>
      <c r="M161" s="15"/>
      <c r="N161" s="5"/>
      <c r="O161" s="15"/>
      <c r="P161" s="19" t="str">
        <f t="shared" si="25"/>
        <v/>
      </c>
      <c r="Q161" s="19" t="str">
        <f t="shared" si="26"/>
        <v/>
      </c>
      <c r="R161" s="19" t="str">
        <f t="shared" si="27"/>
        <v/>
      </c>
      <c r="S161" s="5"/>
      <c r="T161" s="5"/>
      <c r="U161" s="5"/>
      <c r="V161" s="24"/>
      <c r="W161" s="15"/>
      <c r="X161" s="15"/>
      <c r="Y161" s="15"/>
      <c r="Z161" s="19" t="str">
        <f t="shared" si="28"/>
        <v/>
      </c>
      <c r="AA161" s="19" t="str">
        <f t="shared" si="29"/>
        <v/>
      </c>
      <c r="AB161" s="5"/>
      <c r="AC161" s="5"/>
      <c r="AE161" t="str">
        <f>IFERROR(INDEX(EqTag,_xlfn.AGGREGATE(15,6,(ROW(EqTag)-4)/((EqSys=$D$3)*(EqTag&lt;&gt;"")),ROWS($AE$14:AE161))),"")</f>
        <v/>
      </c>
    </row>
    <row r="162" spans="1:31" ht="30" customHeight="1" x14ac:dyDescent="0.2">
      <c r="A162" s="19" t="str">
        <f>IF(F162="","",LEFT($D$3,3)&amp;"-"&amp;TEXT(COUNTIF(F$14:F162,"?*"),"00"))</f>
        <v/>
      </c>
      <c r="B162" s="5"/>
      <c r="C162" s="6" t="str">
        <f t="shared" si="24"/>
        <v/>
      </c>
      <c r="D162" s="5"/>
      <c r="E162" s="5"/>
      <c r="F162" s="5"/>
      <c r="G162" s="5"/>
      <c r="H162" s="5"/>
      <c r="I162" s="5"/>
      <c r="J162" s="5"/>
      <c r="K162" s="15"/>
      <c r="L162" s="5"/>
      <c r="M162" s="15"/>
      <c r="N162" s="5"/>
      <c r="O162" s="15"/>
      <c r="P162" s="19" t="str">
        <f t="shared" si="25"/>
        <v/>
      </c>
      <c r="Q162" s="19" t="str">
        <f t="shared" si="26"/>
        <v/>
      </c>
      <c r="R162" s="19" t="str">
        <f t="shared" si="27"/>
        <v/>
      </c>
      <c r="S162" s="5"/>
      <c r="T162" s="5"/>
      <c r="U162" s="5"/>
      <c r="V162" s="24"/>
      <c r="W162" s="15"/>
      <c r="X162" s="15"/>
      <c r="Y162" s="15"/>
      <c r="Z162" s="19" t="str">
        <f t="shared" si="28"/>
        <v/>
      </c>
      <c r="AA162" s="19" t="str">
        <f t="shared" si="29"/>
        <v/>
      </c>
      <c r="AB162" s="5"/>
      <c r="AC162" s="5"/>
      <c r="AE162" t="str">
        <f>IFERROR(INDEX(EqTag,_xlfn.AGGREGATE(15,6,(ROW(EqTag)-4)/((EqSys=$D$3)*(EqTag&lt;&gt;"")),ROWS($AE$14:AE162))),"")</f>
        <v/>
      </c>
    </row>
    <row r="163" spans="1:31" ht="30" customHeight="1" x14ac:dyDescent="0.2">
      <c r="A163" s="19" t="str">
        <f>IF(F163="","",LEFT($D$3,3)&amp;"-"&amp;TEXT(COUNTIF(F$14:F163,"?*"),"00"))</f>
        <v/>
      </c>
      <c r="B163" s="5"/>
      <c r="C163" s="6" t="str">
        <f t="shared" si="24"/>
        <v/>
      </c>
      <c r="D163" s="5"/>
      <c r="E163" s="5"/>
      <c r="F163" s="5"/>
      <c r="G163" s="5"/>
      <c r="H163" s="5"/>
      <c r="I163" s="5"/>
      <c r="J163" s="5"/>
      <c r="K163" s="15"/>
      <c r="L163" s="5"/>
      <c r="M163" s="15"/>
      <c r="N163" s="5"/>
      <c r="O163" s="15"/>
      <c r="P163" s="19" t="str">
        <f t="shared" si="25"/>
        <v/>
      </c>
      <c r="Q163" s="19" t="str">
        <f t="shared" si="26"/>
        <v/>
      </c>
      <c r="R163" s="19" t="str">
        <f t="shared" si="27"/>
        <v/>
      </c>
      <c r="S163" s="5"/>
      <c r="T163" s="5"/>
      <c r="U163" s="5"/>
      <c r="V163" s="24"/>
      <c r="W163" s="15"/>
      <c r="X163" s="15"/>
      <c r="Y163" s="15"/>
      <c r="Z163" s="19" t="str">
        <f t="shared" si="28"/>
        <v/>
      </c>
      <c r="AA163" s="19" t="str">
        <f t="shared" si="29"/>
        <v/>
      </c>
      <c r="AB163" s="5"/>
      <c r="AC163" s="5"/>
      <c r="AE163" t="str">
        <f>IFERROR(INDEX(EqTag,_xlfn.AGGREGATE(15,6,(ROW(EqTag)-4)/((EqSys=$D$3)*(EqTag&lt;&gt;"")),ROWS($AE$14:AE163))),"")</f>
        <v/>
      </c>
    </row>
  </sheetData>
  <mergeCells count="22">
    <mergeCell ref="S12:V12"/>
    <mergeCell ref="D8:O8"/>
    <mergeCell ref="AB12:AC12"/>
    <mergeCell ref="K12:R12"/>
    <mergeCell ref="D5:O5"/>
    <mergeCell ref="W12:AA12"/>
    <mergeCell ref="A11:O11"/>
    <mergeCell ref="A7:C7"/>
    <mergeCell ref="D6:O6"/>
    <mergeCell ref="D3:J3"/>
    <mergeCell ref="A3:C3"/>
    <mergeCell ref="A12:F12"/>
    <mergeCell ref="D7:O7"/>
    <mergeCell ref="L3:M3"/>
    <mergeCell ref="A5:C5"/>
    <mergeCell ref="A8:C8"/>
    <mergeCell ref="G12:J12"/>
    <mergeCell ref="D4:O4"/>
    <mergeCell ref="D9:O9"/>
    <mergeCell ref="A4:C4"/>
    <mergeCell ref="A9:C9"/>
    <mergeCell ref="A6:C6"/>
  </mergeCells>
  <conditionalFormatting sqref="Q14:Q163">
    <cfRule type="expression" dxfId="62" priority="1">
      <formula>Q14="H"</formula>
    </cfRule>
    <cfRule type="expression" dxfId="61" priority="3">
      <formula>Q14="M"</formula>
    </cfRule>
    <cfRule type="expression" dxfId="60" priority="5">
      <formula>Q14="L"</formula>
    </cfRule>
  </conditionalFormatting>
  <conditionalFormatting sqref="AA14:AA163">
    <cfRule type="expression" dxfId="59" priority="2">
      <formula>AA14="H"</formula>
    </cfRule>
    <cfRule type="expression" dxfId="58" priority="4">
      <formula>AA14="M"</formula>
    </cfRule>
    <cfRule type="expression" dxfId="57" priority="6">
      <formula>AA14="L"</formula>
    </cfRule>
  </conditionalFormatting>
  <conditionalFormatting sqref="R14:R163">
    <cfRule type="expression" dxfId="56" priority="7">
      <formula>R14="Yes"</formula>
    </cfRule>
  </conditionalFormatting>
  <conditionalFormatting sqref="P14:P163">
    <cfRule type="expression" dxfId="55" priority="8">
      <formula>AND(ISNUMBER(P14),P14&gt;=RPNThr)</formula>
    </cfRule>
  </conditionalFormatting>
  <conditionalFormatting sqref="Z14:Z163">
    <cfRule type="expression" dxfId="54" priority="9">
      <formula>AND(ISNUMBER(Z14),Z14&gt;=RPNThr)</formula>
    </cfRule>
  </conditionalFormatting>
  <dataValidations count="10">
    <dataValidation type="list" allowBlank="1" showInputMessage="1" showErrorMessage="1" promptTitle="Select" prompt="Choose the system analysed on this sheet" sqref="D3" xr:uid="{00000000-0002-0000-0A00-000000000000}">
      <formula1>SystemList</formula1>
    </dataValidation>
    <dataValidation type="list" errorStyle="information" allowBlank="1" showInputMessage="1" showErrorMessage="1" errorTitle="Not in list" error="Entry is not in the list – it will be accepted as free text." promptTitle="Select" prompt="Equipment tags of the selected system (from the Equipment Register)" sqref="B14:B163" xr:uid="{00000000-0002-0000-0A00-000001000000}">
      <formula1>OFFSET($AE$14,0,0,MAX(1,COUNTIFS(EqSys,$D$3,EqTag,"?*")),1)</formula1>
    </dataValidation>
    <dataValidation type="list" errorStyle="information" allowBlank="1" showInputMessage="1" showErrorMessage="1" errorTitle="Not in list" error="Entry is not in the list – it will be accepted as free text." promptTitle="Select" prompt="Components for this equipment type – or type your own" sqref="D14:D163" xr:uid="{00000000-0002-0000-0A00-000002000000}">
      <formula1>OFFSET(CompStart,MATCH($C14,CompType,0)-1,0,MAX(1,COUNTIF(CompType,$C14)),1)</formula1>
    </dataValidation>
    <dataValidation type="list" errorStyle="information" allowBlank="1" showInputMessage="1" showErrorMessage="1" errorTitle="Not in list" error="Entry is not in the list – it will be accepted as free text." promptTitle="Select" prompt="Failure modes for this equipment type – or type your own" sqref="F14:F163" xr:uid="{00000000-0002-0000-0A00-000003000000}">
      <formula1>OFFSET(FMStart,MATCH($C14,FMType,0)-1,0,MAX(1,COUNTIF(FMType,$C14)),1)</formula1>
    </dataValidation>
    <dataValidation type="list" allowBlank="1" showInputMessage="1" promptTitle="Multi-select" prompt="Pick a cause – each pick is added as a new line; pick again to remove." sqref="G14:G163" xr:uid="{00000000-0002-0000-0A00-000004000000}">
      <formula1>MechList</formula1>
    </dataValidation>
    <dataValidation type="list" allowBlank="1" showInputMessage="1" promptTitle="Multi-select" prompt="Pick a detection method – each pick is added as a new line; pick again to remove." sqref="N14:N163" xr:uid="{00000000-0002-0000-0A00-000005000000}">
      <formula1>DetList</formula1>
    </dataValidation>
    <dataValidation type="list" errorStyle="information" allowBlank="1" showErrorMessage="1" errorTitle="Not in list" error="Entry is not in the list – it will be accepted as free text." sqref="T14:T163" xr:uid="{00000000-0002-0000-0A00-000006000000}">
      <formula1>TaskList</formula1>
    </dataValidation>
    <dataValidation type="list" allowBlank="1" showErrorMessage="1" sqref="K14:K163 W14:W163" xr:uid="{00000000-0002-0000-0A00-000007000000}">
      <formula1>SevList</formula1>
    </dataValidation>
    <dataValidation type="list" allowBlank="1" showErrorMessage="1" sqref="M14:M163 X14:X163" xr:uid="{00000000-0002-0000-0A00-000008000000}">
      <formula1>OccList</formula1>
    </dataValidation>
    <dataValidation type="list" allowBlank="1" showErrorMessage="1" sqref="O14:O163 Y14:Y163" xr:uid="{00000000-0002-0000-0A00-000009000000}">
      <formula1>DetScaleList</formula1>
    </dataValidation>
  </dataValidations>
  <pageMargins left="0.75" right="0.75" top="1" bottom="1" header="0.5" footer="0.5"/>
  <pageSetup paperSize="8" fitToHeight="0"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pageSetUpPr fitToPage="1"/>
  </sheetPr>
  <dimension ref="A1:AE163"/>
  <sheetViews>
    <sheetView workbookViewId="0">
      <pane xSplit="2" ySplit="13" topLeftCell="C14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7" customWidth="1"/>
    <col min="2" max="2" width="14" customWidth="1"/>
    <col min="3" max="4" width="22" customWidth="1"/>
    <col min="5" max="5" width="26" customWidth="1"/>
    <col min="6" max="6" width="28" customWidth="1"/>
    <col min="7" max="7" width="44" customWidth="1"/>
    <col min="8" max="9" width="28" customWidth="1"/>
    <col min="10" max="10" width="32" customWidth="1"/>
    <col min="11" max="11" width="18" customWidth="1"/>
    <col min="12" max="12" width="30" customWidth="1"/>
    <col min="13" max="13" width="18" customWidth="1"/>
    <col min="14" max="14" width="38" customWidth="1"/>
    <col min="15" max="15" width="18" customWidth="1"/>
    <col min="16" max="16" width="7" customWidth="1"/>
    <col min="17" max="17" width="6" customWidth="1"/>
    <col min="18" max="18" width="9" customWidth="1"/>
    <col min="19" max="19" width="34" customWidth="1"/>
    <col min="20" max="20" width="22" customWidth="1"/>
    <col min="21" max="21" width="14" customWidth="1"/>
    <col min="22" max="22" width="12" customWidth="1"/>
    <col min="23" max="25" width="18" customWidth="1"/>
    <col min="26" max="26" width="7" customWidth="1"/>
    <col min="27" max="27" width="6" customWidth="1"/>
    <col min="28" max="28" width="12" customWidth="1"/>
    <col min="29" max="29" width="24" customWidth="1"/>
    <col min="31" max="31" width="13" hidden="1" customWidth="1"/>
  </cols>
  <sheetData>
    <row r="1" spans="1:31" ht="18" x14ac:dyDescent="0.2">
      <c r="A1" s="21" t="s">
        <v>820</v>
      </c>
      <c r="F1" s="22" t="str">
        <f>Cover!B7</f>
        <v>FMECA – [Plant / Unit name]</v>
      </c>
    </row>
    <row r="3" spans="1:31" ht="16" x14ac:dyDescent="0.2">
      <c r="A3" s="28" t="s">
        <v>821</v>
      </c>
      <c r="B3" s="29"/>
      <c r="C3" s="30"/>
      <c r="D3" s="26"/>
      <c r="E3" s="27"/>
      <c r="F3" s="27"/>
      <c r="G3" s="27"/>
      <c r="H3" s="27"/>
      <c r="I3" s="27"/>
      <c r="J3" s="27"/>
      <c r="K3" s="23" t="s">
        <v>822</v>
      </c>
      <c r="L3" s="34"/>
      <c r="M3" s="27"/>
      <c r="N3" s="23" t="s">
        <v>823</v>
      </c>
      <c r="O3" s="19" t="str">
        <f>IF($D$3="","",COUNTIFS(EqSys,$D$3,EqTag,"?*"))</f>
        <v/>
      </c>
    </row>
    <row r="4" spans="1:31" ht="16" customHeight="1" x14ac:dyDescent="0.2">
      <c r="A4" s="35" t="s">
        <v>824</v>
      </c>
      <c r="B4" s="27"/>
      <c r="C4" s="27"/>
      <c r="D4" s="33" t="str">
        <f>IF($D$3="","",IFERROR(INDEX(Systems!$B$5:$B$34,MATCH($D$3,Systems!$C$5:$C$34,0))&amp;"",""))</f>
        <v/>
      </c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</row>
    <row r="5" spans="1:31" ht="30" customHeight="1" x14ac:dyDescent="0.2">
      <c r="A5" s="35" t="s">
        <v>140</v>
      </c>
      <c r="B5" s="27"/>
      <c r="C5" s="27"/>
      <c r="D5" s="33" t="str">
        <f>IF($D$3="","",IFERROR(INDEX(Systems!$D$5:$D$34,MATCH($D$3,Systems!$C$5:$C$34,0))&amp;"",""))</f>
        <v/>
      </c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</row>
    <row r="6" spans="1:31" ht="30" customHeight="1" x14ac:dyDescent="0.2">
      <c r="A6" s="35" t="s">
        <v>24</v>
      </c>
      <c r="B6" s="27"/>
      <c r="C6" s="27"/>
      <c r="D6" s="33" t="str">
        <f>IF($D$3="","",IFERROR(INDEX(Systems!$E$5:$E$34,MATCH($D$3,Systems!$C$5:$C$34,0))&amp;"",""))</f>
        <v/>
      </c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</row>
    <row r="7" spans="1:31" ht="30" customHeight="1" x14ac:dyDescent="0.2">
      <c r="A7" s="35" t="s">
        <v>142</v>
      </c>
      <c r="B7" s="27"/>
      <c r="C7" s="27"/>
      <c r="D7" s="33" t="str">
        <f>IF($D$3="","",IFERROR(INDEX(Systems!$F$5:$F$34,MATCH($D$3,Systems!$C$5:$C$34,0))&amp;"",""))</f>
        <v/>
      </c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</row>
    <row r="8" spans="1:31" ht="16" customHeight="1" x14ac:dyDescent="0.2">
      <c r="A8" s="35" t="s">
        <v>143</v>
      </c>
      <c r="B8" s="27"/>
      <c r="C8" s="27"/>
      <c r="D8" s="33" t="str">
        <f>IF($D$3="","",IFERROR(INDEX(Systems!$G$5:$G$34,MATCH($D$3,Systems!$C$5:$C$34,0))&amp;"",""))</f>
        <v/>
      </c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</row>
    <row r="9" spans="1:31" ht="16" customHeight="1" x14ac:dyDescent="0.2">
      <c r="A9" s="35" t="s">
        <v>144</v>
      </c>
      <c r="B9" s="27"/>
      <c r="C9" s="27"/>
      <c r="D9" s="33" t="str">
        <f>IF($D$3="","",IFERROR(INDEX(Systems!$H$5:$H$34,MATCH($D$3,Systems!$C$5:$C$34,0))&amp;"",""))</f>
        <v/>
      </c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</row>
    <row r="11" spans="1:31" ht="26" customHeight="1" x14ac:dyDescent="0.2">
      <c r="A11" s="36" t="s">
        <v>825</v>
      </c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</row>
    <row r="12" spans="1:31" x14ac:dyDescent="0.2">
      <c r="A12" s="31" t="s">
        <v>826</v>
      </c>
      <c r="B12" s="32"/>
      <c r="C12" s="32"/>
      <c r="D12" s="32"/>
      <c r="E12" s="32"/>
      <c r="F12" s="32"/>
      <c r="G12" s="31" t="s">
        <v>827</v>
      </c>
      <c r="H12" s="32"/>
      <c r="I12" s="32"/>
      <c r="J12" s="32"/>
      <c r="K12" s="31" t="s">
        <v>828</v>
      </c>
      <c r="L12" s="32"/>
      <c r="M12" s="32"/>
      <c r="N12" s="32"/>
      <c r="O12" s="32"/>
      <c r="P12" s="32"/>
      <c r="Q12" s="32"/>
      <c r="R12" s="32"/>
      <c r="S12" s="31" t="s">
        <v>829</v>
      </c>
      <c r="T12" s="32"/>
      <c r="U12" s="32"/>
      <c r="V12" s="32"/>
      <c r="W12" s="31" t="s">
        <v>830</v>
      </c>
      <c r="X12" s="32"/>
      <c r="Y12" s="32"/>
      <c r="Z12" s="32"/>
      <c r="AA12" s="32"/>
      <c r="AB12" s="31" t="s">
        <v>831</v>
      </c>
      <c r="AC12" s="32"/>
    </row>
    <row r="13" spans="1:31" ht="54" customHeight="1" x14ac:dyDescent="0.2">
      <c r="A13" s="8" t="s">
        <v>62</v>
      </c>
      <c r="B13" s="8" t="s">
        <v>192</v>
      </c>
      <c r="C13" s="8" t="s">
        <v>832</v>
      </c>
      <c r="D13" s="8" t="s">
        <v>260</v>
      </c>
      <c r="E13" s="8" t="s">
        <v>833</v>
      </c>
      <c r="F13" s="8" t="s">
        <v>261</v>
      </c>
      <c r="G13" s="8" t="s">
        <v>834</v>
      </c>
      <c r="H13" s="8" t="s">
        <v>835</v>
      </c>
      <c r="I13" s="8" t="s">
        <v>836</v>
      </c>
      <c r="J13" s="8" t="s">
        <v>837</v>
      </c>
      <c r="K13" s="8" t="s">
        <v>685</v>
      </c>
      <c r="L13" s="8" t="s">
        <v>838</v>
      </c>
      <c r="M13" s="8" t="s">
        <v>718</v>
      </c>
      <c r="N13" s="8" t="s">
        <v>839</v>
      </c>
      <c r="O13" s="8" t="s">
        <v>739</v>
      </c>
      <c r="P13" s="8" t="s">
        <v>840</v>
      </c>
      <c r="Q13" s="8" t="s">
        <v>841</v>
      </c>
      <c r="R13" s="8" t="s">
        <v>842</v>
      </c>
      <c r="S13" s="8" t="s">
        <v>843</v>
      </c>
      <c r="T13" s="8" t="s">
        <v>264</v>
      </c>
      <c r="U13" s="8" t="s">
        <v>844</v>
      </c>
      <c r="V13" s="8" t="s">
        <v>845</v>
      </c>
      <c r="W13" s="8" t="s">
        <v>685</v>
      </c>
      <c r="X13" s="8" t="s">
        <v>718</v>
      </c>
      <c r="Y13" s="8" t="s">
        <v>739</v>
      </c>
      <c r="Z13" s="8" t="s">
        <v>846</v>
      </c>
      <c r="AA13" s="8" t="s">
        <v>847</v>
      </c>
      <c r="AB13" s="8" t="s">
        <v>848</v>
      </c>
      <c r="AC13" s="8" t="s">
        <v>68</v>
      </c>
    </row>
    <row r="14" spans="1:31" ht="30" customHeight="1" x14ac:dyDescent="0.2">
      <c r="A14" s="19" t="str">
        <f>IF(F14="","",LEFT($D$3,3)&amp;"-"&amp;TEXT(COUNTIF(F$14:F14,"?*"),"00"))</f>
        <v/>
      </c>
      <c r="B14" s="5"/>
      <c r="C14" s="6" t="str">
        <f t="shared" ref="C14:C45" si="0">IF(B14="","",IFERROR(INDEX(EqTypeCol,MATCH(B14,EqTag,0)),"Tag not in register"))</f>
        <v/>
      </c>
      <c r="D14" s="5"/>
      <c r="E14" s="5"/>
      <c r="F14" s="5"/>
      <c r="G14" s="5"/>
      <c r="H14" s="5"/>
      <c r="I14" s="5"/>
      <c r="J14" s="5"/>
      <c r="K14" s="15"/>
      <c r="L14" s="5"/>
      <c r="M14" s="15"/>
      <c r="N14" s="5"/>
      <c r="O14" s="15"/>
      <c r="P14" s="19" t="str">
        <f t="shared" ref="P14:P45" si="1">IF(OR(K14="",M14="",O14=""),"",(--TRIM(LEFT(K14,2)))*(--TRIM(LEFT(M14,2)))*(--TRIM(LEFT(O14,2))))</f>
        <v/>
      </c>
      <c r="Q14" s="19" t="str">
        <f t="shared" ref="Q14:Q45" si="2">IF(OR(K14="",M14="",O14=""),"",INDEX(APGrid,COUNTIF(APS,"&gt;"&amp;(--TRIM(LEFT(K14,2))))*5+COUNTIF(APO,"&gt;"&amp;(--TRIM(LEFT(M14,2))))+1,COUNTIF(APD,"&gt;"&amp;(--TRIM(LEFT(O14,2))))+1))</f>
        <v/>
      </c>
      <c r="R14" s="19" t="str">
        <f t="shared" ref="R14:R45" si="3">IF(P14="","",IF(OR((--TRIM(LEFT(K14,2)))&gt;=SThr,P14&gt;=RPNThr,Q14="H"),"Yes","No"))</f>
        <v/>
      </c>
      <c r="S14" s="5"/>
      <c r="T14" s="5"/>
      <c r="U14" s="5"/>
      <c r="V14" s="24"/>
      <c r="W14" s="15"/>
      <c r="X14" s="15"/>
      <c r="Y14" s="15"/>
      <c r="Z14" s="19" t="str">
        <f t="shared" ref="Z14:Z45" si="4">IF(OR(W14="",X14="",Y14=""),"",(--TRIM(LEFT(W14,2)))*(--TRIM(LEFT(X14,2)))*(--TRIM(LEFT(Y14,2))))</f>
        <v/>
      </c>
      <c r="AA14" s="19" t="str">
        <f t="shared" ref="AA14:AA45" si="5">IF(OR(W14="",X14="",Y14=""),"",INDEX(APGrid,COUNTIF(APS,"&gt;"&amp;(--TRIM(LEFT(W14,2))))*5+COUNTIF(APO,"&gt;"&amp;(--TRIM(LEFT(X14,2))))+1,COUNTIF(APD,"&gt;"&amp;(--TRIM(LEFT(Y14,2))))+1))</f>
        <v/>
      </c>
      <c r="AB14" s="5"/>
      <c r="AC14" s="5"/>
      <c r="AE14" t="str">
        <f>IFERROR(INDEX(EqTag,_xlfn.AGGREGATE(15,6,(ROW(EqTag)-4)/((EqSys=$D$3)*(EqTag&lt;&gt;"")),ROWS($AE$14:AE14))),"")</f>
        <v/>
      </c>
    </row>
    <row r="15" spans="1:31" ht="30" customHeight="1" x14ac:dyDescent="0.2">
      <c r="A15" s="19" t="str">
        <f>IF(F15="","",LEFT($D$3,3)&amp;"-"&amp;TEXT(COUNTIF(F$14:F15,"?*"),"00"))</f>
        <v/>
      </c>
      <c r="B15" s="5"/>
      <c r="C15" s="6" t="str">
        <f t="shared" si="0"/>
        <v/>
      </c>
      <c r="D15" s="5"/>
      <c r="E15" s="5"/>
      <c r="F15" s="5"/>
      <c r="G15" s="5"/>
      <c r="H15" s="5"/>
      <c r="I15" s="5"/>
      <c r="J15" s="5"/>
      <c r="K15" s="15"/>
      <c r="L15" s="5"/>
      <c r="M15" s="15"/>
      <c r="N15" s="5"/>
      <c r="O15" s="15"/>
      <c r="P15" s="19" t="str">
        <f t="shared" si="1"/>
        <v/>
      </c>
      <c r="Q15" s="19" t="str">
        <f t="shared" si="2"/>
        <v/>
      </c>
      <c r="R15" s="19" t="str">
        <f t="shared" si="3"/>
        <v/>
      </c>
      <c r="S15" s="5"/>
      <c r="T15" s="5"/>
      <c r="U15" s="5"/>
      <c r="V15" s="24"/>
      <c r="W15" s="15"/>
      <c r="X15" s="15"/>
      <c r="Y15" s="15"/>
      <c r="Z15" s="19" t="str">
        <f t="shared" si="4"/>
        <v/>
      </c>
      <c r="AA15" s="19" t="str">
        <f t="shared" si="5"/>
        <v/>
      </c>
      <c r="AB15" s="5"/>
      <c r="AC15" s="5"/>
      <c r="AE15" t="str">
        <f>IFERROR(INDEX(EqTag,_xlfn.AGGREGATE(15,6,(ROW(EqTag)-4)/((EqSys=$D$3)*(EqTag&lt;&gt;"")),ROWS($AE$14:AE15))),"")</f>
        <v/>
      </c>
    </row>
    <row r="16" spans="1:31" ht="30" customHeight="1" x14ac:dyDescent="0.2">
      <c r="A16" s="19" t="str">
        <f>IF(F16="","",LEFT($D$3,3)&amp;"-"&amp;TEXT(COUNTIF(F$14:F16,"?*"),"00"))</f>
        <v/>
      </c>
      <c r="B16" s="5"/>
      <c r="C16" s="6" t="str">
        <f t="shared" si="0"/>
        <v/>
      </c>
      <c r="D16" s="5"/>
      <c r="E16" s="5"/>
      <c r="F16" s="5"/>
      <c r="G16" s="5"/>
      <c r="H16" s="5"/>
      <c r="I16" s="5"/>
      <c r="J16" s="5"/>
      <c r="K16" s="15"/>
      <c r="L16" s="5"/>
      <c r="M16" s="15"/>
      <c r="N16" s="5"/>
      <c r="O16" s="15"/>
      <c r="P16" s="19" t="str">
        <f t="shared" si="1"/>
        <v/>
      </c>
      <c r="Q16" s="19" t="str">
        <f t="shared" si="2"/>
        <v/>
      </c>
      <c r="R16" s="19" t="str">
        <f t="shared" si="3"/>
        <v/>
      </c>
      <c r="S16" s="5"/>
      <c r="T16" s="5"/>
      <c r="U16" s="5"/>
      <c r="V16" s="24"/>
      <c r="W16" s="15"/>
      <c r="X16" s="15"/>
      <c r="Y16" s="15"/>
      <c r="Z16" s="19" t="str">
        <f t="shared" si="4"/>
        <v/>
      </c>
      <c r="AA16" s="19" t="str">
        <f t="shared" si="5"/>
        <v/>
      </c>
      <c r="AB16" s="5"/>
      <c r="AC16" s="5"/>
      <c r="AE16" t="str">
        <f>IFERROR(INDEX(EqTag,_xlfn.AGGREGATE(15,6,(ROW(EqTag)-4)/((EqSys=$D$3)*(EqTag&lt;&gt;"")),ROWS($AE$14:AE16))),"")</f>
        <v/>
      </c>
    </row>
    <row r="17" spans="1:31" ht="30" customHeight="1" x14ac:dyDescent="0.2">
      <c r="A17" s="19" t="str">
        <f>IF(F17="","",LEFT($D$3,3)&amp;"-"&amp;TEXT(COUNTIF(F$14:F17,"?*"),"00"))</f>
        <v/>
      </c>
      <c r="B17" s="5"/>
      <c r="C17" s="6" t="str">
        <f t="shared" si="0"/>
        <v/>
      </c>
      <c r="D17" s="5"/>
      <c r="E17" s="5"/>
      <c r="F17" s="5"/>
      <c r="G17" s="5"/>
      <c r="H17" s="5"/>
      <c r="I17" s="5"/>
      <c r="J17" s="5"/>
      <c r="K17" s="15"/>
      <c r="L17" s="5"/>
      <c r="M17" s="15"/>
      <c r="N17" s="5"/>
      <c r="O17" s="15"/>
      <c r="P17" s="19" t="str">
        <f t="shared" si="1"/>
        <v/>
      </c>
      <c r="Q17" s="19" t="str">
        <f t="shared" si="2"/>
        <v/>
      </c>
      <c r="R17" s="19" t="str">
        <f t="shared" si="3"/>
        <v/>
      </c>
      <c r="S17" s="5"/>
      <c r="T17" s="5"/>
      <c r="U17" s="5"/>
      <c r="V17" s="24"/>
      <c r="W17" s="15"/>
      <c r="X17" s="15"/>
      <c r="Y17" s="15"/>
      <c r="Z17" s="19" t="str">
        <f t="shared" si="4"/>
        <v/>
      </c>
      <c r="AA17" s="19" t="str">
        <f t="shared" si="5"/>
        <v/>
      </c>
      <c r="AB17" s="5"/>
      <c r="AC17" s="5"/>
      <c r="AE17" t="str">
        <f>IFERROR(INDEX(EqTag,_xlfn.AGGREGATE(15,6,(ROW(EqTag)-4)/((EqSys=$D$3)*(EqTag&lt;&gt;"")),ROWS($AE$14:AE17))),"")</f>
        <v/>
      </c>
    </row>
    <row r="18" spans="1:31" ht="30" customHeight="1" x14ac:dyDescent="0.2">
      <c r="A18" s="19" t="str">
        <f>IF(F18="","",LEFT($D$3,3)&amp;"-"&amp;TEXT(COUNTIF(F$14:F18,"?*"),"00"))</f>
        <v/>
      </c>
      <c r="B18" s="5"/>
      <c r="C18" s="6" t="str">
        <f t="shared" si="0"/>
        <v/>
      </c>
      <c r="D18" s="5"/>
      <c r="E18" s="5"/>
      <c r="F18" s="5"/>
      <c r="G18" s="5"/>
      <c r="H18" s="5"/>
      <c r="I18" s="5"/>
      <c r="J18" s="5"/>
      <c r="K18" s="15"/>
      <c r="L18" s="5"/>
      <c r="M18" s="15"/>
      <c r="N18" s="5"/>
      <c r="O18" s="15"/>
      <c r="P18" s="19" t="str">
        <f t="shared" si="1"/>
        <v/>
      </c>
      <c r="Q18" s="19" t="str">
        <f t="shared" si="2"/>
        <v/>
      </c>
      <c r="R18" s="19" t="str">
        <f t="shared" si="3"/>
        <v/>
      </c>
      <c r="S18" s="5"/>
      <c r="T18" s="5"/>
      <c r="U18" s="5"/>
      <c r="V18" s="24"/>
      <c r="W18" s="15"/>
      <c r="X18" s="15"/>
      <c r="Y18" s="15"/>
      <c r="Z18" s="19" t="str">
        <f t="shared" si="4"/>
        <v/>
      </c>
      <c r="AA18" s="19" t="str">
        <f t="shared" si="5"/>
        <v/>
      </c>
      <c r="AB18" s="5"/>
      <c r="AC18" s="5"/>
      <c r="AE18" t="str">
        <f>IFERROR(INDEX(EqTag,_xlfn.AGGREGATE(15,6,(ROW(EqTag)-4)/((EqSys=$D$3)*(EqTag&lt;&gt;"")),ROWS($AE$14:AE18))),"")</f>
        <v/>
      </c>
    </row>
    <row r="19" spans="1:31" ht="30" customHeight="1" x14ac:dyDescent="0.2">
      <c r="A19" s="19" t="str">
        <f>IF(F19="","",LEFT($D$3,3)&amp;"-"&amp;TEXT(COUNTIF(F$14:F19,"?*"),"00"))</f>
        <v/>
      </c>
      <c r="B19" s="5"/>
      <c r="C19" s="6" t="str">
        <f t="shared" si="0"/>
        <v/>
      </c>
      <c r="D19" s="5"/>
      <c r="E19" s="5"/>
      <c r="F19" s="5"/>
      <c r="G19" s="5"/>
      <c r="H19" s="5"/>
      <c r="I19" s="5"/>
      <c r="J19" s="5"/>
      <c r="K19" s="15"/>
      <c r="L19" s="5"/>
      <c r="M19" s="15"/>
      <c r="N19" s="5"/>
      <c r="O19" s="15"/>
      <c r="P19" s="19" t="str">
        <f t="shared" si="1"/>
        <v/>
      </c>
      <c r="Q19" s="19" t="str">
        <f t="shared" si="2"/>
        <v/>
      </c>
      <c r="R19" s="19" t="str">
        <f t="shared" si="3"/>
        <v/>
      </c>
      <c r="S19" s="5"/>
      <c r="T19" s="5"/>
      <c r="U19" s="5"/>
      <c r="V19" s="24"/>
      <c r="W19" s="15"/>
      <c r="X19" s="15"/>
      <c r="Y19" s="15"/>
      <c r="Z19" s="19" t="str">
        <f t="shared" si="4"/>
        <v/>
      </c>
      <c r="AA19" s="19" t="str">
        <f t="shared" si="5"/>
        <v/>
      </c>
      <c r="AB19" s="5"/>
      <c r="AC19" s="5"/>
      <c r="AE19" t="str">
        <f>IFERROR(INDEX(EqTag,_xlfn.AGGREGATE(15,6,(ROW(EqTag)-4)/((EqSys=$D$3)*(EqTag&lt;&gt;"")),ROWS($AE$14:AE19))),"")</f>
        <v/>
      </c>
    </row>
    <row r="20" spans="1:31" ht="30" customHeight="1" x14ac:dyDescent="0.2">
      <c r="A20" s="19" t="str">
        <f>IF(F20="","",LEFT($D$3,3)&amp;"-"&amp;TEXT(COUNTIF(F$14:F20,"?*"),"00"))</f>
        <v/>
      </c>
      <c r="B20" s="5"/>
      <c r="C20" s="6" t="str">
        <f t="shared" si="0"/>
        <v/>
      </c>
      <c r="D20" s="5"/>
      <c r="E20" s="5"/>
      <c r="F20" s="5"/>
      <c r="G20" s="5"/>
      <c r="H20" s="5"/>
      <c r="I20" s="5"/>
      <c r="J20" s="5"/>
      <c r="K20" s="15"/>
      <c r="L20" s="5"/>
      <c r="M20" s="15"/>
      <c r="N20" s="5"/>
      <c r="O20" s="15"/>
      <c r="P20" s="19" t="str">
        <f t="shared" si="1"/>
        <v/>
      </c>
      <c r="Q20" s="19" t="str">
        <f t="shared" si="2"/>
        <v/>
      </c>
      <c r="R20" s="19" t="str">
        <f t="shared" si="3"/>
        <v/>
      </c>
      <c r="S20" s="5"/>
      <c r="T20" s="5"/>
      <c r="U20" s="5"/>
      <c r="V20" s="24"/>
      <c r="W20" s="15"/>
      <c r="X20" s="15"/>
      <c r="Y20" s="15"/>
      <c r="Z20" s="19" t="str">
        <f t="shared" si="4"/>
        <v/>
      </c>
      <c r="AA20" s="19" t="str">
        <f t="shared" si="5"/>
        <v/>
      </c>
      <c r="AB20" s="5"/>
      <c r="AC20" s="5"/>
      <c r="AE20" t="str">
        <f>IFERROR(INDEX(EqTag,_xlfn.AGGREGATE(15,6,(ROW(EqTag)-4)/((EqSys=$D$3)*(EqTag&lt;&gt;"")),ROWS($AE$14:AE20))),"")</f>
        <v/>
      </c>
    </row>
    <row r="21" spans="1:31" ht="30" customHeight="1" x14ac:dyDescent="0.2">
      <c r="A21" s="19" t="str">
        <f>IF(F21="","",LEFT($D$3,3)&amp;"-"&amp;TEXT(COUNTIF(F$14:F21,"?*"),"00"))</f>
        <v/>
      </c>
      <c r="B21" s="5"/>
      <c r="C21" s="6" t="str">
        <f t="shared" si="0"/>
        <v/>
      </c>
      <c r="D21" s="5"/>
      <c r="E21" s="5"/>
      <c r="F21" s="5"/>
      <c r="G21" s="5"/>
      <c r="H21" s="5"/>
      <c r="I21" s="5"/>
      <c r="J21" s="5"/>
      <c r="K21" s="15"/>
      <c r="L21" s="5"/>
      <c r="M21" s="15"/>
      <c r="N21" s="5"/>
      <c r="O21" s="15"/>
      <c r="P21" s="19" t="str">
        <f t="shared" si="1"/>
        <v/>
      </c>
      <c r="Q21" s="19" t="str">
        <f t="shared" si="2"/>
        <v/>
      </c>
      <c r="R21" s="19" t="str">
        <f t="shared" si="3"/>
        <v/>
      </c>
      <c r="S21" s="5"/>
      <c r="T21" s="5"/>
      <c r="U21" s="5"/>
      <c r="V21" s="24"/>
      <c r="W21" s="15"/>
      <c r="X21" s="15"/>
      <c r="Y21" s="15"/>
      <c r="Z21" s="19" t="str">
        <f t="shared" si="4"/>
        <v/>
      </c>
      <c r="AA21" s="19" t="str">
        <f t="shared" si="5"/>
        <v/>
      </c>
      <c r="AB21" s="5"/>
      <c r="AC21" s="5"/>
      <c r="AE21" t="str">
        <f>IFERROR(INDEX(EqTag,_xlfn.AGGREGATE(15,6,(ROW(EqTag)-4)/((EqSys=$D$3)*(EqTag&lt;&gt;"")),ROWS($AE$14:AE21))),"")</f>
        <v/>
      </c>
    </row>
    <row r="22" spans="1:31" ht="30" customHeight="1" x14ac:dyDescent="0.2">
      <c r="A22" s="19" t="str">
        <f>IF(F22="","",LEFT($D$3,3)&amp;"-"&amp;TEXT(COUNTIF(F$14:F22,"?*"),"00"))</f>
        <v/>
      </c>
      <c r="B22" s="5"/>
      <c r="C22" s="6" t="str">
        <f t="shared" si="0"/>
        <v/>
      </c>
      <c r="D22" s="5"/>
      <c r="E22" s="5"/>
      <c r="F22" s="5"/>
      <c r="G22" s="5"/>
      <c r="H22" s="5"/>
      <c r="I22" s="5"/>
      <c r="J22" s="5"/>
      <c r="K22" s="15"/>
      <c r="L22" s="5"/>
      <c r="M22" s="15"/>
      <c r="N22" s="5"/>
      <c r="O22" s="15"/>
      <c r="P22" s="19" t="str">
        <f t="shared" si="1"/>
        <v/>
      </c>
      <c r="Q22" s="19" t="str">
        <f t="shared" si="2"/>
        <v/>
      </c>
      <c r="R22" s="19" t="str">
        <f t="shared" si="3"/>
        <v/>
      </c>
      <c r="S22" s="5"/>
      <c r="T22" s="5"/>
      <c r="U22" s="5"/>
      <c r="V22" s="24"/>
      <c r="W22" s="15"/>
      <c r="X22" s="15"/>
      <c r="Y22" s="15"/>
      <c r="Z22" s="19" t="str">
        <f t="shared" si="4"/>
        <v/>
      </c>
      <c r="AA22" s="19" t="str">
        <f t="shared" si="5"/>
        <v/>
      </c>
      <c r="AB22" s="5"/>
      <c r="AC22" s="5"/>
      <c r="AE22" t="str">
        <f>IFERROR(INDEX(EqTag,_xlfn.AGGREGATE(15,6,(ROW(EqTag)-4)/((EqSys=$D$3)*(EqTag&lt;&gt;"")),ROWS($AE$14:AE22))),"")</f>
        <v/>
      </c>
    </row>
    <row r="23" spans="1:31" ht="30" customHeight="1" x14ac:dyDescent="0.2">
      <c r="A23" s="19" t="str">
        <f>IF(F23="","",LEFT($D$3,3)&amp;"-"&amp;TEXT(COUNTIF(F$14:F23,"?*"),"00"))</f>
        <v/>
      </c>
      <c r="B23" s="5"/>
      <c r="C23" s="6" t="str">
        <f t="shared" si="0"/>
        <v/>
      </c>
      <c r="D23" s="5"/>
      <c r="E23" s="5"/>
      <c r="F23" s="5"/>
      <c r="G23" s="5"/>
      <c r="H23" s="5"/>
      <c r="I23" s="5"/>
      <c r="J23" s="5"/>
      <c r="K23" s="15"/>
      <c r="L23" s="5"/>
      <c r="M23" s="15"/>
      <c r="N23" s="5"/>
      <c r="O23" s="15"/>
      <c r="P23" s="19" t="str">
        <f t="shared" si="1"/>
        <v/>
      </c>
      <c r="Q23" s="19" t="str">
        <f t="shared" si="2"/>
        <v/>
      </c>
      <c r="R23" s="19" t="str">
        <f t="shared" si="3"/>
        <v/>
      </c>
      <c r="S23" s="5"/>
      <c r="T23" s="5"/>
      <c r="U23" s="5"/>
      <c r="V23" s="24"/>
      <c r="W23" s="15"/>
      <c r="X23" s="15"/>
      <c r="Y23" s="15"/>
      <c r="Z23" s="19" t="str">
        <f t="shared" si="4"/>
        <v/>
      </c>
      <c r="AA23" s="19" t="str">
        <f t="shared" si="5"/>
        <v/>
      </c>
      <c r="AB23" s="5"/>
      <c r="AC23" s="5"/>
      <c r="AE23" t="str">
        <f>IFERROR(INDEX(EqTag,_xlfn.AGGREGATE(15,6,(ROW(EqTag)-4)/((EqSys=$D$3)*(EqTag&lt;&gt;"")),ROWS($AE$14:AE23))),"")</f>
        <v/>
      </c>
    </row>
    <row r="24" spans="1:31" ht="30" customHeight="1" x14ac:dyDescent="0.2">
      <c r="A24" s="19" t="str">
        <f>IF(F24="","",LEFT($D$3,3)&amp;"-"&amp;TEXT(COUNTIF(F$14:F24,"?*"),"00"))</f>
        <v/>
      </c>
      <c r="B24" s="5"/>
      <c r="C24" s="6" t="str">
        <f t="shared" si="0"/>
        <v/>
      </c>
      <c r="D24" s="5"/>
      <c r="E24" s="5"/>
      <c r="F24" s="5"/>
      <c r="G24" s="5"/>
      <c r="H24" s="5"/>
      <c r="I24" s="5"/>
      <c r="J24" s="5"/>
      <c r="K24" s="15"/>
      <c r="L24" s="5"/>
      <c r="M24" s="15"/>
      <c r="N24" s="5"/>
      <c r="O24" s="15"/>
      <c r="P24" s="19" t="str">
        <f t="shared" si="1"/>
        <v/>
      </c>
      <c r="Q24" s="19" t="str">
        <f t="shared" si="2"/>
        <v/>
      </c>
      <c r="R24" s="19" t="str">
        <f t="shared" si="3"/>
        <v/>
      </c>
      <c r="S24" s="5"/>
      <c r="T24" s="5"/>
      <c r="U24" s="5"/>
      <c r="V24" s="24"/>
      <c r="W24" s="15"/>
      <c r="X24" s="15"/>
      <c r="Y24" s="15"/>
      <c r="Z24" s="19" t="str">
        <f t="shared" si="4"/>
        <v/>
      </c>
      <c r="AA24" s="19" t="str">
        <f t="shared" si="5"/>
        <v/>
      </c>
      <c r="AB24" s="5"/>
      <c r="AC24" s="5"/>
      <c r="AE24" t="str">
        <f>IFERROR(INDEX(EqTag,_xlfn.AGGREGATE(15,6,(ROW(EqTag)-4)/((EqSys=$D$3)*(EqTag&lt;&gt;"")),ROWS($AE$14:AE24))),"")</f>
        <v/>
      </c>
    </row>
    <row r="25" spans="1:31" ht="30" customHeight="1" x14ac:dyDescent="0.2">
      <c r="A25" s="19" t="str">
        <f>IF(F25="","",LEFT($D$3,3)&amp;"-"&amp;TEXT(COUNTIF(F$14:F25,"?*"),"00"))</f>
        <v/>
      </c>
      <c r="B25" s="5"/>
      <c r="C25" s="6" t="str">
        <f t="shared" si="0"/>
        <v/>
      </c>
      <c r="D25" s="5"/>
      <c r="E25" s="5"/>
      <c r="F25" s="5"/>
      <c r="G25" s="5"/>
      <c r="H25" s="5"/>
      <c r="I25" s="5"/>
      <c r="J25" s="5"/>
      <c r="K25" s="15"/>
      <c r="L25" s="5"/>
      <c r="M25" s="15"/>
      <c r="N25" s="5"/>
      <c r="O25" s="15"/>
      <c r="P25" s="19" t="str">
        <f t="shared" si="1"/>
        <v/>
      </c>
      <c r="Q25" s="19" t="str">
        <f t="shared" si="2"/>
        <v/>
      </c>
      <c r="R25" s="19" t="str">
        <f t="shared" si="3"/>
        <v/>
      </c>
      <c r="S25" s="5"/>
      <c r="T25" s="5"/>
      <c r="U25" s="5"/>
      <c r="V25" s="24"/>
      <c r="W25" s="15"/>
      <c r="X25" s="15"/>
      <c r="Y25" s="15"/>
      <c r="Z25" s="19" t="str">
        <f t="shared" si="4"/>
        <v/>
      </c>
      <c r="AA25" s="19" t="str">
        <f t="shared" si="5"/>
        <v/>
      </c>
      <c r="AB25" s="5"/>
      <c r="AC25" s="5"/>
      <c r="AE25" t="str">
        <f>IFERROR(INDEX(EqTag,_xlfn.AGGREGATE(15,6,(ROW(EqTag)-4)/((EqSys=$D$3)*(EqTag&lt;&gt;"")),ROWS($AE$14:AE25))),"")</f>
        <v/>
      </c>
    </row>
    <row r="26" spans="1:31" ht="30" customHeight="1" x14ac:dyDescent="0.2">
      <c r="A26" s="19" t="str">
        <f>IF(F26="","",LEFT($D$3,3)&amp;"-"&amp;TEXT(COUNTIF(F$14:F26,"?*"),"00"))</f>
        <v/>
      </c>
      <c r="B26" s="5"/>
      <c r="C26" s="6" t="str">
        <f t="shared" si="0"/>
        <v/>
      </c>
      <c r="D26" s="5"/>
      <c r="E26" s="5"/>
      <c r="F26" s="5"/>
      <c r="G26" s="5"/>
      <c r="H26" s="5"/>
      <c r="I26" s="5"/>
      <c r="J26" s="5"/>
      <c r="K26" s="15"/>
      <c r="L26" s="5"/>
      <c r="M26" s="15"/>
      <c r="N26" s="5"/>
      <c r="O26" s="15"/>
      <c r="P26" s="19" t="str">
        <f t="shared" si="1"/>
        <v/>
      </c>
      <c r="Q26" s="19" t="str">
        <f t="shared" si="2"/>
        <v/>
      </c>
      <c r="R26" s="19" t="str">
        <f t="shared" si="3"/>
        <v/>
      </c>
      <c r="S26" s="5"/>
      <c r="T26" s="5"/>
      <c r="U26" s="5"/>
      <c r="V26" s="24"/>
      <c r="W26" s="15"/>
      <c r="X26" s="15"/>
      <c r="Y26" s="15"/>
      <c r="Z26" s="19" t="str">
        <f t="shared" si="4"/>
        <v/>
      </c>
      <c r="AA26" s="19" t="str">
        <f t="shared" si="5"/>
        <v/>
      </c>
      <c r="AB26" s="5"/>
      <c r="AC26" s="5"/>
      <c r="AE26" t="str">
        <f>IFERROR(INDEX(EqTag,_xlfn.AGGREGATE(15,6,(ROW(EqTag)-4)/((EqSys=$D$3)*(EqTag&lt;&gt;"")),ROWS($AE$14:AE26))),"")</f>
        <v/>
      </c>
    </row>
    <row r="27" spans="1:31" ht="30" customHeight="1" x14ac:dyDescent="0.2">
      <c r="A27" s="19" t="str">
        <f>IF(F27="","",LEFT($D$3,3)&amp;"-"&amp;TEXT(COUNTIF(F$14:F27,"?*"),"00"))</f>
        <v/>
      </c>
      <c r="B27" s="5"/>
      <c r="C27" s="6" t="str">
        <f t="shared" si="0"/>
        <v/>
      </c>
      <c r="D27" s="5"/>
      <c r="E27" s="5"/>
      <c r="F27" s="5"/>
      <c r="G27" s="5"/>
      <c r="H27" s="5"/>
      <c r="I27" s="5"/>
      <c r="J27" s="5"/>
      <c r="K27" s="15"/>
      <c r="L27" s="5"/>
      <c r="M27" s="15"/>
      <c r="N27" s="5"/>
      <c r="O27" s="15"/>
      <c r="P27" s="19" t="str">
        <f t="shared" si="1"/>
        <v/>
      </c>
      <c r="Q27" s="19" t="str">
        <f t="shared" si="2"/>
        <v/>
      </c>
      <c r="R27" s="19" t="str">
        <f t="shared" si="3"/>
        <v/>
      </c>
      <c r="S27" s="5"/>
      <c r="T27" s="5"/>
      <c r="U27" s="5"/>
      <c r="V27" s="24"/>
      <c r="W27" s="15"/>
      <c r="X27" s="15"/>
      <c r="Y27" s="15"/>
      <c r="Z27" s="19" t="str">
        <f t="shared" si="4"/>
        <v/>
      </c>
      <c r="AA27" s="19" t="str">
        <f t="shared" si="5"/>
        <v/>
      </c>
      <c r="AB27" s="5"/>
      <c r="AC27" s="5"/>
      <c r="AE27" t="str">
        <f>IFERROR(INDEX(EqTag,_xlfn.AGGREGATE(15,6,(ROW(EqTag)-4)/((EqSys=$D$3)*(EqTag&lt;&gt;"")),ROWS($AE$14:AE27))),"")</f>
        <v/>
      </c>
    </row>
    <row r="28" spans="1:31" ht="30" customHeight="1" x14ac:dyDescent="0.2">
      <c r="A28" s="19" t="str">
        <f>IF(F28="","",LEFT($D$3,3)&amp;"-"&amp;TEXT(COUNTIF(F$14:F28,"?*"),"00"))</f>
        <v/>
      </c>
      <c r="B28" s="5"/>
      <c r="C28" s="6" t="str">
        <f t="shared" si="0"/>
        <v/>
      </c>
      <c r="D28" s="5"/>
      <c r="E28" s="5"/>
      <c r="F28" s="5"/>
      <c r="G28" s="5"/>
      <c r="H28" s="5"/>
      <c r="I28" s="5"/>
      <c r="J28" s="5"/>
      <c r="K28" s="15"/>
      <c r="L28" s="5"/>
      <c r="M28" s="15"/>
      <c r="N28" s="5"/>
      <c r="O28" s="15"/>
      <c r="P28" s="19" t="str">
        <f t="shared" si="1"/>
        <v/>
      </c>
      <c r="Q28" s="19" t="str">
        <f t="shared" si="2"/>
        <v/>
      </c>
      <c r="R28" s="19" t="str">
        <f t="shared" si="3"/>
        <v/>
      </c>
      <c r="S28" s="5"/>
      <c r="T28" s="5"/>
      <c r="U28" s="5"/>
      <c r="V28" s="24"/>
      <c r="W28" s="15"/>
      <c r="X28" s="15"/>
      <c r="Y28" s="15"/>
      <c r="Z28" s="19" t="str">
        <f t="shared" si="4"/>
        <v/>
      </c>
      <c r="AA28" s="19" t="str">
        <f t="shared" si="5"/>
        <v/>
      </c>
      <c r="AB28" s="5"/>
      <c r="AC28" s="5"/>
      <c r="AE28" t="str">
        <f>IFERROR(INDEX(EqTag,_xlfn.AGGREGATE(15,6,(ROW(EqTag)-4)/((EqSys=$D$3)*(EqTag&lt;&gt;"")),ROWS($AE$14:AE28))),"")</f>
        <v/>
      </c>
    </row>
    <row r="29" spans="1:31" ht="30" customHeight="1" x14ac:dyDescent="0.2">
      <c r="A29" s="19" t="str">
        <f>IF(F29="","",LEFT($D$3,3)&amp;"-"&amp;TEXT(COUNTIF(F$14:F29,"?*"),"00"))</f>
        <v/>
      </c>
      <c r="B29" s="5"/>
      <c r="C29" s="6" t="str">
        <f t="shared" si="0"/>
        <v/>
      </c>
      <c r="D29" s="5"/>
      <c r="E29" s="5"/>
      <c r="F29" s="5"/>
      <c r="G29" s="5"/>
      <c r="H29" s="5"/>
      <c r="I29" s="5"/>
      <c r="J29" s="5"/>
      <c r="K29" s="15"/>
      <c r="L29" s="5"/>
      <c r="M29" s="15"/>
      <c r="N29" s="5"/>
      <c r="O29" s="15"/>
      <c r="P29" s="19" t="str">
        <f t="shared" si="1"/>
        <v/>
      </c>
      <c r="Q29" s="19" t="str">
        <f t="shared" si="2"/>
        <v/>
      </c>
      <c r="R29" s="19" t="str">
        <f t="shared" si="3"/>
        <v/>
      </c>
      <c r="S29" s="5"/>
      <c r="T29" s="5"/>
      <c r="U29" s="5"/>
      <c r="V29" s="24"/>
      <c r="W29" s="15"/>
      <c r="X29" s="15"/>
      <c r="Y29" s="15"/>
      <c r="Z29" s="19" t="str">
        <f t="shared" si="4"/>
        <v/>
      </c>
      <c r="AA29" s="19" t="str">
        <f t="shared" si="5"/>
        <v/>
      </c>
      <c r="AB29" s="5"/>
      <c r="AC29" s="5"/>
      <c r="AE29" t="str">
        <f>IFERROR(INDEX(EqTag,_xlfn.AGGREGATE(15,6,(ROW(EqTag)-4)/((EqSys=$D$3)*(EqTag&lt;&gt;"")),ROWS($AE$14:AE29))),"")</f>
        <v/>
      </c>
    </row>
    <row r="30" spans="1:31" ht="30" customHeight="1" x14ac:dyDescent="0.2">
      <c r="A30" s="19" t="str">
        <f>IF(F30="","",LEFT($D$3,3)&amp;"-"&amp;TEXT(COUNTIF(F$14:F30,"?*"),"00"))</f>
        <v/>
      </c>
      <c r="B30" s="5"/>
      <c r="C30" s="6" t="str">
        <f t="shared" si="0"/>
        <v/>
      </c>
      <c r="D30" s="5"/>
      <c r="E30" s="5"/>
      <c r="F30" s="5"/>
      <c r="G30" s="5"/>
      <c r="H30" s="5"/>
      <c r="I30" s="5"/>
      <c r="J30" s="5"/>
      <c r="K30" s="15"/>
      <c r="L30" s="5"/>
      <c r="M30" s="15"/>
      <c r="N30" s="5"/>
      <c r="O30" s="15"/>
      <c r="P30" s="19" t="str">
        <f t="shared" si="1"/>
        <v/>
      </c>
      <c r="Q30" s="19" t="str">
        <f t="shared" si="2"/>
        <v/>
      </c>
      <c r="R30" s="19" t="str">
        <f t="shared" si="3"/>
        <v/>
      </c>
      <c r="S30" s="5"/>
      <c r="T30" s="5"/>
      <c r="U30" s="5"/>
      <c r="V30" s="24"/>
      <c r="W30" s="15"/>
      <c r="X30" s="15"/>
      <c r="Y30" s="15"/>
      <c r="Z30" s="19" t="str">
        <f t="shared" si="4"/>
        <v/>
      </c>
      <c r="AA30" s="19" t="str">
        <f t="shared" si="5"/>
        <v/>
      </c>
      <c r="AB30" s="5"/>
      <c r="AC30" s="5"/>
      <c r="AE30" t="str">
        <f>IFERROR(INDEX(EqTag,_xlfn.AGGREGATE(15,6,(ROW(EqTag)-4)/((EqSys=$D$3)*(EqTag&lt;&gt;"")),ROWS($AE$14:AE30))),"")</f>
        <v/>
      </c>
    </row>
    <row r="31" spans="1:31" ht="30" customHeight="1" x14ac:dyDescent="0.2">
      <c r="A31" s="19" t="str">
        <f>IF(F31="","",LEFT($D$3,3)&amp;"-"&amp;TEXT(COUNTIF(F$14:F31,"?*"),"00"))</f>
        <v/>
      </c>
      <c r="B31" s="5"/>
      <c r="C31" s="6" t="str">
        <f t="shared" si="0"/>
        <v/>
      </c>
      <c r="D31" s="5"/>
      <c r="E31" s="5"/>
      <c r="F31" s="5"/>
      <c r="G31" s="5"/>
      <c r="H31" s="5"/>
      <c r="I31" s="5"/>
      <c r="J31" s="5"/>
      <c r="K31" s="15"/>
      <c r="L31" s="5"/>
      <c r="M31" s="15"/>
      <c r="N31" s="5"/>
      <c r="O31" s="15"/>
      <c r="P31" s="19" t="str">
        <f t="shared" si="1"/>
        <v/>
      </c>
      <c r="Q31" s="19" t="str">
        <f t="shared" si="2"/>
        <v/>
      </c>
      <c r="R31" s="19" t="str">
        <f t="shared" si="3"/>
        <v/>
      </c>
      <c r="S31" s="5"/>
      <c r="T31" s="5"/>
      <c r="U31" s="5"/>
      <c r="V31" s="24"/>
      <c r="W31" s="15"/>
      <c r="X31" s="15"/>
      <c r="Y31" s="15"/>
      <c r="Z31" s="19" t="str">
        <f t="shared" si="4"/>
        <v/>
      </c>
      <c r="AA31" s="19" t="str">
        <f t="shared" si="5"/>
        <v/>
      </c>
      <c r="AB31" s="5"/>
      <c r="AC31" s="5"/>
      <c r="AE31" t="str">
        <f>IFERROR(INDEX(EqTag,_xlfn.AGGREGATE(15,6,(ROW(EqTag)-4)/((EqSys=$D$3)*(EqTag&lt;&gt;"")),ROWS($AE$14:AE31))),"")</f>
        <v/>
      </c>
    </row>
    <row r="32" spans="1:31" ht="30" customHeight="1" x14ac:dyDescent="0.2">
      <c r="A32" s="19" t="str">
        <f>IF(F32="","",LEFT($D$3,3)&amp;"-"&amp;TEXT(COUNTIF(F$14:F32,"?*"),"00"))</f>
        <v/>
      </c>
      <c r="B32" s="5"/>
      <c r="C32" s="6" t="str">
        <f t="shared" si="0"/>
        <v/>
      </c>
      <c r="D32" s="5"/>
      <c r="E32" s="5"/>
      <c r="F32" s="5"/>
      <c r="G32" s="5"/>
      <c r="H32" s="5"/>
      <c r="I32" s="5"/>
      <c r="J32" s="5"/>
      <c r="K32" s="15"/>
      <c r="L32" s="5"/>
      <c r="M32" s="15"/>
      <c r="N32" s="5"/>
      <c r="O32" s="15"/>
      <c r="P32" s="19" t="str">
        <f t="shared" si="1"/>
        <v/>
      </c>
      <c r="Q32" s="19" t="str">
        <f t="shared" si="2"/>
        <v/>
      </c>
      <c r="R32" s="19" t="str">
        <f t="shared" si="3"/>
        <v/>
      </c>
      <c r="S32" s="5"/>
      <c r="T32" s="5"/>
      <c r="U32" s="5"/>
      <c r="V32" s="24"/>
      <c r="W32" s="15"/>
      <c r="X32" s="15"/>
      <c r="Y32" s="15"/>
      <c r="Z32" s="19" t="str">
        <f t="shared" si="4"/>
        <v/>
      </c>
      <c r="AA32" s="19" t="str">
        <f t="shared" si="5"/>
        <v/>
      </c>
      <c r="AB32" s="5"/>
      <c r="AC32" s="5"/>
      <c r="AE32" t="str">
        <f>IFERROR(INDEX(EqTag,_xlfn.AGGREGATE(15,6,(ROW(EqTag)-4)/((EqSys=$D$3)*(EqTag&lt;&gt;"")),ROWS($AE$14:AE32))),"")</f>
        <v/>
      </c>
    </row>
    <row r="33" spans="1:31" ht="30" customHeight="1" x14ac:dyDescent="0.2">
      <c r="A33" s="19" t="str">
        <f>IF(F33="","",LEFT($D$3,3)&amp;"-"&amp;TEXT(COUNTIF(F$14:F33,"?*"),"00"))</f>
        <v/>
      </c>
      <c r="B33" s="5"/>
      <c r="C33" s="6" t="str">
        <f t="shared" si="0"/>
        <v/>
      </c>
      <c r="D33" s="5"/>
      <c r="E33" s="5"/>
      <c r="F33" s="5"/>
      <c r="G33" s="5"/>
      <c r="H33" s="5"/>
      <c r="I33" s="5"/>
      <c r="J33" s="5"/>
      <c r="K33" s="15"/>
      <c r="L33" s="5"/>
      <c r="M33" s="15"/>
      <c r="N33" s="5"/>
      <c r="O33" s="15"/>
      <c r="P33" s="19" t="str">
        <f t="shared" si="1"/>
        <v/>
      </c>
      <c r="Q33" s="19" t="str">
        <f t="shared" si="2"/>
        <v/>
      </c>
      <c r="R33" s="19" t="str">
        <f t="shared" si="3"/>
        <v/>
      </c>
      <c r="S33" s="5"/>
      <c r="T33" s="5"/>
      <c r="U33" s="5"/>
      <c r="V33" s="24"/>
      <c r="W33" s="15"/>
      <c r="X33" s="15"/>
      <c r="Y33" s="15"/>
      <c r="Z33" s="19" t="str">
        <f t="shared" si="4"/>
        <v/>
      </c>
      <c r="AA33" s="19" t="str">
        <f t="shared" si="5"/>
        <v/>
      </c>
      <c r="AB33" s="5"/>
      <c r="AC33" s="5"/>
      <c r="AE33" t="str">
        <f>IFERROR(INDEX(EqTag,_xlfn.AGGREGATE(15,6,(ROW(EqTag)-4)/((EqSys=$D$3)*(EqTag&lt;&gt;"")),ROWS($AE$14:AE33))),"")</f>
        <v/>
      </c>
    </row>
    <row r="34" spans="1:31" ht="30" customHeight="1" x14ac:dyDescent="0.2">
      <c r="A34" s="19" t="str">
        <f>IF(F34="","",LEFT($D$3,3)&amp;"-"&amp;TEXT(COUNTIF(F$14:F34,"?*"),"00"))</f>
        <v/>
      </c>
      <c r="B34" s="5"/>
      <c r="C34" s="6" t="str">
        <f t="shared" si="0"/>
        <v/>
      </c>
      <c r="D34" s="5"/>
      <c r="E34" s="5"/>
      <c r="F34" s="5"/>
      <c r="G34" s="5"/>
      <c r="H34" s="5"/>
      <c r="I34" s="5"/>
      <c r="J34" s="5"/>
      <c r="K34" s="15"/>
      <c r="L34" s="5"/>
      <c r="M34" s="15"/>
      <c r="N34" s="5"/>
      <c r="O34" s="15"/>
      <c r="P34" s="19" t="str">
        <f t="shared" si="1"/>
        <v/>
      </c>
      <c r="Q34" s="19" t="str">
        <f t="shared" si="2"/>
        <v/>
      </c>
      <c r="R34" s="19" t="str">
        <f t="shared" si="3"/>
        <v/>
      </c>
      <c r="S34" s="5"/>
      <c r="T34" s="5"/>
      <c r="U34" s="5"/>
      <c r="V34" s="24"/>
      <c r="W34" s="15"/>
      <c r="X34" s="15"/>
      <c r="Y34" s="15"/>
      <c r="Z34" s="19" t="str">
        <f t="shared" si="4"/>
        <v/>
      </c>
      <c r="AA34" s="19" t="str">
        <f t="shared" si="5"/>
        <v/>
      </c>
      <c r="AB34" s="5"/>
      <c r="AC34" s="5"/>
      <c r="AE34" t="str">
        <f>IFERROR(INDEX(EqTag,_xlfn.AGGREGATE(15,6,(ROW(EqTag)-4)/((EqSys=$D$3)*(EqTag&lt;&gt;"")),ROWS($AE$14:AE34))),"")</f>
        <v/>
      </c>
    </row>
    <row r="35" spans="1:31" ht="30" customHeight="1" x14ac:dyDescent="0.2">
      <c r="A35" s="19" t="str">
        <f>IF(F35="","",LEFT($D$3,3)&amp;"-"&amp;TEXT(COUNTIF(F$14:F35,"?*"),"00"))</f>
        <v/>
      </c>
      <c r="B35" s="5"/>
      <c r="C35" s="6" t="str">
        <f t="shared" si="0"/>
        <v/>
      </c>
      <c r="D35" s="5"/>
      <c r="E35" s="5"/>
      <c r="F35" s="5"/>
      <c r="G35" s="5"/>
      <c r="H35" s="5"/>
      <c r="I35" s="5"/>
      <c r="J35" s="5"/>
      <c r="K35" s="15"/>
      <c r="L35" s="5"/>
      <c r="M35" s="15"/>
      <c r="N35" s="5"/>
      <c r="O35" s="15"/>
      <c r="P35" s="19" t="str">
        <f t="shared" si="1"/>
        <v/>
      </c>
      <c r="Q35" s="19" t="str">
        <f t="shared" si="2"/>
        <v/>
      </c>
      <c r="R35" s="19" t="str">
        <f t="shared" si="3"/>
        <v/>
      </c>
      <c r="S35" s="5"/>
      <c r="T35" s="5"/>
      <c r="U35" s="5"/>
      <c r="V35" s="24"/>
      <c r="W35" s="15"/>
      <c r="X35" s="15"/>
      <c r="Y35" s="15"/>
      <c r="Z35" s="19" t="str">
        <f t="shared" si="4"/>
        <v/>
      </c>
      <c r="AA35" s="19" t="str">
        <f t="shared" si="5"/>
        <v/>
      </c>
      <c r="AB35" s="5"/>
      <c r="AC35" s="5"/>
      <c r="AE35" t="str">
        <f>IFERROR(INDEX(EqTag,_xlfn.AGGREGATE(15,6,(ROW(EqTag)-4)/((EqSys=$D$3)*(EqTag&lt;&gt;"")),ROWS($AE$14:AE35))),"")</f>
        <v/>
      </c>
    </row>
    <row r="36" spans="1:31" ht="30" customHeight="1" x14ac:dyDescent="0.2">
      <c r="A36" s="19" t="str">
        <f>IF(F36="","",LEFT($D$3,3)&amp;"-"&amp;TEXT(COUNTIF(F$14:F36,"?*"),"00"))</f>
        <v/>
      </c>
      <c r="B36" s="5"/>
      <c r="C36" s="6" t="str">
        <f t="shared" si="0"/>
        <v/>
      </c>
      <c r="D36" s="5"/>
      <c r="E36" s="5"/>
      <c r="F36" s="5"/>
      <c r="G36" s="5"/>
      <c r="H36" s="5"/>
      <c r="I36" s="5"/>
      <c r="J36" s="5"/>
      <c r="K36" s="15"/>
      <c r="L36" s="5"/>
      <c r="M36" s="15"/>
      <c r="N36" s="5"/>
      <c r="O36" s="15"/>
      <c r="P36" s="19" t="str">
        <f t="shared" si="1"/>
        <v/>
      </c>
      <c r="Q36" s="19" t="str">
        <f t="shared" si="2"/>
        <v/>
      </c>
      <c r="R36" s="19" t="str">
        <f t="shared" si="3"/>
        <v/>
      </c>
      <c r="S36" s="5"/>
      <c r="T36" s="5"/>
      <c r="U36" s="5"/>
      <c r="V36" s="24"/>
      <c r="W36" s="15"/>
      <c r="X36" s="15"/>
      <c r="Y36" s="15"/>
      <c r="Z36" s="19" t="str">
        <f t="shared" si="4"/>
        <v/>
      </c>
      <c r="AA36" s="19" t="str">
        <f t="shared" si="5"/>
        <v/>
      </c>
      <c r="AB36" s="5"/>
      <c r="AC36" s="5"/>
      <c r="AE36" t="str">
        <f>IFERROR(INDEX(EqTag,_xlfn.AGGREGATE(15,6,(ROW(EqTag)-4)/((EqSys=$D$3)*(EqTag&lt;&gt;"")),ROWS($AE$14:AE36))),"")</f>
        <v/>
      </c>
    </row>
    <row r="37" spans="1:31" ht="30" customHeight="1" x14ac:dyDescent="0.2">
      <c r="A37" s="19" t="str">
        <f>IF(F37="","",LEFT($D$3,3)&amp;"-"&amp;TEXT(COUNTIF(F$14:F37,"?*"),"00"))</f>
        <v/>
      </c>
      <c r="B37" s="5"/>
      <c r="C37" s="6" t="str">
        <f t="shared" si="0"/>
        <v/>
      </c>
      <c r="D37" s="5"/>
      <c r="E37" s="5"/>
      <c r="F37" s="5"/>
      <c r="G37" s="5"/>
      <c r="H37" s="5"/>
      <c r="I37" s="5"/>
      <c r="J37" s="5"/>
      <c r="K37" s="15"/>
      <c r="L37" s="5"/>
      <c r="M37" s="15"/>
      <c r="N37" s="5"/>
      <c r="O37" s="15"/>
      <c r="P37" s="19" t="str">
        <f t="shared" si="1"/>
        <v/>
      </c>
      <c r="Q37" s="19" t="str">
        <f t="shared" si="2"/>
        <v/>
      </c>
      <c r="R37" s="19" t="str">
        <f t="shared" si="3"/>
        <v/>
      </c>
      <c r="S37" s="5"/>
      <c r="T37" s="5"/>
      <c r="U37" s="5"/>
      <c r="V37" s="24"/>
      <c r="W37" s="15"/>
      <c r="X37" s="15"/>
      <c r="Y37" s="15"/>
      <c r="Z37" s="19" t="str">
        <f t="shared" si="4"/>
        <v/>
      </c>
      <c r="AA37" s="19" t="str">
        <f t="shared" si="5"/>
        <v/>
      </c>
      <c r="AB37" s="5"/>
      <c r="AC37" s="5"/>
      <c r="AE37" t="str">
        <f>IFERROR(INDEX(EqTag,_xlfn.AGGREGATE(15,6,(ROW(EqTag)-4)/((EqSys=$D$3)*(EqTag&lt;&gt;"")),ROWS($AE$14:AE37))),"")</f>
        <v/>
      </c>
    </row>
    <row r="38" spans="1:31" ht="30" customHeight="1" x14ac:dyDescent="0.2">
      <c r="A38" s="19" t="str">
        <f>IF(F38="","",LEFT($D$3,3)&amp;"-"&amp;TEXT(COUNTIF(F$14:F38,"?*"),"00"))</f>
        <v/>
      </c>
      <c r="B38" s="5"/>
      <c r="C38" s="6" t="str">
        <f t="shared" si="0"/>
        <v/>
      </c>
      <c r="D38" s="5"/>
      <c r="E38" s="5"/>
      <c r="F38" s="5"/>
      <c r="G38" s="5"/>
      <c r="H38" s="5"/>
      <c r="I38" s="5"/>
      <c r="J38" s="5"/>
      <c r="K38" s="15"/>
      <c r="L38" s="5"/>
      <c r="M38" s="15"/>
      <c r="N38" s="5"/>
      <c r="O38" s="15"/>
      <c r="P38" s="19" t="str">
        <f t="shared" si="1"/>
        <v/>
      </c>
      <c r="Q38" s="19" t="str">
        <f t="shared" si="2"/>
        <v/>
      </c>
      <c r="R38" s="19" t="str">
        <f t="shared" si="3"/>
        <v/>
      </c>
      <c r="S38" s="5"/>
      <c r="T38" s="5"/>
      <c r="U38" s="5"/>
      <c r="V38" s="24"/>
      <c r="W38" s="15"/>
      <c r="X38" s="15"/>
      <c r="Y38" s="15"/>
      <c r="Z38" s="19" t="str">
        <f t="shared" si="4"/>
        <v/>
      </c>
      <c r="AA38" s="19" t="str">
        <f t="shared" si="5"/>
        <v/>
      </c>
      <c r="AB38" s="5"/>
      <c r="AC38" s="5"/>
      <c r="AE38" t="str">
        <f>IFERROR(INDEX(EqTag,_xlfn.AGGREGATE(15,6,(ROW(EqTag)-4)/((EqSys=$D$3)*(EqTag&lt;&gt;"")),ROWS($AE$14:AE38))),"")</f>
        <v/>
      </c>
    </row>
    <row r="39" spans="1:31" ht="30" customHeight="1" x14ac:dyDescent="0.2">
      <c r="A39" s="19" t="str">
        <f>IF(F39="","",LEFT($D$3,3)&amp;"-"&amp;TEXT(COUNTIF(F$14:F39,"?*"),"00"))</f>
        <v/>
      </c>
      <c r="B39" s="5"/>
      <c r="C39" s="6" t="str">
        <f t="shared" si="0"/>
        <v/>
      </c>
      <c r="D39" s="5"/>
      <c r="E39" s="5"/>
      <c r="F39" s="5"/>
      <c r="G39" s="5"/>
      <c r="H39" s="5"/>
      <c r="I39" s="5"/>
      <c r="J39" s="5"/>
      <c r="K39" s="15"/>
      <c r="L39" s="5"/>
      <c r="M39" s="15"/>
      <c r="N39" s="5"/>
      <c r="O39" s="15"/>
      <c r="P39" s="19" t="str">
        <f t="shared" si="1"/>
        <v/>
      </c>
      <c r="Q39" s="19" t="str">
        <f t="shared" si="2"/>
        <v/>
      </c>
      <c r="R39" s="19" t="str">
        <f t="shared" si="3"/>
        <v/>
      </c>
      <c r="S39" s="5"/>
      <c r="T39" s="5"/>
      <c r="U39" s="5"/>
      <c r="V39" s="24"/>
      <c r="W39" s="15"/>
      <c r="X39" s="15"/>
      <c r="Y39" s="15"/>
      <c r="Z39" s="19" t="str">
        <f t="shared" si="4"/>
        <v/>
      </c>
      <c r="AA39" s="19" t="str">
        <f t="shared" si="5"/>
        <v/>
      </c>
      <c r="AB39" s="5"/>
      <c r="AC39" s="5"/>
      <c r="AE39" t="str">
        <f>IFERROR(INDEX(EqTag,_xlfn.AGGREGATE(15,6,(ROW(EqTag)-4)/((EqSys=$D$3)*(EqTag&lt;&gt;"")),ROWS($AE$14:AE39))),"")</f>
        <v/>
      </c>
    </row>
    <row r="40" spans="1:31" ht="30" customHeight="1" x14ac:dyDescent="0.2">
      <c r="A40" s="19" t="str">
        <f>IF(F40="","",LEFT($D$3,3)&amp;"-"&amp;TEXT(COUNTIF(F$14:F40,"?*"),"00"))</f>
        <v/>
      </c>
      <c r="B40" s="5"/>
      <c r="C40" s="6" t="str">
        <f t="shared" si="0"/>
        <v/>
      </c>
      <c r="D40" s="5"/>
      <c r="E40" s="5"/>
      <c r="F40" s="5"/>
      <c r="G40" s="5"/>
      <c r="H40" s="5"/>
      <c r="I40" s="5"/>
      <c r="J40" s="5"/>
      <c r="K40" s="15"/>
      <c r="L40" s="5"/>
      <c r="M40" s="15"/>
      <c r="N40" s="5"/>
      <c r="O40" s="15"/>
      <c r="P40" s="19" t="str">
        <f t="shared" si="1"/>
        <v/>
      </c>
      <c r="Q40" s="19" t="str">
        <f t="shared" si="2"/>
        <v/>
      </c>
      <c r="R40" s="19" t="str">
        <f t="shared" si="3"/>
        <v/>
      </c>
      <c r="S40" s="5"/>
      <c r="T40" s="5"/>
      <c r="U40" s="5"/>
      <c r="V40" s="24"/>
      <c r="W40" s="15"/>
      <c r="X40" s="15"/>
      <c r="Y40" s="15"/>
      <c r="Z40" s="19" t="str">
        <f t="shared" si="4"/>
        <v/>
      </c>
      <c r="AA40" s="19" t="str">
        <f t="shared" si="5"/>
        <v/>
      </c>
      <c r="AB40" s="5"/>
      <c r="AC40" s="5"/>
      <c r="AE40" t="str">
        <f>IFERROR(INDEX(EqTag,_xlfn.AGGREGATE(15,6,(ROW(EqTag)-4)/((EqSys=$D$3)*(EqTag&lt;&gt;"")),ROWS($AE$14:AE40))),"")</f>
        <v/>
      </c>
    </row>
    <row r="41" spans="1:31" ht="30" customHeight="1" x14ac:dyDescent="0.2">
      <c r="A41" s="19" t="str">
        <f>IF(F41="","",LEFT($D$3,3)&amp;"-"&amp;TEXT(COUNTIF(F$14:F41,"?*"),"00"))</f>
        <v/>
      </c>
      <c r="B41" s="5"/>
      <c r="C41" s="6" t="str">
        <f t="shared" si="0"/>
        <v/>
      </c>
      <c r="D41" s="5"/>
      <c r="E41" s="5"/>
      <c r="F41" s="5"/>
      <c r="G41" s="5"/>
      <c r="H41" s="5"/>
      <c r="I41" s="5"/>
      <c r="J41" s="5"/>
      <c r="K41" s="15"/>
      <c r="L41" s="5"/>
      <c r="M41" s="15"/>
      <c r="N41" s="5"/>
      <c r="O41" s="15"/>
      <c r="P41" s="19" t="str">
        <f t="shared" si="1"/>
        <v/>
      </c>
      <c r="Q41" s="19" t="str">
        <f t="shared" si="2"/>
        <v/>
      </c>
      <c r="R41" s="19" t="str">
        <f t="shared" si="3"/>
        <v/>
      </c>
      <c r="S41" s="5"/>
      <c r="T41" s="5"/>
      <c r="U41" s="5"/>
      <c r="V41" s="24"/>
      <c r="W41" s="15"/>
      <c r="X41" s="15"/>
      <c r="Y41" s="15"/>
      <c r="Z41" s="19" t="str">
        <f t="shared" si="4"/>
        <v/>
      </c>
      <c r="AA41" s="19" t="str">
        <f t="shared" si="5"/>
        <v/>
      </c>
      <c r="AB41" s="5"/>
      <c r="AC41" s="5"/>
      <c r="AE41" t="str">
        <f>IFERROR(INDEX(EqTag,_xlfn.AGGREGATE(15,6,(ROW(EqTag)-4)/((EqSys=$D$3)*(EqTag&lt;&gt;"")),ROWS($AE$14:AE41))),"")</f>
        <v/>
      </c>
    </row>
    <row r="42" spans="1:31" ht="30" customHeight="1" x14ac:dyDescent="0.2">
      <c r="A42" s="19" t="str">
        <f>IF(F42="","",LEFT($D$3,3)&amp;"-"&amp;TEXT(COUNTIF(F$14:F42,"?*"),"00"))</f>
        <v/>
      </c>
      <c r="B42" s="5"/>
      <c r="C42" s="6" t="str">
        <f t="shared" si="0"/>
        <v/>
      </c>
      <c r="D42" s="5"/>
      <c r="E42" s="5"/>
      <c r="F42" s="5"/>
      <c r="G42" s="5"/>
      <c r="H42" s="5"/>
      <c r="I42" s="5"/>
      <c r="J42" s="5"/>
      <c r="K42" s="15"/>
      <c r="L42" s="5"/>
      <c r="M42" s="15"/>
      <c r="N42" s="5"/>
      <c r="O42" s="15"/>
      <c r="P42" s="19" t="str">
        <f t="shared" si="1"/>
        <v/>
      </c>
      <c r="Q42" s="19" t="str">
        <f t="shared" si="2"/>
        <v/>
      </c>
      <c r="R42" s="19" t="str">
        <f t="shared" si="3"/>
        <v/>
      </c>
      <c r="S42" s="5"/>
      <c r="T42" s="5"/>
      <c r="U42" s="5"/>
      <c r="V42" s="24"/>
      <c r="W42" s="15"/>
      <c r="X42" s="15"/>
      <c r="Y42" s="15"/>
      <c r="Z42" s="19" t="str">
        <f t="shared" si="4"/>
        <v/>
      </c>
      <c r="AA42" s="19" t="str">
        <f t="shared" si="5"/>
        <v/>
      </c>
      <c r="AB42" s="5"/>
      <c r="AC42" s="5"/>
      <c r="AE42" t="str">
        <f>IFERROR(INDEX(EqTag,_xlfn.AGGREGATE(15,6,(ROW(EqTag)-4)/((EqSys=$D$3)*(EqTag&lt;&gt;"")),ROWS($AE$14:AE42))),"")</f>
        <v/>
      </c>
    </row>
    <row r="43" spans="1:31" ht="30" customHeight="1" x14ac:dyDescent="0.2">
      <c r="A43" s="19" t="str">
        <f>IF(F43="","",LEFT($D$3,3)&amp;"-"&amp;TEXT(COUNTIF(F$14:F43,"?*"),"00"))</f>
        <v/>
      </c>
      <c r="B43" s="5"/>
      <c r="C43" s="6" t="str">
        <f t="shared" si="0"/>
        <v/>
      </c>
      <c r="D43" s="5"/>
      <c r="E43" s="5"/>
      <c r="F43" s="5"/>
      <c r="G43" s="5"/>
      <c r="H43" s="5"/>
      <c r="I43" s="5"/>
      <c r="J43" s="5"/>
      <c r="K43" s="15"/>
      <c r="L43" s="5"/>
      <c r="M43" s="15"/>
      <c r="N43" s="5"/>
      <c r="O43" s="15"/>
      <c r="P43" s="19" t="str">
        <f t="shared" si="1"/>
        <v/>
      </c>
      <c r="Q43" s="19" t="str">
        <f t="shared" si="2"/>
        <v/>
      </c>
      <c r="R43" s="19" t="str">
        <f t="shared" si="3"/>
        <v/>
      </c>
      <c r="S43" s="5"/>
      <c r="T43" s="5"/>
      <c r="U43" s="5"/>
      <c r="V43" s="24"/>
      <c r="W43" s="15"/>
      <c r="X43" s="15"/>
      <c r="Y43" s="15"/>
      <c r="Z43" s="19" t="str">
        <f t="shared" si="4"/>
        <v/>
      </c>
      <c r="AA43" s="19" t="str">
        <f t="shared" si="5"/>
        <v/>
      </c>
      <c r="AB43" s="5"/>
      <c r="AC43" s="5"/>
      <c r="AE43" t="str">
        <f>IFERROR(INDEX(EqTag,_xlfn.AGGREGATE(15,6,(ROW(EqTag)-4)/((EqSys=$D$3)*(EqTag&lt;&gt;"")),ROWS($AE$14:AE43))),"")</f>
        <v/>
      </c>
    </row>
    <row r="44" spans="1:31" ht="30" customHeight="1" x14ac:dyDescent="0.2">
      <c r="A44" s="19" t="str">
        <f>IF(F44="","",LEFT($D$3,3)&amp;"-"&amp;TEXT(COUNTIF(F$14:F44,"?*"),"00"))</f>
        <v/>
      </c>
      <c r="B44" s="5"/>
      <c r="C44" s="6" t="str">
        <f t="shared" si="0"/>
        <v/>
      </c>
      <c r="D44" s="5"/>
      <c r="E44" s="5"/>
      <c r="F44" s="5"/>
      <c r="G44" s="5"/>
      <c r="H44" s="5"/>
      <c r="I44" s="5"/>
      <c r="J44" s="5"/>
      <c r="K44" s="15"/>
      <c r="L44" s="5"/>
      <c r="M44" s="15"/>
      <c r="N44" s="5"/>
      <c r="O44" s="15"/>
      <c r="P44" s="19" t="str">
        <f t="shared" si="1"/>
        <v/>
      </c>
      <c r="Q44" s="19" t="str">
        <f t="shared" si="2"/>
        <v/>
      </c>
      <c r="R44" s="19" t="str">
        <f t="shared" si="3"/>
        <v/>
      </c>
      <c r="S44" s="5"/>
      <c r="T44" s="5"/>
      <c r="U44" s="5"/>
      <c r="V44" s="24"/>
      <c r="W44" s="15"/>
      <c r="X44" s="15"/>
      <c r="Y44" s="15"/>
      <c r="Z44" s="19" t="str">
        <f t="shared" si="4"/>
        <v/>
      </c>
      <c r="AA44" s="19" t="str">
        <f t="shared" si="5"/>
        <v/>
      </c>
      <c r="AB44" s="5"/>
      <c r="AC44" s="5"/>
      <c r="AE44" t="str">
        <f>IFERROR(INDEX(EqTag,_xlfn.AGGREGATE(15,6,(ROW(EqTag)-4)/((EqSys=$D$3)*(EqTag&lt;&gt;"")),ROWS($AE$14:AE44))),"")</f>
        <v/>
      </c>
    </row>
    <row r="45" spans="1:31" ht="30" customHeight="1" x14ac:dyDescent="0.2">
      <c r="A45" s="19" t="str">
        <f>IF(F45="","",LEFT($D$3,3)&amp;"-"&amp;TEXT(COUNTIF(F$14:F45,"?*"),"00"))</f>
        <v/>
      </c>
      <c r="B45" s="5"/>
      <c r="C45" s="6" t="str">
        <f t="shared" si="0"/>
        <v/>
      </c>
      <c r="D45" s="5"/>
      <c r="E45" s="5"/>
      <c r="F45" s="5"/>
      <c r="G45" s="5"/>
      <c r="H45" s="5"/>
      <c r="I45" s="5"/>
      <c r="J45" s="5"/>
      <c r="K45" s="15"/>
      <c r="L45" s="5"/>
      <c r="M45" s="15"/>
      <c r="N45" s="5"/>
      <c r="O45" s="15"/>
      <c r="P45" s="19" t="str">
        <f t="shared" si="1"/>
        <v/>
      </c>
      <c r="Q45" s="19" t="str">
        <f t="shared" si="2"/>
        <v/>
      </c>
      <c r="R45" s="19" t="str">
        <f t="shared" si="3"/>
        <v/>
      </c>
      <c r="S45" s="5"/>
      <c r="T45" s="5"/>
      <c r="U45" s="5"/>
      <c r="V45" s="24"/>
      <c r="W45" s="15"/>
      <c r="X45" s="15"/>
      <c r="Y45" s="15"/>
      <c r="Z45" s="19" t="str">
        <f t="shared" si="4"/>
        <v/>
      </c>
      <c r="AA45" s="19" t="str">
        <f t="shared" si="5"/>
        <v/>
      </c>
      <c r="AB45" s="5"/>
      <c r="AC45" s="5"/>
      <c r="AE45" t="str">
        <f>IFERROR(INDEX(EqTag,_xlfn.AGGREGATE(15,6,(ROW(EqTag)-4)/((EqSys=$D$3)*(EqTag&lt;&gt;"")),ROWS($AE$14:AE45))),"")</f>
        <v/>
      </c>
    </row>
    <row r="46" spans="1:31" ht="30" customHeight="1" x14ac:dyDescent="0.2">
      <c r="A46" s="19" t="str">
        <f>IF(F46="","",LEFT($D$3,3)&amp;"-"&amp;TEXT(COUNTIF(F$14:F46,"?*"),"00"))</f>
        <v/>
      </c>
      <c r="B46" s="5"/>
      <c r="C46" s="6" t="str">
        <f t="shared" ref="C46:C77" si="6">IF(B46="","",IFERROR(INDEX(EqTypeCol,MATCH(B46,EqTag,0)),"Tag not in register"))</f>
        <v/>
      </c>
      <c r="D46" s="5"/>
      <c r="E46" s="5"/>
      <c r="F46" s="5"/>
      <c r="G46" s="5"/>
      <c r="H46" s="5"/>
      <c r="I46" s="5"/>
      <c r="J46" s="5"/>
      <c r="K46" s="15"/>
      <c r="L46" s="5"/>
      <c r="M46" s="15"/>
      <c r="N46" s="5"/>
      <c r="O46" s="15"/>
      <c r="P46" s="19" t="str">
        <f t="shared" ref="P46:P77" si="7">IF(OR(K46="",M46="",O46=""),"",(--TRIM(LEFT(K46,2)))*(--TRIM(LEFT(M46,2)))*(--TRIM(LEFT(O46,2))))</f>
        <v/>
      </c>
      <c r="Q46" s="19" t="str">
        <f t="shared" ref="Q46:Q77" si="8">IF(OR(K46="",M46="",O46=""),"",INDEX(APGrid,COUNTIF(APS,"&gt;"&amp;(--TRIM(LEFT(K46,2))))*5+COUNTIF(APO,"&gt;"&amp;(--TRIM(LEFT(M46,2))))+1,COUNTIF(APD,"&gt;"&amp;(--TRIM(LEFT(O46,2))))+1))</f>
        <v/>
      </c>
      <c r="R46" s="19" t="str">
        <f t="shared" ref="R46:R77" si="9">IF(P46="","",IF(OR((--TRIM(LEFT(K46,2)))&gt;=SThr,P46&gt;=RPNThr,Q46="H"),"Yes","No"))</f>
        <v/>
      </c>
      <c r="S46" s="5"/>
      <c r="T46" s="5"/>
      <c r="U46" s="5"/>
      <c r="V46" s="24"/>
      <c r="W46" s="15"/>
      <c r="X46" s="15"/>
      <c r="Y46" s="15"/>
      <c r="Z46" s="19" t="str">
        <f t="shared" ref="Z46:Z77" si="10">IF(OR(W46="",X46="",Y46=""),"",(--TRIM(LEFT(W46,2)))*(--TRIM(LEFT(X46,2)))*(--TRIM(LEFT(Y46,2))))</f>
        <v/>
      </c>
      <c r="AA46" s="19" t="str">
        <f t="shared" ref="AA46:AA77" si="11">IF(OR(W46="",X46="",Y46=""),"",INDEX(APGrid,COUNTIF(APS,"&gt;"&amp;(--TRIM(LEFT(W46,2))))*5+COUNTIF(APO,"&gt;"&amp;(--TRIM(LEFT(X46,2))))+1,COUNTIF(APD,"&gt;"&amp;(--TRIM(LEFT(Y46,2))))+1))</f>
        <v/>
      </c>
      <c r="AB46" s="5"/>
      <c r="AC46" s="5"/>
      <c r="AE46" t="str">
        <f>IFERROR(INDEX(EqTag,_xlfn.AGGREGATE(15,6,(ROW(EqTag)-4)/((EqSys=$D$3)*(EqTag&lt;&gt;"")),ROWS($AE$14:AE46))),"")</f>
        <v/>
      </c>
    </row>
    <row r="47" spans="1:31" ht="30" customHeight="1" x14ac:dyDescent="0.2">
      <c r="A47" s="19" t="str">
        <f>IF(F47="","",LEFT($D$3,3)&amp;"-"&amp;TEXT(COUNTIF(F$14:F47,"?*"),"00"))</f>
        <v/>
      </c>
      <c r="B47" s="5"/>
      <c r="C47" s="6" t="str">
        <f t="shared" si="6"/>
        <v/>
      </c>
      <c r="D47" s="5"/>
      <c r="E47" s="5"/>
      <c r="F47" s="5"/>
      <c r="G47" s="5"/>
      <c r="H47" s="5"/>
      <c r="I47" s="5"/>
      <c r="J47" s="5"/>
      <c r="K47" s="15"/>
      <c r="L47" s="5"/>
      <c r="M47" s="15"/>
      <c r="N47" s="5"/>
      <c r="O47" s="15"/>
      <c r="P47" s="19" t="str">
        <f t="shared" si="7"/>
        <v/>
      </c>
      <c r="Q47" s="19" t="str">
        <f t="shared" si="8"/>
        <v/>
      </c>
      <c r="R47" s="19" t="str">
        <f t="shared" si="9"/>
        <v/>
      </c>
      <c r="S47" s="5"/>
      <c r="T47" s="5"/>
      <c r="U47" s="5"/>
      <c r="V47" s="24"/>
      <c r="W47" s="15"/>
      <c r="X47" s="15"/>
      <c r="Y47" s="15"/>
      <c r="Z47" s="19" t="str">
        <f t="shared" si="10"/>
        <v/>
      </c>
      <c r="AA47" s="19" t="str">
        <f t="shared" si="11"/>
        <v/>
      </c>
      <c r="AB47" s="5"/>
      <c r="AC47" s="5"/>
      <c r="AE47" t="str">
        <f>IFERROR(INDEX(EqTag,_xlfn.AGGREGATE(15,6,(ROW(EqTag)-4)/((EqSys=$D$3)*(EqTag&lt;&gt;"")),ROWS($AE$14:AE47))),"")</f>
        <v/>
      </c>
    </row>
    <row r="48" spans="1:31" ht="30" customHeight="1" x14ac:dyDescent="0.2">
      <c r="A48" s="19" t="str">
        <f>IF(F48="","",LEFT($D$3,3)&amp;"-"&amp;TEXT(COUNTIF(F$14:F48,"?*"),"00"))</f>
        <v/>
      </c>
      <c r="B48" s="5"/>
      <c r="C48" s="6" t="str">
        <f t="shared" si="6"/>
        <v/>
      </c>
      <c r="D48" s="5"/>
      <c r="E48" s="5"/>
      <c r="F48" s="5"/>
      <c r="G48" s="5"/>
      <c r="H48" s="5"/>
      <c r="I48" s="5"/>
      <c r="J48" s="5"/>
      <c r="K48" s="15"/>
      <c r="L48" s="5"/>
      <c r="M48" s="15"/>
      <c r="N48" s="5"/>
      <c r="O48" s="15"/>
      <c r="P48" s="19" t="str">
        <f t="shared" si="7"/>
        <v/>
      </c>
      <c r="Q48" s="19" t="str">
        <f t="shared" si="8"/>
        <v/>
      </c>
      <c r="R48" s="19" t="str">
        <f t="shared" si="9"/>
        <v/>
      </c>
      <c r="S48" s="5"/>
      <c r="T48" s="5"/>
      <c r="U48" s="5"/>
      <c r="V48" s="24"/>
      <c r="W48" s="15"/>
      <c r="X48" s="15"/>
      <c r="Y48" s="15"/>
      <c r="Z48" s="19" t="str">
        <f t="shared" si="10"/>
        <v/>
      </c>
      <c r="AA48" s="19" t="str">
        <f t="shared" si="11"/>
        <v/>
      </c>
      <c r="AB48" s="5"/>
      <c r="AC48" s="5"/>
      <c r="AE48" t="str">
        <f>IFERROR(INDEX(EqTag,_xlfn.AGGREGATE(15,6,(ROW(EqTag)-4)/((EqSys=$D$3)*(EqTag&lt;&gt;"")),ROWS($AE$14:AE48))),"")</f>
        <v/>
      </c>
    </row>
    <row r="49" spans="1:31" ht="30" customHeight="1" x14ac:dyDescent="0.2">
      <c r="A49" s="19" t="str">
        <f>IF(F49="","",LEFT($D$3,3)&amp;"-"&amp;TEXT(COUNTIF(F$14:F49,"?*"),"00"))</f>
        <v/>
      </c>
      <c r="B49" s="5"/>
      <c r="C49" s="6" t="str">
        <f t="shared" si="6"/>
        <v/>
      </c>
      <c r="D49" s="5"/>
      <c r="E49" s="5"/>
      <c r="F49" s="5"/>
      <c r="G49" s="5"/>
      <c r="H49" s="5"/>
      <c r="I49" s="5"/>
      <c r="J49" s="5"/>
      <c r="K49" s="15"/>
      <c r="L49" s="5"/>
      <c r="M49" s="15"/>
      <c r="N49" s="5"/>
      <c r="O49" s="15"/>
      <c r="P49" s="19" t="str">
        <f t="shared" si="7"/>
        <v/>
      </c>
      <c r="Q49" s="19" t="str">
        <f t="shared" si="8"/>
        <v/>
      </c>
      <c r="R49" s="19" t="str">
        <f t="shared" si="9"/>
        <v/>
      </c>
      <c r="S49" s="5"/>
      <c r="T49" s="5"/>
      <c r="U49" s="5"/>
      <c r="V49" s="24"/>
      <c r="W49" s="15"/>
      <c r="X49" s="15"/>
      <c r="Y49" s="15"/>
      <c r="Z49" s="19" t="str">
        <f t="shared" si="10"/>
        <v/>
      </c>
      <c r="AA49" s="19" t="str">
        <f t="shared" si="11"/>
        <v/>
      </c>
      <c r="AB49" s="5"/>
      <c r="AC49" s="5"/>
      <c r="AE49" t="str">
        <f>IFERROR(INDEX(EqTag,_xlfn.AGGREGATE(15,6,(ROW(EqTag)-4)/((EqSys=$D$3)*(EqTag&lt;&gt;"")),ROWS($AE$14:AE49))),"")</f>
        <v/>
      </c>
    </row>
    <row r="50" spans="1:31" ht="30" customHeight="1" x14ac:dyDescent="0.2">
      <c r="A50" s="19" t="str">
        <f>IF(F50="","",LEFT($D$3,3)&amp;"-"&amp;TEXT(COUNTIF(F$14:F50,"?*"),"00"))</f>
        <v/>
      </c>
      <c r="B50" s="5"/>
      <c r="C50" s="6" t="str">
        <f t="shared" si="6"/>
        <v/>
      </c>
      <c r="D50" s="5"/>
      <c r="E50" s="5"/>
      <c r="F50" s="5"/>
      <c r="G50" s="5"/>
      <c r="H50" s="5"/>
      <c r="I50" s="5"/>
      <c r="J50" s="5"/>
      <c r="K50" s="15"/>
      <c r="L50" s="5"/>
      <c r="M50" s="15"/>
      <c r="N50" s="5"/>
      <c r="O50" s="15"/>
      <c r="P50" s="19" t="str">
        <f t="shared" si="7"/>
        <v/>
      </c>
      <c r="Q50" s="19" t="str">
        <f t="shared" si="8"/>
        <v/>
      </c>
      <c r="R50" s="19" t="str">
        <f t="shared" si="9"/>
        <v/>
      </c>
      <c r="S50" s="5"/>
      <c r="T50" s="5"/>
      <c r="U50" s="5"/>
      <c r="V50" s="24"/>
      <c r="W50" s="15"/>
      <c r="X50" s="15"/>
      <c r="Y50" s="15"/>
      <c r="Z50" s="19" t="str">
        <f t="shared" si="10"/>
        <v/>
      </c>
      <c r="AA50" s="19" t="str">
        <f t="shared" si="11"/>
        <v/>
      </c>
      <c r="AB50" s="5"/>
      <c r="AC50" s="5"/>
      <c r="AE50" t="str">
        <f>IFERROR(INDEX(EqTag,_xlfn.AGGREGATE(15,6,(ROW(EqTag)-4)/((EqSys=$D$3)*(EqTag&lt;&gt;"")),ROWS($AE$14:AE50))),"")</f>
        <v/>
      </c>
    </row>
    <row r="51" spans="1:31" ht="30" customHeight="1" x14ac:dyDescent="0.2">
      <c r="A51" s="19" t="str">
        <f>IF(F51="","",LEFT($D$3,3)&amp;"-"&amp;TEXT(COUNTIF(F$14:F51,"?*"),"00"))</f>
        <v/>
      </c>
      <c r="B51" s="5"/>
      <c r="C51" s="6" t="str">
        <f t="shared" si="6"/>
        <v/>
      </c>
      <c r="D51" s="5"/>
      <c r="E51" s="5"/>
      <c r="F51" s="5"/>
      <c r="G51" s="5"/>
      <c r="H51" s="5"/>
      <c r="I51" s="5"/>
      <c r="J51" s="5"/>
      <c r="K51" s="15"/>
      <c r="L51" s="5"/>
      <c r="M51" s="15"/>
      <c r="N51" s="5"/>
      <c r="O51" s="15"/>
      <c r="P51" s="19" t="str">
        <f t="shared" si="7"/>
        <v/>
      </c>
      <c r="Q51" s="19" t="str">
        <f t="shared" si="8"/>
        <v/>
      </c>
      <c r="R51" s="19" t="str">
        <f t="shared" si="9"/>
        <v/>
      </c>
      <c r="S51" s="5"/>
      <c r="T51" s="5"/>
      <c r="U51" s="5"/>
      <c r="V51" s="24"/>
      <c r="W51" s="15"/>
      <c r="X51" s="15"/>
      <c r="Y51" s="15"/>
      <c r="Z51" s="19" t="str">
        <f t="shared" si="10"/>
        <v/>
      </c>
      <c r="AA51" s="19" t="str">
        <f t="shared" si="11"/>
        <v/>
      </c>
      <c r="AB51" s="5"/>
      <c r="AC51" s="5"/>
      <c r="AE51" t="str">
        <f>IFERROR(INDEX(EqTag,_xlfn.AGGREGATE(15,6,(ROW(EqTag)-4)/((EqSys=$D$3)*(EqTag&lt;&gt;"")),ROWS($AE$14:AE51))),"")</f>
        <v/>
      </c>
    </row>
    <row r="52" spans="1:31" ht="30" customHeight="1" x14ac:dyDescent="0.2">
      <c r="A52" s="19" t="str">
        <f>IF(F52="","",LEFT($D$3,3)&amp;"-"&amp;TEXT(COUNTIF(F$14:F52,"?*"),"00"))</f>
        <v/>
      </c>
      <c r="B52" s="5"/>
      <c r="C52" s="6" t="str">
        <f t="shared" si="6"/>
        <v/>
      </c>
      <c r="D52" s="5"/>
      <c r="E52" s="5"/>
      <c r="F52" s="5"/>
      <c r="G52" s="5"/>
      <c r="H52" s="5"/>
      <c r="I52" s="5"/>
      <c r="J52" s="5"/>
      <c r="K52" s="15"/>
      <c r="L52" s="5"/>
      <c r="M52" s="15"/>
      <c r="N52" s="5"/>
      <c r="O52" s="15"/>
      <c r="P52" s="19" t="str">
        <f t="shared" si="7"/>
        <v/>
      </c>
      <c r="Q52" s="19" t="str">
        <f t="shared" si="8"/>
        <v/>
      </c>
      <c r="R52" s="19" t="str">
        <f t="shared" si="9"/>
        <v/>
      </c>
      <c r="S52" s="5"/>
      <c r="T52" s="5"/>
      <c r="U52" s="5"/>
      <c r="V52" s="24"/>
      <c r="W52" s="15"/>
      <c r="X52" s="15"/>
      <c r="Y52" s="15"/>
      <c r="Z52" s="19" t="str">
        <f t="shared" si="10"/>
        <v/>
      </c>
      <c r="AA52" s="19" t="str">
        <f t="shared" si="11"/>
        <v/>
      </c>
      <c r="AB52" s="5"/>
      <c r="AC52" s="5"/>
      <c r="AE52" t="str">
        <f>IFERROR(INDEX(EqTag,_xlfn.AGGREGATE(15,6,(ROW(EqTag)-4)/((EqSys=$D$3)*(EqTag&lt;&gt;"")),ROWS($AE$14:AE52))),"")</f>
        <v/>
      </c>
    </row>
    <row r="53" spans="1:31" ht="30" customHeight="1" x14ac:dyDescent="0.2">
      <c r="A53" s="19" t="str">
        <f>IF(F53="","",LEFT($D$3,3)&amp;"-"&amp;TEXT(COUNTIF(F$14:F53,"?*"),"00"))</f>
        <v/>
      </c>
      <c r="B53" s="5"/>
      <c r="C53" s="6" t="str">
        <f t="shared" si="6"/>
        <v/>
      </c>
      <c r="D53" s="5"/>
      <c r="E53" s="5"/>
      <c r="F53" s="5"/>
      <c r="G53" s="5"/>
      <c r="H53" s="5"/>
      <c r="I53" s="5"/>
      <c r="J53" s="5"/>
      <c r="K53" s="15"/>
      <c r="L53" s="5"/>
      <c r="M53" s="15"/>
      <c r="N53" s="5"/>
      <c r="O53" s="15"/>
      <c r="P53" s="19" t="str">
        <f t="shared" si="7"/>
        <v/>
      </c>
      <c r="Q53" s="19" t="str">
        <f t="shared" si="8"/>
        <v/>
      </c>
      <c r="R53" s="19" t="str">
        <f t="shared" si="9"/>
        <v/>
      </c>
      <c r="S53" s="5"/>
      <c r="T53" s="5"/>
      <c r="U53" s="5"/>
      <c r="V53" s="24"/>
      <c r="W53" s="15"/>
      <c r="X53" s="15"/>
      <c r="Y53" s="15"/>
      <c r="Z53" s="19" t="str">
        <f t="shared" si="10"/>
        <v/>
      </c>
      <c r="AA53" s="19" t="str">
        <f t="shared" si="11"/>
        <v/>
      </c>
      <c r="AB53" s="5"/>
      <c r="AC53" s="5"/>
      <c r="AE53" t="str">
        <f>IFERROR(INDEX(EqTag,_xlfn.AGGREGATE(15,6,(ROW(EqTag)-4)/((EqSys=$D$3)*(EqTag&lt;&gt;"")),ROWS($AE$14:AE53))),"")</f>
        <v/>
      </c>
    </row>
    <row r="54" spans="1:31" ht="30" customHeight="1" x14ac:dyDescent="0.2">
      <c r="A54" s="19" t="str">
        <f>IF(F54="","",LEFT($D$3,3)&amp;"-"&amp;TEXT(COUNTIF(F$14:F54,"?*"),"00"))</f>
        <v/>
      </c>
      <c r="B54" s="5"/>
      <c r="C54" s="6" t="str">
        <f t="shared" si="6"/>
        <v/>
      </c>
      <c r="D54" s="5"/>
      <c r="E54" s="5"/>
      <c r="F54" s="5"/>
      <c r="G54" s="5"/>
      <c r="H54" s="5"/>
      <c r="I54" s="5"/>
      <c r="J54" s="5"/>
      <c r="K54" s="15"/>
      <c r="L54" s="5"/>
      <c r="M54" s="15"/>
      <c r="N54" s="5"/>
      <c r="O54" s="15"/>
      <c r="P54" s="19" t="str">
        <f t="shared" si="7"/>
        <v/>
      </c>
      <c r="Q54" s="19" t="str">
        <f t="shared" si="8"/>
        <v/>
      </c>
      <c r="R54" s="19" t="str">
        <f t="shared" si="9"/>
        <v/>
      </c>
      <c r="S54" s="5"/>
      <c r="T54" s="5"/>
      <c r="U54" s="5"/>
      <c r="V54" s="24"/>
      <c r="W54" s="15"/>
      <c r="X54" s="15"/>
      <c r="Y54" s="15"/>
      <c r="Z54" s="19" t="str">
        <f t="shared" si="10"/>
        <v/>
      </c>
      <c r="AA54" s="19" t="str">
        <f t="shared" si="11"/>
        <v/>
      </c>
      <c r="AB54" s="5"/>
      <c r="AC54" s="5"/>
      <c r="AE54" t="str">
        <f>IFERROR(INDEX(EqTag,_xlfn.AGGREGATE(15,6,(ROW(EqTag)-4)/((EqSys=$D$3)*(EqTag&lt;&gt;"")),ROWS($AE$14:AE54))),"")</f>
        <v/>
      </c>
    </row>
    <row r="55" spans="1:31" ht="30" customHeight="1" x14ac:dyDescent="0.2">
      <c r="A55" s="19" t="str">
        <f>IF(F55="","",LEFT($D$3,3)&amp;"-"&amp;TEXT(COUNTIF(F$14:F55,"?*"),"00"))</f>
        <v/>
      </c>
      <c r="B55" s="5"/>
      <c r="C55" s="6" t="str">
        <f t="shared" si="6"/>
        <v/>
      </c>
      <c r="D55" s="5"/>
      <c r="E55" s="5"/>
      <c r="F55" s="5"/>
      <c r="G55" s="5"/>
      <c r="H55" s="5"/>
      <c r="I55" s="5"/>
      <c r="J55" s="5"/>
      <c r="K55" s="15"/>
      <c r="L55" s="5"/>
      <c r="M55" s="15"/>
      <c r="N55" s="5"/>
      <c r="O55" s="15"/>
      <c r="P55" s="19" t="str">
        <f t="shared" si="7"/>
        <v/>
      </c>
      <c r="Q55" s="19" t="str">
        <f t="shared" si="8"/>
        <v/>
      </c>
      <c r="R55" s="19" t="str">
        <f t="shared" si="9"/>
        <v/>
      </c>
      <c r="S55" s="5"/>
      <c r="T55" s="5"/>
      <c r="U55" s="5"/>
      <c r="V55" s="24"/>
      <c r="W55" s="15"/>
      <c r="X55" s="15"/>
      <c r="Y55" s="15"/>
      <c r="Z55" s="19" t="str">
        <f t="shared" si="10"/>
        <v/>
      </c>
      <c r="AA55" s="19" t="str">
        <f t="shared" si="11"/>
        <v/>
      </c>
      <c r="AB55" s="5"/>
      <c r="AC55" s="5"/>
      <c r="AE55" t="str">
        <f>IFERROR(INDEX(EqTag,_xlfn.AGGREGATE(15,6,(ROW(EqTag)-4)/((EqSys=$D$3)*(EqTag&lt;&gt;"")),ROWS($AE$14:AE55))),"")</f>
        <v/>
      </c>
    </row>
    <row r="56" spans="1:31" ht="30" customHeight="1" x14ac:dyDescent="0.2">
      <c r="A56" s="19" t="str">
        <f>IF(F56="","",LEFT($D$3,3)&amp;"-"&amp;TEXT(COUNTIF(F$14:F56,"?*"),"00"))</f>
        <v/>
      </c>
      <c r="B56" s="5"/>
      <c r="C56" s="6" t="str">
        <f t="shared" si="6"/>
        <v/>
      </c>
      <c r="D56" s="5"/>
      <c r="E56" s="5"/>
      <c r="F56" s="5"/>
      <c r="G56" s="5"/>
      <c r="H56" s="5"/>
      <c r="I56" s="5"/>
      <c r="J56" s="5"/>
      <c r="K56" s="15"/>
      <c r="L56" s="5"/>
      <c r="M56" s="15"/>
      <c r="N56" s="5"/>
      <c r="O56" s="15"/>
      <c r="P56" s="19" t="str">
        <f t="shared" si="7"/>
        <v/>
      </c>
      <c r="Q56" s="19" t="str">
        <f t="shared" si="8"/>
        <v/>
      </c>
      <c r="R56" s="19" t="str">
        <f t="shared" si="9"/>
        <v/>
      </c>
      <c r="S56" s="5"/>
      <c r="T56" s="5"/>
      <c r="U56" s="5"/>
      <c r="V56" s="24"/>
      <c r="W56" s="15"/>
      <c r="X56" s="15"/>
      <c r="Y56" s="15"/>
      <c r="Z56" s="19" t="str">
        <f t="shared" si="10"/>
        <v/>
      </c>
      <c r="AA56" s="19" t="str">
        <f t="shared" si="11"/>
        <v/>
      </c>
      <c r="AB56" s="5"/>
      <c r="AC56" s="5"/>
      <c r="AE56" t="str">
        <f>IFERROR(INDEX(EqTag,_xlfn.AGGREGATE(15,6,(ROW(EqTag)-4)/((EqSys=$D$3)*(EqTag&lt;&gt;"")),ROWS($AE$14:AE56))),"")</f>
        <v/>
      </c>
    </row>
    <row r="57" spans="1:31" ht="30" customHeight="1" x14ac:dyDescent="0.2">
      <c r="A57" s="19" t="str">
        <f>IF(F57="","",LEFT($D$3,3)&amp;"-"&amp;TEXT(COUNTIF(F$14:F57,"?*"),"00"))</f>
        <v/>
      </c>
      <c r="B57" s="5"/>
      <c r="C57" s="6" t="str">
        <f t="shared" si="6"/>
        <v/>
      </c>
      <c r="D57" s="5"/>
      <c r="E57" s="5"/>
      <c r="F57" s="5"/>
      <c r="G57" s="5"/>
      <c r="H57" s="5"/>
      <c r="I57" s="5"/>
      <c r="J57" s="5"/>
      <c r="K57" s="15"/>
      <c r="L57" s="5"/>
      <c r="M57" s="15"/>
      <c r="N57" s="5"/>
      <c r="O57" s="15"/>
      <c r="P57" s="19" t="str">
        <f t="shared" si="7"/>
        <v/>
      </c>
      <c r="Q57" s="19" t="str">
        <f t="shared" si="8"/>
        <v/>
      </c>
      <c r="R57" s="19" t="str">
        <f t="shared" si="9"/>
        <v/>
      </c>
      <c r="S57" s="5"/>
      <c r="T57" s="5"/>
      <c r="U57" s="5"/>
      <c r="V57" s="24"/>
      <c r="W57" s="15"/>
      <c r="X57" s="15"/>
      <c r="Y57" s="15"/>
      <c r="Z57" s="19" t="str">
        <f t="shared" si="10"/>
        <v/>
      </c>
      <c r="AA57" s="19" t="str">
        <f t="shared" si="11"/>
        <v/>
      </c>
      <c r="AB57" s="5"/>
      <c r="AC57" s="5"/>
      <c r="AE57" t="str">
        <f>IFERROR(INDEX(EqTag,_xlfn.AGGREGATE(15,6,(ROW(EqTag)-4)/((EqSys=$D$3)*(EqTag&lt;&gt;"")),ROWS($AE$14:AE57))),"")</f>
        <v/>
      </c>
    </row>
    <row r="58" spans="1:31" ht="30" customHeight="1" x14ac:dyDescent="0.2">
      <c r="A58" s="19" t="str">
        <f>IF(F58="","",LEFT($D$3,3)&amp;"-"&amp;TEXT(COUNTIF(F$14:F58,"?*"),"00"))</f>
        <v/>
      </c>
      <c r="B58" s="5"/>
      <c r="C58" s="6" t="str">
        <f t="shared" si="6"/>
        <v/>
      </c>
      <c r="D58" s="5"/>
      <c r="E58" s="5"/>
      <c r="F58" s="5"/>
      <c r="G58" s="5"/>
      <c r="H58" s="5"/>
      <c r="I58" s="5"/>
      <c r="J58" s="5"/>
      <c r="K58" s="15"/>
      <c r="L58" s="5"/>
      <c r="M58" s="15"/>
      <c r="N58" s="5"/>
      <c r="O58" s="15"/>
      <c r="P58" s="19" t="str">
        <f t="shared" si="7"/>
        <v/>
      </c>
      <c r="Q58" s="19" t="str">
        <f t="shared" si="8"/>
        <v/>
      </c>
      <c r="R58" s="19" t="str">
        <f t="shared" si="9"/>
        <v/>
      </c>
      <c r="S58" s="5"/>
      <c r="T58" s="5"/>
      <c r="U58" s="5"/>
      <c r="V58" s="24"/>
      <c r="W58" s="15"/>
      <c r="X58" s="15"/>
      <c r="Y58" s="15"/>
      <c r="Z58" s="19" t="str">
        <f t="shared" si="10"/>
        <v/>
      </c>
      <c r="AA58" s="19" t="str">
        <f t="shared" si="11"/>
        <v/>
      </c>
      <c r="AB58" s="5"/>
      <c r="AC58" s="5"/>
      <c r="AE58" t="str">
        <f>IFERROR(INDEX(EqTag,_xlfn.AGGREGATE(15,6,(ROW(EqTag)-4)/((EqSys=$D$3)*(EqTag&lt;&gt;"")),ROWS($AE$14:AE58))),"")</f>
        <v/>
      </c>
    </row>
    <row r="59" spans="1:31" ht="30" customHeight="1" x14ac:dyDescent="0.2">
      <c r="A59" s="19" t="str">
        <f>IF(F59="","",LEFT($D$3,3)&amp;"-"&amp;TEXT(COUNTIF(F$14:F59,"?*"),"00"))</f>
        <v/>
      </c>
      <c r="B59" s="5"/>
      <c r="C59" s="6" t="str">
        <f t="shared" si="6"/>
        <v/>
      </c>
      <c r="D59" s="5"/>
      <c r="E59" s="5"/>
      <c r="F59" s="5"/>
      <c r="G59" s="5"/>
      <c r="H59" s="5"/>
      <c r="I59" s="5"/>
      <c r="J59" s="5"/>
      <c r="K59" s="15"/>
      <c r="L59" s="5"/>
      <c r="M59" s="15"/>
      <c r="N59" s="5"/>
      <c r="O59" s="15"/>
      <c r="P59" s="19" t="str">
        <f t="shared" si="7"/>
        <v/>
      </c>
      <c r="Q59" s="19" t="str">
        <f t="shared" si="8"/>
        <v/>
      </c>
      <c r="R59" s="19" t="str">
        <f t="shared" si="9"/>
        <v/>
      </c>
      <c r="S59" s="5"/>
      <c r="T59" s="5"/>
      <c r="U59" s="5"/>
      <c r="V59" s="24"/>
      <c r="W59" s="15"/>
      <c r="X59" s="15"/>
      <c r="Y59" s="15"/>
      <c r="Z59" s="19" t="str">
        <f t="shared" si="10"/>
        <v/>
      </c>
      <c r="AA59" s="19" t="str">
        <f t="shared" si="11"/>
        <v/>
      </c>
      <c r="AB59" s="5"/>
      <c r="AC59" s="5"/>
      <c r="AE59" t="str">
        <f>IFERROR(INDEX(EqTag,_xlfn.AGGREGATE(15,6,(ROW(EqTag)-4)/((EqSys=$D$3)*(EqTag&lt;&gt;"")),ROWS($AE$14:AE59))),"")</f>
        <v/>
      </c>
    </row>
    <row r="60" spans="1:31" ht="30" customHeight="1" x14ac:dyDescent="0.2">
      <c r="A60" s="19" t="str">
        <f>IF(F60="","",LEFT($D$3,3)&amp;"-"&amp;TEXT(COUNTIF(F$14:F60,"?*"),"00"))</f>
        <v/>
      </c>
      <c r="B60" s="5"/>
      <c r="C60" s="6" t="str">
        <f t="shared" si="6"/>
        <v/>
      </c>
      <c r="D60" s="5"/>
      <c r="E60" s="5"/>
      <c r="F60" s="5"/>
      <c r="G60" s="5"/>
      <c r="H60" s="5"/>
      <c r="I60" s="5"/>
      <c r="J60" s="5"/>
      <c r="K60" s="15"/>
      <c r="L60" s="5"/>
      <c r="M60" s="15"/>
      <c r="N60" s="5"/>
      <c r="O60" s="15"/>
      <c r="P60" s="19" t="str">
        <f t="shared" si="7"/>
        <v/>
      </c>
      <c r="Q60" s="19" t="str">
        <f t="shared" si="8"/>
        <v/>
      </c>
      <c r="R60" s="19" t="str">
        <f t="shared" si="9"/>
        <v/>
      </c>
      <c r="S60" s="5"/>
      <c r="T60" s="5"/>
      <c r="U60" s="5"/>
      <c r="V60" s="24"/>
      <c r="W60" s="15"/>
      <c r="X60" s="15"/>
      <c r="Y60" s="15"/>
      <c r="Z60" s="19" t="str">
        <f t="shared" si="10"/>
        <v/>
      </c>
      <c r="AA60" s="19" t="str">
        <f t="shared" si="11"/>
        <v/>
      </c>
      <c r="AB60" s="5"/>
      <c r="AC60" s="5"/>
      <c r="AE60" t="str">
        <f>IFERROR(INDEX(EqTag,_xlfn.AGGREGATE(15,6,(ROW(EqTag)-4)/((EqSys=$D$3)*(EqTag&lt;&gt;"")),ROWS($AE$14:AE60))),"")</f>
        <v/>
      </c>
    </row>
    <row r="61" spans="1:31" ht="30" customHeight="1" x14ac:dyDescent="0.2">
      <c r="A61" s="19" t="str">
        <f>IF(F61="","",LEFT($D$3,3)&amp;"-"&amp;TEXT(COUNTIF(F$14:F61,"?*"),"00"))</f>
        <v/>
      </c>
      <c r="B61" s="5"/>
      <c r="C61" s="6" t="str">
        <f t="shared" si="6"/>
        <v/>
      </c>
      <c r="D61" s="5"/>
      <c r="E61" s="5"/>
      <c r="F61" s="5"/>
      <c r="G61" s="5"/>
      <c r="H61" s="5"/>
      <c r="I61" s="5"/>
      <c r="J61" s="5"/>
      <c r="K61" s="15"/>
      <c r="L61" s="5"/>
      <c r="M61" s="15"/>
      <c r="N61" s="5"/>
      <c r="O61" s="15"/>
      <c r="P61" s="19" t="str">
        <f t="shared" si="7"/>
        <v/>
      </c>
      <c r="Q61" s="19" t="str">
        <f t="shared" si="8"/>
        <v/>
      </c>
      <c r="R61" s="19" t="str">
        <f t="shared" si="9"/>
        <v/>
      </c>
      <c r="S61" s="5"/>
      <c r="T61" s="5"/>
      <c r="U61" s="5"/>
      <c r="V61" s="24"/>
      <c r="W61" s="15"/>
      <c r="X61" s="15"/>
      <c r="Y61" s="15"/>
      <c r="Z61" s="19" t="str">
        <f t="shared" si="10"/>
        <v/>
      </c>
      <c r="AA61" s="19" t="str">
        <f t="shared" si="11"/>
        <v/>
      </c>
      <c r="AB61" s="5"/>
      <c r="AC61" s="5"/>
      <c r="AE61" t="str">
        <f>IFERROR(INDEX(EqTag,_xlfn.AGGREGATE(15,6,(ROW(EqTag)-4)/((EqSys=$D$3)*(EqTag&lt;&gt;"")),ROWS($AE$14:AE61))),"")</f>
        <v/>
      </c>
    </row>
    <row r="62" spans="1:31" ht="30" customHeight="1" x14ac:dyDescent="0.2">
      <c r="A62" s="19" t="str">
        <f>IF(F62="","",LEFT($D$3,3)&amp;"-"&amp;TEXT(COUNTIF(F$14:F62,"?*"),"00"))</f>
        <v/>
      </c>
      <c r="B62" s="5"/>
      <c r="C62" s="6" t="str">
        <f t="shared" si="6"/>
        <v/>
      </c>
      <c r="D62" s="5"/>
      <c r="E62" s="5"/>
      <c r="F62" s="5"/>
      <c r="G62" s="5"/>
      <c r="H62" s="5"/>
      <c r="I62" s="5"/>
      <c r="J62" s="5"/>
      <c r="K62" s="15"/>
      <c r="L62" s="5"/>
      <c r="M62" s="15"/>
      <c r="N62" s="5"/>
      <c r="O62" s="15"/>
      <c r="P62" s="19" t="str">
        <f t="shared" si="7"/>
        <v/>
      </c>
      <c r="Q62" s="19" t="str">
        <f t="shared" si="8"/>
        <v/>
      </c>
      <c r="R62" s="19" t="str">
        <f t="shared" si="9"/>
        <v/>
      </c>
      <c r="S62" s="5"/>
      <c r="T62" s="5"/>
      <c r="U62" s="5"/>
      <c r="V62" s="24"/>
      <c r="W62" s="15"/>
      <c r="X62" s="15"/>
      <c r="Y62" s="15"/>
      <c r="Z62" s="19" t="str">
        <f t="shared" si="10"/>
        <v/>
      </c>
      <c r="AA62" s="19" t="str">
        <f t="shared" si="11"/>
        <v/>
      </c>
      <c r="AB62" s="5"/>
      <c r="AC62" s="5"/>
      <c r="AE62" t="str">
        <f>IFERROR(INDEX(EqTag,_xlfn.AGGREGATE(15,6,(ROW(EqTag)-4)/((EqSys=$D$3)*(EqTag&lt;&gt;"")),ROWS($AE$14:AE62))),"")</f>
        <v/>
      </c>
    </row>
    <row r="63" spans="1:31" ht="30" customHeight="1" x14ac:dyDescent="0.2">
      <c r="A63" s="19" t="str">
        <f>IF(F63="","",LEFT($D$3,3)&amp;"-"&amp;TEXT(COUNTIF(F$14:F63,"?*"),"00"))</f>
        <v/>
      </c>
      <c r="B63" s="5"/>
      <c r="C63" s="6" t="str">
        <f t="shared" si="6"/>
        <v/>
      </c>
      <c r="D63" s="5"/>
      <c r="E63" s="5"/>
      <c r="F63" s="5"/>
      <c r="G63" s="5"/>
      <c r="H63" s="5"/>
      <c r="I63" s="5"/>
      <c r="J63" s="5"/>
      <c r="K63" s="15"/>
      <c r="L63" s="5"/>
      <c r="M63" s="15"/>
      <c r="N63" s="5"/>
      <c r="O63" s="15"/>
      <c r="P63" s="19" t="str">
        <f t="shared" si="7"/>
        <v/>
      </c>
      <c r="Q63" s="19" t="str">
        <f t="shared" si="8"/>
        <v/>
      </c>
      <c r="R63" s="19" t="str">
        <f t="shared" si="9"/>
        <v/>
      </c>
      <c r="S63" s="5"/>
      <c r="T63" s="5"/>
      <c r="U63" s="5"/>
      <c r="V63" s="24"/>
      <c r="W63" s="15"/>
      <c r="X63" s="15"/>
      <c r="Y63" s="15"/>
      <c r="Z63" s="19" t="str">
        <f t="shared" si="10"/>
        <v/>
      </c>
      <c r="AA63" s="19" t="str">
        <f t="shared" si="11"/>
        <v/>
      </c>
      <c r="AB63" s="5"/>
      <c r="AC63" s="5"/>
      <c r="AE63" t="str">
        <f>IFERROR(INDEX(EqTag,_xlfn.AGGREGATE(15,6,(ROW(EqTag)-4)/((EqSys=$D$3)*(EqTag&lt;&gt;"")),ROWS($AE$14:AE63))),"")</f>
        <v/>
      </c>
    </row>
    <row r="64" spans="1:31" ht="30" customHeight="1" x14ac:dyDescent="0.2">
      <c r="A64" s="19" t="str">
        <f>IF(F64="","",LEFT($D$3,3)&amp;"-"&amp;TEXT(COUNTIF(F$14:F64,"?*"),"00"))</f>
        <v/>
      </c>
      <c r="B64" s="5"/>
      <c r="C64" s="6" t="str">
        <f t="shared" si="6"/>
        <v/>
      </c>
      <c r="D64" s="5"/>
      <c r="E64" s="5"/>
      <c r="F64" s="5"/>
      <c r="G64" s="5"/>
      <c r="H64" s="5"/>
      <c r="I64" s="5"/>
      <c r="J64" s="5"/>
      <c r="K64" s="15"/>
      <c r="L64" s="5"/>
      <c r="M64" s="15"/>
      <c r="N64" s="5"/>
      <c r="O64" s="15"/>
      <c r="P64" s="19" t="str">
        <f t="shared" si="7"/>
        <v/>
      </c>
      <c r="Q64" s="19" t="str">
        <f t="shared" si="8"/>
        <v/>
      </c>
      <c r="R64" s="19" t="str">
        <f t="shared" si="9"/>
        <v/>
      </c>
      <c r="S64" s="5"/>
      <c r="T64" s="5"/>
      <c r="U64" s="5"/>
      <c r="V64" s="24"/>
      <c r="W64" s="15"/>
      <c r="X64" s="15"/>
      <c r="Y64" s="15"/>
      <c r="Z64" s="19" t="str">
        <f t="shared" si="10"/>
        <v/>
      </c>
      <c r="AA64" s="19" t="str">
        <f t="shared" si="11"/>
        <v/>
      </c>
      <c r="AB64" s="5"/>
      <c r="AC64" s="5"/>
      <c r="AE64" t="str">
        <f>IFERROR(INDEX(EqTag,_xlfn.AGGREGATE(15,6,(ROW(EqTag)-4)/((EqSys=$D$3)*(EqTag&lt;&gt;"")),ROWS($AE$14:AE64))),"")</f>
        <v/>
      </c>
    </row>
    <row r="65" spans="1:31" ht="30" customHeight="1" x14ac:dyDescent="0.2">
      <c r="A65" s="19" t="str">
        <f>IF(F65="","",LEFT($D$3,3)&amp;"-"&amp;TEXT(COUNTIF(F$14:F65,"?*"),"00"))</f>
        <v/>
      </c>
      <c r="B65" s="5"/>
      <c r="C65" s="6" t="str">
        <f t="shared" si="6"/>
        <v/>
      </c>
      <c r="D65" s="5"/>
      <c r="E65" s="5"/>
      <c r="F65" s="5"/>
      <c r="G65" s="5"/>
      <c r="H65" s="5"/>
      <c r="I65" s="5"/>
      <c r="J65" s="5"/>
      <c r="K65" s="15"/>
      <c r="L65" s="5"/>
      <c r="M65" s="15"/>
      <c r="N65" s="5"/>
      <c r="O65" s="15"/>
      <c r="P65" s="19" t="str">
        <f t="shared" si="7"/>
        <v/>
      </c>
      <c r="Q65" s="19" t="str">
        <f t="shared" si="8"/>
        <v/>
      </c>
      <c r="R65" s="19" t="str">
        <f t="shared" si="9"/>
        <v/>
      </c>
      <c r="S65" s="5"/>
      <c r="T65" s="5"/>
      <c r="U65" s="5"/>
      <c r="V65" s="24"/>
      <c r="W65" s="15"/>
      <c r="X65" s="15"/>
      <c r="Y65" s="15"/>
      <c r="Z65" s="19" t="str">
        <f t="shared" si="10"/>
        <v/>
      </c>
      <c r="AA65" s="19" t="str">
        <f t="shared" si="11"/>
        <v/>
      </c>
      <c r="AB65" s="5"/>
      <c r="AC65" s="5"/>
      <c r="AE65" t="str">
        <f>IFERROR(INDEX(EqTag,_xlfn.AGGREGATE(15,6,(ROW(EqTag)-4)/((EqSys=$D$3)*(EqTag&lt;&gt;"")),ROWS($AE$14:AE65))),"")</f>
        <v/>
      </c>
    </row>
    <row r="66" spans="1:31" ht="30" customHeight="1" x14ac:dyDescent="0.2">
      <c r="A66" s="19" t="str">
        <f>IF(F66="","",LEFT($D$3,3)&amp;"-"&amp;TEXT(COUNTIF(F$14:F66,"?*"),"00"))</f>
        <v/>
      </c>
      <c r="B66" s="5"/>
      <c r="C66" s="6" t="str">
        <f t="shared" si="6"/>
        <v/>
      </c>
      <c r="D66" s="5"/>
      <c r="E66" s="5"/>
      <c r="F66" s="5"/>
      <c r="G66" s="5"/>
      <c r="H66" s="5"/>
      <c r="I66" s="5"/>
      <c r="J66" s="5"/>
      <c r="K66" s="15"/>
      <c r="L66" s="5"/>
      <c r="M66" s="15"/>
      <c r="N66" s="5"/>
      <c r="O66" s="15"/>
      <c r="P66" s="19" t="str">
        <f t="shared" si="7"/>
        <v/>
      </c>
      <c r="Q66" s="19" t="str">
        <f t="shared" si="8"/>
        <v/>
      </c>
      <c r="R66" s="19" t="str">
        <f t="shared" si="9"/>
        <v/>
      </c>
      <c r="S66" s="5"/>
      <c r="T66" s="5"/>
      <c r="U66" s="5"/>
      <c r="V66" s="24"/>
      <c r="W66" s="15"/>
      <c r="X66" s="15"/>
      <c r="Y66" s="15"/>
      <c r="Z66" s="19" t="str">
        <f t="shared" si="10"/>
        <v/>
      </c>
      <c r="AA66" s="19" t="str">
        <f t="shared" si="11"/>
        <v/>
      </c>
      <c r="AB66" s="5"/>
      <c r="AC66" s="5"/>
      <c r="AE66" t="str">
        <f>IFERROR(INDEX(EqTag,_xlfn.AGGREGATE(15,6,(ROW(EqTag)-4)/((EqSys=$D$3)*(EqTag&lt;&gt;"")),ROWS($AE$14:AE66))),"")</f>
        <v/>
      </c>
    </row>
    <row r="67" spans="1:31" ht="30" customHeight="1" x14ac:dyDescent="0.2">
      <c r="A67" s="19" t="str">
        <f>IF(F67="","",LEFT($D$3,3)&amp;"-"&amp;TEXT(COUNTIF(F$14:F67,"?*"),"00"))</f>
        <v/>
      </c>
      <c r="B67" s="5"/>
      <c r="C67" s="6" t="str">
        <f t="shared" si="6"/>
        <v/>
      </c>
      <c r="D67" s="5"/>
      <c r="E67" s="5"/>
      <c r="F67" s="5"/>
      <c r="G67" s="5"/>
      <c r="H67" s="5"/>
      <c r="I67" s="5"/>
      <c r="J67" s="5"/>
      <c r="K67" s="15"/>
      <c r="L67" s="5"/>
      <c r="M67" s="15"/>
      <c r="N67" s="5"/>
      <c r="O67" s="15"/>
      <c r="P67" s="19" t="str">
        <f t="shared" si="7"/>
        <v/>
      </c>
      <c r="Q67" s="19" t="str">
        <f t="shared" si="8"/>
        <v/>
      </c>
      <c r="R67" s="19" t="str">
        <f t="shared" si="9"/>
        <v/>
      </c>
      <c r="S67" s="5"/>
      <c r="T67" s="5"/>
      <c r="U67" s="5"/>
      <c r="V67" s="24"/>
      <c r="W67" s="15"/>
      <c r="X67" s="15"/>
      <c r="Y67" s="15"/>
      <c r="Z67" s="19" t="str">
        <f t="shared" si="10"/>
        <v/>
      </c>
      <c r="AA67" s="19" t="str">
        <f t="shared" si="11"/>
        <v/>
      </c>
      <c r="AB67" s="5"/>
      <c r="AC67" s="5"/>
      <c r="AE67" t="str">
        <f>IFERROR(INDEX(EqTag,_xlfn.AGGREGATE(15,6,(ROW(EqTag)-4)/((EqSys=$D$3)*(EqTag&lt;&gt;"")),ROWS($AE$14:AE67))),"")</f>
        <v/>
      </c>
    </row>
    <row r="68" spans="1:31" ht="30" customHeight="1" x14ac:dyDescent="0.2">
      <c r="A68" s="19" t="str">
        <f>IF(F68="","",LEFT($D$3,3)&amp;"-"&amp;TEXT(COUNTIF(F$14:F68,"?*"),"00"))</f>
        <v/>
      </c>
      <c r="B68" s="5"/>
      <c r="C68" s="6" t="str">
        <f t="shared" si="6"/>
        <v/>
      </c>
      <c r="D68" s="5"/>
      <c r="E68" s="5"/>
      <c r="F68" s="5"/>
      <c r="G68" s="5"/>
      <c r="H68" s="5"/>
      <c r="I68" s="5"/>
      <c r="J68" s="5"/>
      <c r="K68" s="15"/>
      <c r="L68" s="5"/>
      <c r="M68" s="15"/>
      <c r="N68" s="5"/>
      <c r="O68" s="15"/>
      <c r="P68" s="19" t="str">
        <f t="shared" si="7"/>
        <v/>
      </c>
      <c r="Q68" s="19" t="str">
        <f t="shared" si="8"/>
        <v/>
      </c>
      <c r="R68" s="19" t="str">
        <f t="shared" si="9"/>
        <v/>
      </c>
      <c r="S68" s="5"/>
      <c r="T68" s="5"/>
      <c r="U68" s="5"/>
      <c r="V68" s="24"/>
      <c r="W68" s="15"/>
      <c r="X68" s="15"/>
      <c r="Y68" s="15"/>
      <c r="Z68" s="19" t="str">
        <f t="shared" si="10"/>
        <v/>
      </c>
      <c r="AA68" s="19" t="str">
        <f t="shared" si="11"/>
        <v/>
      </c>
      <c r="AB68" s="5"/>
      <c r="AC68" s="5"/>
      <c r="AE68" t="str">
        <f>IFERROR(INDEX(EqTag,_xlfn.AGGREGATE(15,6,(ROW(EqTag)-4)/((EqSys=$D$3)*(EqTag&lt;&gt;"")),ROWS($AE$14:AE68))),"")</f>
        <v/>
      </c>
    </row>
    <row r="69" spans="1:31" ht="30" customHeight="1" x14ac:dyDescent="0.2">
      <c r="A69" s="19" t="str">
        <f>IF(F69="","",LEFT($D$3,3)&amp;"-"&amp;TEXT(COUNTIF(F$14:F69,"?*"),"00"))</f>
        <v/>
      </c>
      <c r="B69" s="5"/>
      <c r="C69" s="6" t="str">
        <f t="shared" si="6"/>
        <v/>
      </c>
      <c r="D69" s="5"/>
      <c r="E69" s="5"/>
      <c r="F69" s="5"/>
      <c r="G69" s="5"/>
      <c r="H69" s="5"/>
      <c r="I69" s="5"/>
      <c r="J69" s="5"/>
      <c r="K69" s="15"/>
      <c r="L69" s="5"/>
      <c r="M69" s="15"/>
      <c r="N69" s="5"/>
      <c r="O69" s="15"/>
      <c r="P69" s="19" t="str">
        <f t="shared" si="7"/>
        <v/>
      </c>
      <c r="Q69" s="19" t="str">
        <f t="shared" si="8"/>
        <v/>
      </c>
      <c r="R69" s="19" t="str">
        <f t="shared" si="9"/>
        <v/>
      </c>
      <c r="S69" s="5"/>
      <c r="T69" s="5"/>
      <c r="U69" s="5"/>
      <c r="V69" s="24"/>
      <c r="W69" s="15"/>
      <c r="X69" s="15"/>
      <c r="Y69" s="15"/>
      <c r="Z69" s="19" t="str">
        <f t="shared" si="10"/>
        <v/>
      </c>
      <c r="AA69" s="19" t="str">
        <f t="shared" si="11"/>
        <v/>
      </c>
      <c r="AB69" s="5"/>
      <c r="AC69" s="5"/>
      <c r="AE69" t="str">
        <f>IFERROR(INDEX(EqTag,_xlfn.AGGREGATE(15,6,(ROW(EqTag)-4)/((EqSys=$D$3)*(EqTag&lt;&gt;"")),ROWS($AE$14:AE69))),"")</f>
        <v/>
      </c>
    </row>
    <row r="70" spans="1:31" ht="30" customHeight="1" x14ac:dyDescent="0.2">
      <c r="A70" s="19" t="str">
        <f>IF(F70="","",LEFT($D$3,3)&amp;"-"&amp;TEXT(COUNTIF(F$14:F70,"?*"),"00"))</f>
        <v/>
      </c>
      <c r="B70" s="5"/>
      <c r="C70" s="6" t="str">
        <f t="shared" si="6"/>
        <v/>
      </c>
      <c r="D70" s="5"/>
      <c r="E70" s="5"/>
      <c r="F70" s="5"/>
      <c r="G70" s="5"/>
      <c r="H70" s="5"/>
      <c r="I70" s="5"/>
      <c r="J70" s="5"/>
      <c r="K70" s="15"/>
      <c r="L70" s="5"/>
      <c r="M70" s="15"/>
      <c r="N70" s="5"/>
      <c r="O70" s="15"/>
      <c r="P70" s="19" t="str">
        <f t="shared" si="7"/>
        <v/>
      </c>
      <c r="Q70" s="19" t="str">
        <f t="shared" si="8"/>
        <v/>
      </c>
      <c r="R70" s="19" t="str">
        <f t="shared" si="9"/>
        <v/>
      </c>
      <c r="S70" s="5"/>
      <c r="T70" s="5"/>
      <c r="U70" s="5"/>
      <c r="V70" s="24"/>
      <c r="W70" s="15"/>
      <c r="X70" s="15"/>
      <c r="Y70" s="15"/>
      <c r="Z70" s="19" t="str">
        <f t="shared" si="10"/>
        <v/>
      </c>
      <c r="AA70" s="19" t="str">
        <f t="shared" si="11"/>
        <v/>
      </c>
      <c r="AB70" s="5"/>
      <c r="AC70" s="5"/>
      <c r="AE70" t="str">
        <f>IFERROR(INDEX(EqTag,_xlfn.AGGREGATE(15,6,(ROW(EqTag)-4)/((EqSys=$D$3)*(EqTag&lt;&gt;"")),ROWS($AE$14:AE70))),"")</f>
        <v/>
      </c>
    </row>
    <row r="71" spans="1:31" ht="30" customHeight="1" x14ac:dyDescent="0.2">
      <c r="A71" s="19" t="str">
        <f>IF(F71="","",LEFT($D$3,3)&amp;"-"&amp;TEXT(COUNTIF(F$14:F71,"?*"),"00"))</f>
        <v/>
      </c>
      <c r="B71" s="5"/>
      <c r="C71" s="6" t="str">
        <f t="shared" si="6"/>
        <v/>
      </c>
      <c r="D71" s="5"/>
      <c r="E71" s="5"/>
      <c r="F71" s="5"/>
      <c r="G71" s="5"/>
      <c r="H71" s="5"/>
      <c r="I71" s="5"/>
      <c r="J71" s="5"/>
      <c r="K71" s="15"/>
      <c r="L71" s="5"/>
      <c r="M71" s="15"/>
      <c r="N71" s="5"/>
      <c r="O71" s="15"/>
      <c r="P71" s="19" t="str">
        <f t="shared" si="7"/>
        <v/>
      </c>
      <c r="Q71" s="19" t="str">
        <f t="shared" si="8"/>
        <v/>
      </c>
      <c r="R71" s="19" t="str">
        <f t="shared" si="9"/>
        <v/>
      </c>
      <c r="S71" s="5"/>
      <c r="T71" s="5"/>
      <c r="U71" s="5"/>
      <c r="V71" s="24"/>
      <c r="W71" s="15"/>
      <c r="X71" s="15"/>
      <c r="Y71" s="15"/>
      <c r="Z71" s="19" t="str">
        <f t="shared" si="10"/>
        <v/>
      </c>
      <c r="AA71" s="19" t="str">
        <f t="shared" si="11"/>
        <v/>
      </c>
      <c r="AB71" s="5"/>
      <c r="AC71" s="5"/>
      <c r="AE71" t="str">
        <f>IFERROR(INDEX(EqTag,_xlfn.AGGREGATE(15,6,(ROW(EqTag)-4)/((EqSys=$D$3)*(EqTag&lt;&gt;"")),ROWS($AE$14:AE71))),"")</f>
        <v/>
      </c>
    </row>
    <row r="72" spans="1:31" ht="30" customHeight="1" x14ac:dyDescent="0.2">
      <c r="A72" s="19" t="str">
        <f>IF(F72="","",LEFT($D$3,3)&amp;"-"&amp;TEXT(COUNTIF(F$14:F72,"?*"),"00"))</f>
        <v/>
      </c>
      <c r="B72" s="5"/>
      <c r="C72" s="6" t="str">
        <f t="shared" si="6"/>
        <v/>
      </c>
      <c r="D72" s="5"/>
      <c r="E72" s="5"/>
      <c r="F72" s="5"/>
      <c r="G72" s="5"/>
      <c r="H72" s="5"/>
      <c r="I72" s="5"/>
      <c r="J72" s="5"/>
      <c r="K72" s="15"/>
      <c r="L72" s="5"/>
      <c r="M72" s="15"/>
      <c r="N72" s="5"/>
      <c r="O72" s="15"/>
      <c r="P72" s="19" t="str">
        <f t="shared" si="7"/>
        <v/>
      </c>
      <c r="Q72" s="19" t="str">
        <f t="shared" si="8"/>
        <v/>
      </c>
      <c r="R72" s="19" t="str">
        <f t="shared" si="9"/>
        <v/>
      </c>
      <c r="S72" s="5"/>
      <c r="T72" s="5"/>
      <c r="U72" s="5"/>
      <c r="V72" s="24"/>
      <c r="W72" s="15"/>
      <c r="X72" s="15"/>
      <c r="Y72" s="15"/>
      <c r="Z72" s="19" t="str">
        <f t="shared" si="10"/>
        <v/>
      </c>
      <c r="AA72" s="19" t="str">
        <f t="shared" si="11"/>
        <v/>
      </c>
      <c r="AB72" s="5"/>
      <c r="AC72" s="5"/>
      <c r="AE72" t="str">
        <f>IFERROR(INDEX(EqTag,_xlfn.AGGREGATE(15,6,(ROW(EqTag)-4)/((EqSys=$D$3)*(EqTag&lt;&gt;"")),ROWS($AE$14:AE72))),"")</f>
        <v/>
      </c>
    </row>
    <row r="73" spans="1:31" ht="30" customHeight="1" x14ac:dyDescent="0.2">
      <c r="A73" s="19" t="str">
        <f>IF(F73="","",LEFT($D$3,3)&amp;"-"&amp;TEXT(COUNTIF(F$14:F73,"?*"),"00"))</f>
        <v/>
      </c>
      <c r="B73" s="5"/>
      <c r="C73" s="6" t="str">
        <f t="shared" si="6"/>
        <v/>
      </c>
      <c r="D73" s="5"/>
      <c r="E73" s="5"/>
      <c r="F73" s="5"/>
      <c r="G73" s="5"/>
      <c r="H73" s="5"/>
      <c r="I73" s="5"/>
      <c r="J73" s="5"/>
      <c r="K73" s="15"/>
      <c r="L73" s="5"/>
      <c r="M73" s="15"/>
      <c r="N73" s="5"/>
      <c r="O73" s="15"/>
      <c r="P73" s="19" t="str">
        <f t="shared" si="7"/>
        <v/>
      </c>
      <c r="Q73" s="19" t="str">
        <f t="shared" si="8"/>
        <v/>
      </c>
      <c r="R73" s="19" t="str">
        <f t="shared" si="9"/>
        <v/>
      </c>
      <c r="S73" s="5"/>
      <c r="T73" s="5"/>
      <c r="U73" s="5"/>
      <c r="V73" s="24"/>
      <c r="W73" s="15"/>
      <c r="X73" s="15"/>
      <c r="Y73" s="15"/>
      <c r="Z73" s="19" t="str">
        <f t="shared" si="10"/>
        <v/>
      </c>
      <c r="AA73" s="19" t="str">
        <f t="shared" si="11"/>
        <v/>
      </c>
      <c r="AB73" s="5"/>
      <c r="AC73" s="5"/>
      <c r="AE73" t="str">
        <f>IFERROR(INDEX(EqTag,_xlfn.AGGREGATE(15,6,(ROW(EqTag)-4)/((EqSys=$D$3)*(EqTag&lt;&gt;"")),ROWS($AE$14:AE73))),"")</f>
        <v/>
      </c>
    </row>
    <row r="74" spans="1:31" ht="30" customHeight="1" x14ac:dyDescent="0.2">
      <c r="A74" s="19" t="str">
        <f>IF(F74="","",LEFT($D$3,3)&amp;"-"&amp;TEXT(COUNTIF(F$14:F74,"?*"),"00"))</f>
        <v/>
      </c>
      <c r="B74" s="5"/>
      <c r="C74" s="6" t="str">
        <f t="shared" si="6"/>
        <v/>
      </c>
      <c r="D74" s="5"/>
      <c r="E74" s="5"/>
      <c r="F74" s="5"/>
      <c r="G74" s="5"/>
      <c r="H74" s="5"/>
      <c r="I74" s="5"/>
      <c r="J74" s="5"/>
      <c r="K74" s="15"/>
      <c r="L74" s="5"/>
      <c r="M74" s="15"/>
      <c r="N74" s="5"/>
      <c r="O74" s="15"/>
      <c r="P74" s="19" t="str">
        <f t="shared" si="7"/>
        <v/>
      </c>
      <c r="Q74" s="19" t="str">
        <f t="shared" si="8"/>
        <v/>
      </c>
      <c r="R74" s="19" t="str">
        <f t="shared" si="9"/>
        <v/>
      </c>
      <c r="S74" s="5"/>
      <c r="T74" s="5"/>
      <c r="U74" s="5"/>
      <c r="V74" s="24"/>
      <c r="W74" s="15"/>
      <c r="X74" s="15"/>
      <c r="Y74" s="15"/>
      <c r="Z74" s="19" t="str">
        <f t="shared" si="10"/>
        <v/>
      </c>
      <c r="AA74" s="19" t="str">
        <f t="shared" si="11"/>
        <v/>
      </c>
      <c r="AB74" s="5"/>
      <c r="AC74" s="5"/>
      <c r="AE74" t="str">
        <f>IFERROR(INDEX(EqTag,_xlfn.AGGREGATE(15,6,(ROW(EqTag)-4)/((EqSys=$D$3)*(EqTag&lt;&gt;"")),ROWS($AE$14:AE74))),"")</f>
        <v/>
      </c>
    </row>
    <row r="75" spans="1:31" ht="30" customHeight="1" x14ac:dyDescent="0.2">
      <c r="A75" s="19" t="str">
        <f>IF(F75="","",LEFT($D$3,3)&amp;"-"&amp;TEXT(COUNTIF(F$14:F75,"?*"),"00"))</f>
        <v/>
      </c>
      <c r="B75" s="5"/>
      <c r="C75" s="6" t="str">
        <f t="shared" si="6"/>
        <v/>
      </c>
      <c r="D75" s="5"/>
      <c r="E75" s="5"/>
      <c r="F75" s="5"/>
      <c r="G75" s="5"/>
      <c r="H75" s="5"/>
      <c r="I75" s="5"/>
      <c r="J75" s="5"/>
      <c r="K75" s="15"/>
      <c r="L75" s="5"/>
      <c r="M75" s="15"/>
      <c r="N75" s="5"/>
      <c r="O75" s="15"/>
      <c r="P75" s="19" t="str">
        <f t="shared" si="7"/>
        <v/>
      </c>
      <c r="Q75" s="19" t="str">
        <f t="shared" si="8"/>
        <v/>
      </c>
      <c r="R75" s="19" t="str">
        <f t="shared" si="9"/>
        <v/>
      </c>
      <c r="S75" s="5"/>
      <c r="T75" s="5"/>
      <c r="U75" s="5"/>
      <c r="V75" s="24"/>
      <c r="W75" s="15"/>
      <c r="X75" s="15"/>
      <c r="Y75" s="15"/>
      <c r="Z75" s="19" t="str">
        <f t="shared" si="10"/>
        <v/>
      </c>
      <c r="AA75" s="19" t="str">
        <f t="shared" si="11"/>
        <v/>
      </c>
      <c r="AB75" s="5"/>
      <c r="AC75" s="5"/>
      <c r="AE75" t="str">
        <f>IFERROR(INDEX(EqTag,_xlfn.AGGREGATE(15,6,(ROW(EqTag)-4)/((EqSys=$D$3)*(EqTag&lt;&gt;"")),ROWS($AE$14:AE75))),"")</f>
        <v/>
      </c>
    </row>
    <row r="76" spans="1:31" ht="30" customHeight="1" x14ac:dyDescent="0.2">
      <c r="A76" s="19" t="str">
        <f>IF(F76="","",LEFT($D$3,3)&amp;"-"&amp;TEXT(COUNTIF(F$14:F76,"?*"),"00"))</f>
        <v/>
      </c>
      <c r="B76" s="5"/>
      <c r="C76" s="6" t="str">
        <f t="shared" si="6"/>
        <v/>
      </c>
      <c r="D76" s="5"/>
      <c r="E76" s="5"/>
      <c r="F76" s="5"/>
      <c r="G76" s="5"/>
      <c r="H76" s="5"/>
      <c r="I76" s="5"/>
      <c r="J76" s="5"/>
      <c r="K76" s="15"/>
      <c r="L76" s="5"/>
      <c r="M76" s="15"/>
      <c r="N76" s="5"/>
      <c r="O76" s="15"/>
      <c r="P76" s="19" t="str">
        <f t="shared" si="7"/>
        <v/>
      </c>
      <c r="Q76" s="19" t="str">
        <f t="shared" si="8"/>
        <v/>
      </c>
      <c r="R76" s="19" t="str">
        <f t="shared" si="9"/>
        <v/>
      </c>
      <c r="S76" s="5"/>
      <c r="T76" s="5"/>
      <c r="U76" s="5"/>
      <c r="V76" s="24"/>
      <c r="W76" s="15"/>
      <c r="X76" s="15"/>
      <c r="Y76" s="15"/>
      <c r="Z76" s="19" t="str">
        <f t="shared" si="10"/>
        <v/>
      </c>
      <c r="AA76" s="19" t="str">
        <f t="shared" si="11"/>
        <v/>
      </c>
      <c r="AB76" s="5"/>
      <c r="AC76" s="5"/>
      <c r="AE76" t="str">
        <f>IFERROR(INDEX(EqTag,_xlfn.AGGREGATE(15,6,(ROW(EqTag)-4)/((EqSys=$D$3)*(EqTag&lt;&gt;"")),ROWS($AE$14:AE76))),"")</f>
        <v/>
      </c>
    </row>
    <row r="77" spans="1:31" ht="30" customHeight="1" x14ac:dyDescent="0.2">
      <c r="A77" s="19" t="str">
        <f>IF(F77="","",LEFT($D$3,3)&amp;"-"&amp;TEXT(COUNTIF(F$14:F77,"?*"),"00"))</f>
        <v/>
      </c>
      <c r="B77" s="5"/>
      <c r="C77" s="6" t="str">
        <f t="shared" si="6"/>
        <v/>
      </c>
      <c r="D77" s="5"/>
      <c r="E77" s="5"/>
      <c r="F77" s="5"/>
      <c r="G77" s="5"/>
      <c r="H77" s="5"/>
      <c r="I77" s="5"/>
      <c r="J77" s="5"/>
      <c r="K77" s="15"/>
      <c r="L77" s="5"/>
      <c r="M77" s="15"/>
      <c r="N77" s="5"/>
      <c r="O77" s="15"/>
      <c r="P77" s="19" t="str">
        <f t="shared" si="7"/>
        <v/>
      </c>
      <c r="Q77" s="19" t="str">
        <f t="shared" si="8"/>
        <v/>
      </c>
      <c r="R77" s="19" t="str">
        <f t="shared" si="9"/>
        <v/>
      </c>
      <c r="S77" s="5"/>
      <c r="T77" s="5"/>
      <c r="U77" s="5"/>
      <c r="V77" s="24"/>
      <c r="W77" s="15"/>
      <c r="X77" s="15"/>
      <c r="Y77" s="15"/>
      <c r="Z77" s="19" t="str">
        <f t="shared" si="10"/>
        <v/>
      </c>
      <c r="AA77" s="19" t="str">
        <f t="shared" si="11"/>
        <v/>
      </c>
      <c r="AB77" s="5"/>
      <c r="AC77" s="5"/>
      <c r="AE77" t="str">
        <f>IFERROR(INDEX(EqTag,_xlfn.AGGREGATE(15,6,(ROW(EqTag)-4)/((EqSys=$D$3)*(EqTag&lt;&gt;"")),ROWS($AE$14:AE77))),"")</f>
        <v/>
      </c>
    </row>
    <row r="78" spans="1:31" ht="30" customHeight="1" x14ac:dyDescent="0.2">
      <c r="A78" s="19" t="str">
        <f>IF(F78="","",LEFT($D$3,3)&amp;"-"&amp;TEXT(COUNTIF(F$14:F78,"?*"),"00"))</f>
        <v/>
      </c>
      <c r="B78" s="5"/>
      <c r="C78" s="6" t="str">
        <f t="shared" ref="C78:C109" si="12">IF(B78="","",IFERROR(INDEX(EqTypeCol,MATCH(B78,EqTag,0)),"Tag not in register"))</f>
        <v/>
      </c>
      <c r="D78" s="5"/>
      <c r="E78" s="5"/>
      <c r="F78" s="5"/>
      <c r="G78" s="5"/>
      <c r="H78" s="5"/>
      <c r="I78" s="5"/>
      <c r="J78" s="5"/>
      <c r="K78" s="15"/>
      <c r="L78" s="5"/>
      <c r="M78" s="15"/>
      <c r="N78" s="5"/>
      <c r="O78" s="15"/>
      <c r="P78" s="19" t="str">
        <f t="shared" ref="P78:P109" si="13">IF(OR(K78="",M78="",O78=""),"",(--TRIM(LEFT(K78,2)))*(--TRIM(LEFT(M78,2)))*(--TRIM(LEFT(O78,2))))</f>
        <v/>
      </c>
      <c r="Q78" s="19" t="str">
        <f t="shared" ref="Q78:Q109" si="14">IF(OR(K78="",M78="",O78=""),"",INDEX(APGrid,COUNTIF(APS,"&gt;"&amp;(--TRIM(LEFT(K78,2))))*5+COUNTIF(APO,"&gt;"&amp;(--TRIM(LEFT(M78,2))))+1,COUNTIF(APD,"&gt;"&amp;(--TRIM(LEFT(O78,2))))+1))</f>
        <v/>
      </c>
      <c r="R78" s="19" t="str">
        <f t="shared" ref="R78:R109" si="15">IF(P78="","",IF(OR((--TRIM(LEFT(K78,2)))&gt;=SThr,P78&gt;=RPNThr,Q78="H"),"Yes","No"))</f>
        <v/>
      </c>
      <c r="S78" s="5"/>
      <c r="T78" s="5"/>
      <c r="U78" s="5"/>
      <c r="V78" s="24"/>
      <c r="W78" s="15"/>
      <c r="X78" s="15"/>
      <c r="Y78" s="15"/>
      <c r="Z78" s="19" t="str">
        <f t="shared" ref="Z78:Z109" si="16">IF(OR(W78="",X78="",Y78=""),"",(--TRIM(LEFT(W78,2)))*(--TRIM(LEFT(X78,2)))*(--TRIM(LEFT(Y78,2))))</f>
        <v/>
      </c>
      <c r="AA78" s="19" t="str">
        <f t="shared" ref="AA78:AA109" si="17">IF(OR(W78="",X78="",Y78=""),"",INDEX(APGrid,COUNTIF(APS,"&gt;"&amp;(--TRIM(LEFT(W78,2))))*5+COUNTIF(APO,"&gt;"&amp;(--TRIM(LEFT(X78,2))))+1,COUNTIF(APD,"&gt;"&amp;(--TRIM(LEFT(Y78,2))))+1))</f>
        <v/>
      </c>
      <c r="AB78" s="5"/>
      <c r="AC78" s="5"/>
      <c r="AE78" t="str">
        <f>IFERROR(INDEX(EqTag,_xlfn.AGGREGATE(15,6,(ROW(EqTag)-4)/((EqSys=$D$3)*(EqTag&lt;&gt;"")),ROWS($AE$14:AE78))),"")</f>
        <v/>
      </c>
    </row>
    <row r="79" spans="1:31" ht="30" customHeight="1" x14ac:dyDescent="0.2">
      <c r="A79" s="19" t="str">
        <f>IF(F79="","",LEFT($D$3,3)&amp;"-"&amp;TEXT(COUNTIF(F$14:F79,"?*"),"00"))</f>
        <v/>
      </c>
      <c r="B79" s="5"/>
      <c r="C79" s="6" t="str">
        <f t="shared" si="12"/>
        <v/>
      </c>
      <c r="D79" s="5"/>
      <c r="E79" s="5"/>
      <c r="F79" s="5"/>
      <c r="G79" s="5"/>
      <c r="H79" s="5"/>
      <c r="I79" s="5"/>
      <c r="J79" s="5"/>
      <c r="K79" s="15"/>
      <c r="L79" s="5"/>
      <c r="M79" s="15"/>
      <c r="N79" s="5"/>
      <c r="O79" s="15"/>
      <c r="P79" s="19" t="str">
        <f t="shared" si="13"/>
        <v/>
      </c>
      <c r="Q79" s="19" t="str">
        <f t="shared" si="14"/>
        <v/>
      </c>
      <c r="R79" s="19" t="str">
        <f t="shared" si="15"/>
        <v/>
      </c>
      <c r="S79" s="5"/>
      <c r="T79" s="5"/>
      <c r="U79" s="5"/>
      <c r="V79" s="24"/>
      <c r="W79" s="15"/>
      <c r="X79" s="15"/>
      <c r="Y79" s="15"/>
      <c r="Z79" s="19" t="str">
        <f t="shared" si="16"/>
        <v/>
      </c>
      <c r="AA79" s="19" t="str">
        <f t="shared" si="17"/>
        <v/>
      </c>
      <c r="AB79" s="5"/>
      <c r="AC79" s="5"/>
      <c r="AE79" t="str">
        <f>IFERROR(INDEX(EqTag,_xlfn.AGGREGATE(15,6,(ROW(EqTag)-4)/((EqSys=$D$3)*(EqTag&lt;&gt;"")),ROWS($AE$14:AE79))),"")</f>
        <v/>
      </c>
    </row>
    <row r="80" spans="1:31" ht="30" customHeight="1" x14ac:dyDescent="0.2">
      <c r="A80" s="19" t="str">
        <f>IF(F80="","",LEFT($D$3,3)&amp;"-"&amp;TEXT(COUNTIF(F$14:F80,"?*"),"00"))</f>
        <v/>
      </c>
      <c r="B80" s="5"/>
      <c r="C80" s="6" t="str">
        <f t="shared" si="12"/>
        <v/>
      </c>
      <c r="D80" s="5"/>
      <c r="E80" s="5"/>
      <c r="F80" s="5"/>
      <c r="G80" s="5"/>
      <c r="H80" s="5"/>
      <c r="I80" s="5"/>
      <c r="J80" s="5"/>
      <c r="K80" s="15"/>
      <c r="L80" s="5"/>
      <c r="M80" s="15"/>
      <c r="N80" s="5"/>
      <c r="O80" s="15"/>
      <c r="P80" s="19" t="str">
        <f t="shared" si="13"/>
        <v/>
      </c>
      <c r="Q80" s="19" t="str">
        <f t="shared" si="14"/>
        <v/>
      </c>
      <c r="R80" s="19" t="str">
        <f t="shared" si="15"/>
        <v/>
      </c>
      <c r="S80" s="5"/>
      <c r="T80" s="5"/>
      <c r="U80" s="5"/>
      <c r="V80" s="24"/>
      <c r="W80" s="15"/>
      <c r="X80" s="15"/>
      <c r="Y80" s="15"/>
      <c r="Z80" s="19" t="str">
        <f t="shared" si="16"/>
        <v/>
      </c>
      <c r="AA80" s="19" t="str">
        <f t="shared" si="17"/>
        <v/>
      </c>
      <c r="AB80" s="5"/>
      <c r="AC80" s="5"/>
      <c r="AE80" t="str">
        <f>IFERROR(INDEX(EqTag,_xlfn.AGGREGATE(15,6,(ROW(EqTag)-4)/((EqSys=$D$3)*(EqTag&lt;&gt;"")),ROWS($AE$14:AE80))),"")</f>
        <v/>
      </c>
    </row>
    <row r="81" spans="1:31" ht="30" customHeight="1" x14ac:dyDescent="0.2">
      <c r="A81" s="19" t="str">
        <f>IF(F81="","",LEFT($D$3,3)&amp;"-"&amp;TEXT(COUNTIF(F$14:F81,"?*"),"00"))</f>
        <v/>
      </c>
      <c r="B81" s="5"/>
      <c r="C81" s="6" t="str">
        <f t="shared" si="12"/>
        <v/>
      </c>
      <c r="D81" s="5"/>
      <c r="E81" s="5"/>
      <c r="F81" s="5"/>
      <c r="G81" s="5"/>
      <c r="H81" s="5"/>
      <c r="I81" s="5"/>
      <c r="J81" s="5"/>
      <c r="K81" s="15"/>
      <c r="L81" s="5"/>
      <c r="M81" s="15"/>
      <c r="N81" s="5"/>
      <c r="O81" s="15"/>
      <c r="P81" s="19" t="str">
        <f t="shared" si="13"/>
        <v/>
      </c>
      <c r="Q81" s="19" t="str">
        <f t="shared" si="14"/>
        <v/>
      </c>
      <c r="R81" s="19" t="str">
        <f t="shared" si="15"/>
        <v/>
      </c>
      <c r="S81" s="5"/>
      <c r="T81" s="5"/>
      <c r="U81" s="5"/>
      <c r="V81" s="24"/>
      <c r="W81" s="15"/>
      <c r="X81" s="15"/>
      <c r="Y81" s="15"/>
      <c r="Z81" s="19" t="str">
        <f t="shared" si="16"/>
        <v/>
      </c>
      <c r="AA81" s="19" t="str">
        <f t="shared" si="17"/>
        <v/>
      </c>
      <c r="AB81" s="5"/>
      <c r="AC81" s="5"/>
      <c r="AE81" t="str">
        <f>IFERROR(INDEX(EqTag,_xlfn.AGGREGATE(15,6,(ROW(EqTag)-4)/((EqSys=$D$3)*(EqTag&lt;&gt;"")),ROWS($AE$14:AE81))),"")</f>
        <v/>
      </c>
    </row>
    <row r="82" spans="1:31" ht="30" customHeight="1" x14ac:dyDescent="0.2">
      <c r="A82" s="19" t="str">
        <f>IF(F82="","",LEFT($D$3,3)&amp;"-"&amp;TEXT(COUNTIF(F$14:F82,"?*"),"00"))</f>
        <v/>
      </c>
      <c r="B82" s="5"/>
      <c r="C82" s="6" t="str">
        <f t="shared" si="12"/>
        <v/>
      </c>
      <c r="D82" s="5"/>
      <c r="E82" s="5"/>
      <c r="F82" s="5"/>
      <c r="G82" s="5"/>
      <c r="H82" s="5"/>
      <c r="I82" s="5"/>
      <c r="J82" s="5"/>
      <c r="K82" s="15"/>
      <c r="L82" s="5"/>
      <c r="M82" s="15"/>
      <c r="N82" s="5"/>
      <c r="O82" s="15"/>
      <c r="P82" s="19" t="str">
        <f t="shared" si="13"/>
        <v/>
      </c>
      <c r="Q82" s="19" t="str">
        <f t="shared" si="14"/>
        <v/>
      </c>
      <c r="R82" s="19" t="str">
        <f t="shared" si="15"/>
        <v/>
      </c>
      <c r="S82" s="5"/>
      <c r="T82" s="5"/>
      <c r="U82" s="5"/>
      <c r="V82" s="24"/>
      <c r="W82" s="15"/>
      <c r="X82" s="15"/>
      <c r="Y82" s="15"/>
      <c r="Z82" s="19" t="str">
        <f t="shared" si="16"/>
        <v/>
      </c>
      <c r="AA82" s="19" t="str">
        <f t="shared" si="17"/>
        <v/>
      </c>
      <c r="AB82" s="5"/>
      <c r="AC82" s="5"/>
      <c r="AE82" t="str">
        <f>IFERROR(INDEX(EqTag,_xlfn.AGGREGATE(15,6,(ROW(EqTag)-4)/((EqSys=$D$3)*(EqTag&lt;&gt;"")),ROWS($AE$14:AE82))),"")</f>
        <v/>
      </c>
    </row>
    <row r="83" spans="1:31" ht="30" customHeight="1" x14ac:dyDescent="0.2">
      <c r="A83" s="19" t="str">
        <f>IF(F83="","",LEFT($D$3,3)&amp;"-"&amp;TEXT(COUNTIF(F$14:F83,"?*"),"00"))</f>
        <v/>
      </c>
      <c r="B83" s="5"/>
      <c r="C83" s="6" t="str">
        <f t="shared" si="12"/>
        <v/>
      </c>
      <c r="D83" s="5"/>
      <c r="E83" s="5"/>
      <c r="F83" s="5"/>
      <c r="G83" s="5"/>
      <c r="H83" s="5"/>
      <c r="I83" s="5"/>
      <c r="J83" s="5"/>
      <c r="K83" s="15"/>
      <c r="L83" s="5"/>
      <c r="M83" s="15"/>
      <c r="N83" s="5"/>
      <c r="O83" s="15"/>
      <c r="P83" s="19" t="str">
        <f t="shared" si="13"/>
        <v/>
      </c>
      <c r="Q83" s="19" t="str">
        <f t="shared" si="14"/>
        <v/>
      </c>
      <c r="R83" s="19" t="str">
        <f t="shared" si="15"/>
        <v/>
      </c>
      <c r="S83" s="5"/>
      <c r="T83" s="5"/>
      <c r="U83" s="5"/>
      <c r="V83" s="24"/>
      <c r="W83" s="15"/>
      <c r="X83" s="15"/>
      <c r="Y83" s="15"/>
      <c r="Z83" s="19" t="str">
        <f t="shared" si="16"/>
        <v/>
      </c>
      <c r="AA83" s="19" t="str">
        <f t="shared" si="17"/>
        <v/>
      </c>
      <c r="AB83" s="5"/>
      <c r="AC83" s="5"/>
      <c r="AE83" t="str">
        <f>IFERROR(INDEX(EqTag,_xlfn.AGGREGATE(15,6,(ROW(EqTag)-4)/((EqSys=$D$3)*(EqTag&lt;&gt;"")),ROWS($AE$14:AE83))),"")</f>
        <v/>
      </c>
    </row>
    <row r="84" spans="1:31" ht="30" customHeight="1" x14ac:dyDescent="0.2">
      <c r="A84" s="19" t="str">
        <f>IF(F84="","",LEFT($D$3,3)&amp;"-"&amp;TEXT(COUNTIF(F$14:F84,"?*"),"00"))</f>
        <v/>
      </c>
      <c r="B84" s="5"/>
      <c r="C84" s="6" t="str">
        <f t="shared" si="12"/>
        <v/>
      </c>
      <c r="D84" s="5"/>
      <c r="E84" s="5"/>
      <c r="F84" s="5"/>
      <c r="G84" s="5"/>
      <c r="H84" s="5"/>
      <c r="I84" s="5"/>
      <c r="J84" s="5"/>
      <c r="K84" s="15"/>
      <c r="L84" s="5"/>
      <c r="M84" s="15"/>
      <c r="N84" s="5"/>
      <c r="O84" s="15"/>
      <c r="P84" s="19" t="str">
        <f t="shared" si="13"/>
        <v/>
      </c>
      <c r="Q84" s="19" t="str">
        <f t="shared" si="14"/>
        <v/>
      </c>
      <c r="R84" s="19" t="str">
        <f t="shared" si="15"/>
        <v/>
      </c>
      <c r="S84" s="5"/>
      <c r="T84" s="5"/>
      <c r="U84" s="5"/>
      <c r="V84" s="24"/>
      <c r="W84" s="15"/>
      <c r="X84" s="15"/>
      <c r="Y84" s="15"/>
      <c r="Z84" s="19" t="str">
        <f t="shared" si="16"/>
        <v/>
      </c>
      <c r="AA84" s="19" t="str">
        <f t="shared" si="17"/>
        <v/>
      </c>
      <c r="AB84" s="5"/>
      <c r="AC84" s="5"/>
      <c r="AE84" t="str">
        <f>IFERROR(INDEX(EqTag,_xlfn.AGGREGATE(15,6,(ROW(EqTag)-4)/((EqSys=$D$3)*(EqTag&lt;&gt;"")),ROWS($AE$14:AE84))),"")</f>
        <v/>
      </c>
    </row>
    <row r="85" spans="1:31" ht="30" customHeight="1" x14ac:dyDescent="0.2">
      <c r="A85" s="19" t="str">
        <f>IF(F85="","",LEFT($D$3,3)&amp;"-"&amp;TEXT(COUNTIF(F$14:F85,"?*"),"00"))</f>
        <v/>
      </c>
      <c r="B85" s="5"/>
      <c r="C85" s="6" t="str">
        <f t="shared" si="12"/>
        <v/>
      </c>
      <c r="D85" s="5"/>
      <c r="E85" s="5"/>
      <c r="F85" s="5"/>
      <c r="G85" s="5"/>
      <c r="H85" s="5"/>
      <c r="I85" s="5"/>
      <c r="J85" s="5"/>
      <c r="K85" s="15"/>
      <c r="L85" s="5"/>
      <c r="M85" s="15"/>
      <c r="N85" s="5"/>
      <c r="O85" s="15"/>
      <c r="P85" s="19" t="str">
        <f t="shared" si="13"/>
        <v/>
      </c>
      <c r="Q85" s="19" t="str">
        <f t="shared" si="14"/>
        <v/>
      </c>
      <c r="R85" s="19" t="str">
        <f t="shared" si="15"/>
        <v/>
      </c>
      <c r="S85" s="5"/>
      <c r="T85" s="5"/>
      <c r="U85" s="5"/>
      <c r="V85" s="24"/>
      <c r="W85" s="15"/>
      <c r="X85" s="15"/>
      <c r="Y85" s="15"/>
      <c r="Z85" s="19" t="str">
        <f t="shared" si="16"/>
        <v/>
      </c>
      <c r="AA85" s="19" t="str">
        <f t="shared" si="17"/>
        <v/>
      </c>
      <c r="AB85" s="5"/>
      <c r="AC85" s="5"/>
      <c r="AE85" t="str">
        <f>IFERROR(INDEX(EqTag,_xlfn.AGGREGATE(15,6,(ROW(EqTag)-4)/((EqSys=$D$3)*(EqTag&lt;&gt;"")),ROWS($AE$14:AE85))),"")</f>
        <v/>
      </c>
    </row>
    <row r="86" spans="1:31" ht="30" customHeight="1" x14ac:dyDescent="0.2">
      <c r="A86" s="19" t="str">
        <f>IF(F86="","",LEFT($D$3,3)&amp;"-"&amp;TEXT(COUNTIF(F$14:F86,"?*"),"00"))</f>
        <v/>
      </c>
      <c r="B86" s="5"/>
      <c r="C86" s="6" t="str">
        <f t="shared" si="12"/>
        <v/>
      </c>
      <c r="D86" s="5"/>
      <c r="E86" s="5"/>
      <c r="F86" s="5"/>
      <c r="G86" s="5"/>
      <c r="H86" s="5"/>
      <c r="I86" s="5"/>
      <c r="J86" s="5"/>
      <c r="K86" s="15"/>
      <c r="L86" s="5"/>
      <c r="M86" s="15"/>
      <c r="N86" s="5"/>
      <c r="O86" s="15"/>
      <c r="P86" s="19" t="str">
        <f t="shared" si="13"/>
        <v/>
      </c>
      <c r="Q86" s="19" t="str">
        <f t="shared" si="14"/>
        <v/>
      </c>
      <c r="R86" s="19" t="str">
        <f t="shared" si="15"/>
        <v/>
      </c>
      <c r="S86" s="5"/>
      <c r="T86" s="5"/>
      <c r="U86" s="5"/>
      <c r="V86" s="24"/>
      <c r="W86" s="15"/>
      <c r="X86" s="15"/>
      <c r="Y86" s="15"/>
      <c r="Z86" s="19" t="str">
        <f t="shared" si="16"/>
        <v/>
      </c>
      <c r="AA86" s="19" t="str">
        <f t="shared" si="17"/>
        <v/>
      </c>
      <c r="AB86" s="5"/>
      <c r="AC86" s="5"/>
      <c r="AE86" t="str">
        <f>IFERROR(INDEX(EqTag,_xlfn.AGGREGATE(15,6,(ROW(EqTag)-4)/((EqSys=$D$3)*(EqTag&lt;&gt;"")),ROWS($AE$14:AE86))),"")</f>
        <v/>
      </c>
    </row>
    <row r="87" spans="1:31" ht="30" customHeight="1" x14ac:dyDescent="0.2">
      <c r="A87" s="19" t="str">
        <f>IF(F87="","",LEFT($D$3,3)&amp;"-"&amp;TEXT(COUNTIF(F$14:F87,"?*"),"00"))</f>
        <v/>
      </c>
      <c r="B87" s="5"/>
      <c r="C87" s="6" t="str">
        <f t="shared" si="12"/>
        <v/>
      </c>
      <c r="D87" s="5"/>
      <c r="E87" s="5"/>
      <c r="F87" s="5"/>
      <c r="G87" s="5"/>
      <c r="H87" s="5"/>
      <c r="I87" s="5"/>
      <c r="J87" s="5"/>
      <c r="K87" s="15"/>
      <c r="L87" s="5"/>
      <c r="M87" s="15"/>
      <c r="N87" s="5"/>
      <c r="O87" s="15"/>
      <c r="P87" s="19" t="str">
        <f t="shared" si="13"/>
        <v/>
      </c>
      <c r="Q87" s="19" t="str">
        <f t="shared" si="14"/>
        <v/>
      </c>
      <c r="R87" s="19" t="str">
        <f t="shared" si="15"/>
        <v/>
      </c>
      <c r="S87" s="5"/>
      <c r="T87" s="5"/>
      <c r="U87" s="5"/>
      <c r="V87" s="24"/>
      <c r="W87" s="15"/>
      <c r="X87" s="15"/>
      <c r="Y87" s="15"/>
      <c r="Z87" s="19" t="str">
        <f t="shared" si="16"/>
        <v/>
      </c>
      <c r="AA87" s="19" t="str">
        <f t="shared" si="17"/>
        <v/>
      </c>
      <c r="AB87" s="5"/>
      <c r="AC87" s="5"/>
      <c r="AE87" t="str">
        <f>IFERROR(INDEX(EqTag,_xlfn.AGGREGATE(15,6,(ROW(EqTag)-4)/((EqSys=$D$3)*(EqTag&lt;&gt;"")),ROWS($AE$14:AE87))),"")</f>
        <v/>
      </c>
    </row>
    <row r="88" spans="1:31" ht="30" customHeight="1" x14ac:dyDescent="0.2">
      <c r="A88" s="19" t="str">
        <f>IF(F88="","",LEFT($D$3,3)&amp;"-"&amp;TEXT(COUNTIF(F$14:F88,"?*"),"00"))</f>
        <v/>
      </c>
      <c r="B88" s="5"/>
      <c r="C88" s="6" t="str">
        <f t="shared" si="12"/>
        <v/>
      </c>
      <c r="D88" s="5"/>
      <c r="E88" s="5"/>
      <c r="F88" s="5"/>
      <c r="G88" s="5"/>
      <c r="H88" s="5"/>
      <c r="I88" s="5"/>
      <c r="J88" s="5"/>
      <c r="K88" s="15"/>
      <c r="L88" s="5"/>
      <c r="M88" s="15"/>
      <c r="N88" s="5"/>
      <c r="O88" s="15"/>
      <c r="P88" s="19" t="str">
        <f t="shared" si="13"/>
        <v/>
      </c>
      <c r="Q88" s="19" t="str">
        <f t="shared" si="14"/>
        <v/>
      </c>
      <c r="R88" s="19" t="str">
        <f t="shared" si="15"/>
        <v/>
      </c>
      <c r="S88" s="5"/>
      <c r="T88" s="5"/>
      <c r="U88" s="5"/>
      <c r="V88" s="24"/>
      <c r="W88" s="15"/>
      <c r="X88" s="15"/>
      <c r="Y88" s="15"/>
      <c r="Z88" s="19" t="str">
        <f t="shared" si="16"/>
        <v/>
      </c>
      <c r="AA88" s="19" t="str">
        <f t="shared" si="17"/>
        <v/>
      </c>
      <c r="AB88" s="5"/>
      <c r="AC88" s="5"/>
      <c r="AE88" t="str">
        <f>IFERROR(INDEX(EqTag,_xlfn.AGGREGATE(15,6,(ROW(EqTag)-4)/((EqSys=$D$3)*(EqTag&lt;&gt;"")),ROWS($AE$14:AE88))),"")</f>
        <v/>
      </c>
    </row>
    <row r="89" spans="1:31" ht="30" customHeight="1" x14ac:dyDescent="0.2">
      <c r="A89" s="19" t="str">
        <f>IF(F89="","",LEFT($D$3,3)&amp;"-"&amp;TEXT(COUNTIF(F$14:F89,"?*"),"00"))</f>
        <v/>
      </c>
      <c r="B89" s="5"/>
      <c r="C89" s="6" t="str">
        <f t="shared" si="12"/>
        <v/>
      </c>
      <c r="D89" s="5"/>
      <c r="E89" s="5"/>
      <c r="F89" s="5"/>
      <c r="G89" s="5"/>
      <c r="H89" s="5"/>
      <c r="I89" s="5"/>
      <c r="J89" s="5"/>
      <c r="K89" s="15"/>
      <c r="L89" s="5"/>
      <c r="M89" s="15"/>
      <c r="N89" s="5"/>
      <c r="O89" s="15"/>
      <c r="P89" s="19" t="str">
        <f t="shared" si="13"/>
        <v/>
      </c>
      <c r="Q89" s="19" t="str">
        <f t="shared" si="14"/>
        <v/>
      </c>
      <c r="R89" s="19" t="str">
        <f t="shared" si="15"/>
        <v/>
      </c>
      <c r="S89" s="5"/>
      <c r="T89" s="5"/>
      <c r="U89" s="5"/>
      <c r="V89" s="24"/>
      <c r="W89" s="15"/>
      <c r="X89" s="15"/>
      <c r="Y89" s="15"/>
      <c r="Z89" s="19" t="str">
        <f t="shared" si="16"/>
        <v/>
      </c>
      <c r="AA89" s="19" t="str">
        <f t="shared" si="17"/>
        <v/>
      </c>
      <c r="AB89" s="5"/>
      <c r="AC89" s="5"/>
      <c r="AE89" t="str">
        <f>IFERROR(INDEX(EqTag,_xlfn.AGGREGATE(15,6,(ROW(EqTag)-4)/((EqSys=$D$3)*(EqTag&lt;&gt;"")),ROWS($AE$14:AE89))),"")</f>
        <v/>
      </c>
    </row>
    <row r="90" spans="1:31" ht="30" customHeight="1" x14ac:dyDescent="0.2">
      <c r="A90" s="19" t="str">
        <f>IF(F90="","",LEFT($D$3,3)&amp;"-"&amp;TEXT(COUNTIF(F$14:F90,"?*"),"00"))</f>
        <v/>
      </c>
      <c r="B90" s="5"/>
      <c r="C90" s="6" t="str">
        <f t="shared" si="12"/>
        <v/>
      </c>
      <c r="D90" s="5"/>
      <c r="E90" s="5"/>
      <c r="F90" s="5"/>
      <c r="G90" s="5"/>
      <c r="H90" s="5"/>
      <c r="I90" s="5"/>
      <c r="J90" s="5"/>
      <c r="K90" s="15"/>
      <c r="L90" s="5"/>
      <c r="M90" s="15"/>
      <c r="N90" s="5"/>
      <c r="O90" s="15"/>
      <c r="P90" s="19" t="str">
        <f t="shared" si="13"/>
        <v/>
      </c>
      <c r="Q90" s="19" t="str">
        <f t="shared" si="14"/>
        <v/>
      </c>
      <c r="R90" s="19" t="str">
        <f t="shared" si="15"/>
        <v/>
      </c>
      <c r="S90" s="5"/>
      <c r="T90" s="5"/>
      <c r="U90" s="5"/>
      <c r="V90" s="24"/>
      <c r="W90" s="15"/>
      <c r="X90" s="15"/>
      <c r="Y90" s="15"/>
      <c r="Z90" s="19" t="str">
        <f t="shared" si="16"/>
        <v/>
      </c>
      <c r="AA90" s="19" t="str">
        <f t="shared" si="17"/>
        <v/>
      </c>
      <c r="AB90" s="5"/>
      <c r="AC90" s="5"/>
      <c r="AE90" t="str">
        <f>IFERROR(INDEX(EqTag,_xlfn.AGGREGATE(15,6,(ROW(EqTag)-4)/((EqSys=$D$3)*(EqTag&lt;&gt;"")),ROWS($AE$14:AE90))),"")</f>
        <v/>
      </c>
    </row>
    <row r="91" spans="1:31" ht="30" customHeight="1" x14ac:dyDescent="0.2">
      <c r="A91" s="19" t="str">
        <f>IF(F91="","",LEFT($D$3,3)&amp;"-"&amp;TEXT(COUNTIF(F$14:F91,"?*"),"00"))</f>
        <v/>
      </c>
      <c r="B91" s="5"/>
      <c r="C91" s="6" t="str">
        <f t="shared" si="12"/>
        <v/>
      </c>
      <c r="D91" s="5"/>
      <c r="E91" s="5"/>
      <c r="F91" s="5"/>
      <c r="G91" s="5"/>
      <c r="H91" s="5"/>
      <c r="I91" s="5"/>
      <c r="J91" s="5"/>
      <c r="K91" s="15"/>
      <c r="L91" s="5"/>
      <c r="M91" s="15"/>
      <c r="N91" s="5"/>
      <c r="O91" s="15"/>
      <c r="P91" s="19" t="str">
        <f t="shared" si="13"/>
        <v/>
      </c>
      <c r="Q91" s="19" t="str">
        <f t="shared" si="14"/>
        <v/>
      </c>
      <c r="R91" s="19" t="str">
        <f t="shared" si="15"/>
        <v/>
      </c>
      <c r="S91" s="5"/>
      <c r="T91" s="5"/>
      <c r="U91" s="5"/>
      <c r="V91" s="24"/>
      <c r="W91" s="15"/>
      <c r="X91" s="15"/>
      <c r="Y91" s="15"/>
      <c r="Z91" s="19" t="str">
        <f t="shared" si="16"/>
        <v/>
      </c>
      <c r="AA91" s="19" t="str">
        <f t="shared" si="17"/>
        <v/>
      </c>
      <c r="AB91" s="5"/>
      <c r="AC91" s="5"/>
      <c r="AE91" t="str">
        <f>IFERROR(INDEX(EqTag,_xlfn.AGGREGATE(15,6,(ROW(EqTag)-4)/((EqSys=$D$3)*(EqTag&lt;&gt;"")),ROWS($AE$14:AE91))),"")</f>
        <v/>
      </c>
    </row>
    <row r="92" spans="1:31" ht="30" customHeight="1" x14ac:dyDescent="0.2">
      <c r="A92" s="19" t="str">
        <f>IF(F92="","",LEFT($D$3,3)&amp;"-"&amp;TEXT(COUNTIF(F$14:F92,"?*"),"00"))</f>
        <v/>
      </c>
      <c r="B92" s="5"/>
      <c r="C92" s="6" t="str">
        <f t="shared" si="12"/>
        <v/>
      </c>
      <c r="D92" s="5"/>
      <c r="E92" s="5"/>
      <c r="F92" s="5"/>
      <c r="G92" s="5"/>
      <c r="H92" s="5"/>
      <c r="I92" s="5"/>
      <c r="J92" s="5"/>
      <c r="K92" s="15"/>
      <c r="L92" s="5"/>
      <c r="M92" s="15"/>
      <c r="N92" s="5"/>
      <c r="O92" s="15"/>
      <c r="P92" s="19" t="str">
        <f t="shared" si="13"/>
        <v/>
      </c>
      <c r="Q92" s="19" t="str">
        <f t="shared" si="14"/>
        <v/>
      </c>
      <c r="R92" s="19" t="str">
        <f t="shared" si="15"/>
        <v/>
      </c>
      <c r="S92" s="5"/>
      <c r="T92" s="5"/>
      <c r="U92" s="5"/>
      <c r="V92" s="24"/>
      <c r="W92" s="15"/>
      <c r="X92" s="15"/>
      <c r="Y92" s="15"/>
      <c r="Z92" s="19" t="str">
        <f t="shared" si="16"/>
        <v/>
      </c>
      <c r="AA92" s="19" t="str">
        <f t="shared" si="17"/>
        <v/>
      </c>
      <c r="AB92" s="5"/>
      <c r="AC92" s="5"/>
      <c r="AE92" t="str">
        <f>IFERROR(INDEX(EqTag,_xlfn.AGGREGATE(15,6,(ROW(EqTag)-4)/((EqSys=$D$3)*(EqTag&lt;&gt;"")),ROWS($AE$14:AE92))),"")</f>
        <v/>
      </c>
    </row>
    <row r="93" spans="1:31" ht="30" customHeight="1" x14ac:dyDescent="0.2">
      <c r="A93" s="19" t="str">
        <f>IF(F93="","",LEFT($D$3,3)&amp;"-"&amp;TEXT(COUNTIF(F$14:F93,"?*"),"00"))</f>
        <v/>
      </c>
      <c r="B93" s="5"/>
      <c r="C93" s="6" t="str">
        <f t="shared" si="12"/>
        <v/>
      </c>
      <c r="D93" s="5"/>
      <c r="E93" s="5"/>
      <c r="F93" s="5"/>
      <c r="G93" s="5"/>
      <c r="H93" s="5"/>
      <c r="I93" s="5"/>
      <c r="J93" s="5"/>
      <c r="K93" s="15"/>
      <c r="L93" s="5"/>
      <c r="M93" s="15"/>
      <c r="N93" s="5"/>
      <c r="O93" s="15"/>
      <c r="P93" s="19" t="str">
        <f t="shared" si="13"/>
        <v/>
      </c>
      <c r="Q93" s="19" t="str">
        <f t="shared" si="14"/>
        <v/>
      </c>
      <c r="R93" s="19" t="str">
        <f t="shared" si="15"/>
        <v/>
      </c>
      <c r="S93" s="5"/>
      <c r="T93" s="5"/>
      <c r="U93" s="5"/>
      <c r="V93" s="24"/>
      <c r="W93" s="15"/>
      <c r="X93" s="15"/>
      <c r="Y93" s="15"/>
      <c r="Z93" s="19" t="str">
        <f t="shared" si="16"/>
        <v/>
      </c>
      <c r="AA93" s="19" t="str">
        <f t="shared" si="17"/>
        <v/>
      </c>
      <c r="AB93" s="5"/>
      <c r="AC93" s="5"/>
      <c r="AE93" t="str">
        <f>IFERROR(INDEX(EqTag,_xlfn.AGGREGATE(15,6,(ROW(EqTag)-4)/((EqSys=$D$3)*(EqTag&lt;&gt;"")),ROWS($AE$14:AE93))),"")</f>
        <v/>
      </c>
    </row>
    <row r="94" spans="1:31" ht="30" customHeight="1" x14ac:dyDescent="0.2">
      <c r="A94" s="19" t="str">
        <f>IF(F94="","",LEFT($D$3,3)&amp;"-"&amp;TEXT(COUNTIF(F$14:F94,"?*"),"00"))</f>
        <v/>
      </c>
      <c r="B94" s="5"/>
      <c r="C94" s="6" t="str">
        <f t="shared" si="12"/>
        <v/>
      </c>
      <c r="D94" s="5"/>
      <c r="E94" s="5"/>
      <c r="F94" s="5"/>
      <c r="G94" s="5"/>
      <c r="H94" s="5"/>
      <c r="I94" s="5"/>
      <c r="J94" s="5"/>
      <c r="K94" s="15"/>
      <c r="L94" s="5"/>
      <c r="M94" s="15"/>
      <c r="N94" s="5"/>
      <c r="O94" s="15"/>
      <c r="P94" s="19" t="str">
        <f t="shared" si="13"/>
        <v/>
      </c>
      <c r="Q94" s="19" t="str">
        <f t="shared" si="14"/>
        <v/>
      </c>
      <c r="R94" s="19" t="str">
        <f t="shared" si="15"/>
        <v/>
      </c>
      <c r="S94" s="5"/>
      <c r="T94" s="5"/>
      <c r="U94" s="5"/>
      <c r="V94" s="24"/>
      <c r="W94" s="15"/>
      <c r="X94" s="15"/>
      <c r="Y94" s="15"/>
      <c r="Z94" s="19" t="str">
        <f t="shared" si="16"/>
        <v/>
      </c>
      <c r="AA94" s="19" t="str">
        <f t="shared" si="17"/>
        <v/>
      </c>
      <c r="AB94" s="5"/>
      <c r="AC94" s="5"/>
      <c r="AE94" t="str">
        <f>IFERROR(INDEX(EqTag,_xlfn.AGGREGATE(15,6,(ROW(EqTag)-4)/((EqSys=$D$3)*(EqTag&lt;&gt;"")),ROWS($AE$14:AE94))),"")</f>
        <v/>
      </c>
    </row>
    <row r="95" spans="1:31" ht="30" customHeight="1" x14ac:dyDescent="0.2">
      <c r="A95" s="19" t="str">
        <f>IF(F95="","",LEFT($D$3,3)&amp;"-"&amp;TEXT(COUNTIF(F$14:F95,"?*"),"00"))</f>
        <v/>
      </c>
      <c r="B95" s="5"/>
      <c r="C95" s="6" t="str">
        <f t="shared" si="12"/>
        <v/>
      </c>
      <c r="D95" s="5"/>
      <c r="E95" s="5"/>
      <c r="F95" s="5"/>
      <c r="G95" s="5"/>
      <c r="H95" s="5"/>
      <c r="I95" s="5"/>
      <c r="J95" s="5"/>
      <c r="K95" s="15"/>
      <c r="L95" s="5"/>
      <c r="M95" s="15"/>
      <c r="N95" s="5"/>
      <c r="O95" s="15"/>
      <c r="P95" s="19" t="str">
        <f t="shared" si="13"/>
        <v/>
      </c>
      <c r="Q95" s="19" t="str">
        <f t="shared" si="14"/>
        <v/>
      </c>
      <c r="R95" s="19" t="str">
        <f t="shared" si="15"/>
        <v/>
      </c>
      <c r="S95" s="5"/>
      <c r="T95" s="5"/>
      <c r="U95" s="5"/>
      <c r="V95" s="24"/>
      <c r="W95" s="15"/>
      <c r="X95" s="15"/>
      <c r="Y95" s="15"/>
      <c r="Z95" s="19" t="str">
        <f t="shared" si="16"/>
        <v/>
      </c>
      <c r="AA95" s="19" t="str">
        <f t="shared" si="17"/>
        <v/>
      </c>
      <c r="AB95" s="5"/>
      <c r="AC95" s="5"/>
      <c r="AE95" t="str">
        <f>IFERROR(INDEX(EqTag,_xlfn.AGGREGATE(15,6,(ROW(EqTag)-4)/((EqSys=$D$3)*(EqTag&lt;&gt;"")),ROWS($AE$14:AE95))),"")</f>
        <v/>
      </c>
    </row>
    <row r="96" spans="1:31" ht="30" customHeight="1" x14ac:dyDescent="0.2">
      <c r="A96" s="19" t="str">
        <f>IF(F96="","",LEFT($D$3,3)&amp;"-"&amp;TEXT(COUNTIF(F$14:F96,"?*"),"00"))</f>
        <v/>
      </c>
      <c r="B96" s="5"/>
      <c r="C96" s="6" t="str">
        <f t="shared" si="12"/>
        <v/>
      </c>
      <c r="D96" s="5"/>
      <c r="E96" s="5"/>
      <c r="F96" s="5"/>
      <c r="G96" s="5"/>
      <c r="H96" s="5"/>
      <c r="I96" s="5"/>
      <c r="J96" s="5"/>
      <c r="K96" s="15"/>
      <c r="L96" s="5"/>
      <c r="M96" s="15"/>
      <c r="N96" s="5"/>
      <c r="O96" s="15"/>
      <c r="P96" s="19" t="str">
        <f t="shared" si="13"/>
        <v/>
      </c>
      <c r="Q96" s="19" t="str">
        <f t="shared" si="14"/>
        <v/>
      </c>
      <c r="R96" s="19" t="str">
        <f t="shared" si="15"/>
        <v/>
      </c>
      <c r="S96" s="5"/>
      <c r="T96" s="5"/>
      <c r="U96" s="5"/>
      <c r="V96" s="24"/>
      <c r="W96" s="15"/>
      <c r="X96" s="15"/>
      <c r="Y96" s="15"/>
      <c r="Z96" s="19" t="str">
        <f t="shared" si="16"/>
        <v/>
      </c>
      <c r="AA96" s="19" t="str">
        <f t="shared" si="17"/>
        <v/>
      </c>
      <c r="AB96" s="5"/>
      <c r="AC96" s="5"/>
      <c r="AE96" t="str">
        <f>IFERROR(INDEX(EqTag,_xlfn.AGGREGATE(15,6,(ROW(EqTag)-4)/((EqSys=$D$3)*(EqTag&lt;&gt;"")),ROWS($AE$14:AE96))),"")</f>
        <v/>
      </c>
    </row>
    <row r="97" spans="1:31" ht="30" customHeight="1" x14ac:dyDescent="0.2">
      <c r="A97" s="19" t="str">
        <f>IF(F97="","",LEFT($D$3,3)&amp;"-"&amp;TEXT(COUNTIF(F$14:F97,"?*"),"00"))</f>
        <v/>
      </c>
      <c r="B97" s="5"/>
      <c r="C97" s="6" t="str">
        <f t="shared" si="12"/>
        <v/>
      </c>
      <c r="D97" s="5"/>
      <c r="E97" s="5"/>
      <c r="F97" s="5"/>
      <c r="G97" s="5"/>
      <c r="H97" s="5"/>
      <c r="I97" s="5"/>
      <c r="J97" s="5"/>
      <c r="K97" s="15"/>
      <c r="L97" s="5"/>
      <c r="M97" s="15"/>
      <c r="N97" s="5"/>
      <c r="O97" s="15"/>
      <c r="P97" s="19" t="str">
        <f t="shared" si="13"/>
        <v/>
      </c>
      <c r="Q97" s="19" t="str">
        <f t="shared" si="14"/>
        <v/>
      </c>
      <c r="R97" s="19" t="str">
        <f t="shared" si="15"/>
        <v/>
      </c>
      <c r="S97" s="5"/>
      <c r="T97" s="5"/>
      <c r="U97" s="5"/>
      <c r="V97" s="24"/>
      <c r="W97" s="15"/>
      <c r="X97" s="15"/>
      <c r="Y97" s="15"/>
      <c r="Z97" s="19" t="str">
        <f t="shared" si="16"/>
        <v/>
      </c>
      <c r="AA97" s="19" t="str">
        <f t="shared" si="17"/>
        <v/>
      </c>
      <c r="AB97" s="5"/>
      <c r="AC97" s="5"/>
      <c r="AE97" t="str">
        <f>IFERROR(INDEX(EqTag,_xlfn.AGGREGATE(15,6,(ROW(EqTag)-4)/((EqSys=$D$3)*(EqTag&lt;&gt;"")),ROWS($AE$14:AE97))),"")</f>
        <v/>
      </c>
    </row>
    <row r="98" spans="1:31" ht="30" customHeight="1" x14ac:dyDescent="0.2">
      <c r="A98" s="19" t="str">
        <f>IF(F98="","",LEFT($D$3,3)&amp;"-"&amp;TEXT(COUNTIF(F$14:F98,"?*"),"00"))</f>
        <v/>
      </c>
      <c r="B98" s="5"/>
      <c r="C98" s="6" t="str">
        <f t="shared" si="12"/>
        <v/>
      </c>
      <c r="D98" s="5"/>
      <c r="E98" s="5"/>
      <c r="F98" s="5"/>
      <c r="G98" s="5"/>
      <c r="H98" s="5"/>
      <c r="I98" s="5"/>
      <c r="J98" s="5"/>
      <c r="K98" s="15"/>
      <c r="L98" s="5"/>
      <c r="M98" s="15"/>
      <c r="N98" s="5"/>
      <c r="O98" s="15"/>
      <c r="P98" s="19" t="str">
        <f t="shared" si="13"/>
        <v/>
      </c>
      <c r="Q98" s="19" t="str">
        <f t="shared" si="14"/>
        <v/>
      </c>
      <c r="R98" s="19" t="str">
        <f t="shared" si="15"/>
        <v/>
      </c>
      <c r="S98" s="5"/>
      <c r="T98" s="5"/>
      <c r="U98" s="5"/>
      <c r="V98" s="24"/>
      <c r="W98" s="15"/>
      <c r="X98" s="15"/>
      <c r="Y98" s="15"/>
      <c r="Z98" s="19" t="str">
        <f t="shared" si="16"/>
        <v/>
      </c>
      <c r="AA98" s="19" t="str">
        <f t="shared" si="17"/>
        <v/>
      </c>
      <c r="AB98" s="5"/>
      <c r="AC98" s="5"/>
      <c r="AE98" t="str">
        <f>IFERROR(INDEX(EqTag,_xlfn.AGGREGATE(15,6,(ROW(EqTag)-4)/((EqSys=$D$3)*(EqTag&lt;&gt;"")),ROWS($AE$14:AE98))),"")</f>
        <v/>
      </c>
    </row>
    <row r="99" spans="1:31" ht="30" customHeight="1" x14ac:dyDescent="0.2">
      <c r="A99" s="19" t="str">
        <f>IF(F99="","",LEFT($D$3,3)&amp;"-"&amp;TEXT(COUNTIF(F$14:F99,"?*"),"00"))</f>
        <v/>
      </c>
      <c r="B99" s="5"/>
      <c r="C99" s="6" t="str">
        <f t="shared" si="12"/>
        <v/>
      </c>
      <c r="D99" s="5"/>
      <c r="E99" s="5"/>
      <c r="F99" s="5"/>
      <c r="G99" s="5"/>
      <c r="H99" s="5"/>
      <c r="I99" s="5"/>
      <c r="J99" s="5"/>
      <c r="K99" s="15"/>
      <c r="L99" s="5"/>
      <c r="M99" s="15"/>
      <c r="N99" s="5"/>
      <c r="O99" s="15"/>
      <c r="P99" s="19" t="str">
        <f t="shared" si="13"/>
        <v/>
      </c>
      <c r="Q99" s="19" t="str">
        <f t="shared" si="14"/>
        <v/>
      </c>
      <c r="R99" s="19" t="str">
        <f t="shared" si="15"/>
        <v/>
      </c>
      <c r="S99" s="5"/>
      <c r="T99" s="5"/>
      <c r="U99" s="5"/>
      <c r="V99" s="24"/>
      <c r="W99" s="15"/>
      <c r="X99" s="15"/>
      <c r="Y99" s="15"/>
      <c r="Z99" s="19" t="str">
        <f t="shared" si="16"/>
        <v/>
      </c>
      <c r="AA99" s="19" t="str">
        <f t="shared" si="17"/>
        <v/>
      </c>
      <c r="AB99" s="5"/>
      <c r="AC99" s="5"/>
      <c r="AE99" t="str">
        <f>IFERROR(INDEX(EqTag,_xlfn.AGGREGATE(15,6,(ROW(EqTag)-4)/((EqSys=$D$3)*(EqTag&lt;&gt;"")),ROWS($AE$14:AE99))),"")</f>
        <v/>
      </c>
    </row>
    <row r="100" spans="1:31" ht="30" customHeight="1" x14ac:dyDescent="0.2">
      <c r="A100" s="19" t="str">
        <f>IF(F100="","",LEFT($D$3,3)&amp;"-"&amp;TEXT(COUNTIF(F$14:F100,"?*"),"00"))</f>
        <v/>
      </c>
      <c r="B100" s="5"/>
      <c r="C100" s="6" t="str">
        <f t="shared" si="12"/>
        <v/>
      </c>
      <c r="D100" s="5"/>
      <c r="E100" s="5"/>
      <c r="F100" s="5"/>
      <c r="G100" s="5"/>
      <c r="H100" s="5"/>
      <c r="I100" s="5"/>
      <c r="J100" s="5"/>
      <c r="K100" s="15"/>
      <c r="L100" s="5"/>
      <c r="M100" s="15"/>
      <c r="N100" s="5"/>
      <c r="O100" s="15"/>
      <c r="P100" s="19" t="str">
        <f t="shared" si="13"/>
        <v/>
      </c>
      <c r="Q100" s="19" t="str">
        <f t="shared" si="14"/>
        <v/>
      </c>
      <c r="R100" s="19" t="str">
        <f t="shared" si="15"/>
        <v/>
      </c>
      <c r="S100" s="5"/>
      <c r="T100" s="5"/>
      <c r="U100" s="5"/>
      <c r="V100" s="24"/>
      <c r="W100" s="15"/>
      <c r="X100" s="15"/>
      <c r="Y100" s="15"/>
      <c r="Z100" s="19" t="str">
        <f t="shared" si="16"/>
        <v/>
      </c>
      <c r="AA100" s="19" t="str">
        <f t="shared" si="17"/>
        <v/>
      </c>
      <c r="AB100" s="5"/>
      <c r="AC100" s="5"/>
      <c r="AE100" t="str">
        <f>IFERROR(INDEX(EqTag,_xlfn.AGGREGATE(15,6,(ROW(EqTag)-4)/((EqSys=$D$3)*(EqTag&lt;&gt;"")),ROWS($AE$14:AE100))),"")</f>
        <v/>
      </c>
    </row>
    <row r="101" spans="1:31" ht="30" customHeight="1" x14ac:dyDescent="0.2">
      <c r="A101" s="19" t="str">
        <f>IF(F101="","",LEFT($D$3,3)&amp;"-"&amp;TEXT(COUNTIF(F$14:F101,"?*"),"00"))</f>
        <v/>
      </c>
      <c r="B101" s="5"/>
      <c r="C101" s="6" t="str">
        <f t="shared" si="12"/>
        <v/>
      </c>
      <c r="D101" s="5"/>
      <c r="E101" s="5"/>
      <c r="F101" s="5"/>
      <c r="G101" s="5"/>
      <c r="H101" s="5"/>
      <c r="I101" s="5"/>
      <c r="J101" s="5"/>
      <c r="K101" s="15"/>
      <c r="L101" s="5"/>
      <c r="M101" s="15"/>
      <c r="N101" s="5"/>
      <c r="O101" s="15"/>
      <c r="P101" s="19" t="str">
        <f t="shared" si="13"/>
        <v/>
      </c>
      <c r="Q101" s="19" t="str">
        <f t="shared" si="14"/>
        <v/>
      </c>
      <c r="R101" s="19" t="str">
        <f t="shared" si="15"/>
        <v/>
      </c>
      <c r="S101" s="5"/>
      <c r="T101" s="5"/>
      <c r="U101" s="5"/>
      <c r="V101" s="24"/>
      <c r="W101" s="15"/>
      <c r="X101" s="15"/>
      <c r="Y101" s="15"/>
      <c r="Z101" s="19" t="str">
        <f t="shared" si="16"/>
        <v/>
      </c>
      <c r="AA101" s="19" t="str">
        <f t="shared" si="17"/>
        <v/>
      </c>
      <c r="AB101" s="5"/>
      <c r="AC101" s="5"/>
      <c r="AE101" t="str">
        <f>IFERROR(INDEX(EqTag,_xlfn.AGGREGATE(15,6,(ROW(EqTag)-4)/((EqSys=$D$3)*(EqTag&lt;&gt;"")),ROWS($AE$14:AE101))),"")</f>
        <v/>
      </c>
    </row>
    <row r="102" spans="1:31" ht="30" customHeight="1" x14ac:dyDescent="0.2">
      <c r="A102" s="19" t="str">
        <f>IF(F102="","",LEFT($D$3,3)&amp;"-"&amp;TEXT(COUNTIF(F$14:F102,"?*"),"00"))</f>
        <v/>
      </c>
      <c r="B102" s="5"/>
      <c r="C102" s="6" t="str">
        <f t="shared" si="12"/>
        <v/>
      </c>
      <c r="D102" s="5"/>
      <c r="E102" s="5"/>
      <c r="F102" s="5"/>
      <c r="G102" s="5"/>
      <c r="H102" s="5"/>
      <c r="I102" s="5"/>
      <c r="J102" s="5"/>
      <c r="K102" s="15"/>
      <c r="L102" s="5"/>
      <c r="M102" s="15"/>
      <c r="N102" s="5"/>
      <c r="O102" s="15"/>
      <c r="P102" s="19" t="str">
        <f t="shared" si="13"/>
        <v/>
      </c>
      <c r="Q102" s="19" t="str">
        <f t="shared" si="14"/>
        <v/>
      </c>
      <c r="R102" s="19" t="str">
        <f t="shared" si="15"/>
        <v/>
      </c>
      <c r="S102" s="5"/>
      <c r="T102" s="5"/>
      <c r="U102" s="5"/>
      <c r="V102" s="24"/>
      <c r="W102" s="15"/>
      <c r="X102" s="15"/>
      <c r="Y102" s="15"/>
      <c r="Z102" s="19" t="str">
        <f t="shared" si="16"/>
        <v/>
      </c>
      <c r="AA102" s="19" t="str">
        <f t="shared" si="17"/>
        <v/>
      </c>
      <c r="AB102" s="5"/>
      <c r="AC102" s="5"/>
      <c r="AE102" t="str">
        <f>IFERROR(INDEX(EqTag,_xlfn.AGGREGATE(15,6,(ROW(EqTag)-4)/((EqSys=$D$3)*(EqTag&lt;&gt;"")),ROWS($AE$14:AE102))),"")</f>
        <v/>
      </c>
    </row>
    <row r="103" spans="1:31" ht="30" customHeight="1" x14ac:dyDescent="0.2">
      <c r="A103" s="19" t="str">
        <f>IF(F103="","",LEFT($D$3,3)&amp;"-"&amp;TEXT(COUNTIF(F$14:F103,"?*"),"00"))</f>
        <v/>
      </c>
      <c r="B103" s="5"/>
      <c r="C103" s="6" t="str">
        <f t="shared" si="12"/>
        <v/>
      </c>
      <c r="D103" s="5"/>
      <c r="E103" s="5"/>
      <c r="F103" s="5"/>
      <c r="G103" s="5"/>
      <c r="H103" s="5"/>
      <c r="I103" s="5"/>
      <c r="J103" s="5"/>
      <c r="K103" s="15"/>
      <c r="L103" s="5"/>
      <c r="M103" s="15"/>
      <c r="N103" s="5"/>
      <c r="O103" s="15"/>
      <c r="P103" s="19" t="str">
        <f t="shared" si="13"/>
        <v/>
      </c>
      <c r="Q103" s="19" t="str">
        <f t="shared" si="14"/>
        <v/>
      </c>
      <c r="R103" s="19" t="str">
        <f t="shared" si="15"/>
        <v/>
      </c>
      <c r="S103" s="5"/>
      <c r="T103" s="5"/>
      <c r="U103" s="5"/>
      <c r="V103" s="24"/>
      <c r="W103" s="15"/>
      <c r="X103" s="15"/>
      <c r="Y103" s="15"/>
      <c r="Z103" s="19" t="str">
        <f t="shared" si="16"/>
        <v/>
      </c>
      <c r="AA103" s="19" t="str">
        <f t="shared" si="17"/>
        <v/>
      </c>
      <c r="AB103" s="5"/>
      <c r="AC103" s="5"/>
      <c r="AE103" t="str">
        <f>IFERROR(INDEX(EqTag,_xlfn.AGGREGATE(15,6,(ROW(EqTag)-4)/((EqSys=$D$3)*(EqTag&lt;&gt;"")),ROWS($AE$14:AE103))),"")</f>
        <v/>
      </c>
    </row>
    <row r="104" spans="1:31" ht="30" customHeight="1" x14ac:dyDescent="0.2">
      <c r="A104" s="19" t="str">
        <f>IF(F104="","",LEFT($D$3,3)&amp;"-"&amp;TEXT(COUNTIF(F$14:F104,"?*"),"00"))</f>
        <v/>
      </c>
      <c r="B104" s="5"/>
      <c r="C104" s="6" t="str">
        <f t="shared" si="12"/>
        <v/>
      </c>
      <c r="D104" s="5"/>
      <c r="E104" s="5"/>
      <c r="F104" s="5"/>
      <c r="G104" s="5"/>
      <c r="H104" s="5"/>
      <c r="I104" s="5"/>
      <c r="J104" s="5"/>
      <c r="K104" s="15"/>
      <c r="L104" s="5"/>
      <c r="M104" s="15"/>
      <c r="N104" s="5"/>
      <c r="O104" s="15"/>
      <c r="P104" s="19" t="str">
        <f t="shared" si="13"/>
        <v/>
      </c>
      <c r="Q104" s="19" t="str">
        <f t="shared" si="14"/>
        <v/>
      </c>
      <c r="R104" s="19" t="str">
        <f t="shared" si="15"/>
        <v/>
      </c>
      <c r="S104" s="5"/>
      <c r="T104" s="5"/>
      <c r="U104" s="5"/>
      <c r="V104" s="24"/>
      <c r="W104" s="15"/>
      <c r="X104" s="15"/>
      <c r="Y104" s="15"/>
      <c r="Z104" s="19" t="str">
        <f t="shared" si="16"/>
        <v/>
      </c>
      <c r="AA104" s="19" t="str">
        <f t="shared" si="17"/>
        <v/>
      </c>
      <c r="AB104" s="5"/>
      <c r="AC104" s="5"/>
      <c r="AE104" t="str">
        <f>IFERROR(INDEX(EqTag,_xlfn.AGGREGATE(15,6,(ROW(EqTag)-4)/((EqSys=$D$3)*(EqTag&lt;&gt;"")),ROWS($AE$14:AE104))),"")</f>
        <v/>
      </c>
    </row>
    <row r="105" spans="1:31" ht="30" customHeight="1" x14ac:dyDescent="0.2">
      <c r="A105" s="19" t="str">
        <f>IF(F105="","",LEFT($D$3,3)&amp;"-"&amp;TEXT(COUNTIF(F$14:F105,"?*"),"00"))</f>
        <v/>
      </c>
      <c r="B105" s="5"/>
      <c r="C105" s="6" t="str">
        <f t="shared" si="12"/>
        <v/>
      </c>
      <c r="D105" s="5"/>
      <c r="E105" s="5"/>
      <c r="F105" s="5"/>
      <c r="G105" s="5"/>
      <c r="H105" s="5"/>
      <c r="I105" s="5"/>
      <c r="J105" s="5"/>
      <c r="K105" s="15"/>
      <c r="L105" s="5"/>
      <c r="M105" s="15"/>
      <c r="N105" s="5"/>
      <c r="O105" s="15"/>
      <c r="P105" s="19" t="str">
        <f t="shared" si="13"/>
        <v/>
      </c>
      <c r="Q105" s="19" t="str">
        <f t="shared" si="14"/>
        <v/>
      </c>
      <c r="R105" s="19" t="str">
        <f t="shared" si="15"/>
        <v/>
      </c>
      <c r="S105" s="5"/>
      <c r="T105" s="5"/>
      <c r="U105" s="5"/>
      <c r="V105" s="24"/>
      <c r="W105" s="15"/>
      <c r="X105" s="15"/>
      <c r="Y105" s="15"/>
      <c r="Z105" s="19" t="str">
        <f t="shared" si="16"/>
        <v/>
      </c>
      <c r="AA105" s="19" t="str">
        <f t="shared" si="17"/>
        <v/>
      </c>
      <c r="AB105" s="5"/>
      <c r="AC105" s="5"/>
      <c r="AE105" t="str">
        <f>IFERROR(INDEX(EqTag,_xlfn.AGGREGATE(15,6,(ROW(EqTag)-4)/((EqSys=$D$3)*(EqTag&lt;&gt;"")),ROWS($AE$14:AE105))),"")</f>
        <v/>
      </c>
    </row>
    <row r="106" spans="1:31" ht="30" customHeight="1" x14ac:dyDescent="0.2">
      <c r="A106" s="19" t="str">
        <f>IF(F106="","",LEFT($D$3,3)&amp;"-"&amp;TEXT(COUNTIF(F$14:F106,"?*"),"00"))</f>
        <v/>
      </c>
      <c r="B106" s="5"/>
      <c r="C106" s="6" t="str">
        <f t="shared" si="12"/>
        <v/>
      </c>
      <c r="D106" s="5"/>
      <c r="E106" s="5"/>
      <c r="F106" s="5"/>
      <c r="G106" s="5"/>
      <c r="H106" s="5"/>
      <c r="I106" s="5"/>
      <c r="J106" s="5"/>
      <c r="K106" s="15"/>
      <c r="L106" s="5"/>
      <c r="M106" s="15"/>
      <c r="N106" s="5"/>
      <c r="O106" s="15"/>
      <c r="P106" s="19" t="str">
        <f t="shared" si="13"/>
        <v/>
      </c>
      <c r="Q106" s="19" t="str">
        <f t="shared" si="14"/>
        <v/>
      </c>
      <c r="R106" s="19" t="str">
        <f t="shared" si="15"/>
        <v/>
      </c>
      <c r="S106" s="5"/>
      <c r="T106" s="5"/>
      <c r="U106" s="5"/>
      <c r="V106" s="24"/>
      <c r="W106" s="15"/>
      <c r="X106" s="15"/>
      <c r="Y106" s="15"/>
      <c r="Z106" s="19" t="str">
        <f t="shared" si="16"/>
        <v/>
      </c>
      <c r="AA106" s="19" t="str">
        <f t="shared" si="17"/>
        <v/>
      </c>
      <c r="AB106" s="5"/>
      <c r="AC106" s="5"/>
      <c r="AE106" t="str">
        <f>IFERROR(INDEX(EqTag,_xlfn.AGGREGATE(15,6,(ROW(EqTag)-4)/((EqSys=$D$3)*(EqTag&lt;&gt;"")),ROWS($AE$14:AE106))),"")</f>
        <v/>
      </c>
    </row>
    <row r="107" spans="1:31" ht="30" customHeight="1" x14ac:dyDescent="0.2">
      <c r="A107" s="19" t="str">
        <f>IF(F107="","",LEFT($D$3,3)&amp;"-"&amp;TEXT(COUNTIF(F$14:F107,"?*"),"00"))</f>
        <v/>
      </c>
      <c r="B107" s="5"/>
      <c r="C107" s="6" t="str">
        <f t="shared" si="12"/>
        <v/>
      </c>
      <c r="D107" s="5"/>
      <c r="E107" s="5"/>
      <c r="F107" s="5"/>
      <c r="G107" s="5"/>
      <c r="H107" s="5"/>
      <c r="I107" s="5"/>
      <c r="J107" s="5"/>
      <c r="K107" s="15"/>
      <c r="L107" s="5"/>
      <c r="M107" s="15"/>
      <c r="N107" s="5"/>
      <c r="O107" s="15"/>
      <c r="P107" s="19" t="str">
        <f t="shared" si="13"/>
        <v/>
      </c>
      <c r="Q107" s="19" t="str">
        <f t="shared" si="14"/>
        <v/>
      </c>
      <c r="R107" s="19" t="str">
        <f t="shared" si="15"/>
        <v/>
      </c>
      <c r="S107" s="5"/>
      <c r="T107" s="5"/>
      <c r="U107" s="5"/>
      <c r="V107" s="24"/>
      <c r="W107" s="15"/>
      <c r="X107" s="15"/>
      <c r="Y107" s="15"/>
      <c r="Z107" s="19" t="str">
        <f t="shared" si="16"/>
        <v/>
      </c>
      <c r="AA107" s="19" t="str">
        <f t="shared" si="17"/>
        <v/>
      </c>
      <c r="AB107" s="5"/>
      <c r="AC107" s="5"/>
      <c r="AE107" t="str">
        <f>IFERROR(INDEX(EqTag,_xlfn.AGGREGATE(15,6,(ROW(EqTag)-4)/((EqSys=$D$3)*(EqTag&lt;&gt;"")),ROWS($AE$14:AE107))),"")</f>
        <v/>
      </c>
    </row>
    <row r="108" spans="1:31" ht="30" customHeight="1" x14ac:dyDescent="0.2">
      <c r="A108" s="19" t="str">
        <f>IF(F108="","",LEFT($D$3,3)&amp;"-"&amp;TEXT(COUNTIF(F$14:F108,"?*"),"00"))</f>
        <v/>
      </c>
      <c r="B108" s="5"/>
      <c r="C108" s="6" t="str">
        <f t="shared" si="12"/>
        <v/>
      </c>
      <c r="D108" s="5"/>
      <c r="E108" s="5"/>
      <c r="F108" s="5"/>
      <c r="G108" s="5"/>
      <c r="H108" s="5"/>
      <c r="I108" s="5"/>
      <c r="J108" s="5"/>
      <c r="K108" s="15"/>
      <c r="L108" s="5"/>
      <c r="M108" s="15"/>
      <c r="N108" s="5"/>
      <c r="O108" s="15"/>
      <c r="P108" s="19" t="str">
        <f t="shared" si="13"/>
        <v/>
      </c>
      <c r="Q108" s="19" t="str">
        <f t="shared" si="14"/>
        <v/>
      </c>
      <c r="R108" s="19" t="str">
        <f t="shared" si="15"/>
        <v/>
      </c>
      <c r="S108" s="5"/>
      <c r="T108" s="5"/>
      <c r="U108" s="5"/>
      <c r="V108" s="24"/>
      <c r="W108" s="15"/>
      <c r="X108" s="15"/>
      <c r="Y108" s="15"/>
      <c r="Z108" s="19" t="str">
        <f t="shared" si="16"/>
        <v/>
      </c>
      <c r="AA108" s="19" t="str">
        <f t="shared" si="17"/>
        <v/>
      </c>
      <c r="AB108" s="5"/>
      <c r="AC108" s="5"/>
      <c r="AE108" t="str">
        <f>IFERROR(INDEX(EqTag,_xlfn.AGGREGATE(15,6,(ROW(EqTag)-4)/((EqSys=$D$3)*(EqTag&lt;&gt;"")),ROWS($AE$14:AE108))),"")</f>
        <v/>
      </c>
    </row>
    <row r="109" spans="1:31" ht="30" customHeight="1" x14ac:dyDescent="0.2">
      <c r="A109" s="19" t="str">
        <f>IF(F109="","",LEFT($D$3,3)&amp;"-"&amp;TEXT(COUNTIF(F$14:F109,"?*"),"00"))</f>
        <v/>
      </c>
      <c r="B109" s="5"/>
      <c r="C109" s="6" t="str">
        <f t="shared" si="12"/>
        <v/>
      </c>
      <c r="D109" s="5"/>
      <c r="E109" s="5"/>
      <c r="F109" s="5"/>
      <c r="G109" s="5"/>
      <c r="H109" s="5"/>
      <c r="I109" s="5"/>
      <c r="J109" s="5"/>
      <c r="K109" s="15"/>
      <c r="L109" s="5"/>
      <c r="M109" s="15"/>
      <c r="N109" s="5"/>
      <c r="O109" s="15"/>
      <c r="P109" s="19" t="str">
        <f t="shared" si="13"/>
        <v/>
      </c>
      <c r="Q109" s="19" t="str">
        <f t="shared" si="14"/>
        <v/>
      </c>
      <c r="R109" s="19" t="str">
        <f t="shared" si="15"/>
        <v/>
      </c>
      <c r="S109" s="5"/>
      <c r="T109" s="5"/>
      <c r="U109" s="5"/>
      <c r="V109" s="24"/>
      <c r="W109" s="15"/>
      <c r="X109" s="15"/>
      <c r="Y109" s="15"/>
      <c r="Z109" s="19" t="str">
        <f t="shared" si="16"/>
        <v/>
      </c>
      <c r="AA109" s="19" t="str">
        <f t="shared" si="17"/>
        <v/>
      </c>
      <c r="AB109" s="5"/>
      <c r="AC109" s="5"/>
      <c r="AE109" t="str">
        <f>IFERROR(INDEX(EqTag,_xlfn.AGGREGATE(15,6,(ROW(EqTag)-4)/((EqSys=$D$3)*(EqTag&lt;&gt;"")),ROWS($AE$14:AE109))),"")</f>
        <v/>
      </c>
    </row>
    <row r="110" spans="1:31" ht="30" customHeight="1" x14ac:dyDescent="0.2">
      <c r="A110" s="19" t="str">
        <f>IF(F110="","",LEFT($D$3,3)&amp;"-"&amp;TEXT(COUNTIF(F$14:F110,"?*"),"00"))</f>
        <v/>
      </c>
      <c r="B110" s="5"/>
      <c r="C110" s="6" t="str">
        <f t="shared" ref="C110:C141" si="18">IF(B110="","",IFERROR(INDEX(EqTypeCol,MATCH(B110,EqTag,0)),"Tag not in register"))</f>
        <v/>
      </c>
      <c r="D110" s="5"/>
      <c r="E110" s="5"/>
      <c r="F110" s="5"/>
      <c r="G110" s="5"/>
      <c r="H110" s="5"/>
      <c r="I110" s="5"/>
      <c r="J110" s="5"/>
      <c r="K110" s="15"/>
      <c r="L110" s="5"/>
      <c r="M110" s="15"/>
      <c r="N110" s="5"/>
      <c r="O110" s="15"/>
      <c r="P110" s="19" t="str">
        <f t="shared" ref="P110:P141" si="19">IF(OR(K110="",M110="",O110=""),"",(--TRIM(LEFT(K110,2)))*(--TRIM(LEFT(M110,2)))*(--TRIM(LEFT(O110,2))))</f>
        <v/>
      </c>
      <c r="Q110" s="19" t="str">
        <f t="shared" ref="Q110:Q141" si="20">IF(OR(K110="",M110="",O110=""),"",INDEX(APGrid,COUNTIF(APS,"&gt;"&amp;(--TRIM(LEFT(K110,2))))*5+COUNTIF(APO,"&gt;"&amp;(--TRIM(LEFT(M110,2))))+1,COUNTIF(APD,"&gt;"&amp;(--TRIM(LEFT(O110,2))))+1))</f>
        <v/>
      </c>
      <c r="R110" s="19" t="str">
        <f t="shared" ref="R110:R141" si="21">IF(P110="","",IF(OR((--TRIM(LEFT(K110,2)))&gt;=SThr,P110&gt;=RPNThr,Q110="H"),"Yes","No"))</f>
        <v/>
      </c>
      <c r="S110" s="5"/>
      <c r="T110" s="5"/>
      <c r="U110" s="5"/>
      <c r="V110" s="24"/>
      <c r="W110" s="15"/>
      <c r="X110" s="15"/>
      <c r="Y110" s="15"/>
      <c r="Z110" s="19" t="str">
        <f t="shared" ref="Z110:Z141" si="22">IF(OR(W110="",X110="",Y110=""),"",(--TRIM(LEFT(W110,2)))*(--TRIM(LEFT(X110,2)))*(--TRIM(LEFT(Y110,2))))</f>
        <v/>
      </c>
      <c r="AA110" s="19" t="str">
        <f t="shared" ref="AA110:AA141" si="23">IF(OR(W110="",X110="",Y110=""),"",INDEX(APGrid,COUNTIF(APS,"&gt;"&amp;(--TRIM(LEFT(W110,2))))*5+COUNTIF(APO,"&gt;"&amp;(--TRIM(LEFT(X110,2))))+1,COUNTIF(APD,"&gt;"&amp;(--TRIM(LEFT(Y110,2))))+1))</f>
        <v/>
      </c>
      <c r="AB110" s="5"/>
      <c r="AC110" s="5"/>
      <c r="AE110" t="str">
        <f>IFERROR(INDEX(EqTag,_xlfn.AGGREGATE(15,6,(ROW(EqTag)-4)/((EqSys=$D$3)*(EqTag&lt;&gt;"")),ROWS($AE$14:AE110))),"")</f>
        <v/>
      </c>
    </row>
    <row r="111" spans="1:31" ht="30" customHeight="1" x14ac:dyDescent="0.2">
      <c r="A111" s="19" t="str">
        <f>IF(F111="","",LEFT($D$3,3)&amp;"-"&amp;TEXT(COUNTIF(F$14:F111,"?*"),"00"))</f>
        <v/>
      </c>
      <c r="B111" s="5"/>
      <c r="C111" s="6" t="str">
        <f t="shared" si="18"/>
        <v/>
      </c>
      <c r="D111" s="5"/>
      <c r="E111" s="5"/>
      <c r="F111" s="5"/>
      <c r="G111" s="5"/>
      <c r="H111" s="5"/>
      <c r="I111" s="5"/>
      <c r="J111" s="5"/>
      <c r="K111" s="15"/>
      <c r="L111" s="5"/>
      <c r="M111" s="15"/>
      <c r="N111" s="5"/>
      <c r="O111" s="15"/>
      <c r="P111" s="19" t="str">
        <f t="shared" si="19"/>
        <v/>
      </c>
      <c r="Q111" s="19" t="str">
        <f t="shared" si="20"/>
        <v/>
      </c>
      <c r="R111" s="19" t="str">
        <f t="shared" si="21"/>
        <v/>
      </c>
      <c r="S111" s="5"/>
      <c r="T111" s="5"/>
      <c r="U111" s="5"/>
      <c r="V111" s="24"/>
      <c r="W111" s="15"/>
      <c r="X111" s="15"/>
      <c r="Y111" s="15"/>
      <c r="Z111" s="19" t="str">
        <f t="shared" si="22"/>
        <v/>
      </c>
      <c r="AA111" s="19" t="str">
        <f t="shared" si="23"/>
        <v/>
      </c>
      <c r="AB111" s="5"/>
      <c r="AC111" s="5"/>
      <c r="AE111" t="str">
        <f>IFERROR(INDEX(EqTag,_xlfn.AGGREGATE(15,6,(ROW(EqTag)-4)/((EqSys=$D$3)*(EqTag&lt;&gt;"")),ROWS($AE$14:AE111))),"")</f>
        <v/>
      </c>
    </row>
    <row r="112" spans="1:31" ht="30" customHeight="1" x14ac:dyDescent="0.2">
      <c r="A112" s="19" t="str">
        <f>IF(F112="","",LEFT($D$3,3)&amp;"-"&amp;TEXT(COUNTIF(F$14:F112,"?*"),"00"))</f>
        <v/>
      </c>
      <c r="B112" s="5"/>
      <c r="C112" s="6" t="str">
        <f t="shared" si="18"/>
        <v/>
      </c>
      <c r="D112" s="5"/>
      <c r="E112" s="5"/>
      <c r="F112" s="5"/>
      <c r="G112" s="5"/>
      <c r="H112" s="5"/>
      <c r="I112" s="5"/>
      <c r="J112" s="5"/>
      <c r="K112" s="15"/>
      <c r="L112" s="5"/>
      <c r="M112" s="15"/>
      <c r="N112" s="5"/>
      <c r="O112" s="15"/>
      <c r="P112" s="19" t="str">
        <f t="shared" si="19"/>
        <v/>
      </c>
      <c r="Q112" s="19" t="str">
        <f t="shared" si="20"/>
        <v/>
      </c>
      <c r="R112" s="19" t="str">
        <f t="shared" si="21"/>
        <v/>
      </c>
      <c r="S112" s="5"/>
      <c r="T112" s="5"/>
      <c r="U112" s="5"/>
      <c r="V112" s="24"/>
      <c r="W112" s="15"/>
      <c r="X112" s="15"/>
      <c r="Y112" s="15"/>
      <c r="Z112" s="19" t="str">
        <f t="shared" si="22"/>
        <v/>
      </c>
      <c r="AA112" s="19" t="str">
        <f t="shared" si="23"/>
        <v/>
      </c>
      <c r="AB112" s="5"/>
      <c r="AC112" s="5"/>
      <c r="AE112" t="str">
        <f>IFERROR(INDEX(EqTag,_xlfn.AGGREGATE(15,6,(ROW(EqTag)-4)/((EqSys=$D$3)*(EqTag&lt;&gt;"")),ROWS($AE$14:AE112))),"")</f>
        <v/>
      </c>
    </row>
    <row r="113" spans="1:31" ht="30" customHeight="1" x14ac:dyDescent="0.2">
      <c r="A113" s="19" t="str">
        <f>IF(F113="","",LEFT($D$3,3)&amp;"-"&amp;TEXT(COUNTIF(F$14:F113,"?*"),"00"))</f>
        <v/>
      </c>
      <c r="B113" s="5"/>
      <c r="C113" s="6" t="str">
        <f t="shared" si="18"/>
        <v/>
      </c>
      <c r="D113" s="5"/>
      <c r="E113" s="5"/>
      <c r="F113" s="5"/>
      <c r="G113" s="5"/>
      <c r="H113" s="5"/>
      <c r="I113" s="5"/>
      <c r="J113" s="5"/>
      <c r="K113" s="15"/>
      <c r="L113" s="5"/>
      <c r="M113" s="15"/>
      <c r="N113" s="5"/>
      <c r="O113" s="15"/>
      <c r="P113" s="19" t="str">
        <f t="shared" si="19"/>
        <v/>
      </c>
      <c r="Q113" s="19" t="str">
        <f t="shared" si="20"/>
        <v/>
      </c>
      <c r="R113" s="19" t="str">
        <f t="shared" si="21"/>
        <v/>
      </c>
      <c r="S113" s="5"/>
      <c r="T113" s="5"/>
      <c r="U113" s="5"/>
      <c r="V113" s="24"/>
      <c r="W113" s="15"/>
      <c r="X113" s="15"/>
      <c r="Y113" s="15"/>
      <c r="Z113" s="19" t="str">
        <f t="shared" si="22"/>
        <v/>
      </c>
      <c r="AA113" s="19" t="str">
        <f t="shared" si="23"/>
        <v/>
      </c>
      <c r="AB113" s="5"/>
      <c r="AC113" s="5"/>
      <c r="AE113" t="str">
        <f>IFERROR(INDEX(EqTag,_xlfn.AGGREGATE(15,6,(ROW(EqTag)-4)/((EqSys=$D$3)*(EqTag&lt;&gt;"")),ROWS($AE$14:AE113))),"")</f>
        <v/>
      </c>
    </row>
    <row r="114" spans="1:31" ht="30" customHeight="1" x14ac:dyDescent="0.2">
      <c r="A114" s="19" t="str">
        <f>IF(F114="","",LEFT($D$3,3)&amp;"-"&amp;TEXT(COUNTIF(F$14:F114,"?*"),"00"))</f>
        <v/>
      </c>
      <c r="B114" s="5"/>
      <c r="C114" s="6" t="str">
        <f t="shared" si="18"/>
        <v/>
      </c>
      <c r="D114" s="5"/>
      <c r="E114" s="5"/>
      <c r="F114" s="5"/>
      <c r="G114" s="5"/>
      <c r="H114" s="5"/>
      <c r="I114" s="5"/>
      <c r="J114" s="5"/>
      <c r="K114" s="15"/>
      <c r="L114" s="5"/>
      <c r="M114" s="15"/>
      <c r="N114" s="5"/>
      <c r="O114" s="15"/>
      <c r="P114" s="19" t="str">
        <f t="shared" si="19"/>
        <v/>
      </c>
      <c r="Q114" s="19" t="str">
        <f t="shared" si="20"/>
        <v/>
      </c>
      <c r="R114" s="19" t="str">
        <f t="shared" si="21"/>
        <v/>
      </c>
      <c r="S114" s="5"/>
      <c r="T114" s="5"/>
      <c r="U114" s="5"/>
      <c r="V114" s="24"/>
      <c r="W114" s="15"/>
      <c r="X114" s="15"/>
      <c r="Y114" s="15"/>
      <c r="Z114" s="19" t="str">
        <f t="shared" si="22"/>
        <v/>
      </c>
      <c r="AA114" s="19" t="str">
        <f t="shared" si="23"/>
        <v/>
      </c>
      <c r="AB114" s="5"/>
      <c r="AC114" s="5"/>
      <c r="AE114" t="str">
        <f>IFERROR(INDEX(EqTag,_xlfn.AGGREGATE(15,6,(ROW(EqTag)-4)/((EqSys=$D$3)*(EqTag&lt;&gt;"")),ROWS($AE$14:AE114))),"")</f>
        <v/>
      </c>
    </row>
    <row r="115" spans="1:31" ht="30" customHeight="1" x14ac:dyDescent="0.2">
      <c r="A115" s="19" t="str">
        <f>IF(F115="","",LEFT($D$3,3)&amp;"-"&amp;TEXT(COUNTIF(F$14:F115,"?*"),"00"))</f>
        <v/>
      </c>
      <c r="B115" s="5"/>
      <c r="C115" s="6" t="str">
        <f t="shared" si="18"/>
        <v/>
      </c>
      <c r="D115" s="5"/>
      <c r="E115" s="5"/>
      <c r="F115" s="5"/>
      <c r="G115" s="5"/>
      <c r="H115" s="5"/>
      <c r="I115" s="5"/>
      <c r="J115" s="5"/>
      <c r="K115" s="15"/>
      <c r="L115" s="5"/>
      <c r="M115" s="15"/>
      <c r="N115" s="5"/>
      <c r="O115" s="15"/>
      <c r="P115" s="19" t="str">
        <f t="shared" si="19"/>
        <v/>
      </c>
      <c r="Q115" s="19" t="str">
        <f t="shared" si="20"/>
        <v/>
      </c>
      <c r="R115" s="19" t="str">
        <f t="shared" si="21"/>
        <v/>
      </c>
      <c r="S115" s="5"/>
      <c r="T115" s="5"/>
      <c r="U115" s="5"/>
      <c r="V115" s="24"/>
      <c r="W115" s="15"/>
      <c r="X115" s="15"/>
      <c r="Y115" s="15"/>
      <c r="Z115" s="19" t="str">
        <f t="shared" si="22"/>
        <v/>
      </c>
      <c r="AA115" s="19" t="str">
        <f t="shared" si="23"/>
        <v/>
      </c>
      <c r="AB115" s="5"/>
      <c r="AC115" s="5"/>
      <c r="AE115" t="str">
        <f>IFERROR(INDEX(EqTag,_xlfn.AGGREGATE(15,6,(ROW(EqTag)-4)/((EqSys=$D$3)*(EqTag&lt;&gt;"")),ROWS($AE$14:AE115))),"")</f>
        <v/>
      </c>
    </row>
    <row r="116" spans="1:31" ht="30" customHeight="1" x14ac:dyDescent="0.2">
      <c r="A116" s="19" t="str">
        <f>IF(F116="","",LEFT($D$3,3)&amp;"-"&amp;TEXT(COUNTIF(F$14:F116,"?*"),"00"))</f>
        <v/>
      </c>
      <c r="B116" s="5"/>
      <c r="C116" s="6" t="str">
        <f t="shared" si="18"/>
        <v/>
      </c>
      <c r="D116" s="5"/>
      <c r="E116" s="5"/>
      <c r="F116" s="5"/>
      <c r="G116" s="5"/>
      <c r="H116" s="5"/>
      <c r="I116" s="5"/>
      <c r="J116" s="5"/>
      <c r="K116" s="15"/>
      <c r="L116" s="5"/>
      <c r="M116" s="15"/>
      <c r="N116" s="5"/>
      <c r="O116" s="15"/>
      <c r="P116" s="19" t="str">
        <f t="shared" si="19"/>
        <v/>
      </c>
      <c r="Q116" s="19" t="str">
        <f t="shared" si="20"/>
        <v/>
      </c>
      <c r="R116" s="19" t="str">
        <f t="shared" si="21"/>
        <v/>
      </c>
      <c r="S116" s="5"/>
      <c r="T116" s="5"/>
      <c r="U116" s="5"/>
      <c r="V116" s="24"/>
      <c r="W116" s="15"/>
      <c r="X116" s="15"/>
      <c r="Y116" s="15"/>
      <c r="Z116" s="19" t="str">
        <f t="shared" si="22"/>
        <v/>
      </c>
      <c r="AA116" s="19" t="str">
        <f t="shared" si="23"/>
        <v/>
      </c>
      <c r="AB116" s="5"/>
      <c r="AC116" s="5"/>
      <c r="AE116" t="str">
        <f>IFERROR(INDEX(EqTag,_xlfn.AGGREGATE(15,6,(ROW(EqTag)-4)/((EqSys=$D$3)*(EqTag&lt;&gt;"")),ROWS($AE$14:AE116))),"")</f>
        <v/>
      </c>
    </row>
    <row r="117" spans="1:31" ht="30" customHeight="1" x14ac:dyDescent="0.2">
      <c r="A117" s="19" t="str">
        <f>IF(F117="","",LEFT($D$3,3)&amp;"-"&amp;TEXT(COUNTIF(F$14:F117,"?*"),"00"))</f>
        <v/>
      </c>
      <c r="B117" s="5"/>
      <c r="C117" s="6" t="str">
        <f t="shared" si="18"/>
        <v/>
      </c>
      <c r="D117" s="5"/>
      <c r="E117" s="5"/>
      <c r="F117" s="5"/>
      <c r="G117" s="5"/>
      <c r="H117" s="5"/>
      <c r="I117" s="5"/>
      <c r="J117" s="5"/>
      <c r="K117" s="15"/>
      <c r="L117" s="5"/>
      <c r="M117" s="15"/>
      <c r="N117" s="5"/>
      <c r="O117" s="15"/>
      <c r="P117" s="19" t="str">
        <f t="shared" si="19"/>
        <v/>
      </c>
      <c r="Q117" s="19" t="str">
        <f t="shared" si="20"/>
        <v/>
      </c>
      <c r="R117" s="19" t="str">
        <f t="shared" si="21"/>
        <v/>
      </c>
      <c r="S117" s="5"/>
      <c r="T117" s="5"/>
      <c r="U117" s="5"/>
      <c r="V117" s="24"/>
      <c r="W117" s="15"/>
      <c r="X117" s="15"/>
      <c r="Y117" s="15"/>
      <c r="Z117" s="19" t="str">
        <f t="shared" si="22"/>
        <v/>
      </c>
      <c r="AA117" s="19" t="str">
        <f t="shared" si="23"/>
        <v/>
      </c>
      <c r="AB117" s="5"/>
      <c r="AC117" s="5"/>
      <c r="AE117" t="str">
        <f>IFERROR(INDEX(EqTag,_xlfn.AGGREGATE(15,6,(ROW(EqTag)-4)/((EqSys=$D$3)*(EqTag&lt;&gt;"")),ROWS($AE$14:AE117))),"")</f>
        <v/>
      </c>
    </row>
    <row r="118" spans="1:31" ht="30" customHeight="1" x14ac:dyDescent="0.2">
      <c r="A118" s="19" t="str">
        <f>IF(F118="","",LEFT($D$3,3)&amp;"-"&amp;TEXT(COUNTIF(F$14:F118,"?*"),"00"))</f>
        <v/>
      </c>
      <c r="B118" s="5"/>
      <c r="C118" s="6" t="str">
        <f t="shared" si="18"/>
        <v/>
      </c>
      <c r="D118" s="5"/>
      <c r="E118" s="5"/>
      <c r="F118" s="5"/>
      <c r="G118" s="5"/>
      <c r="H118" s="5"/>
      <c r="I118" s="5"/>
      <c r="J118" s="5"/>
      <c r="K118" s="15"/>
      <c r="L118" s="5"/>
      <c r="M118" s="15"/>
      <c r="N118" s="5"/>
      <c r="O118" s="15"/>
      <c r="P118" s="19" t="str">
        <f t="shared" si="19"/>
        <v/>
      </c>
      <c r="Q118" s="19" t="str">
        <f t="shared" si="20"/>
        <v/>
      </c>
      <c r="R118" s="19" t="str">
        <f t="shared" si="21"/>
        <v/>
      </c>
      <c r="S118" s="5"/>
      <c r="T118" s="5"/>
      <c r="U118" s="5"/>
      <c r="V118" s="24"/>
      <c r="W118" s="15"/>
      <c r="X118" s="15"/>
      <c r="Y118" s="15"/>
      <c r="Z118" s="19" t="str">
        <f t="shared" si="22"/>
        <v/>
      </c>
      <c r="AA118" s="19" t="str">
        <f t="shared" si="23"/>
        <v/>
      </c>
      <c r="AB118" s="5"/>
      <c r="AC118" s="5"/>
      <c r="AE118" t="str">
        <f>IFERROR(INDEX(EqTag,_xlfn.AGGREGATE(15,6,(ROW(EqTag)-4)/((EqSys=$D$3)*(EqTag&lt;&gt;"")),ROWS($AE$14:AE118))),"")</f>
        <v/>
      </c>
    </row>
    <row r="119" spans="1:31" ht="30" customHeight="1" x14ac:dyDescent="0.2">
      <c r="A119" s="19" t="str">
        <f>IF(F119="","",LEFT($D$3,3)&amp;"-"&amp;TEXT(COUNTIF(F$14:F119,"?*"),"00"))</f>
        <v/>
      </c>
      <c r="B119" s="5"/>
      <c r="C119" s="6" t="str">
        <f t="shared" si="18"/>
        <v/>
      </c>
      <c r="D119" s="5"/>
      <c r="E119" s="5"/>
      <c r="F119" s="5"/>
      <c r="G119" s="5"/>
      <c r="H119" s="5"/>
      <c r="I119" s="5"/>
      <c r="J119" s="5"/>
      <c r="K119" s="15"/>
      <c r="L119" s="5"/>
      <c r="M119" s="15"/>
      <c r="N119" s="5"/>
      <c r="O119" s="15"/>
      <c r="P119" s="19" t="str">
        <f t="shared" si="19"/>
        <v/>
      </c>
      <c r="Q119" s="19" t="str">
        <f t="shared" si="20"/>
        <v/>
      </c>
      <c r="R119" s="19" t="str">
        <f t="shared" si="21"/>
        <v/>
      </c>
      <c r="S119" s="5"/>
      <c r="T119" s="5"/>
      <c r="U119" s="5"/>
      <c r="V119" s="24"/>
      <c r="W119" s="15"/>
      <c r="X119" s="15"/>
      <c r="Y119" s="15"/>
      <c r="Z119" s="19" t="str">
        <f t="shared" si="22"/>
        <v/>
      </c>
      <c r="AA119" s="19" t="str">
        <f t="shared" si="23"/>
        <v/>
      </c>
      <c r="AB119" s="5"/>
      <c r="AC119" s="5"/>
      <c r="AE119" t="str">
        <f>IFERROR(INDEX(EqTag,_xlfn.AGGREGATE(15,6,(ROW(EqTag)-4)/((EqSys=$D$3)*(EqTag&lt;&gt;"")),ROWS($AE$14:AE119))),"")</f>
        <v/>
      </c>
    </row>
    <row r="120" spans="1:31" ht="30" customHeight="1" x14ac:dyDescent="0.2">
      <c r="A120" s="19" t="str">
        <f>IF(F120="","",LEFT($D$3,3)&amp;"-"&amp;TEXT(COUNTIF(F$14:F120,"?*"),"00"))</f>
        <v/>
      </c>
      <c r="B120" s="5"/>
      <c r="C120" s="6" t="str">
        <f t="shared" si="18"/>
        <v/>
      </c>
      <c r="D120" s="5"/>
      <c r="E120" s="5"/>
      <c r="F120" s="5"/>
      <c r="G120" s="5"/>
      <c r="H120" s="5"/>
      <c r="I120" s="5"/>
      <c r="J120" s="5"/>
      <c r="K120" s="15"/>
      <c r="L120" s="5"/>
      <c r="M120" s="15"/>
      <c r="N120" s="5"/>
      <c r="O120" s="15"/>
      <c r="P120" s="19" t="str">
        <f t="shared" si="19"/>
        <v/>
      </c>
      <c r="Q120" s="19" t="str">
        <f t="shared" si="20"/>
        <v/>
      </c>
      <c r="R120" s="19" t="str">
        <f t="shared" si="21"/>
        <v/>
      </c>
      <c r="S120" s="5"/>
      <c r="T120" s="5"/>
      <c r="U120" s="5"/>
      <c r="V120" s="24"/>
      <c r="W120" s="15"/>
      <c r="X120" s="15"/>
      <c r="Y120" s="15"/>
      <c r="Z120" s="19" t="str">
        <f t="shared" si="22"/>
        <v/>
      </c>
      <c r="AA120" s="19" t="str">
        <f t="shared" si="23"/>
        <v/>
      </c>
      <c r="AB120" s="5"/>
      <c r="AC120" s="5"/>
      <c r="AE120" t="str">
        <f>IFERROR(INDEX(EqTag,_xlfn.AGGREGATE(15,6,(ROW(EqTag)-4)/((EqSys=$D$3)*(EqTag&lt;&gt;"")),ROWS($AE$14:AE120))),"")</f>
        <v/>
      </c>
    </row>
    <row r="121" spans="1:31" ht="30" customHeight="1" x14ac:dyDescent="0.2">
      <c r="A121" s="19" t="str">
        <f>IF(F121="","",LEFT($D$3,3)&amp;"-"&amp;TEXT(COUNTIF(F$14:F121,"?*"),"00"))</f>
        <v/>
      </c>
      <c r="B121" s="5"/>
      <c r="C121" s="6" t="str">
        <f t="shared" si="18"/>
        <v/>
      </c>
      <c r="D121" s="5"/>
      <c r="E121" s="5"/>
      <c r="F121" s="5"/>
      <c r="G121" s="5"/>
      <c r="H121" s="5"/>
      <c r="I121" s="5"/>
      <c r="J121" s="5"/>
      <c r="K121" s="15"/>
      <c r="L121" s="5"/>
      <c r="M121" s="15"/>
      <c r="N121" s="5"/>
      <c r="O121" s="15"/>
      <c r="P121" s="19" t="str">
        <f t="shared" si="19"/>
        <v/>
      </c>
      <c r="Q121" s="19" t="str">
        <f t="shared" si="20"/>
        <v/>
      </c>
      <c r="R121" s="19" t="str">
        <f t="shared" si="21"/>
        <v/>
      </c>
      <c r="S121" s="5"/>
      <c r="T121" s="5"/>
      <c r="U121" s="5"/>
      <c r="V121" s="24"/>
      <c r="W121" s="15"/>
      <c r="X121" s="15"/>
      <c r="Y121" s="15"/>
      <c r="Z121" s="19" t="str">
        <f t="shared" si="22"/>
        <v/>
      </c>
      <c r="AA121" s="19" t="str">
        <f t="shared" si="23"/>
        <v/>
      </c>
      <c r="AB121" s="5"/>
      <c r="AC121" s="5"/>
      <c r="AE121" t="str">
        <f>IFERROR(INDEX(EqTag,_xlfn.AGGREGATE(15,6,(ROW(EqTag)-4)/((EqSys=$D$3)*(EqTag&lt;&gt;"")),ROWS($AE$14:AE121))),"")</f>
        <v/>
      </c>
    </row>
    <row r="122" spans="1:31" ht="30" customHeight="1" x14ac:dyDescent="0.2">
      <c r="A122" s="19" t="str">
        <f>IF(F122="","",LEFT($D$3,3)&amp;"-"&amp;TEXT(COUNTIF(F$14:F122,"?*"),"00"))</f>
        <v/>
      </c>
      <c r="B122" s="5"/>
      <c r="C122" s="6" t="str">
        <f t="shared" si="18"/>
        <v/>
      </c>
      <c r="D122" s="5"/>
      <c r="E122" s="5"/>
      <c r="F122" s="5"/>
      <c r="G122" s="5"/>
      <c r="H122" s="5"/>
      <c r="I122" s="5"/>
      <c r="J122" s="5"/>
      <c r="K122" s="15"/>
      <c r="L122" s="5"/>
      <c r="M122" s="15"/>
      <c r="N122" s="5"/>
      <c r="O122" s="15"/>
      <c r="P122" s="19" t="str">
        <f t="shared" si="19"/>
        <v/>
      </c>
      <c r="Q122" s="19" t="str">
        <f t="shared" si="20"/>
        <v/>
      </c>
      <c r="R122" s="19" t="str">
        <f t="shared" si="21"/>
        <v/>
      </c>
      <c r="S122" s="5"/>
      <c r="T122" s="5"/>
      <c r="U122" s="5"/>
      <c r="V122" s="24"/>
      <c r="W122" s="15"/>
      <c r="X122" s="15"/>
      <c r="Y122" s="15"/>
      <c r="Z122" s="19" t="str">
        <f t="shared" si="22"/>
        <v/>
      </c>
      <c r="AA122" s="19" t="str">
        <f t="shared" si="23"/>
        <v/>
      </c>
      <c r="AB122" s="5"/>
      <c r="AC122" s="5"/>
      <c r="AE122" t="str">
        <f>IFERROR(INDEX(EqTag,_xlfn.AGGREGATE(15,6,(ROW(EqTag)-4)/((EqSys=$D$3)*(EqTag&lt;&gt;"")),ROWS($AE$14:AE122))),"")</f>
        <v/>
      </c>
    </row>
    <row r="123" spans="1:31" ht="30" customHeight="1" x14ac:dyDescent="0.2">
      <c r="A123" s="19" t="str">
        <f>IF(F123="","",LEFT($D$3,3)&amp;"-"&amp;TEXT(COUNTIF(F$14:F123,"?*"),"00"))</f>
        <v/>
      </c>
      <c r="B123" s="5"/>
      <c r="C123" s="6" t="str">
        <f t="shared" si="18"/>
        <v/>
      </c>
      <c r="D123" s="5"/>
      <c r="E123" s="5"/>
      <c r="F123" s="5"/>
      <c r="G123" s="5"/>
      <c r="H123" s="5"/>
      <c r="I123" s="5"/>
      <c r="J123" s="5"/>
      <c r="K123" s="15"/>
      <c r="L123" s="5"/>
      <c r="M123" s="15"/>
      <c r="N123" s="5"/>
      <c r="O123" s="15"/>
      <c r="P123" s="19" t="str">
        <f t="shared" si="19"/>
        <v/>
      </c>
      <c r="Q123" s="19" t="str">
        <f t="shared" si="20"/>
        <v/>
      </c>
      <c r="R123" s="19" t="str">
        <f t="shared" si="21"/>
        <v/>
      </c>
      <c r="S123" s="5"/>
      <c r="T123" s="5"/>
      <c r="U123" s="5"/>
      <c r="V123" s="24"/>
      <c r="W123" s="15"/>
      <c r="X123" s="15"/>
      <c r="Y123" s="15"/>
      <c r="Z123" s="19" t="str">
        <f t="shared" si="22"/>
        <v/>
      </c>
      <c r="AA123" s="19" t="str">
        <f t="shared" si="23"/>
        <v/>
      </c>
      <c r="AB123" s="5"/>
      <c r="AC123" s="5"/>
      <c r="AE123" t="str">
        <f>IFERROR(INDEX(EqTag,_xlfn.AGGREGATE(15,6,(ROW(EqTag)-4)/((EqSys=$D$3)*(EqTag&lt;&gt;"")),ROWS($AE$14:AE123))),"")</f>
        <v/>
      </c>
    </row>
    <row r="124" spans="1:31" ht="30" customHeight="1" x14ac:dyDescent="0.2">
      <c r="A124" s="19" t="str">
        <f>IF(F124="","",LEFT($D$3,3)&amp;"-"&amp;TEXT(COUNTIF(F$14:F124,"?*"),"00"))</f>
        <v/>
      </c>
      <c r="B124" s="5"/>
      <c r="C124" s="6" t="str">
        <f t="shared" si="18"/>
        <v/>
      </c>
      <c r="D124" s="5"/>
      <c r="E124" s="5"/>
      <c r="F124" s="5"/>
      <c r="G124" s="5"/>
      <c r="H124" s="5"/>
      <c r="I124" s="5"/>
      <c r="J124" s="5"/>
      <c r="K124" s="15"/>
      <c r="L124" s="5"/>
      <c r="M124" s="15"/>
      <c r="N124" s="5"/>
      <c r="O124" s="15"/>
      <c r="P124" s="19" t="str">
        <f t="shared" si="19"/>
        <v/>
      </c>
      <c r="Q124" s="19" t="str">
        <f t="shared" si="20"/>
        <v/>
      </c>
      <c r="R124" s="19" t="str">
        <f t="shared" si="21"/>
        <v/>
      </c>
      <c r="S124" s="5"/>
      <c r="T124" s="5"/>
      <c r="U124" s="5"/>
      <c r="V124" s="24"/>
      <c r="W124" s="15"/>
      <c r="X124" s="15"/>
      <c r="Y124" s="15"/>
      <c r="Z124" s="19" t="str">
        <f t="shared" si="22"/>
        <v/>
      </c>
      <c r="AA124" s="19" t="str">
        <f t="shared" si="23"/>
        <v/>
      </c>
      <c r="AB124" s="5"/>
      <c r="AC124" s="5"/>
      <c r="AE124" t="str">
        <f>IFERROR(INDEX(EqTag,_xlfn.AGGREGATE(15,6,(ROW(EqTag)-4)/((EqSys=$D$3)*(EqTag&lt;&gt;"")),ROWS($AE$14:AE124))),"")</f>
        <v/>
      </c>
    </row>
    <row r="125" spans="1:31" ht="30" customHeight="1" x14ac:dyDescent="0.2">
      <c r="A125" s="19" t="str">
        <f>IF(F125="","",LEFT($D$3,3)&amp;"-"&amp;TEXT(COUNTIF(F$14:F125,"?*"),"00"))</f>
        <v/>
      </c>
      <c r="B125" s="5"/>
      <c r="C125" s="6" t="str">
        <f t="shared" si="18"/>
        <v/>
      </c>
      <c r="D125" s="5"/>
      <c r="E125" s="5"/>
      <c r="F125" s="5"/>
      <c r="G125" s="5"/>
      <c r="H125" s="5"/>
      <c r="I125" s="5"/>
      <c r="J125" s="5"/>
      <c r="K125" s="15"/>
      <c r="L125" s="5"/>
      <c r="M125" s="15"/>
      <c r="N125" s="5"/>
      <c r="O125" s="15"/>
      <c r="P125" s="19" t="str">
        <f t="shared" si="19"/>
        <v/>
      </c>
      <c r="Q125" s="19" t="str">
        <f t="shared" si="20"/>
        <v/>
      </c>
      <c r="R125" s="19" t="str">
        <f t="shared" si="21"/>
        <v/>
      </c>
      <c r="S125" s="5"/>
      <c r="T125" s="5"/>
      <c r="U125" s="5"/>
      <c r="V125" s="24"/>
      <c r="W125" s="15"/>
      <c r="X125" s="15"/>
      <c r="Y125" s="15"/>
      <c r="Z125" s="19" t="str">
        <f t="shared" si="22"/>
        <v/>
      </c>
      <c r="AA125" s="19" t="str">
        <f t="shared" si="23"/>
        <v/>
      </c>
      <c r="AB125" s="5"/>
      <c r="AC125" s="5"/>
      <c r="AE125" t="str">
        <f>IFERROR(INDEX(EqTag,_xlfn.AGGREGATE(15,6,(ROW(EqTag)-4)/((EqSys=$D$3)*(EqTag&lt;&gt;"")),ROWS($AE$14:AE125))),"")</f>
        <v/>
      </c>
    </row>
    <row r="126" spans="1:31" ht="30" customHeight="1" x14ac:dyDescent="0.2">
      <c r="A126" s="19" t="str">
        <f>IF(F126="","",LEFT($D$3,3)&amp;"-"&amp;TEXT(COUNTIF(F$14:F126,"?*"),"00"))</f>
        <v/>
      </c>
      <c r="B126" s="5"/>
      <c r="C126" s="6" t="str">
        <f t="shared" si="18"/>
        <v/>
      </c>
      <c r="D126" s="5"/>
      <c r="E126" s="5"/>
      <c r="F126" s="5"/>
      <c r="G126" s="5"/>
      <c r="H126" s="5"/>
      <c r="I126" s="5"/>
      <c r="J126" s="5"/>
      <c r="K126" s="15"/>
      <c r="L126" s="5"/>
      <c r="M126" s="15"/>
      <c r="N126" s="5"/>
      <c r="O126" s="15"/>
      <c r="P126" s="19" t="str">
        <f t="shared" si="19"/>
        <v/>
      </c>
      <c r="Q126" s="19" t="str">
        <f t="shared" si="20"/>
        <v/>
      </c>
      <c r="R126" s="19" t="str">
        <f t="shared" si="21"/>
        <v/>
      </c>
      <c r="S126" s="5"/>
      <c r="T126" s="5"/>
      <c r="U126" s="5"/>
      <c r="V126" s="24"/>
      <c r="W126" s="15"/>
      <c r="X126" s="15"/>
      <c r="Y126" s="15"/>
      <c r="Z126" s="19" t="str">
        <f t="shared" si="22"/>
        <v/>
      </c>
      <c r="AA126" s="19" t="str">
        <f t="shared" si="23"/>
        <v/>
      </c>
      <c r="AB126" s="5"/>
      <c r="AC126" s="5"/>
      <c r="AE126" t="str">
        <f>IFERROR(INDEX(EqTag,_xlfn.AGGREGATE(15,6,(ROW(EqTag)-4)/((EqSys=$D$3)*(EqTag&lt;&gt;"")),ROWS($AE$14:AE126))),"")</f>
        <v/>
      </c>
    </row>
    <row r="127" spans="1:31" ht="30" customHeight="1" x14ac:dyDescent="0.2">
      <c r="A127" s="19" t="str">
        <f>IF(F127="","",LEFT($D$3,3)&amp;"-"&amp;TEXT(COUNTIF(F$14:F127,"?*"),"00"))</f>
        <v/>
      </c>
      <c r="B127" s="5"/>
      <c r="C127" s="6" t="str">
        <f t="shared" si="18"/>
        <v/>
      </c>
      <c r="D127" s="5"/>
      <c r="E127" s="5"/>
      <c r="F127" s="5"/>
      <c r="G127" s="5"/>
      <c r="H127" s="5"/>
      <c r="I127" s="5"/>
      <c r="J127" s="5"/>
      <c r="K127" s="15"/>
      <c r="L127" s="5"/>
      <c r="M127" s="15"/>
      <c r="N127" s="5"/>
      <c r="O127" s="15"/>
      <c r="P127" s="19" t="str">
        <f t="shared" si="19"/>
        <v/>
      </c>
      <c r="Q127" s="19" t="str">
        <f t="shared" si="20"/>
        <v/>
      </c>
      <c r="R127" s="19" t="str">
        <f t="shared" si="21"/>
        <v/>
      </c>
      <c r="S127" s="5"/>
      <c r="T127" s="5"/>
      <c r="U127" s="5"/>
      <c r="V127" s="24"/>
      <c r="W127" s="15"/>
      <c r="X127" s="15"/>
      <c r="Y127" s="15"/>
      <c r="Z127" s="19" t="str">
        <f t="shared" si="22"/>
        <v/>
      </c>
      <c r="AA127" s="19" t="str">
        <f t="shared" si="23"/>
        <v/>
      </c>
      <c r="AB127" s="5"/>
      <c r="AC127" s="5"/>
      <c r="AE127" t="str">
        <f>IFERROR(INDEX(EqTag,_xlfn.AGGREGATE(15,6,(ROW(EqTag)-4)/((EqSys=$D$3)*(EqTag&lt;&gt;"")),ROWS($AE$14:AE127))),"")</f>
        <v/>
      </c>
    </row>
    <row r="128" spans="1:31" ht="30" customHeight="1" x14ac:dyDescent="0.2">
      <c r="A128" s="19" t="str">
        <f>IF(F128="","",LEFT($D$3,3)&amp;"-"&amp;TEXT(COUNTIF(F$14:F128,"?*"),"00"))</f>
        <v/>
      </c>
      <c r="B128" s="5"/>
      <c r="C128" s="6" t="str">
        <f t="shared" si="18"/>
        <v/>
      </c>
      <c r="D128" s="5"/>
      <c r="E128" s="5"/>
      <c r="F128" s="5"/>
      <c r="G128" s="5"/>
      <c r="H128" s="5"/>
      <c r="I128" s="5"/>
      <c r="J128" s="5"/>
      <c r="K128" s="15"/>
      <c r="L128" s="5"/>
      <c r="M128" s="15"/>
      <c r="N128" s="5"/>
      <c r="O128" s="15"/>
      <c r="P128" s="19" t="str">
        <f t="shared" si="19"/>
        <v/>
      </c>
      <c r="Q128" s="19" t="str">
        <f t="shared" si="20"/>
        <v/>
      </c>
      <c r="R128" s="19" t="str">
        <f t="shared" si="21"/>
        <v/>
      </c>
      <c r="S128" s="5"/>
      <c r="T128" s="5"/>
      <c r="U128" s="5"/>
      <c r="V128" s="24"/>
      <c r="W128" s="15"/>
      <c r="X128" s="15"/>
      <c r="Y128" s="15"/>
      <c r="Z128" s="19" t="str">
        <f t="shared" si="22"/>
        <v/>
      </c>
      <c r="AA128" s="19" t="str">
        <f t="shared" si="23"/>
        <v/>
      </c>
      <c r="AB128" s="5"/>
      <c r="AC128" s="5"/>
      <c r="AE128" t="str">
        <f>IFERROR(INDEX(EqTag,_xlfn.AGGREGATE(15,6,(ROW(EqTag)-4)/((EqSys=$D$3)*(EqTag&lt;&gt;"")),ROWS($AE$14:AE128))),"")</f>
        <v/>
      </c>
    </row>
    <row r="129" spans="1:31" ht="30" customHeight="1" x14ac:dyDescent="0.2">
      <c r="A129" s="19" t="str">
        <f>IF(F129="","",LEFT($D$3,3)&amp;"-"&amp;TEXT(COUNTIF(F$14:F129,"?*"),"00"))</f>
        <v/>
      </c>
      <c r="B129" s="5"/>
      <c r="C129" s="6" t="str">
        <f t="shared" si="18"/>
        <v/>
      </c>
      <c r="D129" s="5"/>
      <c r="E129" s="5"/>
      <c r="F129" s="5"/>
      <c r="G129" s="5"/>
      <c r="H129" s="5"/>
      <c r="I129" s="5"/>
      <c r="J129" s="5"/>
      <c r="K129" s="15"/>
      <c r="L129" s="5"/>
      <c r="M129" s="15"/>
      <c r="N129" s="5"/>
      <c r="O129" s="15"/>
      <c r="P129" s="19" t="str">
        <f t="shared" si="19"/>
        <v/>
      </c>
      <c r="Q129" s="19" t="str">
        <f t="shared" si="20"/>
        <v/>
      </c>
      <c r="R129" s="19" t="str">
        <f t="shared" si="21"/>
        <v/>
      </c>
      <c r="S129" s="5"/>
      <c r="T129" s="5"/>
      <c r="U129" s="5"/>
      <c r="V129" s="24"/>
      <c r="W129" s="15"/>
      <c r="X129" s="15"/>
      <c r="Y129" s="15"/>
      <c r="Z129" s="19" t="str">
        <f t="shared" si="22"/>
        <v/>
      </c>
      <c r="AA129" s="19" t="str">
        <f t="shared" si="23"/>
        <v/>
      </c>
      <c r="AB129" s="5"/>
      <c r="AC129" s="5"/>
      <c r="AE129" t="str">
        <f>IFERROR(INDEX(EqTag,_xlfn.AGGREGATE(15,6,(ROW(EqTag)-4)/((EqSys=$D$3)*(EqTag&lt;&gt;"")),ROWS($AE$14:AE129))),"")</f>
        <v/>
      </c>
    </row>
    <row r="130" spans="1:31" ht="30" customHeight="1" x14ac:dyDescent="0.2">
      <c r="A130" s="19" t="str">
        <f>IF(F130="","",LEFT($D$3,3)&amp;"-"&amp;TEXT(COUNTIF(F$14:F130,"?*"),"00"))</f>
        <v/>
      </c>
      <c r="B130" s="5"/>
      <c r="C130" s="6" t="str">
        <f t="shared" si="18"/>
        <v/>
      </c>
      <c r="D130" s="5"/>
      <c r="E130" s="5"/>
      <c r="F130" s="5"/>
      <c r="G130" s="5"/>
      <c r="H130" s="5"/>
      <c r="I130" s="5"/>
      <c r="J130" s="5"/>
      <c r="K130" s="15"/>
      <c r="L130" s="5"/>
      <c r="M130" s="15"/>
      <c r="N130" s="5"/>
      <c r="O130" s="15"/>
      <c r="P130" s="19" t="str">
        <f t="shared" si="19"/>
        <v/>
      </c>
      <c r="Q130" s="19" t="str">
        <f t="shared" si="20"/>
        <v/>
      </c>
      <c r="R130" s="19" t="str">
        <f t="shared" si="21"/>
        <v/>
      </c>
      <c r="S130" s="5"/>
      <c r="T130" s="5"/>
      <c r="U130" s="5"/>
      <c r="V130" s="24"/>
      <c r="W130" s="15"/>
      <c r="X130" s="15"/>
      <c r="Y130" s="15"/>
      <c r="Z130" s="19" t="str">
        <f t="shared" si="22"/>
        <v/>
      </c>
      <c r="AA130" s="19" t="str">
        <f t="shared" si="23"/>
        <v/>
      </c>
      <c r="AB130" s="5"/>
      <c r="AC130" s="5"/>
      <c r="AE130" t="str">
        <f>IFERROR(INDEX(EqTag,_xlfn.AGGREGATE(15,6,(ROW(EqTag)-4)/((EqSys=$D$3)*(EqTag&lt;&gt;"")),ROWS($AE$14:AE130))),"")</f>
        <v/>
      </c>
    </row>
    <row r="131" spans="1:31" ht="30" customHeight="1" x14ac:dyDescent="0.2">
      <c r="A131" s="19" t="str">
        <f>IF(F131="","",LEFT($D$3,3)&amp;"-"&amp;TEXT(COUNTIF(F$14:F131,"?*"),"00"))</f>
        <v/>
      </c>
      <c r="B131" s="5"/>
      <c r="C131" s="6" t="str">
        <f t="shared" si="18"/>
        <v/>
      </c>
      <c r="D131" s="5"/>
      <c r="E131" s="5"/>
      <c r="F131" s="5"/>
      <c r="G131" s="5"/>
      <c r="H131" s="5"/>
      <c r="I131" s="5"/>
      <c r="J131" s="5"/>
      <c r="K131" s="15"/>
      <c r="L131" s="5"/>
      <c r="M131" s="15"/>
      <c r="N131" s="5"/>
      <c r="O131" s="15"/>
      <c r="P131" s="19" t="str">
        <f t="shared" si="19"/>
        <v/>
      </c>
      <c r="Q131" s="19" t="str">
        <f t="shared" si="20"/>
        <v/>
      </c>
      <c r="R131" s="19" t="str">
        <f t="shared" si="21"/>
        <v/>
      </c>
      <c r="S131" s="5"/>
      <c r="T131" s="5"/>
      <c r="U131" s="5"/>
      <c r="V131" s="24"/>
      <c r="W131" s="15"/>
      <c r="X131" s="15"/>
      <c r="Y131" s="15"/>
      <c r="Z131" s="19" t="str">
        <f t="shared" si="22"/>
        <v/>
      </c>
      <c r="AA131" s="19" t="str">
        <f t="shared" si="23"/>
        <v/>
      </c>
      <c r="AB131" s="5"/>
      <c r="AC131" s="5"/>
      <c r="AE131" t="str">
        <f>IFERROR(INDEX(EqTag,_xlfn.AGGREGATE(15,6,(ROW(EqTag)-4)/((EqSys=$D$3)*(EqTag&lt;&gt;"")),ROWS($AE$14:AE131))),"")</f>
        <v/>
      </c>
    </row>
    <row r="132" spans="1:31" ht="30" customHeight="1" x14ac:dyDescent="0.2">
      <c r="A132" s="19" t="str">
        <f>IF(F132="","",LEFT($D$3,3)&amp;"-"&amp;TEXT(COUNTIF(F$14:F132,"?*"),"00"))</f>
        <v/>
      </c>
      <c r="B132" s="5"/>
      <c r="C132" s="6" t="str">
        <f t="shared" si="18"/>
        <v/>
      </c>
      <c r="D132" s="5"/>
      <c r="E132" s="5"/>
      <c r="F132" s="5"/>
      <c r="G132" s="5"/>
      <c r="H132" s="5"/>
      <c r="I132" s="5"/>
      <c r="J132" s="5"/>
      <c r="K132" s="15"/>
      <c r="L132" s="5"/>
      <c r="M132" s="15"/>
      <c r="N132" s="5"/>
      <c r="O132" s="15"/>
      <c r="P132" s="19" t="str">
        <f t="shared" si="19"/>
        <v/>
      </c>
      <c r="Q132" s="19" t="str">
        <f t="shared" si="20"/>
        <v/>
      </c>
      <c r="R132" s="19" t="str">
        <f t="shared" si="21"/>
        <v/>
      </c>
      <c r="S132" s="5"/>
      <c r="T132" s="5"/>
      <c r="U132" s="5"/>
      <c r="V132" s="24"/>
      <c r="W132" s="15"/>
      <c r="X132" s="15"/>
      <c r="Y132" s="15"/>
      <c r="Z132" s="19" t="str">
        <f t="shared" si="22"/>
        <v/>
      </c>
      <c r="AA132" s="19" t="str">
        <f t="shared" si="23"/>
        <v/>
      </c>
      <c r="AB132" s="5"/>
      <c r="AC132" s="5"/>
      <c r="AE132" t="str">
        <f>IFERROR(INDEX(EqTag,_xlfn.AGGREGATE(15,6,(ROW(EqTag)-4)/((EqSys=$D$3)*(EqTag&lt;&gt;"")),ROWS($AE$14:AE132))),"")</f>
        <v/>
      </c>
    </row>
    <row r="133" spans="1:31" ht="30" customHeight="1" x14ac:dyDescent="0.2">
      <c r="A133" s="19" t="str">
        <f>IF(F133="","",LEFT($D$3,3)&amp;"-"&amp;TEXT(COUNTIF(F$14:F133,"?*"),"00"))</f>
        <v/>
      </c>
      <c r="B133" s="5"/>
      <c r="C133" s="6" t="str">
        <f t="shared" si="18"/>
        <v/>
      </c>
      <c r="D133" s="5"/>
      <c r="E133" s="5"/>
      <c r="F133" s="5"/>
      <c r="G133" s="5"/>
      <c r="H133" s="5"/>
      <c r="I133" s="5"/>
      <c r="J133" s="5"/>
      <c r="K133" s="15"/>
      <c r="L133" s="5"/>
      <c r="M133" s="15"/>
      <c r="N133" s="5"/>
      <c r="O133" s="15"/>
      <c r="P133" s="19" t="str">
        <f t="shared" si="19"/>
        <v/>
      </c>
      <c r="Q133" s="19" t="str">
        <f t="shared" si="20"/>
        <v/>
      </c>
      <c r="R133" s="19" t="str">
        <f t="shared" si="21"/>
        <v/>
      </c>
      <c r="S133" s="5"/>
      <c r="T133" s="5"/>
      <c r="U133" s="5"/>
      <c r="V133" s="24"/>
      <c r="W133" s="15"/>
      <c r="X133" s="15"/>
      <c r="Y133" s="15"/>
      <c r="Z133" s="19" t="str">
        <f t="shared" si="22"/>
        <v/>
      </c>
      <c r="AA133" s="19" t="str">
        <f t="shared" si="23"/>
        <v/>
      </c>
      <c r="AB133" s="5"/>
      <c r="AC133" s="5"/>
      <c r="AE133" t="str">
        <f>IFERROR(INDEX(EqTag,_xlfn.AGGREGATE(15,6,(ROW(EqTag)-4)/((EqSys=$D$3)*(EqTag&lt;&gt;"")),ROWS($AE$14:AE133))),"")</f>
        <v/>
      </c>
    </row>
    <row r="134" spans="1:31" ht="30" customHeight="1" x14ac:dyDescent="0.2">
      <c r="A134" s="19" t="str">
        <f>IF(F134="","",LEFT($D$3,3)&amp;"-"&amp;TEXT(COUNTIF(F$14:F134,"?*"),"00"))</f>
        <v/>
      </c>
      <c r="B134" s="5"/>
      <c r="C134" s="6" t="str">
        <f t="shared" si="18"/>
        <v/>
      </c>
      <c r="D134" s="5"/>
      <c r="E134" s="5"/>
      <c r="F134" s="5"/>
      <c r="G134" s="5"/>
      <c r="H134" s="5"/>
      <c r="I134" s="5"/>
      <c r="J134" s="5"/>
      <c r="K134" s="15"/>
      <c r="L134" s="5"/>
      <c r="M134" s="15"/>
      <c r="N134" s="5"/>
      <c r="O134" s="15"/>
      <c r="P134" s="19" t="str">
        <f t="shared" si="19"/>
        <v/>
      </c>
      <c r="Q134" s="19" t="str">
        <f t="shared" si="20"/>
        <v/>
      </c>
      <c r="R134" s="19" t="str">
        <f t="shared" si="21"/>
        <v/>
      </c>
      <c r="S134" s="5"/>
      <c r="T134" s="5"/>
      <c r="U134" s="5"/>
      <c r="V134" s="24"/>
      <c r="W134" s="15"/>
      <c r="X134" s="15"/>
      <c r="Y134" s="15"/>
      <c r="Z134" s="19" t="str">
        <f t="shared" si="22"/>
        <v/>
      </c>
      <c r="AA134" s="19" t="str">
        <f t="shared" si="23"/>
        <v/>
      </c>
      <c r="AB134" s="5"/>
      <c r="AC134" s="5"/>
      <c r="AE134" t="str">
        <f>IFERROR(INDEX(EqTag,_xlfn.AGGREGATE(15,6,(ROW(EqTag)-4)/((EqSys=$D$3)*(EqTag&lt;&gt;"")),ROWS($AE$14:AE134))),"")</f>
        <v/>
      </c>
    </row>
    <row r="135" spans="1:31" ht="30" customHeight="1" x14ac:dyDescent="0.2">
      <c r="A135" s="19" t="str">
        <f>IF(F135="","",LEFT($D$3,3)&amp;"-"&amp;TEXT(COUNTIF(F$14:F135,"?*"),"00"))</f>
        <v/>
      </c>
      <c r="B135" s="5"/>
      <c r="C135" s="6" t="str">
        <f t="shared" si="18"/>
        <v/>
      </c>
      <c r="D135" s="5"/>
      <c r="E135" s="5"/>
      <c r="F135" s="5"/>
      <c r="G135" s="5"/>
      <c r="H135" s="5"/>
      <c r="I135" s="5"/>
      <c r="J135" s="5"/>
      <c r="K135" s="15"/>
      <c r="L135" s="5"/>
      <c r="M135" s="15"/>
      <c r="N135" s="5"/>
      <c r="O135" s="15"/>
      <c r="P135" s="19" t="str">
        <f t="shared" si="19"/>
        <v/>
      </c>
      <c r="Q135" s="19" t="str">
        <f t="shared" si="20"/>
        <v/>
      </c>
      <c r="R135" s="19" t="str">
        <f t="shared" si="21"/>
        <v/>
      </c>
      <c r="S135" s="5"/>
      <c r="T135" s="5"/>
      <c r="U135" s="5"/>
      <c r="V135" s="24"/>
      <c r="W135" s="15"/>
      <c r="X135" s="15"/>
      <c r="Y135" s="15"/>
      <c r="Z135" s="19" t="str">
        <f t="shared" si="22"/>
        <v/>
      </c>
      <c r="AA135" s="19" t="str">
        <f t="shared" si="23"/>
        <v/>
      </c>
      <c r="AB135" s="5"/>
      <c r="AC135" s="5"/>
      <c r="AE135" t="str">
        <f>IFERROR(INDEX(EqTag,_xlfn.AGGREGATE(15,6,(ROW(EqTag)-4)/((EqSys=$D$3)*(EqTag&lt;&gt;"")),ROWS($AE$14:AE135))),"")</f>
        <v/>
      </c>
    </row>
    <row r="136" spans="1:31" ht="30" customHeight="1" x14ac:dyDescent="0.2">
      <c r="A136" s="19" t="str">
        <f>IF(F136="","",LEFT($D$3,3)&amp;"-"&amp;TEXT(COUNTIF(F$14:F136,"?*"),"00"))</f>
        <v/>
      </c>
      <c r="B136" s="5"/>
      <c r="C136" s="6" t="str">
        <f t="shared" si="18"/>
        <v/>
      </c>
      <c r="D136" s="5"/>
      <c r="E136" s="5"/>
      <c r="F136" s="5"/>
      <c r="G136" s="5"/>
      <c r="H136" s="5"/>
      <c r="I136" s="5"/>
      <c r="J136" s="5"/>
      <c r="K136" s="15"/>
      <c r="L136" s="5"/>
      <c r="M136" s="15"/>
      <c r="N136" s="5"/>
      <c r="O136" s="15"/>
      <c r="P136" s="19" t="str">
        <f t="shared" si="19"/>
        <v/>
      </c>
      <c r="Q136" s="19" t="str">
        <f t="shared" si="20"/>
        <v/>
      </c>
      <c r="R136" s="19" t="str">
        <f t="shared" si="21"/>
        <v/>
      </c>
      <c r="S136" s="5"/>
      <c r="T136" s="5"/>
      <c r="U136" s="5"/>
      <c r="V136" s="24"/>
      <c r="W136" s="15"/>
      <c r="X136" s="15"/>
      <c r="Y136" s="15"/>
      <c r="Z136" s="19" t="str">
        <f t="shared" si="22"/>
        <v/>
      </c>
      <c r="AA136" s="19" t="str">
        <f t="shared" si="23"/>
        <v/>
      </c>
      <c r="AB136" s="5"/>
      <c r="AC136" s="5"/>
      <c r="AE136" t="str">
        <f>IFERROR(INDEX(EqTag,_xlfn.AGGREGATE(15,6,(ROW(EqTag)-4)/((EqSys=$D$3)*(EqTag&lt;&gt;"")),ROWS($AE$14:AE136))),"")</f>
        <v/>
      </c>
    </row>
    <row r="137" spans="1:31" ht="30" customHeight="1" x14ac:dyDescent="0.2">
      <c r="A137" s="19" t="str">
        <f>IF(F137="","",LEFT($D$3,3)&amp;"-"&amp;TEXT(COUNTIF(F$14:F137,"?*"),"00"))</f>
        <v/>
      </c>
      <c r="B137" s="5"/>
      <c r="C137" s="6" t="str">
        <f t="shared" si="18"/>
        <v/>
      </c>
      <c r="D137" s="5"/>
      <c r="E137" s="5"/>
      <c r="F137" s="5"/>
      <c r="G137" s="5"/>
      <c r="H137" s="5"/>
      <c r="I137" s="5"/>
      <c r="J137" s="5"/>
      <c r="K137" s="15"/>
      <c r="L137" s="5"/>
      <c r="M137" s="15"/>
      <c r="N137" s="5"/>
      <c r="O137" s="15"/>
      <c r="P137" s="19" t="str">
        <f t="shared" si="19"/>
        <v/>
      </c>
      <c r="Q137" s="19" t="str">
        <f t="shared" si="20"/>
        <v/>
      </c>
      <c r="R137" s="19" t="str">
        <f t="shared" si="21"/>
        <v/>
      </c>
      <c r="S137" s="5"/>
      <c r="T137" s="5"/>
      <c r="U137" s="5"/>
      <c r="V137" s="24"/>
      <c r="W137" s="15"/>
      <c r="X137" s="15"/>
      <c r="Y137" s="15"/>
      <c r="Z137" s="19" t="str">
        <f t="shared" si="22"/>
        <v/>
      </c>
      <c r="AA137" s="19" t="str">
        <f t="shared" si="23"/>
        <v/>
      </c>
      <c r="AB137" s="5"/>
      <c r="AC137" s="5"/>
      <c r="AE137" t="str">
        <f>IFERROR(INDEX(EqTag,_xlfn.AGGREGATE(15,6,(ROW(EqTag)-4)/((EqSys=$D$3)*(EqTag&lt;&gt;"")),ROWS($AE$14:AE137))),"")</f>
        <v/>
      </c>
    </row>
    <row r="138" spans="1:31" ht="30" customHeight="1" x14ac:dyDescent="0.2">
      <c r="A138" s="19" t="str">
        <f>IF(F138="","",LEFT($D$3,3)&amp;"-"&amp;TEXT(COUNTIF(F$14:F138,"?*"),"00"))</f>
        <v/>
      </c>
      <c r="B138" s="5"/>
      <c r="C138" s="6" t="str">
        <f t="shared" si="18"/>
        <v/>
      </c>
      <c r="D138" s="5"/>
      <c r="E138" s="5"/>
      <c r="F138" s="5"/>
      <c r="G138" s="5"/>
      <c r="H138" s="5"/>
      <c r="I138" s="5"/>
      <c r="J138" s="5"/>
      <c r="K138" s="15"/>
      <c r="L138" s="5"/>
      <c r="M138" s="15"/>
      <c r="N138" s="5"/>
      <c r="O138" s="15"/>
      <c r="P138" s="19" t="str">
        <f t="shared" si="19"/>
        <v/>
      </c>
      <c r="Q138" s="19" t="str">
        <f t="shared" si="20"/>
        <v/>
      </c>
      <c r="R138" s="19" t="str">
        <f t="shared" si="21"/>
        <v/>
      </c>
      <c r="S138" s="5"/>
      <c r="T138" s="5"/>
      <c r="U138" s="5"/>
      <c r="V138" s="24"/>
      <c r="W138" s="15"/>
      <c r="X138" s="15"/>
      <c r="Y138" s="15"/>
      <c r="Z138" s="19" t="str">
        <f t="shared" si="22"/>
        <v/>
      </c>
      <c r="AA138" s="19" t="str">
        <f t="shared" si="23"/>
        <v/>
      </c>
      <c r="AB138" s="5"/>
      <c r="AC138" s="5"/>
      <c r="AE138" t="str">
        <f>IFERROR(INDEX(EqTag,_xlfn.AGGREGATE(15,6,(ROW(EqTag)-4)/((EqSys=$D$3)*(EqTag&lt;&gt;"")),ROWS($AE$14:AE138))),"")</f>
        <v/>
      </c>
    </row>
    <row r="139" spans="1:31" ht="30" customHeight="1" x14ac:dyDescent="0.2">
      <c r="A139" s="19" t="str">
        <f>IF(F139="","",LEFT($D$3,3)&amp;"-"&amp;TEXT(COUNTIF(F$14:F139,"?*"),"00"))</f>
        <v/>
      </c>
      <c r="B139" s="5"/>
      <c r="C139" s="6" t="str">
        <f t="shared" si="18"/>
        <v/>
      </c>
      <c r="D139" s="5"/>
      <c r="E139" s="5"/>
      <c r="F139" s="5"/>
      <c r="G139" s="5"/>
      <c r="H139" s="5"/>
      <c r="I139" s="5"/>
      <c r="J139" s="5"/>
      <c r="K139" s="15"/>
      <c r="L139" s="5"/>
      <c r="M139" s="15"/>
      <c r="N139" s="5"/>
      <c r="O139" s="15"/>
      <c r="P139" s="19" t="str">
        <f t="shared" si="19"/>
        <v/>
      </c>
      <c r="Q139" s="19" t="str">
        <f t="shared" si="20"/>
        <v/>
      </c>
      <c r="R139" s="19" t="str">
        <f t="shared" si="21"/>
        <v/>
      </c>
      <c r="S139" s="5"/>
      <c r="T139" s="5"/>
      <c r="U139" s="5"/>
      <c r="V139" s="24"/>
      <c r="W139" s="15"/>
      <c r="X139" s="15"/>
      <c r="Y139" s="15"/>
      <c r="Z139" s="19" t="str">
        <f t="shared" si="22"/>
        <v/>
      </c>
      <c r="AA139" s="19" t="str">
        <f t="shared" si="23"/>
        <v/>
      </c>
      <c r="AB139" s="5"/>
      <c r="AC139" s="5"/>
      <c r="AE139" t="str">
        <f>IFERROR(INDEX(EqTag,_xlfn.AGGREGATE(15,6,(ROW(EqTag)-4)/((EqSys=$D$3)*(EqTag&lt;&gt;"")),ROWS($AE$14:AE139))),"")</f>
        <v/>
      </c>
    </row>
    <row r="140" spans="1:31" ht="30" customHeight="1" x14ac:dyDescent="0.2">
      <c r="A140" s="19" t="str">
        <f>IF(F140="","",LEFT($D$3,3)&amp;"-"&amp;TEXT(COUNTIF(F$14:F140,"?*"),"00"))</f>
        <v/>
      </c>
      <c r="B140" s="5"/>
      <c r="C140" s="6" t="str">
        <f t="shared" si="18"/>
        <v/>
      </c>
      <c r="D140" s="5"/>
      <c r="E140" s="5"/>
      <c r="F140" s="5"/>
      <c r="G140" s="5"/>
      <c r="H140" s="5"/>
      <c r="I140" s="5"/>
      <c r="J140" s="5"/>
      <c r="K140" s="15"/>
      <c r="L140" s="5"/>
      <c r="M140" s="15"/>
      <c r="N140" s="5"/>
      <c r="O140" s="15"/>
      <c r="P140" s="19" t="str">
        <f t="shared" si="19"/>
        <v/>
      </c>
      <c r="Q140" s="19" t="str">
        <f t="shared" si="20"/>
        <v/>
      </c>
      <c r="R140" s="19" t="str">
        <f t="shared" si="21"/>
        <v/>
      </c>
      <c r="S140" s="5"/>
      <c r="T140" s="5"/>
      <c r="U140" s="5"/>
      <c r="V140" s="24"/>
      <c r="W140" s="15"/>
      <c r="X140" s="15"/>
      <c r="Y140" s="15"/>
      <c r="Z140" s="19" t="str">
        <f t="shared" si="22"/>
        <v/>
      </c>
      <c r="AA140" s="19" t="str">
        <f t="shared" si="23"/>
        <v/>
      </c>
      <c r="AB140" s="5"/>
      <c r="AC140" s="5"/>
      <c r="AE140" t="str">
        <f>IFERROR(INDEX(EqTag,_xlfn.AGGREGATE(15,6,(ROW(EqTag)-4)/((EqSys=$D$3)*(EqTag&lt;&gt;"")),ROWS($AE$14:AE140))),"")</f>
        <v/>
      </c>
    </row>
    <row r="141" spans="1:31" ht="30" customHeight="1" x14ac:dyDescent="0.2">
      <c r="A141" s="19" t="str">
        <f>IF(F141="","",LEFT($D$3,3)&amp;"-"&amp;TEXT(COUNTIF(F$14:F141,"?*"),"00"))</f>
        <v/>
      </c>
      <c r="B141" s="5"/>
      <c r="C141" s="6" t="str">
        <f t="shared" si="18"/>
        <v/>
      </c>
      <c r="D141" s="5"/>
      <c r="E141" s="5"/>
      <c r="F141" s="5"/>
      <c r="G141" s="5"/>
      <c r="H141" s="5"/>
      <c r="I141" s="5"/>
      <c r="J141" s="5"/>
      <c r="K141" s="15"/>
      <c r="L141" s="5"/>
      <c r="M141" s="15"/>
      <c r="N141" s="5"/>
      <c r="O141" s="15"/>
      <c r="P141" s="19" t="str">
        <f t="shared" si="19"/>
        <v/>
      </c>
      <c r="Q141" s="19" t="str">
        <f t="shared" si="20"/>
        <v/>
      </c>
      <c r="R141" s="19" t="str">
        <f t="shared" si="21"/>
        <v/>
      </c>
      <c r="S141" s="5"/>
      <c r="T141" s="5"/>
      <c r="U141" s="5"/>
      <c r="V141" s="24"/>
      <c r="W141" s="15"/>
      <c r="X141" s="15"/>
      <c r="Y141" s="15"/>
      <c r="Z141" s="19" t="str">
        <f t="shared" si="22"/>
        <v/>
      </c>
      <c r="AA141" s="19" t="str">
        <f t="shared" si="23"/>
        <v/>
      </c>
      <c r="AB141" s="5"/>
      <c r="AC141" s="5"/>
      <c r="AE141" t="str">
        <f>IFERROR(INDEX(EqTag,_xlfn.AGGREGATE(15,6,(ROW(EqTag)-4)/((EqSys=$D$3)*(EqTag&lt;&gt;"")),ROWS($AE$14:AE141))),"")</f>
        <v/>
      </c>
    </row>
    <row r="142" spans="1:31" ht="30" customHeight="1" x14ac:dyDescent="0.2">
      <c r="A142" s="19" t="str">
        <f>IF(F142="","",LEFT($D$3,3)&amp;"-"&amp;TEXT(COUNTIF(F$14:F142,"?*"),"00"))</f>
        <v/>
      </c>
      <c r="B142" s="5"/>
      <c r="C142" s="6" t="str">
        <f t="shared" ref="C142:C163" si="24">IF(B142="","",IFERROR(INDEX(EqTypeCol,MATCH(B142,EqTag,0)),"Tag not in register"))</f>
        <v/>
      </c>
      <c r="D142" s="5"/>
      <c r="E142" s="5"/>
      <c r="F142" s="5"/>
      <c r="G142" s="5"/>
      <c r="H142" s="5"/>
      <c r="I142" s="5"/>
      <c r="J142" s="5"/>
      <c r="K142" s="15"/>
      <c r="L142" s="5"/>
      <c r="M142" s="15"/>
      <c r="N142" s="5"/>
      <c r="O142" s="15"/>
      <c r="P142" s="19" t="str">
        <f t="shared" ref="P142:P163" si="25">IF(OR(K142="",M142="",O142=""),"",(--TRIM(LEFT(K142,2)))*(--TRIM(LEFT(M142,2)))*(--TRIM(LEFT(O142,2))))</f>
        <v/>
      </c>
      <c r="Q142" s="19" t="str">
        <f t="shared" ref="Q142:Q163" si="26">IF(OR(K142="",M142="",O142=""),"",INDEX(APGrid,COUNTIF(APS,"&gt;"&amp;(--TRIM(LEFT(K142,2))))*5+COUNTIF(APO,"&gt;"&amp;(--TRIM(LEFT(M142,2))))+1,COUNTIF(APD,"&gt;"&amp;(--TRIM(LEFT(O142,2))))+1))</f>
        <v/>
      </c>
      <c r="R142" s="19" t="str">
        <f t="shared" ref="R142:R163" si="27">IF(P142="","",IF(OR((--TRIM(LEFT(K142,2)))&gt;=SThr,P142&gt;=RPNThr,Q142="H"),"Yes","No"))</f>
        <v/>
      </c>
      <c r="S142" s="5"/>
      <c r="T142" s="5"/>
      <c r="U142" s="5"/>
      <c r="V142" s="24"/>
      <c r="W142" s="15"/>
      <c r="X142" s="15"/>
      <c r="Y142" s="15"/>
      <c r="Z142" s="19" t="str">
        <f t="shared" ref="Z142:Z163" si="28">IF(OR(W142="",X142="",Y142=""),"",(--TRIM(LEFT(W142,2)))*(--TRIM(LEFT(X142,2)))*(--TRIM(LEFT(Y142,2))))</f>
        <v/>
      </c>
      <c r="AA142" s="19" t="str">
        <f t="shared" ref="AA142:AA163" si="29">IF(OR(W142="",X142="",Y142=""),"",INDEX(APGrid,COUNTIF(APS,"&gt;"&amp;(--TRIM(LEFT(W142,2))))*5+COUNTIF(APO,"&gt;"&amp;(--TRIM(LEFT(X142,2))))+1,COUNTIF(APD,"&gt;"&amp;(--TRIM(LEFT(Y142,2))))+1))</f>
        <v/>
      </c>
      <c r="AB142" s="5"/>
      <c r="AC142" s="5"/>
      <c r="AE142" t="str">
        <f>IFERROR(INDEX(EqTag,_xlfn.AGGREGATE(15,6,(ROW(EqTag)-4)/((EqSys=$D$3)*(EqTag&lt;&gt;"")),ROWS($AE$14:AE142))),"")</f>
        <v/>
      </c>
    </row>
    <row r="143" spans="1:31" ht="30" customHeight="1" x14ac:dyDescent="0.2">
      <c r="A143" s="19" t="str">
        <f>IF(F143="","",LEFT($D$3,3)&amp;"-"&amp;TEXT(COUNTIF(F$14:F143,"?*"),"00"))</f>
        <v/>
      </c>
      <c r="B143" s="5"/>
      <c r="C143" s="6" t="str">
        <f t="shared" si="24"/>
        <v/>
      </c>
      <c r="D143" s="5"/>
      <c r="E143" s="5"/>
      <c r="F143" s="5"/>
      <c r="G143" s="5"/>
      <c r="H143" s="5"/>
      <c r="I143" s="5"/>
      <c r="J143" s="5"/>
      <c r="K143" s="15"/>
      <c r="L143" s="5"/>
      <c r="M143" s="15"/>
      <c r="N143" s="5"/>
      <c r="O143" s="15"/>
      <c r="P143" s="19" t="str">
        <f t="shared" si="25"/>
        <v/>
      </c>
      <c r="Q143" s="19" t="str">
        <f t="shared" si="26"/>
        <v/>
      </c>
      <c r="R143" s="19" t="str">
        <f t="shared" si="27"/>
        <v/>
      </c>
      <c r="S143" s="5"/>
      <c r="T143" s="5"/>
      <c r="U143" s="5"/>
      <c r="V143" s="24"/>
      <c r="W143" s="15"/>
      <c r="X143" s="15"/>
      <c r="Y143" s="15"/>
      <c r="Z143" s="19" t="str">
        <f t="shared" si="28"/>
        <v/>
      </c>
      <c r="AA143" s="19" t="str">
        <f t="shared" si="29"/>
        <v/>
      </c>
      <c r="AB143" s="5"/>
      <c r="AC143" s="5"/>
      <c r="AE143" t="str">
        <f>IFERROR(INDEX(EqTag,_xlfn.AGGREGATE(15,6,(ROW(EqTag)-4)/((EqSys=$D$3)*(EqTag&lt;&gt;"")),ROWS($AE$14:AE143))),"")</f>
        <v/>
      </c>
    </row>
    <row r="144" spans="1:31" ht="30" customHeight="1" x14ac:dyDescent="0.2">
      <c r="A144" s="19" t="str">
        <f>IF(F144="","",LEFT($D$3,3)&amp;"-"&amp;TEXT(COUNTIF(F$14:F144,"?*"),"00"))</f>
        <v/>
      </c>
      <c r="B144" s="5"/>
      <c r="C144" s="6" t="str">
        <f t="shared" si="24"/>
        <v/>
      </c>
      <c r="D144" s="5"/>
      <c r="E144" s="5"/>
      <c r="F144" s="5"/>
      <c r="G144" s="5"/>
      <c r="H144" s="5"/>
      <c r="I144" s="5"/>
      <c r="J144" s="5"/>
      <c r="K144" s="15"/>
      <c r="L144" s="5"/>
      <c r="M144" s="15"/>
      <c r="N144" s="5"/>
      <c r="O144" s="15"/>
      <c r="P144" s="19" t="str">
        <f t="shared" si="25"/>
        <v/>
      </c>
      <c r="Q144" s="19" t="str">
        <f t="shared" si="26"/>
        <v/>
      </c>
      <c r="R144" s="19" t="str">
        <f t="shared" si="27"/>
        <v/>
      </c>
      <c r="S144" s="5"/>
      <c r="T144" s="5"/>
      <c r="U144" s="5"/>
      <c r="V144" s="24"/>
      <c r="W144" s="15"/>
      <c r="X144" s="15"/>
      <c r="Y144" s="15"/>
      <c r="Z144" s="19" t="str">
        <f t="shared" si="28"/>
        <v/>
      </c>
      <c r="AA144" s="19" t="str">
        <f t="shared" si="29"/>
        <v/>
      </c>
      <c r="AB144" s="5"/>
      <c r="AC144" s="5"/>
      <c r="AE144" t="str">
        <f>IFERROR(INDEX(EqTag,_xlfn.AGGREGATE(15,6,(ROW(EqTag)-4)/((EqSys=$D$3)*(EqTag&lt;&gt;"")),ROWS($AE$14:AE144))),"")</f>
        <v/>
      </c>
    </row>
    <row r="145" spans="1:31" ht="30" customHeight="1" x14ac:dyDescent="0.2">
      <c r="A145" s="19" t="str">
        <f>IF(F145="","",LEFT($D$3,3)&amp;"-"&amp;TEXT(COUNTIF(F$14:F145,"?*"),"00"))</f>
        <v/>
      </c>
      <c r="B145" s="5"/>
      <c r="C145" s="6" t="str">
        <f t="shared" si="24"/>
        <v/>
      </c>
      <c r="D145" s="5"/>
      <c r="E145" s="5"/>
      <c r="F145" s="5"/>
      <c r="G145" s="5"/>
      <c r="H145" s="5"/>
      <c r="I145" s="5"/>
      <c r="J145" s="5"/>
      <c r="K145" s="15"/>
      <c r="L145" s="5"/>
      <c r="M145" s="15"/>
      <c r="N145" s="5"/>
      <c r="O145" s="15"/>
      <c r="P145" s="19" t="str">
        <f t="shared" si="25"/>
        <v/>
      </c>
      <c r="Q145" s="19" t="str">
        <f t="shared" si="26"/>
        <v/>
      </c>
      <c r="R145" s="19" t="str">
        <f t="shared" si="27"/>
        <v/>
      </c>
      <c r="S145" s="5"/>
      <c r="T145" s="5"/>
      <c r="U145" s="5"/>
      <c r="V145" s="24"/>
      <c r="W145" s="15"/>
      <c r="X145" s="15"/>
      <c r="Y145" s="15"/>
      <c r="Z145" s="19" t="str">
        <f t="shared" si="28"/>
        <v/>
      </c>
      <c r="AA145" s="19" t="str">
        <f t="shared" si="29"/>
        <v/>
      </c>
      <c r="AB145" s="5"/>
      <c r="AC145" s="5"/>
      <c r="AE145" t="str">
        <f>IFERROR(INDEX(EqTag,_xlfn.AGGREGATE(15,6,(ROW(EqTag)-4)/((EqSys=$D$3)*(EqTag&lt;&gt;"")),ROWS($AE$14:AE145))),"")</f>
        <v/>
      </c>
    </row>
    <row r="146" spans="1:31" ht="30" customHeight="1" x14ac:dyDescent="0.2">
      <c r="A146" s="19" t="str">
        <f>IF(F146="","",LEFT($D$3,3)&amp;"-"&amp;TEXT(COUNTIF(F$14:F146,"?*"),"00"))</f>
        <v/>
      </c>
      <c r="B146" s="5"/>
      <c r="C146" s="6" t="str">
        <f t="shared" si="24"/>
        <v/>
      </c>
      <c r="D146" s="5"/>
      <c r="E146" s="5"/>
      <c r="F146" s="5"/>
      <c r="G146" s="5"/>
      <c r="H146" s="5"/>
      <c r="I146" s="5"/>
      <c r="J146" s="5"/>
      <c r="K146" s="15"/>
      <c r="L146" s="5"/>
      <c r="M146" s="15"/>
      <c r="N146" s="5"/>
      <c r="O146" s="15"/>
      <c r="P146" s="19" t="str">
        <f t="shared" si="25"/>
        <v/>
      </c>
      <c r="Q146" s="19" t="str">
        <f t="shared" si="26"/>
        <v/>
      </c>
      <c r="R146" s="19" t="str">
        <f t="shared" si="27"/>
        <v/>
      </c>
      <c r="S146" s="5"/>
      <c r="T146" s="5"/>
      <c r="U146" s="5"/>
      <c r="V146" s="24"/>
      <c r="W146" s="15"/>
      <c r="X146" s="15"/>
      <c r="Y146" s="15"/>
      <c r="Z146" s="19" t="str">
        <f t="shared" si="28"/>
        <v/>
      </c>
      <c r="AA146" s="19" t="str">
        <f t="shared" si="29"/>
        <v/>
      </c>
      <c r="AB146" s="5"/>
      <c r="AC146" s="5"/>
      <c r="AE146" t="str">
        <f>IFERROR(INDEX(EqTag,_xlfn.AGGREGATE(15,6,(ROW(EqTag)-4)/((EqSys=$D$3)*(EqTag&lt;&gt;"")),ROWS($AE$14:AE146))),"")</f>
        <v/>
      </c>
    </row>
    <row r="147" spans="1:31" ht="30" customHeight="1" x14ac:dyDescent="0.2">
      <c r="A147" s="19" t="str">
        <f>IF(F147="","",LEFT($D$3,3)&amp;"-"&amp;TEXT(COUNTIF(F$14:F147,"?*"),"00"))</f>
        <v/>
      </c>
      <c r="B147" s="5"/>
      <c r="C147" s="6" t="str">
        <f t="shared" si="24"/>
        <v/>
      </c>
      <c r="D147" s="5"/>
      <c r="E147" s="5"/>
      <c r="F147" s="5"/>
      <c r="G147" s="5"/>
      <c r="H147" s="5"/>
      <c r="I147" s="5"/>
      <c r="J147" s="5"/>
      <c r="K147" s="15"/>
      <c r="L147" s="5"/>
      <c r="M147" s="15"/>
      <c r="N147" s="5"/>
      <c r="O147" s="15"/>
      <c r="P147" s="19" t="str">
        <f t="shared" si="25"/>
        <v/>
      </c>
      <c r="Q147" s="19" t="str">
        <f t="shared" si="26"/>
        <v/>
      </c>
      <c r="R147" s="19" t="str">
        <f t="shared" si="27"/>
        <v/>
      </c>
      <c r="S147" s="5"/>
      <c r="T147" s="5"/>
      <c r="U147" s="5"/>
      <c r="V147" s="24"/>
      <c r="W147" s="15"/>
      <c r="X147" s="15"/>
      <c r="Y147" s="15"/>
      <c r="Z147" s="19" t="str">
        <f t="shared" si="28"/>
        <v/>
      </c>
      <c r="AA147" s="19" t="str">
        <f t="shared" si="29"/>
        <v/>
      </c>
      <c r="AB147" s="5"/>
      <c r="AC147" s="5"/>
      <c r="AE147" t="str">
        <f>IFERROR(INDEX(EqTag,_xlfn.AGGREGATE(15,6,(ROW(EqTag)-4)/((EqSys=$D$3)*(EqTag&lt;&gt;"")),ROWS($AE$14:AE147))),"")</f>
        <v/>
      </c>
    </row>
    <row r="148" spans="1:31" ht="30" customHeight="1" x14ac:dyDescent="0.2">
      <c r="A148" s="19" t="str">
        <f>IF(F148="","",LEFT($D$3,3)&amp;"-"&amp;TEXT(COUNTIF(F$14:F148,"?*"),"00"))</f>
        <v/>
      </c>
      <c r="B148" s="5"/>
      <c r="C148" s="6" t="str">
        <f t="shared" si="24"/>
        <v/>
      </c>
      <c r="D148" s="5"/>
      <c r="E148" s="5"/>
      <c r="F148" s="5"/>
      <c r="G148" s="5"/>
      <c r="H148" s="5"/>
      <c r="I148" s="5"/>
      <c r="J148" s="5"/>
      <c r="K148" s="15"/>
      <c r="L148" s="5"/>
      <c r="M148" s="15"/>
      <c r="N148" s="5"/>
      <c r="O148" s="15"/>
      <c r="P148" s="19" t="str">
        <f t="shared" si="25"/>
        <v/>
      </c>
      <c r="Q148" s="19" t="str">
        <f t="shared" si="26"/>
        <v/>
      </c>
      <c r="R148" s="19" t="str">
        <f t="shared" si="27"/>
        <v/>
      </c>
      <c r="S148" s="5"/>
      <c r="T148" s="5"/>
      <c r="U148" s="5"/>
      <c r="V148" s="24"/>
      <c r="W148" s="15"/>
      <c r="X148" s="15"/>
      <c r="Y148" s="15"/>
      <c r="Z148" s="19" t="str">
        <f t="shared" si="28"/>
        <v/>
      </c>
      <c r="AA148" s="19" t="str">
        <f t="shared" si="29"/>
        <v/>
      </c>
      <c r="AB148" s="5"/>
      <c r="AC148" s="5"/>
      <c r="AE148" t="str">
        <f>IFERROR(INDEX(EqTag,_xlfn.AGGREGATE(15,6,(ROW(EqTag)-4)/((EqSys=$D$3)*(EqTag&lt;&gt;"")),ROWS($AE$14:AE148))),"")</f>
        <v/>
      </c>
    </row>
    <row r="149" spans="1:31" ht="30" customHeight="1" x14ac:dyDescent="0.2">
      <c r="A149" s="19" t="str">
        <f>IF(F149="","",LEFT($D$3,3)&amp;"-"&amp;TEXT(COUNTIF(F$14:F149,"?*"),"00"))</f>
        <v/>
      </c>
      <c r="B149" s="5"/>
      <c r="C149" s="6" t="str">
        <f t="shared" si="24"/>
        <v/>
      </c>
      <c r="D149" s="5"/>
      <c r="E149" s="5"/>
      <c r="F149" s="5"/>
      <c r="G149" s="5"/>
      <c r="H149" s="5"/>
      <c r="I149" s="5"/>
      <c r="J149" s="5"/>
      <c r="K149" s="15"/>
      <c r="L149" s="5"/>
      <c r="M149" s="15"/>
      <c r="N149" s="5"/>
      <c r="O149" s="15"/>
      <c r="P149" s="19" t="str">
        <f t="shared" si="25"/>
        <v/>
      </c>
      <c r="Q149" s="19" t="str">
        <f t="shared" si="26"/>
        <v/>
      </c>
      <c r="R149" s="19" t="str">
        <f t="shared" si="27"/>
        <v/>
      </c>
      <c r="S149" s="5"/>
      <c r="T149" s="5"/>
      <c r="U149" s="5"/>
      <c r="V149" s="24"/>
      <c r="W149" s="15"/>
      <c r="X149" s="15"/>
      <c r="Y149" s="15"/>
      <c r="Z149" s="19" t="str">
        <f t="shared" si="28"/>
        <v/>
      </c>
      <c r="AA149" s="19" t="str">
        <f t="shared" si="29"/>
        <v/>
      </c>
      <c r="AB149" s="5"/>
      <c r="AC149" s="5"/>
      <c r="AE149" t="str">
        <f>IFERROR(INDEX(EqTag,_xlfn.AGGREGATE(15,6,(ROW(EqTag)-4)/((EqSys=$D$3)*(EqTag&lt;&gt;"")),ROWS($AE$14:AE149))),"")</f>
        <v/>
      </c>
    </row>
    <row r="150" spans="1:31" ht="30" customHeight="1" x14ac:dyDescent="0.2">
      <c r="A150" s="19" t="str">
        <f>IF(F150="","",LEFT($D$3,3)&amp;"-"&amp;TEXT(COUNTIF(F$14:F150,"?*"),"00"))</f>
        <v/>
      </c>
      <c r="B150" s="5"/>
      <c r="C150" s="6" t="str">
        <f t="shared" si="24"/>
        <v/>
      </c>
      <c r="D150" s="5"/>
      <c r="E150" s="5"/>
      <c r="F150" s="5"/>
      <c r="G150" s="5"/>
      <c r="H150" s="5"/>
      <c r="I150" s="5"/>
      <c r="J150" s="5"/>
      <c r="K150" s="15"/>
      <c r="L150" s="5"/>
      <c r="M150" s="15"/>
      <c r="N150" s="5"/>
      <c r="O150" s="15"/>
      <c r="P150" s="19" t="str">
        <f t="shared" si="25"/>
        <v/>
      </c>
      <c r="Q150" s="19" t="str">
        <f t="shared" si="26"/>
        <v/>
      </c>
      <c r="R150" s="19" t="str">
        <f t="shared" si="27"/>
        <v/>
      </c>
      <c r="S150" s="5"/>
      <c r="T150" s="5"/>
      <c r="U150" s="5"/>
      <c r="V150" s="24"/>
      <c r="W150" s="15"/>
      <c r="X150" s="15"/>
      <c r="Y150" s="15"/>
      <c r="Z150" s="19" t="str">
        <f t="shared" si="28"/>
        <v/>
      </c>
      <c r="AA150" s="19" t="str">
        <f t="shared" si="29"/>
        <v/>
      </c>
      <c r="AB150" s="5"/>
      <c r="AC150" s="5"/>
      <c r="AE150" t="str">
        <f>IFERROR(INDEX(EqTag,_xlfn.AGGREGATE(15,6,(ROW(EqTag)-4)/((EqSys=$D$3)*(EqTag&lt;&gt;"")),ROWS($AE$14:AE150))),"")</f>
        <v/>
      </c>
    </row>
    <row r="151" spans="1:31" ht="30" customHeight="1" x14ac:dyDescent="0.2">
      <c r="A151" s="19" t="str">
        <f>IF(F151="","",LEFT($D$3,3)&amp;"-"&amp;TEXT(COUNTIF(F$14:F151,"?*"),"00"))</f>
        <v/>
      </c>
      <c r="B151" s="5"/>
      <c r="C151" s="6" t="str">
        <f t="shared" si="24"/>
        <v/>
      </c>
      <c r="D151" s="5"/>
      <c r="E151" s="5"/>
      <c r="F151" s="5"/>
      <c r="G151" s="5"/>
      <c r="H151" s="5"/>
      <c r="I151" s="5"/>
      <c r="J151" s="5"/>
      <c r="K151" s="15"/>
      <c r="L151" s="5"/>
      <c r="M151" s="15"/>
      <c r="N151" s="5"/>
      <c r="O151" s="15"/>
      <c r="P151" s="19" t="str">
        <f t="shared" si="25"/>
        <v/>
      </c>
      <c r="Q151" s="19" t="str">
        <f t="shared" si="26"/>
        <v/>
      </c>
      <c r="R151" s="19" t="str">
        <f t="shared" si="27"/>
        <v/>
      </c>
      <c r="S151" s="5"/>
      <c r="T151" s="5"/>
      <c r="U151" s="5"/>
      <c r="V151" s="24"/>
      <c r="W151" s="15"/>
      <c r="X151" s="15"/>
      <c r="Y151" s="15"/>
      <c r="Z151" s="19" t="str">
        <f t="shared" si="28"/>
        <v/>
      </c>
      <c r="AA151" s="19" t="str">
        <f t="shared" si="29"/>
        <v/>
      </c>
      <c r="AB151" s="5"/>
      <c r="AC151" s="5"/>
      <c r="AE151" t="str">
        <f>IFERROR(INDEX(EqTag,_xlfn.AGGREGATE(15,6,(ROW(EqTag)-4)/((EqSys=$D$3)*(EqTag&lt;&gt;"")),ROWS($AE$14:AE151))),"")</f>
        <v/>
      </c>
    </row>
    <row r="152" spans="1:31" ht="30" customHeight="1" x14ac:dyDescent="0.2">
      <c r="A152" s="19" t="str">
        <f>IF(F152="","",LEFT($D$3,3)&amp;"-"&amp;TEXT(COUNTIF(F$14:F152,"?*"),"00"))</f>
        <v/>
      </c>
      <c r="B152" s="5"/>
      <c r="C152" s="6" t="str">
        <f t="shared" si="24"/>
        <v/>
      </c>
      <c r="D152" s="5"/>
      <c r="E152" s="5"/>
      <c r="F152" s="5"/>
      <c r="G152" s="5"/>
      <c r="H152" s="5"/>
      <c r="I152" s="5"/>
      <c r="J152" s="5"/>
      <c r="K152" s="15"/>
      <c r="L152" s="5"/>
      <c r="M152" s="15"/>
      <c r="N152" s="5"/>
      <c r="O152" s="15"/>
      <c r="P152" s="19" t="str">
        <f t="shared" si="25"/>
        <v/>
      </c>
      <c r="Q152" s="19" t="str">
        <f t="shared" si="26"/>
        <v/>
      </c>
      <c r="R152" s="19" t="str">
        <f t="shared" si="27"/>
        <v/>
      </c>
      <c r="S152" s="5"/>
      <c r="T152" s="5"/>
      <c r="U152" s="5"/>
      <c r="V152" s="24"/>
      <c r="W152" s="15"/>
      <c r="X152" s="15"/>
      <c r="Y152" s="15"/>
      <c r="Z152" s="19" t="str">
        <f t="shared" si="28"/>
        <v/>
      </c>
      <c r="AA152" s="19" t="str">
        <f t="shared" si="29"/>
        <v/>
      </c>
      <c r="AB152" s="5"/>
      <c r="AC152" s="5"/>
      <c r="AE152" t="str">
        <f>IFERROR(INDEX(EqTag,_xlfn.AGGREGATE(15,6,(ROW(EqTag)-4)/((EqSys=$D$3)*(EqTag&lt;&gt;"")),ROWS($AE$14:AE152))),"")</f>
        <v/>
      </c>
    </row>
    <row r="153" spans="1:31" ht="30" customHeight="1" x14ac:dyDescent="0.2">
      <c r="A153" s="19" t="str">
        <f>IF(F153="","",LEFT($D$3,3)&amp;"-"&amp;TEXT(COUNTIF(F$14:F153,"?*"),"00"))</f>
        <v/>
      </c>
      <c r="B153" s="5"/>
      <c r="C153" s="6" t="str">
        <f t="shared" si="24"/>
        <v/>
      </c>
      <c r="D153" s="5"/>
      <c r="E153" s="5"/>
      <c r="F153" s="5"/>
      <c r="G153" s="5"/>
      <c r="H153" s="5"/>
      <c r="I153" s="5"/>
      <c r="J153" s="5"/>
      <c r="K153" s="15"/>
      <c r="L153" s="5"/>
      <c r="M153" s="15"/>
      <c r="N153" s="5"/>
      <c r="O153" s="15"/>
      <c r="P153" s="19" t="str">
        <f t="shared" si="25"/>
        <v/>
      </c>
      <c r="Q153" s="19" t="str">
        <f t="shared" si="26"/>
        <v/>
      </c>
      <c r="R153" s="19" t="str">
        <f t="shared" si="27"/>
        <v/>
      </c>
      <c r="S153" s="5"/>
      <c r="T153" s="5"/>
      <c r="U153" s="5"/>
      <c r="V153" s="24"/>
      <c r="W153" s="15"/>
      <c r="X153" s="15"/>
      <c r="Y153" s="15"/>
      <c r="Z153" s="19" t="str">
        <f t="shared" si="28"/>
        <v/>
      </c>
      <c r="AA153" s="19" t="str">
        <f t="shared" si="29"/>
        <v/>
      </c>
      <c r="AB153" s="5"/>
      <c r="AC153" s="5"/>
      <c r="AE153" t="str">
        <f>IFERROR(INDEX(EqTag,_xlfn.AGGREGATE(15,6,(ROW(EqTag)-4)/((EqSys=$D$3)*(EqTag&lt;&gt;"")),ROWS($AE$14:AE153))),"")</f>
        <v/>
      </c>
    </row>
    <row r="154" spans="1:31" ht="30" customHeight="1" x14ac:dyDescent="0.2">
      <c r="A154" s="19" t="str">
        <f>IF(F154="","",LEFT($D$3,3)&amp;"-"&amp;TEXT(COUNTIF(F$14:F154,"?*"),"00"))</f>
        <v/>
      </c>
      <c r="B154" s="5"/>
      <c r="C154" s="6" t="str">
        <f t="shared" si="24"/>
        <v/>
      </c>
      <c r="D154" s="5"/>
      <c r="E154" s="5"/>
      <c r="F154" s="5"/>
      <c r="G154" s="5"/>
      <c r="H154" s="5"/>
      <c r="I154" s="5"/>
      <c r="J154" s="5"/>
      <c r="K154" s="15"/>
      <c r="L154" s="5"/>
      <c r="M154" s="15"/>
      <c r="N154" s="5"/>
      <c r="O154" s="15"/>
      <c r="P154" s="19" t="str">
        <f t="shared" si="25"/>
        <v/>
      </c>
      <c r="Q154" s="19" t="str">
        <f t="shared" si="26"/>
        <v/>
      </c>
      <c r="R154" s="19" t="str">
        <f t="shared" si="27"/>
        <v/>
      </c>
      <c r="S154" s="5"/>
      <c r="T154" s="5"/>
      <c r="U154" s="5"/>
      <c r="V154" s="24"/>
      <c r="W154" s="15"/>
      <c r="X154" s="15"/>
      <c r="Y154" s="15"/>
      <c r="Z154" s="19" t="str">
        <f t="shared" si="28"/>
        <v/>
      </c>
      <c r="AA154" s="19" t="str">
        <f t="shared" si="29"/>
        <v/>
      </c>
      <c r="AB154" s="5"/>
      <c r="AC154" s="5"/>
      <c r="AE154" t="str">
        <f>IFERROR(INDEX(EqTag,_xlfn.AGGREGATE(15,6,(ROW(EqTag)-4)/((EqSys=$D$3)*(EqTag&lt;&gt;"")),ROWS($AE$14:AE154))),"")</f>
        <v/>
      </c>
    </row>
    <row r="155" spans="1:31" ht="30" customHeight="1" x14ac:dyDescent="0.2">
      <c r="A155" s="19" t="str">
        <f>IF(F155="","",LEFT($D$3,3)&amp;"-"&amp;TEXT(COUNTIF(F$14:F155,"?*"),"00"))</f>
        <v/>
      </c>
      <c r="B155" s="5"/>
      <c r="C155" s="6" t="str">
        <f t="shared" si="24"/>
        <v/>
      </c>
      <c r="D155" s="5"/>
      <c r="E155" s="5"/>
      <c r="F155" s="5"/>
      <c r="G155" s="5"/>
      <c r="H155" s="5"/>
      <c r="I155" s="5"/>
      <c r="J155" s="5"/>
      <c r="K155" s="15"/>
      <c r="L155" s="5"/>
      <c r="M155" s="15"/>
      <c r="N155" s="5"/>
      <c r="O155" s="15"/>
      <c r="P155" s="19" t="str">
        <f t="shared" si="25"/>
        <v/>
      </c>
      <c r="Q155" s="19" t="str">
        <f t="shared" si="26"/>
        <v/>
      </c>
      <c r="R155" s="19" t="str">
        <f t="shared" si="27"/>
        <v/>
      </c>
      <c r="S155" s="5"/>
      <c r="T155" s="5"/>
      <c r="U155" s="5"/>
      <c r="V155" s="24"/>
      <c r="W155" s="15"/>
      <c r="X155" s="15"/>
      <c r="Y155" s="15"/>
      <c r="Z155" s="19" t="str">
        <f t="shared" si="28"/>
        <v/>
      </c>
      <c r="AA155" s="19" t="str">
        <f t="shared" si="29"/>
        <v/>
      </c>
      <c r="AB155" s="5"/>
      <c r="AC155" s="5"/>
      <c r="AE155" t="str">
        <f>IFERROR(INDEX(EqTag,_xlfn.AGGREGATE(15,6,(ROW(EqTag)-4)/((EqSys=$D$3)*(EqTag&lt;&gt;"")),ROWS($AE$14:AE155))),"")</f>
        <v/>
      </c>
    </row>
    <row r="156" spans="1:31" ht="30" customHeight="1" x14ac:dyDescent="0.2">
      <c r="A156" s="19" t="str">
        <f>IF(F156="","",LEFT($D$3,3)&amp;"-"&amp;TEXT(COUNTIF(F$14:F156,"?*"),"00"))</f>
        <v/>
      </c>
      <c r="B156" s="5"/>
      <c r="C156" s="6" t="str">
        <f t="shared" si="24"/>
        <v/>
      </c>
      <c r="D156" s="5"/>
      <c r="E156" s="5"/>
      <c r="F156" s="5"/>
      <c r="G156" s="5"/>
      <c r="H156" s="5"/>
      <c r="I156" s="5"/>
      <c r="J156" s="5"/>
      <c r="K156" s="15"/>
      <c r="L156" s="5"/>
      <c r="M156" s="15"/>
      <c r="N156" s="5"/>
      <c r="O156" s="15"/>
      <c r="P156" s="19" t="str">
        <f t="shared" si="25"/>
        <v/>
      </c>
      <c r="Q156" s="19" t="str">
        <f t="shared" si="26"/>
        <v/>
      </c>
      <c r="R156" s="19" t="str">
        <f t="shared" si="27"/>
        <v/>
      </c>
      <c r="S156" s="5"/>
      <c r="T156" s="5"/>
      <c r="U156" s="5"/>
      <c r="V156" s="24"/>
      <c r="W156" s="15"/>
      <c r="X156" s="15"/>
      <c r="Y156" s="15"/>
      <c r="Z156" s="19" t="str">
        <f t="shared" si="28"/>
        <v/>
      </c>
      <c r="AA156" s="19" t="str">
        <f t="shared" si="29"/>
        <v/>
      </c>
      <c r="AB156" s="5"/>
      <c r="AC156" s="5"/>
      <c r="AE156" t="str">
        <f>IFERROR(INDEX(EqTag,_xlfn.AGGREGATE(15,6,(ROW(EqTag)-4)/((EqSys=$D$3)*(EqTag&lt;&gt;"")),ROWS($AE$14:AE156))),"")</f>
        <v/>
      </c>
    </row>
    <row r="157" spans="1:31" ht="30" customHeight="1" x14ac:dyDescent="0.2">
      <c r="A157" s="19" t="str">
        <f>IF(F157="","",LEFT($D$3,3)&amp;"-"&amp;TEXT(COUNTIF(F$14:F157,"?*"),"00"))</f>
        <v/>
      </c>
      <c r="B157" s="5"/>
      <c r="C157" s="6" t="str">
        <f t="shared" si="24"/>
        <v/>
      </c>
      <c r="D157" s="5"/>
      <c r="E157" s="5"/>
      <c r="F157" s="5"/>
      <c r="G157" s="5"/>
      <c r="H157" s="5"/>
      <c r="I157" s="5"/>
      <c r="J157" s="5"/>
      <c r="K157" s="15"/>
      <c r="L157" s="5"/>
      <c r="M157" s="15"/>
      <c r="N157" s="5"/>
      <c r="O157" s="15"/>
      <c r="P157" s="19" t="str">
        <f t="shared" si="25"/>
        <v/>
      </c>
      <c r="Q157" s="19" t="str">
        <f t="shared" si="26"/>
        <v/>
      </c>
      <c r="R157" s="19" t="str">
        <f t="shared" si="27"/>
        <v/>
      </c>
      <c r="S157" s="5"/>
      <c r="T157" s="5"/>
      <c r="U157" s="5"/>
      <c r="V157" s="24"/>
      <c r="W157" s="15"/>
      <c r="X157" s="15"/>
      <c r="Y157" s="15"/>
      <c r="Z157" s="19" t="str">
        <f t="shared" si="28"/>
        <v/>
      </c>
      <c r="AA157" s="19" t="str">
        <f t="shared" si="29"/>
        <v/>
      </c>
      <c r="AB157" s="5"/>
      <c r="AC157" s="5"/>
      <c r="AE157" t="str">
        <f>IFERROR(INDEX(EqTag,_xlfn.AGGREGATE(15,6,(ROW(EqTag)-4)/((EqSys=$D$3)*(EqTag&lt;&gt;"")),ROWS($AE$14:AE157))),"")</f>
        <v/>
      </c>
    </row>
    <row r="158" spans="1:31" ht="30" customHeight="1" x14ac:dyDescent="0.2">
      <c r="A158" s="19" t="str">
        <f>IF(F158="","",LEFT($D$3,3)&amp;"-"&amp;TEXT(COUNTIF(F$14:F158,"?*"),"00"))</f>
        <v/>
      </c>
      <c r="B158" s="5"/>
      <c r="C158" s="6" t="str">
        <f t="shared" si="24"/>
        <v/>
      </c>
      <c r="D158" s="5"/>
      <c r="E158" s="5"/>
      <c r="F158" s="5"/>
      <c r="G158" s="5"/>
      <c r="H158" s="5"/>
      <c r="I158" s="5"/>
      <c r="J158" s="5"/>
      <c r="K158" s="15"/>
      <c r="L158" s="5"/>
      <c r="M158" s="15"/>
      <c r="N158" s="5"/>
      <c r="O158" s="15"/>
      <c r="P158" s="19" t="str">
        <f t="shared" si="25"/>
        <v/>
      </c>
      <c r="Q158" s="19" t="str">
        <f t="shared" si="26"/>
        <v/>
      </c>
      <c r="R158" s="19" t="str">
        <f t="shared" si="27"/>
        <v/>
      </c>
      <c r="S158" s="5"/>
      <c r="T158" s="5"/>
      <c r="U158" s="5"/>
      <c r="V158" s="24"/>
      <c r="W158" s="15"/>
      <c r="X158" s="15"/>
      <c r="Y158" s="15"/>
      <c r="Z158" s="19" t="str">
        <f t="shared" si="28"/>
        <v/>
      </c>
      <c r="AA158" s="19" t="str">
        <f t="shared" si="29"/>
        <v/>
      </c>
      <c r="AB158" s="5"/>
      <c r="AC158" s="5"/>
      <c r="AE158" t="str">
        <f>IFERROR(INDEX(EqTag,_xlfn.AGGREGATE(15,6,(ROW(EqTag)-4)/((EqSys=$D$3)*(EqTag&lt;&gt;"")),ROWS($AE$14:AE158))),"")</f>
        <v/>
      </c>
    </row>
    <row r="159" spans="1:31" ht="30" customHeight="1" x14ac:dyDescent="0.2">
      <c r="A159" s="19" t="str">
        <f>IF(F159="","",LEFT($D$3,3)&amp;"-"&amp;TEXT(COUNTIF(F$14:F159,"?*"),"00"))</f>
        <v/>
      </c>
      <c r="B159" s="5"/>
      <c r="C159" s="6" t="str">
        <f t="shared" si="24"/>
        <v/>
      </c>
      <c r="D159" s="5"/>
      <c r="E159" s="5"/>
      <c r="F159" s="5"/>
      <c r="G159" s="5"/>
      <c r="H159" s="5"/>
      <c r="I159" s="5"/>
      <c r="J159" s="5"/>
      <c r="K159" s="15"/>
      <c r="L159" s="5"/>
      <c r="M159" s="15"/>
      <c r="N159" s="5"/>
      <c r="O159" s="15"/>
      <c r="P159" s="19" t="str">
        <f t="shared" si="25"/>
        <v/>
      </c>
      <c r="Q159" s="19" t="str">
        <f t="shared" si="26"/>
        <v/>
      </c>
      <c r="R159" s="19" t="str">
        <f t="shared" si="27"/>
        <v/>
      </c>
      <c r="S159" s="5"/>
      <c r="T159" s="5"/>
      <c r="U159" s="5"/>
      <c r="V159" s="24"/>
      <c r="W159" s="15"/>
      <c r="X159" s="15"/>
      <c r="Y159" s="15"/>
      <c r="Z159" s="19" t="str">
        <f t="shared" si="28"/>
        <v/>
      </c>
      <c r="AA159" s="19" t="str">
        <f t="shared" si="29"/>
        <v/>
      </c>
      <c r="AB159" s="5"/>
      <c r="AC159" s="5"/>
      <c r="AE159" t="str">
        <f>IFERROR(INDEX(EqTag,_xlfn.AGGREGATE(15,6,(ROW(EqTag)-4)/((EqSys=$D$3)*(EqTag&lt;&gt;"")),ROWS($AE$14:AE159))),"")</f>
        <v/>
      </c>
    </row>
    <row r="160" spans="1:31" ht="30" customHeight="1" x14ac:dyDescent="0.2">
      <c r="A160" s="19" t="str">
        <f>IF(F160="","",LEFT($D$3,3)&amp;"-"&amp;TEXT(COUNTIF(F$14:F160,"?*"),"00"))</f>
        <v/>
      </c>
      <c r="B160" s="5"/>
      <c r="C160" s="6" t="str">
        <f t="shared" si="24"/>
        <v/>
      </c>
      <c r="D160" s="5"/>
      <c r="E160" s="5"/>
      <c r="F160" s="5"/>
      <c r="G160" s="5"/>
      <c r="H160" s="5"/>
      <c r="I160" s="5"/>
      <c r="J160" s="5"/>
      <c r="K160" s="15"/>
      <c r="L160" s="5"/>
      <c r="M160" s="15"/>
      <c r="N160" s="5"/>
      <c r="O160" s="15"/>
      <c r="P160" s="19" t="str">
        <f t="shared" si="25"/>
        <v/>
      </c>
      <c r="Q160" s="19" t="str">
        <f t="shared" si="26"/>
        <v/>
      </c>
      <c r="R160" s="19" t="str">
        <f t="shared" si="27"/>
        <v/>
      </c>
      <c r="S160" s="5"/>
      <c r="T160" s="5"/>
      <c r="U160" s="5"/>
      <c r="V160" s="24"/>
      <c r="W160" s="15"/>
      <c r="X160" s="15"/>
      <c r="Y160" s="15"/>
      <c r="Z160" s="19" t="str">
        <f t="shared" si="28"/>
        <v/>
      </c>
      <c r="AA160" s="19" t="str">
        <f t="shared" si="29"/>
        <v/>
      </c>
      <c r="AB160" s="5"/>
      <c r="AC160" s="5"/>
      <c r="AE160" t="str">
        <f>IFERROR(INDEX(EqTag,_xlfn.AGGREGATE(15,6,(ROW(EqTag)-4)/((EqSys=$D$3)*(EqTag&lt;&gt;"")),ROWS($AE$14:AE160))),"")</f>
        <v/>
      </c>
    </row>
    <row r="161" spans="1:31" ht="30" customHeight="1" x14ac:dyDescent="0.2">
      <c r="A161" s="19" t="str">
        <f>IF(F161="","",LEFT($D$3,3)&amp;"-"&amp;TEXT(COUNTIF(F$14:F161,"?*"),"00"))</f>
        <v/>
      </c>
      <c r="B161" s="5"/>
      <c r="C161" s="6" t="str">
        <f t="shared" si="24"/>
        <v/>
      </c>
      <c r="D161" s="5"/>
      <c r="E161" s="5"/>
      <c r="F161" s="5"/>
      <c r="G161" s="5"/>
      <c r="H161" s="5"/>
      <c r="I161" s="5"/>
      <c r="J161" s="5"/>
      <c r="K161" s="15"/>
      <c r="L161" s="5"/>
      <c r="M161" s="15"/>
      <c r="N161" s="5"/>
      <c r="O161" s="15"/>
      <c r="P161" s="19" t="str">
        <f t="shared" si="25"/>
        <v/>
      </c>
      <c r="Q161" s="19" t="str">
        <f t="shared" si="26"/>
        <v/>
      </c>
      <c r="R161" s="19" t="str">
        <f t="shared" si="27"/>
        <v/>
      </c>
      <c r="S161" s="5"/>
      <c r="T161" s="5"/>
      <c r="U161" s="5"/>
      <c r="V161" s="24"/>
      <c r="W161" s="15"/>
      <c r="X161" s="15"/>
      <c r="Y161" s="15"/>
      <c r="Z161" s="19" t="str">
        <f t="shared" si="28"/>
        <v/>
      </c>
      <c r="AA161" s="19" t="str">
        <f t="shared" si="29"/>
        <v/>
      </c>
      <c r="AB161" s="5"/>
      <c r="AC161" s="5"/>
      <c r="AE161" t="str">
        <f>IFERROR(INDEX(EqTag,_xlfn.AGGREGATE(15,6,(ROW(EqTag)-4)/((EqSys=$D$3)*(EqTag&lt;&gt;"")),ROWS($AE$14:AE161))),"")</f>
        <v/>
      </c>
    </row>
    <row r="162" spans="1:31" ht="30" customHeight="1" x14ac:dyDescent="0.2">
      <c r="A162" s="19" t="str">
        <f>IF(F162="","",LEFT($D$3,3)&amp;"-"&amp;TEXT(COUNTIF(F$14:F162,"?*"),"00"))</f>
        <v/>
      </c>
      <c r="B162" s="5"/>
      <c r="C162" s="6" t="str">
        <f t="shared" si="24"/>
        <v/>
      </c>
      <c r="D162" s="5"/>
      <c r="E162" s="5"/>
      <c r="F162" s="5"/>
      <c r="G162" s="5"/>
      <c r="H162" s="5"/>
      <c r="I162" s="5"/>
      <c r="J162" s="5"/>
      <c r="K162" s="15"/>
      <c r="L162" s="5"/>
      <c r="M162" s="15"/>
      <c r="N162" s="5"/>
      <c r="O162" s="15"/>
      <c r="P162" s="19" t="str">
        <f t="shared" si="25"/>
        <v/>
      </c>
      <c r="Q162" s="19" t="str">
        <f t="shared" si="26"/>
        <v/>
      </c>
      <c r="R162" s="19" t="str">
        <f t="shared" si="27"/>
        <v/>
      </c>
      <c r="S162" s="5"/>
      <c r="T162" s="5"/>
      <c r="U162" s="5"/>
      <c r="V162" s="24"/>
      <c r="W162" s="15"/>
      <c r="X162" s="15"/>
      <c r="Y162" s="15"/>
      <c r="Z162" s="19" t="str">
        <f t="shared" si="28"/>
        <v/>
      </c>
      <c r="AA162" s="19" t="str">
        <f t="shared" si="29"/>
        <v/>
      </c>
      <c r="AB162" s="5"/>
      <c r="AC162" s="5"/>
      <c r="AE162" t="str">
        <f>IFERROR(INDEX(EqTag,_xlfn.AGGREGATE(15,6,(ROW(EqTag)-4)/((EqSys=$D$3)*(EqTag&lt;&gt;"")),ROWS($AE$14:AE162))),"")</f>
        <v/>
      </c>
    </row>
    <row r="163" spans="1:31" ht="30" customHeight="1" x14ac:dyDescent="0.2">
      <c r="A163" s="19" t="str">
        <f>IF(F163="","",LEFT($D$3,3)&amp;"-"&amp;TEXT(COUNTIF(F$14:F163,"?*"),"00"))</f>
        <v/>
      </c>
      <c r="B163" s="5"/>
      <c r="C163" s="6" t="str">
        <f t="shared" si="24"/>
        <v/>
      </c>
      <c r="D163" s="5"/>
      <c r="E163" s="5"/>
      <c r="F163" s="5"/>
      <c r="G163" s="5"/>
      <c r="H163" s="5"/>
      <c r="I163" s="5"/>
      <c r="J163" s="5"/>
      <c r="K163" s="15"/>
      <c r="L163" s="5"/>
      <c r="M163" s="15"/>
      <c r="N163" s="5"/>
      <c r="O163" s="15"/>
      <c r="P163" s="19" t="str">
        <f t="shared" si="25"/>
        <v/>
      </c>
      <c r="Q163" s="19" t="str">
        <f t="shared" si="26"/>
        <v/>
      </c>
      <c r="R163" s="19" t="str">
        <f t="shared" si="27"/>
        <v/>
      </c>
      <c r="S163" s="5"/>
      <c r="T163" s="5"/>
      <c r="U163" s="5"/>
      <c r="V163" s="24"/>
      <c r="W163" s="15"/>
      <c r="X163" s="15"/>
      <c r="Y163" s="15"/>
      <c r="Z163" s="19" t="str">
        <f t="shared" si="28"/>
        <v/>
      </c>
      <c r="AA163" s="19" t="str">
        <f t="shared" si="29"/>
        <v/>
      </c>
      <c r="AB163" s="5"/>
      <c r="AC163" s="5"/>
      <c r="AE163" t="str">
        <f>IFERROR(INDEX(EqTag,_xlfn.AGGREGATE(15,6,(ROW(EqTag)-4)/((EqSys=$D$3)*(EqTag&lt;&gt;"")),ROWS($AE$14:AE163))),"")</f>
        <v/>
      </c>
    </row>
  </sheetData>
  <mergeCells count="22">
    <mergeCell ref="S12:V12"/>
    <mergeCell ref="D8:O8"/>
    <mergeCell ref="AB12:AC12"/>
    <mergeCell ref="K12:R12"/>
    <mergeCell ref="D5:O5"/>
    <mergeCell ref="W12:AA12"/>
    <mergeCell ref="A11:O11"/>
    <mergeCell ref="A7:C7"/>
    <mergeCell ref="D6:O6"/>
    <mergeCell ref="D3:J3"/>
    <mergeCell ref="A3:C3"/>
    <mergeCell ref="A12:F12"/>
    <mergeCell ref="D7:O7"/>
    <mergeCell ref="L3:M3"/>
    <mergeCell ref="A5:C5"/>
    <mergeCell ref="A8:C8"/>
    <mergeCell ref="G12:J12"/>
    <mergeCell ref="D4:O4"/>
    <mergeCell ref="D9:O9"/>
    <mergeCell ref="A4:C4"/>
    <mergeCell ref="A9:C9"/>
    <mergeCell ref="A6:C6"/>
  </mergeCells>
  <conditionalFormatting sqref="Q14:Q163">
    <cfRule type="expression" dxfId="53" priority="1">
      <formula>Q14="H"</formula>
    </cfRule>
    <cfRule type="expression" dxfId="52" priority="3">
      <formula>Q14="M"</formula>
    </cfRule>
    <cfRule type="expression" dxfId="51" priority="5">
      <formula>Q14="L"</formula>
    </cfRule>
  </conditionalFormatting>
  <conditionalFormatting sqref="AA14:AA163">
    <cfRule type="expression" dxfId="50" priority="2">
      <formula>AA14="H"</formula>
    </cfRule>
    <cfRule type="expression" dxfId="49" priority="4">
      <formula>AA14="M"</formula>
    </cfRule>
    <cfRule type="expression" dxfId="48" priority="6">
      <formula>AA14="L"</formula>
    </cfRule>
  </conditionalFormatting>
  <conditionalFormatting sqref="R14:R163">
    <cfRule type="expression" dxfId="47" priority="7">
      <formula>R14="Yes"</formula>
    </cfRule>
  </conditionalFormatting>
  <conditionalFormatting sqref="P14:P163">
    <cfRule type="expression" dxfId="46" priority="8">
      <formula>AND(ISNUMBER(P14),P14&gt;=RPNThr)</formula>
    </cfRule>
  </conditionalFormatting>
  <conditionalFormatting sqref="Z14:Z163">
    <cfRule type="expression" dxfId="45" priority="9">
      <formula>AND(ISNUMBER(Z14),Z14&gt;=RPNThr)</formula>
    </cfRule>
  </conditionalFormatting>
  <dataValidations count="10">
    <dataValidation type="list" allowBlank="1" showInputMessage="1" showErrorMessage="1" promptTitle="Select" prompt="Choose the system analysed on this sheet" sqref="D3" xr:uid="{00000000-0002-0000-0B00-000000000000}">
      <formula1>SystemList</formula1>
    </dataValidation>
    <dataValidation type="list" errorStyle="information" allowBlank="1" showInputMessage="1" showErrorMessage="1" errorTitle="Not in list" error="Entry is not in the list – it will be accepted as free text." promptTitle="Select" prompt="Equipment tags of the selected system (from the Equipment Register)" sqref="B14:B163" xr:uid="{00000000-0002-0000-0B00-000001000000}">
      <formula1>OFFSET($AE$14,0,0,MAX(1,COUNTIFS(EqSys,$D$3,EqTag,"?*")),1)</formula1>
    </dataValidation>
    <dataValidation type="list" errorStyle="information" allowBlank="1" showInputMessage="1" showErrorMessage="1" errorTitle="Not in list" error="Entry is not in the list – it will be accepted as free text." promptTitle="Select" prompt="Components for this equipment type – or type your own" sqref="D14:D163" xr:uid="{00000000-0002-0000-0B00-000002000000}">
      <formula1>OFFSET(CompStart,MATCH($C14,CompType,0)-1,0,MAX(1,COUNTIF(CompType,$C14)),1)</formula1>
    </dataValidation>
    <dataValidation type="list" errorStyle="information" allowBlank="1" showInputMessage="1" showErrorMessage="1" errorTitle="Not in list" error="Entry is not in the list – it will be accepted as free text." promptTitle="Select" prompt="Failure modes for this equipment type – or type your own" sqref="F14:F163" xr:uid="{00000000-0002-0000-0B00-000003000000}">
      <formula1>OFFSET(FMStart,MATCH($C14,FMType,0)-1,0,MAX(1,COUNTIF(FMType,$C14)),1)</formula1>
    </dataValidation>
    <dataValidation type="list" allowBlank="1" showInputMessage="1" promptTitle="Multi-select" prompt="Pick a cause – each pick is added as a new line; pick again to remove." sqref="G14:G163" xr:uid="{00000000-0002-0000-0B00-000004000000}">
      <formula1>MechList</formula1>
    </dataValidation>
    <dataValidation type="list" allowBlank="1" showInputMessage="1" promptTitle="Multi-select" prompt="Pick a detection method – each pick is added as a new line; pick again to remove." sqref="N14:N163" xr:uid="{00000000-0002-0000-0B00-000005000000}">
      <formula1>DetList</formula1>
    </dataValidation>
    <dataValidation type="list" errorStyle="information" allowBlank="1" showErrorMessage="1" errorTitle="Not in list" error="Entry is not in the list – it will be accepted as free text." sqref="T14:T163" xr:uid="{00000000-0002-0000-0B00-000006000000}">
      <formula1>TaskList</formula1>
    </dataValidation>
    <dataValidation type="list" allowBlank="1" showErrorMessage="1" sqref="K14:K163 W14:W163" xr:uid="{00000000-0002-0000-0B00-000007000000}">
      <formula1>SevList</formula1>
    </dataValidation>
    <dataValidation type="list" allowBlank="1" showErrorMessage="1" sqref="M14:M163 X14:X163" xr:uid="{00000000-0002-0000-0B00-000008000000}">
      <formula1>OccList</formula1>
    </dataValidation>
    <dataValidation type="list" allowBlank="1" showErrorMessage="1" sqref="O14:O163 Y14:Y163" xr:uid="{00000000-0002-0000-0B00-000009000000}">
      <formula1>DetScaleList</formula1>
    </dataValidation>
  </dataValidations>
  <pageMargins left="0.75" right="0.75" top="1" bottom="1" header="0.5" footer="0.5"/>
  <pageSetup paperSize="8" fitToHeight="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pageSetUpPr fitToPage="1"/>
  </sheetPr>
  <dimension ref="A1:AE163"/>
  <sheetViews>
    <sheetView workbookViewId="0">
      <pane xSplit="2" ySplit="13" topLeftCell="C14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7" customWidth="1"/>
    <col min="2" max="2" width="14" customWidth="1"/>
    <col min="3" max="4" width="22" customWidth="1"/>
    <col min="5" max="5" width="26" customWidth="1"/>
    <col min="6" max="6" width="28" customWidth="1"/>
    <col min="7" max="7" width="44" customWidth="1"/>
    <col min="8" max="9" width="28" customWidth="1"/>
    <col min="10" max="10" width="32" customWidth="1"/>
    <col min="11" max="11" width="18" customWidth="1"/>
    <col min="12" max="12" width="30" customWidth="1"/>
    <col min="13" max="13" width="18" customWidth="1"/>
    <col min="14" max="14" width="38" customWidth="1"/>
    <col min="15" max="15" width="18" customWidth="1"/>
    <col min="16" max="16" width="7" customWidth="1"/>
    <col min="17" max="17" width="6" customWidth="1"/>
    <col min="18" max="18" width="9" customWidth="1"/>
    <col min="19" max="19" width="34" customWidth="1"/>
    <col min="20" max="20" width="22" customWidth="1"/>
    <col min="21" max="21" width="14" customWidth="1"/>
    <col min="22" max="22" width="12" customWidth="1"/>
    <col min="23" max="25" width="18" customWidth="1"/>
    <col min="26" max="26" width="7" customWidth="1"/>
    <col min="27" max="27" width="6" customWidth="1"/>
    <col min="28" max="28" width="12" customWidth="1"/>
    <col min="29" max="29" width="24" customWidth="1"/>
    <col min="31" max="31" width="13" hidden="1" customWidth="1"/>
  </cols>
  <sheetData>
    <row r="1" spans="1:31" ht="18" x14ac:dyDescent="0.2">
      <c r="A1" s="21" t="s">
        <v>820</v>
      </c>
      <c r="F1" s="22" t="str">
        <f>Cover!B7</f>
        <v>FMECA – [Plant / Unit name]</v>
      </c>
    </row>
    <row r="3" spans="1:31" ht="16" x14ac:dyDescent="0.2">
      <c r="A3" s="28" t="s">
        <v>821</v>
      </c>
      <c r="B3" s="29"/>
      <c r="C3" s="30"/>
      <c r="D3" s="26"/>
      <c r="E3" s="27"/>
      <c r="F3" s="27"/>
      <c r="G3" s="27"/>
      <c r="H3" s="27"/>
      <c r="I3" s="27"/>
      <c r="J3" s="27"/>
      <c r="K3" s="23" t="s">
        <v>822</v>
      </c>
      <c r="L3" s="34"/>
      <c r="M3" s="27"/>
      <c r="N3" s="23" t="s">
        <v>823</v>
      </c>
      <c r="O3" s="19" t="str">
        <f>IF($D$3="","",COUNTIFS(EqSys,$D$3,EqTag,"?*"))</f>
        <v/>
      </c>
    </row>
    <row r="4" spans="1:31" ht="16" customHeight="1" x14ac:dyDescent="0.2">
      <c r="A4" s="35" t="s">
        <v>824</v>
      </c>
      <c r="B4" s="27"/>
      <c r="C4" s="27"/>
      <c r="D4" s="33" t="str">
        <f>IF($D$3="","",IFERROR(INDEX(Systems!$B$5:$B$34,MATCH($D$3,Systems!$C$5:$C$34,0))&amp;"",""))</f>
        <v/>
      </c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</row>
    <row r="5" spans="1:31" ht="30" customHeight="1" x14ac:dyDescent="0.2">
      <c r="A5" s="35" t="s">
        <v>140</v>
      </c>
      <c r="B5" s="27"/>
      <c r="C5" s="27"/>
      <c r="D5" s="33" t="str">
        <f>IF($D$3="","",IFERROR(INDEX(Systems!$D$5:$D$34,MATCH($D$3,Systems!$C$5:$C$34,0))&amp;"",""))</f>
        <v/>
      </c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</row>
    <row r="6" spans="1:31" ht="30" customHeight="1" x14ac:dyDescent="0.2">
      <c r="A6" s="35" t="s">
        <v>24</v>
      </c>
      <c r="B6" s="27"/>
      <c r="C6" s="27"/>
      <c r="D6" s="33" t="str">
        <f>IF($D$3="","",IFERROR(INDEX(Systems!$E$5:$E$34,MATCH($D$3,Systems!$C$5:$C$34,0))&amp;"",""))</f>
        <v/>
      </c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</row>
    <row r="7" spans="1:31" ht="30" customHeight="1" x14ac:dyDescent="0.2">
      <c r="A7" s="35" t="s">
        <v>142</v>
      </c>
      <c r="B7" s="27"/>
      <c r="C7" s="27"/>
      <c r="D7" s="33" t="str">
        <f>IF($D$3="","",IFERROR(INDEX(Systems!$F$5:$F$34,MATCH($D$3,Systems!$C$5:$C$34,0))&amp;"",""))</f>
        <v/>
      </c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</row>
    <row r="8" spans="1:31" ht="16" customHeight="1" x14ac:dyDescent="0.2">
      <c r="A8" s="35" t="s">
        <v>143</v>
      </c>
      <c r="B8" s="27"/>
      <c r="C8" s="27"/>
      <c r="D8" s="33" t="str">
        <f>IF($D$3="","",IFERROR(INDEX(Systems!$G$5:$G$34,MATCH($D$3,Systems!$C$5:$C$34,0))&amp;"",""))</f>
        <v/>
      </c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</row>
    <row r="9" spans="1:31" ht="16" customHeight="1" x14ac:dyDescent="0.2">
      <c r="A9" s="35" t="s">
        <v>144</v>
      </c>
      <c r="B9" s="27"/>
      <c r="C9" s="27"/>
      <c r="D9" s="33" t="str">
        <f>IF($D$3="","",IFERROR(INDEX(Systems!$H$5:$H$34,MATCH($D$3,Systems!$C$5:$C$34,0))&amp;"",""))</f>
        <v/>
      </c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</row>
    <row r="11" spans="1:31" ht="26" customHeight="1" x14ac:dyDescent="0.2">
      <c r="A11" s="36" t="s">
        <v>825</v>
      </c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</row>
    <row r="12" spans="1:31" x14ac:dyDescent="0.2">
      <c r="A12" s="31" t="s">
        <v>826</v>
      </c>
      <c r="B12" s="32"/>
      <c r="C12" s="32"/>
      <c r="D12" s="32"/>
      <c r="E12" s="32"/>
      <c r="F12" s="32"/>
      <c r="G12" s="31" t="s">
        <v>827</v>
      </c>
      <c r="H12" s="32"/>
      <c r="I12" s="32"/>
      <c r="J12" s="32"/>
      <c r="K12" s="31" t="s">
        <v>828</v>
      </c>
      <c r="L12" s="32"/>
      <c r="M12" s="32"/>
      <c r="N12" s="32"/>
      <c r="O12" s="32"/>
      <c r="P12" s="32"/>
      <c r="Q12" s="32"/>
      <c r="R12" s="32"/>
      <c r="S12" s="31" t="s">
        <v>829</v>
      </c>
      <c r="T12" s="32"/>
      <c r="U12" s="32"/>
      <c r="V12" s="32"/>
      <c r="W12" s="31" t="s">
        <v>830</v>
      </c>
      <c r="X12" s="32"/>
      <c r="Y12" s="32"/>
      <c r="Z12" s="32"/>
      <c r="AA12" s="32"/>
      <c r="AB12" s="31" t="s">
        <v>831</v>
      </c>
      <c r="AC12" s="32"/>
    </row>
    <row r="13" spans="1:31" ht="54" customHeight="1" x14ac:dyDescent="0.2">
      <c r="A13" s="8" t="s">
        <v>62</v>
      </c>
      <c r="B13" s="8" t="s">
        <v>192</v>
      </c>
      <c r="C13" s="8" t="s">
        <v>832</v>
      </c>
      <c r="D13" s="8" t="s">
        <v>260</v>
      </c>
      <c r="E13" s="8" t="s">
        <v>833</v>
      </c>
      <c r="F13" s="8" t="s">
        <v>261</v>
      </c>
      <c r="G13" s="8" t="s">
        <v>834</v>
      </c>
      <c r="H13" s="8" t="s">
        <v>835</v>
      </c>
      <c r="I13" s="8" t="s">
        <v>836</v>
      </c>
      <c r="J13" s="8" t="s">
        <v>837</v>
      </c>
      <c r="K13" s="8" t="s">
        <v>685</v>
      </c>
      <c r="L13" s="8" t="s">
        <v>838</v>
      </c>
      <c r="M13" s="8" t="s">
        <v>718</v>
      </c>
      <c r="N13" s="8" t="s">
        <v>839</v>
      </c>
      <c r="O13" s="8" t="s">
        <v>739</v>
      </c>
      <c r="P13" s="8" t="s">
        <v>840</v>
      </c>
      <c r="Q13" s="8" t="s">
        <v>841</v>
      </c>
      <c r="R13" s="8" t="s">
        <v>842</v>
      </c>
      <c r="S13" s="8" t="s">
        <v>843</v>
      </c>
      <c r="T13" s="8" t="s">
        <v>264</v>
      </c>
      <c r="U13" s="8" t="s">
        <v>844</v>
      </c>
      <c r="V13" s="8" t="s">
        <v>845</v>
      </c>
      <c r="W13" s="8" t="s">
        <v>685</v>
      </c>
      <c r="X13" s="8" t="s">
        <v>718</v>
      </c>
      <c r="Y13" s="8" t="s">
        <v>739</v>
      </c>
      <c r="Z13" s="8" t="s">
        <v>846</v>
      </c>
      <c r="AA13" s="8" t="s">
        <v>847</v>
      </c>
      <c r="AB13" s="8" t="s">
        <v>848</v>
      </c>
      <c r="AC13" s="8" t="s">
        <v>68</v>
      </c>
    </row>
    <row r="14" spans="1:31" ht="30" customHeight="1" x14ac:dyDescent="0.2">
      <c r="A14" s="19" t="str">
        <f>IF(F14="","",LEFT($D$3,3)&amp;"-"&amp;TEXT(COUNTIF(F$14:F14,"?*"),"00"))</f>
        <v/>
      </c>
      <c r="B14" s="5"/>
      <c r="C14" s="6" t="str">
        <f t="shared" ref="C14:C45" si="0">IF(B14="","",IFERROR(INDEX(EqTypeCol,MATCH(B14,EqTag,0)),"Tag not in register"))</f>
        <v/>
      </c>
      <c r="D14" s="5"/>
      <c r="E14" s="5"/>
      <c r="F14" s="5"/>
      <c r="G14" s="5"/>
      <c r="H14" s="5"/>
      <c r="I14" s="5"/>
      <c r="J14" s="5"/>
      <c r="K14" s="15"/>
      <c r="L14" s="5"/>
      <c r="M14" s="15"/>
      <c r="N14" s="5"/>
      <c r="O14" s="15"/>
      <c r="P14" s="19" t="str">
        <f t="shared" ref="P14:P45" si="1">IF(OR(K14="",M14="",O14=""),"",(--TRIM(LEFT(K14,2)))*(--TRIM(LEFT(M14,2)))*(--TRIM(LEFT(O14,2))))</f>
        <v/>
      </c>
      <c r="Q14" s="19" t="str">
        <f t="shared" ref="Q14:Q45" si="2">IF(OR(K14="",M14="",O14=""),"",INDEX(APGrid,COUNTIF(APS,"&gt;"&amp;(--TRIM(LEFT(K14,2))))*5+COUNTIF(APO,"&gt;"&amp;(--TRIM(LEFT(M14,2))))+1,COUNTIF(APD,"&gt;"&amp;(--TRIM(LEFT(O14,2))))+1))</f>
        <v/>
      </c>
      <c r="R14" s="19" t="str">
        <f t="shared" ref="R14:R45" si="3">IF(P14="","",IF(OR((--TRIM(LEFT(K14,2)))&gt;=SThr,P14&gt;=RPNThr,Q14="H"),"Yes","No"))</f>
        <v/>
      </c>
      <c r="S14" s="5"/>
      <c r="T14" s="5"/>
      <c r="U14" s="5"/>
      <c r="V14" s="24"/>
      <c r="W14" s="15"/>
      <c r="X14" s="15"/>
      <c r="Y14" s="15"/>
      <c r="Z14" s="19" t="str">
        <f t="shared" ref="Z14:Z45" si="4">IF(OR(W14="",X14="",Y14=""),"",(--TRIM(LEFT(W14,2)))*(--TRIM(LEFT(X14,2)))*(--TRIM(LEFT(Y14,2))))</f>
        <v/>
      </c>
      <c r="AA14" s="19" t="str">
        <f t="shared" ref="AA14:AA45" si="5">IF(OR(W14="",X14="",Y14=""),"",INDEX(APGrid,COUNTIF(APS,"&gt;"&amp;(--TRIM(LEFT(W14,2))))*5+COUNTIF(APO,"&gt;"&amp;(--TRIM(LEFT(X14,2))))+1,COUNTIF(APD,"&gt;"&amp;(--TRIM(LEFT(Y14,2))))+1))</f>
        <v/>
      </c>
      <c r="AB14" s="5"/>
      <c r="AC14" s="5"/>
      <c r="AE14" t="str">
        <f>IFERROR(INDEX(EqTag,_xlfn.AGGREGATE(15,6,(ROW(EqTag)-4)/((EqSys=$D$3)*(EqTag&lt;&gt;"")),ROWS($AE$14:AE14))),"")</f>
        <v/>
      </c>
    </row>
    <row r="15" spans="1:31" ht="30" customHeight="1" x14ac:dyDescent="0.2">
      <c r="A15" s="19" t="str">
        <f>IF(F15="","",LEFT($D$3,3)&amp;"-"&amp;TEXT(COUNTIF(F$14:F15,"?*"),"00"))</f>
        <v/>
      </c>
      <c r="B15" s="5"/>
      <c r="C15" s="6" t="str">
        <f t="shared" si="0"/>
        <v/>
      </c>
      <c r="D15" s="5"/>
      <c r="E15" s="5"/>
      <c r="F15" s="5"/>
      <c r="G15" s="5"/>
      <c r="H15" s="5"/>
      <c r="I15" s="5"/>
      <c r="J15" s="5"/>
      <c r="K15" s="15"/>
      <c r="L15" s="5"/>
      <c r="M15" s="15"/>
      <c r="N15" s="5"/>
      <c r="O15" s="15"/>
      <c r="P15" s="19" t="str">
        <f t="shared" si="1"/>
        <v/>
      </c>
      <c r="Q15" s="19" t="str">
        <f t="shared" si="2"/>
        <v/>
      </c>
      <c r="R15" s="19" t="str">
        <f t="shared" si="3"/>
        <v/>
      </c>
      <c r="S15" s="5"/>
      <c r="T15" s="5"/>
      <c r="U15" s="5"/>
      <c r="V15" s="24"/>
      <c r="W15" s="15"/>
      <c r="X15" s="15"/>
      <c r="Y15" s="15"/>
      <c r="Z15" s="19" t="str">
        <f t="shared" si="4"/>
        <v/>
      </c>
      <c r="AA15" s="19" t="str">
        <f t="shared" si="5"/>
        <v/>
      </c>
      <c r="AB15" s="5"/>
      <c r="AC15" s="5"/>
      <c r="AE15" t="str">
        <f>IFERROR(INDEX(EqTag,_xlfn.AGGREGATE(15,6,(ROW(EqTag)-4)/((EqSys=$D$3)*(EqTag&lt;&gt;"")),ROWS($AE$14:AE15))),"")</f>
        <v/>
      </c>
    </row>
    <row r="16" spans="1:31" ht="30" customHeight="1" x14ac:dyDescent="0.2">
      <c r="A16" s="19" t="str">
        <f>IF(F16="","",LEFT($D$3,3)&amp;"-"&amp;TEXT(COUNTIF(F$14:F16,"?*"),"00"))</f>
        <v/>
      </c>
      <c r="B16" s="5"/>
      <c r="C16" s="6" t="str">
        <f t="shared" si="0"/>
        <v/>
      </c>
      <c r="D16" s="5"/>
      <c r="E16" s="5"/>
      <c r="F16" s="5"/>
      <c r="G16" s="5"/>
      <c r="H16" s="5"/>
      <c r="I16" s="5"/>
      <c r="J16" s="5"/>
      <c r="K16" s="15"/>
      <c r="L16" s="5"/>
      <c r="M16" s="15"/>
      <c r="N16" s="5"/>
      <c r="O16" s="15"/>
      <c r="P16" s="19" t="str">
        <f t="shared" si="1"/>
        <v/>
      </c>
      <c r="Q16" s="19" t="str">
        <f t="shared" si="2"/>
        <v/>
      </c>
      <c r="R16" s="19" t="str">
        <f t="shared" si="3"/>
        <v/>
      </c>
      <c r="S16" s="5"/>
      <c r="T16" s="5"/>
      <c r="U16" s="5"/>
      <c r="V16" s="24"/>
      <c r="W16" s="15"/>
      <c r="X16" s="15"/>
      <c r="Y16" s="15"/>
      <c r="Z16" s="19" t="str">
        <f t="shared" si="4"/>
        <v/>
      </c>
      <c r="AA16" s="19" t="str">
        <f t="shared" si="5"/>
        <v/>
      </c>
      <c r="AB16" s="5"/>
      <c r="AC16" s="5"/>
      <c r="AE16" t="str">
        <f>IFERROR(INDEX(EqTag,_xlfn.AGGREGATE(15,6,(ROW(EqTag)-4)/((EqSys=$D$3)*(EqTag&lt;&gt;"")),ROWS($AE$14:AE16))),"")</f>
        <v/>
      </c>
    </row>
    <row r="17" spans="1:31" ht="30" customHeight="1" x14ac:dyDescent="0.2">
      <c r="A17" s="19" t="str">
        <f>IF(F17="","",LEFT($D$3,3)&amp;"-"&amp;TEXT(COUNTIF(F$14:F17,"?*"),"00"))</f>
        <v/>
      </c>
      <c r="B17" s="5"/>
      <c r="C17" s="6" t="str">
        <f t="shared" si="0"/>
        <v/>
      </c>
      <c r="D17" s="5"/>
      <c r="E17" s="5"/>
      <c r="F17" s="5"/>
      <c r="G17" s="5"/>
      <c r="H17" s="5"/>
      <c r="I17" s="5"/>
      <c r="J17" s="5"/>
      <c r="K17" s="15"/>
      <c r="L17" s="5"/>
      <c r="M17" s="15"/>
      <c r="N17" s="5"/>
      <c r="O17" s="15"/>
      <c r="P17" s="19" t="str">
        <f t="shared" si="1"/>
        <v/>
      </c>
      <c r="Q17" s="19" t="str">
        <f t="shared" si="2"/>
        <v/>
      </c>
      <c r="R17" s="19" t="str">
        <f t="shared" si="3"/>
        <v/>
      </c>
      <c r="S17" s="5"/>
      <c r="T17" s="5"/>
      <c r="U17" s="5"/>
      <c r="V17" s="24"/>
      <c r="W17" s="15"/>
      <c r="X17" s="15"/>
      <c r="Y17" s="15"/>
      <c r="Z17" s="19" t="str">
        <f t="shared" si="4"/>
        <v/>
      </c>
      <c r="AA17" s="19" t="str">
        <f t="shared" si="5"/>
        <v/>
      </c>
      <c r="AB17" s="5"/>
      <c r="AC17" s="5"/>
      <c r="AE17" t="str">
        <f>IFERROR(INDEX(EqTag,_xlfn.AGGREGATE(15,6,(ROW(EqTag)-4)/((EqSys=$D$3)*(EqTag&lt;&gt;"")),ROWS($AE$14:AE17))),"")</f>
        <v/>
      </c>
    </row>
    <row r="18" spans="1:31" ht="30" customHeight="1" x14ac:dyDescent="0.2">
      <c r="A18" s="19" t="str">
        <f>IF(F18="","",LEFT($D$3,3)&amp;"-"&amp;TEXT(COUNTIF(F$14:F18,"?*"),"00"))</f>
        <v/>
      </c>
      <c r="B18" s="5"/>
      <c r="C18" s="6" t="str">
        <f t="shared" si="0"/>
        <v/>
      </c>
      <c r="D18" s="5"/>
      <c r="E18" s="5"/>
      <c r="F18" s="5"/>
      <c r="G18" s="5"/>
      <c r="H18" s="5"/>
      <c r="I18" s="5"/>
      <c r="J18" s="5"/>
      <c r="K18" s="15"/>
      <c r="L18" s="5"/>
      <c r="M18" s="15"/>
      <c r="N18" s="5"/>
      <c r="O18" s="15"/>
      <c r="P18" s="19" t="str">
        <f t="shared" si="1"/>
        <v/>
      </c>
      <c r="Q18" s="19" t="str">
        <f t="shared" si="2"/>
        <v/>
      </c>
      <c r="R18" s="19" t="str">
        <f t="shared" si="3"/>
        <v/>
      </c>
      <c r="S18" s="5"/>
      <c r="T18" s="5"/>
      <c r="U18" s="5"/>
      <c r="V18" s="24"/>
      <c r="W18" s="15"/>
      <c r="X18" s="15"/>
      <c r="Y18" s="15"/>
      <c r="Z18" s="19" t="str">
        <f t="shared" si="4"/>
        <v/>
      </c>
      <c r="AA18" s="19" t="str">
        <f t="shared" si="5"/>
        <v/>
      </c>
      <c r="AB18" s="5"/>
      <c r="AC18" s="5"/>
      <c r="AE18" t="str">
        <f>IFERROR(INDEX(EqTag,_xlfn.AGGREGATE(15,6,(ROW(EqTag)-4)/((EqSys=$D$3)*(EqTag&lt;&gt;"")),ROWS($AE$14:AE18))),"")</f>
        <v/>
      </c>
    </row>
    <row r="19" spans="1:31" ht="30" customHeight="1" x14ac:dyDescent="0.2">
      <c r="A19" s="19" t="str">
        <f>IF(F19="","",LEFT($D$3,3)&amp;"-"&amp;TEXT(COUNTIF(F$14:F19,"?*"),"00"))</f>
        <v/>
      </c>
      <c r="B19" s="5"/>
      <c r="C19" s="6" t="str">
        <f t="shared" si="0"/>
        <v/>
      </c>
      <c r="D19" s="5"/>
      <c r="E19" s="5"/>
      <c r="F19" s="5"/>
      <c r="G19" s="5"/>
      <c r="H19" s="5"/>
      <c r="I19" s="5"/>
      <c r="J19" s="5"/>
      <c r="K19" s="15"/>
      <c r="L19" s="5"/>
      <c r="M19" s="15"/>
      <c r="N19" s="5"/>
      <c r="O19" s="15"/>
      <c r="P19" s="19" t="str">
        <f t="shared" si="1"/>
        <v/>
      </c>
      <c r="Q19" s="19" t="str">
        <f t="shared" si="2"/>
        <v/>
      </c>
      <c r="R19" s="19" t="str">
        <f t="shared" si="3"/>
        <v/>
      </c>
      <c r="S19" s="5"/>
      <c r="T19" s="5"/>
      <c r="U19" s="5"/>
      <c r="V19" s="24"/>
      <c r="W19" s="15"/>
      <c r="X19" s="15"/>
      <c r="Y19" s="15"/>
      <c r="Z19" s="19" t="str">
        <f t="shared" si="4"/>
        <v/>
      </c>
      <c r="AA19" s="19" t="str">
        <f t="shared" si="5"/>
        <v/>
      </c>
      <c r="AB19" s="5"/>
      <c r="AC19" s="5"/>
      <c r="AE19" t="str">
        <f>IFERROR(INDEX(EqTag,_xlfn.AGGREGATE(15,6,(ROW(EqTag)-4)/((EqSys=$D$3)*(EqTag&lt;&gt;"")),ROWS($AE$14:AE19))),"")</f>
        <v/>
      </c>
    </row>
    <row r="20" spans="1:31" ht="30" customHeight="1" x14ac:dyDescent="0.2">
      <c r="A20" s="19" t="str">
        <f>IF(F20="","",LEFT($D$3,3)&amp;"-"&amp;TEXT(COUNTIF(F$14:F20,"?*"),"00"))</f>
        <v/>
      </c>
      <c r="B20" s="5"/>
      <c r="C20" s="6" t="str">
        <f t="shared" si="0"/>
        <v/>
      </c>
      <c r="D20" s="5"/>
      <c r="E20" s="5"/>
      <c r="F20" s="5"/>
      <c r="G20" s="5"/>
      <c r="H20" s="5"/>
      <c r="I20" s="5"/>
      <c r="J20" s="5"/>
      <c r="K20" s="15"/>
      <c r="L20" s="5"/>
      <c r="M20" s="15"/>
      <c r="N20" s="5"/>
      <c r="O20" s="15"/>
      <c r="P20" s="19" t="str">
        <f t="shared" si="1"/>
        <v/>
      </c>
      <c r="Q20" s="19" t="str">
        <f t="shared" si="2"/>
        <v/>
      </c>
      <c r="R20" s="19" t="str">
        <f t="shared" si="3"/>
        <v/>
      </c>
      <c r="S20" s="5"/>
      <c r="T20" s="5"/>
      <c r="U20" s="5"/>
      <c r="V20" s="24"/>
      <c r="W20" s="15"/>
      <c r="X20" s="15"/>
      <c r="Y20" s="15"/>
      <c r="Z20" s="19" t="str">
        <f t="shared" si="4"/>
        <v/>
      </c>
      <c r="AA20" s="19" t="str">
        <f t="shared" si="5"/>
        <v/>
      </c>
      <c r="AB20" s="5"/>
      <c r="AC20" s="5"/>
      <c r="AE20" t="str">
        <f>IFERROR(INDEX(EqTag,_xlfn.AGGREGATE(15,6,(ROW(EqTag)-4)/((EqSys=$D$3)*(EqTag&lt;&gt;"")),ROWS($AE$14:AE20))),"")</f>
        <v/>
      </c>
    </row>
    <row r="21" spans="1:31" ht="30" customHeight="1" x14ac:dyDescent="0.2">
      <c r="A21" s="19" t="str">
        <f>IF(F21="","",LEFT($D$3,3)&amp;"-"&amp;TEXT(COUNTIF(F$14:F21,"?*"),"00"))</f>
        <v/>
      </c>
      <c r="B21" s="5"/>
      <c r="C21" s="6" t="str">
        <f t="shared" si="0"/>
        <v/>
      </c>
      <c r="D21" s="5"/>
      <c r="E21" s="5"/>
      <c r="F21" s="5"/>
      <c r="G21" s="5"/>
      <c r="H21" s="5"/>
      <c r="I21" s="5"/>
      <c r="J21" s="5"/>
      <c r="K21" s="15"/>
      <c r="L21" s="5"/>
      <c r="M21" s="15"/>
      <c r="N21" s="5"/>
      <c r="O21" s="15"/>
      <c r="P21" s="19" t="str">
        <f t="shared" si="1"/>
        <v/>
      </c>
      <c r="Q21" s="19" t="str">
        <f t="shared" si="2"/>
        <v/>
      </c>
      <c r="R21" s="19" t="str">
        <f t="shared" si="3"/>
        <v/>
      </c>
      <c r="S21" s="5"/>
      <c r="T21" s="5"/>
      <c r="U21" s="5"/>
      <c r="V21" s="24"/>
      <c r="W21" s="15"/>
      <c r="X21" s="15"/>
      <c r="Y21" s="15"/>
      <c r="Z21" s="19" t="str">
        <f t="shared" si="4"/>
        <v/>
      </c>
      <c r="AA21" s="19" t="str">
        <f t="shared" si="5"/>
        <v/>
      </c>
      <c r="AB21" s="5"/>
      <c r="AC21" s="5"/>
      <c r="AE21" t="str">
        <f>IFERROR(INDEX(EqTag,_xlfn.AGGREGATE(15,6,(ROW(EqTag)-4)/((EqSys=$D$3)*(EqTag&lt;&gt;"")),ROWS($AE$14:AE21))),"")</f>
        <v/>
      </c>
    </row>
    <row r="22" spans="1:31" ht="30" customHeight="1" x14ac:dyDescent="0.2">
      <c r="A22" s="19" t="str">
        <f>IF(F22="","",LEFT($D$3,3)&amp;"-"&amp;TEXT(COUNTIF(F$14:F22,"?*"),"00"))</f>
        <v/>
      </c>
      <c r="B22" s="5"/>
      <c r="C22" s="6" t="str">
        <f t="shared" si="0"/>
        <v/>
      </c>
      <c r="D22" s="5"/>
      <c r="E22" s="5"/>
      <c r="F22" s="5"/>
      <c r="G22" s="5"/>
      <c r="H22" s="5"/>
      <c r="I22" s="5"/>
      <c r="J22" s="5"/>
      <c r="K22" s="15"/>
      <c r="L22" s="5"/>
      <c r="M22" s="15"/>
      <c r="N22" s="5"/>
      <c r="O22" s="15"/>
      <c r="P22" s="19" t="str">
        <f t="shared" si="1"/>
        <v/>
      </c>
      <c r="Q22" s="19" t="str">
        <f t="shared" si="2"/>
        <v/>
      </c>
      <c r="R22" s="19" t="str">
        <f t="shared" si="3"/>
        <v/>
      </c>
      <c r="S22" s="5"/>
      <c r="T22" s="5"/>
      <c r="U22" s="5"/>
      <c r="V22" s="24"/>
      <c r="W22" s="15"/>
      <c r="X22" s="15"/>
      <c r="Y22" s="15"/>
      <c r="Z22" s="19" t="str">
        <f t="shared" si="4"/>
        <v/>
      </c>
      <c r="AA22" s="19" t="str">
        <f t="shared" si="5"/>
        <v/>
      </c>
      <c r="AB22" s="5"/>
      <c r="AC22" s="5"/>
      <c r="AE22" t="str">
        <f>IFERROR(INDEX(EqTag,_xlfn.AGGREGATE(15,6,(ROW(EqTag)-4)/((EqSys=$D$3)*(EqTag&lt;&gt;"")),ROWS($AE$14:AE22))),"")</f>
        <v/>
      </c>
    </row>
    <row r="23" spans="1:31" ht="30" customHeight="1" x14ac:dyDescent="0.2">
      <c r="A23" s="19" t="str">
        <f>IF(F23="","",LEFT($D$3,3)&amp;"-"&amp;TEXT(COUNTIF(F$14:F23,"?*"),"00"))</f>
        <v/>
      </c>
      <c r="B23" s="5"/>
      <c r="C23" s="6" t="str">
        <f t="shared" si="0"/>
        <v/>
      </c>
      <c r="D23" s="5"/>
      <c r="E23" s="5"/>
      <c r="F23" s="5"/>
      <c r="G23" s="5"/>
      <c r="H23" s="5"/>
      <c r="I23" s="5"/>
      <c r="J23" s="5"/>
      <c r="K23" s="15"/>
      <c r="L23" s="5"/>
      <c r="M23" s="15"/>
      <c r="N23" s="5"/>
      <c r="O23" s="15"/>
      <c r="P23" s="19" t="str">
        <f t="shared" si="1"/>
        <v/>
      </c>
      <c r="Q23" s="19" t="str">
        <f t="shared" si="2"/>
        <v/>
      </c>
      <c r="R23" s="19" t="str">
        <f t="shared" si="3"/>
        <v/>
      </c>
      <c r="S23" s="5"/>
      <c r="T23" s="5"/>
      <c r="U23" s="5"/>
      <c r="V23" s="24"/>
      <c r="W23" s="15"/>
      <c r="X23" s="15"/>
      <c r="Y23" s="15"/>
      <c r="Z23" s="19" t="str">
        <f t="shared" si="4"/>
        <v/>
      </c>
      <c r="AA23" s="19" t="str">
        <f t="shared" si="5"/>
        <v/>
      </c>
      <c r="AB23" s="5"/>
      <c r="AC23" s="5"/>
      <c r="AE23" t="str">
        <f>IFERROR(INDEX(EqTag,_xlfn.AGGREGATE(15,6,(ROW(EqTag)-4)/((EqSys=$D$3)*(EqTag&lt;&gt;"")),ROWS($AE$14:AE23))),"")</f>
        <v/>
      </c>
    </row>
    <row r="24" spans="1:31" ht="30" customHeight="1" x14ac:dyDescent="0.2">
      <c r="A24" s="19" t="str">
        <f>IF(F24="","",LEFT($D$3,3)&amp;"-"&amp;TEXT(COUNTIF(F$14:F24,"?*"),"00"))</f>
        <v/>
      </c>
      <c r="B24" s="5"/>
      <c r="C24" s="6" t="str">
        <f t="shared" si="0"/>
        <v/>
      </c>
      <c r="D24" s="5"/>
      <c r="E24" s="5"/>
      <c r="F24" s="5"/>
      <c r="G24" s="5"/>
      <c r="H24" s="5"/>
      <c r="I24" s="5"/>
      <c r="J24" s="5"/>
      <c r="K24" s="15"/>
      <c r="L24" s="5"/>
      <c r="M24" s="15"/>
      <c r="N24" s="5"/>
      <c r="O24" s="15"/>
      <c r="P24" s="19" t="str">
        <f t="shared" si="1"/>
        <v/>
      </c>
      <c r="Q24" s="19" t="str">
        <f t="shared" si="2"/>
        <v/>
      </c>
      <c r="R24" s="19" t="str">
        <f t="shared" si="3"/>
        <v/>
      </c>
      <c r="S24" s="5"/>
      <c r="T24" s="5"/>
      <c r="U24" s="5"/>
      <c r="V24" s="24"/>
      <c r="W24" s="15"/>
      <c r="X24" s="15"/>
      <c r="Y24" s="15"/>
      <c r="Z24" s="19" t="str">
        <f t="shared" si="4"/>
        <v/>
      </c>
      <c r="AA24" s="19" t="str">
        <f t="shared" si="5"/>
        <v/>
      </c>
      <c r="AB24" s="5"/>
      <c r="AC24" s="5"/>
      <c r="AE24" t="str">
        <f>IFERROR(INDEX(EqTag,_xlfn.AGGREGATE(15,6,(ROW(EqTag)-4)/((EqSys=$D$3)*(EqTag&lt;&gt;"")),ROWS($AE$14:AE24))),"")</f>
        <v/>
      </c>
    </row>
    <row r="25" spans="1:31" ht="30" customHeight="1" x14ac:dyDescent="0.2">
      <c r="A25" s="19" t="str">
        <f>IF(F25="","",LEFT($D$3,3)&amp;"-"&amp;TEXT(COUNTIF(F$14:F25,"?*"),"00"))</f>
        <v/>
      </c>
      <c r="B25" s="5"/>
      <c r="C25" s="6" t="str">
        <f t="shared" si="0"/>
        <v/>
      </c>
      <c r="D25" s="5"/>
      <c r="E25" s="5"/>
      <c r="F25" s="5"/>
      <c r="G25" s="5"/>
      <c r="H25" s="5"/>
      <c r="I25" s="5"/>
      <c r="J25" s="5"/>
      <c r="K25" s="15"/>
      <c r="L25" s="5"/>
      <c r="M25" s="15"/>
      <c r="N25" s="5"/>
      <c r="O25" s="15"/>
      <c r="P25" s="19" t="str">
        <f t="shared" si="1"/>
        <v/>
      </c>
      <c r="Q25" s="19" t="str">
        <f t="shared" si="2"/>
        <v/>
      </c>
      <c r="R25" s="19" t="str">
        <f t="shared" si="3"/>
        <v/>
      </c>
      <c r="S25" s="5"/>
      <c r="T25" s="5"/>
      <c r="U25" s="5"/>
      <c r="V25" s="24"/>
      <c r="W25" s="15"/>
      <c r="X25" s="15"/>
      <c r="Y25" s="15"/>
      <c r="Z25" s="19" t="str">
        <f t="shared" si="4"/>
        <v/>
      </c>
      <c r="AA25" s="19" t="str">
        <f t="shared" si="5"/>
        <v/>
      </c>
      <c r="AB25" s="5"/>
      <c r="AC25" s="5"/>
      <c r="AE25" t="str">
        <f>IFERROR(INDEX(EqTag,_xlfn.AGGREGATE(15,6,(ROW(EqTag)-4)/((EqSys=$D$3)*(EqTag&lt;&gt;"")),ROWS($AE$14:AE25))),"")</f>
        <v/>
      </c>
    </row>
    <row r="26" spans="1:31" ht="30" customHeight="1" x14ac:dyDescent="0.2">
      <c r="A26" s="19" t="str">
        <f>IF(F26="","",LEFT($D$3,3)&amp;"-"&amp;TEXT(COUNTIF(F$14:F26,"?*"),"00"))</f>
        <v/>
      </c>
      <c r="B26" s="5"/>
      <c r="C26" s="6" t="str">
        <f t="shared" si="0"/>
        <v/>
      </c>
      <c r="D26" s="5"/>
      <c r="E26" s="5"/>
      <c r="F26" s="5"/>
      <c r="G26" s="5"/>
      <c r="H26" s="5"/>
      <c r="I26" s="5"/>
      <c r="J26" s="5"/>
      <c r="K26" s="15"/>
      <c r="L26" s="5"/>
      <c r="M26" s="15"/>
      <c r="N26" s="5"/>
      <c r="O26" s="15"/>
      <c r="P26" s="19" t="str">
        <f t="shared" si="1"/>
        <v/>
      </c>
      <c r="Q26" s="19" t="str">
        <f t="shared" si="2"/>
        <v/>
      </c>
      <c r="R26" s="19" t="str">
        <f t="shared" si="3"/>
        <v/>
      </c>
      <c r="S26" s="5"/>
      <c r="T26" s="5"/>
      <c r="U26" s="5"/>
      <c r="V26" s="24"/>
      <c r="W26" s="15"/>
      <c r="X26" s="15"/>
      <c r="Y26" s="15"/>
      <c r="Z26" s="19" t="str">
        <f t="shared" si="4"/>
        <v/>
      </c>
      <c r="AA26" s="19" t="str">
        <f t="shared" si="5"/>
        <v/>
      </c>
      <c r="AB26" s="5"/>
      <c r="AC26" s="5"/>
      <c r="AE26" t="str">
        <f>IFERROR(INDEX(EqTag,_xlfn.AGGREGATE(15,6,(ROW(EqTag)-4)/((EqSys=$D$3)*(EqTag&lt;&gt;"")),ROWS($AE$14:AE26))),"")</f>
        <v/>
      </c>
    </row>
    <row r="27" spans="1:31" ht="30" customHeight="1" x14ac:dyDescent="0.2">
      <c r="A27" s="19" t="str">
        <f>IF(F27="","",LEFT($D$3,3)&amp;"-"&amp;TEXT(COUNTIF(F$14:F27,"?*"),"00"))</f>
        <v/>
      </c>
      <c r="B27" s="5"/>
      <c r="C27" s="6" t="str">
        <f t="shared" si="0"/>
        <v/>
      </c>
      <c r="D27" s="5"/>
      <c r="E27" s="5"/>
      <c r="F27" s="5"/>
      <c r="G27" s="5"/>
      <c r="H27" s="5"/>
      <c r="I27" s="5"/>
      <c r="J27" s="5"/>
      <c r="K27" s="15"/>
      <c r="L27" s="5"/>
      <c r="M27" s="15"/>
      <c r="N27" s="5"/>
      <c r="O27" s="15"/>
      <c r="P27" s="19" t="str">
        <f t="shared" si="1"/>
        <v/>
      </c>
      <c r="Q27" s="19" t="str">
        <f t="shared" si="2"/>
        <v/>
      </c>
      <c r="R27" s="19" t="str">
        <f t="shared" si="3"/>
        <v/>
      </c>
      <c r="S27" s="5"/>
      <c r="T27" s="5"/>
      <c r="U27" s="5"/>
      <c r="V27" s="24"/>
      <c r="W27" s="15"/>
      <c r="X27" s="15"/>
      <c r="Y27" s="15"/>
      <c r="Z27" s="19" t="str">
        <f t="shared" si="4"/>
        <v/>
      </c>
      <c r="AA27" s="19" t="str">
        <f t="shared" si="5"/>
        <v/>
      </c>
      <c r="AB27" s="5"/>
      <c r="AC27" s="5"/>
      <c r="AE27" t="str">
        <f>IFERROR(INDEX(EqTag,_xlfn.AGGREGATE(15,6,(ROW(EqTag)-4)/((EqSys=$D$3)*(EqTag&lt;&gt;"")),ROWS($AE$14:AE27))),"")</f>
        <v/>
      </c>
    </row>
    <row r="28" spans="1:31" ht="30" customHeight="1" x14ac:dyDescent="0.2">
      <c r="A28" s="19" t="str">
        <f>IF(F28="","",LEFT($D$3,3)&amp;"-"&amp;TEXT(COUNTIF(F$14:F28,"?*"),"00"))</f>
        <v/>
      </c>
      <c r="B28" s="5"/>
      <c r="C28" s="6" t="str">
        <f t="shared" si="0"/>
        <v/>
      </c>
      <c r="D28" s="5"/>
      <c r="E28" s="5"/>
      <c r="F28" s="5"/>
      <c r="G28" s="5"/>
      <c r="H28" s="5"/>
      <c r="I28" s="5"/>
      <c r="J28" s="5"/>
      <c r="K28" s="15"/>
      <c r="L28" s="5"/>
      <c r="M28" s="15"/>
      <c r="N28" s="5"/>
      <c r="O28" s="15"/>
      <c r="P28" s="19" t="str">
        <f t="shared" si="1"/>
        <v/>
      </c>
      <c r="Q28" s="19" t="str">
        <f t="shared" si="2"/>
        <v/>
      </c>
      <c r="R28" s="19" t="str">
        <f t="shared" si="3"/>
        <v/>
      </c>
      <c r="S28" s="5"/>
      <c r="T28" s="5"/>
      <c r="U28" s="5"/>
      <c r="V28" s="24"/>
      <c r="W28" s="15"/>
      <c r="X28" s="15"/>
      <c r="Y28" s="15"/>
      <c r="Z28" s="19" t="str">
        <f t="shared" si="4"/>
        <v/>
      </c>
      <c r="AA28" s="19" t="str">
        <f t="shared" si="5"/>
        <v/>
      </c>
      <c r="AB28" s="5"/>
      <c r="AC28" s="5"/>
      <c r="AE28" t="str">
        <f>IFERROR(INDEX(EqTag,_xlfn.AGGREGATE(15,6,(ROW(EqTag)-4)/((EqSys=$D$3)*(EqTag&lt;&gt;"")),ROWS($AE$14:AE28))),"")</f>
        <v/>
      </c>
    </row>
    <row r="29" spans="1:31" ht="30" customHeight="1" x14ac:dyDescent="0.2">
      <c r="A29" s="19" t="str">
        <f>IF(F29="","",LEFT($D$3,3)&amp;"-"&amp;TEXT(COUNTIF(F$14:F29,"?*"),"00"))</f>
        <v/>
      </c>
      <c r="B29" s="5"/>
      <c r="C29" s="6" t="str">
        <f t="shared" si="0"/>
        <v/>
      </c>
      <c r="D29" s="5"/>
      <c r="E29" s="5"/>
      <c r="F29" s="5"/>
      <c r="G29" s="5"/>
      <c r="H29" s="5"/>
      <c r="I29" s="5"/>
      <c r="J29" s="5"/>
      <c r="K29" s="15"/>
      <c r="L29" s="5"/>
      <c r="M29" s="15"/>
      <c r="N29" s="5"/>
      <c r="O29" s="15"/>
      <c r="P29" s="19" t="str">
        <f t="shared" si="1"/>
        <v/>
      </c>
      <c r="Q29" s="19" t="str">
        <f t="shared" si="2"/>
        <v/>
      </c>
      <c r="R29" s="19" t="str">
        <f t="shared" si="3"/>
        <v/>
      </c>
      <c r="S29" s="5"/>
      <c r="T29" s="5"/>
      <c r="U29" s="5"/>
      <c r="V29" s="24"/>
      <c r="W29" s="15"/>
      <c r="X29" s="15"/>
      <c r="Y29" s="15"/>
      <c r="Z29" s="19" t="str">
        <f t="shared" si="4"/>
        <v/>
      </c>
      <c r="AA29" s="19" t="str">
        <f t="shared" si="5"/>
        <v/>
      </c>
      <c r="AB29" s="5"/>
      <c r="AC29" s="5"/>
      <c r="AE29" t="str">
        <f>IFERROR(INDEX(EqTag,_xlfn.AGGREGATE(15,6,(ROW(EqTag)-4)/((EqSys=$D$3)*(EqTag&lt;&gt;"")),ROWS($AE$14:AE29))),"")</f>
        <v/>
      </c>
    </row>
    <row r="30" spans="1:31" ht="30" customHeight="1" x14ac:dyDescent="0.2">
      <c r="A30" s="19" t="str">
        <f>IF(F30="","",LEFT($D$3,3)&amp;"-"&amp;TEXT(COUNTIF(F$14:F30,"?*"),"00"))</f>
        <v/>
      </c>
      <c r="B30" s="5"/>
      <c r="C30" s="6" t="str">
        <f t="shared" si="0"/>
        <v/>
      </c>
      <c r="D30" s="5"/>
      <c r="E30" s="5"/>
      <c r="F30" s="5"/>
      <c r="G30" s="5"/>
      <c r="H30" s="5"/>
      <c r="I30" s="5"/>
      <c r="J30" s="5"/>
      <c r="K30" s="15"/>
      <c r="L30" s="5"/>
      <c r="M30" s="15"/>
      <c r="N30" s="5"/>
      <c r="O30" s="15"/>
      <c r="P30" s="19" t="str">
        <f t="shared" si="1"/>
        <v/>
      </c>
      <c r="Q30" s="19" t="str">
        <f t="shared" si="2"/>
        <v/>
      </c>
      <c r="R30" s="19" t="str">
        <f t="shared" si="3"/>
        <v/>
      </c>
      <c r="S30" s="5"/>
      <c r="T30" s="5"/>
      <c r="U30" s="5"/>
      <c r="V30" s="24"/>
      <c r="W30" s="15"/>
      <c r="X30" s="15"/>
      <c r="Y30" s="15"/>
      <c r="Z30" s="19" t="str">
        <f t="shared" si="4"/>
        <v/>
      </c>
      <c r="AA30" s="19" t="str">
        <f t="shared" si="5"/>
        <v/>
      </c>
      <c r="AB30" s="5"/>
      <c r="AC30" s="5"/>
      <c r="AE30" t="str">
        <f>IFERROR(INDEX(EqTag,_xlfn.AGGREGATE(15,6,(ROW(EqTag)-4)/((EqSys=$D$3)*(EqTag&lt;&gt;"")),ROWS($AE$14:AE30))),"")</f>
        <v/>
      </c>
    </row>
    <row r="31" spans="1:31" ht="30" customHeight="1" x14ac:dyDescent="0.2">
      <c r="A31" s="19" t="str">
        <f>IF(F31="","",LEFT($D$3,3)&amp;"-"&amp;TEXT(COUNTIF(F$14:F31,"?*"),"00"))</f>
        <v/>
      </c>
      <c r="B31" s="5"/>
      <c r="C31" s="6" t="str">
        <f t="shared" si="0"/>
        <v/>
      </c>
      <c r="D31" s="5"/>
      <c r="E31" s="5"/>
      <c r="F31" s="5"/>
      <c r="G31" s="5"/>
      <c r="H31" s="5"/>
      <c r="I31" s="5"/>
      <c r="J31" s="5"/>
      <c r="K31" s="15"/>
      <c r="L31" s="5"/>
      <c r="M31" s="15"/>
      <c r="N31" s="5"/>
      <c r="O31" s="15"/>
      <c r="P31" s="19" t="str">
        <f t="shared" si="1"/>
        <v/>
      </c>
      <c r="Q31" s="19" t="str">
        <f t="shared" si="2"/>
        <v/>
      </c>
      <c r="R31" s="19" t="str">
        <f t="shared" si="3"/>
        <v/>
      </c>
      <c r="S31" s="5"/>
      <c r="T31" s="5"/>
      <c r="U31" s="5"/>
      <c r="V31" s="24"/>
      <c r="W31" s="15"/>
      <c r="X31" s="15"/>
      <c r="Y31" s="15"/>
      <c r="Z31" s="19" t="str">
        <f t="shared" si="4"/>
        <v/>
      </c>
      <c r="AA31" s="19" t="str">
        <f t="shared" si="5"/>
        <v/>
      </c>
      <c r="AB31" s="5"/>
      <c r="AC31" s="5"/>
      <c r="AE31" t="str">
        <f>IFERROR(INDEX(EqTag,_xlfn.AGGREGATE(15,6,(ROW(EqTag)-4)/((EqSys=$D$3)*(EqTag&lt;&gt;"")),ROWS($AE$14:AE31))),"")</f>
        <v/>
      </c>
    </row>
    <row r="32" spans="1:31" ht="30" customHeight="1" x14ac:dyDescent="0.2">
      <c r="A32" s="19" t="str">
        <f>IF(F32="","",LEFT($D$3,3)&amp;"-"&amp;TEXT(COUNTIF(F$14:F32,"?*"),"00"))</f>
        <v/>
      </c>
      <c r="B32" s="5"/>
      <c r="C32" s="6" t="str">
        <f t="shared" si="0"/>
        <v/>
      </c>
      <c r="D32" s="5"/>
      <c r="E32" s="5"/>
      <c r="F32" s="5"/>
      <c r="G32" s="5"/>
      <c r="H32" s="5"/>
      <c r="I32" s="5"/>
      <c r="J32" s="5"/>
      <c r="K32" s="15"/>
      <c r="L32" s="5"/>
      <c r="M32" s="15"/>
      <c r="N32" s="5"/>
      <c r="O32" s="15"/>
      <c r="P32" s="19" t="str">
        <f t="shared" si="1"/>
        <v/>
      </c>
      <c r="Q32" s="19" t="str">
        <f t="shared" si="2"/>
        <v/>
      </c>
      <c r="R32" s="19" t="str">
        <f t="shared" si="3"/>
        <v/>
      </c>
      <c r="S32" s="5"/>
      <c r="T32" s="5"/>
      <c r="U32" s="5"/>
      <c r="V32" s="24"/>
      <c r="W32" s="15"/>
      <c r="X32" s="15"/>
      <c r="Y32" s="15"/>
      <c r="Z32" s="19" t="str">
        <f t="shared" si="4"/>
        <v/>
      </c>
      <c r="AA32" s="19" t="str">
        <f t="shared" si="5"/>
        <v/>
      </c>
      <c r="AB32" s="5"/>
      <c r="AC32" s="5"/>
      <c r="AE32" t="str">
        <f>IFERROR(INDEX(EqTag,_xlfn.AGGREGATE(15,6,(ROW(EqTag)-4)/((EqSys=$D$3)*(EqTag&lt;&gt;"")),ROWS($AE$14:AE32))),"")</f>
        <v/>
      </c>
    </row>
    <row r="33" spans="1:31" ht="30" customHeight="1" x14ac:dyDescent="0.2">
      <c r="A33" s="19" t="str">
        <f>IF(F33="","",LEFT($D$3,3)&amp;"-"&amp;TEXT(COUNTIF(F$14:F33,"?*"),"00"))</f>
        <v/>
      </c>
      <c r="B33" s="5"/>
      <c r="C33" s="6" t="str">
        <f t="shared" si="0"/>
        <v/>
      </c>
      <c r="D33" s="5"/>
      <c r="E33" s="5"/>
      <c r="F33" s="5"/>
      <c r="G33" s="5"/>
      <c r="H33" s="5"/>
      <c r="I33" s="5"/>
      <c r="J33" s="5"/>
      <c r="K33" s="15"/>
      <c r="L33" s="5"/>
      <c r="M33" s="15"/>
      <c r="N33" s="5"/>
      <c r="O33" s="15"/>
      <c r="P33" s="19" t="str">
        <f t="shared" si="1"/>
        <v/>
      </c>
      <c r="Q33" s="19" t="str">
        <f t="shared" si="2"/>
        <v/>
      </c>
      <c r="R33" s="19" t="str">
        <f t="shared" si="3"/>
        <v/>
      </c>
      <c r="S33" s="5"/>
      <c r="T33" s="5"/>
      <c r="U33" s="5"/>
      <c r="V33" s="24"/>
      <c r="W33" s="15"/>
      <c r="X33" s="15"/>
      <c r="Y33" s="15"/>
      <c r="Z33" s="19" t="str">
        <f t="shared" si="4"/>
        <v/>
      </c>
      <c r="AA33" s="19" t="str">
        <f t="shared" si="5"/>
        <v/>
      </c>
      <c r="AB33" s="5"/>
      <c r="AC33" s="5"/>
      <c r="AE33" t="str">
        <f>IFERROR(INDEX(EqTag,_xlfn.AGGREGATE(15,6,(ROW(EqTag)-4)/((EqSys=$D$3)*(EqTag&lt;&gt;"")),ROWS($AE$14:AE33))),"")</f>
        <v/>
      </c>
    </row>
    <row r="34" spans="1:31" ht="30" customHeight="1" x14ac:dyDescent="0.2">
      <c r="A34" s="19" t="str">
        <f>IF(F34="","",LEFT($D$3,3)&amp;"-"&amp;TEXT(COUNTIF(F$14:F34,"?*"),"00"))</f>
        <v/>
      </c>
      <c r="B34" s="5"/>
      <c r="C34" s="6" t="str">
        <f t="shared" si="0"/>
        <v/>
      </c>
      <c r="D34" s="5"/>
      <c r="E34" s="5"/>
      <c r="F34" s="5"/>
      <c r="G34" s="5"/>
      <c r="H34" s="5"/>
      <c r="I34" s="5"/>
      <c r="J34" s="5"/>
      <c r="K34" s="15"/>
      <c r="L34" s="5"/>
      <c r="M34" s="15"/>
      <c r="N34" s="5"/>
      <c r="O34" s="15"/>
      <c r="P34" s="19" t="str">
        <f t="shared" si="1"/>
        <v/>
      </c>
      <c r="Q34" s="19" t="str">
        <f t="shared" si="2"/>
        <v/>
      </c>
      <c r="R34" s="19" t="str">
        <f t="shared" si="3"/>
        <v/>
      </c>
      <c r="S34" s="5"/>
      <c r="T34" s="5"/>
      <c r="U34" s="5"/>
      <c r="V34" s="24"/>
      <c r="W34" s="15"/>
      <c r="X34" s="15"/>
      <c r="Y34" s="15"/>
      <c r="Z34" s="19" t="str">
        <f t="shared" si="4"/>
        <v/>
      </c>
      <c r="AA34" s="19" t="str">
        <f t="shared" si="5"/>
        <v/>
      </c>
      <c r="AB34" s="5"/>
      <c r="AC34" s="5"/>
      <c r="AE34" t="str">
        <f>IFERROR(INDEX(EqTag,_xlfn.AGGREGATE(15,6,(ROW(EqTag)-4)/((EqSys=$D$3)*(EqTag&lt;&gt;"")),ROWS($AE$14:AE34))),"")</f>
        <v/>
      </c>
    </row>
    <row r="35" spans="1:31" ht="30" customHeight="1" x14ac:dyDescent="0.2">
      <c r="A35" s="19" t="str">
        <f>IF(F35="","",LEFT($D$3,3)&amp;"-"&amp;TEXT(COUNTIF(F$14:F35,"?*"),"00"))</f>
        <v/>
      </c>
      <c r="B35" s="5"/>
      <c r="C35" s="6" t="str">
        <f t="shared" si="0"/>
        <v/>
      </c>
      <c r="D35" s="5"/>
      <c r="E35" s="5"/>
      <c r="F35" s="5"/>
      <c r="G35" s="5"/>
      <c r="H35" s="5"/>
      <c r="I35" s="5"/>
      <c r="J35" s="5"/>
      <c r="K35" s="15"/>
      <c r="L35" s="5"/>
      <c r="M35" s="15"/>
      <c r="N35" s="5"/>
      <c r="O35" s="15"/>
      <c r="P35" s="19" t="str">
        <f t="shared" si="1"/>
        <v/>
      </c>
      <c r="Q35" s="19" t="str">
        <f t="shared" si="2"/>
        <v/>
      </c>
      <c r="R35" s="19" t="str">
        <f t="shared" si="3"/>
        <v/>
      </c>
      <c r="S35" s="5"/>
      <c r="T35" s="5"/>
      <c r="U35" s="5"/>
      <c r="V35" s="24"/>
      <c r="W35" s="15"/>
      <c r="X35" s="15"/>
      <c r="Y35" s="15"/>
      <c r="Z35" s="19" t="str">
        <f t="shared" si="4"/>
        <v/>
      </c>
      <c r="AA35" s="19" t="str">
        <f t="shared" si="5"/>
        <v/>
      </c>
      <c r="AB35" s="5"/>
      <c r="AC35" s="5"/>
      <c r="AE35" t="str">
        <f>IFERROR(INDEX(EqTag,_xlfn.AGGREGATE(15,6,(ROW(EqTag)-4)/((EqSys=$D$3)*(EqTag&lt;&gt;"")),ROWS($AE$14:AE35))),"")</f>
        <v/>
      </c>
    </row>
    <row r="36" spans="1:31" ht="30" customHeight="1" x14ac:dyDescent="0.2">
      <c r="A36" s="19" t="str">
        <f>IF(F36="","",LEFT($D$3,3)&amp;"-"&amp;TEXT(COUNTIF(F$14:F36,"?*"),"00"))</f>
        <v/>
      </c>
      <c r="B36" s="5"/>
      <c r="C36" s="6" t="str">
        <f t="shared" si="0"/>
        <v/>
      </c>
      <c r="D36" s="5"/>
      <c r="E36" s="5"/>
      <c r="F36" s="5"/>
      <c r="G36" s="5"/>
      <c r="H36" s="5"/>
      <c r="I36" s="5"/>
      <c r="J36" s="5"/>
      <c r="K36" s="15"/>
      <c r="L36" s="5"/>
      <c r="M36" s="15"/>
      <c r="N36" s="5"/>
      <c r="O36" s="15"/>
      <c r="P36" s="19" t="str">
        <f t="shared" si="1"/>
        <v/>
      </c>
      <c r="Q36" s="19" t="str">
        <f t="shared" si="2"/>
        <v/>
      </c>
      <c r="R36" s="19" t="str">
        <f t="shared" si="3"/>
        <v/>
      </c>
      <c r="S36" s="5"/>
      <c r="T36" s="5"/>
      <c r="U36" s="5"/>
      <c r="V36" s="24"/>
      <c r="W36" s="15"/>
      <c r="X36" s="15"/>
      <c r="Y36" s="15"/>
      <c r="Z36" s="19" t="str">
        <f t="shared" si="4"/>
        <v/>
      </c>
      <c r="AA36" s="19" t="str">
        <f t="shared" si="5"/>
        <v/>
      </c>
      <c r="AB36" s="5"/>
      <c r="AC36" s="5"/>
      <c r="AE36" t="str">
        <f>IFERROR(INDEX(EqTag,_xlfn.AGGREGATE(15,6,(ROW(EqTag)-4)/((EqSys=$D$3)*(EqTag&lt;&gt;"")),ROWS($AE$14:AE36))),"")</f>
        <v/>
      </c>
    </row>
    <row r="37" spans="1:31" ht="30" customHeight="1" x14ac:dyDescent="0.2">
      <c r="A37" s="19" t="str">
        <f>IF(F37="","",LEFT($D$3,3)&amp;"-"&amp;TEXT(COUNTIF(F$14:F37,"?*"),"00"))</f>
        <v/>
      </c>
      <c r="B37" s="5"/>
      <c r="C37" s="6" t="str">
        <f t="shared" si="0"/>
        <v/>
      </c>
      <c r="D37" s="5"/>
      <c r="E37" s="5"/>
      <c r="F37" s="5"/>
      <c r="G37" s="5"/>
      <c r="H37" s="5"/>
      <c r="I37" s="5"/>
      <c r="J37" s="5"/>
      <c r="K37" s="15"/>
      <c r="L37" s="5"/>
      <c r="M37" s="15"/>
      <c r="N37" s="5"/>
      <c r="O37" s="15"/>
      <c r="P37" s="19" t="str">
        <f t="shared" si="1"/>
        <v/>
      </c>
      <c r="Q37" s="19" t="str">
        <f t="shared" si="2"/>
        <v/>
      </c>
      <c r="R37" s="19" t="str">
        <f t="shared" si="3"/>
        <v/>
      </c>
      <c r="S37" s="5"/>
      <c r="T37" s="5"/>
      <c r="U37" s="5"/>
      <c r="V37" s="24"/>
      <c r="W37" s="15"/>
      <c r="X37" s="15"/>
      <c r="Y37" s="15"/>
      <c r="Z37" s="19" t="str">
        <f t="shared" si="4"/>
        <v/>
      </c>
      <c r="AA37" s="19" t="str">
        <f t="shared" si="5"/>
        <v/>
      </c>
      <c r="AB37" s="5"/>
      <c r="AC37" s="5"/>
      <c r="AE37" t="str">
        <f>IFERROR(INDEX(EqTag,_xlfn.AGGREGATE(15,6,(ROW(EqTag)-4)/((EqSys=$D$3)*(EqTag&lt;&gt;"")),ROWS($AE$14:AE37))),"")</f>
        <v/>
      </c>
    </row>
    <row r="38" spans="1:31" ht="30" customHeight="1" x14ac:dyDescent="0.2">
      <c r="A38" s="19" t="str">
        <f>IF(F38="","",LEFT($D$3,3)&amp;"-"&amp;TEXT(COUNTIF(F$14:F38,"?*"),"00"))</f>
        <v/>
      </c>
      <c r="B38" s="5"/>
      <c r="C38" s="6" t="str">
        <f t="shared" si="0"/>
        <v/>
      </c>
      <c r="D38" s="5"/>
      <c r="E38" s="5"/>
      <c r="F38" s="5"/>
      <c r="G38" s="5"/>
      <c r="H38" s="5"/>
      <c r="I38" s="5"/>
      <c r="J38" s="5"/>
      <c r="K38" s="15"/>
      <c r="L38" s="5"/>
      <c r="M38" s="15"/>
      <c r="N38" s="5"/>
      <c r="O38" s="15"/>
      <c r="P38" s="19" t="str">
        <f t="shared" si="1"/>
        <v/>
      </c>
      <c r="Q38" s="19" t="str">
        <f t="shared" si="2"/>
        <v/>
      </c>
      <c r="R38" s="19" t="str">
        <f t="shared" si="3"/>
        <v/>
      </c>
      <c r="S38" s="5"/>
      <c r="T38" s="5"/>
      <c r="U38" s="5"/>
      <c r="V38" s="24"/>
      <c r="W38" s="15"/>
      <c r="X38" s="15"/>
      <c r="Y38" s="15"/>
      <c r="Z38" s="19" t="str">
        <f t="shared" si="4"/>
        <v/>
      </c>
      <c r="AA38" s="19" t="str">
        <f t="shared" si="5"/>
        <v/>
      </c>
      <c r="AB38" s="5"/>
      <c r="AC38" s="5"/>
      <c r="AE38" t="str">
        <f>IFERROR(INDEX(EqTag,_xlfn.AGGREGATE(15,6,(ROW(EqTag)-4)/((EqSys=$D$3)*(EqTag&lt;&gt;"")),ROWS($AE$14:AE38))),"")</f>
        <v/>
      </c>
    </row>
    <row r="39" spans="1:31" ht="30" customHeight="1" x14ac:dyDescent="0.2">
      <c r="A39" s="19" t="str">
        <f>IF(F39="","",LEFT($D$3,3)&amp;"-"&amp;TEXT(COUNTIF(F$14:F39,"?*"),"00"))</f>
        <v/>
      </c>
      <c r="B39" s="5"/>
      <c r="C39" s="6" t="str">
        <f t="shared" si="0"/>
        <v/>
      </c>
      <c r="D39" s="5"/>
      <c r="E39" s="5"/>
      <c r="F39" s="5"/>
      <c r="G39" s="5"/>
      <c r="H39" s="5"/>
      <c r="I39" s="5"/>
      <c r="J39" s="5"/>
      <c r="K39" s="15"/>
      <c r="L39" s="5"/>
      <c r="M39" s="15"/>
      <c r="N39" s="5"/>
      <c r="O39" s="15"/>
      <c r="P39" s="19" t="str">
        <f t="shared" si="1"/>
        <v/>
      </c>
      <c r="Q39" s="19" t="str">
        <f t="shared" si="2"/>
        <v/>
      </c>
      <c r="R39" s="19" t="str">
        <f t="shared" si="3"/>
        <v/>
      </c>
      <c r="S39" s="5"/>
      <c r="T39" s="5"/>
      <c r="U39" s="5"/>
      <c r="V39" s="24"/>
      <c r="W39" s="15"/>
      <c r="X39" s="15"/>
      <c r="Y39" s="15"/>
      <c r="Z39" s="19" t="str">
        <f t="shared" si="4"/>
        <v/>
      </c>
      <c r="AA39" s="19" t="str">
        <f t="shared" si="5"/>
        <v/>
      </c>
      <c r="AB39" s="5"/>
      <c r="AC39" s="5"/>
      <c r="AE39" t="str">
        <f>IFERROR(INDEX(EqTag,_xlfn.AGGREGATE(15,6,(ROW(EqTag)-4)/((EqSys=$D$3)*(EqTag&lt;&gt;"")),ROWS($AE$14:AE39))),"")</f>
        <v/>
      </c>
    </row>
    <row r="40" spans="1:31" ht="30" customHeight="1" x14ac:dyDescent="0.2">
      <c r="A40" s="19" t="str">
        <f>IF(F40="","",LEFT($D$3,3)&amp;"-"&amp;TEXT(COUNTIF(F$14:F40,"?*"),"00"))</f>
        <v/>
      </c>
      <c r="B40" s="5"/>
      <c r="C40" s="6" t="str">
        <f t="shared" si="0"/>
        <v/>
      </c>
      <c r="D40" s="5"/>
      <c r="E40" s="5"/>
      <c r="F40" s="5"/>
      <c r="G40" s="5"/>
      <c r="H40" s="5"/>
      <c r="I40" s="5"/>
      <c r="J40" s="5"/>
      <c r="K40" s="15"/>
      <c r="L40" s="5"/>
      <c r="M40" s="15"/>
      <c r="N40" s="5"/>
      <c r="O40" s="15"/>
      <c r="P40" s="19" t="str">
        <f t="shared" si="1"/>
        <v/>
      </c>
      <c r="Q40" s="19" t="str">
        <f t="shared" si="2"/>
        <v/>
      </c>
      <c r="R40" s="19" t="str">
        <f t="shared" si="3"/>
        <v/>
      </c>
      <c r="S40" s="5"/>
      <c r="T40" s="5"/>
      <c r="U40" s="5"/>
      <c r="V40" s="24"/>
      <c r="W40" s="15"/>
      <c r="X40" s="15"/>
      <c r="Y40" s="15"/>
      <c r="Z40" s="19" t="str">
        <f t="shared" si="4"/>
        <v/>
      </c>
      <c r="AA40" s="19" t="str">
        <f t="shared" si="5"/>
        <v/>
      </c>
      <c r="AB40" s="5"/>
      <c r="AC40" s="5"/>
      <c r="AE40" t="str">
        <f>IFERROR(INDEX(EqTag,_xlfn.AGGREGATE(15,6,(ROW(EqTag)-4)/((EqSys=$D$3)*(EqTag&lt;&gt;"")),ROWS($AE$14:AE40))),"")</f>
        <v/>
      </c>
    </row>
    <row r="41" spans="1:31" ht="30" customHeight="1" x14ac:dyDescent="0.2">
      <c r="A41" s="19" t="str">
        <f>IF(F41="","",LEFT($D$3,3)&amp;"-"&amp;TEXT(COUNTIF(F$14:F41,"?*"),"00"))</f>
        <v/>
      </c>
      <c r="B41" s="5"/>
      <c r="C41" s="6" t="str">
        <f t="shared" si="0"/>
        <v/>
      </c>
      <c r="D41" s="5"/>
      <c r="E41" s="5"/>
      <c r="F41" s="5"/>
      <c r="G41" s="5"/>
      <c r="H41" s="5"/>
      <c r="I41" s="5"/>
      <c r="J41" s="5"/>
      <c r="K41" s="15"/>
      <c r="L41" s="5"/>
      <c r="M41" s="15"/>
      <c r="N41" s="5"/>
      <c r="O41" s="15"/>
      <c r="P41" s="19" t="str">
        <f t="shared" si="1"/>
        <v/>
      </c>
      <c r="Q41" s="19" t="str">
        <f t="shared" si="2"/>
        <v/>
      </c>
      <c r="R41" s="19" t="str">
        <f t="shared" si="3"/>
        <v/>
      </c>
      <c r="S41" s="5"/>
      <c r="T41" s="5"/>
      <c r="U41" s="5"/>
      <c r="V41" s="24"/>
      <c r="W41" s="15"/>
      <c r="X41" s="15"/>
      <c r="Y41" s="15"/>
      <c r="Z41" s="19" t="str">
        <f t="shared" si="4"/>
        <v/>
      </c>
      <c r="AA41" s="19" t="str">
        <f t="shared" si="5"/>
        <v/>
      </c>
      <c r="AB41" s="5"/>
      <c r="AC41" s="5"/>
      <c r="AE41" t="str">
        <f>IFERROR(INDEX(EqTag,_xlfn.AGGREGATE(15,6,(ROW(EqTag)-4)/((EqSys=$D$3)*(EqTag&lt;&gt;"")),ROWS($AE$14:AE41))),"")</f>
        <v/>
      </c>
    </row>
    <row r="42" spans="1:31" ht="30" customHeight="1" x14ac:dyDescent="0.2">
      <c r="A42" s="19" t="str">
        <f>IF(F42="","",LEFT($D$3,3)&amp;"-"&amp;TEXT(COUNTIF(F$14:F42,"?*"),"00"))</f>
        <v/>
      </c>
      <c r="B42" s="5"/>
      <c r="C42" s="6" t="str">
        <f t="shared" si="0"/>
        <v/>
      </c>
      <c r="D42" s="5"/>
      <c r="E42" s="5"/>
      <c r="F42" s="5"/>
      <c r="G42" s="5"/>
      <c r="H42" s="5"/>
      <c r="I42" s="5"/>
      <c r="J42" s="5"/>
      <c r="K42" s="15"/>
      <c r="L42" s="5"/>
      <c r="M42" s="15"/>
      <c r="N42" s="5"/>
      <c r="O42" s="15"/>
      <c r="P42" s="19" t="str">
        <f t="shared" si="1"/>
        <v/>
      </c>
      <c r="Q42" s="19" t="str">
        <f t="shared" si="2"/>
        <v/>
      </c>
      <c r="R42" s="19" t="str">
        <f t="shared" si="3"/>
        <v/>
      </c>
      <c r="S42" s="5"/>
      <c r="T42" s="5"/>
      <c r="U42" s="5"/>
      <c r="V42" s="24"/>
      <c r="W42" s="15"/>
      <c r="X42" s="15"/>
      <c r="Y42" s="15"/>
      <c r="Z42" s="19" t="str">
        <f t="shared" si="4"/>
        <v/>
      </c>
      <c r="AA42" s="19" t="str">
        <f t="shared" si="5"/>
        <v/>
      </c>
      <c r="AB42" s="5"/>
      <c r="AC42" s="5"/>
      <c r="AE42" t="str">
        <f>IFERROR(INDEX(EqTag,_xlfn.AGGREGATE(15,6,(ROW(EqTag)-4)/((EqSys=$D$3)*(EqTag&lt;&gt;"")),ROWS($AE$14:AE42))),"")</f>
        <v/>
      </c>
    </row>
    <row r="43" spans="1:31" ht="30" customHeight="1" x14ac:dyDescent="0.2">
      <c r="A43" s="19" t="str">
        <f>IF(F43="","",LEFT($D$3,3)&amp;"-"&amp;TEXT(COUNTIF(F$14:F43,"?*"),"00"))</f>
        <v/>
      </c>
      <c r="B43" s="5"/>
      <c r="C43" s="6" t="str">
        <f t="shared" si="0"/>
        <v/>
      </c>
      <c r="D43" s="5"/>
      <c r="E43" s="5"/>
      <c r="F43" s="5"/>
      <c r="G43" s="5"/>
      <c r="H43" s="5"/>
      <c r="I43" s="5"/>
      <c r="J43" s="5"/>
      <c r="K43" s="15"/>
      <c r="L43" s="5"/>
      <c r="M43" s="15"/>
      <c r="N43" s="5"/>
      <c r="O43" s="15"/>
      <c r="P43" s="19" t="str">
        <f t="shared" si="1"/>
        <v/>
      </c>
      <c r="Q43" s="19" t="str">
        <f t="shared" si="2"/>
        <v/>
      </c>
      <c r="R43" s="19" t="str">
        <f t="shared" si="3"/>
        <v/>
      </c>
      <c r="S43" s="5"/>
      <c r="T43" s="5"/>
      <c r="U43" s="5"/>
      <c r="V43" s="24"/>
      <c r="W43" s="15"/>
      <c r="X43" s="15"/>
      <c r="Y43" s="15"/>
      <c r="Z43" s="19" t="str">
        <f t="shared" si="4"/>
        <v/>
      </c>
      <c r="AA43" s="19" t="str">
        <f t="shared" si="5"/>
        <v/>
      </c>
      <c r="AB43" s="5"/>
      <c r="AC43" s="5"/>
      <c r="AE43" t="str">
        <f>IFERROR(INDEX(EqTag,_xlfn.AGGREGATE(15,6,(ROW(EqTag)-4)/((EqSys=$D$3)*(EqTag&lt;&gt;"")),ROWS($AE$14:AE43))),"")</f>
        <v/>
      </c>
    </row>
    <row r="44" spans="1:31" ht="30" customHeight="1" x14ac:dyDescent="0.2">
      <c r="A44" s="19" t="str">
        <f>IF(F44="","",LEFT($D$3,3)&amp;"-"&amp;TEXT(COUNTIF(F$14:F44,"?*"),"00"))</f>
        <v/>
      </c>
      <c r="B44" s="5"/>
      <c r="C44" s="6" t="str">
        <f t="shared" si="0"/>
        <v/>
      </c>
      <c r="D44" s="5"/>
      <c r="E44" s="5"/>
      <c r="F44" s="5"/>
      <c r="G44" s="5"/>
      <c r="H44" s="5"/>
      <c r="I44" s="5"/>
      <c r="J44" s="5"/>
      <c r="K44" s="15"/>
      <c r="L44" s="5"/>
      <c r="M44" s="15"/>
      <c r="N44" s="5"/>
      <c r="O44" s="15"/>
      <c r="P44" s="19" t="str">
        <f t="shared" si="1"/>
        <v/>
      </c>
      <c r="Q44" s="19" t="str">
        <f t="shared" si="2"/>
        <v/>
      </c>
      <c r="R44" s="19" t="str">
        <f t="shared" si="3"/>
        <v/>
      </c>
      <c r="S44" s="5"/>
      <c r="T44" s="5"/>
      <c r="U44" s="5"/>
      <c r="V44" s="24"/>
      <c r="W44" s="15"/>
      <c r="X44" s="15"/>
      <c r="Y44" s="15"/>
      <c r="Z44" s="19" t="str">
        <f t="shared" si="4"/>
        <v/>
      </c>
      <c r="AA44" s="19" t="str">
        <f t="shared" si="5"/>
        <v/>
      </c>
      <c r="AB44" s="5"/>
      <c r="AC44" s="5"/>
      <c r="AE44" t="str">
        <f>IFERROR(INDEX(EqTag,_xlfn.AGGREGATE(15,6,(ROW(EqTag)-4)/((EqSys=$D$3)*(EqTag&lt;&gt;"")),ROWS($AE$14:AE44))),"")</f>
        <v/>
      </c>
    </row>
    <row r="45" spans="1:31" ht="30" customHeight="1" x14ac:dyDescent="0.2">
      <c r="A45" s="19" t="str">
        <f>IF(F45="","",LEFT($D$3,3)&amp;"-"&amp;TEXT(COUNTIF(F$14:F45,"?*"),"00"))</f>
        <v/>
      </c>
      <c r="B45" s="5"/>
      <c r="C45" s="6" t="str">
        <f t="shared" si="0"/>
        <v/>
      </c>
      <c r="D45" s="5"/>
      <c r="E45" s="5"/>
      <c r="F45" s="5"/>
      <c r="G45" s="5"/>
      <c r="H45" s="5"/>
      <c r="I45" s="5"/>
      <c r="J45" s="5"/>
      <c r="K45" s="15"/>
      <c r="L45" s="5"/>
      <c r="M45" s="15"/>
      <c r="N45" s="5"/>
      <c r="O45" s="15"/>
      <c r="P45" s="19" t="str">
        <f t="shared" si="1"/>
        <v/>
      </c>
      <c r="Q45" s="19" t="str">
        <f t="shared" si="2"/>
        <v/>
      </c>
      <c r="R45" s="19" t="str">
        <f t="shared" si="3"/>
        <v/>
      </c>
      <c r="S45" s="5"/>
      <c r="T45" s="5"/>
      <c r="U45" s="5"/>
      <c r="V45" s="24"/>
      <c r="W45" s="15"/>
      <c r="X45" s="15"/>
      <c r="Y45" s="15"/>
      <c r="Z45" s="19" t="str">
        <f t="shared" si="4"/>
        <v/>
      </c>
      <c r="AA45" s="19" t="str">
        <f t="shared" si="5"/>
        <v/>
      </c>
      <c r="AB45" s="5"/>
      <c r="AC45" s="5"/>
      <c r="AE45" t="str">
        <f>IFERROR(INDEX(EqTag,_xlfn.AGGREGATE(15,6,(ROW(EqTag)-4)/((EqSys=$D$3)*(EqTag&lt;&gt;"")),ROWS($AE$14:AE45))),"")</f>
        <v/>
      </c>
    </row>
    <row r="46" spans="1:31" ht="30" customHeight="1" x14ac:dyDescent="0.2">
      <c r="A46" s="19" t="str">
        <f>IF(F46="","",LEFT($D$3,3)&amp;"-"&amp;TEXT(COUNTIF(F$14:F46,"?*"),"00"))</f>
        <v/>
      </c>
      <c r="B46" s="5"/>
      <c r="C46" s="6" t="str">
        <f t="shared" ref="C46:C77" si="6">IF(B46="","",IFERROR(INDEX(EqTypeCol,MATCH(B46,EqTag,0)),"Tag not in register"))</f>
        <v/>
      </c>
      <c r="D46" s="5"/>
      <c r="E46" s="5"/>
      <c r="F46" s="5"/>
      <c r="G46" s="5"/>
      <c r="H46" s="5"/>
      <c r="I46" s="5"/>
      <c r="J46" s="5"/>
      <c r="K46" s="15"/>
      <c r="L46" s="5"/>
      <c r="M46" s="15"/>
      <c r="N46" s="5"/>
      <c r="O46" s="15"/>
      <c r="P46" s="19" t="str">
        <f t="shared" ref="P46:P77" si="7">IF(OR(K46="",M46="",O46=""),"",(--TRIM(LEFT(K46,2)))*(--TRIM(LEFT(M46,2)))*(--TRIM(LEFT(O46,2))))</f>
        <v/>
      </c>
      <c r="Q46" s="19" t="str">
        <f t="shared" ref="Q46:Q77" si="8">IF(OR(K46="",M46="",O46=""),"",INDEX(APGrid,COUNTIF(APS,"&gt;"&amp;(--TRIM(LEFT(K46,2))))*5+COUNTIF(APO,"&gt;"&amp;(--TRIM(LEFT(M46,2))))+1,COUNTIF(APD,"&gt;"&amp;(--TRIM(LEFT(O46,2))))+1))</f>
        <v/>
      </c>
      <c r="R46" s="19" t="str">
        <f t="shared" ref="R46:R77" si="9">IF(P46="","",IF(OR((--TRIM(LEFT(K46,2)))&gt;=SThr,P46&gt;=RPNThr,Q46="H"),"Yes","No"))</f>
        <v/>
      </c>
      <c r="S46" s="5"/>
      <c r="T46" s="5"/>
      <c r="U46" s="5"/>
      <c r="V46" s="24"/>
      <c r="W46" s="15"/>
      <c r="X46" s="15"/>
      <c r="Y46" s="15"/>
      <c r="Z46" s="19" t="str">
        <f t="shared" ref="Z46:Z77" si="10">IF(OR(W46="",X46="",Y46=""),"",(--TRIM(LEFT(W46,2)))*(--TRIM(LEFT(X46,2)))*(--TRIM(LEFT(Y46,2))))</f>
        <v/>
      </c>
      <c r="AA46" s="19" t="str">
        <f t="shared" ref="AA46:AA77" si="11">IF(OR(W46="",X46="",Y46=""),"",INDEX(APGrid,COUNTIF(APS,"&gt;"&amp;(--TRIM(LEFT(W46,2))))*5+COUNTIF(APO,"&gt;"&amp;(--TRIM(LEFT(X46,2))))+1,COUNTIF(APD,"&gt;"&amp;(--TRIM(LEFT(Y46,2))))+1))</f>
        <v/>
      </c>
      <c r="AB46" s="5"/>
      <c r="AC46" s="5"/>
      <c r="AE46" t="str">
        <f>IFERROR(INDEX(EqTag,_xlfn.AGGREGATE(15,6,(ROW(EqTag)-4)/((EqSys=$D$3)*(EqTag&lt;&gt;"")),ROWS($AE$14:AE46))),"")</f>
        <v/>
      </c>
    </row>
    <row r="47" spans="1:31" ht="30" customHeight="1" x14ac:dyDescent="0.2">
      <c r="A47" s="19" t="str">
        <f>IF(F47="","",LEFT($D$3,3)&amp;"-"&amp;TEXT(COUNTIF(F$14:F47,"?*"),"00"))</f>
        <v/>
      </c>
      <c r="B47" s="5"/>
      <c r="C47" s="6" t="str">
        <f t="shared" si="6"/>
        <v/>
      </c>
      <c r="D47" s="5"/>
      <c r="E47" s="5"/>
      <c r="F47" s="5"/>
      <c r="G47" s="5"/>
      <c r="H47" s="5"/>
      <c r="I47" s="5"/>
      <c r="J47" s="5"/>
      <c r="K47" s="15"/>
      <c r="L47" s="5"/>
      <c r="M47" s="15"/>
      <c r="N47" s="5"/>
      <c r="O47" s="15"/>
      <c r="P47" s="19" t="str">
        <f t="shared" si="7"/>
        <v/>
      </c>
      <c r="Q47" s="19" t="str">
        <f t="shared" si="8"/>
        <v/>
      </c>
      <c r="R47" s="19" t="str">
        <f t="shared" si="9"/>
        <v/>
      </c>
      <c r="S47" s="5"/>
      <c r="T47" s="5"/>
      <c r="U47" s="5"/>
      <c r="V47" s="24"/>
      <c r="W47" s="15"/>
      <c r="X47" s="15"/>
      <c r="Y47" s="15"/>
      <c r="Z47" s="19" t="str">
        <f t="shared" si="10"/>
        <v/>
      </c>
      <c r="AA47" s="19" t="str">
        <f t="shared" si="11"/>
        <v/>
      </c>
      <c r="AB47" s="5"/>
      <c r="AC47" s="5"/>
      <c r="AE47" t="str">
        <f>IFERROR(INDEX(EqTag,_xlfn.AGGREGATE(15,6,(ROW(EqTag)-4)/((EqSys=$D$3)*(EqTag&lt;&gt;"")),ROWS($AE$14:AE47))),"")</f>
        <v/>
      </c>
    </row>
    <row r="48" spans="1:31" ht="30" customHeight="1" x14ac:dyDescent="0.2">
      <c r="A48" s="19" t="str">
        <f>IF(F48="","",LEFT($D$3,3)&amp;"-"&amp;TEXT(COUNTIF(F$14:F48,"?*"),"00"))</f>
        <v/>
      </c>
      <c r="B48" s="5"/>
      <c r="C48" s="6" t="str">
        <f t="shared" si="6"/>
        <v/>
      </c>
      <c r="D48" s="5"/>
      <c r="E48" s="5"/>
      <c r="F48" s="5"/>
      <c r="G48" s="5"/>
      <c r="H48" s="5"/>
      <c r="I48" s="5"/>
      <c r="J48" s="5"/>
      <c r="K48" s="15"/>
      <c r="L48" s="5"/>
      <c r="M48" s="15"/>
      <c r="N48" s="5"/>
      <c r="O48" s="15"/>
      <c r="P48" s="19" t="str">
        <f t="shared" si="7"/>
        <v/>
      </c>
      <c r="Q48" s="19" t="str">
        <f t="shared" si="8"/>
        <v/>
      </c>
      <c r="R48" s="19" t="str">
        <f t="shared" si="9"/>
        <v/>
      </c>
      <c r="S48" s="5"/>
      <c r="T48" s="5"/>
      <c r="U48" s="5"/>
      <c r="V48" s="24"/>
      <c r="W48" s="15"/>
      <c r="X48" s="15"/>
      <c r="Y48" s="15"/>
      <c r="Z48" s="19" t="str">
        <f t="shared" si="10"/>
        <v/>
      </c>
      <c r="AA48" s="19" t="str">
        <f t="shared" si="11"/>
        <v/>
      </c>
      <c r="AB48" s="5"/>
      <c r="AC48" s="5"/>
      <c r="AE48" t="str">
        <f>IFERROR(INDEX(EqTag,_xlfn.AGGREGATE(15,6,(ROW(EqTag)-4)/((EqSys=$D$3)*(EqTag&lt;&gt;"")),ROWS($AE$14:AE48))),"")</f>
        <v/>
      </c>
    </row>
    <row r="49" spans="1:31" ht="30" customHeight="1" x14ac:dyDescent="0.2">
      <c r="A49" s="19" t="str">
        <f>IF(F49="","",LEFT($D$3,3)&amp;"-"&amp;TEXT(COUNTIF(F$14:F49,"?*"),"00"))</f>
        <v/>
      </c>
      <c r="B49" s="5"/>
      <c r="C49" s="6" t="str">
        <f t="shared" si="6"/>
        <v/>
      </c>
      <c r="D49" s="5"/>
      <c r="E49" s="5"/>
      <c r="F49" s="5"/>
      <c r="G49" s="5"/>
      <c r="H49" s="5"/>
      <c r="I49" s="5"/>
      <c r="J49" s="5"/>
      <c r="K49" s="15"/>
      <c r="L49" s="5"/>
      <c r="M49" s="15"/>
      <c r="N49" s="5"/>
      <c r="O49" s="15"/>
      <c r="P49" s="19" t="str">
        <f t="shared" si="7"/>
        <v/>
      </c>
      <c r="Q49" s="19" t="str">
        <f t="shared" si="8"/>
        <v/>
      </c>
      <c r="R49" s="19" t="str">
        <f t="shared" si="9"/>
        <v/>
      </c>
      <c r="S49" s="5"/>
      <c r="T49" s="5"/>
      <c r="U49" s="5"/>
      <c r="V49" s="24"/>
      <c r="W49" s="15"/>
      <c r="X49" s="15"/>
      <c r="Y49" s="15"/>
      <c r="Z49" s="19" t="str">
        <f t="shared" si="10"/>
        <v/>
      </c>
      <c r="AA49" s="19" t="str">
        <f t="shared" si="11"/>
        <v/>
      </c>
      <c r="AB49" s="5"/>
      <c r="AC49" s="5"/>
      <c r="AE49" t="str">
        <f>IFERROR(INDEX(EqTag,_xlfn.AGGREGATE(15,6,(ROW(EqTag)-4)/((EqSys=$D$3)*(EqTag&lt;&gt;"")),ROWS($AE$14:AE49))),"")</f>
        <v/>
      </c>
    </row>
    <row r="50" spans="1:31" ht="30" customHeight="1" x14ac:dyDescent="0.2">
      <c r="A50" s="19" t="str">
        <f>IF(F50="","",LEFT($D$3,3)&amp;"-"&amp;TEXT(COUNTIF(F$14:F50,"?*"),"00"))</f>
        <v/>
      </c>
      <c r="B50" s="5"/>
      <c r="C50" s="6" t="str">
        <f t="shared" si="6"/>
        <v/>
      </c>
      <c r="D50" s="5"/>
      <c r="E50" s="5"/>
      <c r="F50" s="5"/>
      <c r="G50" s="5"/>
      <c r="H50" s="5"/>
      <c r="I50" s="5"/>
      <c r="J50" s="5"/>
      <c r="K50" s="15"/>
      <c r="L50" s="5"/>
      <c r="M50" s="15"/>
      <c r="N50" s="5"/>
      <c r="O50" s="15"/>
      <c r="P50" s="19" t="str">
        <f t="shared" si="7"/>
        <v/>
      </c>
      <c r="Q50" s="19" t="str">
        <f t="shared" si="8"/>
        <v/>
      </c>
      <c r="R50" s="19" t="str">
        <f t="shared" si="9"/>
        <v/>
      </c>
      <c r="S50" s="5"/>
      <c r="T50" s="5"/>
      <c r="U50" s="5"/>
      <c r="V50" s="24"/>
      <c r="W50" s="15"/>
      <c r="X50" s="15"/>
      <c r="Y50" s="15"/>
      <c r="Z50" s="19" t="str">
        <f t="shared" si="10"/>
        <v/>
      </c>
      <c r="AA50" s="19" t="str">
        <f t="shared" si="11"/>
        <v/>
      </c>
      <c r="AB50" s="5"/>
      <c r="AC50" s="5"/>
      <c r="AE50" t="str">
        <f>IFERROR(INDEX(EqTag,_xlfn.AGGREGATE(15,6,(ROW(EqTag)-4)/((EqSys=$D$3)*(EqTag&lt;&gt;"")),ROWS($AE$14:AE50))),"")</f>
        <v/>
      </c>
    </row>
    <row r="51" spans="1:31" ht="30" customHeight="1" x14ac:dyDescent="0.2">
      <c r="A51" s="19" t="str">
        <f>IF(F51="","",LEFT($D$3,3)&amp;"-"&amp;TEXT(COUNTIF(F$14:F51,"?*"),"00"))</f>
        <v/>
      </c>
      <c r="B51" s="5"/>
      <c r="C51" s="6" t="str">
        <f t="shared" si="6"/>
        <v/>
      </c>
      <c r="D51" s="5"/>
      <c r="E51" s="5"/>
      <c r="F51" s="5"/>
      <c r="G51" s="5"/>
      <c r="H51" s="5"/>
      <c r="I51" s="5"/>
      <c r="J51" s="5"/>
      <c r="K51" s="15"/>
      <c r="L51" s="5"/>
      <c r="M51" s="15"/>
      <c r="N51" s="5"/>
      <c r="O51" s="15"/>
      <c r="P51" s="19" t="str">
        <f t="shared" si="7"/>
        <v/>
      </c>
      <c r="Q51" s="19" t="str">
        <f t="shared" si="8"/>
        <v/>
      </c>
      <c r="R51" s="19" t="str">
        <f t="shared" si="9"/>
        <v/>
      </c>
      <c r="S51" s="5"/>
      <c r="T51" s="5"/>
      <c r="U51" s="5"/>
      <c r="V51" s="24"/>
      <c r="W51" s="15"/>
      <c r="X51" s="15"/>
      <c r="Y51" s="15"/>
      <c r="Z51" s="19" t="str">
        <f t="shared" si="10"/>
        <v/>
      </c>
      <c r="AA51" s="19" t="str">
        <f t="shared" si="11"/>
        <v/>
      </c>
      <c r="AB51" s="5"/>
      <c r="AC51" s="5"/>
      <c r="AE51" t="str">
        <f>IFERROR(INDEX(EqTag,_xlfn.AGGREGATE(15,6,(ROW(EqTag)-4)/((EqSys=$D$3)*(EqTag&lt;&gt;"")),ROWS($AE$14:AE51))),"")</f>
        <v/>
      </c>
    </row>
    <row r="52" spans="1:31" ht="30" customHeight="1" x14ac:dyDescent="0.2">
      <c r="A52" s="19" t="str">
        <f>IF(F52="","",LEFT($D$3,3)&amp;"-"&amp;TEXT(COUNTIF(F$14:F52,"?*"),"00"))</f>
        <v/>
      </c>
      <c r="B52" s="5"/>
      <c r="C52" s="6" t="str">
        <f t="shared" si="6"/>
        <v/>
      </c>
      <c r="D52" s="5"/>
      <c r="E52" s="5"/>
      <c r="F52" s="5"/>
      <c r="G52" s="5"/>
      <c r="H52" s="5"/>
      <c r="I52" s="5"/>
      <c r="J52" s="5"/>
      <c r="K52" s="15"/>
      <c r="L52" s="5"/>
      <c r="M52" s="15"/>
      <c r="N52" s="5"/>
      <c r="O52" s="15"/>
      <c r="P52" s="19" t="str">
        <f t="shared" si="7"/>
        <v/>
      </c>
      <c r="Q52" s="19" t="str">
        <f t="shared" si="8"/>
        <v/>
      </c>
      <c r="R52" s="19" t="str">
        <f t="shared" si="9"/>
        <v/>
      </c>
      <c r="S52" s="5"/>
      <c r="T52" s="5"/>
      <c r="U52" s="5"/>
      <c r="V52" s="24"/>
      <c r="W52" s="15"/>
      <c r="X52" s="15"/>
      <c r="Y52" s="15"/>
      <c r="Z52" s="19" t="str">
        <f t="shared" si="10"/>
        <v/>
      </c>
      <c r="AA52" s="19" t="str">
        <f t="shared" si="11"/>
        <v/>
      </c>
      <c r="AB52" s="5"/>
      <c r="AC52" s="5"/>
      <c r="AE52" t="str">
        <f>IFERROR(INDEX(EqTag,_xlfn.AGGREGATE(15,6,(ROW(EqTag)-4)/((EqSys=$D$3)*(EqTag&lt;&gt;"")),ROWS($AE$14:AE52))),"")</f>
        <v/>
      </c>
    </row>
    <row r="53" spans="1:31" ht="30" customHeight="1" x14ac:dyDescent="0.2">
      <c r="A53" s="19" t="str">
        <f>IF(F53="","",LEFT($D$3,3)&amp;"-"&amp;TEXT(COUNTIF(F$14:F53,"?*"),"00"))</f>
        <v/>
      </c>
      <c r="B53" s="5"/>
      <c r="C53" s="6" t="str">
        <f t="shared" si="6"/>
        <v/>
      </c>
      <c r="D53" s="5"/>
      <c r="E53" s="5"/>
      <c r="F53" s="5"/>
      <c r="G53" s="5"/>
      <c r="H53" s="5"/>
      <c r="I53" s="5"/>
      <c r="J53" s="5"/>
      <c r="K53" s="15"/>
      <c r="L53" s="5"/>
      <c r="M53" s="15"/>
      <c r="N53" s="5"/>
      <c r="O53" s="15"/>
      <c r="P53" s="19" t="str">
        <f t="shared" si="7"/>
        <v/>
      </c>
      <c r="Q53" s="19" t="str">
        <f t="shared" si="8"/>
        <v/>
      </c>
      <c r="R53" s="19" t="str">
        <f t="shared" si="9"/>
        <v/>
      </c>
      <c r="S53" s="5"/>
      <c r="T53" s="5"/>
      <c r="U53" s="5"/>
      <c r="V53" s="24"/>
      <c r="W53" s="15"/>
      <c r="X53" s="15"/>
      <c r="Y53" s="15"/>
      <c r="Z53" s="19" t="str">
        <f t="shared" si="10"/>
        <v/>
      </c>
      <c r="AA53" s="19" t="str">
        <f t="shared" si="11"/>
        <v/>
      </c>
      <c r="AB53" s="5"/>
      <c r="AC53" s="5"/>
      <c r="AE53" t="str">
        <f>IFERROR(INDEX(EqTag,_xlfn.AGGREGATE(15,6,(ROW(EqTag)-4)/((EqSys=$D$3)*(EqTag&lt;&gt;"")),ROWS($AE$14:AE53))),"")</f>
        <v/>
      </c>
    </row>
    <row r="54" spans="1:31" ht="30" customHeight="1" x14ac:dyDescent="0.2">
      <c r="A54" s="19" t="str">
        <f>IF(F54="","",LEFT($D$3,3)&amp;"-"&amp;TEXT(COUNTIF(F$14:F54,"?*"),"00"))</f>
        <v/>
      </c>
      <c r="B54" s="5"/>
      <c r="C54" s="6" t="str">
        <f t="shared" si="6"/>
        <v/>
      </c>
      <c r="D54" s="5"/>
      <c r="E54" s="5"/>
      <c r="F54" s="5"/>
      <c r="G54" s="5"/>
      <c r="H54" s="5"/>
      <c r="I54" s="5"/>
      <c r="J54" s="5"/>
      <c r="K54" s="15"/>
      <c r="L54" s="5"/>
      <c r="M54" s="15"/>
      <c r="N54" s="5"/>
      <c r="O54" s="15"/>
      <c r="P54" s="19" t="str">
        <f t="shared" si="7"/>
        <v/>
      </c>
      <c r="Q54" s="19" t="str">
        <f t="shared" si="8"/>
        <v/>
      </c>
      <c r="R54" s="19" t="str">
        <f t="shared" si="9"/>
        <v/>
      </c>
      <c r="S54" s="5"/>
      <c r="T54" s="5"/>
      <c r="U54" s="5"/>
      <c r="V54" s="24"/>
      <c r="W54" s="15"/>
      <c r="X54" s="15"/>
      <c r="Y54" s="15"/>
      <c r="Z54" s="19" t="str">
        <f t="shared" si="10"/>
        <v/>
      </c>
      <c r="AA54" s="19" t="str">
        <f t="shared" si="11"/>
        <v/>
      </c>
      <c r="AB54" s="5"/>
      <c r="AC54" s="5"/>
      <c r="AE54" t="str">
        <f>IFERROR(INDEX(EqTag,_xlfn.AGGREGATE(15,6,(ROW(EqTag)-4)/((EqSys=$D$3)*(EqTag&lt;&gt;"")),ROWS($AE$14:AE54))),"")</f>
        <v/>
      </c>
    </row>
    <row r="55" spans="1:31" ht="30" customHeight="1" x14ac:dyDescent="0.2">
      <c r="A55" s="19" t="str">
        <f>IF(F55="","",LEFT($D$3,3)&amp;"-"&amp;TEXT(COUNTIF(F$14:F55,"?*"),"00"))</f>
        <v/>
      </c>
      <c r="B55" s="5"/>
      <c r="C55" s="6" t="str">
        <f t="shared" si="6"/>
        <v/>
      </c>
      <c r="D55" s="5"/>
      <c r="E55" s="5"/>
      <c r="F55" s="5"/>
      <c r="G55" s="5"/>
      <c r="H55" s="5"/>
      <c r="I55" s="5"/>
      <c r="J55" s="5"/>
      <c r="K55" s="15"/>
      <c r="L55" s="5"/>
      <c r="M55" s="15"/>
      <c r="N55" s="5"/>
      <c r="O55" s="15"/>
      <c r="P55" s="19" t="str">
        <f t="shared" si="7"/>
        <v/>
      </c>
      <c r="Q55" s="19" t="str">
        <f t="shared" si="8"/>
        <v/>
      </c>
      <c r="R55" s="19" t="str">
        <f t="shared" si="9"/>
        <v/>
      </c>
      <c r="S55" s="5"/>
      <c r="T55" s="5"/>
      <c r="U55" s="5"/>
      <c r="V55" s="24"/>
      <c r="W55" s="15"/>
      <c r="X55" s="15"/>
      <c r="Y55" s="15"/>
      <c r="Z55" s="19" t="str">
        <f t="shared" si="10"/>
        <v/>
      </c>
      <c r="AA55" s="19" t="str">
        <f t="shared" si="11"/>
        <v/>
      </c>
      <c r="AB55" s="5"/>
      <c r="AC55" s="5"/>
      <c r="AE55" t="str">
        <f>IFERROR(INDEX(EqTag,_xlfn.AGGREGATE(15,6,(ROW(EqTag)-4)/((EqSys=$D$3)*(EqTag&lt;&gt;"")),ROWS($AE$14:AE55))),"")</f>
        <v/>
      </c>
    </row>
    <row r="56" spans="1:31" ht="30" customHeight="1" x14ac:dyDescent="0.2">
      <c r="A56" s="19" t="str">
        <f>IF(F56="","",LEFT($D$3,3)&amp;"-"&amp;TEXT(COUNTIF(F$14:F56,"?*"),"00"))</f>
        <v/>
      </c>
      <c r="B56" s="5"/>
      <c r="C56" s="6" t="str">
        <f t="shared" si="6"/>
        <v/>
      </c>
      <c r="D56" s="5"/>
      <c r="E56" s="5"/>
      <c r="F56" s="5"/>
      <c r="G56" s="5"/>
      <c r="H56" s="5"/>
      <c r="I56" s="5"/>
      <c r="J56" s="5"/>
      <c r="K56" s="15"/>
      <c r="L56" s="5"/>
      <c r="M56" s="15"/>
      <c r="N56" s="5"/>
      <c r="O56" s="15"/>
      <c r="P56" s="19" t="str">
        <f t="shared" si="7"/>
        <v/>
      </c>
      <c r="Q56" s="19" t="str">
        <f t="shared" si="8"/>
        <v/>
      </c>
      <c r="R56" s="19" t="str">
        <f t="shared" si="9"/>
        <v/>
      </c>
      <c r="S56" s="5"/>
      <c r="T56" s="5"/>
      <c r="U56" s="5"/>
      <c r="V56" s="24"/>
      <c r="W56" s="15"/>
      <c r="X56" s="15"/>
      <c r="Y56" s="15"/>
      <c r="Z56" s="19" t="str">
        <f t="shared" si="10"/>
        <v/>
      </c>
      <c r="AA56" s="19" t="str">
        <f t="shared" si="11"/>
        <v/>
      </c>
      <c r="AB56" s="5"/>
      <c r="AC56" s="5"/>
      <c r="AE56" t="str">
        <f>IFERROR(INDEX(EqTag,_xlfn.AGGREGATE(15,6,(ROW(EqTag)-4)/((EqSys=$D$3)*(EqTag&lt;&gt;"")),ROWS($AE$14:AE56))),"")</f>
        <v/>
      </c>
    </row>
    <row r="57" spans="1:31" ht="30" customHeight="1" x14ac:dyDescent="0.2">
      <c r="A57" s="19" t="str">
        <f>IF(F57="","",LEFT($D$3,3)&amp;"-"&amp;TEXT(COUNTIF(F$14:F57,"?*"),"00"))</f>
        <v/>
      </c>
      <c r="B57" s="5"/>
      <c r="C57" s="6" t="str">
        <f t="shared" si="6"/>
        <v/>
      </c>
      <c r="D57" s="5"/>
      <c r="E57" s="5"/>
      <c r="F57" s="5"/>
      <c r="G57" s="5"/>
      <c r="H57" s="5"/>
      <c r="I57" s="5"/>
      <c r="J57" s="5"/>
      <c r="K57" s="15"/>
      <c r="L57" s="5"/>
      <c r="M57" s="15"/>
      <c r="N57" s="5"/>
      <c r="O57" s="15"/>
      <c r="P57" s="19" t="str">
        <f t="shared" si="7"/>
        <v/>
      </c>
      <c r="Q57" s="19" t="str">
        <f t="shared" si="8"/>
        <v/>
      </c>
      <c r="R57" s="19" t="str">
        <f t="shared" si="9"/>
        <v/>
      </c>
      <c r="S57" s="5"/>
      <c r="T57" s="5"/>
      <c r="U57" s="5"/>
      <c r="V57" s="24"/>
      <c r="W57" s="15"/>
      <c r="X57" s="15"/>
      <c r="Y57" s="15"/>
      <c r="Z57" s="19" t="str">
        <f t="shared" si="10"/>
        <v/>
      </c>
      <c r="AA57" s="19" t="str">
        <f t="shared" si="11"/>
        <v/>
      </c>
      <c r="AB57" s="5"/>
      <c r="AC57" s="5"/>
      <c r="AE57" t="str">
        <f>IFERROR(INDEX(EqTag,_xlfn.AGGREGATE(15,6,(ROW(EqTag)-4)/((EqSys=$D$3)*(EqTag&lt;&gt;"")),ROWS($AE$14:AE57))),"")</f>
        <v/>
      </c>
    </row>
    <row r="58" spans="1:31" ht="30" customHeight="1" x14ac:dyDescent="0.2">
      <c r="A58" s="19" t="str">
        <f>IF(F58="","",LEFT($D$3,3)&amp;"-"&amp;TEXT(COUNTIF(F$14:F58,"?*"),"00"))</f>
        <v/>
      </c>
      <c r="B58" s="5"/>
      <c r="C58" s="6" t="str">
        <f t="shared" si="6"/>
        <v/>
      </c>
      <c r="D58" s="5"/>
      <c r="E58" s="5"/>
      <c r="F58" s="5"/>
      <c r="G58" s="5"/>
      <c r="H58" s="5"/>
      <c r="I58" s="5"/>
      <c r="J58" s="5"/>
      <c r="K58" s="15"/>
      <c r="L58" s="5"/>
      <c r="M58" s="15"/>
      <c r="N58" s="5"/>
      <c r="O58" s="15"/>
      <c r="P58" s="19" t="str">
        <f t="shared" si="7"/>
        <v/>
      </c>
      <c r="Q58" s="19" t="str">
        <f t="shared" si="8"/>
        <v/>
      </c>
      <c r="R58" s="19" t="str">
        <f t="shared" si="9"/>
        <v/>
      </c>
      <c r="S58" s="5"/>
      <c r="T58" s="5"/>
      <c r="U58" s="5"/>
      <c r="V58" s="24"/>
      <c r="W58" s="15"/>
      <c r="X58" s="15"/>
      <c r="Y58" s="15"/>
      <c r="Z58" s="19" t="str">
        <f t="shared" si="10"/>
        <v/>
      </c>
      <c r="AA58" s="19" t="str">
        <f t="shared" si="11"/>
        <v/>
      </c>
      <c r="AB58" s="5"/>
      <c r="AC58" s="5"/>
      <c r="AE58" t="str">
        <f>IFERROR(INDEX(EqTag,_xlfn.AGGREGATE(15,6,(ROW(EqTag)-4)/((EqSys=$D$3)*(EqTag&lt;&gt;"")),ROWS($AE$14:AE58))),"")</f>
        <v/>
      </c>
    </row>
    <row r="59" spans="1:31" ht="30" customHeight="1" x14ac:dyDescent="0.2">
      <c r="A59" s="19" t="str">
        <f>IF(F59="","",LEFT($D$3,3)&amp;"-"&amp;TEXT(COUNTIF(F$14:F59,"?*"),"00"))</f>
        <v/>
      </c>
      <c r="B59" s="5"/>
      <c r="C59" s="6" t="str">
        <f t="shared" si="6"/>
        <v/>
      </c>
      <c r="D59" s="5"/>
      <c r="E59" s="5"/>
      <c r="F59" s="5"/>
      <c r="G59" s="5"/>
      <c r="H59" s="5"/>
      <c r="I59" s="5"/>
      <c r="J59" s="5"/>
      <c r="K59" s="15"/>
      <c r="L59" s="5"/>
      <c r="M59" s="15"/>
      <c r="N59" s="5"/>
      <c r="O59" s="15"/>
      <c r="P59" s="19" t="str">
        <f t="shared" si="7"/>
        <v/>
      </c>
      <c r="Q59" s="19" t="str">
        <f t="shared" si="8"/>
        <v/>
      </c>
      <c r="R59" s="19" t="str">
        <f t="shared" si="9"/>
        <v/>
      </c>
      <c r="S59" s="5"/>
      <c r="T59" s="5"/>
      <c r="U59" s="5"/>
      <c r="V59" s="24"/>
      <c r="W59" s="15"/>
      <c r="X59" s="15"/>
      <c r="Y59" s="15"/>
      <c r="Z59" s="19" t="str">
        <f t="shared" si="10"/>
        <v/>
      </c>
      <c r="AA59" s="19" t="str">
        <f t="shared" si="11"/>
        <v/>
      </c>
      <c r="AB59" s="5"/>
      <c r="AC59" s="5"/>
      <c r="AE59" t="str">
        <f>IFERROR(INDEX(EqTag,_xlfn.AGGREGATE(15,6,(ROW(EqTag)-4)/((EqSys=$D$3)*(EqTag&lt;&gt;"")),ROWS($AE$14:AE59))),"")</f>
        <v/>
      </c>
    </row>
    <row r="60" spans="1:31" ht="30" customHeight="1" x14ac:dyDescent="0.2">
      <c r="A60" s="19" t="str">
        <f>IF(F60="","",LEFT($D$3,3)&amp;"-"&amp;TEXT(COUNTIF(F$14:F60,"?*"),"00"))</f>
        <v/>
      </c>
      <c r="B60" s="5"/>
      <c r="C60" s="6" t="str">
        <f t="shared" si="6"/>
        <v/>
      </c>
      <c r="D60" s="5"/>
      <c r="E60" s="5"/>
      <c r="F60" s="5"/>
      <c r="G60" s="5"/>
      <c r="H60" s="5"/>
      <c r="I60" s="5"/>
      <c r="J60" s="5"/>
      <c r="K60" s="15"/>
      <c r="L60" s="5"/>
      <c r="M60" s="15"/>
      <c r="N60" s="5"/>
      <c r="O60" s="15"/>
      <c r="P60" s="19" t="str">
        <f t="shared" si="7"/>
        <v/>
      </c>
      <c r="Q60" s="19" t="str">
        <f t="shared" si="8"/>
        <v/>
      </c>
      <c r="R60" s="19" t="str">
        <f t="shared" si="9"/>
        <v/>
      </c>
      <c r="S60" s="5"/>
      <c r="T60" s="5"/>
      <c r="U60" s="5"/>
      <c r="V60" s="24"/>
      <c r="W60" s="15"/>
      <c r="X60" s="15"/>
      <c r="Y60" s="15"/>
      <c r="Z60" s="19" t="str">
        <f t="shared" si="10"/>
        <v/>
      </c>
      <c r="AA60" s="19" t="str">
        <f t="shared" si="11"/>
        <v/>
      </c>
      <c r="AB60" s="5"/>
      <c r="AC60" s="5"/>
      <c r="AE60" t="str">
        <f>IFERROR(INDEX(EqTag,_xlfn.AGGREGATE(15,6,(ROW(EqTag)-4)/((EqSys=$D$3)*(EqTag&lt;&gt;"")),ROWS($AE$14:AE60))),"")</f>
        <v/>
      </c>
    </row>
    <row r="61" spans="1:31" ht="30" customHeight="1" x14ac:dyDescent="0.2">
      <c r="A61" s="19" t="str">
        <f>IF(F61="","",LEFT($D$3,3)&amp;"-"&amp;TEXT(COUNTIF(F$14:F61,"?*"),"00"))</f>
        <v/>
      </c>
      <c r="B61" s="5"/>
      <c r="C61" s="6" t="str">
        <f t="shared" si="6"/>
        <v/>
      </c>
      <c r="D61" s="5"/>
      <c r="E61" s="5"/>
      <c r="F61" s="5"/>
      <c r="G61" s="5"/>
      <c r="H61" s="5"/>
      <c r="I61" s="5"/>
      <c r="J61" s="5"/>
      <c r="K61" s="15"/>
      <c r="L61" s="5"/>
      <c r="M61" s="15"/>
      <c r="N61" s="5"/>
      <c r="O61" s="15"/>
      <c r="P61" s="19" t="str">
        <f t="shared" si="7"/>
        <v/>
      </c>
      <c r="Q61" s="19" t="str">
        <f t="shared" si="8"/>
        <v/>
      </c>
      <c r="R61" s="19" t="str">
        <f t="shared" si="9"/>
        <v/>
      </c>
      <c r="S61" s="5"/>
      <c r="T61" s="5"/>
      <c r="U61" s="5"/>
      <c r="V61" s="24"/>
      <c r="W61" s="15"/>
      <c r="X61" s="15"/>
      <c r="Y61" s="15"/>
      <c r="Z61" s="19" t="str">
        <f t="shared" si="10"/>
        <v/>
      </c>
      <c r="AA61" s="19" t="str">
        <f t="shared" si="11"/>
        <v/>
      </c>
      <c r="AB61" s="5"/>
      <c r="AC61" s="5"/>
      <c r="AE61" t="str">
        <f>IFERROR(INDEX(EqTag,_xlfn.AGGREGATE(15,6,(ROW(EqTag)-4)/((EqSys=$D$3)*(EqTag&lt;&gt;"")),ROWS($AE$14:AE61))),"")</f>
        <v/>
      </c>
    </row>
    <row r="62" spans="1:31" ht="30" customHeight="1" x14ac:dyDescent="0.2">
      <c r="A62" s="19" t="str">
        <f>IF(F62="","",LEFT($D$3,3)&amp;"-"&amp;TEXT(COUNTIF(F$14:F62,"?*"),"00"))</f>
        <v/>
      </c>
      <c r="B62" s="5"/>
      <c r="C62" s="6" t="str">
        <f t="shared" si="6"/>
        <v/>
      </c>
      <c r="D62" s="5"/>
      <c r="E62" s="5"/>
      <c r="F62" s="5"/>
      <c r="G62" s="5"/>
      <c r="H62" s="5"/>
      <c r="I62" s="5"/>
      <c r="J62" s="5"/>
      <c r="K62" s="15"/>
      <c r="L62" s="5"/>
      <c r="M62" s="15"/>
      <c r="N62" s="5"/>
      <c r="O62" s="15"/>
      <c r="P62" s="19" t="str">
        <f t="shared" si="7"/>
        <v/>
      </c>
      <c r="Q62" s="19" t="str">
        <f t="shared" si="8"/>
        <v/>
      </c>
      <c r="R62" s="19" t="str">
        <f t="shared" si="9"/>
        <v/>
      </c>
      <c r="S62" s="5"/>
      <c r="T62" s="5"/>
      <c r="U62" s="5"/>
      <c r="V62" s="24"/>
      <c r="W62" s="15"/>
      <c r="X62" s="15"/>
      <c r="Y62" s="15"/>
      <c r="Z62" s="19" t="str">
        <f t="shared" si="10"/>
        <v/>
      </c>
      <c r="AA62" s="19" t="str">
        <f t="shared" si="11"/>
        <v/>
      </c>
      <c r="AB62" s="5"/>
      <c r="AC62" s="5"/>
      <c r="AE62" t="str">
        <f>IFERROR(INDEX(EqTag,_xlfn.AGGREGATE(15,6,(ROW(EqTag)-4)/((EqSys=$D$3)*(EqTag&lt;&gt;"")),ROWS($AE$14:AE62))),"")</f>
        <v/>
      </c>
    </row>
    <row r="63" spans="1:31" ht="30" customHeight="1" x14ac:dyDescent="0.2">
      <c r="A63" s="19" t="str">
        <f>IF(F63="","",LEFT($D$3,3)&amp;"-"&amp;TEXT(COUNTIF(F$14:F63,"?*"),"00"))</f>
        <v/>
      </c>
      <c r="B63" s="5"/>
      <c r="C63" s="6" t="str">
        <f t="shared" si="6"/>
        <v/>
      </c>
      <c r="D63" s="5"/>
      <c r="E63" s="5"/>
      <c r="F63" s="5"/>
      <c r="G63" s="5"/>
      <c r="H63" s="5"/>
      <c r="I63" s="5"/>
      <c r="J63" s="5"/>
      <c r="K63" s="15"/>
      <c r="L63" s="5"/>
      <c r="M63" s="15"/>
      <c r="N63" s="5"/>
      <c r="O63" s="15"/>
      <c r="P63" s="19" t="str">
        <f t="shared" si="7"/>
        <v/>
      </c>
      <c r="Q63" s="19" t="str">
        <f t="shared" si="8"/>
        <v/>
      </c>
      <c r="R63" s="19" t="str">
        <f t="shared" si="9"/>
        <v/>
      </c>
      <c r="S63" s="5"/>
      <c r="T63" s="5"/>
      <c r="U63" s="5"/>
      <c r="V63" s="24"/>
      <c r="W63" s="15"/>
      <c r="X63" s="15"/>
      <c r="Y63" s="15"/>
      <c r="Z63" s="19" t="str">
        <f t="shared" si="10"/>
        <v/>
      </c>
      <c r="AA63" s="19" t="str">
        <f t="shared" si="11"/>
        <v/>
      </c>
      <c r="AB63" s="5"/>
      <c r="AC63" s="5"/>
      <c r="AE63" t="str">
        <f>IFERROR(INDEX(EqTag,_xlfn.AGGREGATE(15,6,(ROW(EqTag)-4)/((EqSys=$D$3)*(EqTag&lt;&gt;"")),ROWS($AE$14:AE63))),"")</f>
        <v/>
      </c>
    </row>
    <row r="64" spans="1:31" ht="30" customHeight="1" x14ac:dyDescent="0.2">
      <c r="A64" s="19" t="str">
        <f>IF(F64="","",LEFT($D$3,3)&amp;"-"&amp;TEXT(COUNTIF(F$14:F64,"?*"),"00"))</f>
        <v/>
      </c>
      <c r="B64" s="5"/>
      <c r="C64" s="6" t="str">
        <f t="shared" si="6"/>
        <v/>
      </c>
      <c r="D64" s="5"/>
      <c r="E64" s="5"/>
      <c r="F64" s="5"/>
      <c r="G64" s="5"/>
      <c r="H64" s="5"/>
      <c r="I64" s="5"/>
      <c r="J64" s="5"/>
      <c r="K64" s="15"/>
      <c r="L64" s="5"/>
      <c r="M64" s="15"/>
      <c r="N64" s="5"/>
      <c r="O64" s="15"/>
      <c r="P64" s="19" t="str">
        <f t="shared" si="7"/>
        <v/>
      </c>
      <c r="Q64" s="19" t="str">
        <f t="shared" si="8"/>
        <v/>
      </c>
      <c r="R64" s="19" t="str">
        <f t="shared" si="9"/>
        <v/>
      </c>
      <c r="S64" s="5"/>
      <c r="T64" s="5"/>
      <c r="U64" s="5"/>
      <c r="V64" s="24"/>
      <c r="W64" s="15"/>
      <c r="X64" s="15"/>
      <c r="Y64" s="15"/>
      <c r="Z64" s="19" t="str">
        <f t="shared" si="10"/>
        <v/>
      </c>
      <c r="AA64" s="19" t="str">
        <f t="shared" si="11"/>
        <v/>
      </c>
      <c r="AB64" s="5"/>
      <c r="AC64" s="5"/>
      <c r="AE64" t="str">
        <f>IFERROR(INDEX(EqTag,_xlfn.AGGREGATE(15,6,(ROW(EqTag)-4)/((EqSys=$D$3)*(EqTag&lt;&gt;"")),ROWS($AE$14:AE64))),"")</f>
        <v/>
      </c>
    </row>
    <row r="65" spans="1:31" ht="30" customHeight="1" x14ac:dyDescent="0.2">
      <c r="A65" s="19" t="str">
        <f>IF(F65="","",LEFT($D$3,3)&amp;"-"&amp;TEXT(COUNTIF(F$14:F65,"?*"),"00"))</f>
        <v/>
      </c>
      <c r="B65" s="5"/>
      <c r="C65" s="6" t="str">
        <f t="shared" si="6"/>
        <v/>
      </c>
      <c r="D65" s="5"/>
      <c r="E65" s="5"/>
      <c r="F65" s="5"/>
      <c r="G65" s="5"/>
      <c r="H65" s="5"/>
      <c r="I65" s="5"/>
      <c r="J65" s="5"/>
      <c r="K65" s="15"/>
      <c r="L65" s="5"/>
      <c r="M65" s="15"/>
      <c r="N65" s="5"/>
      <c r="O65" s="15"/>
      <c r="P65" s="19" t="str">
        <f t="shared" si="7"/>
        <v/>
      </c>
      <c r="Q65" s="19" t="str">
        <f t="shared" si="8"/>
        <v/>
      </c>
      <c r="R65" s="19" t="str">
        <f t="shared" si="9"/>
        <v/>
      </c>
      <c r="S65" s="5"/>
      <c r="T65" s="5"/>
      <c r="U65" s="5"/>
      <c r="V65" s="24"/>
      <c r="W65" s="15"/>
      <c r="X65" s="15"/>
      <c r="Y65" s="15"/>
      <c r="Z65" s="19" t="str">
        <f t="shared" si="10"/>
        <v/>
      </c>
      <c r="AA65" s="19" t="str">
        <f t="shared" si="11"/>
        <v/>
      </c>
      <c r="AB65" s="5"/>
      <c r="AC65" s="5"/>
      <c r="AE65" t="str">
        <f>IFERROR(INDEX(EqTag,_xlfn.AGGREGATE(15,6,(ROW(EqTag)-4)/((EqSys=$D$3)*(EqTag&lt;&gt;"")),ROWS($AE$14:AE65))),"")</f>
        <v/>
      </c>
    </row>
    <row r="66" spans="1:31" ht="30" customHeight="1" x14ac:dyDescent="0.2">
      <c r="A66" s="19" t="str">
        <f>IF(F66="","",LEFT($D$3,3)&amp;"-"&amp;TEXT(COUNTIF(F$14:F66,"?*"),"00"))</f>
        <v/>
      </c>
      <c r="B66" s="5"/>
      <c r="C66" s="6" t="str">
        <f t="shared" si="6"/>
        <v/>
      </c>
      <c r="D66" s="5"/>
      <c r="E66" s="5"/>
      <c r="F66" s="5"/>
      <c r="G66" s="5"/>
      <c r="H66" s="5"/>
      <c r="I66" s="5"/>
      <c r="J66" s="5"/>
      <c r="K66" s="15"/>
      <c r="L66" s="5"/>
      <c r="M66" s="15"/>
      <c r="N66" s="5"/>
      <c r="O66" s="15"/>
      <c r="P66" s="19" t="str">
        <f t="shared" si="7"/>
        <v/>
      </c>
      <c r="Q66" s="19" t="str">
        <f t="shared" si="8"/>
        <v/>
      </c>
      <c r="R66" s="19" t="str">
        <f t="shared" si="9"/>
        <v/>
      </c>
      <c r="S66" s="5"/>
      <c r="T66" s="5"/>
      <c r="U66" s="5"/>
      <c r="V66" s="24"/>
      <c r="W66" s="15"/>
      <c r="X66" s="15"/>
      <c r="Y66" s="15"/>
      <c r="Z66" s="19" t="str">
        <f t="shared" si="10"/>
        <v/>
      </c>
      <c r="AA66" s="19" t="str">
        <f t="shared" si="11"/>
        <v/>
      </c>
      <c r="AB66" s="5"/>
      <c r="AC66" s="5"/>
      <c r="AE66" t="str">
        <f>IFERROR(INDEX(EqTag,_xlfn.AGGREGATE(15,6,(ROW(EqTag)-4)/((EqSys=$D$3)*(EqTag&lt;&gt;"")),ROWS($AE$14:AE66))),"")</f>
        <v/>
      </c>
    </row>
    <row r="67" spans="1:31" ht="30" customHeight="1" x14ac:dyDescent="0.2">
      <c r="A67" s="19" t="str">
        <f>IF(F67="","",LEFT($D$3,3)&amp;"-"&amp;TEXT(COUNTIF(F$14:F67,"?*"),"00"))</f>
        <v/>
      </c>
      <c r="B67" s="5"/>
      <c r="C67" s="6" t="str">
        <f t="shared" si="6"/>
        <v/>
      </c>
      <c r="D67" s="5"/>
      <c r="E67" s="5"/>
      <c r="F67" s="5"/>
      <c r="G67" s="5"/>
      <c r="H67" s="5"/>
      <c r="I67" s="5"/>
      <c r="J67" s="5"/>
      <c r="K67" s="15"/>
      <c r="L67" s="5"/>
      <c r="M67" s="15"/>
      <c r="N67" s="5"/>
      <c r="O67" s="15"/>
      <c r="P67" s="19" t="str">
        <f t="shared" si="7"/>
        <v/>
      </c>
      <c r="Q67" s="19" t="str">
        <f t="shared" si="8"/>
        <v/>
      </c>
      <c r="R67" s="19" t="str">
        <f t="shared" si="9"/>
        <v/>
      </c>
      <c r="S67" s="5"/>
      <c r="T67" s="5"/>
      <c r="U67" s="5"/>
      <c r="V67" s="24"/>
      <c r="W67" s="15"/>
      <c r="X67" s="15"/>
      <c r="Y67" s="15"/>
      <c r="Z67" s="19" t="str">
        <f t="shared" si="10"/>
        <v/>
      </c>
      <c r="AA67" s="19" t="str">
        <f t="shared" si="11"/>
        <v/>
      </c>
      <c r="AB67" s="5"/>
      <c r="AC67" s="5"/>
      <c r="AE67" t="str">
        <f>IFERROR(INDEX(EqTag,_xlfn.AGGREGATE(15,6,(ROW(EqTag)-4)/((EqSys=$D$3)*(EqTag&lt;&gt;"")),ROWS($AE$14:AE67))),"")</f>
        <v/>
      </c>
    </row>
    <row r="68" spans="1:31" ht="30" customHeight="1" x14ac:dyDescent="0.2">
      <c r="A68" s="19" t="str">
        <f>IF(F68="","",LEFT($D$3,3)&amp;"-"&amp;TEXT(COUNTIF(F$14:F68,"?*"),"00"))</f>
        <v/>
      </c>
      <c r="B68" s="5"/>
      <c r="C68" s="6" t="str">
        <f t="shared" si="6"/>
        <v/>
      </c>
      <c r="D68" s="5"/>
      <c r="E68" s="5"/>
      <c r="F68" s="5"/>
      <c r="G68" s="5"/>
      <c r="H68" s="5"/>
      <c r="I68" s="5"/>
      <c r="J68" s="5"/>
      <c r="K68" s="15"/>
      <c r="L68" s="5"/>
      <c r="M68" s="15"/>
      <c r="N68" s="5"/>
      <c r="O68" s="15"/>
      <c r="P68" s="19" t="str">
        <f t="shared" si="7"/>
        <v/>
      </c>
      <c r="Q68" s="19" t="str">
        <f t="shared" si="8"/>
        <v/>
      </c>
      <c r="R68" s="19" t="str">
        <f t="shared" si="9"/>
        <v/>
      </c>
      <c r="S68" s="5"/>
      <c r="T68" s="5"/>
      <c r="U68" s="5"/>
      <c r="V68" s="24"/>
      <c r="W68" s="15"/>
      <c r="X68" s="15"/>
      <c r="Y68" s="15"/>
      <c r="Z68" s="19" t="str">
        <f t="shared" si="10"/>
        <v/>
      </c>
      <c r="AA68" s="19" t="str">
        <f t="shared" si="11"/>
        <v/>
      </c>
      <c r="AB68" s="5"/>
      <c r="AC68" s="5"/>
      <c r="AE68" t="str">
        <f>IFERROR(INDEX(EqTag,_xlfn.AGGREGATE(15,6,(ROW(EqTag)-4)/((EqSys=$D$3)*(EqTag&lt;&gt;"")),ROWS($AE$14:AE68))),"")</f>
        <v/>
      </c>
    </row>
    <row r="69" spans="1:31" ht="30" customHeight="1" x14ac:dyDescent="0.2">
      <c r="A69" s="19" t="str">
        <f>IF(F69="","",LEFT($D$3,3)&amp;"-"&amp;TEXT(COUNTIF(F$14:F69,"?*"),"00"))</f>
        <v/>
      </c>
      <c r="B69" s="5"/>
      <c r="C69" s="6" t="str">
        <f t="shared" si="6"/>
        <v/>
      </c>
      <c r="D69" s="5"/>
      <c r="E69" s="5"/>
      <c r="F69" s="5"/>
      <c r="G69" s="5"/>
      <c r="H69" s="5"/>
      <c r="I69" s="5"/>
      <c r="J69" s="5"/>
      <c r="K69" s="15"/>
      <c r="L69" s="5"/>
      <c r="M69" s="15"/>
      <c r="N69" s="5"/>
      <c r="O69" s="15"/>
      <c r="P69" s="19" t="str">
        <f t="shared" si="7"/>
        <v/>
      </c>
      <c r="Q69" s="19" t="str">
        <f t="shared" si="8"/>
        <v/>
      </c>
      <c r="R69" s="19" t="str">
        <f t="shared" si="9"/>
        <v/>
      </c>
      <c r="S69" s="5"/>
      <c r="T69" s="5"/>
      <c r="U69" s="5"/>
      <c r="V69" s="24"/>
      <c r="W69" s="15"/>
      <c r="X69" s="15"/>
      <c r="Y69" s="15"/>
      <c r="Z69" s="19" t="str">
        <f t="shared" si="10"/>
        <v/>
      </c>
      <c r="AA69" s="19" t="str">
        <f t="shared" si="11"/>
        <v/>
      </c>
      <c r="AB69" s="5"/>
      <c r="AC69" s="5"/>
      <c r="AE69" t="str">
        <f>IFERROR(INDEX(EqTag,_xlfn.AGGREGATE(15,6,(ROW(EqTag)-4)/((EqSys=$D$3)*(EqTag&lt;&gt;"")),ROWS($AE$14:AE69))),"")</f>
        <v/>
      </c>
    </row>
    <row r="70" spans="1:31" ht="30" customHeight="1" x14ac:dyDescent="0.2">
      <c r="A70" s="19" t="str">
        <f>IF(F70="","",LEFT($D$3,3)&amp;"-"&amp;TEXT(COUNTIF(F$14:F70,"?*"),"00"))</f>
        <v/>
      </c>
      <c r="B70" s="5"/>
      <c r="C70" s="6" t="str">
        <f t="shared" si="6"/>
        <v/>
      </c>
      <c r="D70" s="5"/>
      <c r="E70" s="5"/>
      <c r="F70" s="5"/>
      <c r="G70" s="5"/>
      <c r="H70" s="5"/>
      <c r="I70" s="5"/>
      <c r="J70" s="5"/>
      <c r="K70" s="15"/>
      <c r="L70" s="5"/>
      <c r="M70" s="15"/>
      <c r="N70" s="5"/>
      <c r="O70" s="15"/>
      <c r="P70" s="19" t="str">
        <f t="shared" si="7"/>
        <v/>
      </c>
      <c r="Q70" s="19" t="str">
        <f t="shared" si="8"/>
        <v/>
      </c>
      <c r="R70" s="19" t="str">
        <f t="shared" si="9"/>
        <v/>
      </c>
      <c r="S70" s="5"/>
      <c r="T70" s="5"/>
      <c r="U70" s="5"/>
      <c r="V70" s="24"/>
      <c r="W70" s="15"/>
      <c r="X70" s="15"/>
      <c r="Y70" s="15"/>
      <c r="Z70" s="19" t="str">
        <f t="shared" si="10"/>
        <v/>
      </c>
      <c r="AA70" s="19" t="str">
        <f t="shared" si="11"/>
        <v/>
      </c>
      <c r="AB70" s="5"/>
      <c r="AC70" s="5"/>
      <c r="AE70" t="str">
        <f>IFERROR(INDEX(EqTag,_xlfn.AGGREGATE(15,6,(ROW(EqTag)-4)/((EqSys=$D$3)*(EqTag&lt;&gt;"")),ROWS($AE$14:AE70))),"")</f>
        <v/>
      </c>
    </row>
    <row r="71" spans="1:31" ht="30" customHeight="1" x14ac:dyDescent="0.2">
      <c r="A71" s="19" t="str">
        <f>IF(F71="","",LEFT($D$3,3)&amp;"-"&amp;TEXT(COUNTIF(F$14:F71,"?*"),"00"))</f>
        <v/>
      </c>
      <c r="B71" s="5"/>
      <c r="C71" s="6" t="str">
        <f t="shared" si="6"/>
        <v/>
      </c>
      <c r="D71" s="5"/>
      <c r="E71" s="5"/>
      <c r="F71" s="5"/>
      <c r="G71" s="5"/>
      <c r="H71" s="5"/>
      <c r="I71" s="5"/>
      <c r="J71" s="5"/>
      <c r="K71" s="15"/>
      <c r="L71" s="5"/>
      <c r="M71" s="15"/>
      <c r="N71" s="5"/>
      <c r="O71" s="15"/>
      <c r="P71" s="19" t="str">
        <f t="shared" si="7"/>
        <v/>
      </c>
      <c r="Q71" s="19" t="str">
        <f t="shared" si="8"/>
        <v/>
      </c>
      <c r="R71" s="19" t="str">
        <f t="shared" si="9"/>
        <v/>
      </c>
      <c r="S71" s="5"/>
      <c r="T71" s="5"/>
      <c r="U71" s="5"/>
      <c r="V71" s="24"/>
      <c r="W71" s="15"/>
      <c r="X71" s="15"/>
      <c r="Y71" s="15"/>
      <c r="Z71" s="19" t="str">
        <f t="shared" si="10"/>
        <v/>
      </c>
      <c r="AA71" s="19" t="str">
        <f t="shared" si="11"/>
        <v/>
      </c>
      <c r="AB71" s="5"/>
      <c r="AC71" s="5"/>
      <c r="AE71" t="str">
        <f>IFERROR(INDEX(EqTag,_xlfn.AGGREGATE(15,6,(ROW(EqTag)-4)/((EqSys=$D$3)*(EqTag&lt;&gt;"")),ROWS($AE$14:AE71))),"")</f>
        <v/>
      </c>
    </row>
    <row r="72" spans="1:31" ht="30" customHeight="1" x14ac:dyDescent="0.2">
      <c r="A72" s="19" t="str">
        <f>IF(F72="","",LEFT($D$3,3)&amp;"-"&amp;TEXT(COUNTIF(F$14:F72,"?*"),"00"))</f>
        <v/>
      </c>
      <c r="B72" s="5"/>
      <c r="C72" s="6" t="str">
        <f t="shared" si="6"/>
        <v/>
      </c>
      <c r="D72" s="5"/>
      <c r="E72" s="5"/>
      <c r="F72" s="5"/>
      <c r="G72" s="5"/>
      <c r="H72" s="5"/>
      <c r="I72" s="5"/>
      <c r="J72" s="5"/>
      <c r="K72" s="15"/>
      <c r="L72" s="5"/>
      <c r="M72" s="15"/>
      <c r="N72" s="5"/>
      <c r="O72" s="15"/>
      <c r="P72" s="19" t="str">
        <f t="shared" si="7"/>
        <v/>
      </c>
      <c r="Q72" s="19" t="str">
        <f t="shared" si="8"/>
        <v/>
      </c>
      <c r="R72" s="19" t="str">
        <f t="shared" si="9"/>
        <v/>
      </c>
      <c r="S72" s="5"/>
      <c r="T72" s="5"/>
      <c r="U72" s="5"/>
      <c r="V72" s="24"/>
      <c r="W72" s="15"/>
      <c r="X72" s="15"/>
      <c r="Y72" s="15"/>
      <c r="Z72" s="19" t="str">
        <f t="shared" si="10"/>
        <v/>
      </c>
      <c r="AA72" s="19" t="str">
        <f t="shared" si="11"/>
        <v/>
      </c>
      <c r="AB72" s="5"/>
      <c r="AC72" s="5"/>
      <c r="AE72" t="str">
        <f>IFERROR(INDEX(EqTag,_xlfn.AGGREGATE(15,6,(ROW(EqTag)-4)/((EqSys=$D$3)*(EqTag&lt;&gt;"")),ROWS($AE$14:AE72))),"")</f>
        <v/>
      </c>
    </row>
    <row r="73" spans="1:31" ht="30" customHeight="1" x14ac:dyDescent="0.2">
      <c r="A73" s="19" t="str">
        <f>IF(F73="","",LEFT($D$3,3)&amp;"-"&amp;TEXT(COUNTIF(F$14:F73,"?*"),"00"))</f>
        <v/>
      </c>
      <c r="B73" s="5"/>
      <c r="C73" s="6" t="str">
        <f t="shared" si="6"/>
        <v/>
      </c>
      <c r="D73" s="5"/>
      <c r="E73" s="5"/>
      <c r="F73" s="5"/>
      <c r="G73" s="5"/>
      <c r="H73" s="5"/>
      <c r="I73" s="5"/>
      <c r="J73" s="5"/>
      <c r="K73" s="15"/>
      <c r="L73" s="5"/>
      <c r="M73" s="15"/>
      <c r="N73" s="5"/>
      <c r="O73" s="15"/>
      <c r="P73" s="19" t="str">
        <f t="shared" si="7"/>
        <v/>
      </c>
      <c r="Q73" s="19" t="str">
        <f t="shared" si="8"/>
        <v/>
      </c>
      <c r="R73" s="19" t="str">
        <f t="shared" si="9"/>
        <v/>
      </c>
      <c r="S73" s="5"/>
      <c r="T73" s="5"/>
      <c r="U73" s="5"/>
      <c r="V73" s="24"/>
      <c r="W73" s="15"/>
      <c r="X73" s="15"/>
      <c r="Y73" s="15"/>
      <c r="Z73" s="19" t="str">
        <f t="shared" si="10"/>
        <v/>
      </c>
      <c r="AA73" s="19" t="str">
        <f t="shared" si="11"/>
        <v/>
      </c>
      <c r="AB73" s="5"/>
      <c r="AC73" s="5"/>
      <c r="AE73" t="str">
        <f>IFERROR(INDEX(EqTag,_xlfn.AGGREGATE(15,6,(ROW(EqTag)-4)/((EqSys=$D$3)*(EqTag&lt;&gt;"")),ROWS($AE$14:AE73))),"")</f>
        <v/>
      </c>
    </row>
    <row r="74" spans="1:31" ht="30" customHeight="1" x14ac:dyDescent="0.2">
      <c r="A74" s="19" t="str">
        <f>IF(F74="","",LEFT($D$3,3)&amp;"-"&amp;TEXT(COUNTIF(F$14:F74,"?*"),"00"))</f>
        <v/>
      </c>
      <c r="B74" s="5"/>
      <c r="C74" s="6" t="str">
        <f t="shared" si="6"/>
        <v/>
      </c>
      <c r="D74" s="5"/>
      <c r="E74" s="5"/>
      <c r="F74" s="5"/>
      <c r="G74" s="5"/>
      <c r="H74" s="5"/>
      <c r="I74" s="5"/>
      <c r="J74" s="5"/>
      <c r="K74" s="15"/>
      <c r="L74" s="5"/>
      <c r="M74" s="15"/>
      <c r="N74" s="5"/>
      <c r="O74" s="15"/>
      <c r="P74" s="19" t="str">
        <f t="shared" si="7"/>
        <v/>
      </c>
      <c r="Q74" s="19" t="str">
        <f t="shared" si="8"/>
        <v/>
      </c>
      <c r="R74" s="19" t="str">
        <f t="shared" si="9"/>
        <v/>
      </c>
      <c r="S74" s="5"/>
      <c r="T74" s="5"/>
      <c r="U74" s="5"/>
      <c r="V74" s="24"/>
      <c r="W74" s="15"/>
      <c r="X74" s="15"/>
      <c r="Y74" s="15"/>
      <c r="Z74" s="19" t="str">
        <f t="shared" si="10"/>
        <v/>
      </c>
      <c r="AA74" s="19" t="str">
        <f t="shared" si="11"/>
        <v/>
      </c>
      <c r="AB74" s="5"/>
      <c r="AC74" s="5"/>
      <c r="AE74" t="str">
        <f>IFERROR(INDEX(EqTag,_xlfn.AGGREGATE(15,6,(ROW(EqTag)-4)/((EqSys=$D$3)*(EqTag&lt;&gt;"")),ROWS($AE$14:AE74))),"")</f>
        <v/>
      </c>
    </row>
    <row r="75" spans="1:31" ht="30" customHeight="1" x14ac:dyDescent="0.2">
      <c r="A75" s="19" t="str">
        <f>IF(F75="","",LEFT($D$3,3)&amp;"-"&amp;TEXT(COUNTIF(F$14:F75,"?*"),"00"))</f>
        <v/>
      </c>
      <c r="B75" s="5"/>
      <c r="C75" s="6" t="str">
        <f t="shared" si="6"/>
        <v/>
      </c>
      <c r="D75" s="5"/>
      <c r="E75" s="5"/>
      <c r="F75" s="5"/>
      <c r="G75" s="5"/>
      <c r="H75" s="5"/>
      <c r="I75" s="5"/>
      <c r="J75" s="5"/>
      <c r="K75" s="15"/>
      <c r="L75" s="5"/>
      <c r="M75" s="15"/>
      <c r="N75" s="5"/>
      <c r="O75" s="15"/>
      <c r="P75" s="19" t="str">
        <f t="shared" si="7"/>
        <v/>
      </c>
      <c r="Q75" s="19" t="str">
        <f t="shared" si="8"/>
        <v/>
      </c>
      <c r="R75" s="19" t="str">
        <f t="shared" si="9"/>
        <v/>
      </c>
      <c r="S75" s="5"/>
      <c r="T75" s="5"/>
      <c r="U75" s="5"/>
      <c r="V75" s="24"/>
      <c r="W75" s="15"/>
      <c r="X75" s="15"/>
      <c r="Y75" s="15"/>
      <c r="Z75" s="19" t="str">
        <f t="shared" si="10"/>
        <v/>
      </c>
      <c r="AA75" s="19" t="str">
        <f t="shared" si="11"/>
        <v/>
      </c>
      <c r="AB75" s="5"/>
      <c r="AC75" s="5"/>
      <c r="AE75" t="str">
        <f>IFERROR(INDEX(EqTag,_xlfn.AGGREGATE(15,6,(ROW(EqTag)-4)/((EqSys=$D$3)*(EqTag&lt;&gt;"")),ROWS($AE$14:AE75))),"")</f>
        <v/>
      </c>
    </row>
    <row r="76" spans="1:31" ht="30" customHeight="1" x14ac:dyDescent="0.2">
      <c r="A76" s="19" t="str">
        <f>IF(F76="","",LEFT($D$3,3)&amp;"-"&amp;TEXT(COUNTIF(F$14:F76,"?*"),"00"))</f>
        <v/>
      </c>
      <c r="B76" s="5"/>
      <c r="C76" s="6" t="str">
        <f t="shared" si="6"/>
        <v/>
      </c>
      <c r="D76" s="5"/>
      <c r="E76" s="5"/>
      <c r="F76" s="5"/>
      <c r="G76" s="5"/>
      <c r="H76" s="5"/>
      <c r="I76" s="5"/>
      <c r="J76" s="5"/>
      <c r="K76" s="15"/>
      <c r="L76" s="5"/>
      <c r="M76" s="15"/>
      <c r="N76" s="5"/>
      <c r="O76" s="15"/>
      <c r="P76" s="19" t="str">
        <f t="shared" si="7"/>
        <v/>
      </c>
      <c r="Q76" s="19" t="str">
        <f t="shared" si="8"/>
        <v/>
      </c>
      <c r="R76" s="19" t="str">
        <f t="shared" si="9"/>
        <v/>
      </c>
      <c r="S76" s="5"/>
      <c r="T76" s="5"/>
      <c r="U76" s="5"/>
      <c r="V76" s="24"/>
      <c r="W76" s="15"/>
      <c r="X76" s="15"/>
      <c r="Y76" s="15"/>
      <c r="Z76" s="19" t="str">
        <f t="shared" si="10"/>
        <v/>
      </c>
      <c r="AA76" s="19" t="str">
        <f t="shared" si="11"/>
        <v/>
      </c>
      <c r="AB76" s="5"/>
      <c r="AC76" s="5"/>
      <c r="AE76" t="str">
        <f>IFERROR(INDEX(EqTag,_xlfn.AGGREGATE(15,6,(ROW(EqTag)-4)/((EqSys=$D$3)*(EqTag&lt;&gt;"")),ROWS($AE$14:AE76))),"")</f>
        <v/>
      </c>
    </row>
    <row r="77" spans="1:31" ht="30" customHeight="1" x14ac:dyDescent="0.2">
      <c r="A77" s="19" t="str">
        <f>IF(F77="","",LEFT($D$3,3)&amp;"-"&amp;TEXT(COUNTIF(F$14:F77,"?*"),"00"))</f>
        <v/>
      </c>
      <c r="B77" s="5"/>
      <c r="C77" s="6" t="str">
        <f t="shared" si="6"/>
        <v/>
      </c>
      <c r="D77" s="5"/>
      <c r="E77" s="5"/>
      <c r="F77" s="5"/>
      <c r="G77" s="5"/>
      <c r="H77" s="5"/>
      <c r="I77" s="5"/>
      <c r="J77" s="5"/>
      <c r="K77" s="15"/>
      <c r="L77" s="5"/>
      <c r="M77" s="15"/>
      <c r="N77" s="5"/>
      <c r="O77" s="15"/>
      <c r="P77" s="19" t="str">
        <f t="shared" si="7"/>
        <v/>
      </c>
      <c r="Q77" s="19" t="str">
        <f t="shared" si="8"/>
        <v/>
      </c>
      <c r="R77" s="19" t="str">
        <f t="shared" si="9"/>
        <v/>
      </c>
      <c r="S77" s="5"/>
      <c r="T77" s="5"/>
      <c r="U77" s="5"/>
      <c r="V77" s="24"/>
      <c r="W77" s="15"/>
      <c r="X77" s="15"/>
      <c r="Y77" s="15"/>
      <c r="Z77" s="19" t="str">
        <f t="shared" si="10"/>
        <v/>
      </c>
      <c r="AA77" s="19" t="str">
        <f t="shared" si="11"/>
        <v/>
      </c>
      <c r="AB77" s="5"/>
      <c r="AC77" s="5"/>
      <c r="AE77" t="str">
        <f>IFERROR(INDEX(EqTag,_xlfn.AGGREGATE(15,6,(ROW(EqTag)-4)/((EqSys=$D$3)*(EqTag&lt;&gt;"")),ROWS($AE$14:AE77))),"")</f>
        <v/>
      </c>
    </row>
    <row r="78" spans="1:31" ht="30" customHeight="1" x14ac:dyDescent="0.2">
      <c r="A78" s="19" t="str">
        <f>IF(F78="","",LEFT($D$3,3)&amp;"-"&amp;TEXT(COUNTIF(F$14:F78,"?*"),"00"))</f>
        <v/>
      </c>
      <c r="B78" s="5"/>
      <c r="C78" s="6" t="str">
        <f t="shared" ref="C78:C109" si="12">IF(B78="","",IFERROR(INDEX(EqTypeCol,MATCH(B78,EqTag,0)),"Tag not in register"))</f>
        <v/>
      </c>
      <c r="D78" s="5"/>
      <c r="E78" s="5"/>
      <c r="F78" s="5"/>
      <c r="G78" s="5"/>
      <c r="H78" s="5"/>
      <c r="I78" s="5"/>
      <c r="J78" s="5"/>
      <c r="K78" s="15"/>
      <c r="L78" s="5"/>
      <c r="M78" s="15"/>
      <c r="N78" s="5"/>
      <c r="O78" s="15"/>
      <c r="P78" s="19" t="str">
        <f t="shared" ref="P78:P109" si="13">IF(OR(K78="",M78="",O78=""),"",(--TRIM(LEFT(K78,2)))*(--TRIM(LEFT(M78,2)))*(--TRIM(LEFT(O78,2))))</f>
        <v/>
      </c>
      <c r="Q78" s="19" t="str">
        <f t="shared" ref="Q78:Q109" si="14">IF(OR(K78="",M78="",O78=""),"",INDEX(APGrid,COUNTIF(APS,"&gt;"&amp;(--TRIM(LEFT(K78,2))))*5+COUNTIF(APO,"&gt;"&amp;(--TRIM(LEFT(M78,2))))+1,COUNTIF(APD,"&gt;"&amp;(--TRIM(LEFT(O78,2))))+1))</f>
        <v/>
      </c>
      <c r="R78" s="19" t="str">
        <f t="shared" ref="R78:R109" si="15">IF(P78="","",IF(OR((--TRIM(LEFT(K78,2)))&gt;=SThr,P78&gt;=RPNThr,Q78="H"),"Yes","No"))</f>
        <v/>
      </c>
      <c r="S78" s="5"/>
      <c r="T78" s="5"/>
      <c r="U78" s="5"/>
      <c r="V78" s="24"/>
      <c r="W78" s="15"/>
      <c r="X78" s="15"/>
      <c r="Y78" s="15"/>
      <c r="Z78" s="19" t="str">
        <f t="shared" ref="Z78:Z109" si="16">IF(OR(W78="",X78="",Y78=""),"",(--TRIM(LEFT(W78,2)))*(--TRIM(LEFT(X78,2)))*(--TRIM(LEFT(Y78,2))))</f>
        <v/>
      </c>
      <c r="AA78" s="19" t="str">
        <f t="shared" ref="AA78:AA109" si="17">IF(OR(W78="",X78="",Y78=""),"",INDEX(APGrid,COUNTIF(APS,"&gt;"&amp;(--TRIM(LEFT(W78,2))))*5+COUNTIF(APO,"&gt;"&amp;(--TRIM(LEFT(X78,2))))+1,COUNTIF(APD,"&gt;"&amp;(--TRIM(LEFT(Y78,2))))+1))</f>
        <v/>
      </c>
      <c r="AB78" s="5"/>
      <c r="AC78" s="5"/>
      <c r="AE78" t="str">
        <f>IFERROR(INDEX(EqTag,_xlfn.AGGREGATE(15,6,(ROW(EqTag)-4)/((EqSys=$D$3)*(EqTag&lt;&gt;"")),ROWS($AE$14:AE78))),"")</f>
        <v/>
      </c>
    </row>
    <row r="79" spans="1:31" ht="30" customHeight="1" x14ac:dyDescent="0.2">
      <c r="A79" s="19" t="str">
        <f>IF(F79="","",LEFT($D$3,3)&amp;"-"&amp;TEXT(COUNTIF(F$14:F79,"?*"),"00"))</f>
        <v/>
      </c>
      <c r="B79" s="5"/>
      <c r="C79" s="6" t="str">
        <f t="shared" si="12"/>
        <v/>
      </c>
      <c r="D79" s="5"/>
      <c r="E79" s="5"/>
      <c r="F79" s="5"/>
      <c r="G79" s="5"/>
      <c r="H79" s="5"/>
      <c r="I79" s="5"/>
      <c r="J79" s="5"/>
      <c r="K79" s="15"/>
      <c r="L79" s="5"/>
      <c r="M79" s="15"/>
      <c r="N79" s="5"/>
      <c r="O79" s="15"/>
      <c r="P79" s="19" t="str">
        <f t="shared" si="13"/>
        <v/>
      </c>
      <c r="Q79" s="19" t="str">
        <f t="shared" si="14"/>
        <v/>
      </c>
      <c r="R79" s="19" t="str">
        <f t="shared" si="15"/>
        <v/>
      </c>
      <c r="S79" s="5"/>
      <c r="T79" s="5"/>
      <c r="U79" s="5"/>
      <c r="V79" s="24"/>
      <c r="W79" s="15"/>
      <c r="X79" s="15"/>
      <c r="Y79" s="15"/>
      <c r="Z79" s="19" t="str">
        <f t="shared" si="16"/>
        <v/>
      </c>
      <c r="AA79" s="19" t="str">
        <f t="shared" si="17"/>
        <v/>
      </c>
      <c r="AB79" s="5"/>
      <c r="AC79" s="5"/>
      <c r="AE79" t="str">
        <f>IFERROR(INDEX(EqTag,_xlfn.AGGREGATE(15,6,(ROW(EqTag)-4)/((EqSys=$D$3)*(EqTag&lt;&gt;"")),ROWS($AE$14:AE79))),"")</f>
        <v/>
      </c>
    </row>
    <row r="80" spans="1:31" ht="30" customHeight="1" x14ac:dyDescent="0.2">
      <c r="A80" s="19" t="str">
        <f>IF(F80="","",LEFT($D$3,3)&amp;"-"&amp;TEXT(COUNTIF(F$14:F80,"?*"),"00"))</f>
        <v/>
      </c>
      <c r="B80" s="5"/>
      <c r="C80" s="6" t="str">
        <f t="shared" si="12"/>
        <v/>
      </c>
      <c r="D80" s="5"/>
      <c r="E80" s="5"/>
      <c r="F80" s="5"/>
      <c r="G80" s="5"/>
      <c r="H80" s="5"/>
      <c r="I80" s="5"/>
      <c r="J80" s="5"/>
      <c r="K80" s="15"/>
      <c r="L80" s="5"/>
      <c r="M80" s="15"/>
      <c r="N80" s="5"/>
      <c r="O80" s="15"/>
      <c r="P80" s="19" t="str">
        <f t="shared" si="13"/>
        <v/>
      </c>
      <c r="Q80" s="19" t="str">
        <f t="shared" si="14"/>
        <v/>
      </c>
      <c r="R80" s="19" t="str">
        <f t="shared" si="15"/>
        <v/>
      </c>
      <c r="S80" s="5"/>
      <c r="T80" s="5"/>
      <c r="U80" s="5"/>
      <c r="V80" s="24"/>
      <c r="W80" s="15"/>
      <c r="X80" s="15"/>
      <c r="Y80" s="15"/>
      <c r="Z80" s="19" t="str">
        <f t="shared" si="16"/>
        <v/>
      </c>
      <c r="AA80" s="19" t="str">
        <f t="shared" si="17"/>
        <v/>
      </c>
      <c r="AB80" s="5"/>
      <c r="AC80" s="5"/>
      <c r="AE80" t="str">
        <f>IFERROR(INDEX(EqTag,_xlfn.AGGREGATE(15,6,(ROW(EqTag)-4)/((EqSys=$D$3)*(EqTag&lt;&gt;"")),ROWS($AE$14:AE80))),"")</f>
        <v/>
      </c>
    </row>
    <row r="81" spans="1:31" ht="30" customHeight="1" x14ac:dyDescent="0.2">
      <c r="A81" s="19" t="str">
        <f>IF(F81="","",LEFT($D$3,3)&amp;"-"&amp;TEXT(COUNTIF(F$14:F81,"?*"),"00"))</f>
        <v/>
      </c>
      <c r="B81" s="5"/>
      <c r="C81" s="6" t="str">
        <f t="shared" si="12"/>
        <v/>
      </c>
      <c r="D81" s="5"/>
      <c r="E81" s="5"/>
      <c r="F81" s="5"/>
      <c r="G81" s="5"/>
      <c r="H81" s="5"/>
      <c r="I81" s="5"/>
      <c r="J81" s="5"/>
      <c r="K81" s="15"/>
      <c r="L81" s="5"/>
      <c r="M81" s="15"/>
      <c r="N81" s="5"/>
      <c r="O81" s="15"/>
      <c r="P81" s="19" t="str">
        <f t="shared" si="13"/>
        <v/>
      </c>
      <c r="Q81" s="19" t="str">
        <f t="shared" si="14"/>
        <v/>
      </c>
      <c r="R81" s="19" t="str">
        <f t="shared" si="15"/>
        <v/>
      </c>
      <c r="S81" s="5"/>
      <c r="T81" s="5"/>
      <c r="U81" s="5"/>
      <c r="V81" s="24"/>
      <c r="W81" s="15"/>
      <c r="X81" s="15"/>
      <c r="Y81" s="15"/>
      <c r="Z81" s="19" t="str">
        <f t="shared" si="16"/>
        <v/>
      </c>
      <c r="AA81" s="19" t="str">
        <f t="shared" si="17"/>
        <v/>
      </c>
      <c r="AB81" s="5"/>
      <c r="AC81" s="5"/>
      <c r="AE81" t="str">
        <f>IFERROR(INDEX(EqTag,_xlfn.AGGREGATE(15,6,(ROW(EqTag)-4)/((EqSys=$D$3)*(EqTag&lt;&gt;"")),ROWS($AE$14:AE81))),"")</f>
        <v/>
      </c>
    </row>
    <row r="82" spans="1:31" ht="30" customHeight="1" x14ac:dyDescent="0.2">
      <c r="A82" s="19" t="str">
        <f>IF(F82="","",LEFT($D$3,3)&amp;"-"&amp;TEXT(COUNTIF(F$14:F82,"?*"),"00"))</f>
        <v/>
      </c>
      <c r="B82" s="5"/>
      <c r="C82" s="6" t="str">
        <f t="shared" si="12"/>
        <v/>
      </c>
      <c r="D82" s="5"/>
      <c r="E82" s="5"/>
      <c r="F82" s="5"/>
      <c r="G82" s="5"/>
      <c r="H82" s="5"/>
      <c r="I82" s="5"/>
      <c r="J82" s="5"/>
      <c r="K82" s="15"/>
      <c r="L82" s="5"/>
      <c r="M82" s="15"/>
      <c r="N82" s="5"/>
      <c r="O82" s="15"/>
      <c r="P82" s="19" t="str">
        <f t="shared" si="13"/>
        <v/>
      </c>
      <c r="Q82" s="19" t="str">
        <f t="shared" si="14"/>
        <v/>
      </c>
      <c r="R82" s="19" t="str">
        <f t="shared" si="15"/>
        <v/>
      </c>
      <c r="S82" s="5"/>
      <c r="T82" s="5"/>
      <c r="U82" s="5"/>
      <c r="V82" s="24"/>
      <c r="W82" s="15"/>
      <c r="X82" s="15"/>
      <c r="Y82" s="15"/>
      <c r="Z82" s="19" t="str">
        <f t="shared" si="16"/>
        <v/>
      </c>
      <c r="AA82" s="19" t="str">
        <f t="shared" si="17"/>
        <v/>
      </c>
      <c r="AB82" s="5"/>
      <c r="AC82" s="5"/>
      <c r="AE82" t="str">
        <f>IFERROR(INDEX(EqTag,_xlfn.AGGREGATE(15,6,(ROW(EqTag)-4)/((EqSys=$D$3)*(EqTag&lt;&gt;"")),ROWS($AE$14:AE82))),"")</f>
        <v/>
      </c>
    </row>
    <row r="83" spans="1:31" ht="30" customHeight="1" x14ac:dyDescent="0.2">
      <c r="A83" s="19" t="str">
        <f>IF(F83="","",LEFT($D$3,3)&amp;"-"&amp;TEXT(COUNTIF(F$14:F83,"?*"),"00"))</f>
        <v/>
      </c>
      <c r="B83" s="5"/>
      <c r="C83" s="6" t="str">
        <f t="shared" si="12"/>
        <v/>
      </c>
      <c r="D83" s="5"/>
      <c r="E83" s="5"/>
      <c r="F83" s="5"/>
      <c r="G83" s="5"/>
      <c r="H83" s="5"/>
      <c r="I83" s="5"/>
      <c r="J83" s="5"/>
      <c r="K83" s="15"/>
      <c r="L83" s="5"/>
      <c r="M83" s="15"/>
      <c r="N83" s="5"/>
      <c r="O83" s="15"/>
      <c r="P83" s="19" t="str">
        <f t="shared" si="13"/>
        <v/>
      </c>
      <c r="Q83" s="19" t="str">
        <f t="shared" si="14"/>
        <v/>
      </c>
      <c r="R83" s="19" t="str">
        <f t="shared" si="15"/>
        <v/>
      </c>
      <c r="S83" s="5"/>
      <c r="T83" s="5"/>
      <c r="U83" s="5"/>
      <c r="V83" s="24"/>
      <c r="W83" s="15"/>
      <c r="X83" s="15"/>
      <c r="Y83" s="15"/>
      <c r="Z83" s="19" t="str">
        <f t="shared" si="16"/>
        <v/>
      </c>
      <c r="AA83" s="19" t="str">
        <f t="shared" si="17"/>
        <v/>
      </c>
      <c r="AB83" s="5"/>
      <c r="AC83" s="5"/>
      <c r="AE83" t="str">
        <f>IFERROR(INDEX(EqTag,_xlfn.AGGREGATE(15,6,(ROW(EqTag)-4)/((EqSys=$D$3)*(EqTag&lt;&gt;"")),ROWS($AE$14:AE83))),"")</f>
        <v/>
      </c>
    </row>
    <row r="84" spans="1:31" ht="30" customHeight="1" x14ac:dyDescent="0.2">
      <c r="A84" s="19" t="str">
        <f>IF(F84="","",LEFT($D$3,3)&amp;"-"&amp;TEXT(COUNTIF(F$14:F84,"?*"),"00"))</f>
        <v/>
      </c>
      <c r="B84" s="5"/>
      <c r="C84" s="6" t="str">
        <f t="shared" si="12"/>
        <v/>
      </c>
      <c r="D84" s="5"/>
      <c r="E84" s="5"/>
      <c r="F84" s="5"/>
      <c r="G84" s="5"/>
      <c r="H84" s="5"/>
      <c r="I84" s="5"/>
      <c r="J84" s="5"/>
      <c r="K84" s="15"/>
      <c r="L84" s="5"/>
      <c r="M84" s="15"/>
      <c r="N84" s="5"/>
      <c r="O84" s="15"/>
      <c r="P84" s="19" t="str">
        <f t="shared" si="13"/>
        <v/>
      </c>
      <c r="Q84" s="19" t="str">
        <f t="shared" si="14"/>
        <v/>
      </c>
      <c r="R84" s="19" t="str">
        <f t="shared" si="15"/>
        <v/>
      </c>
      <c r="S84" s="5"/>
      <c r="T84" s="5"/>
      <c r="U84" s="5"/>
      <c r="V84" s="24"/>
      <c r="W84" s="15"/>
      <c r="X84" s="15"/>
      <c r="Y84" s="15"/>
      <c r="Z84" s="19" t="str">
        <f t="shared" si="16"/>
        <v/>
      </c>
      <c r="AA84" s="19" t="str">
        <f t="shared" si="17"/>
        <v/>
      </c>
      <c r="AB84" s="5"/>
      <c r="AC84" s="5"/>
      <c r="AE84" t="str">
        <f>IFERROR(INDEX(EqTag,_xlfn.AGGREGATE(15,6,(ROW(EqTag)-4)/((EqSys=$D$3)*(EqTag&lt;&gt;"")),ROWS($AE$14:AE84))),"")</f>
        <v/>
      </c>
    </row>
    <row r="85" spans="1:31" ht="30" customHeight="1" x14ac:dyDescent="0.2">
      <c r="A85" s="19" t="str">
        <f>IF(F85="","",LEFT($D$3,3)&amp;"-"&amp;TEXT(COUNTIF(F$14:F85,"?*"),"00"))</f>
        <v/>
      </c>
      <c r="B85" s="5"/>
      <c r="C85" s="6" t="str">
        <f t="shared" si="12"/>
        <v/>
      </c>
      <c r="D85" s="5"/>
      <c r="E85" s="5"/>
      <c r="F85" s="5"/>
      <c r="G85" s="5"/>
      <c r="H85" s="5"/>
      <c r="I85" s="5"/>
      <c r="J85" s="5"/>
      <c r="K85" s="15"/>
      <c r="L85" s="5"/>
      <c r="M85" s="15"/>
      <c r="N85" s="5"/>
      <c r="O85" s="15"/>
      <c r="P85" s="19" t="str">
        <f t="shared" si="13"/>
        <v/>
      </c>
      <c r="Q85" s="19" t="str">
        <f t="shared" si="14"/>
        <v/>
      </c>
      <c r="R85" s="19" t="str">
        <f t="shared" si="15"/>
        <v/>
      </c>
      <c r="S85" s="5"/>
      <c r="T85" s="5"/>
      <c r="U85" s="5"/>
      <c r="V85" s="24"/>
      <c r="W85" s="15"/>
      <c r="X85" s="15"/>
      <c r="Y85" s="15"/>
      <c r="Z85" s="19" t="str">
        <f t="shared" si="16"/>
        <v/>
      </c>
      <c r="AA85" s="19" t="str">
        <f t="shared" si="17"/>
        <v/>
      </c>
      <c r="AB85" s="5"/>
      <c r="AC85" s="5"/>
      <c r="AE85" t="str">
        <f>IFERROR(INDEX(EqTag,_xlfn.AGGREGATE(15,6,(ROW(EqTag)-4)/((EqSys=$D$3)*(EqTag&lt;&gt;"")),ROWS($AE$14:AE85))),"")</f>
        <v/>
      </c>
    </row>
    <row r="86" spans="1:31" ht="30" customHeight="1" x14ac:dyDescent="0.2">
      <c r="A86" s="19" t="str">
        <f>IF(F86="","",LEFT($D$3,3)&amp;"-"&amp;TEXT(COUNTIF(F$14:F86,"?*"),"00"))</f>
        <v/>
      </c>
      <c r="B86" s="5"/>
      <c r="C86" s="6" t="str">
        <f t="shared" si="12"/>
        <v/>
      </c>
      <c r="D86" s="5"/>
      <c r="E86" s="5"/>
      <c r="F86" s="5"/>
      <c r="G86" s="5"/>
      <c r="H86" s="5"/>
      <c r="I86" s="5"/>
      <c r="J86" s="5"/>
      <c r="K86" s="15"/>
      <c r="L86" s="5"/>
      <c r="M86" s="15"/>
      <c r="N86" s="5"/>
      <c r="O86" s="15"/>
      <c r="P86" s="19" t="str">
        <f t="shared" si="13"/>
        <v/>
      </c>
      <c r="Q86" s="19" t="str">
        <f t="shared" si="14"/>
        <v/>
      </c>
      <c r="R86" s="19" t="str">
        <f t="shared" si="15"/>
        <v/>
      </c>
      <c r="S86" s="5"/>
      <c r="T86" s="5"/>
      <c r="U86" s="5"/>
      <c r="V86" s="24"/>
      <c r="W86" s="15"/>
      <c r="X86" s="15"/>
      <c r="Y86" s="15"/>
      <c r="Z86" s="19" t="str">
        <f t="shared" si="16"/>
        <v/>
      </c>
      <c r="AA86" s="19" t="str">
        <f t="shared" si="17"/>
        <v/>
      </c>
      <c r="AB86" s="5"/>
      <c r="AC86" s="5"/>
      <c r="AE86" t="str">
        <f>IFERROR(INDEX(EqTag,_xlfn.AGGREGATE(15,6,(ROW(EqTag)-4)/((EqSys=$D$3)*(EqTag&lt;&gt;"")),ROWS($AE$14:AE86))),"")</f>
        <v/>
      </c>
    </row>
    <row r="87" spans="1:31" ht="30" customHeight="1" x14ac:dyDescent="0.2">
      <c r="A87" s="19" t="str">
        <f>IF(F87="","",LEFT($D$3,3)&amp;"-"&amp;TEXT(COUNTIF(F$14:F87,"?*"),"00"))</f>
        <v/>
      </c>
      <c r="B87" s="5"/>
      <c r="C87" s="6" t="str">
        <f t="shared" si="12"/>
        <v/>
      </c>
      <c r="D87" s="5"/>
      <c r="E87" s="5"/>
      <c r="F87" s="5"/>
      <c r="G87" s="5"/>
      <c r="H87" s="5"/>
      <c r="I87" s="5"/>
      <c r="J87" s="5"/>
      <c r="K87" s="15"/>
      <c r="L87" s="5"/>
      <c r="M87" s="15"/>
      <c r="N87" s="5"/>
      <c r="O87" s="15"/>
      <c r="P87" s="19" t="str">
        <f t="shared" si="13"/>
        <v/>
      </c>
      <c r="Q87" s="19" t="str">
        <f t="shared" si="14"/>
        <v/>
      </c>
      <c r="R87" s="19" t="str">
        <f t="shared" si="15"/>
        <v/>
      </c>
      <c r="S87" s="5"/>
      <c r="T87" s="5"/>
      <c r="U87" s="5"/>
      <c r="V87" s="24"/>
      <c r="W87" s="15"/>
      <c r="X87" s="15"/>
      <c r="Y87" s="15"/>
      <c r="Z87" s="19" t="str">
        <f t="shared" si="16"/>
        <v/>
      </c>
      <c r="AA87" s="19" t="str">
        <f t="shared" si="17"/>
        <v/>
      </c>
      <c r="AB87" s="5"/>
      <c r="AC87" s="5"/>
      <c r="AE87" t="str">
        <f>IFERROR(INDEX(EqTag,_xlfn.AGGREGATE(15,6,(ROW(EqTag)-4)/((EqSys=$D$3)*(EqTag&lt;&gt;"")),ROWS($AE$14:AE87))),"")</f>
        <v/>
      </c>
    </row>
    <row r="88" spans="1:31" ht="30" customHeight="1" x14ac:dyDescent="0.2">
      <c r="A88" s="19" t="str">
        <f>IF(F88="","",LEFT($D$3,3)&amp;"-"&amp;TEXT(COUNTIF(F$14:F88,"?*"),"00"))</f>
        <v/>
      </c>
      <c r="B88" s="5"/>
      <c r="C88" s="6" t="str">
        <f t="shared" si="12"/>
        <v/>
      </c>
      <c r="D88" s="5"/>
      <c r="E88" s="5"/>
      <c r="F88" s="5"/>
      <c r="G88" s="5"/>
      <c r="H88" s="5"/>
      <c r="I88" s="5"/>
      <c r="J88" s="5"/>
      <c r="K88" s="15"/>
      <c r="L88" s="5"/>
      <c r="M88" s="15"/>
      <c r="N88" s="5"/>
      <c r="O88" s="15"/>
      <c r="P88" s="19" t="str">
        <f t="shared" si="13"/>
        <v/>
      </c>
      <c r="Q88" s="19" t="str">
        <f t="shared" si="14"/>
        <v/>
      </c>
      <c r="R88" s="19" t="str">
        <f t="shared" si="15"/>
        <v/>
      </c>
      <c r="S88" s="5"/>
      <c r="T88" s="5"/>
      <c r="U88" s="5"/>
      <c r="V88" s="24"/>
      <c r="W88" s="15"/>
      <c r="X88" s="15"/>
      <c r="Y88" s="15"/>
      <c r="Z88" s="19" t="str">
        <f t="shared" si="16"/>
        <v/>
      </c>
      <c r="AA88" s="19" t="str">
        <f t="shared" si="17"/>
        <v/>
      </c>
      <c r="AB88" s="5"/>
      <c r="AC88" s="5"/>
      <c r="AE88" t="str">
        <f>IFERROR(INDEX(EqTag,_xlfn.AGGREGATE(15,6,(ROW(EqTag)-4)/((EqSys=$D$3)*(EqTag&lt;&gt;"")),ROWS($AE$14:AE88))),"")</f>
        <v/>
      </c>
    </row>
    <row r="89" spans="1:31" ht="30" customHeight="1" x14ac:dyDescent="0.2">
      <c r="A89" s="19" t="str">
        <f>IF(F89="","",LEFT($D$3,3)&amp;"-"&amp;TEXT(COUNTIF(F$14:F89,"?*"),"00"))</f>
        <v/>
      </c>
      <c r="B89" s="5"/>
      <c r="C89" s="6" t="str">
        <f t="shared" si="12"/>
        <v/>
      </c>
      <c r="D89" s="5"/>
      <c r="E89" s="5"/>
      <c r="F89" s="5"/>
      <c r="G89" s="5"/>
      <c r="H89" s="5"/>
      <c r="I89" s="5"/>
      <c r="J89" s="5"/>
      <c r="K89" s="15"/>
      <c r="L89" s="5"/>
      <c r="M89" s="15"/>
      <c r="N89" s="5"/>
      <c r="O89" s="15"/>
      <c r="P89" s="19" t="str">
        <f t="shared" si="13"/>
        <v/>
      </c>
      <c r="Q89" s="19" t="str">
        <f t="shared" si="14"/>
        <v/>
      </c>
      <c r="R89" s="19" t="str">
        <f t="shared" si="15"/>
        <v/>
      </c>
      <c r="S89" s="5"/>
      <c r="T89" s="5"/>
      <c r="U89" s="5"/>
      <c r="V89" s="24"/>
      <c r="W89" s="15"/>
      <c r="X89" s="15"/>
      <c r="Y89" s="15"/>
      <c r="Z89" s="19" t="str">
        <f t="shared" si="16"/>
        <v/>
      </c>
      <c r="AA89" s="19" t="str">
        <f t="shared" si="17"/>
        <v/>
      </c>
      <c r="AB89" s="5"/>
      <c r="AC89" s="5"/>
      <c r="AE89" t="str">
        <f>IFERROR(INDEX(EqTag,_xlfn.AGGREGATE(15,6,(ROW(EqTag)-4)/((EqSys=$D$3)*(EqTag&lt;&gt;"")),ROWS($AE$14:AE89))),"")</f>
        <v/>
      </c>
    </row>
    <row r="90" spans="1:31" ht="30" customHeight="1" x14ac:dyDescent="0.2">
      <c r="A90" s="19" t="str">
        <f>IF(F90="","",LEFT($D$3,3)&amp;"-"&amp;TEXT(COUNTIF(F$14:F90,"?*"),"00"))</f>
        <v/>
      </c>
      <c r="B90" s="5"/>
      <c r="C90" s="6" t="str">
        <f t="shared" si="12"/>
        <v/>
      </c>
      <c r="D90" s="5"/>
      <c r="E90" s="5"/>
      <c r="F90" s="5"/>
      <c r="G90" s="5"/>
      <c r="H90" s="5"/>
      <c r="I90" s="5"/>
      <c r="J90" s="5"/>
      <c r="K90" s="15"/>
      <c r="L90" s="5"/>
      <c r="M90" s="15"/>
      <c r="N90" s="5"/>
      <c r="O90" s="15"/>
      <c r="P90" s="19" t="str">
        <f t="shared" si="13"/>
        <v/>
      </c>
      <c r="Q90" s="19" t="str">
        <f t="shared" si="14"/>
        <v/>
      </c>
      <c r="R90" s="19" t="str">
        <f t="shared" si="15"/>
        <v/>
      </c>
      <c r="S90" s="5"/>
      <c r="T90" s="5"/>
      <c r="U90" s="5"/>
      <c r="V90" s="24"/>
      <c r="W90" s="15"/>
      <c r="X90" s="15"/>
      <c r="Y90" s="15"/>
      <c r="Z90" s="19" t="str">
        <f t="shared" si="16"/>
        <v/>
      </c>
      <c r="AA90" s="19" t="str">
        <f t="shared" si="17"/>
        <v/>
      </c>
      <c r="AB90" s="5"/>
      <c r="AC90" s="5"/>
      <c r="AE90" t="str">
        <f>IFERROR(INDEX(EqTag,_xlfn.AGGREGATE(15,6,(ROW(EqTag)-4)/((EqSys=$D$3)*(EqTag&lt;&gt;"")),ROWS($AE$14:AE90))),"")</f>
        <v/>
      </c>
    </row>
    <row r="91" spans="1:31" ht="30" customHeight="1" x14ac:dyDescent="0.2">
      <c r="A91" s="19" t="str">
        <f>IF(F91="","",LEFT($D$3,3)&amp;"-"&amp;TEXT(COUNTIF(F$14:F91,"?*"),"00"))</f>
        <v/>
      </c>
      <c r="B91" s="5"/>
      <c r="C91" s="6" t="str">
        <f t="shared" si="12"/>
        <v/>
      </c>
      <c r="D91" s="5"/>
      <c r="E91" s="5"/>
      <c r="F91" s="5"/>
      <c r="G91" s="5"/>
      <c r="H91" s="5"/>
      <c r="I91" s="5"/>
      <c r="J91" s="5"/>
      <c r="K91" s="15"/>
      <c r="L91" s="5"/>
      <c r="M91" s="15"/>
      <c r="N91" s="5"/>
      <c r="O91" s="15"/>
      <c r="P91" s="19" t="str">
        <f t="shared" si="13"/>
        <v/>
      </c>
      <c r="Q91" s="19" t="str">
        <f t="shared" si="14"/>
        <v/>
      </c>
      <c r="R91" s="19" t="str">
        <f t="shared" si="15"/>
        <v/>
      </c>
      <c r="S91" s="5"/>
      <c r="T91" s="5"/>
      <c r="U91" s="5"/>
      <c r="V91" s="24"/>
      <c r="W91" s="15"/>
      <c r="X91" s="15"/>
      <c r="Y91" s="15"/>
      <c r="Z91" s="19" t="str">
        <f t="shared" si="16"/>
        <v/>
      </c>
      <c r="AA91" s="19" t="str">
        <f t="shared" si="17"/>
        <v/>
      </c>
      <c r="AB91" s="5"/>
      <c r="AC91" s="5"/>
      <c r="AE91" t="str">
        <f>IFERROR(INDEX(EqTag,_xlfn.AGGREGATE(15,6,(ROW(EqTag)-4)/((EqSys=$D$3)*(EqTag&lt;&gt;"")),ROWS($AE$14:AE91))),"")</f>
        <v/>
      </c>
    </row>
    <row r="92" spans="1:31" ht="30" customHeight="1" x14ac:dyDescent="0.2">
      <c r="A92" s="19" t="str">
        <f>IF(F92="","",LEFT($D$3,3)&amp;"-"&amp;TEXT(COUNTIF(F$14:F92,"?*"),"00"))</f>
        <v/>
      </c>
      <c r="B92" s="5"/>
      <c r="C92" s="6" t="str">
        <f t="shared" si="12"/>
        <v/>
      </c>
      <c r="D92" s="5"/>
      <c r="E92" s="5"/>
      <c r="F92" s="5"/>
      <c r="G92" s="5"/>
      <c r="H92" s="5"/>
      <c r="I92" s="5"/>
      <c r="J92" s="5"/>
      <c r="K92" s="15"/>
      <c r="L92" s="5"/>
      <c r="M92" s="15"/>
      <c r="N92" s="5"/>
      <c r="O92" s="15"/>
      <c r="P92" s="19" t="str">
        <f t="shared" si="13"/>
        <v/>
      </c>
      <c r="Q92" s="19" t="str">
        <f t="shared" si="14"/>
        <v/>
      </c>
      <c r="R92" s="19" t="str">
        <f t="shared" si="15"/>
        <v/>
      </c>
      <c r="S92" s="5"/>
      <c r="T92" s="5"/>
      <c r="U92" s="5"/>
      <c r="V92" s="24"/>
      <c r="W92" s="15"/>
      <c r="X92" s="15"/>
      <c r="Y92" s="15"/>
      <c r="Z92" s="19" t="str">
        <f t="shared" si="16"/>
        <v/>
      </c>
      <c r="AA92" s="19" t="str">
        <f t="shared" si="17"/>
        <v/>
      </c>
      <c r="AB92" s="5"/>
      <c r="AC92" s="5"/>
      <c r="AE92" t="str">
        <f>IFERROR(INDEX(EqTag,_xlfn.AGGREGATE(15,6,(ROW(EqTag)-4)/((EqSys=$D$3)*(EqTag&lt;&gt;"")),ROWS($AE$14:AE92))),"")</f>
        <v/>
      </c>
    </row>
    <row r="93" spans="1:31" ht="30" customHeight="1" x14ac:dyDescent="0.2">
      <c r="A93" s="19" t="str">
        <f>IF(F93="","",LEFT($D$3,3)&amp;"-"&amp;TEXT(COUNTIF(F$14:F93,"?*"),"00"))</f>
        <v/>
      </c>
      <c r="B93" s="5"/>
      <c r="C93" s="6" t="str">
        <f t="shared" si="12"/>
        <v/>
      </c>
      <c r="D93" s="5"/>
      <c r="E93" s="5"/>
      <c r="F93" s="5"/>
      <c r="G93" s="5"/>
      <c r="H93" s="5"/>
      <c r="I93" s="5"/>
      <c r="J93" s="5"/>
      <c r="K93" s="15"/>
      <c r="L93" s="5"/>
      <c r="M93" s="15"/>
      <c r="N93" s="5"/>
      <c r="O93" s="15"/>
      <c r="P93" s="19" t="str">
        <f t="shared" si="13"/>
        <v/>
      </c>
      <c r="Q93" s="19" t="str">
        <f t="shared" si="14"/>
        <v/>
      </c>
      <c r="R93" s="19" t="str">
        <f t="shared" si="15"/>
        <v/>
      </c>
      <c r="S93" s="5"/>
      <c r="T93" s="5"/>
      <c r="U93" s="5"/>
      <c r="V93" s="24"/>
      <c r="W93" s="15"/>
      <c r="X93" s="15"/>
      <c r="Y93" s="15"/>
      <c r="Z93" s="19" t="str">
        <f t="shared" si="16"/>
        <v/>
      </c>
      <c r="AA93" s="19" t="str">
        <f t="shared" si="17"/>
        <v/>
      </c>
      <c r="AB93" s="5"/>
      <c r="AC93" s="5"/>
      <c r="AE93" t="str">
        <f>IFERROR(INDEX(EqTag,_xlfn.AGGREGATE(15,6,(ROW(EqTag)-4)/((EqSys=$D$3)*(EqTag&lt;&gt;"")),ROWS($AE$14:AE93))),"")</f>
        <v/>
      </c>
    </row>
    <row r="94" spans="1:31" ht="30" customHeight="1" x14ac:dyDescent="0.2">
      <c r="A94" s="19" t="str">
        <f>IF(F94="","",LEFT($D$3,3)&amp;"-"&amp;TEXT(COUNTIF(F$14:F94,"?*"),"00"))</f>
        <v/>
      </c>
      <c r="B94" s="5"/>
      <c r="C94" s="6" t="str">
        <f t="shared" si="12"/>
        <v/>
      </c>
      <c r="D94" s="5"/>
      <c r="E94" s="5"/>
      <c r="F94" s="5"/>
      <c r="G94" s="5"/>
      <c r="H94" s="5"/>
      <c r="I94" s="5"/>
      <c r="J94" s="5"/>
      <c r="K94" s="15"/>
      <c r="L94" s="5"/>
      <c r="M94" s="15"/>
      <c r="N94" s="5"/>
      <c r="O94" s="15"/>
      <c r="P94" s="19" t="str">
        <f t="shared" si="13"/>
        <v/>
      </c>
      <c r="Q94" s="19" t="str">
        <f t="shared" si="14"/>
        <v/>
      </c>
      <c r="R94" s="19" t="str">
        <f t="shared" si="15"/>
        <v/>
      </c>
      <c r="S94" s="5"/>
      <c r="T94" s="5"/>
      <c r="U94" s="5"/>
      <c r="V94" s="24"/>
      <c r="W94" s="15"/>
      <c r="X94" s="15"/>
      <c r="Y94" s="15"/>
      <c r="Z94" s="19" t="str">
        <f t="shared" si="16"/>
        <v/>
      </c>
      <c r="AA94" s="19" t="str">
        <f t="shared" si="17"/>
        <v/>
      </c>
      <c r="AB94" s="5"/>
      <c r="AC94" s="5"/>
      <c r="AE94" t="str">
        <f>IFERROR(INDEX(EqTag,_xlfn.AGGREGATE(15,6,(ROW(EqTag)-4)/((EqSys=$D$3)*(EqTag&lt;&gt;"")),ROWS($AE$14:AE94))),"")</f>
        <v/>
      </c>
    </row>
    <row r="95" spans="1:31" ht="30" customHeight="1" x14ac:dyDescent="0.2">
      <c r="A95" s="19" t="str">
        <f>IF(F95="","",LEFT($D$3,3)&amp;"-"&amp;TEXT(COUNTIF(F$14:F95,"?*"),"00"))</f>
        <v/>
      </c>
      <c r="B95" s="5"/>
      <c r="C95" s="6" t="str">
        <f t="shared" si="12"/>
        <v/>
      </c>
      <c r="D95" s="5"/>
      <c r="E95" s="5"/>
      <c r="F95" s="5"/>
      <c r="G95" s="5"/>
      <c r="H95" s="5"/>
      <c r="I95" s="5"/>
      <c r="J95" s="5"/>
      <c r="K95" s="15"/>
      <c r="L95" s="5"/>
      <c r="M95" s="15"/>
      <c r="N95" s="5"/>
      <c r="O95" s="15"/>
      <c r="P95" s="19" t="str">
        <f t="shared" si="13"/>
        <v/>
      </c>
      <c r="Q95" s="19" t="str">
        <f t="shared" si="14"/>
        <v/>
      </c>
      <c r="R95" s="19" t="str">
        <f t="shared" si="15"/>
        <v/>
      </c>
      <c r="S95" s="5"/>
      <c r="T95" s="5"/>
      <c r="U95" s="5"/>
      <c r="V95" s="24"/>
      <c r="W95" s="15"/>
      <c r="X95" s="15"/>
      <c r="Y95" s="15"/>
      <c r="Z95" s="19" t="str">
        <f t="shared" si="16"/>
        <v/>
      </c>
      <c r="AA95" s="19" t="str">
        <f t="shared" si="17"/>
        <v/>
      </c>
      <c r="AB95" s="5"/>
      <c r="AC95" s="5"/>
      <c r="AE95" t="str">
        <f>IFERROR(INDEX(EqTag,_xlfn.AGGREGATE(15,6,(ROW(EqTag)-4)/((EqSys=$D$3)*(EqTag&lt;&gt;"")),ROWS($AE$14:AE95))),"")</f>
        <v/>
      </c>
    </row>
    <row r="96" spans="1:31" ht="30" customHeight="1" x14ac:dyDescent="0.2">
      <c r="A96" s="19" t="str">
        <f>IF(F96="","",LEFT($D$3,3)&amp;"-"&amp;TEXT(COUNTIF(F$14:F96,"?*"),"00"))</f>
        <v/>
      </c>
      <c r="B96" s="5"/>
      <c r="C96" s="6" t="str">
        <f t="shared" si="12"/>
        <v/>
      </c>
      <c r="D96" s="5"/>
      <c r="E96" s="5"/>
      <c r="F96" s="5"/>
      <c r="G96" s="5"/>
      <c r="H96" s="5"/>
      <c r="I96" s="5"/>
      <c r="J96" s="5"/>
      <c r="K96" s="15"/>
      <c r="L96" s="5"/>
      <c r="M96" s="15"/>
      <c r="N96" s="5"/>
      <c r="O96" s="15"/>
      <c r="P96" s="19" t="str">
        <f t="shared" si="13"/>
        <v/>
      </c>
      <c r="Q96" s="19" t="str">
        <f t="shared" si="14"/>
        <v/>
      </c>
      <c r="R96" s="19" t="str">
        <f t="shared" si="15"/>
        <v/>
      </c>
      <c r="S96" s="5"/>
      <c r="T96" s="5"/>
      <c r="U96" s="5"/>
      <c r="V96" s="24"/>
      <c r="W96" s="15"/>
      <c r="X96" s="15"/>
      <c r="Y96" s="15"/>
      <c r="Z96" s="19" t="str">
        <f t="shared" si="16"/>
        <v/>
      </c>
      <c r="AA96" s="19" t="str">
        <f t="shared" si="17"/>
        <v/>
      </c>
      <c r="AB96" s="5"/>
      <c r="AC96" s="5"/>
      <c r="AE96" t="str">
        <f>IFERROR(INDEX(EqTag,_xlfn.AGGREGATE(15,6,(ROW(EqTag)-4)/((EqSys=$D$3)*(EqTag&lt;&gt;"")),ROWS($AE$14:AE96))),"")</f>
        <v/>
      </c>
    </row>
    <row r="97" spans="1:31" ht="30" customHeight="1" x14ac:dyDescent="0.2">
      <c r="A97" s="19" t="str">
        <f>IF(F97="","",LEFT($D$3,3)&amp;"-"&amp;TEXT(COUNTIF(F$14:F97,"?*"),"00"))</f>
        <v/>
      </c>
      <c r="B97" s="5"/>
      <c r="C97" s="6" t="str">
        <f t="shared" si="12"/>
        <v/>
      </c>
      <c r="D97" s="5"/>
      <c r="E97" s="5"/>
      <c r="F97" s="5"/>
      <c r="G97" s="5"/>
      <c r="H97" s="5"/>
      <c r="I97" s="5"/>
      <c r="J97" s="5"/>
      <c r="K97" s="15"/>
      <c r="L97" s="5"/>
      <c r="M97" s="15"/>
      <c r="N97" s="5"/>
      <c r="O97" s="15"/>
      <c r="P97" s="19" t="str">
        <f t="shared" si="13"/>
        <v/>
      </c>
      <c r="Q97" s="19" t="str">
        <f t="shared" si="14"/>
        <v/>
      </c>
      <c r="R97" s="19" t="str">
        <f t="shared" si="15"/>
        <v/>
      </c>
      <c r="S97" s="5"/>
      <c r="T97" s="5"/>
      <c r="U97" s="5"/>
      <c r="V97" s="24"/>
      <c r="W97" s="15"/>
      <c r="X97" s="15"/>
      <c r="Y97" s="15"/>
      <c r="Z97" s="19" t="str">
        <f t="shared" si="16"/>
        <v/>
      </c>
      <c r="AA97" s="19" t="str">
        <f t="shared" si="17"/>
        <v/>
      </c>
      <c r="AB97" s="5"/>
      <c r="AC97" s="5"/>
      <c r="AE97" t="str">
        <f>IFERROR(INDEX(EqTag,_xlfn.AGGREGATE(15,6,(ROW(EqTag)-4)/((EqSys=$D$3)*(EqTag&lt;&gt;"")),ROWS($AE$14:AE97))),"")</f>
        <v/>
      </c>
    </row>
    <row r="98" spans="1:31" ht="30" customHeight="1" x14ac:dyDescent="0.2">
      <c r="A98" s="19" t="str">
        <f>IF(F98="","",LEFT($D$3,3)&amp;"-"&amp;TEXT(COUNTIF(F$14:F98,"?*"),"00"))</f>
        <v/>
      </c>
      <c r="B98" s="5"/>
      <c r="C98" s="6" t="str">
        <f t="shared" si="12"/>
        <v/>
      </c>
      <c r="D98" s="5"/>
      <c r="E98" s="5"/>
      <c r="F98" s="5"/>
      <c r="G98" s="5"/>
      <c r="H98" s="5"/>
      <c r="I98" s="5"/>
      <c r="J98" s="5"/>
      <c r="K98" s="15"/>
      <c r="L98" s="5"/>
      <c r="M98" s="15"/>
      <c r="N98" s="5"/>
      <c r="O98" s="15"/>
      <c r="P98" s="19" t="str">
        <f t="shared" si="13"/>
        <v/>
      </c>
      <c r="Q98" s="19" t="str">
        <f t="shared" si="14"/>
        <v/>
      </c>
      <c r="R98" s="19" t="str">
        <f t="shared" si="15"/>
        <v/>
      </c>
      <c r="S98" s="5"/>
      <c r="T98" s="5"/>
      <c r="U98" s="5"/>
      <c r="V98" s="24"/>
      <c r="W98" s="15"/>
      <c r="X98" s="15"/>
      <c r="Y98" s="15"/>
      <c r="Z98" s="19" t="str">
        <f t="shared" si="16"/>
        <v/>
      </c>
      <c r="AA98" s="19" t="str">
        <f t="shared" si="17"/>
        <v/>
      </c>
      <c r="AB98" s="5"/>
      <c r="AC98" s="5"/>
      <c r="AE98" t="str">
        <f>IFERROR(INDEX(EqTag,_xlfn.AGGREGATE(15,6,(ROW(EqTag)-4)/((EqSys=$D$3)*(EqTag&lt;&gt;"")),ROWS($AE$14:AE98))),"")</f>
        <v/>
      </c>
    </row>
    <row r="99" spans="1:31" ht="30" customHeight="1" x14ac:dyDescent="0.2">
      <c r="A99" s="19" t="str">
        <f>IF(F99="","",LEFT($D$3,3)&amp;"-"&amp;TEXT(COUNTIF(F$14:F99,"?*"),"00"))</f>
        <v/>
      </c>
      <c r="B99" s="5"/>
      <c r="C99" s="6" t="str">
        <f t="shared" si="12"/>
        <v/>
      </c>
      <c r="D99" s="5"/>
      <c r="E99" s="5"/>
      <c r="F99" s="5"/>
      <c r="G99" s="5"/>
      <c r="H99" s="5"/>
      <c r="I99" s="5"/>
      <c r="J99" s="5"/>
      <c r="K99" s="15"/>
      <c r="L99" s="5"/>
      <c r="M99" s="15"/>
      <c r="N99" s="5"/>
      <c r="O99" s="15"/>
      <c r="P99" s="19" t="str">
        <f t="shared" si="13"/>
        <v/>
      </c>
      <c r="Q99" s="19" t="str">
        <f t="shared" si="14"/>
        <v/>
      </c>
      <c r="R99" s="19" t="str">
        <f t="shared" si="15"/>
        <v/>
      </c>
      <c r="S99" s="5"/>
      <c r="T99" s="5"/>
      <c r="U99" s="5"/>
      <c r="V99" s="24"/>
      <c r="W99" s="15"/>
      <c r="X99" s="15"/>
      <c r="Y99" s="15"/>
      <c r="Z99" s="19" t="str">
        <f t="shared" si="16"/>
        <v/>
      </c>
      <c r="AA99" s="19" t="str">
        <f t="shared" si="17"/>
        <v/>
      </c>
      <c r="AB99" s="5"/>
      <c r="AC99" s="5"/>
      <c r="AE99" t="str">
        <f>IFERROR(INDEX(EqTag,_xlfn.AGGREGATE(15,6,(ROW(EqTag)-4)/((EqSys=$D$3)*(EqTag&lt;&gt;"")),ROWS($AE$14:AE99))),"")</f>
        <v/>
      </c>
    </row>
    <row r="100" spans="1:31" ht="30" customHeight="1" x14ac:dyDescent="0.2">
      <c r="A100" s="19" t="str">
        <f>IF(F100="","",LEFT($D$3,3)&amp;"-"&amp;TEXT(COUNTIF(F$14:F100,"?*"),"00"))</f>
        <v/>
      </c>
      <c r="B100" s="5"/>
      <c r="C100" s="6" t="str">
        <f t="shared" si="12"/>
        <v/>
      </c>
      <c r="D100" s="5"/>
      <c r="E100" s="5"/>
      <c r="F100" s="5"/>
      <c r="G100" s="5"/>
      <c r="H100" s="5"/>
      <c r="I100" s="5"/>
      <c r="J100" s="5"/>
      <c r="K100" s="15"/>
      <c r="L100" s="5"/>
      <c r="M100" s="15"/>
      <c r="N100" s="5"/>
      <c r="O100" s="15"/>
      <c r="P100" s="19" t="str">
        <f t="shared" si="13"/>
        <v/>
      </c>
      <c r="Q100" s="19" t="str">
        <f t="shared" si="14"/>
        <v/>
      </c>
      <c r="R100" s="19" t="str">
        <f t="shared" si="15"/>
        <v/>
      </c>
      <c r="S100" s="5"/>
      <c r="T100" s="5"/>
      <c r="U100" s="5"/>
      <c r="V100" s="24"/>
      <c r="W100" s="15"/>
      <c r="X100" s="15"/>
      <c r="Y100" s="15"/>
      <c r="Z100" s="19" t="str">
        <f t="shared" si="16"/>
        <v/>
      </c>
      <c r="AA100" s="19" t="str">
        <f t="shared" si="17"/>
        <v/>
      </c>
      <c r="AB100" s="5"/>
      <c r="AC100" s="5"/>
      <c r="AE100" t="str">
        <f>IFERROR(INDEX(EqTag,_xlfn.AGGREGATE(15,6,(ROW(EqTag)-4)/((EqSys=$D$3)*(EqTag&lt;&gt;"")),ROWS($AE$14:AE100))),"")</f>
        <v/>
      </c>
    </row>
    <row r="101" spans="1:31" ht="30" customHeight="1" x14ac:dyDescent="0.2">
      <c r="A101" s="19" t="str">
        <f>IF(F101="","",LEFT($D$3,3)&amp;"-"&amp;TEXT(COUNTIF(F$14:F101,"?*"),"00"))</f>
        <v/>
      </c>
      <c r="B101" s="5"/>
      <c r="C101" s="6" t="str">
        <f t="shared" si="12"/>
        <v/>
      </c>
      <c r="D101" s="5"/>
      <c r="E101" s="5"/>
      <c r="F101" s="5"/>
      <c r="G101" s="5"/>
      <c r="H101" s="5"/>
      <c r="I101" s="5"/>
      <c r="J101" s="5"/>
      <c r="K101" s="15"/>
      <c r="L101" s="5"/>
      <c r="M101" s="15"/>
      <c r="N101" s="5"/>
      <c r="O101" s="15"/>
      <c r="P101" s="19" t="str">
        <f t="shared" si="13"/>
        <v/>
      </c>
      <c r="Q101" s="19" t="str">
        <f t="shared" si="14"/>
        <v/>
      </c>
      <c r="R101" s="19" t="str">
        <f t="shared" si="15"/>
        <v/>
      </c>
      <c r="S101" s="5"/>
      <c r="T101" s="5"/>
      <c r="U101" s="5"/>
      <c r="V101" s="24"/>
      <c r="W101" s="15"/>
      <c r="X101" s="15"/>
      <c r="Y101" s="15"/>
      <c r="Z101" s="19" t="str">
        <f t="shared" si="16"/>
        <v/>
      </c>
      <c r="AA101" s="19" t="str">
        <f t="shared" si="17"/>
        <v/>
      </c>
      <c r="AB101" s="5"/>
      <c r="AC101" s="5"/>
      <c r="AE101" t="str">
        <f>IFERROR(INDEX(EqTag,_xlfn.AGGREGATE(15,6,(ROW(EqTag)-4)/((EqSys=$D$3)*(EqTag&lt;&gt;"")),ROWS($AE$14:AE101))),"")</f>
        <v/>
      </c>
    </row>
    <row r="102" spans="1:31" ht="30" customHeight="1" x14ac:dyDescent="0.2">
      <c r="A102" s="19" t="str">
        <f>IF(F102="","",LEFT($D$3,3)&amp;"-"&amp;TEXT(COUNTIF(F$14:F102,"?*"),"00"))</f>
        <v/>
      </c>
      <c r="B102" s="5"/>
      <c r="C102" s="6" t="str">
        <f t="shared" si="12"/>
        <v/>
      </c>
      <c r="D102" s="5"/>
      <c r="E102" s="5"/>
      <c r="F102" s="5"/>
      <c r="G102" s="5"/>
      <c r="H102" s="5"/>
      <c r="I102" s="5"/>
      <c r="J102" s="5"/>
      <c r="K102" s="15"/>
      <c r="L102" s="5"/>
      <c r="M102" s="15"/>
      <c r="N102" s="5"/>
      <c r="O102" s="15"/>
      <c r="P102" s="19" t="str">
        <f t="shared" si="13"/>
        <v/>
      </c>
      <c r="Q102" s="19" t="str">
        <f t="shared" si="14"/>
        <v/>
      </c>
      <c r="R102" s="19" t="str">
        <f t="shared" si="15"/>
        <v/>
      </c>
      <c r="S102" s="5"/>
      <c r="T102" s="5"/>
      <c r="U102" s="5"/>
      <c r="V102" s="24"/>
      <c r="W102" s="15"/>
      <c r="X102" s="15"/>
      <c r="Y102" s="15"/>
      <c r="Z102" s="19" t="str">
        <f t="shared" si="16"/>
        <v/>
      </c>
      <c r="AA102" s="19" t="str">
        <f t="shared" si="17"/>
        <v/>
      </c>
      <c r="AB102" s="5"/>
      <c r="AC102" s="5"/>
      <c r="AE102" t="str">
        <f>IFERROR(INDEX(EqTag,_xlfn.AGGREGATE(15,6,(ROW(EqTag)-4)/((EqSys=$D$3)*(EqTag&lt;&gt;"")),ROWS($AE$14:AE102))),"")</f>
        <v/>
      </c>
    </row>
    <row r="103" spans="1:31" ht="30" customHeight="1" x14ac:dyDescent="0.2">
      <c r="A103" s="19" t="str">
        <f>IF(F103="","",LEFT($D$3,3)&amp;"-"&amp;TEXT(COUNTIF(F$14:F103,"?*"),"00"))</f>
        <v/>
      </c>
      <c r="B103" s="5"/>
      <c r="C103" s="6" t="str">
        <f t="shared" si="12"/>
        <v/>
      </c>
      <c r="D103" s="5"/>
      <c r="E103" s="5"/>
      <c r="F103" s="5"/>
      <c r="G103" s="5"/>
      <c r="H103" s="5"/>
      <c r="I103" s="5"/>
      <c r="J103" s="5"/>
      <c r="K103" s="15"/>
      <c r="L103" s="5"/>
      <c r="M103" s="15"/>
      <c r="N103" s="5"/>
      <c r="O103" s="15"/>
      <c r="P103" s="19" t="str">
        <f t="shared" si="13"/>
        <v/>
      </c>
      <c r="Q103" s="19" t="str">
        <f t="shared" si="14"/>
        <v/>
      </c>
      <c r="R103" s="19" t="str">
        <f t="shared" si="15"/>
        <v/>
      </c>
      <c r="S103" s="5"/>
      <c r="T103" s="5"/>
      <c r="U103" s="5"/>
      <c r="V103" s="24"/>
      <c r="W103" s="15"/>
      <c r="X103" s="15"/>
      <c r="Y103" s="15"/>
      <c r="Z103" s="19" t="str">
        <f t="shared" si="16"/>
        <v/>
      </c>
      <c r="AA103" s="19" t="str">
        <f t="shared" si="17"/>
        <v/>
      </c>
      <c r="AB103" s="5"/>
      <c r="AC103" s="5"/>
      <c r="AE103" t="str">
        <f>IFERROR(INDEX(EqTag,_xlfn.AGGREGATE(15,6,(ROW(EqTag)-4)/((EqSys=$D$3)*(EqTag&lt;&gt;"")),ROWS($AE$14:AE103))),"")</f>
        <v/>
      </c>
    </row>
    <row r="104" spans="1:31" ht="30" customHeight="1" x14ac:dyDescent="0.2">
      <c r="A104" s="19" t="str">
        <f>IF(F104="","",LEFT($D$3,3)&amp;"-"&amp;TEXT(COUNTIF(F$14:F104,"?*"),"00"))</f>
        <v/>
      </c>
      <c r="B104" s="5"/>
      <c r="C104" s="6" t="str">
        <f t="shared" si="12"/>
        <v/>
      </c>
      <c r="D104" s="5"/>
      <c r="E104" s="5"/>
      <c r="F104" s="5"/>
      <c r="G104" s="5"/>
      <c r="H104" s="5"/>
      <c r="I104" s="5"/>
      <c r="J104" s="5"/>
      <c r="K104" s="15"/>
      <c r="L104" s="5"/>
      <c r="M104" s="15"/>
      <c r="N104" s="5"/>
      <c r="O104" s="15"/>
      <c r="P104" s="19" t="str">
        <f t="shared" si="13"/>
        <v/>
      </c>
      <c r="Q104" s="19" t="str">
        <f t="shared" si="14"/>
        <v/>
      </c>
      <c r="R104" s="19" t="str">
        <f t="shared" si="15"/>
        <v/>
      </c>
      <c r="S104" s="5"/>
      <c r="T104" s="5"/>
      <c r="U104" s="5"/>
      <c r="V104" s="24"/>
      <c r="W104" s="15"/>
      <c r="X104" s="15"/>
      <c r="Y104" s="15"/>
      <c r="Z104" s="19" t="str">
        <f t="shared" si="16"/>
        <v/>
      </c>
      <c r="AA104" s="19" t="str">
        <f t="shared" si="17"/>
        <v/>
      </c>
      <c r="AB104" s="5"/>
      <c r="AC104" s="5"/>
      <c r="AE104" t="str">
        <f>IFERROR(INDEX(EqTag,_xlfn.AGGREGATE(15,6,(ROW(EqTag)-4)/((EqSys=$D$3)*(EqTag&lt;&gt;"")),ROWS($AE$14:AE104))),"")</f>
        <v/>
      </c>
    </row>
    <row r="105" spans="1:31" ht="30" customHeight="1" x14ac:dyDescent="0.2">
      <c r="A105" s="19" t="str">
        <f>IF(F105="","",LEFT($D$3,3)&amp;"-"&amp;TEXT(COUNTIF(F$14:F105,"?*"),"00"))</f>
        <v/>
      </c>
      <c r="B105" s="5"/>
      <c r="C105" s="6" t="str">
        <f t="shared" si="12"/>
        <v/>
      </c>
      <c r="D105" s="5"/>
      <c r="E105" s="5"/>
      <c r="F105" s="5"/>
      <c r="G105" s="5"/>
      <c r="H105" s="5"/>
      <c r="I105" s="5"/>
      <c r="J105" s="5"/>
      <c r="K105" s="15"/>
      <c r="L105" s="5"/>
      <c r="M105" s="15"/>
      <c r="N105" s="5"/>
      <c r="O105" s="15"/>
      <c r="P105" s="19" t="str">
        <f t="shared" si="13"/>
        <v/>
      </c>
      <c r="Q105" s="19" t="str">
        <f t="shared" si="14"/>
        <v/>
      </c>
      <c r="R105" s="19" t="str">
        <f t="shared" si="15"/>
        <v/>
      </c>
      <c r="S105" s="5"/>
      <c r="T105" s="5"/>
      <c r="U105" s="5"/>
      <c r="V105" s="24"/>
      <c r="W105" s="15"/>
      <c r="X105" s="15"/>
      <c r="Y105" s="15"/>
      <c r="Z105" s="19" t="str">
        <f t="shared" si="16"/>
        <v/>
      </c>
      <c r="AA105" s="19" t="str">
        <f t="shared" si="17"/>
        <v/>
      </c>
      <c r="AB105" s="5"/>
      <c r="AC105" s="5"/>
      <c r="AE105" t="str">
        <f>IFERROR(INDEX(EqTag,_xlfn.AGGREGATE(15,6,(ROW(EqTag)-4)/((EqSys=$D$3)*(EqTag&lt;&gt;"")),ROWS($AE$14:AE105))),"")</f>
        <v/>
      </c>
    </row>
    <row r="106" spans="1:31" ht="30" customHeight="1" x14ac:dyDescent="0.2">
      <c r="A106" s="19" t="str">
        <f>IF(F106="","",LEFT($D$3,3)&amp;"-"&amp;TEXT(COUNTIF(F$14:F106,"?*"),"00"))</f>
        <v/>
      </c>
      <c r="B106" s="5"/>
      <c r="C106" s="6" t="str">
        <f t="shared" si="12"/>
        <v/>
      </c>
      <c r="D106" s="5"/>
      <c r="E106" s="5"/>
      <c r="F106" s="5"/>
      <c r="G106" s="5"/>
      <c r="H106" s="5"/>
      <c r="I106" s="5"/>
      <c r="J106" s="5"/>
      <c r="K106" s="15"/>
      <c r="L106" s="5"/>
      <c r="M106" s="15"/>
      <c r="N106" s="5"/>
      <c r="O106" s="15"/>
      <c r="P106" s="19" t="str">
        <f t="shared" si="13"/>
        <v/>
      </c>
      <c r="Q106" s="19" t="str">
        <f t="shared" si="14"/>
        <v/>
      </c>
      <c r="R106" s="19" t="str">
        <f t="shared" si="15"/>
        <v/>
      </c>
      <c r="S106" s="5"/>
      <c r="T106" s="5"/>
      <c r="U106" s="5"/>
      <c r="V106" s="24"/>
      <c r="W106" s="15"/>
      <c r="X106" s="15"/>
      <c r="Y106" s="15"/>
      <c r="Z106" s="19" t="str">
        <f t="shared" si="16"/>
        <v/>
      </c>
      <c r="AA106" s="19" t="str">
        <f t="shared" si="17"/>
        <v/>
      </c>
      <c r="AB106" s="5"/>
      <c r="AC106" s="5"/>
      <c r="AE106" t="str">
        <f>IFERROR(INDEX(EqTag,_xlfn.AGGREGATE(15,6,(ROW(EqTag)-4)/((EqSys=$D$3)*(EqTag&lt;&gt;"")),ROWS($AE$14:AE106))),"")</f>
        <v/>
      </c>
    </row>
    <row r="107" spans="1:31" ht="30" customHeight="1" x14ac:dyDescent="0.2">
      <c r="A107" s="19" t="str">
        <f>IF(F107="","",LEFT($D$3,3)&amp;"-"&amp;TEXT(COUNTIF(F$14:F107,"?*"),"00"))</f>
        <v/>
      </c>
      <c r="B107" s="5"/>
      <c r="C107" s="6" t="str">
        <f t="shared" si="12"/>
        <v/>
      </c>
      <c r="D107" s="5"/>
      <c r="E107" s="5"/>
      <c r="F107" s="5"/>
      <c r="G107" s="5"/>
      <c r="H107" s="5"/>
      <c r="I107" s="5"/>
      <c r="J107" s="5"/>
      <c r="K107" s="15"/>
      <c r="L107" s="5"/>
      <c r="M107" s="15"/>
      <c r="N107" s="5"/>
      <c r="O107" s="15"/>
      <c r="P107" s="19" t="str">
        <f t="shared" si="13"/>
        <v/>
      </c>
      <c r="Q107" s="19" t="str">
        <f t="shared" si="14"/>
        <v/>
      </c>
      <c r="R107" s="19" t="str">
        <f t="shared" si="15"/>
        <v/>
      </c>
      <c r="S107" s="5"/>
      <c r="T107" s="5"/>
      <c r="U107" s="5"/>
      <c r="V107" s="24"/>
      <c r="W107" s="15"/>
      <c r="X107" s="15"/>
      <c r="Y107" s="15"/>
      <c r="Z107" s="19" t="str">
        <f t="shared" si="16"/>
        <v/>
      </c>
      <c r="AA107" s="19" t="str">
        <f t="shared" si="17"/>
        <v/>
      </c>
      <c r="AB107" s="5"/>
      <c r="AC107" s="5"/>
      <c r="AE107" t="str">
        <f>IFERROR(INDEX(EqTag,_xlfn.AGGREGATE(15,6,(ROW(EqTag)-4)/((EqSys=$D$3)*(EqTag&lt;&gt;"")),ROWS($AE$14:AE107))),"")</f>
        <v/>
      </c>
    </row>
    <row r="108" spans="1:31" ht="30" customHeight="1" x14ac:dyDescent="0.2">
      <c r="A108" s="19" t="str">
        <f>IF(F108="","",LEFT($D$3,3)&amp;"-"&amp;TEXT(COUNTIF(F$14:F108,"?*"),"00"))</f>
        <v/>
      </c>
      <c r="B108" s="5"/>
      <c r="C108" s="6" t="str">
        <f t="shared" si="12"/>
        <v/>
      </c>
      <c r="D108" s="5"/>
      <c r="E108" s="5"/>
      <c r="F108" s="5"/>
      <c r="G108" s="5"/>
      <c r="H108" s="5"/>
      <c r="I108" s="5"/>
      <c r="J108" s="5"/>
      <c r="K108" s="15"/>
      <c r="L108" s="5"/>
      <c r="M108" s="15"/>
      <c r="N108" s="5"/>
      <c r="O108" s="15"/>
      <c r="P108" s="19" t="str">
        <f t="shared" si="13"/>
        <v/>
      </c>
      <c r="Q108" s="19" t="str">
        <f t="shared" si="14"/>
        <v/>
      </c>
      <c r="R108" s="19" t="str">
        <f t="shared" si="15"/>
        <v/>
      </c>
      <c r="S108" s="5"/>
      <c r="T108" s="5"/>
      <c r="U108" s="5"/>
      <c r="V108" s="24"/>
      <c r="W108" s="15"/>
      <c r="X108" s="15"/>
      <c r="Y108" s="15"/>
      <c r="Z108" s="19" t="str">
        <f t="shared" si="16"/>
        <v/>
      </c>
      <c r="AA108" s="19" t="str">
        <f t="shared" si="17"/>
        <v/>
      </c>
      <c r="AB108" s="5"/>
      <c r="AC108" s="5"/>
      <c r="AE108" t="str">
        <f>IFERROR(INDEX(EqTag,_xlfn.AGGREGATE(15,6,(ROW(EqTag)-4)/((EqSys=$D$3)*(EqTag&lt;&gt;"")),ROWS($AE$14:AE108))),"")</f>
        <v/>
      </c>
    </row>
    <row r="109" spans="1:31" ht="30" customHeight="1" x14ac:dyDescent="0.2">
      <c r="A109" s="19" t="str">
        <f>IF(F109="","",LEFT($D$3,3)&amp;"-"&amp;TEXT(COUNTIF(F$14:F109,"?*"),"00"))</f>
        <v/>
      </c>
      <c r="B109" s="5"/>
      <c r="C109" s="6" t="str">
        <f t="shared" si="12"/>
        <v/>
      </c>
      <c r="D109" s="5"/>
      <c r="E109" s="5"/>
      <c r="F109" s="5"/>
      <c r="G109" s="5"/>
      <c r="H109" s="5"/>
      <c r="I109" s="5"/>
      <c r="J109" s="5"/>
      <c r="K109" s="15"/>
      <c r="L109" s="5"/>
      <c r="M109" s="15"/>
      <c r="N109" s="5"/>
      <c r="O109" s="15"/>
      <c r="P109" s="19" t="str">
        <f t="shared" si="13"/>
        <v/>
      </c>
      <c r="Q109" s="19" t="str">
        <f t="shared" si="14"/>
        <v/>
      </c>
      <c r="R109" s="19" t="str">
        <f t="shared" si="15"/>
        <v/>
      </c>
      <c r="S109" s="5"/>
      <c r="T109" s="5"/>
      <c r="U109" s="5"/>
      <c r="V109" s="24"/>
      <c r="W109" s="15"/>
      <c r="X109" s="15"/>
      <c r="Y109" s="15"/>
      <c r="Z109" s="19" t="str">
        <f t="shared" si="16"/>
        <v/>
      </c>
      <c r="AA109" s="19" t="str">
        <f t="shared" si="17"/>
        <v/>
      </c>
      <c r="AB109" s="5"/>
      <c r="AC109" s="5"/>
      <c r="AE109" t="str">
        <f>IFERROR(INDEX(EqTag,_xlfn.AGGREGATE(15,6,(ROW(EqTag)-4)/((EqSys=$D$3)*(EqTag&lt;&gt;"")),ROWS($AE$14:AE109))),"")</f>
        <v/>
      </c>
    </row>
    <row r="110" spans="1:31" ht="30" customHeight="1" x14ac:dyDescent="0.2">
      <c r="A110" s="19" t="str">
        <f>IF(F110="","",LEFT($D$3,3)&amp;"-"&amp;TEXT(COUNTIF(F$14:F110,"?*"),"00"))</f>
        <v/>
      </c>
      <c r="B110" s="5"/>
      <c r="C110" s="6" t="str">
        <f t="shared" ref="C110:C141" si="18">IF(B110="","",IFERROR(INDEX(EqTypeCol,MATCH(B110,EqTag,0)),"Tag not in register"))</f>
        <v/>
      </c>
      <c r="D110" s="5"/>
      <c r="E110" s="5"/>
      <c r="F110" s="5"/>
      <c r="G110" s="5"/>
      <c r="H110" s="5"/>
      <c r="I110" s="5"/>
      <c r="J110" s="5"/>
      <c r="K110" s="15"/>
      <c r="L110" s="5"/>
      <c r="M110" s="15"/>
      <c r="N110" s="5"/>
      <c r="O110" s="15"/>
      <c r="P110" s="19" t="str">
        <f t="shared" ref="P110:P141" si="19">IF(OR(K110="",M110="",O110=""),"",(--TRIM(LEFT(K110,2)))*(--TRIM(LEFT(M110,2)))*(--TRIM(LEFT(O110,2))))</f>
        <v/>
      </c>
      <c r="Q110" s="19" t="str">
        <f t="shared" ref="Q110:Q141" si="20">IF(OR(K110="",M110="",O110=""),"",INDEX(APGrid,COUNTIF(APS,"&gt;"&amp;(--TRIM(LEFT(K110,2))))*5+COUNTIF(APO,"&gt;"&amp;(--TRIM(LEFT(M110,2))))+1,COUNTIF(APD,"&gt;"&amp;(--TRIM(LEFT(O110,2))))+1))</f>
        <v/>
      </c>
      <c r="R110" s="19" t="str">
        <f t="shared" ref="R110:R141" si="21">IF(P110="","",IF(OR((--TRIM(LEFT(K110,2)))&gt;=SThr,P110&gt;=RPNThr,Q110="H"),"Yes","No"))</f>
        <v/>
      </c>
      <c r="S110" s="5"/>
      <c r="T110" s="5"/>
      <c r="U110" s="5"/>
      <c r="V110" s="24"/>
      <c r="W110" s="15"/>
      <c r="X110" s="15"/>
      <c r="Y110" s="15"/>
      <c r="Z110" s="19" t="str">
        <f t="shared" ref="Z110:Z141" si="22">IF(OR(W110="",X110="",Y110=""),"",(--TRIM(LEFT(W110,2)))*(--TRIM(LEFT(X110,2)))*(--TRIM(LEFT(Y110,2))))</f>
        <v/>
      </c>
      <c r="AA110" s="19" t="str">
        <f t="shared" ref="AA110:AA141" si="23">IF(OR(W110="",X110="",Y110=""),"",INDEX(APGrid,COUNTIF(APS,"&gt;"&amp;(--TRIM(LEFT(W110,2))))*5+COUNTIF(APO,"&gt;"&amp;(--TRIM(LEFT(X110,2))))+1,COUNTIF(APD,"&gt;"&amp;(--TRIM(LEFT(Y110,2))))+1))</f>
        <v/>
      </c>
      <c r="AB110" s="5"/>
      <c r="AC110" s="5"/>
      <c r="AE110" t="str">
        <f>IFERROR(INDEX(EqTag,_xlfn.AGGREGATE(15,6,(ROW(EqTag)-4)/((EqSys=$D$3)*(EqTag&lt;&gt;"")),ROWS($AE$14:AE110))),"")</f>
        <v/>
      </c>
    </row>
    <row r="111" spans="1:31" ht="30" customHeight="1" x14ac:dyDescent="0.2">
      <c r="A111" s="19" t="str">
        <f>IF(F111="","",LEFT($D$3,3)&amp;"-"&amp;TEXT(COUNTIF(F$14:F111,"?*"),"00"))</f>
        <v/>
      </c>
      <c r="B111" s="5"/>
      <c r="C111" s="6" t="str">
        <f t="shared" si="18"/>
        <v/>
      </c>
      <c r="D111" s="5"/>
      <c r="E111" s="5"/>
      <c r="F111" s="5"/>
      <c r="G111" s="5"/>
      <c r="H111" s="5"/>
      <c r="I111" s="5"/>
      <c r="J111" s="5"/>
      <c r="K111" s="15"/>
      <c r="L111" s="5"/>
      <c r="M111" s="15"/>
      <c r="N111" s="5"/>
      <c r="O111" s="15"/>
      <c r="P111" s="19" t="str">
        <f t="shared" si="19"/>
        <v/>
      </c>
      <c r="Q111" s="19" t="str">
        <f t="shared" si="20"/>
        <v/>
      </c>
      <c r="R111" s="19" t="str">
        <f t="shared" si="21"/>
        <v/>
      </c>
      <c r="S111" s="5"/>
      <c r="T111" s="5"/>
      <c r="U111" s="5"/>
      <c r="V111" s="24"/>
      <c r="W111" s="15"/>
      <c r="X111" s="15"/>
      <c r="Y111" s="15"/>
      <c r="Z111" s="19" t="str">
        <f t="shared" si="22"/>
        <v/>
      </c>
      <c r="AA111" s="19" t="str">
        <f t="shared" si="23"/>
        <v/>
      </c>
      <c r="AB111" s="5"/>
      <c r="AC111" s="5"/>
      <c r="AE111" t="str">
        <f>IFERROR(INDEX(EqTag,_xlfn.AGGREGATE(15,6,(ROW(EqTag)-4)/((EqSys=$D$3)*(EqTag&lt;&gt;"")),ROWS($AE$14:AE111))),"")</f>
        <v/>
      </c>
    </row>
    <row r="112" spans="1:31" ht="30" customHeight="1" x14ac:dyDescent="0.2">
      <c r="A112" s="19" t="str">
        <f>IF(F112="","",LEFT($D$3,3)&amp;"-"&amp;TEXT(COUNTIF(F$14:F112,"?*"),"00"))</f>
        <v/>
      </c>
      <c r="B112" s="5"/>
      <c r="C112" s="6" t="str">
        <f t="shared" si="18"/>
        <v/>
      </c>
      <c r="D112" s="5"/>
      <c r="E112" s="5"/>
      <c r="F112" s="5"/>
      <c r="G112" s="5"/>
      <c r="H112" s="5"/>
      <c r="I112" s="5"/>
      <c r="J112" s="5"/>
      <c r="K112" s="15"/>
      <c r="L112" s="5"/>
      <c r="M112" s="15"/>
      <c r="N112" s="5"/>
      <c r="O112" s="15"/>
      <c r="P112" s="19" t="str">
        <f t="shared" si="19"/>
        <v/>
      </c>
      <c r="Q112" s="19" t="str">
        <f t="shared" si="20"/>
        <v/>
      </c>
      <c r="R112" s="19" t="str">
        <f t="shared" si="21"/>
        <v/>
      </c>
      <c r="S112" s="5"/>
      <c r="T112" s="5"/>
      <c r="U112" s="5"/>
      <c r="V112" s="24"/>
      <c r="W112" s="15"/>
      <c r="X112" s="15"/>
      <c r="Y112" s="15"/>
      <c r="Z112" s="19" t="str">
        <f t="shared" si="22"/>
        <v/>
      </c>
      <c r="AA112" s="19" t="str">
        <f t="shared" si="23"/>
        <v/>
      </c>
      <c r="AB112" s="5"/>
      <c r="AC112" s="5"/>
      <c r="AE112" t="str">
        <f>IFERROR(INDEX(EqTag,_xlfn.AGGREGATE(15,6,(ROW(EqTag)-4)/((EqSys=$D$3)*(EqTag&lt;&gt;"")),ROWS($AE$14:AE112))),"")</f>
        <v/>
      </c>
    </row>
    <row r="113" spans="1:31" ht="30" customHeight="1" x14ac:dyDescent="0.2">
      <c r="A113" s="19" t="str">
        <f>IF(F113="","",LEFT($D$3,3)&amp;"-"&amp;TEXT(COUNTIF(F$14:F113,"?*"),"00"))</f>
        <v/>
      </c>
      <c r="B113" s="5"/>
      <c r="C113" s="6" t="str">
        <f t="shared" si="18"/>
        <v/>
      </c>
      <c r="D113" s="5"/>
      <c r="E113" s="5"/>
      <c r="F113" s="5"/>
      <c r="G113" s="5"/>
      <c r="H113" s="5"/>
      <c r="I113" s="5"/>
      <c r="J113" s="5"/>
      <c r="K113" s="15"/>
      <c r="L113" s="5"/>
      <c r="M113" s="15"/>
      <c r="N113" s="5"/>
      <c r="O113" s="15"/>
      <c r="P113" s="19" t="str">
        <f t="shared" si="19"/>
        <v/>
      </c>
      <c r="Q113" s="19" t="str">
        <f t="shared" si="20"/>
        <v/>
      </c>
      <c r="R113" s="19" t="str">
        <f t="shared" si="21"/>
        <v/>
      </c>
      <c r="S113" s="5"/>
      <c r="T113" s="5"/>
      <c r="U113" s="5"/>
      <c r="V113" s="24"/>
      <c r="W113" s="15"/>
      <c r="X113" s="15"/>
      <c r="Y113" s="15"/>
      <c r="Z113" s="19" t="str">
        <f t="shared" si="22"/>
        <v/>
      </c>
      <c r="AA113" s="19" t="str">
        <f t="shared" si="23"/>
        <v/>
      </c>
      <c r="AB113" s="5"/>
      <c r="AC113" s="5"/>
      <c r="AE113" t="str">
        <f>IFERROR(INDEX(EqTag,_xlfn.AGGREGATE(15,6,(ROW(EqTag)-4)/((EqSys=$D$3)*(EqTag&lt;&gt;"")),ROWS($AE$14:AE113))),"")</f>
        <v/>
      </c>
    </row>
    <row r="114" spans="1:31" ht="30" customHeight="1" x14ac:dyDescent="0.2">
      <c r="A114" s="19" t="str">
        <f>IF(F114="","",LEFT($D$3,3)&amp;"-"&amp;TEXT(COUNTIF(F$14:F114,"?*"),"00"))</f>
        <v/>
      </c>
      <c r="B114" s="5"/>
      <c r="C114" s="6" t="str">
        <f t="shared" si="18"/>
        <v/>
      </c>
      <c r="D114" s="5"/>
      <c r="E114" s="5"/>
      <c r="F114" s="5"/>
      <c r="G114" s="5"/>
      <c r="H114" s="5"/>
      <c r="I114" s="5"/>
      <c r="J114" s="5"/>
      <c r="K114" s="15"/>
      <c r="L114" s="5"/>
      <c r="M114" s="15"/>
      <c r="N114" s="5"/>
      <c r="O114" s="15"/>
      <c r="P114" s="19" t="str">
        <f t="shared" si="19"/>
        <v/>
      </c>
      <c r="Q114" s="19" t="str">
        <f t="shared" si="20"/>
        <v/>
      </c>
      <c r="R114" s="19" t="str">
        <f t="shared" si="21"/>
        <v/>
      </c>
      <c r="S114" s="5"/>
      <c r="T114" s="5"/>
      <c r="U114" s="5"/>
      <c r="V114" s="24"/>
      <c r="W114" s="15"/>
      <c r="X114" s="15"/>
      <c r="Y114" s="15"/>
      <c r="Z114" s="19" t="str">
        <f t="shared" si="22"/>
        <v/>
      </c>
      <c r="AA114" s="19" t="str">
        <f t="shared" si="23"/>
        <v/>
      </c>
      <c r="AB114" s="5"/>
      <c r="AC114" s="5"/>
      <c r="AE114" t="str">
        <f>IFERROR(INDEX(EqTag,_xlfn.AGGREGATE(15,6,(ROW(EqTag)-4)/((EqSys=$D$3)*(EqTag&lt;&gt;"")),ROWS($AE$14:AE114))),"")</f>
        <v/>
      </c>
    </row>
    <row r="115" spans="1:31" ht="30" customHeight="1" x14ac:dyDescent="0.2">
      <c r="A115" s="19" t="str">
        <f>IF(F115="","",LEFT($D$3,3)&amp;"-"&amp;TEXT(COUNTIF(F$14:F115,"?*"),"00"))</f>
        <v/>
      </c>
      <c r="B115" s="5"/>
      <c r="C115" s="6" t="str">
        <f t="shared" si="18"/>
        <v/>
      </c>
      <c r="D115" s="5"/>
      <c r="E115" s="5"/>
      <c r="F115" s="5"/>
      <c r="G115" s="5"/>
      <c r="H115" s="5"/>
      <c r="I115" s="5"/>
      <c r="J115" s="5"/>
      <c r="K115" s="15"/>
      <c r="L115" s="5"/>
      <c r="M115" s="15"/>
      <c r="N115" s="5"/>
      <c r="O115" s="15"/>
      <c r="P115" s="19" t="str">
        <f t="shared" si="19"/>
        <v/>
      </c>
      <c r="Q115" s="19" t="str">
        <f t="shared" si="20"/>
        <v/>
      </c>
      <c r="R115" s="19" t="str">
        <f t="shared" si="21"/>
        <v/>
      </c>
      <c r="S115" s="5"/>
      <c r="T115" s="5"/>
      <c r="U115" s="5"/>
      <c r="V115" s="24"/>
      <c r="W115" s="15"/>
      <c r="X115" s="15"/>
      <c r="Y115" s="15"/>
      <c r="Z115" s="19" t="str">
        <f t="shared" si="22"/>
        <v/>
      </c>
      <c r="AA115" s="19" t="str">
        <f t="shared" si="23"/>
        <v/>
      </c>
      <c r="AB115" s="5"/>
      <c r="AC115" s="5"/>
      <c r="AE115" t="str">
        <f>IFERROR(INDEX(EqTag,_xlfn.AGGREGATE(15,6,(ROW(EqTag)-4)/((EqSys=$D$3)*(EqTag&lt;&gt;"")),ROWS($AE$14:AE115))),"")</f>
        <v/>
      </c>
    </row>
    <row r="116" spans="1:31" ht="30" customHeight="1" x14ac:dyDescent="0.2">
      <c r="A116" s="19" t="str">
        <f>IF(F116="","",LEFT($D$3,3)&amp;"-"&amp;TEXT(COUNTIF(F$14:F116,"?*"),"00"))</f>
        <v/>
      </c>
      <c r="B116" s="5"/>
      <c r="C116" s="6" t="str">
        <f t="shared" si="18"/>
        <v/>
      </c>
      <c r="D116" s="5"/>
      <c r="E116" s="5"/>
      <c r="F116" s="5"/>
      <c r="G116" s="5"/>
      <c r="H116" s="5"/>
      <c r="I116" s="5"/>
      <c r="J116" s="5"/>
      <c r="K116" s="15"/>
      <c r="L116" s="5"/>
      <c r="M116" s="15"/>
      <c r="N116" s="5"/>
      <c r="O116" s="15"/>
      <c r="P116" s="19" t="str">
        <f t="shared" si="19"/>
        <v/>
      </c>
      <c r="Q116" s="19" t="str">
        <f t="shared" si="20"/>
        <v/>
      </c>
      <c r="R116" s="19" t="str">
        <f t="shared" si="21"/>
        <v/>
      </c>
      <c r="S116" s="5"/>
      <c r="T116" s="5"/>
      <c r="U116" s="5"/>
      <c r="V116" s="24"/>
      <c r="W116" s="15"/>
      <c r="X116" s="15"/>
      <c r="Y116" s="15"/>
      <c r="Z116" s="19" t="str">
        <f t="shared" si="22"/>
        <v/>
      </c>
      <c r="AA116" s="19" t="str">
        <f t="shared" si="23"/>
        <v/>
      </c>
      <c r="AB116" s="5"/>
      <c r="AC116" s="5"/>
      <c r="AE116" t="str">
        <f>IFERROR(INDEX(EqTag,_xlfn.AGGREGATE(15,6,(ROW(EqTag)-4)/((EqSys=$D$3)*(EqTag&lt;&gt;"")),ROWS($AE$14:AE116))),"")</f>
        <v/>
      </c>
    </row>
    <row r="117" spans="1:31" ht="30" customHeight="1" x14ac:dyDescent="0.2">
      <c r="A117" s="19" t="str">
        <f>IF(F117="","",LEFT($D$3,3)&amp;"-"&amp;TEXT(COUNTIF(F$14:F117,"?*"),"00"))</f>
        <v/>
      </c>
      <c r="B117" s="5"/>
      <c r="C117" s="6" t="str">
        <f t="shared" si="18"/>
        <v/>
      </c>
      <c r="D117" s="5"/>
      <c r="E117" s="5"/>
      <c r="F117" s="5"/>
      <c r="G117" s="5"/>
      <c r="H117" s="5"/>
      <c r="I117" s="5"/>
      <c r="J117" s="5"/>
      <c r="K117" s="15"/>
      <c r="L117" s="5"/>
      <c r="M117" s="15"/>
      <c r="N117" s="5"/>
      <c r="O117" s="15"/>
      <c r="P117" s="19" t="str">
        <f t="shared" si="19"/>
        <v/>
      </c>
      <c r="Q117" s="19" t="str">
        <f t="shared" si="20"/>
        <v/>
      </c>
      <c r="R117" s="19" t="str">
        <f t="shared" si="21"/>
        <v/>
      </c>
      <c r="S117" s="5"/>
      <c r="T117" s="5"/>
      <c r="U117" s="5"/>
      <c r="V117" s="24"/>
      <c r="W117" s="15"/>
      <c r="X117" s="15"/>
      <c r="Y117" s="15"/>
      <c r="Z117" s="19" t="str">
        <f t="shared" si="22"/>
        <v/>
      </c>
      <c r="AA117" s="19" t="str">
        <f t="shared" si="23"/>
        <v/>
      </c>
      <c r="AB117" s="5"/>
      <c r="AC117" s="5"/>
      <c r="AE117" t="str">
        <f>IFERROR(INDEX(EqTag,_xlfn.AGGREGATE(15,6,(ROW(EqTag)-4)/((EqSys=$D$3)*(EqTag&lt;&gt;"")),ROWS($AE$14:AE117))),"")</f>
        <v/>
      </c>
    </row>
    <row r="118" spans="1:31" ht="30" customHeight="1" x14ac:dyDescent="0.2">
      <c r="A118" s="19" t="str">
        <f>IF(F118="","",LEFT($D$3,3)&amp;"-"&amp;TEXT(COUNTIF(F$14:F118,"?*"),"00"))</f>
        <v/>
      </c>
      <c r="B118" s="5"/>
      <c r="C118" s="6" t="str">
        <f t="shared" si="18"/>
        <v/>
      </c>
      <c r="D118" s="5"/>
      <c r="E118" s="5"/>
      <c r="F118" s="5"/>
      <c r="G118" s="5"/>
      <c r="H118" s="5"/>
      <c r="I118" s="5"/>
      <c r="J118" s="5"/>
      <c r="K118" s="15"/>
      <c r="L118" s="5"/>
      <c r="M118" s="15"/>
      <c r="N118" s="5"/>
      <c r="O118" s="15"/>
      <c r="P118" s="19" t="str">
        <f t="shared" si="19"/>
        <v/>
      </c>
      <c r="Q118" s="19" t="str">
        <f t="shared" si="20"/>
        <v/>
      </c>
      <c r="R118" s="19" t="str">
        <f t="shared" si="21"/>
        <v/>
      </c>
      <c r="S118" s="5"/>
      <c r="T118" s="5"/>
      <c r="U118" s="5"/>
      <c r="V118" s="24"/>
      <c r="W118" s="15"/>
      <c r="X118" s="15"/>
      <c r="Y118" s="15"/>
      <c r="Z118" s="19" t="str">
        <f t="shared" si="22"/>
        <v/>
      </c>
      <c r="AA118" s="19" t="str">
        <f t="shared" si="23"/>
        <v/>
      </c>
      <c r="AB118" s="5"/>
      <c r="AC118" s="5"/>
      <c r="AE118" t="str">
        <f>IFERROR(INDEX(EqTag,_xlfn.AGGREGATE(15,6,(ROW(EqTag)-4)/((EqSys=$D$3)*(EqTag&lt;&gt;"")),ROWS($AE$14:AE118))),"")</f>
        <v/>
      </c>
    </row>
    <row r="119" spans="1:31" ht="30" customHeight="1" x14ac:dyDescent="0.2">
      <c r="A119" s="19" t="str">
        <f>IF(F119="","",LEFT($D$3,3)&amp;"-"&amp;TEXT(COUNTIF(F$14:F119,"?*"),"00"))</f>
        <v/>
      </c>
      <c r="B119" s="5"/>
      <c r="C119" s="6" t="str">
        <f t="shared" si="18"/>
        <v/>
      </c>
      <c r="D119" s="5"/>
      <c r="E119" s="5"/>
      <c r="F119" s="5"/>
      <c r="G119" s="5"/>
      <c r="H119" s="5"/>
      <c r="I119" s="5"/>
      <c r="J119" s="5"/>
      <c r="K119" s="15"/>
      <c r="L119" s="5"/>
      <c r="M119" s="15"/>
      <c r="N119" s="5"/>
      <c r="O119" s="15"/>
      <c r="P119" s="19" t="str">
        <f t="shared" si="19"/>
        <v/>
      </c>
      <c r="Q119" s="19" t="str">
        <f t="shared" si="20"/>
        <v/>
      </c>
      <c r="R119" s="19" t="str">
        <f t="shared" si="21"/>
        <v/>
      </c>
      <c r="S119" s="5"/>
      <c r="T119" s="5"/>
      <c r="U119" s="5"/>
      <c r="V119" s="24"/>
      <c r="W119" s="15"/>
      <c r="X119" s="15"/>
      <c r="Y119" s="15"/>
      <c r="Z119" s="19" t="str">
        <f t="shared" si="22"/>
        <v/>
      </c>
      <c r="AA119" s="19" t="str">
        <f t="shared" si="23"/>
        <v/>
      </c>
      <c r="AB119" s="5"/>
      <c r="AC119" s="5"/>
      <c r="AE119" t="str">
        <f>IFERROR(INDEX(EqTag,_xlfn.AGGREGATE(15,6,(ROW(EqTag)-4)/((EqSys=$D$3)*(EqTag&lt;&gt;"")),ROWS($AE$14:AE119))),"")</f>
        <v/>
      </c>
    </row>
    <row r="120" spans="1:31" ht="30" customHeight="1" x14ac:dyDescent="0.2">
      <c r="A120" s="19" t="str">
        <f>IF(F120="","",LEFT($D$3,3)&amp;"-"&amp;TEXT(COUNTIF(F$14:F120,"?*"),"00"))</f>
        <v/>
      </c>
      <c r="B120" s="5"/>
      <c r="C120" s="6" t="str">
        <f t="shared" si="18"/>
        <v/>
      </c>
      <c r="D120" s="5"/>
      <c r="E120" s="5"/>
      <c r="F120" s="5"/>
      <c r="G120" s="5"/>
      <c r="H120" s="5"/>
      <c r="I120" s="5"/>
      <c r="J120" s="5"/>
      <c r="K120" s="15"/>
      <c r="L120" s="5"/>
      <c r="M120" s="15"/>
      <c r="N120" s="5"/>
      <c r="O120" s="15"/>
      <c r="P120" s="19" t="str">
        <f t="shared" si="19"/>
        <v/>
      </c>
      <c r="Q120" s="19" t="str">
        <f t="shared" si="20"/>
        <v/>
      </c>
      <c r="R120" s="19" t="str">
        <f t="shared" si="21"/>
        <v/>
      </c>
      <c r="S120" s="5"/>
      <c r="T120" s="5"/>
      <c r="U120" s="5"/>
      <c r="V120" s="24"/>
      <c r="W120" s="15"/>
      <c r="X120" s="15"/>
      <c r="Y120" s="15"/>
      <c r="Z120" s="19" t="str">
        <f t="shared" si="22"/>
        <v/>
      </c>
      <c r="AA120" s="19" t="str">
        <f t="shared" si="23"/>
        <v/>
      </c>
      <c r="AB120" s="5"/>
      <c r="AC120" s="5"/>
      <c r="AE120" t="str">
        <f>IFERROR(INDEX(EqTag,_xlfn.AGGREGATE(15,6,(ROW(EqTag)-4)/((EqSys=$D$3)*(EqTag&lt;&gt;"")),ROWS($AE$14:AE120))),"")</f>
        <v/>
      </c>
    </row>
    <row r="121" spans="1:31" ht="30" customHeight="1" x14ac:dyDescent="0.2">
      <c r="A121" s="19" t="str">
        <f>IF(F121="","",LEFT($D$3,3)&amp;"-"&amp;TEXT(COUNTIF(F$14:F121,"?*"),"00"))</f>
        <v/>
      </c>
      <c r="B121" s="5"/>
      <c r="C121" s="6" t="str">
        <f t="shared" si="18"/>
        <v/>
      </c>
      <c r="D121" s="5"/>
      <c r="E121" s="5"/>
      <c r="F121" s="5"/>
      <c r="G121" s="5"/>
      <c r="H121" s="5"/>
      <c r="I121" s="5"/>
      <c r="J121" s="5"/>
      <c r="K121" s="15"/>
      <c r="L121" s="5"/>
      <c r="M121" s="15"/>
      <c r="N121" s="5"/>
      <c r="O121" s="15"/>
      <c r="P121" s="19" t="str">
        <f t="shared" si="19"/>
        <v/>
      </c>
      <c r="Q121" s="19" t="str">
        <f t="shared" si="20"/>
        <v/>
      </c>
      <c r="R121" s="19" t="str">
        <f t="shared" si="21"/>
        <v/>
      </c>
      <c r="S121" s="5"/>
      <c r="T121" s="5"/>
      <c r="U121" s="5"/>
      <c r="V121" s="24"/>
      <c r="W121" s="15"/>
      <c r="X121" s="15"/>
      <c r="Y121" s="15"/>
      <c r="Z121" s="19" t="str">
        <f t="shared" si="22"/>
        <v/>
      </c>
      <c r="AA121" s="19" t="str">
        <f t="shared" si="23"/>
        <v/>
      </c>
      <c r="AB121" s="5"/>
      <c r="AC121" s="5"/>
      <c r="AE121" t="str">
        <f>IFERROR(INDEX(EqTag,_xlfn.AGGREGATE(15,6,(ROW(EqTag)-4)/((EqSys=$D$3)*(EqTag&lt;&gt;"")),ROWS($AE$14:AE121))),"")</f>
        <v/>
      </c>
    </row>
    <row r="122" spans="1:31" ht="30" customHeight="1" x14ac:dyDescent="0.2">
      <c r="A122" s="19" t="str">
        <f>IF(F122="","",LEFT($D$3,3)&amp;"-"&amp;TEXT(COUNTIF(F$14:F122,"?*"),"00"))</f>
        <v/>
      </c>
      <c r="B122" s="5"/>
      <c r="C122" s="6" t="str">
        <f t="shared" si="18"/>
        <v/>
      </c>
      <c r="D122" s="5"/>
      <c r="E122" s="5"/>
      <c r="F122" s="5"/>
      <c r="G122" s="5"/>
      <c r="H122" s="5"/>
      <c r="I122" s="5"/>
      <c r="J122" s="5"/>
      <c r="K122" s="15"/>
      <c r="L122" s="5"/>
      <c r="M122" s="15"/>
      <c r="N122" s="5"/>
      <c r="O122" s="15"/>
      <c r="P122" s="19" t="str">
        <f t="shared" si="19"/>
        <v/>
      </c>
      <c r="Q122" s="19" t="str">
        <f t="shared" si="20"/>
        <v/>
      </c>
      <c r="R122" s="19" t="str">
        <f t="shared" si="21"/>
        <v/>
      </c>
      <c r="S122" s="5"/>
      <c r="T122" s="5"/>
      <c r="U122" s="5"/>
      <c r="V122" s="24"/>
      <c r="W122" s="15"/>
      <c r="X122" s="15"/>
      <c r="Y122" s="15"/>
      <c r="Z122" s="19" t="str">
        <f t="shared" si="22"/>
        <v/>
      </c>
      <c r="AA122" s="19" t="str">
        <f t="shared" si="23"/>
        <v/>
      </c>
      <c r="AB122" s="5"/>
      <c r="AC122" s="5"/>
      <c r="AE122" t="str">
        <f>IFERROR(INDEX(EqTag,_xlfn.AGGREGATE(15,6,(ROW(EqTag)-4)/((EqSys=$D$3)*(EqTag&lt;&gt;"")),ROWS($AE$14:AE122))),"")</f>
        <v/>
      </c>
    </row>
    <row r="123" spans="1:31" ht="30" customHeight="1" x14ac:dyDescent="0.2">
      <c r="A123" s="19" t="str">
        <f>IF(F123="","",LEFT($D$3,3)&amp;"-"&amp;TEXT(COUNTIF(F$14:F123,"?*"),"00"))</f>
        <v/>
      </c>
      <c r="B123" s="5"/>
      <c r="C123" s="6" t="str">
        <f t="shared" si="18"/>
        <v/>
      </c>
      <c r="D123" s="5"/>
      <c r="E123" s="5"/>
      <c r="F123" s="5"/>
      <c r="G123" s="5"/>
      <c r="H123" s="5"/>
      <c r="I123" s="5"/>
      <c r="J123" s="5"/>
      <c r="K123" s="15"/>
      <c r="L123" s="5"/>
      <c r="M123" s="15"/>
      <c r="N123" s="5"/>
      <c r="O123" s="15"/>
      <c r="P123" s="19" t="str">
        <f t="shared" si="19"/>
        <v/>
      </c>
      <c r="Q123" s="19" t="str">
        <f t="shared" si="20"/>
        <v/>
      </c>
      <c r="R123" s="19" t="str">
        <f t="shared" si="21"/>
        <v/>
      </c>
      <c r="S123" s="5"/>
      <c r="T123" s="5"/>
      <c r="U123" s="5"/>
      <c r="V123" s="24"/>
      <c r="W123" s="15"/>
      <c r="X123" s="15"/>
      <c r="Y123" s="15"/>
      <c r="Z123" s="19" t="str">
        <f t="shared" si="22"/>
        <v/>
      </c>
      <c r="AA123" s="19" t="str">
        <f t="shared" si="23"/>
        <v/>
      </c>
      <c r="AB123" s="5"/>
      <c r="AC123" s="5"/>
      <c r="AE123" t="str">
        <f>IFERROR(INDEX(EqTag,_xlfn.AGGREGATE(15,6,(ROW(EqTag)-4)/((EqSys=$D$3)*(EqTag&lt;&gt;"")),ROWS($AE$14:AE123))),"")</f>
        <v/>
      </c>
    </row>
    <row r="124" spans="1:31" ht="30" customHeight="1" x14ac:dyDescent="0.2">
      <c r="A124" s="19" t="str">
        <f>IF(F124="","",LEFT($D$3,3)&amp;"-"&amp;TEXT(COUNTIF(F$14:F124,"?*"),"00"))</f>
        <v/>
      </c>
      <c r="B124" s="5"/>
      <c r="C124" s="6" t="str">
        <f t="shared" si="18"/>
        <v/>
      </c>
      <c r="D124" s="5"/>
      <c r="E124" s="5"/>
      <c r="F124" s="5"/>
      <c r="G124" s="5"/>
      <c r="H124" s="5"/>
      <c r="I124" s="5"/>
      <c r="J124" s="5"/>
      <c r="K124" s="15"/>
      <c r="L124" s="5"/>
      <c r="M124" s="15"/>
      <c r="N124" s="5"/>
      <c r="O124" s="15"/>
      <c r="P124" s="19" t="str">
        <f t="shared" si="19"/>
        <v/>
      </c>
      <c r="Q124" s="19" t="str">
        <f t="shared" si="20"/>
        <v/>
      </c>
      <c r="R124" s="19" t="str">
        <f t="shared" si="21"/>
        <v/>
      </c>
      <c r="S124" s="5"/>
      <c r="T124" s="5"/>
      <c r="U124" s="5"/>
      <c r="V124" s="24"/>
      <c r="W124" s="15"/>
      <c r="X124" s="15"/>
      <c r="Y124" s="15"/>
      <c r="Z124" s="19" t="str">
        <f t="shared" si="22"/>
        <v/>
      </c>
      <c r="AA124" s="19" t="str">
        <f t="shared" si="23"/>
        <v/>
      </c>
      <c r="AB124" s="5"/>
      <c r="AC124" s="5"/>
      <c r="AE124" t="str">
        <f>IFERROR(INDEX(EqTag,_xlfn.AGGREGATE(15,6,(ROW(EqTag)-4)/((EqSys=$D$3)*(EqTag&lt;&gt;"")),ROWS($AE$14:AE124))),"")</f>
        <v/>
      </c>
    </row>
    <row r="125" spans="1:31" ht="30" customHeight="1" x14ac:dyDescent="0.2">
      <c r="A125" s="19" t="str">
        <f>IF(F125="","",LEFT($D$3,3)&amp;"-"&amp;TEXT(COUNTIF(F$14:F125,"?*"),"00"))</f>
        <v/>
      </c>
      <c r="B125" s="5"/>
      <c r="C125" s="6" t="str">
        <f t="shared" si="18"/>
        <v/>
      </c>
      <c r="D125" s="5"/>
      <c r="E125" s="5"/>
      <c r="F125" s="5"/>
      <c r="G125" s="5"/>
      <c r="H125" s="5"/>
      <c r="I125" s="5"/>
      <c r="J125" s="5"/>
      <c r="K125" s="15"/>
      <c r="L125" s="5"/>
      <c r="M125" s="15"/>
      <c r="N125" s="5"/>
      <c r="O125" s="15"/>
      <c r="P125" s="19" t="str">
        <f t="shared" si="19"/>
        <v/>
      </c>
      <c r="Q125" s="19" t="str">
        <f t="shared" si="20"/>
        <v/>
      </c>
      <c r="R125" s="19" t="str">
        <f t="shared" si="21"/>
        <v/>
      </c>
      <c r="S125" s="5"/>
      <c r="T125" s="5"/>
      <c r="U125" s="5"/>
      <c r="V125" s="24"/>
      <c r="W125" s="15"/>
      <c r="X125" s="15"/>
      <c r="Y125" s="15"/>
      <c r="Z125" s="19" t="str">
        <f t="shared" si="22"/>
        <v/>
      </c>
      <c r="AA125" s="19" t="str">
        <f t="shared" si="23"/>
        <v/>
      </c>
      <c r="AB125" s="5"/>
      <c r="AC125" s="5"/>
      <c r="AE125" t="str">
        <f>IFERROR(INDEX(EqTag,_xlfn.AGGREGATE(15,6,(ROW(EqTag)-4)/((EqSys=$D$3)*(EqTag&lt;&gt;"")),ROWS($AE$14:AE125))),"")</f>
        <v/>
      </c>
    </row>
    <row r="126" spans="1:31" ht="30" customHeight="1" x14ac:dyDescent="0.2">
      <c r="A126" s="19" t="str">
        <f>IF(F126="","",LEFT($D$3,3)&amp;"-"&amp;TEXT(COUNTIF(F$14:F126,"?*"),"00"))</f>
        <v/>
      </c>
      <c r="B126" s="5"/>
      <c r="C126" s="6" t="str">
        <f t="shared" si="18"/>
        <v/>
      </c>
      <c r="D126" s="5"/>
      <c r="E126" s="5"/>
      <c r="F126" s="5"/>
      <c r="G126" s="5"/>
      <c r="H126" s="5"/>
      <c r="I126" s="5"/>
      <c r="J126" s="5"/>
      <c r="K126" s="15"/>
      <c r="L126" s="5"/>
      <c r="M126" s="15"/>
      <c r="N126" s="5"/>
      <c r="O126" s="15"/>
      <c r="P126" s="19" t="str">
        <f t="shared" si="19"/>
        <v/>
      </c>
      <c r="Q126" s="19" t="str">
        <f t="shared" si="20"/>
        <v/>
      </c>
      <c r="R126" s="19" t="str">
        <f t="shared" si="21"/>
        <v/>
      </c>
      <c r="S126" s="5"/>
      <c r="T126" s="5"/>
      <c r="U126" s="5"/>
      <c r="V126" s="24"/>
      <c r="W126" s="15"/>
      <c r="X126" s="15"/>
      <c r="Y126" s="15"/>
      <c r="Z126" s="19" t="str">
        <f t="shared" si="22"/>
        <v/>
      </c>
      <c r="AA126" s="19" t="str">
        <f t="shared" si="23"/>
        <v/>
      </c>
      <c r="AB126" s="5"/>
      <c r="AC126" s="5"/>
      <c r="AE126" t="str">
        <f>IFERROR(INDEX(EqTag,_xlfn.AGGREGATE(15,6,(ROW(EqTag)-4)/((EqSys=$D$3)*(EqTag&lt;&gt;"")),ROWS($AE$14:AE126))),"")</f>
        <v/>
      </c>
    </row>
    <row r="127" spans="1:31" ht="30" customHeight="1" x14ac:dyDescent="0.2">
      <c r="A127" s="19" t="str">
        <f>IF(F127="","",LEFT($D$3,3)&amp;"-"&amp;TEXT(COUNTIF(F$14:F127,"?*"),"00"))</f>
        <v/>
      </c>
      <c r="B127" s="5"/>
      <c r="C127" s="6" t="str">
        <f t="shared" si="18"/>
        <v/>
      </c>
      <c r="D127" s="5"/>
      <c r="E127" s="5"/>
      <c r="F127" s="5"/>
      <c r="G127" s="5"/>
      <c r="H127" s="5"/>
      <c r="I127" s="5"/>
      <c r="J127" s="5"/>
      <c r="K127" s="15"/>
      <c r="L127" s="5"/>
      <c r="M127" s="15"/>
      <c r="N127" s="5"/>
      <c r="O127" s="15"/>
      <c r="P127" s="19" t="str">
        <f t="shared" si="19"/>
        <v/>
      </c>
      <c r="Q127" s="19" t="str">
        <f t="shared" si="20"/>
        <v/>
      </c>
      <c r="R127" s="19" t="str">
        <f t="shared" si="21"/>
        <v/>
      </c>
      <c r="S127" s="5"/>
      <c r="T127" s="5"/>
      <c r="U127" s="5"/>
      <c r="V127" s="24"/>
      <c r="W127" s="15"/>
      <c r="X127" s="15"/>
      <c r="Y127" s="15"/>
      <c r="Z127" s="19" t="str">
        <f t="shared" si="22"/>
        <v/>
      </c>
      <c r="AA127" s="19" t="str">
        <f t="shared" si="23"/>
        <v/>
      </c>
      <c r="AB127" s="5"/>
      <c r="AC127" s="5"/>
      <c r="AE127" t="str">
        <f>IFERROR(INDEX(EqTag,_xlfn.AGGREGATE(15,6,(ROW(EqTag)-4)/((EqSys=$D$3)*(EqTag&lt;&gt;"")),ROWS($AE$14:AE127))),"")</f>
        <v/>
      </c>
    </row>
    <row r="128" spans="1:31" ht="30" customHeight="1" x14ac:dyDescent="0.2">
      <c r="A128" s="19" t="str">
        <f>IF(F128="","",LEFT($D$3,3)&amp;"-"&amp;TEXT(COUNTIF(F$14:F128,"?*"),"00"))</f>
        <v/>
      </c>
      <c r="B128" s="5"/>
      <c r="C128" s="6" t="str">
        <f t="shared" si="18"/>
        <v/>
      </c>
      <c r="D128" s="5"/>
      <c r="E128" s="5"/>
      <c r="F128" s="5"/>
      <c r="G128" s="5"/>
      <c r="H128" s="5"/>
      <c r="I128" s="5"/>
      <c r="J128" s="5"/>
      <c r="K128" s="15"/>
      <c r="L128" s="5"/>
      <c r="M128" s="15"/>
      <c r="N128" s="5"/>
      <c r="O128" s="15"/>
      <c r="P128" s="19" t="str">
        <f t="shared" si="19"/>
        <v/>
      </c>
      <c r="Q128" s="19" t="str">
        <f t="shared" si="20"/>
        <v/>
      </c>
      <c r="R128" s="19" t="str">
        <f t="shared" si="21"/>
        <v/>
      </c>
      <c r="S128" s="5"/>
      <c r="T128" s="5"/>
      <c r="U128" s="5"/>
      <c r="V128" s="24"/>
      <c r="W128" s="15"/>
      <c r="X128" s="15"/>
      <c r="Y128" s="15"/>
      <c r="Z128" s="19" t="str">
        <f t="shared" si="22"/>
        <v/>
      </c>
      <c r="AA128" s="19" t="str">
        <f t="shared" si="23"/>
        <v/>
      </c>
      <c r="AB128" s="5"/>
      <c r="AC128" s="5"/>
      <c r="AE128" t="str">
        <f>IFERROR(INDEX(EqTag,_xlfn.AGGREGATE(15,6,(ROW(EqTag)-4)/((EqSys=$D$3)*(EqTag&lt;&gt;"")),ROWS($AE$14:AE128))),"")</f>
        <v/>
      </c>
    </row>
    <row r="129" spans="1:31" ht="30" customHeight="1" x14ac:dyDescent="0.2">
      <c r="A129" s="19" t="str">
        <f>IF(F129="","",LEFT($D$3,3)&amp;"-"&amp;TEXT(COUNTIF(F$14:F129,"?*"),"00"))</f>
        <v/>
      </c>
      <c r="B129" s="5"/>
      <c r="C129" s="6" t="str">
        <f t="shared" si="18"/>
        <v/>
      </c>
      <c r="D129" s="5"/>
      <c r="E129" s="5"/>
      <c r="F129" s="5"/>
      <c r="G129" s="5"/>
      <c r="H129" s="5"/>
      <c r="I129" s="5"/>
      <c r="J129" s="5"/>
      <c r="K129" s="15"/>
      <c r="L129" s="5"/>
      <c r="M129" s="15"/>
      <c r="N129" s="5"/>
      <c r="O129" s="15"/>
      <c r="P129" s="19" t="str">
        <f t="shared" si="19"/>
        <v/>
      </c>
      <c r="Q129" s="19" t="str">
        <f t="shared" si="20"/>
        <v/>
      </c>
      <c r="R129" s="19" t="str">
        <f t="shared" si="21"/>
        <v/>
      </c>
      <c r="S129" s="5"/>
      <c r="T129" s="5"/>
      <c r="U129" s="5"/>
      <c r="V129" s="24"/>
      <c r="W129" s="15"/>
      <c r="X129" s="15"/>
      <c r="Y129" s="15"/>
      <c r="Z129" s="19" t="str">
        <f t="shared" si="22"/>
        <v/>
      </c>
      <c r="AA129" s="19" t="str">
        <f t="shared" si="23"/>
        <v/>
      </c>
      <c r="AB129" s="5"/>
      <c r="AC129" s="5"/>
      <c r="AE129" t="str">
        <f>IFERROR(INDEX(EqTag,_xlfn.AGGREGATE(15,6,(ROW(EqTag)-4)/((EqSys=$D$3)*(EqTag&lt;&gt;"")),ROWS($AE$14:AE129))),"")</f>
        <v/>
      </c>
    </row>
    <row r="130" spans="1:31" ht="30" customHeight="1" x14ac:dyDescent="0.2">
      <c r="A130" s="19" t="str">
        <f>IF(F130="","",LEFT($D$3,3)&amp;"-"&amp;TEXT(COUNTIF(F$14:F130,"?*"),"00"))</f>
        <v/>
      </c>
      <c r="B130" s="5"/>
      <c r="C130" s="6" t="str">
        <f t="shared" si="18"/>
        <v/>
      </c>
      <c r="D130" s="5"/>
      <c r="E130" s="5"/>
      <c r="F130" s="5"/>
      <c r="G130" s="5"/>
      <c r="H130" s="5"/>
      <c r="I130" s="5"/>
      <c r="J130" s="5"/>
      <c r="K130" s="15"/>
      <c r="L130" s="5"/>
      <c r="M130" s="15"/>
      <c r="N130" s="5"/>
      <c r="O130" s="15"/>
      <c r="P130" s="19" t="str">
        <f t="shared" si="19"/>
        <v/>
      </c>
      <c r="Q130" s="19" t="str">
        <f t="shared" si="20"/>
        <v/>
      </c>
      <c r="R130" s="19" t="str">
        <f t="shared" si="21"/>
        <v/>
      </c>
      <c r="S130" s="5"/>
      <c r="T130" s="5"/>
      <c r="U130" s="5"/>
      <c r="V130" s="24"/>
      <c r="W130" s="15"/>
      <c r="X130" s="15"/>
      <c r="Y130" s="15"/>
      <c r="Z130" s="19" t="str">
        <f t="shared" si="22"/>
        <v/>
      </c>
      <c r="AA130" s="19" t="str">
        <f t="shared" si="23"/>
        <v/>
      </c>
      <c r="AB130" s="5"/>
      <c r="AC130" s="5"/>
      <c r="AE130" t="str">
        <f>IFERROR(INDEX(EqTag,_xlfn.AGGREGATE(15,6,(ROW(EqTag)-4)/((EqSys=$D$3)*(EqTag&lt;&gt;"")),ROWS($AE$14:AE130))),"")</f>
        <v/>
      </c>
    </row>
    <row r="131" spans="1:31" ht="30" customHeight="1" x14ac:dyDescent="0.2">
      <c r="A131" s="19" t="str">
        <f>IF(F131="","",LEFT($D$3,3)&amp;"-"&amp;TEXT(COUNTIF(F$14:F131,"?*"),"00"))</f>
        <v/>
      </c>
      <c r="B131" s="5"/>
      <c r="C131" s="6" t="str">
        <f t="shared" si="18"/>
        <v/>
      </c>
      <c r="D131" s="5"/>
      <c r="E131" s="5"/>
      <c r="F131" s="5"/>
      <c r="G131" s="5"/>
      <c r="H131" s="5"/>
      <c r="I131" s="5"/>
      <c r="J131" s="5"/>
      <c r="K131" s="15"/>
      <c r="L131" s="5"/>
      <c r="M131" s="15"/>
      <c r="N131" s="5"/>
      <c r="O131" s="15"/>
      <c r="P131" s="19" t="str">
        <f t="shared" si="19"/>
        <v/>
      </c>
      <c r="Q131" s="19" t="str">
        <f t="shared" si="20"/>
        <v/>
      </c>
      <c r="R131" s="19" t="str">
        <f t="shared" si="21"/>
        <v/>
      </c>
      <c r="S131" s="5"/>
      <c r="T131" s="5"/>
      <c r="U131" s="5"/>
      <c r="V131" s="24"/>
      <c r="W131" s="15"/>
      <c r="X131" s="15"/>
      <c r="Y131" s="15"/>
      <c r="Z131" s="19" t="str">
        <f t="shared" si="22"/>
        <v/>
      </c>
      <c r="AA131" s="19" t="str">
        <f t="shared" si="23"/>
        <v/>
      </c>
      <c r="AB131" s="5"/>
      <c r="AC131" s="5"/>
      <c r="AE131" t="str">
        <f>IFERROR(INDEX(EqTag,_xlfn.AGGREGATE(15,6,(ROW(EqTag)-4)/((EqSys=$D$3)*(EqTag&lt;&gt;"")),ROWS($AE$14:AE131))),"")</f>
        <v/>
      </c>
    </row>
    <row r="132" spans="1:31" ht="30" customHeight="1" x14ac:dyDescent="0.2">
      <c r="A132" s="19" t="str">
        <f>IF(F132="","",LEFT($D$3,3)&amp;"-"&amp;TEXT(COUNTIF(F$14:F132,"?*"),"00"))</f>
        <v/>
      </c>
      <c r="B132" s="5"/>
      <c r="C132" s="6" t="str">
        <f t="shared" si="18"/>
        <v/>
      </c>
      <c r="D132" s="5"/>
      <c r="E132" s="5"/>
      <c r="F132" s="5"/>
      <c r="G132" s="5"/>
      <c r="H132" s="5"/>
      <c r="I132" s="5"/>
      <c r="J132" s="5"/>
      <c r="K132" s="15"/>
      <c r="L132" s="5"/>
      <c r="M132" s="15"/>
      <c r="N132" s="5"/>
      <c r="O132" s="15"/>
      <c r="P132" s="19" t="str">
        <f t="shared" si="19"/>
        <v/>
      </c>
      <c r="Q132" s="19" t="str">
        <f t="shared" si="20"/>
        <v/>
      </c>
      <c r="R132" s="19" t="str">
        <f t="shared" si="21"/>
        <v/>
      </c>
      <c r="S132" s="5"/>
      <c r="T132" s="5"/>
      <c r="U132" s="5"/>
      <c r="V132" s="24"/>
      <c r="W132" s="15"/>
      <c r="X132" s="15"/>
      <c r="Y132" s="15"/>
      <c r="Z132" s="19" t="str">
        <f t="shared" si="22"/>
        <v/>
      </c>
      <c r="AA132" s="19" t="str">
        <f t="shared" si="23"/>
        <v/>
      </c>
      <c r="AB132" s="5"/>
      <c r="AC132" s="5"/>
      <c r="AE132" t="str">
        <f>IFERROR(INDEX(EqTag,_xlfn.AGGREGATE(15,6,(ROW(EqTag)-4)/((EqSys=$D$3)*(EqTag&lt;&gt;"")),ROWS($AE$14:AE132))),"")</f>
        <v/>
      </c>
    </row>
    <row r="133" spans="1:31" ht="30" customHeight="1" x14ac:dyDescent="0.2">
      <c r="A133" s="19" t="str">
        <f>IF(F133="","",LEFT($D$3,3)&amp;"-"&amp;TEXT(COUNTIF(F$14:F133,"?*"),"00"))</f>
        <v/>
      </c>
      <c r="B133" s="5"/>
      <c r="C133" s="6" t="str">
        <f t="shared" si="18"/>
        <v/>
      </c>
      <c r="D133" s="5"/>
      <c r="E133" s="5"/>
      <c r="F133" s="5"/>
      <c r="G133" s="5"/>
      <c r="H133" s="5"/>
      <c r="I133" s="5"/>
      <c r="J133" s="5"/>
      <c r="K133" s="15"/>
      <c r="L133" s="5"/>
      <c r="M133" s="15"/>
      <c r="N133" s="5"/>
      <c r="O133" s="15"/>
      <c r="P133" s="19" t="str">
        <f t="shared" si="19"/>
        <v/>
      </c>
      <c r="Q133" s="19" t="str">
        <f t="shared" si="20"/>
        <v/>
      </c>
      <c r="R133" s="19" t="str">
        <f t="shared" si="21"/>
        <v/>
      </c>
      <c r="S133" s="5"/>
      <c r="T133" s="5"/>
      <c r="U133" s="5"/>
      <c r="V133" s="24"/>
      <c r="W133" s="15"/>
      <c r="X133" s="15"/>
      <c r="Y133" s="15"/>
      <c r="Z133" s="19" t="str">
        <f t="shared" si="22"/>
        <v/>
      </c>
      <c r="AA133" s="19" t="str">
        <f t="shared" si="23"/>
        <v/>
      </c>
      <c r="AB133" s="5"/>
      <c r="AC133" s="5"/>
      <c r="AE133" t="str">
        <f>IFERROR(INDEX(EqTag,_xlfn.AGGREGATE(15,6,(ROW(EqTag)-4)/((EqSys=$D$3)*(EqTag&lt;&gt;"")),ROWS($AE$14:AE133))),"")</f>
        <v/>
      </c>
    </row>
    <row r="134" spans="1:31" ht="30" customHeight="1" x14ac:dyDescent="0.2">
      <c r="A134" s="19" t="str">
        <f>IF(F134="","",LEFT($D$3,3)&amp;"-"&amp;TEXT(COUNTIF(F$14:F134,"?*"),"00"))</f>
        <v/>
      </c>
      <c r="B134" s="5"/>
      <c r="C134" s="6" t="str">
        <f t="shared" si="18"/>
        <v/>
      </c>
      <c r="D134" s="5"/>
      <c r="E134" s="5"/>
      <c r="F134" s="5"/>
      <c r="G134" s="5"/>
      <c r="H134" s="5"/>
      <c r="I134" s="5"/>
      <c r="J134" s="5"/>
      <c r="K134" s="15"/>
      <c r="L134" s="5"/>
      <c r="M134" s="15"/>
      <c r="N134" s="5"/>
      <c r="O134" s="15"/>
      <c r="P134" s="19" t="str">
        <f t="shared" si="19"/>
        <v/>
      </c>
      <c r="Q134" s="19" t="str">
        <f t="shared" si="20"/>
        <v/>
      </c>
      <c r="R134" s="19" t="str">
        <f t="shared" si="21"/>
        <v/>
      </c>
      <c r="S134" s="5"/>
      <c r="T134" s="5"/>
      <c r="U134" s="5"/>
      <c r="V134" s="24"/>
      <c r="W134" s="15"/>
      <c r="X134" s="15"/>
      <c r="Y134" s="15"/>
      <c r="Z134" s="19" t="str">
        <f t="shared" si="22"/>
        <v/>
      </c>
      <c r="AA134" s="19" t="str">
        <f t="shared" si="23"/>
        <v/>
      </c>
      <c r="AB134" s="5"/>
      <c r="AC134" s="5"/>
      <c r="AE134" t="str">
        <f>IFERROR(INDEX(EqTag,_xlfn.AGGREGATE(15,6,(ROW(EqTag)-4)/((EqSys=$D$3)*(EqTag&lt;&gt;"")),ROWS($AE$14:AE134))),"")</f>
        <v/>
      </c>
    </row>
    <row r="135" spans="1:31" ht="30" customHeight="1" x14ac:dyDescent="0.2">
      <c r="A135" s="19" t="str">
        <f>IF(F135="","",LEFT($D$3,3)&amp;"-"&amp;TEXT(COUNTIF(F$14:F135,"?*"),"00"))</f>
        <v/>
      </c>
      <c r="B135" s="5"/>
      <c r="C135" s="6" t="str">
        <f t="shared" si="18"/>
        <v/>
      </c>
      <c r="D135" s="5"/>
      <c r="E135" s="5"/>
      <c r="F135" s="5"/>
      <c r="G135" s="5"/>
      <c r="H135" s="5"/>
      <c r="I135" s="5"/>
      <c r="J135" s="5"/>
      <c r="K135" s="15"/>
      <c r="L135" s="5"/>
      <c r="M135" s="15"/>
      <c r="N135" s="5"/>
      <c r="O135" s="15"/>
      <c r="P135" s="19" t="str">
        <f t="shared" si="19"/>
        <v/>
      </c>
      <c r="Q135" s="19" t="str">
        <f t="shared" si="20"/>
        <v/>
      </c>
      <c r="R135" s="19" t="str">
        <f t="shared" si="21"/>
        <v/>
      </c>
      <c r="S135" s="5"/>
      <c r="T135" s="5"/>
      <c r="U135" s="5"/>
      <c r="V135" s="24"/>
      <c r="W135" s="15"/>
      <c r="X135" s="15"/>
      <c r="Y135" s="15"/>
      <c r="Z135" s="19" t="str">
        <f t="shared" si="22"/>
        <v/>
      </c>
      <c r="AA135" s="19" t="str">
        <f t="shared" si="23"/>
        <v/>
      </c>
      <c r="AB135" s="5"/>
      <c r="AC135" s="5"/>
      <c r="AE135" t="str">
        <f>IFERROR(INDEX(EqTag,_xlfn.AGGREGATE(15,6,(ROW(EqTag)-4)/((EqSys=$D$3)*(EqTag&lt;&gt;"")),ROWS($AE$14:AE135))),"")</f>
        <v/>
      </c>
    </row>
    <row r="136" spans="1:31" ht="30" customHeight="1" x14ac:dyDescent="0.2">
      <c r="A136" s="19" t="str">
        <f>IF(F136="","",LEFT($D$3,3)&amp;"-"&amp;TEXT(COUNTIF(F$14:F136,"?*"),"00"))</f>
        <v/>
      </c>
      <c r="B136" s="5"/>
      <c r="C136" s="6" t="str">
        <f t="shared" si="18"/>
        <v/>
      </c>
      <c r="D136" s="5"/>
      <c r="E136" s="5"/>
      <c r="F136" s="5"/>
      <c r="G136" s="5"/>
      <c r="H136" s="5"/>
      <c r="I136" s="5"/>
      <c r="J136" s="5"/>
      <c r="K136" s="15"/>
      <c r="L136" s="5"/>
      <c r="M136" s="15"/>
      <c r="N136" s="5"/>
      <c r="O136" s="15"/>
      <c r="P136" s="19" t="str">
        <f t="shared" si="19"/>
        <v/>
      </c>
      <c r="Q136" s="19" t="str">
        <f t="shared" si="20"/>
        <v/>
      </c>
      <c r="R136" s="19" t="str">
        <f t="shared" si="21"/>
        <v/>
      </c>
      <c r="S136" s="5"/>
      <c r="T136" s="5"/>
      <c r="U136" s="5"/>
      <c r="V136" s="24"/>
      <c r="W136" s="15"/>
      <c r="X136" s="15"/>
      <c r="Y136" s="15"/>
      <c r="Z136" s="19" t="str">
        <f t="shared" si="22"/>
        <v/>
      </c>
      <c r="AA136" s="19" t="str">
        <f t="shared" si="23"/>
        <v/>
      </c>
      <c r="AB136" s="5"/>
      <c r="AC136" s="5"/>
      <c r="AE136" t="str">
        <f>IFERROR(INDEX(EqTag,_xlfn.AGGREGATE(15,6,(ROW(EqTag)-4)/((EqSys=$D$3)*(EqTag&lt;&gt;"")),ROWS($AE$14:AE136))),"")</f>
        <v/>
      </c>
    </row>
    <row r="137" spans="1:31" ht="30" customHeight="1" x14ac:dyDescent="0.2">
      <c r="A137" s="19" t="str">
        <f>IF(F137="","",LEFT($D$3,3)&amp;"-"&amp;TEXT(COUNTIF(F$14:F137,"?*"),"00"))</f>
        <v/>
      </c>
      <c r="B137" s="5"/>
      <c r="C137" s="6" t="str">
        <f t="shared" si="18"/>
        <v/>
      </c>
      <c r="D137" s="5"/>
      <c r="E137" s="5"/>
      <c r="F137" s="5"/>
      <c r="G137" s="5"/>
      <c r="H137" s="5"/>
      <c r="I137" s="5"/>
      <c r="J137" s="5"/>
      <c r="K137" s="15"/>
      <c r="L137" s="5"/>
      <c r="M137" s="15"/>
      <c r="N137" s="5"/>
      <c r="O137" s="15"/>
      <c r="P137" s="19" t="str">
        <f t="shared" si="19"/>
        <v/>
      </c>
      <c r="Q137" s="19" t="str">
        <f t="shared" si="20"/>
        <v/>
      </c>
      <c r="R137" s="19" t="str">
        <f t="shared" si="21"/>
        <v/>
      </c>
      <c r="S137" s="5"/>
      <c r="T137" s="5"/>
      <c r="U137" s="5"/>
      <c r="V137" s="24"/>
      <c r="W137" s="15"/>
      <c r="X137" s="15"/>
      <c r="Y137" s="15"/>
      <c r="Z137" s="19" t="str">
        <f t="shared" si="22"/>
        <v/>
      </c>
      <c r="AA137" s="19" t="str">
        <f t="shared" si="23"/>
        <v/>
      </c>
      <c r="AB137" s="5"/>
      <c r="AC137" s="5"/>
      <c r="AE137" t="str">
        <f>IFERROR(INDEX(EqTag,_xlfn.AGGREGATE(15,6,(ROW(EqTag)-4)/((EqSys=$D$3)*(EqTag&lt;&gt;"")),ROWS($AE$14:AE137))),"")</f>
        <v/>
      </c>
    </row>
    <row r="138" spans="1:31" ht="30" customHeight="1" x14ac:dyDescent="0.2">
      <c r="A138" s="19" t="str">
        <f>IF(F138="","",LEFT($D$3,3)&amp;"-"&amp;TEXT(COUNTIF(F$14:F138,"?*"),"00"))</f>
        <v/>
      </c>
      <c r="B138" s="5"/>
      <c r="C138" s="6" t="str">
        <f t="shared" si="18"/>
        <v/>
      </c>
      <c r="D138" s="5"/>
      <c r="E138" s="5"/>
      <c r="F138" s="5"/>
      <c r="G138" s="5"/>
      <c r="H138" s="5"/>
      <c r="I138" s="5"/>
      <c r="J138" s="5"/>
      <c r="K138" s="15"/>
      <c r="L138" s="5"/>
      <c r="M138" s="15"/>
      <c r="N138" s="5"/>
      <c r="O138" s="15"/>
      <c r="P138" s="19" t="str">
        <f t="shared" si="19"/>
        <v/>
      </c>
      <c r="Q138" s="19" t="str">
        <f t="shared" si="20"/>
        <v/>
      </c>
      <c r="R138" s="19" t="str">
        <f t="shared" si="21"/>
        <v/>
      </c>
      <c r="S138" s="5"/>
      <c r="T138" s="5"/>
      <c r="U138" s="5"/>
      <c r="V138" s="24"/>
      <c r="W138" s="15"/>
      <c r="X138" s="15"/>
      <c r="Y138" s="15"/>
      <c r="Z138" s="19" t="str">
        <f t="shared" si="22"/>
        <v/>
      </c>
      <c r="AA138" s="19" t="str">
        <f t="shared" si="23"/>
        <v/>
      </c>
      <c r="AB138" s="5"/>
      <c r="AC138" s="5"/>
      <c r="AE138" t="str">
        <f>IFERROR(INDEX(EqTag,_xlfn.AGGREGATE(15,6,(ROW(EqTag)-4)/((EqSys=$D$3)*(EqTag&lt;&gt;"")),ROWS($AE$14:AE138))),"")</f>
        <v/>
      </c>
    </row>
    <row r="139" spans="1:31" ht="30" customHeight="1" x14ac:dyDescent="0.2">
      <c r="A139" s="19" t="str">
        <f>IF(F139="","",LEFT($D$3,3)&amp;"-"&amp;TEXT(COUNTIF(F$14:F139,"?*"),"00"))</f>
        <v/>
      </c>
      <c r="B139" s="5"/>
      <c r="C139" s="6" t="str">
        <f t="shared" si="18"/>
        <v/>
      </c>
      <c r="D139" s="5"/>
      <c r="E139" s="5"/>
      <c r="F139" s="5"/>
      <c r="G139" s="5"/>
      <c r="H139" s="5"/>
      <c r="I139" s="5"/>
      <c r="J139" s="5"/>
      <c r="K139" s="15"/>
      <c r="L139" s="5"/>
      <c r="M139" s="15"/>
      <c r="N139" s="5"/>
      <c r="O139" s="15"/>
      <c r="P139" s="19" t="str">
        <f t="shared" si="19"/>
        <v/>
      </c>
      <c r="Q139" s="19" t="str">
        <f t="shared" si="20"/>
        <v/>
      </c>
      <c r="R139" s="19" t="str">
        <f t="shared" si="21"/>
        <v/>
      </c>
      <c r="S139" s="5"/>
      <c r="T139" s="5"/>
      <c r="U139" s="5"/>
      <c r="V139" s="24"/>
      <c r="W139" s="15"/>
      <c r="X139" s="15"/>
      <c r="Y139" s="15"/>
      <c r="Z139" s="19" t="str">
        <f t="shared" si="22"/>
        <v/>
      </c>
      <c r="AA139" s="19" t="str">
        <f t="shared" si="23"/>
        <v/>
      </c>
      <c r="AB139" s="5"/>
      <c r="AC139" s="5"/>
      <c r="AE139" t="str">
        <f>IFERROR(INDEX(EqTag,_xlfn.AGGREGATE(15,6,(ROW(EqTag)-4)/((EqSys=$D$3)*(EqTag&lt;&gt;"")),ROWS($AE$14:AE139))),"")</f>
        <v/>
      </c>
    </row>
    <row r="140" spans="1:31" ht="30" customHeight="1" x14ac:dyDescent="0.2">
      <c r="A140" s="19" t="str">
        <f>IF(F140="","",LEFT($D$3,3)&amp;"-"&amp;TEXT(COUNTIF(F$14:F140,"?*"),"00"))</f>
        <v/>
      </c>
      <c r="B140" s="5"/>
      <c r="C140" s="6" t="str">
        <f t="shared" si="18"/>
        <v/>
      </c>
      <c r="D140" s="5"/>
      <c r="E140" s="5"/>
      <c r="F140" s="5"/>
      <c r="G140" s="5"/>
      <c r="H140" s="5"/>
      <c r="I140" s="5"/>
      <c r="J140" s="5"/>
      <c r="K140" s="15"/>
      <c r="L140" s="5"/>
      <c r="M140" s="15"/>
      <c r="N140" s="5"/>
      <c r="O140" s="15"/>
      <c r="P140" s="19" t="str">
        <f t="shared" si="19"/>
        <v/>
      </c>
      <c r="Q140" s="19" t="str">
        <f t="shared" si="20"/>
        <v/>
      </c>
      <c r="R140" s="19" t="str">
        <f t="shared" si="21"/>
        <v/>
      </c>
      <c r="S140" s="5"/>
      <c r="T140" s="5"/>
      <c r="U140" s="5"/>
      <c r="V140" s="24"/>
      <c r="W140" s="15"/>
      <c r="X140" s="15"/>
      <c r="Y140" s="15"/>
      <c r="Z140" s="19" t="str">
        <f t="shared" si="22"/>
        <v/>
      </c>
      <c r="AA140" s="19" t="str">
        <f t="shared" si="23"/>
        <v/>
      </c>
      <c r="AB140" s="5"/>
      <c r="AC140" s="5"/>
      <c r="AE140" t="str">
        <f>IFERROR(INDEX(EqTag,_xlfn.AGGREGATE(15,6,(ROW(EqTag)-4)/((EqSys=$D$3)*(EqTag&lt;&gt;"")),ROWS($AE$14:AE140))),"")</f>
        <v/>
      </c>
    </row>
    <row r="141" spans="1:31" ht="30" customHeight="1" x14ac:dyDescent="0.2">
      <c r="A141" s="19" t="str">
        <f>IF(F141="","",LEFT($D$3,3)&amp;"-"&amp;TEXT(COUNTIF(F$14:F141,"?*"),"00"))</f>
        <v/>
      </c>
      <c r="B141" s="5"/>
      <c r="C141" s="6" t="str">
        <f t="shared" si="18"/>
        <v/>
      </c>
      <c r="D141" s="5"/>
      <c r="E141" s="5"/>
      <c r="F141" s="5"/>
      <c r="G141" s="5"/>
      <c r="H141" s="5"/>
      <c r="I141" s="5"/>
      <c r="J141" s="5"/>
      <c r="K141" s="15"/>
      <c r="L141" s="5"/>
      <c r="M141" s="15"/>
      <c r="N141" s="5"/>
      <c r="O141" s="15"/>
      <c r="P141" s="19" t="str">
        <f t="shared" si="19"/>
        <v/>
      </c>
      <c r="Q141" s="19" t="str">
        <f t="shared" si="20"/>
        <v/>
      </c>
      <c r="R141" s="19" t="str">
        <f t="shared" si="21"/>
        <v/>
      </c>
      <c r="S141" s="5"/>
      <c r="T141" s="5"/>
      <c r="U141" s="5"/>
      <c r="V141" s="24"/>
      <c r="W141" s="15"/>
      <c r="X141" s="15"/>
      <c r="Y141" s="15"/>
      <c r="Z141" s="19" t="str">
        <f t="shared" si="22"/>
        <v/>
      </c>
      <c r="AA141" s="19" t="str">
        <f t="shared" si="23"/>
        <v/>
      </c>
      <c r="AB141" s="5"/>
      <c r="AC141" s="5"/>
      <c r="AE141" t="str">
        <f>IFERROR(INDEX(EqTag,_xlfn.AGGREGATE(15,6,(ROW(EqTag)-4)/((EqSys=$D$3)*(EqTag&lt;&gt;"")),ROWS($AE$14:AE141))),"")</f>
        <v/>
      </c>
    </row>
    <row r="142" spans="1:31" ht="30" customHeight="1" x14ac:dyDescent="0.2">
      <c r="A142" s="19" t="str">
        <f>IF(F142="","",LEFT($D$3,3)&amp;"-"&amp;TEXT(COUNTIF(F$14:F142,"?*"),"00"))</f>
        <v/>
      </c>
      <c r="B142" s="5"/>
      <c r="C142" s="6" t="str">
        <f t="shared" ref="C142:C163" si="24">IF(B142="","",IFERROR(INDEX(EqTypeCol,MATCH(B142,EqTag,0)),"Tag not in register"))</f>
        <v/>
      </c>
      <c r="D142" s="5"/>
      <c r="E142" s="5"/>
      <c r="F142" s="5"/>
      <c r="G142" s="5"/>
      <c r="H142" s="5"/>
      <c r="I142" s="5"/>
      <c r="J142" s="5"/>
      <c r="K142" s="15"/>
      <c r="L142" s="5"/>
      <c r="M142" s="15"/>
      <c r="N142" s="5"/>
      <c r="O142" s="15"/>
      <c r="P142" s="19" t="str">
        <f t="shared" ref="P142:P163" si="25">IF(OR(K142="",M142="",O142=""),"",(--TRIM(LEFT(K142,2)))*(--TRIM(LEFT(M142,2)))*(--TRIM(LEFT(O142,2))))</f>
        <v/>
      </c>
      <c r="Q142" s="19" t="str">
        <f t="shared" ref="Q142:Q163" si="26">IF(OR(K142="",M142="",O142=""),"",INDEX(APGrid,COUNTIF(APS,"&gt;"&amp;(--TRIM(LEFT(K142,2))))*5+COUNTIF(APO,"&gt;"&amp;(--TRIM(LEFT(M142,2))))+1,COUNTIF(APD,"&gt;"&amp;(--TRIM(LEFT(O142,2))))+1))</f>
        <v/>
      </c>
      <c r="R142" s="19" t="str">
        <f t="shared" ref="R142:R163" si="27">IF(P142="","",IF(OR((--TRIM(LEFT(K142,2)))&gt;=SThr,P142&gt;=RPNThr,Q142="H"),"Yes","No"))</f>
        <v/>
      </c>
      <c r="S142" s="5"/>
      <c r="T142" s="5"/>
      <c r="U142" s="5"/>
      <c r="V142" s="24"/>
      <c r="W142" s="15"/>
      <c r="X142" s="15"/>
      <c r="Y142" s="15"/>
      <c r="Z142" s="19" t="str">
        <f t="shared" ref="Z142:Z163" si="28">IF(OR(W142="",X142="",Y142=""),"",(--TRIM(LEFT(W142,2)))*(--TRIM(LEFT(X142,2)))*(--TRIM(LEFT(Y142,2))))</f>
        <v/>
      </c>
      <c r="AA142" s="19" t="str">
        <f t="shared" ref="AA142:AA163" si="29">IF(OR(W142="",X142="",Y142=""),"",INDEX(APGrid,COUNTIF(APS,"&gt;"&amp;(--TRIM(LEFT(W142,2))))*5+COUNTIF(APO,"&gt;"&amp;(--TRIM(LEFT(X142,2))))+1,COUNTIF(APD,"&gt;"&amp;(--TRIM(LEFT(Y142,2))))+1))</f>
        <v/>
      </c>
      <c r="AB142" s="5"/>
      <c r="AC142" s="5"/>
      <c r="AE142" t="str">
        <f>IFERROR(INDEX(EqTag,_xlfn.AGGREGATE(15,6,(ROW(EqTag)-4)/((EqSys=$D$3)*(EqTag&lt;&gt;"")),ROWS($AE$14:AE142))),"")</f>
        <v/>
      </c>
    </row>
    <row r="143" spans="1:31" ht="30" customHeight="1" x14ac:dyDescent="0.2">
      <c r="A143" s="19" t="str">
        <f>IF(F143="","",LEFT($D$3,3)&amp;"-"&amp;TEXT(COUNTIF(F$14:F143,"?*"),"00"))</f>
        <v/>
      </c>
      <c r="B143" s="5"/>
      <c r="C143" s="6" t="str">
        <f t="shared" si="24"/>
        <v/>
      </c>
      <c r="D143" s="5"/>
      <c r="E143" s="5"/>
      <c r="F143" s="5"/>
      <c r="G143" s="5"/>
      <c r="H143" s="5"/>
      <c r="I143" s="5"/>
      <c r="J143" s="5"/>
      <c r="K143" s="15"/>
      <c r="L143" s="5"/>
      <c r="M143" s="15"/>
      <c r="N143" s="5"/>
      <c r="O143" s="15"/>
      <c r="P143" s="19" t="str">
        <f t="shared" si="25"/>
        <v/>
      </c>
      <c r="Q143" s="19" t="str">
        <f t="shared" si="26"/>
        <v/>
      </c>
      <c r="R143" s="19" t="str">
        <f t="shared" si="27"/>
        <v/>
      </c>
      <c r="S143" s="5"/>
      <c r="T143" s="5"/>
      <c r="U143" s="5"/>
      <c r="V143" s="24"/>
      <c r="W143" s="15"/>
      <c r="X143" s="15"/>
      <c r="Y143" s="15"/>
      <c r="Z143" s="19" t="str">
        <f t="shared" si="28"/>
        <v/>
      </c>
      <c r="AA143" s="19" t="str">
        <f t="shared" si="29"/>
        <v/>
      </c>
      <c r="AB143" s="5"/>
      <c r="AC143" s="5"/>
      <c r="AE143" t="str">
        <f>IFERROR(INDEX(EqTag,_xlfn.AGGREGATE(15,6,(ROW(EqTag)-4)/((EqSys=$D$3)*(EqTag&lt;&gt;"")),ROWS($AE$14:AE143))),"")</f>
        <v/>
      </c>
    </row>
    <row r="144" spans="1:31" ht="30" customHeight="1" x14ac:dyDescent="0.2">
      <c r="A144" s="19" t="str">
        <f>IF(F144="","",LEFT($D$3,3)&amp;"-"&amp;TEXT(COUNTIF(F$14:F144,"?*"),"00"))</f>
        <v/>
      </c>
      <c r="B144" s="5"/>
      <c r="C144" s="6" t="str">
        <f t="shared" si="24"/>
        <v/>
      </c>
      <c r="D144" s="5"/>
      <c r="E144" s="5"/>
      <c r="F144" s="5"/>
      <c r="G144" s="5"/>
      <c r="H144" s="5"/>
      <c r="I144" s="5"/>
      <c r="J144" s="5"/>
      <c r="K144" s="15"/>
      <c r="L144" s="5"/>
      <c r="M144" s="15"/>
      <c r="N144" s="5"/>
      <c r="O144" s="15"/>
      <c r="P144" s="19" t="str">
        <f t="shared" si="25"/>
        <v/>
      </c>
      <c r="Q144" s="19" t="str">
        <f t="shared" si="26"/>
        <v/>
      </c>
      <c r="R144" s="19" t="str">
        <f t="shared" si="27"/>
        <v/>
      </c>
      <c r="S144" s="5"/>
      <c r="T144" s="5"/>
      <c r="U144" s="5"/>
      <c r="V144" s="24"/>
      <c r="W144" s="15"/>
      <c r="X144" s="15"/>
      <c r="Y144" s="15"/>
      <c r="Z144" s="19" t="str">
        <f t="shared" si="28"/>
        <v/>
      </c>
      <c r="AA144" s="19" t="str">
        <f t="shared" si="29"/>
        <v/>
      </c>
      <c r="AB144" s="5"/>
      <c r="AC144" s="5"/>
      <c r="AE144" t="str">
        <f>IFERROR(INDEX(EqTag,_xlfn.AGGREGATE(15,6,(ROW(EqTag)-4)/((EqSys=$D$3)*(EqTag&lt;&gt;"")),ROWS($AE$14:AE144))),"")</f>
        <v/>
      </c>
    </row>
    <row r="145" spans="1:31" ht="30" customHeight="1" x14ac:dyDescent="0.2">
      <c r="A145" s="19" t="str">
        <f>IF(F145="","",LEFT($D$3,3)&amp;"-"&amp;TEXT(COUNTIF(F$14:F145,"?*"),"00"))</f>
        <v/>
      </c>
      <c r="B145" s="5"/>
      <c r="C145" s="6" t="str">
        <f t="shared" si="24"/>
        <v/>
      </c>
      <c r="D145" s="5"/>
      <c r="E145" s="5"/>
      <c r="F145" s="5"/>
      <c r="G145" s="5"/>
      <c r="H145" s="5"/>
      <c r="I145" s="5"/>
      <c r="J145" s="5"/>
      <c r="K145" s="15"/>
      <c r="L145" s="5"/>
      <c r="M145" s="15"/>
      <c r="N145" s="5"/>
      <c r="O145" s="15"/>
      <c r="P145" s="19" t="str">
        <f t="shared" si="25"/>
        <v/>
      </c>
      <c r="Q145" s="19" t="str">
        <f t="shared" si="26"/>
        <v/>
      </c>
      <c r="R145" s="19" t="str">
        <f t="shared" si="27"/>
        <v/>
      </c>
      <c r="S145" s="5"/>
      <c r="T145" s="5"/>
      <c r="U145" s="5"/>
      <c r="V145" s="24"/>
      <c r="W145" s="15"/>
      <c r="X145" s="15"/>
      <c r="Y145" s="15"/>
      <c r="Z145" s="19" t="str">
        <f t="shared" si="28"/>
        <v/>
      </c>
      <c r="AA145" s="19" t="str">
        <f t="shared" si="29"/>
        <v/>
      </c>
      <c r="AB145" s="5"/>
      <c r="AC145" s="5"/>
      <c r="AE145" t="str">
        <f>IFERROR(INDEX(EqTag,_xlfn.AGGREGATE(15,6,(ROW(EqTag)-4)/((EqSys=$D$3)*(EqTag&lt;&gt;"")),ROWS($AE$14:AE145))),"")</f>
        <v/>
      </c>
    </row>
    <row r="146" spans="1:31" ht="30" customHeight="1" x14ac:dyDescent="0.2">
      <c r="A146" s="19" t="str">
        <f>IF(F146="","",LEFT($D$3,3)&amp;"-"&amp;TEXT(COUNTIF(F$14:F146,"?*"),"00"))</f>
        <v/>
      </c>
      <c r="B146" s="5"/>
      <c r="C146" s="6" t="str">
        <f t="shared" si="24"/>
        <v/>
      </c>
      <c r="D146" s="5"/>
      <c r="E146" s="5"/>
      <c r="F146" s="5"/>
      <c r="G146" s="5"/>
      <c r="H146" s="5"/>
      <c r="I146" s="5"/>
      <c r="J146" s="5"/>
      <c r="K146" s="15"/>
      <c r="L146" s="5"/>
      <c r="M146" s="15"/>
      <c r="N146" s="5"/>
      <c r="O146" s="15"/>
      <c r="P146" s="19" t="str">
        <f t="shared" si="25"/>
        <v/>
      </c>
      <c r="Q146" s="19" t="str">
        <f t="shared" si="26"/>
        <v/>
      </c>
      <c r="R146" s="19" t="str">
        <f t="shared" si="27"/>
        <v/>
      </c>
      <c r="S146" s="5"/>
      <c r="T146" s="5"/>
      <c r="U146" s="5"/>
      <c r="V146" s="24"/>
      <c r="W146" s="15"/>
      <c r="X146" s="15"/>
      <c r="Y146" s="15"/>
      <c r="Z146" s="19" t="str">
        <f t="shared" si="28"/>
        <v/>
      </c>
      <c r="AA146" s="19" t="str">
        <f t="shared" si="29"/>
        <v/>
      </c>
      <c r="AB146" s="5"/>
      <c r="AC146" s="5"/>
      <c r="AE146" t="str">
        <f>IFERROR(INDEX(EqTag,_xlfn.AGGREGATE(15,6,(ROW(EqTag)-4)/((EqSys=$D$3)*(EqTag&lt;&gt;"")),ROWS($AE$14:AE146))),"")</f>
        <v/>
      </c>
    </row>
    <row r="147" spans="1:31" ht="30" customHeight="1" x14ac:dyDescent="0.2">
      <c r="A147" s="19" t="str">
        <f>IF(F147="","",LEFT($D$3,3)&amp;"-"&amp;TEXT(COUNTIF(F$14:F147,"?*"),"00"))</f>
        <v/>
      </c>
      <c r="B147" s="5"/>
      <c r="C147" s="6" t="str">
        <f t="shared" si="24"/>
        <v/>
      </c>
      <c r="D147" s="5"/>
      <c r="E147" s="5"/>
      <c r="F147" s="5"/>
      <c r="G147" s="5"/>
      <c r="H147" s="5"/>
      <c r="I147" s="5"/>
      <c r="J147" s="5"/>
      <c r="K147" s="15"/>
      <c r="L147" s="5"/>
      <c r="M147" s="15"/>
      <c r="N147" s="5"/>
      <c r="O147" s="15"/>
      <c r="P147" s="19" t="str">
        <f t="shared" si="25"/>
        <v/>
      </c>
      <c r="Q147" s="19" t="str">
        <f t="shared" si="26"/>
        <v/>
      </c>
      <c r="R147" s="19" t="str">
        <f t="shared" si="27"/>
        <v/>
      </c>
      <c r="S147" s="5"/>
      <c r="T147" s="5"/>
      <c r="U147" s="5"/>
      <c r="V147" s="24"/>
      <c r="W147" s="15"/>
      <c r="X147" s="15"/>
      <c r="Y147" s="15"/>
      <c r="Z147" s="19" t="str">
        <f t="shared" si="28"/>
        <v/>
      </c>
      <c r="AA147" s="19" t="str">
        <f t="shared" si="29"/>
        <v/>
      </c>
      <c r="AB147" s="5"/>
      <c r="AC147" s="5"/>
      <c r="AE147" t="str">
        <f>IFERROR(INDEX(EqTag,_xlfn.AGGREGATE(15,6,(ROW(EqTag)-4)/((EqSys=$D$3)*(EqTag&lt;&gt;"")),ROWS($AE$14:AE147))),"")</f>
        <v/>
      </c>
    </row>
    <row r="148" spans="1:31" ht="30" customHeight="1" x14ac:dyDescent="0.2">
      <c r="A148" s="19" t="str">
        <f>IF(F148="","",LEFT($D$3,3)&amp;"-"&amp;TEXT(COUNTIF(F$14:F148,"?*"),"00"))</f>
        <v/>
      </c>
      <c r="B148" s="5"/>
      <c r="C148" s="6" t="str">
        <f t="shared" si="24"/>
        <v/>
      </c>
      <c r="D148" s="5"/>
      <c r="E148" s="5"/>
      <c r="F148" s="5"/>
      <c r="G148" s="5"/>
      <c r="H148" s="5"/>
      <c r="I148" s="5"/>
      <c r="J148" s="5"/>
      <c r="K148" s="15"/>
      <c r="L148" s="5"/>
      <c r="M148" s="15"/>
      <c r="N148" s="5"/>
      <c r="O148" s="15"/>
      <c r="P148" s="19" t="str">
        <f t="shared" si="25"/>
        <v/>
      </c>
      <c r="Q148" s="19" t="str">
        <f t="shared" si="26"/>
        <v/>
      </c>
      <c r="R148" s="19" t="str">
        <f t="shared" si="27"/>
        <v/>
      </c>
      <c r="S148" s="5"/>
      <c r="T148" s="5"/>
      <c r="U148" s="5"/>
      <c r="V148" s="24"/>
      <c r="W148" s="15"/>
      <c r="X148" s="15"/>
      <c r="Y148" s="15"/>
      <c r="Z148" s="19" t="str">
        <f t="shared" si="28"/>
        <v/>
      </c>
      <c r="AA148" s="19" t="str">
        <f t="shared" si="29"/>
        <v/>
      </c>
      <c r="AB148" s="5"/>
      <c r="AC148" s="5"/>
      <c r="AE148" t="str">
        <f>IFERROR(INDEX(EqTag,_xlfn.AGGREGATE(15,6,(ROW(EqTag)-4)/((EqSys=$D$3)*(EqTag&lt;&gt;"")),ROWS($AE$14:AE148))),"")</f>
        <v/>
      </c>
    </row>
    <row r="149" spans="1:31" ht="30" customHeight="1" x14ac:dyDescent="0.2">
      <c r="A149" s="19" t="str">
        <f>IF(F149="","",LEFT($D$3,3)&amp;"-"&amp;TEXT(COUNTIF(F$14:F149,"?*"),"00"))</f>
        <v/>
      </c>
      <c r="B149" s="5"/>
      <c r="C149" s="6" t="str">
        <f t="shared" si="24"/>
        <v/>
      </c>
      <c r="D149" s="5"/>
      <c r="E149" s="5"/>
      <c r="F149" s="5"/>
      <c r="G149" s="5"/>
      <c r="H149" s="5"/>
      <c r="I149" s="5"/>
      <c r="J149" s="5"/>
      <c r="K149" s="15"/>
      <c r="L149" s="5"/>
      <c r="M149" s="15"/>
      <c r="N149" s="5"/>
      <c r="O149" s="15"/>
      <c r="P149" s="19" t="str">
        <f t="shared" si="25"/>
        <v/>
      </c>
      <c r="Q149" s="19" t="str">
        <f t="shared" si="26"/>
        <v/>
      </c>
      <c r="R149" s="19" t="str">
        <f t="shared" si="27"/>
        <v/>
      </c>
      <c r="S149" s="5"/>
      <c r="T149" s="5"/>
      <c r="U149" s="5"/>
      <c r="V149" s="24"/>
      <c r="W149" s="15"/>
      <c r="X149" s="15"/>
      <c r="Y149" s="15"/>
      <c r="Z149" s="19" t="str">
        <f t="shared" si="28"/>
        <v/>
      </c>
      <c r="AA149" s="19" t="str">
        <f t="shared" si="29"/>
        <v/>
      </c>
      <c r="AB149" s="5"/>
      <c r="AC149" s="5"/>
      <c r="AE149" t="str">
        <f>IFERROR(INDEX(EqTag,_xlfn.AGGREGATE(15,6,(ROW(EqTag)-4)/((EqSys=$D$3)*(EqTag&lt;&gt;"")),ROWS($AE$14:AE149))),"")</f>
        <v/>
      </c>
    </row>
    <row r="150" spans="1:31" ht="30" customHeight="1" x14ac:dyDescent="0.2">
      <c r="A150" s="19" t="str">
        <f>IF(F150="","",LEFT($D$3,3)&amp;"-"&amp;TEXT(COUNTIF(F$14:F150,"?*"),"00"))</f>
        <v/>
      </c>
      <c r="B150" s="5"/>
      <c r="C150" s="6" t="str">
        <f t="shared" si="24"/>
        <v/>
      </c>
      <c r="D150" s="5"/>
      <c r="E150" s="5"/>
      <c r="F150" s="5"/>
      <c r="G150" s="5"/>
      <c r="H150" s="5"/>
      <c r="I150" s="5"/>
      <c r="J150" s="5"/>
      <c r="K150" s="15"/>
      <c r="L150" s="5"/>
      <c r="M150" s="15"/>
      <c r="N150" s="5"/>
      <c r="O150" s="15"/>
      <c r="P150" s="19" t="str">
        <f t="shared" si="25"/>
        <v/>
      </c>
      <c r="Q150" s="19" t="str">
        <f t="shared" si="26"/>
        <v/>
      </c>
      <c r="R150" s="19" t="str">
        <f t="shared" si="27"/>
        <v/>
      </c>
      <c r="S150" s="5"/>
      <c r="T150" s="5"/>
      <c r="U150" s="5"/>
      <c r="V150" s="24"/>
      <c r="W150" s="15"/>
      <c r="X150" s="15"/>
      <c r="Y150" s="15"/>
      <c r="Z150" s="19" t="str">
        <f t="shared" si="28"/>
        <v/>
      </c>
      <c r="AA150" s="19" t="str">
        <f t="shared" si="29"/>
        <v/>
      </c>
      <c r="AB150" s="5"/>
      <c r="AC150" s="5"/>
      <c r="AE150" t="str">
        <f>IFERROR(INDEX(EqTag,_xlfn.AGGREGATE(15,6,(ROW(EqTag)-4)/((EqSys=$D$3)*(EqTag&lt;&gt;"")),ROWS($AE$14:AE150))),"")</f>
        <v/>
      </c>
    </row>
    <row r="151" spans="1:31" ht="30" customHeight="1" x14ac:dyDescent="0.2">
      <c r="A151" s="19" t="str">
        <f>IF(F151="","",LEFT($D$3,3)&amp;"-"&amp;TEXT(COUNTIF(F$14:F151,"?*"),"00"))</f>
        <v/>
      </c>
      <c r="B151" s="5"/>
      <c r="C151" s="6" t="str">
        <f t="shared" si="24"/>
        <v/>
      </c>
      <c r="D151" s="5"/>
      <c r="E151" s="5"/>
      <c r="F151" s="5"/>
      <c r="G151" s="5"/>
      <c r="H151" s="5"/>
      <c r="I151" s="5"/>
      <c r="J151" s="5"/>
      <c r="K151" s="15"/>
      <c r="L151" s="5"/>
      <c r="M151" s="15"/>
      <c r="N151" s="5"/>
      <c r="O151" s="15"/>
      <c r="P151" s="19" t="str">
        <f t="shared" si="25"/>
        <v/>
      </c>
      <c r="Q151" s="19" t="str">
        <f t="shared" si="26"/>
        <v/>
      </c>
      <c r="R151" s="19" t="str">
        <f t="shared" si="27"/>
        <v/>
      </c>
      <c r="S151" s="5"/>
      <c r="T151" s="5"/>
      <c r="U151" s="5"/>
      <c r="V151" s="24"/>
      <c r="W151" s="15"/>
      <c r="X151" s="15"/>
      <c r="Y151" s="15"/>
      <c r="Z151" s="19" t="str">
        <f t="shared" si="28"/>
        <v/>
      </c>
      <c r="AA151" s="19" t="str">
        <f t="shared" si="29"/>
        <v/>
      </c>
      <c r="AB151" s="5"/>
      <c r="AC151" s="5"/>
      <c r="AE151" t="str">
        <f>IFERROR(INDEX(EqTag,_xlfn.AGGREGATE(15,6,(ROW(EqTag)-4)/((EqSys=$D$3)*(EqTag&lt;&gt;"")),ROWS($AE$14:AE151))),"")</f>
        <v/>
      </c>
    </row>
    <row r="152" spans="1:31" ht="30" customHeight="1" x14ac:dyDescent="0.2">
      <c r="A152" s="19" t="str">
        <f>IF(F152="","",LEFT($D$3,3)&amp;"-"&amp;TEXT(COUNTIF(F$14:F152,"?*"),"00"))</f>
        <v/>
      </c>
      <c r="B152" s="5"/>
      <c r="C152" s="6" t="str">
        <f t="shared" si="24"/>
        <v/>
      </c>
      <c r="D152" s="5"/>
      <c r="E152" s="5"/>
      <c r="F152" s="5"/>
      <c r="G152" s="5"/>
      <c r="H152" s="5"/>
      <c r="I152" s="5"/>
      <c r="J152" s="5"/>
      <c r="K152" s="15"/>
      <c r="L152" s="5"/>
      <c r="M152" s="15"/>
      <c r="N152" s="5"/>
      <c r="O152" s="15"/>
      <c r="P152" s="19" t="str">
        <f t="shared" si="25"/>
        <v/>
      </c>
      <c r="Q152" s="19" t="str">
        <f t="shared" si="26"/>
        <v/>
      </c>
      <c r="R152" s="19" t="str">
        <f t="shared" si="27"/>
        <v/>
      </c>
      <c r="S152" s="5"/>
      <c r="T152" s="5"/>
      <c r="U152" s="5"/>
      <c r="V152" s="24"/>
      <c r="W152" s="15"/>
      <c r="X152" s="15"/>
      <c r="Y152" s="15"/>
      <c r="Z152" s="19" t="str">
        <f t="shared" si="28"/>
        <v/>
      </c>
      <c r="AA152" s="19" t="str">
        <f t="shared" si="29"/>
        <v/>
      </c>
      <c r="AB152" s="5"/>
      <c r="AC152" s="5"/>
      <c r="AE152" t="str">
        <f>IFERROR(INDEX(EqTag,_xlfn.AGGREGATE(15,6,(ROW(EqTag)-4)/((EqSys=$D$3)*(EqTag&lt;&gt;"")),ROWS($AE$14:AE152))),"")</f>
        <v/>
      </c>
    </row>
    <row r="153" spans="1:31" ht="30" customHeight="1" x14ac:dyDescent="0.2">
      <c r="A153" s="19" t="str">
        <f>IF(F153="","",LEFT($D$3,3)&amp;"-"&amp;TEXT(COUNTIF(F$14:F153,"?*"),"00"))</f>
        <v/>
      </c>
      <c r="B153" s="5"/>
      <c r="C153" s="6" t="str">
        <f t="shared" si="24"/>
        <v/>
      </c>
      <c r="D153" s="5"/>
      <c r="E153" s="5"/>
      <c r="F153" s="5"/>
      <c r="G153" s="5"/>
      <c r="H153" s="5"/>
      <c r="I153" s="5"/>
      <c r="J153" s="5"/>
      <c r="K153" s="15"/>
      <c r="L153" s="5"/>
      <c r="M153" s="15"/>
      <c r="N153" s="5"/>
      <c r="O153" s="15"/>
      <c r="P153" s="19" t="str">
        <f t="shared" si="25"/>
        <v/>
      </c>
      <c r="Q153" s="19" t="str">
        <f t="shared" si="26"/>
        <v/>
      </c>
      <c r="R153" s="19" t="str">
        <f t="shared" si="27"/>
        <v/>
      </c>
      <c r="S153" s="5"/>
      <c r="T153" s="5"/>
      <c r="U153" s="5"/>
      <c r="V153" s="24"/>
      <c r="W153" s="15"/>
      <c r="X153" s="15"/>
      <c r="Y153" s="15"/>
      <c r="Z153" s="19" t="str">
        <f t="shared" si="28"/>
        <v/>
      </c>
      <c r="AA153" s="19" t="str">
        <f t="shared" si="29"/>
        <v/>
      </c>
      <c r="AB153" s="5"/>
      <c r="AC153" s="5"/>
      <c r="AE153" t="str">
        <f>IFERROR(INDEX(EqTag,_xlfn.AGGREGATE(15,6,(ROW(EqTag)-4)/((EqSys=$D$3)*(EqTag&lt;&gt;"")),ROWS($AE$14:AE153))),"")</f>
        <v/>
      </c>
    </row>
    <row r="154" spans="1:31" ht="30" customHeight="1" x14ac:dyDescent="0.2">
      <c r="A154" s="19" t="str">
        <f>IF(F154="","",LEFT($D$3,3)&amp;"-"&amp;TEXT(COUNTIF(F$14:F154,"?*"),"00"))</f>
        <v/>
      </c>
      <c r="B154" s="5"/>
      <c r="C154" s="6" t="str">
        <f t="shared" si="24"/>
        <v/>
      </c>
      <c r="D154" s="5"/>
      <c r="E154" s="5"/>
      <c r="F154" s="5"/>
      <c r="G154" s="5"/>
      <c r="H154" s="5"/>
      <c r="I154" s="5"/>
      <c r="J154" s="5"/>
      <c r="K154" s="15"/>
      <c r="L154" s="5"/>
      <c r="M154" s="15"/>
      <c r="N154" s="5"/>
      <c r="O154" s="15"/>
      <c r="P154" s="19" t="str">
        <f t="shared" si="25"/>
        <v/>
      </c>
      <c r="Q154" s="19" t="str">
        <f t="shared" si="26"/>
        <v/>
      </c>
      <c r="R154" s="19" t="str">
        <f t="shared" si="27"/>
        <v/>
      </c>
      <c r="S154" s="5"/>
      <c r="T154" s="5"/>
      <c r="U154" s="5"/>
      <c r="V154" s="24"/>
      <c r="W154" s="15"/>
      <c r="X154" s="15"/>
      <c r="Y154" s="15"/>
      <c r="Z154" s="19" t="str">
        <f t="shared" si="28"/>
        <v/>
      </c>
      <c r="AA154" s="19" t="str">
        <f t="shared" si="29"/>
        <v/>
      </c>
      <c r="AB154" s="5"/>
      <c r="AC154" s="5"/>
      <c r="AE154" t="str">
        <f>IFERROR(INDEX(EqTag,_xlfn.AGGREGATE(15,6,(ROW(EqTag)-4)/((EqSys=$D$3)*(EqTag&lt;&gt;"")),ROWS($AE$14:AE154))),"")</f>
        <v/>
      </c>
    </row>
    <row r="155" spans="1:31" ht="30" customHeight="1" x14ac:dyDescent="0.2">
      <c r="A155" s="19" t="str">
        <f>IF(F155="","",LEFT($D$3,3)&amp;"-"&amp;TEXT(COUNTIF(F$14:F155,"?*"),"00"))</f>
        <v/>
      </c>
      <c r="B155" s="5"/>
      <c r="C155" s="6" t="str">
        <f t="shared" si="24"/>
        <v/>
      </c>
      <c r="D155" s="5"/>
      <c r="E155" s="5"/>
      <c r="F155" s="5"/>
      <c r="G155" s="5"/>
      <c r="H155" s="5"/>
      <c r="I155" s="5"/>
      <c r="J155" s="5"/>
      <c r="K155" s="15"/>
      <c r="L155" s="5"/>
      <c r="M155" s="15"/>
      <c r="N155" s="5"/>
      <c r="O155" s="15"/>
      <c r="P155" s="19" t="str">
        <f t="shared" si="25"/>
        <v/>
      </c>
      <c r="Q155" s="19" t="str">
        <f t="shared" si="26"/>
        <v/>
      </c>
      <c r="R155" s="19" t="str">
        <f t="shared" si="27"/>
        <v/>
      </c>
      <c r="S155" s="5"/>
      <c r="T155" s="5"/>
      <c r="U155" s="5"/>
      <c r="V155" s="24"/>
      <c r="W155" s="15"/>
      <c r="X155" s="15"/>
      <c r="Y155" s="15"/>
      <c r="Z155" s="19" t="str">
        <f t="shared" si="28"/>
        <v/>
      </c>
      <c r="AA155" s="19" t="str">
        <f t="shared" si="29"/>
        <v/>
      </c>
      <c r="AB155" s="5"/>
      <c r="AC155" s="5"/>
      <c r="AE155" t="str">
        <f>IFERROR(INDEX(EqTag,_xlfn.AGGREGATE(15,6,(ROW(EqTag)-4)/((EqSys=$D$3)*(EqTag&lt;&gt;"")),ROWS($AE$14:AE155))),"")</f>
        <v/>
      </c>
    </row>
    <row r="156" spans="1:31" ht="30" customHeight="1" x14ac:dyDescent="0.2">
      <c r="A156" s="19" t="str">
        <f>IF(F156="","",LEFT($D$3,3)&amp;"-"&amp;TEXT(COUNTIF(F$14:F156,"?*"),"00"))</f>
        <v/>
      </c>
      <c r="B156" s="5"/>
      <c r="C156" s="6" t="str">
        <f t="shared" si="24"/>
        <v/>
      </c>
      <c r="D156" s="5"/>
      <c r="E156" s="5"/>
      <c r="F156" s="5"/>
      <c r="G156" s="5"/>
      <c r="H156" s="5"/>
      <c r="I156" s="5"/>
      <c r="J156" s="5"/>
      <c r="K156" s="15"/>
      <c r="L156" s="5"/>
      <c r="M156" s="15"/>
      <c r="N156" s="5"/>
      <c r="O156" s="15"/>
      <c r="P156" s="19" t="str">
        <f t="shared" si="25"/>
        <v/>
      </c>
      <c r="Q156" s="19" t="str">
        <f t="shared" si="26"/>
        <v/>
      </c>
      <c r="R156" s="19" t="str">
        <f t="shared" si="27"/>
        <v/>
      </c>
      <c r="S156" s="5"/>
      <c r="T156" s="5"/>
      <c r="U156" s="5"/>
      <c r="V156" s="24"/>
      <c r="W156" s="15"/>
      <c r="X156" s="15"/>
      <c r="Y156" s="15"/>
      <c r="Z156" s="19" t="str">
        <f t="shared" si="28"/>
        <v/>
      </c>
      <c r="AA156" s="19" t="str">
        <f t="shared" si="29"/>
        <v/>
      </c>
      <c r="AB156" s="5"/>
      <c r="AC156" s="5"/>
      <c r="AE156" t="str">
        <f>IFERROR(INDEX(EqTag,_xlfn.AGGREGATE(15,6,(ROW(EqTag)-4)/((EqSys=$D$3)*(EqTag&lt;&gt;"")),ROWS($AE$14:AE156))),"")</f>
        <v/>
      </c>
    </row>
    <row r="157" spans="1:31" ht="30" customHeight="1" x14ac:dyDescent="0.2">
      <c r="A157" s="19" t="str">
        <f>IF(F157="","",LEFT($D$3,3)&amp;"-"&amp;TEXT(COUNTIF(F$14:F157,"?*"),"00"))</f>
        <v/>
      </c>
      <c r="B157" s="5"/>
      <c r="C157" s="6" t="str">
        <f t="shared" si="24"/>
        <v/>
      </c>
      <c r="D157" s="5"/>
      <c r="E157" s="5"/>
      <c r="F157" s="5"/>
      <c r="G157" s="5"/>
      <c r="H157" s="5"/>
      <c r="I157" s="5"/>
      <c r="J157" s="5"/>
      <c r="K157" s="15"/>
      <c r="L157" s="5"/>
      <c r="M157" s="15"/>
      <c r="N157" s="5"/>
      <c r="O157" s="15"/>
      <c r="P157" s="19" t="str">
        <f t="shared" si="25"/>
        <v/>
      </c>
      <c r="Q157" s="19" t="str">
        <f t="shared" si="26"/>
        <v/>
      </c>
      <c r="R157" s="19" t="str">
        <f t="shared" si="27"/>
        <v/>
      </c>
      <c r="S157" s="5"/>
      <c r="T157" s="5"/>
      <c r="U157" s="5"/>
      <c r="V157" s="24"/>
      <c r="W157" s="15"/>
      <c r="X157" s="15"/>
      <c r="Y157" s="15"/>
      <c r="Z157" s="19" t="str">
        <f t="shared" si="28"/>
        <v/>
      </c>
      <c r="AA157" s="19" t="str">
        <f t="shared" si="29"/>
        <v/>
      </c>
      <c r="AB157" s="5"/>
      <c r="AC157" s="5"/>
      <c r="AE157" t="str">
        <f>IFERROR(INDEX(EqTag,_xlfn.AGGREGATE(15,6,(ROW(EqTag)-4)/((EqSys=$D$3)*(EqTag&lt;&gt;"")),ROWS($AE$14:AE157))),"")</f>
        <v/>
      </c>
    </row>
    <row r="158" spans="1:31" ht="30" customHeight="1" x14ac:dyDescent="0.2">
      <c r="A158" s="19" t="str">
        <f>IF(F158="","",LEFT($D$3,3)&amp;"-"&amp;TEXT(COUNTIF(F$14:F158,"?*"),"00"))</f>
        <v/>
      </c>
      <c r="B158" s="5"/>
      <c r="C158" s="6" t="str">
        <f t="shared" si="24"/>
        <v/>
      </c>
      <c r="D158" s="5"/>
      <c r="E158" s="5"/>
      <c r="F158" s="5"/>
      <c r="G158" s="5"/>
      <c r="H158" s="5"/>
      <c r="I158" s="5"/>
      <c r="J158" s="5"/>
      <c r="K158" s="15"/>
      <c r="L158" s="5"/>
      <c r="M158" s="15"/>
      <c r="N158" s="5"/>
      <c r="O158" s="15"/>
      <c r="P158" s="19" t="str">
        <f t="shared" si="25"/>
        <v/>
      </c>
      <c r="Q158" s="19" t="str">
        <f t="shared" si="26"/>
        <v/>
      </c>
      <c r="R158" s="19" t="str">
        <f t="shared" si="27"/>
        <v/>
      </c>
      <c r="S158" s="5"/>
      <c r="T158" s="5"/>
      <c r="U158" s="5"/>
      <c r="V158" s="24"/>
      <c r="W158" s="15"/>
      <c r="X158" s="15"/>
      <c r="Y158" s="15"/>
      <c r="Z158" s="19" t="str">
        <f t="shared" si="28"/>
        <v/>
      </c>
      <c r="AA158" s="19" t="str">
        <f t="shared" si="29"/>
        <v/>
      </c>
      <c r="AB158" s="5"/>
      <c r="AC158" s="5"/>
      <c r="AE158" t="str">
        <f>IFERROR(INDEX(EqTag,_xlfn.AGGREGATE(15,6,(ROW(EqTag)-4)/((EqSys=$D$3)*(EqTag&lt;&gt;"")),ROWS($AE$14:AE158))),"")</f>
        <v/>
      </c>
    </row>
    <row r="159" spans="1:31" ht="30" customHeight="1" x14ac:dyDescent="0.2">
      <c r="A159" s="19" t="str">
        <f>IF(F159="","",LEFT($D$3,3)&amp;"-"&amp;TEXT(COUNTIF(F$14:F159,"?*"),"00"))</f>
        <v/>
      </c>
      <c r="B159" s="5"/>
      <c r="C159" s="6" t="str">
        <f t="shared" si="24"/>
        <v/>
      </c>
      <c r="D159" s="5"/>
      <c r="E159" s="5"/>
      <c r="F159" s="5"/>
      <c r="G159" s="5"/>
      <c r="H159" s="5"/>
      <c r="I159" s="5"/>
      <c r="J159" s="5"/>
      <c r="K159" s="15"/>
      <c r="L159" s="5"/>
      <c r="M159" s="15"/>
      <c r="N159" s="5"/>
      <c r="O159" s="15"/>
      <c r="P159" s="19" t="str">
        <f t="shared" si="25"/>
        <v/>
      </c>
      <c r="Q159" s="19" t="str">
        <f t="shared" si="26"/>
        <v/>
      </c>
      <c r="R159" s="19" t="str">
        <f t="shared" si="27"/>
        <v/>
      </c>
      <c r="S159" s="5"/>
      <c r="T159" s="5"/>
      <c r="U159" s="5"/>
      <c r="V159" s="24"/>
      <c r="W159" s="15"/>
      <c r="X159" s="15"/>
      <c r="Y159" s="15"/>
      <c r="Z159" s="19" t="str">
        <f t="shared" si="28"/>
        <v/>
      </c>
      <c r="AA159" s="19" t="str">
        <f t="shared" si="29"/>
        <v/>
      </c>
      <c r="AB159" s="5"/>
      <c r="AC159" s="5"/>
      <c r="AE159" t="str">
        <f>IFERROR(INDEX(EqTag,_xlfn.AGGREGATE(15,6,(ROW(EqTag)-4)/((EqSys=$D$3)*(EqTag&lt;&gt;"")),ROWS($AE$14:AE159))),"")</f>
        <v/>
      </c>
    </row>
    <row r="160" spans="1:31" ht="30" customHeight="1" x14ac:dyDescent="0.2">
      <c r="A160" s="19" t="str">
        <f>IF(F160="","",LEFT($D$3,3)&amp;"-"&amp;TEXT(COUNTIF(F$14:F160,"?*"),"00"))</f>
        <v/>
      </c>
      <c r="B160" s="5"/>
      <c r="C160" s="6" t="str">
        <f t="shared" si="24"/>
        <v/>
      </c>
      <c r="D160" s="5"/>
      <c r="E160" s="5"/>
      <c r="F160" s="5"/>
      <c r="G160" s="5"/>
      <c r="H160" s="5"/>
      <c r="I160" s="5"/>
      <c r="J160" s="5"/>
      <c r="K160" s="15"/>
      <c r="L160" s="5"/>
      <c r="M160" s="15"/>
      <c r="N160" s="5"/>
      <c r="O160" s="15"/>
      <c r="P160" s="19" t="str">
        <f t="shared" si="25"/>
        <v/>
      </c>
      <c r="Q160" s="19" t="str">
        <f t="shared" si="26"/>
        <v/>
      </c>
      <c r="R160" s="19" t="str">
        <f t="shared" si="27"/>
        <v/>
      </c>
      <c r="S160" s="5"/>
      <c r="T160" s="5"/>
      <c r="U160" s="5"/>
      <c r="V160" s="24"/>
      <c r="W160" s="15"/>
      <c r="X160" s="15"/>
      <c r="Y160" s="15"/>
      <c r="Z160" s="19" t="str">
        <f t="shared" si="28"/>
        <v/>
      </c>
      <c r="AA160" s="19" t="str">
        <f t="shared" si="29"/>
        <v/>
      </c>
      <c r="AB160" s="5"/>
      <c r="AC160" s="5"/>
      <c r="AE160" t="str">
        <f>IFERROR(INDEX(EqTag,_xlfn.AGGREGATE(15,6,(ROW(EqTag)-4)/((EqSys=$D$3)*(EqTag&lt;&gt;"")),ROWS($AE$14:AE160))),"")</f>
        <v/>
      </c>
    </row>
    <row r="161" spans="1:31" ht="30" customHeight="1" x14ac:dyDescent="0.2">
      <c r="A161" s="19" t="str">
        <f>IF(F161="","",LEFT($D$3,3)&amp;"-"&amp;TEXT(COUNTIF(F$14:F161,"?*"),"00"))</f>
        <v/>
      </c>
      <c r="B161" s="5"/>
      <c r="C161" s="6" t="str">
        <f t="shared" si="24"/>
        <v/>
      </c>
      <c r="D161" s="5"/>
      <c r="E161" s="5"/>
      <c r="F161" s="5"/>
      <c r="G161" s="5"/>
      <c r="H161" s="5"/>
      <c r="I161" s="5"/>
      <c r="J161" s="5"/>
      <c r="K161" s="15"/>
      <c r="L161" s="5"/>
      <c r="M161" s="15"/>
      <c r="N161" s="5"/>
      <c r="O161" s="15"/>
      <c r="P161" s="19" t="str">
        <f t="shared" si="25"/>
        <v/>
      </c>
      <c r="Q161" s="19" t="str">
        <f t="shared" si="26"/>
        <v/>
      </c>
      <c r="R161" s="19" t="str">
        <f t="shared" si="27"/>
        <v/>
      </c>
      <c r="S161" s="5"/>
      <c r="T161" s="5"/>
      <c r="U161" s="5"/>
      <c r="V161" s="24"/>
      <c r="W161" s="15"/>
      <c r="X161" s="15"/>
      <c r="Y161" s="15"/>
      <c r="Z161" s="19" t="str">
        <f t="shared" si="28"/>
        <v/>
      </c>
      <c r="AA161" s="19" t="str">
        <f t="shared" si="29"/>
        <v/>
      </c>
      <c r="AB161" s="5"/>
      <c r="AC161" s="5"/>
      <c r="AE161" t="str">
        <f>IFERROR(INDEX(EqTag,_xlfn.AGGREGATE(15,6,(ROW(EqTag)-4)/((EqSys=$D$3)*(EqTag&lt;&gt;"")),ROWS($AE$14:AE161))),"")</f>
        <v/>
      </c>
    </row>
    <row r="162" spans="1:31" ht="30" customHeight="1" x14ac:dyDescent="0.2">
      <c r="A162" s="19" t="str">
        <f>IF(F162="","",LEFT($D$3,3)&amp;"-"&amp;TEXT(COUNTIF(F$14:F162,"?*"),"00"))</f>
        <v/>
      </c>
      <c r="B162" s="5"/>
      <c r="C162" s="6" t="str">
        <f t="shared" si="24"/>
        <v/>
      </c>
      <c r="D162" s="5"/>
      <c r="E162" s="5"/>
      <c r="F162" s="5"/>
      <c r="G162" s="5"/>
      <c r="H162" s="5"/>
      <c r="I162" s="5"/>
      <c r="J162" s="5"/>
      <c r="K162" s="15"/>
      <c r="L162" s="5"/>
      <c r="M162" s="15"/>
      <c r="N162" s="5"/>
      <c r="O162" s="15"/>
      <c r="P162" s="19" t="str">
        <f t="shared" si="25"/>
        <v/>
      </c>
      <c r="Q162" s="19" t="str">
        <f t="shared" si="26"/>
        <v/>
      </c>
      <c r="R162" s="19" t="str">
        <f t="shared" si="27"/>
        <v/>
      </c>
      <c r="S162" s="5"/>
      <c r="T162" s="5"/>
      <c r="U162" s="5"/>
      <c r="V162" s="24"/>
      <c r="W162" s="15"/>
      <c r="X162" s="15"/>
      <c r="Y162" s="15"/>
      <c r="Z162" s="19" t="str">
        <f t="shared" si="28"/>
        <v/>
      </c>
      <c r="AA162" s="19" t="str">
        <f t="shared" si="29"/>
        <v/>
      </c>
      <c r="AB162" s="5"/>
      <c r="AC162" s="5"/>
      <c r="AE162" t="str">
        <f>IFERROR(INDEX(EqTag,_xlfn.AGGREGATE(15,6,(ROW(EqTag)-4)/((EqSys=$D$3)*(EqTag&lt;&gt;"")),ROWS($AE$14:AE162))),"")</f>
        <v/>
      </c>
    </row>
    <row r="163" spans="1:31" ht="30" customHeight="1" x14ac:dyDescent="0.2">
      <c r="A163" s="19" t="str">
        <f>IF(F163="","",LEFT($D$3,3)&amp;"-"&amp;TEXT(COUNTIF(F$14:F163,"?*"),"00"))</f>
        <v/>
      </c>
      <c r="B163" s="5"/>
      <c r="C163" s="6" t="str">
        <f t="shared" si="24"/>
        <v/>
      </c>
      <c r="D163" s="5"/>
      <c r="E163" s="5"/>
      <c r="F163" s="5"/>
      <c r="G163" s="5"/>
      <c r="H163" s="5"/>
      <c r="I163" s="5"/>
      <c r="J163" s="5"/>
      <c r="K163" s="15"/>
      <c r="L163" s="5"/>
      <c r="M163" s="15"/>
      <c r="N163" s="5"/>
      <c r="O163" s="15"/>
      <c r="P163" s="19" t="str">
        <f t="shared" si="25"/>
        <v/>
      </c>
      <c r="Q163" s="19" t="str">
        <f t="shared" si="26"/>
        <v/>
      </c>
      <c r="R163" s="19" t="str">
        <f t="shared" si="27"/>
        <v/>
      </c>
      <c r="S163" s="5"/>
      <c r="T163" s="5"/>
      <c r="U163" s="5"/>
      <c r="V163" s="24"/>
      <c r="W163" s="15"/>
      <c r="X163" s="15"/>
      <c r="Y163" s="15"/>
      <c r="Z163" s="19" t="str">
        <f t="shared" si="28"/>
        <v/>
      </c>
      <c r="AA163" s="19" t="str">
        <f t="shared" si="29"/>
        <v/>
      </c>
      <c r="AB163" s="5"/>
      <c r="AC163" s="5"/>
      <c r="AE163" t="str">
        <f>IFERROR(INDEX(EqTag,_xlfn.AGGREGATE(15,6,(ROW(EqTag)-4)/((EqSys=$D$3)*(EqTag&lt;&gt;"")),ROWS($AE$14:AE163))),"")</f>
        <v/>
      </c>
    </row>
  </sheetData>
  <mergeCells count="22">
    <mergeCell ref="S12:V12"/>
    <mergeCell ref="D8:O8"/>
    <mergeCell ref="AB12:AC12"/>
    <mergeCell ref="K12:R12"/>
    <mergeCell ref="D5:O5"/>
    <mergeCell ref="W12:AA12"/>
    <mergeCell ref="A11:O11"/>
    <mergeCell ref="A7:C7"/>
    <mergeCell ref="D6:O6"/>
    <mergeCell ref="D3:J3"/>
    <mergeCell ref="A3:C3"/>
    <mergeCell ref="A12:F12"/>
    <mergeCell ref="D7:O7"/>
    <mergeCell ref="L3:M3"/>
    <mergeCell ref="A5:C5"/>
    <mergeCell ref="A8:C8"/>
    <mergeCell ref="G12:J12"/>
    <mergeCell ref="D4:O4"/>
    <mergeCell ref="D9:O9"/>
    <mergeCell ref="A4:C4"/>
    <mergeCell ref="A9:C9"/>
    <mergeCell ref="A6:C6"/>
  </mergeCells>
  <conditionalFormatting sqref="Q14:Q163">
    <cfRule type="expression" dxfId="44" priority="1">
      <formula>Q14="H"</formula>
    </cfRule>
    <cfRule type="expression" dxfId="43" priority="3">
      <formula>Q14="M"</formula>
    </cfRule>
    <cfRule type="expression" dxfId="42" priority="5">
      <formula>Q14="L"</formula>
    </cfRule>
  </conditionalFormatting>
  <conditionalFormatting sqref="AA14:AA163">
    <cfRule type="expression" dxfId="41" priority="2">
      <formula>AA14="H"</formula>
    </cfRule>
    <cfRule type="expression" dxfId="40" priority="4">
      <formula>AA14="M"</formula>
    </cfRule>
    <cfRule type="expression" dxfId="39" priority="6">
      <formula>AA14="L"</formula>
    </cfRule>
  </conditionalFormatting>
  <conditionalFormatting sqref="R14:R163">
    <cfRule type="expression" dxfId="38" priority="7">
      <formula>R14="Yes"</formula>
    </cfRule>
  </conditionalFormatting>
  <conditionalFormatting sqref="P14:P163">
    <cfRule type="expression" dxfId="37" priority="8">
      <formula>AND(ISNUMBER(P14),P14&gt;=RPNThr)</formula>
    </cfRule>
  </conditionalFormatting>
  <conditionalFormatting sqref="Z14:Z163">
    <cfRule type="expression" dxfId="36" priority="9">
      <formula>AND(ISNUMBER(Z14),Z14&gt;=RPNThr)</formula>
    </cfRule>
  </conditionalFormatting>
  <dataValidations count="10">
    <dataValidation type="list" allowBlank="1" showInputMessage="1" showErrorMessage="1" promptTitle="Select" prompt="Choose the system analysed on this sheet" sqref="D3" xr:uid="{00000000-0002-0000-0C00-000000000000}">
      <formula1>SystemList</formula1>
    </dataValidation>
    <dataValidation type="list" errorStyle="information" allowBlank="1" showInputMessage="1" showErrorMessage="1" errorTitle="Not in list" error="Entry is not in the list – it will be accepted as free text." promptTitle="Select" prompt="Equipment tags of the selected system (from the Equipment Register)" sqref="B14:B163" xr:uid="{00000000-0002-0000-0C00-000001000000}">
      <formula1>OFFSET($AE$14,0,0,MAX(1,COUNTIFS(EqSys,$D$3,EqTag,"?*")),1)</formula1>
    </dataValidation>
    <dataValidation type="list" errorStyle="information" allowBlank="1" showInputMessage="1" showErrorMessage="1" errorTitle="Not in list" error="Entry is not in the list – it will be accepted as free text." promptTitle="Select" prompt="Components for this equipment type – or type your own" sqref="D14:D163" xr:uid="{00000000-0002-0000-0C00-000002000000}">
      <formula1>OFFSET(CompStart,MATCH($C14,CompType,0)-1,0,MAX(1,COUNTIF(CompType,$C14)),1)</formula1>
    </dataValidation>
    <dataValidation type="list" errorStyle="information" allowBlank="1" showInputMessage="1" showErrorMessage="1" errorTitle="Not in list" error="Entry is not in the list – it will be accepted as free text." promptTitle="Select" prompt="Failure modes for this equipment type – or type your own" sqref="F14:F163" xr:uid="{00000000-0002-0000-0C00-000003000000}">
      <formula1>OFFSET(FMStart,MATCH($C14,FMType,0)-1,0,MAX(1,COUNTIF(FMType,$C14)),1)</formula1>
    </dataValidation>
    <dataValidation type="list" allowBlank="1" showInputMessage="1" promptTitle="Multi-select" prompt="Pick a cause – each pick is added as a new line; pick again to remove." sqref="G14:G163" xr:uid="{00000000-0002-0000-0C00-000004000000}">
      <formula1>MechList</formula1>
    </dataValidation>
    <dataValidation type="list" allowBlank="1" showInputMessage="1" promptTitle="Multi-select" prompt="Pick a detection method – each pick is added as a new line; pick again to remove." sqref="N14:N163" xr:uid="{00000000-0002-0000-0C00-000005000000}">
      <formula1>DetList</formula1>
    </dataValidation>
    <dataValidation type="list" errorStyle="information" allowBlank="1" showErrorMessage="1" errorTitle="Not in list" error="Entry is not in the list – it will be accepted as free text." sqref="T14:T163" xr:uid="{00000000-0002-0000-0C00-000006000000}">
      <formula1>TaskList</formula1>
    </dataValidation>
    <dataValidation type="list" allowBlank="1" showErrorMessage="1" sqref="K14:K163 W14:W163" xr:uid="{00000000-0002-0000-0C00-000007000000}">
      <formula1>SevList</formula1>
    </dataValidation>
    <dataValidation type="list" allowBlank="1" showErrorMessage="1" sqref="M14:M163 X14:X163" xr:uid="{00000000-0002-0000-0C00-000008000000}">
      <formula1>OccList</formula1>
    </dataValidation>
    <dataValidation type="list" allowBlank="1" showErrorMessage="1" sqref="O14:O163 Y14:Y163" xr:uid="{00000000-0002-0000-0C00-000009000000}">
      <formula1>DetScaleList</formula1>
    </dataValidation>
  </dataValidations>
  <pageMargins left="0.75" right="0.75" top="1" bottom="1" header="0.5" footer="0.5"/>
  <pageSetup paperSize="8" fitToHeight="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pageSetUpPr fitToPage="1"/>
  </sheetPr>
  <dimension ref="A1:AE163"/>
  <sheetViews>
    <sheetView workbookViewId="0">
      <pane xSplit="2" ySplit="13" topLeftCell="C14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7" customWidth="1"/>
    <col min="2" max="2" width="14" customWidth="1"/>
    <col min="3" max="4" width="22" customWidth="1"/>
    <col min="5" max="5" width="26" customWidth="1"/>
    <col min="6" max="6" width="28" customWidth="1"/>
    <col min="7" max="7" width="44" customWidth="1"/>
    <col min="8" max="9" width="28" customWidth="1"/>
    <col min="10" max="10" width="32" customWidth="1"/>
    <col min="11" max="11" width="18" customWidth="1"/>
    <col min="12" max="12" width="30" customWidth="1"/>
    <col min="13" max="13" width="18" customWidth="1"/>
    <col min="14" max="14" width="38" customWidth="1"/>
    <col min="15" max="15" width="18" customWidth="1"/>
    <col min="16" max="16" width="7" customWidth="1"/>
    <col min="17" max="17" width="6" customWidth="1"/>
    <col min="18" max="18" width="9" customWidth="1"/>
    <col min="19" max="19" width="34" customWidth="1"/>
    <col min="20" max="20" width="22" customWidth="1"/>
    <col min="21" max="21" width="14" customWidth="1"/>
    <col min="22" max="22" width="12" customWidth="1"/>
    <col min="23" max="25" width="18" customWidth="1"/>
    <col min="26" max="26" width="7" customWidth="1"/>
    <col min="27" max="27" width="6" customWidth="1"/>
    <col min="28" max="28" width="12" customWidth="1"/>
    <col min="29" max="29" width="24" customWidth="1"/>
    <col min="31" max="31" width="13" hidden="1" customWidth="1"/>
  </cols>
  <sheetData>
    <row r="1" spans="1:31" ht="18" x14ac:dyDescent="0.2">
      <c r="A1" s="21" t="s">
        <v>820</v>
      </c>
      <c r="F1" s="22" t="str">
        <f>Cover!B7</f>
        <v>FMECA – [Plant / Unit name]</v>
      </c>
    </row>
    <row r="3" spans="1:31" ht="16" x14ac:dyDescent="0.2">
      <c r="A3" s="28" t="s">
        <v>821</v>
      </c>
      <c r="B3" s="29"/>
      <c r="C3" s="30"/>
      <c r="D3" s="26"/>
      <c r="E3" s="27"/>
      <c r="F3" s="27"/>
      <c r="G3" s="27"/>
      <c r="H3" s="27"/>
      <c r="I3" s="27"/>
      <c r="J3" s="27"/>
      <c r="K3" s="23" t="s">
        <v>822</v>
      </c>
      <c r="L3" s="34"/>
      <c r="M3" s="27"/>
      <c r="N3" s="23" t="s">
        <v>823</v>
      </c>
      <c r="O3" s="19" t="str">
        <f>IF($D$3="","",COUNTIFS(EqSys,$D$3,EqTag,"?*"))</f>
        <v/>
      </c>
    </row>
    <row r="4" spans="1:31" ht="16" customHeight="1" x14ac:dyDescent="0.2">
      <c r="A4" s="35" t="s">
        <v>824</v>
      </c>
      <c r="B4" s="27"/>
      <c r="C4" s="27"/>
      <c r="D4" s="33" t="str">
        <f>IF($D$3="","",IFERROR(INDEX(Systems!$B$5:$B$34,MATCH($D$3,Systems!$C$5:$C$34,0))&amp;"",""))</f>
        <v/>
      </c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</row>
    <row r="5" spans="1:31" ht="30" customHeight="1" x14ac:dyDescent="0.2">
      <c r="A5" s="35" t="s">
        <v>140</v>
      </c>
      <c r="B5" s="27"/>
      <c r="C5" s="27"/>
      <c r="D5" s="33" t="str">
        <f>IF($D$3="","",IFERROR(INDEX(Systems!$D$5:$D$34,MATCH($D$3,Systems!$C$5:$C$34,0))&amp;"",""))</f>
        <v/>
      </c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</row>
    <row r="6" spans="1:31" ht="30" customHeight="1" x14ac:dyDescent="0.2">
      <c r="A6" s="35" t="s">
        <v>24</v>
      </c>
      <c r="B6" s="27"/>
      <c r="C6" s="27"/>
      <c r="D6" s="33" t="str">
        <f>IF($D$3="","",IFERROR(INDEX(Systems!$E$5:$E$34,MATCH($D$3,Systems!$C$5:$C$34,0))&amp;"",""))</f>
        <v/>
      </c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</row>
    <row r="7" spans="1:31" ht="30" customHeight="1" x14ac:dyDescent="0.2">
      <c r="A7" s="35" t="s">
        <v>142</v>
      </c>
      <c r="B7" s="27"/>
      <c r="C7" s="27"/>
      <c r="D7" s="33" t="str">
        <f>IF($D$3="","",IFERROR(INDEX(Systems!$F$5:$F$34,MATCH($D$3,Systems!$C$5:$C$34,0))&amp;"",""))</f>
        <v/>
      </c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</row>
    <row r="8" spans="1:31" ht="16" customHeight="1" x14ac:dyDescent="0.2">
      <c r="A8" s="35" t="s">
        <v>143</v>
      </c>
      <c r="B8" s="27"/>
      <c r="C8" s="27"/>
      <c r="D8" s="33" t="str">
        <f>IF($D$3="","",IFERROR(INDEX(Systems!$G$5:$G$34,MATCH($D$3,Systems!$C$5:$C$34,0))&amp;"",""))</f>
        <v/>
      </c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</row>
    <row r="9" spans="1:31" ht="16" customHeight="1" x14ac:dyDescent="0.2">
      <c r="A9" s="35" t="s">
        <v>144</v>
      </c>
      <c r="B9" s="27"/>
      <c r="C9" s="27"/>
      <c r="D9" s="33" t="str">
        <f>IF($D$3="","",IFERROR(INDEX(Systems!$H$5:$H$34,MATCH($D$3,Systems!$C$5:$C$34,0))&amp;"",""))</f>
        <v/>
      </c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</row>
    <row r="11" spans="1:31" ht="26" customHeight="1" x14ac:dyDescent="0.2">
      <c r="A11" s="36" t="s">
        <v>825</v>
      </c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</row>
    <row r="12" spans="1:31" x14ac:dyDescent="0.2">
      <c r="A12" s="31" t="s">
        <v>826</v>
      </c>
      <c r="B12" s="32"/>
      <c r="C12" s="32"/>
      <c r="D12" s="32"/>
      <c r="E12" s="32"/>
      <c r="F12" s="32"/>
      <c r="G12" s="31" t="s">
        <v>827</v>
      </c>
      <c r="H12" s="32"/>
      <c r="I12" s="32"/>
      <c r="J12" s="32"/>
      <c r="K12" s="31" t="s">
        <v>828</v>
      </c>
      <c r="L12" s="32"/>
      <c r="M12" s="32"/>
      <c r="N12" s="32"/>
      <c r="O12" s="32"/>
      <c r="P12" s="32"/>
      <c r="Q12" s="32"/>
      <c r="R12" s="32"/>
      <c r="S12" s="31" t="s">
        <v>829</v>
      </c>
      <c r="T12" s="32"/>
      <c r="U12" s="32"/>
      <c r="V12" s="32"/>
      <c r="W12" s="31" t="s">
        <v>830</v>
      </c>
      <c r="X12" s="32"/>
      <c r="Y12" s="32"/>
      <c r="Z12" s="32"/>
      <c r="AA12" s="32"/>
      <c r="AB12" s="31" t="s">
        <v>831</v>
      </c>
      <c r="AC12" s="32"/>
    </row>
    <row r="13" spans="1:31" ht="54" customHeight="1" x14ac:dyDescent="0.2">
      <c r="A13" s="8" t="s">
        <v>62</v>
      </c>
      <c r="B13" s="8" t="s">
        <v>192</v>
      </c>
      <c r="C13" s="8" t="s">
        <v>832</v>
      </c>
      <c r="D13" s="8" t="s">
        <v>260</v>
      </c>
      <c r="E13" s="8" t="s">
        <v>833</v>
      </c>
      <c r="F13" s="8" t="s">
        <v>261</v>
      </c>
      <c r="G13" s="8" t="s">
        <v>834</v>
      </c>
      <c r="H13" s="8" t="s">
        <v>835</v>
      </c>
      <c r="I13" s="8" t="s">
        <v>836</v>
      </c>
      <c r="J13" s="8" t="s">
        <v>837</v>
      </c>
      <c r="K13" s="8" t="s">
        <v>685</v>
      </c>
      <c r="L13" s="8" t="s">
        <v>838</v>
      </c>
      <c r="M13" s="8" t="s">
        <v>718</v>
      </c>
      <c r="N13" s="8" t="s">
        <v>839</v>
      </c>
      <c r="O13" s="8" t="s">
        <v>739</v>
      </c>
      <c r="P13" s="8" t="s">
        <v>840</v>
      </c>
      <c r="Q13" s="8" t="s">
        <v>841</v>
      </c>
      <c r="R13" s="8" t="s">
        <v>842</v>
      </c>
      <c r="S13" s="8" t="s">
        <v>843</v>
      </c>
      <c r="T13" s="8" t="s">
        <v>264</v>
      </c>
      <c r="U13" s="8" t="s">
        <v>844</v>
      </c>
      <c r="V13" s="8" t="s">
        <v>845</v>
      </c>
      <c r="W13" s="8" t="s">
        <v>685</v>
      </c>
      <c r="X13" s="8" t="s">
        <v>718</v>
      </c>
      <c r="Y13" s="8" t="s">
        <v>739</v>
      </c>
      <c r="Z13" s="8" t="s">
        <v>846</v>
      </c>
      <c r="AA13" s="8" t="s">
        <v>847</v>
      </c>
      <c r="AB13" s="8" t="s">
        <v>848</v>
      </c>
      <c r="AC13" s="8" t="s">
        <v>68</v>
      </c>
    </row>
    <row r="14" spans="1:31" ht="30" customHeight="1" x14ac:dyDescent="0.2">
      <c r="A14" s="19" t="str">
        <f>IF(F14="","",LEFT($D$3,3)&amp;"-"&amp;TEXT(COUNTIF(F$14:F14,"?*"),"00"))</f>
        <v/>
      </c>
      <c r="B14" s="5"/>
      <c r="C14" s="6" t="str">
        <f t="shared" ref="C14:C45" si="0">IF(B14="","",IFERROR(INDEX(EqTypeCol,MATCH(B14,EqTag,0)),"Tag not in register"))</f>
        <v/>
      </c>
      <c r="D14" s="5"/>
      <c r="E14" s="5"/>
      <c r="F14" s="5"/>
      <c r="G14" s="5"/>
      <c r="H14" s="5"/>
      <c r="I14" s="5"/>
      <c r="J14" s="5"/>
      <c r="K14" s="15"/>
      <c r="L14" s="5"/>
      <c r="M14" s="15"/>
      <c r="N14" s="5"/>
      <c r="O14" s="15"/>
      <c r="P14" s="19" t="str">
        <f t="shared" ref="P14:P45" si="1">IF(OR(K14="",M14="",O14=""),"",(--TRIM(LEFT(K14,2)))*(--TRIM(LEFT(M14,2)))*(--TRIM(LEFT(O14,2))))</f>
        <v/>
      </c>
      <c r="Q14" s="19" t="str">
        <f t="shared" ref="Q14:Q45" si="2">IF(OR(K14="",M14="",O14=""),"",INDEX(APGrid,COUNTIF(APS,"&gt;"&amp;(--TRIM(LEFT(K14,2))))*5+COUNTIF(APO,"&gt;"&amp;(--TRIM(LEFT(M14,2))))+1,COUNTIF(APD,"&gt;"&amp;(--TRIM(LEFT(O14,2))))+1))</f>
        <v/>
      </c>
      <c r="R14" s="19" t="str">
        <f t="shared" ref="R14:R45" si="3">IF(P14="","",IF(OR((--TRIM(LEFT(K14,2)))&gt;=SThr,P14&gt;=RPNThr,Q14="H"),"Yes","No"))</f>
        <v/>
      </c>
      <c r="S14" s="5"/>
      <c r="T14" s="5"/>
      <c r="U14" s="5"/>
      <c r="V14" s="24"/>
      <c r="W14" s="15"/>
      <c r="X14" s="15"/>
      <c r="Y14" s="15"/>
      <c r="Z14" s="19" t="str">
        <f t="shared" ref="Z14:Z45" si="4">IF(OR(W14="",X14="",Y14=""),"",(--TRIM(LEFT(W14,2)))*(--TRIM(LEFT(X14,2)))*(--TRIM(LEFT(Y14,2))))</f>
        <v/>
      </c>
      <c r="AA14" s="19" t="str">
        <f t="shared" ref="AA14:AA45" si="5">IF(OR(W14="",X14="",Y14=""),"",INDEX(APGrid,COUNTIF(APS,"&gt;"&amp;(--TRIM(LEFT(W14,2))))*5+COUNTIF(APO,"&gt;"&amp;(--TRIM(LEFT(X14,2))))+1,COUNTIF(APD,"&gt;"&amp;(--TRIM(LEFT(Y14,2))))+1))</f>
        <v/>
      </c>
      <c r="AB14" s="5"/>
      <c r="AC14" s="5"/>
      <c r="AE14" t="str">
        <f>IFERROR(INDEX(EqTag,_xlfn.AGGREGATE(15,6,(ROW(EqTag)-4)/((EqSys=$D$3)*(EqTag&lt;&gt;"")),ROWS($AE$14:AE14))),"")</f>
        <v/>
      </c>
    </row>
    <row r="15" spans="1:31" ht="30" customHeight="1" x14ac:dyDescent="0.2">
      <c r="A15" s="19" t="str">
        <f>IF(F15="","",LEFT($D$3,3)&amp;"-"&amp;TEXT(COUNTIF(F$14:F15,"?*"),"00"))</f>
        <v/>
      </c>
      <c r="B15" s="5"/>
      <c r="C15" s="6" t="str">
        <f t="shared" si="0"/>
        <v/>
      </c>
      <c r="D15" s="5"/>
      <c r="E15" s="5"/>
      <c r="F15" s="5"/>
      <c r="G15" s="5"/>
      <c r="H15" s="5"/>
      <c r="I15" s="5"/>
      <c r="J15" s="5"/>
      <c r="K15" s="15"/>
      <c r="L15" s="5"/>
      <c r="M15" s="15"/>
      <c r="N15" s="5"/>
      <c r="O15" s="15"/>
      <c r="P15" s="19" t="str">
        <f t="shared" si="1"/>
        <v/>
      </c>
      <c r="Q15" s="19" t="str">
        <f t="shared" si="2"/>
        <v/>
      </c>
      <c r="R15" s="19" t="str">
        <f t="shared" si="3"/>
        <v/>
      </c>
      <c r="S15" s="5"/>
      <c r="T15" s="5"/>
      <c r="U15" s="5"/>
      <c r="V15" s="24"/>
      <c r="W15" s="15"/>
      <c r="X15" s="15"/>
      <c r="Y15" s="15"/>
      <c r="Z15" s="19" t="str">
        <f t="shared" si="4"/>
        <v/>
      </c>
      <c r="AA15" s="19" t="str">
        <f t="shared" si="5"/>
        <v/>
      </c>
      <c r="AB15" s="5"/>
      <c r="AC15" s="5"/>
      <c r="AE15" t="str">
        <f>IFERROR(INDEX(EqTag,_xlfn.AGGREGATE(15,6,(ROW(EqTag)-4)/((EqSys=$D$3)*(EqTag&lt;&gt;"")),ROWS($AE$14:AE15))),"")</f>
        <v/>
      </c>
    </row>
    <row r="16" spans="1:31" ht="30" customHeight="1" x14ac:dyDescent="0.2">
      <c r="A16" s="19" t="str">
        <f>IF(F16="","",LEFT($D$3,3)&amp;"-"&amp;TEXT(COUNTIF(F$14:F16,"?*"),"00"))</f>
        <v/>
      </c>
      <c r="B16" s="5"/>
      <c r="C16" s="6" t="str">
        <f t="shared" si="0"/>
        <v/>
      </c>
      <c r="D16" s="5"/>
      <c r="E16" s="5"/>
      <c r="F16" s="5"/>
      <c r="G16" s="5"/>
      <c r="H16" s="5"/>
      <c r="I16" s="5"/>
      <c r="J16" s="5"/>
      <c r="K16" s="15"/>
      <c r="L16" s="5"/>
      <c r="M16" s="15"/>
      <c r="N16" s="5"/>
      <c r="O16" s="15"/>
      <c r="P16" s="19" t="str">
        <f t="shared" si="1"/>
        <v/>
      </c>
      <c r="Q16" s="19" t="str">
        <f t="shared" si="2"/>
        <v/>
      </c>
      <c r="R16" s="19" t="str">
        <f t="shared" si="3"/>
        <v/>
      </c>
      <c r="S16" s="5"/>
      <c r="T16" s="5"/>
      <c r="U16" s="5"/>
      <c r="V16" s="24"/>
      <c r="W16" s="15"/>
      <c r="X16" s="15"/>
      <c r="Y16" s="15"/>
      <c r="Z16" s="19" t="str">
        <f t="shared" si="4"/>
        <v/>
      </c>
      <c r="AA16" s="19" t="str">
        <f t="shared" si="5"/>
        <v/>
      </c>
      <c r="AB16" s="5"/>
      <c r="AC16" s="5"/>
      <c r="AE16" t="str">
        <f>IFERROR(INDEX(EqTag,_xlfn.AGGREGATE(15,6,(ROW(EqTag)-4)/((EqSys=$D$3)*(EqTag&lt;&gt;"")),ROWS($AE$14:AE16))),"")</f>
        <v/>
      </c>
    </row>
    <row r="17" spans="1:31" ht="30" customHeight="1" x14ac:dyDescent="0.2">
      <c r="A17" s="19" t="str">
        <f>IF(F17="","",LEFT($D$3,3)&amp;"-"&amp;TEXT(COUNTIF(F$14:F17,"?*"),"00"))</f>
        <v/>
      </c>
      <c r="B17" s="5"/>
      <c r="C17" s="6" t="str">
        <f t="shared" si="0"/>
        <v/>
      </c>
      <c r="D17" s="5"/>
      <c r="E17" s="5"/>
      <c r="F17" s="5"/>
      <c r="G17" s="5"/>
      <c r="H17" s="5"/>
      <c r="I17" s="5"/>
      <c r="J17" s="5"/>
      <c r="K17" s="15"/>
      <c r="L17" s="5"/>
      <c r="M17" s="15"/>
      <c r="N17" s="5"/>
      <c r="O17" s="15"/>
      <c r="P17" s="19" t="str">
        <f t="shared" si="1"/>
        <v/>
      </c>
      <c r="Q17" s="19" t="str">
        <f t="shared" si="2"/>
        <v/>
      </c>
      <c r="R17" s="19" t="str">
        <f t="shared" si="3"/>
        <v/>
      </c>
      <c r="S17" s="5"/>
      <c r="T17" s="5"/>
      <c r="U17" s="5"/>
      <c r="V17" s="24"/>
      <c r="W17" s="15"/>
      <c r="X17" s="15"/>
      <c r="Y17" s="15"/>
      <c r="Z17" s="19" t="str">
        <f t="shared" si="4"/>
        <v/>
      </c>
      <c r="AA17" s="19" t="str">
        <f t="shared" si="5"/>
        <v/>
      </c>
      <c r="AB17" s="5"/>
      <c r="AC17" s="5"/>
      <c r="AE17" t="str">
        <f>IFERROR(INDEX(EqTag,_xlfn.AGGREGATE(15,6,(ROW(EqTag)-4)/((EqSys=$D$3)*(EqTag&lt;&gt;"")),ROWS($AE$14:AE17))),"")</f>
        <v/>
      </c>
    </row>
    <row r="18" spans="1:31" ht="30" customHeight="1" x14ac:dyDescent="0.2">
      <c r="A18" s="19" t="str">
        <f>IF(F18="","",LEFT($D$3,3)&amp;"-"&amp;TEXT(COUNTIF(F$14:F18,"?*"),"00"))</f>
        <v/>
      </c>
      <c r="B18" s="5"/>
      <c r="C18" s="6" t="str">
        <f t="shared" si="0"/>
        <v/>
      </c>
      <c r="D18" s="5"/>
      <c r="E18" s="5"/>
      <c r="F18" s="5"/>
      <c r="G18" s="5"/>
      <c r="H18" s="5"/>
      <c r="I18" s="5"/>
      <c r="J18" s="5"/>
      <c r="K18" s="15"/>
      <c r="L18" s="5"/>
      <c r="M18" s="15"/>
      <c r="N18" s="5"/>
      <c r="O18" s="15"/>
      <c r="P18" s="19" t="str">
        <f t="shared" si="1"/>
        <v/>
      </c>
      <c r="Q18" s="19" t="str">
        <f t="shared" si="2"/>
        <v/>
      </c>
      <c r="R18" s="19" t="str">
        <f t="shared" si="3"/>
        <v/>
      </c>
      <c r="S18" s="5"/>
      <c r="T18" s="5"/>
      <c r="U18" s="5"/>
      <c r="V18" s="24"/>
      <c r="W18" s="15"/>
      <c r="X18" s="15"/>
      <c r="Y18" s="15"/>
      <c r="Z18" s="19" t="str">
        <f t="shared" si="4"/>
        <v/>
      </c>
      <c r="AA18" s="19" t="str">
        <f t="shared" si="5"/>
        <v/>
      </c>
      <c r="AB18" s="5"/>
      <c r="AC18" s="5"/>
      <c r="AE18" t="str">
        <f>IFERROR(INDEX(EqTag,_xlfn.AGGREGATE(15,6,(ROW(EqTag)-4)/((EqSys=$D$3)*(EqTag&lt;&gt;"")),ROWS($AE$14:AE18))),"")</f>
        <v/>
      </c>
    </row>
    <row r="19" spans="1:31" ht="30" customHeight="1" x14ac:dyDescent="0.2">
      <c r="A19" s="19" t="str">
        <f>IF(F19="","",LEFT($D$3,3)&amp;"-"&amp;TEXT(COUNTIF(F$14:F19,"?*"),"00"))</f>
        <v/>
      </c>
      <c r="B19" s="5"/>
      <c r="C19" s="6" t="str">
        <f t="shared" si="0"/>
        <v/>
      </c>
      <c r="D19" s="5"/>
      <c r="E19" s="5"/>
      <c r="F19" s="5"/>
      <c r="G19" s="5"/>
      <c r="H19" s="5"/>
      <c r="I19" s="5"/>
      <c r="J19" s="5"/>
      <c r="K19" s="15"/>
      <c r="L19" s="5"/>
      <c r="M19" s="15"/>
      <c r="N19" s="5"/>
      <c r="O19" s="15"/>
      <c r="P19" s="19" t="str">
        <f t="shared" si="1"/>
        <v/>
      </c>
      <c r="Q19" s="19" t="str">
        <f t="shared" si="2"/>
        <v/>
      </c>
      <c r="R19" s="19" t="str">
        <f t="shared" si="3"/>
        <v/>
      </c>
      <c r="S19" s="5"/>
      <c r="T19" s="5"/>
      <c r="U19" s="5"/>
      <c r="V19" s="24"/>
      <c r="W19" s="15"/>
      <c r="X19" s="15"/>
      <c r="Y19" s="15"/>
      <c r="Z19" s="19" t="str">
        <f t="shared" si="4"/>
        <v/>
      </c>
      <c r="AA19" s="19" t="str">
        <f t="shared" si="5"/>
        <v/>
      </c>
      <c r="AB19" s="5"/>
      <c r="AC19" s="5"/>
      <c r="AE19" t="str">
        <f>IFERROR(INDEX(EqTag,_xlfn.AGGREGATE(15,6,(ROW(EqTag)-4)/((EqSys=$D$3)*(EqTag&lt;&gt;"")),ROWS($AE$14:AE19))),"")</f>
        <v/>
      </c>
    </row>
    <row r="20" spans="1:31" ht="30" customHeight="1" x14ac:dyDescent="0.2">
      <c r="A20" s="19" t="str">
        <f>IF(F20="","",LEFT($D$3,3)&amp;"-"&amp;TEXT(COUNTIF(F$14:F20,"?*"),"00"))</f>
        <v/>
      </c>
      <c r="B20" s="5"/>
      <c r="C20" s="6" t="str">
        <f t="shared" si="0"/>
        <v/>
      </c>
      <c r="D20" s="5"/>
      <c r="E20" s="5"/>
      <c r="F20" s="5"/>
      <c r="G20" s="5"/>
      <c r="H20" s="5"/>
      <c r="I20" s="5"/>
      <c r="J20" s="5"/>
      <c r="K20" s="15"/>
      <c r="L20" s="5"/>
      <c r="M20" s="15"/>
      <c r="N20" s="5"/>
      <c r="O20" s="15"/>
      <c r="P20" s="19" t="str">
        <f t="shared" si="1"/>
        <v/>
      </c>
      <c r="Q20" s="19" t="str">
        <f t="shared" si="2"/>
        <v/>
      </c>
      <c r="R20" s="19" t="str">
        <f t="shared" si="3"/>
        <v/>
      </c>
      <c r="S20" s="5"/>
      <c r="T20" s="5"/>
      <c r="U20" s="5"/>
      <c r="V20" s="24"/>
      <c r="W20" s="15"/>
      <c r="X20" s="15"/>
      <c r="Y20" s="15"/>
      <c r="Z20" s="19" t="str">
        <f t="shared" si="4"/>
        <v/>
      </c>
      <c r="AA20" s="19" t="str">
        <f t="shared" si="5"/>
        <v/>
      </c>
      <c r="AB20" s="5"/>
      <c r="AC20" s="5"/>
      <c r="AE20" t="str">
        <f>IFERROR(INDEX(EqTag,_xlfn.AGGREGATE(15,6,(ROW(EqTag)-4)/((EqSys=$D$3)*(EqTag&lt;&gt;"")),ROWS($AE$14:AE20))),"")</f>
        <v/>
      </c>
    </row>
    <row r="21" spans="1:31" ht="30" customHeight="1" x14ac:dyDescent="0.2">
      <c r="A21" s="19" t="str">
        <f>IF(F21="","",LEFT($D$3,3)&amp;"-"&amp;TEXT(COUNTIF(F$14:F21,"?*"),"00"))</f>
        <v/>
      </c>
      <c r="B21" s="5"/>
      <c r="C21" s="6" t="str">
        <f t="shared" si="0"/>
        <v/>
      </c>
      <c r="D21" s="5"/>
      <c r="E21" s="5"/>
      <c r="F21" s="5"/>
      <c r="G21" s="5"/>
      <c r="H21" s="5"/>
      <c r="I21" s="5"/>
      <c r="J21" s="5"/>
      <c r="K21" s="15"/>
      <c r="L21" s="5"/>
      <c r="M21" s="15"/>
      <c r="N21" s="5"/>
      <c r="O21" s="15"/>
      <c r="P21" s="19" t="str">
        <f t="shared" si="1"/>
        <v/>
      </c>
      <c r="Q21" s="19" t="str">
        <f t="shared" si="2"/>
        <v/>
      </c>
      <c r="R21" s="19" t="str">
        <f t="shared" si="3"/>
        <v/>
      </c>
      <c r="S21" s="5"/>
      <c r="T21" s="5"/>
      <c r="U21" s="5"/>
      <c r="V21" s="24"/>
      <c r="W21" s="15"/>
      <c r="X21" s="15"/>
      <c r="Y21" s="15"/>
      <c r="Z21" s="19" t="str">
        <f t="shared" si="4"/>
        <v/>
      </c>
      <c r="AA21" s="19" t="str">
        <f t="shared" si="5"/>
        <v/>
      </c>
      <c r="AB21" s="5"/>
      <c r="AC21" s="5"/>
      <c r="AE21" t="str">
        <f>IFERROR(INDEX(EqTag,_xlfn.AGGREGATE(15,6,(ROW(EqTag)-4)/((EqSys=$D$3)*(EqTag&lt;&gt;"")),ROWS($AE$14:AE21))),"")</f>
        <v/>
      </c>
    </row>
    <row r="22" spans="1:31" ht="30" customHeight="1" x14ac:dyDescent="0.2">
      <c r="A22" s="19" t="str">
        <f>IF(F22="","",LEFT($D$3,3)&amp;"-"&amp;TEXT(COUNTIF(F$14:F22,"?*"),"00"))</f>
        <v/>
      </c>
      <c r="B22" s="5"/>
      <c r="C22" s="6" t="str">
        <f t="shared" si="0"/>
        <v/>
      </c>
      <c r="D22" s="5"/>
      <c r="E22" s="5"/>
      <c r="F22" s="5"/>
      <c r="G22" s="5"/>
      <c r="H22" s="5"/>
      <c r="I22" s="5"/>
      <c r="J22" s="5"/>
      <c r="K22" s="15"/>
      <c r="L22" s="5"/>
      <c r="M22" s="15"/>
      <c r="N22" s="5"/>
      <c r="O22" s="15"/>
      <c r="P22" s="19" t="str">
        <f t="shared" si="1"/>
        <v/>
      </c>
      <c r="Q22" s="19" t="str">
        <f t="shared" si="2"/>
        <v/>
      </c>
      <c r="R22" s="19" t="str">
        <f t="shared" si="3"/>
        <v/>
      </c>
      <c r="S22" s="5"/>
      <c r="T22" s="5"/>
      <c r="U22" s="5"/>
      <c r="V22" s="24"/>
      <c r="W22" s="15"/>
      <c r="X22" s="15"/>
      <c r="Y22" s="15"/>
      <c r="Z22" s="19" t="str">
        <f t="shared" si="4"/>
        <v/>
      </c>
      <c r="AA22" s="19" t="str">
        <f t="shared" si="5"/>
        <v/>
      </c>
      <c r="AB22" s="5"/>
      <c r="AC22" s="5"/>
      <c r="AE22" t="str">
        <f>IFERROR(INDEX(EqTag,_xlfn.AGGREGATE(15,6,(ROW(EqTag)-4)/((EqSys=$D$3)*(EqTag&lt;&gt;"")),ROWS($AE$14:AE22))),"")</f>
        <v/>
      </c>
    </row>
    <row r="23" spans="1:31" ht="30" customHeight="1" x14ac:dyDescent="0.2">
      <c r="A23" s="19" t="str">
        <f>IF(F23="","",LEFT($D$3,3)&amp;"-"&amp;TEXT(COUNTIF(F$14:F23,"?*"),"00"))</f>
        <v/>
      </c>
      <c r="B23" s="5"/>
      <c r="C23" s="6" t="str">
        <f t="shared" si="0"/>
        <v/>
      </c>
      <c r="D23" s="5"/>
      <c r="E23" s="5"/>
      <c r="F23" s="5"/>
      <c r="G23" s="5"/>
      <c r="H23" s="5"/>
      <c r="I23" s="5"/>
      <c r="J23" s="5"/>
      <c r="K23" s="15"/>
      <c r="L23" s="5"/>
      <c r="M23" s="15"/>
      <c r="N23" s="5"/>
      <c r="O23" s="15"/>
      <c r="P23" s="19" t="str">
        <f t="shared" si="1"/>
        <v/>
      </c>
      <c r="Q23" s="19" t="str">
        <f t="shared" si="2"/>
        <v/>
      </c>
      <c r="R23" s="19" t="str">
        <f t="shared" si="3"/>
        <v/>
      </c>
      <c r="S23" s="5"/>
      <c r="T23" s="5"/>
      <c r="U23" s="5"/>
      <c r="V23" s="24"/>
      <c r="W23" s="15"/>
      <c r="X23" s="15"/>
      <c r="Y23" s="15"/>
      <c r="Z23" s="19" t="str">
        <f t="shared" si="4"/>
        <v/>
      </c>
      <c r="AA23" s="19" t="str">
        <f t="shared" si="5"/>
        <v/>
      </c>
      <c r="AB23" s="5"/>
      <c r="AC23" s="5"/>
      <c r="AE23" t="str">
        <f>IFERROR(INDEX(EqTag,_xlfn.AGGREGATE(15,6,(ROW(EqTag)-4)/((EqSys=$D$3)*(EqTag&lt;&gt;"")),ROWS($AE$14:AE23))),"")</f>
        <v/>
      </c>
    </row>
    <row r="24" spans="1:31" ht="30" customHeight="1" x14ac:dyDescent="0.2">
      <c r="A24" s="19" t="str">
        <f>IF(F24="","",LEFT($D$3,3)&amp;"-"&amp;TEXT(COUNTIF(F$14:F24,"?*"),"00"))</f>
        <v/>
      </c>
      <c r="B24" s="5"/>
      <c r="C24" s="6" t="str">
        <f t="shared" si="0"/>
        <v/>
      </c>
      <c r="D24" s="5"/>
      <c r="E24" s="5"/>
      <c r="F24" s="5"/>
      <c r="G24" s="5"/>
      <c r="H24" s="5"/>
      <c r="I24" s="5"/>
      <c r="J24" s="5"/>
      <c r="K24" s="15"/>
      <c r="L24" s="5"/>
      <c r="M24" s="15"/>
      <c r="N24" s="5"/>
      <c r="O24" s="15"/>
      <c r="P24" s="19" t="str">
        <f t="shared" si="1"/>
        <v/>
      </c>
      <c r="Q24" s="19" t="str">
        <f t="shared" si="2"/>
        <v/>
      </c>
      <c r="R24" s="19" t="str">
        <f t="shared" si="3"/>
        <v/>
      </c>
      <c r="S24" s="5"/>
      <c r="T24" s="5"/>
      <c r="U24" s="5"/>
      <c r="V24" s="24"/>
      <c r="W24" s="15"/>
      <c r="X24" s="15"/>
      <c r="Y24" s="15"/>
      <c r="Z24" s="19" t="str">
        <f t="shared" si="4"/>
        <v/>
      </c>
      <c r="AA24" s="19" t="str">
        <f t="shared" si="5"/>
        <v/>
      </c>
      <c r="AB24" s="5"/>
      <c r="AC24" s="5"/>
      <c r="AE24" t="str">
        <f>IFERROR(INDEX(EqTag,_xlfn.AGGREGATE(15,6,(ROW(EqTag)-4)/((EqSys=$D$3)*(EqTag&lt;&gt;"")),ROWS($AE$14:AE24))),"")</f>
        <v/>
      </c>
    </row>
    <row r="25" spans="1:31" ht="30" customHeight="1" x14ac:dyDescent="0.2">
      <c r="A25" s="19" t="str">
        <f>IF(F25="","",LEFT($D$3,3)&amp;"-"&amp;TEXT(COUNTIF(F$14:F25,"?*"),"00"))</f>
        <v/>
      </c>
      <c r="B25" s="5"/>
      <c r="C25" s="6" t="str">
        <f t="shared" si="0"/>
        <v/>
      </c>
      <c r="D25" s="5"/>
      <c r="E25" s="5"/>
      <c r="F25" s="5"/>
      <c r="G25" s="5"/>
      <c r="H25" s="5"/>
      <c r="I25" s="5"/>
      <c r="J25" s="5"/>
      <c r="K25" s="15"/>
      <c r="L25" s="5"/>
      <c r="M25" s="15"/>
      <c r="N25" s="5"/>
      <c r="O25" s="15"/>
      <c r="P25" s="19" t="str">
        <f t="shared" si="1"/>
        <v/>
      </c>
      <c r="Q25" s="19" t="str">
        <f t="shared" si="2"/>
        <v/>
      </c>
      <c r="R25" s="19" t="str">
        <f t="shared" si="3"/>
        <v/>
      </c>
      <c r="S25" s="5"/>
      <c r="T25" s="5"/>
      <c r="U25" s="5"/>
      <c r="V25" s="24"/>
      <c r="W25" s="15"/>
      <c r="X25" s="15"/>
      <c r="Y25" s="15"/>
      <c r="Z25" s="19" t="str">
        <f t="shared" si="4"/>
        <v/>
      </c>
      <c r="AA25" s="19" t="str">
        <f t="shared" si="5"/>
        <v/>
      </c>
      <c r="AB25" s="5"/>
      <c r="AC25" s="5"/>
      <c r="AE25" t="str">
        <f>IFERROR(INDEX(EqTag,_xlfn.AGGREGATE(15,6,(ROW(EqTag)-4)/((EqSys=$D$3)*(EqTag&lt;&gt;"")),ROWS($AE$14:AE25))),"")</f>
        <v/>
      </c>
    </row>
    <row r="26" spans="1:31" ht="30" customHeight="1" x14ac:dyDescent="0.2">
      <c r="A26" s="19" t="str">
        <f>IF(F26="","",LEFT($D$3,3)&amp;"-"&amp;TEXT(COUNTIF(F$14:F26,"?*"),"00"))</f>
        <v/>
      </c>
      <c r="B26" s="5"/>
      <c r="C26" s="6" t="str">
        <f t="shared" si="0"/>
        <v/>
      </c>
      <c r="D26" s="5"/>
      <c r="E26" s="5"/>
      <c r="F26" s="5"/>
      <c r="G26" s="5"/>
      <c r="H26" s="5"/>
      <c r="I26" s="5"/>
      <c r="J26" s="5"/>
      <c r="K26" s="15"/>
      <c r="L26" s="5"/>
      <c r="M26" s="15"/>
      <c r="N26" s="5"/>
      <c r="O26" s="15"/>
      <c r="P26" s="19" t="str">
        <f t="shared" si="1"/>
        <v/>
      </c>
      <c r="Q26" s="19" t="str">
        <f t="shared" si="2"/>
        <v/>
      </c>
      <c r="R26" s="19" t="str">
        <f t="shared" si="3"/>
        <v/>
      </c>
      <c r="S26" s="5"/>
      <c r="T26" s="5"/>
      <c r="U26" s="5"/>
      <c r="V26" s="24"/>
      <c r="W26" s="15"/>
      <c r="X26" s="15"/>
      <c r="Y26" s="15"/>
      <c r="Z26" s="19" t="str">
        <f t="shared" si="4"/>
        <v/>
      </c>
      <c r="AA26" s="19" t="str">
        <f t="shared" si="5"/>
        <v/>
      </c>
      <c r="AB26" s="5"/>
      <c r="AC26" s="5"/>
      <c r="AE26" t="str">
        <f>IFERROR(INDEX(EqTag,_xlfn.AGGREGATE(15,6,(ROW(EqTag)-4)/((EqSys=$D$3)*(EqTag&lt;&gt;"")),ROWS($AE$14:AE26))),"")</f>
        <v/>
      </c>
    </row>
    <row r="27" spans="1:31" ht="30" customHeight="1" x14ac:dyDescent="0.2">
      <c r="A27" s="19" t="str">
        <f>IF(F27="","",LEFT($D$3,3)&amp;"-"&amp;TEXT(COUNTIF(F$14:F27,"?*"),"00"))</f>
        <v/>
      </c>
      <c r="B27" s="5"/>
      <c r="C27" s="6" t="str">
        <f t="shared" si="0"/>
        <v/>
      </c>
      <c r="D27" s="5"/>
      <c r="E27" s="5"/>
      <c r="F27" s="5"/>
      <c r="G27" s="5"/>
      <c r="H27" s="5"/>
      <c r="I27" s="5"/>
      <c r="J27" s="5"/>
      <c r="K27" s="15"/>
      <c r="L27" s="5"/>
      <c r="M27" s="15"/>
      <c r="N27" s="5"/>
      <c r="O27" s="15"/>
      <c r="P27" s="19" t="str">
        <f t="shared" si="1"/>
        <v/>
      </c>
      <c r="Q27" s="19" t="str">
        <f t="shared" si="2"/>
        <v/>
      </c>
      <c r="R27" s="19" t="str">
        <f t="shared" si="3"/>
        <v/>
      </c>
      <c r="S27" s="5"/>
      <c r="T27" s="5"/>
      <c r="U27" s="5"/>
      <c r="V27" s="24"/>
      <c r="W27" s="15"/>
      <c r="X27" s="15"/>
      <c r="Y27" s="15"/>
      <c r="Z27" s="19" t="str">
        <f t="shared" si="4"/>
        <v/>
      </c>
      <c r="AA27" s="19" t="str">
        <f t="shared" si="5"/>
        <v/>
      </c>
      <c r="AB27" s="5"/>
      <c r="AC27" s="5"/>
      <c r="AE27" t="str">
        <f>IFERROR(INDEX(EqTag,_xlfn.AGGREGATE(15,6,(ROW(EqTag)-4)/((EqSys=$D$3)*(EqTag&lt;&gt;"")),ROWS($AE$14:AE27))),"")</f>
        <v/>
      </c>
    </row>
    <row r="28" spans="1:31" ht="30" customHeight="1" x14ac:dyDescent="0.2">
      <c r="A28" s="19" t="str">
        <f>IF(F28="","",LEFT($D$3,3)&amp;"-"&amp;TEXT(COUNTIF(F$14:F28,"?*"),"00"))</f>
        <v/>
      </c>
      <c r="B28" s="5"/>
      <c r="C28" s="6" t="str">
        <f t="shared" si="0"/>
        <v/>
      </c>
      <c r="D28" s="5"/>
      <c r="E28" s="5"/>
      <c r="F28" s="5"/>
      <c r="G28" s="5"/>
      <c r="H28" s="5"/>
      <c r="I28" s="5"/>
      <c r="J28" s="5"/>
      <c r="K28" s="15"/>
      <c r="L28" s="5"/>
      <c r="M28" s="15"/>
      <c r="N28" s="5"/>
      <c r="O28" s="15"/>
      <c r="P28" s="19" t="str">
        <f t="shared" si="1"/>
        <v/>
      </c>
      <c r="Q28" s="19" t="str">
        <f t="shared" si="2"/>
        <v/>
      </c>
      <c r="R28" s="19" t="str">
        <f t="shared" si="3"/>
        <v/>
      </c>
      <c r="S28" s="5"/>
      <c r="T28" s="5"/>
      <c r="U28" s="5"/>
      <c r="V28" s="24"/>
      <c r="W28" s="15"/>
      <c r="X28" s="15"/>
      <c r="Y28" s="15"/>
      <c r="Z28" s="19" t="str">
        <f t="shared" si="4"/>
        <v/>
      </c>
      <c r="AA28" s="19" t="str">
        <f t="shared" si="5"/>
        <v/>
      </c>
      <c r="AB28" s="5"/>
      <c r="AC28" s="5"/>
      <c r="AE28" t="str">
        <f>IFERROR(INDEX(EqTag,_xlfn.AGGREGATE(15,6,(ROW(EqTag)-4)/((EqSys=$D$3)*(EqTag&lt;&gt;"")),ROWS($AE$14:AE28))),"")</f>
        <v/>
      </c>
    </row>
    <row r="29" spans="1:31" ht="30" customHeight="1" x14ac:dyDescent="0.2">
      <c r="A29" s="19" t="str">
        <f>IF(F29="","",LEFT($D$3,3)&amp;"-"&amp;TEXT(COUNTIF(F$14:F29,"?*"),"00"))</f>
        <v/>
      </c>
      <c r="B29" s="5"/>
      <c r="C29" s="6" t="str">
        <f t="shared" si="0"/>
        <v/>
      </c>
      <c r="D29" s="5"/>
      <c r="E29" s="5"/>
      <c r="F29" s="5"/>
      <c r="G29" s="5"/>
      <c r="H29" s="5"/>
      <c r="I29" s="5"/>
      <c r="J29" s="5"/>
      <c r="K29" s="15"/>
      <c r="L29" s="5"/>
      <c r="M29" s="15"/>
      <c r="N29" s="5"/>
      <c r="O29" s="15"/>
      <c r="P29" s="19" t="str">
        <f t="shared" si="1"/>
        <v/>
      </c>
      <c r="Q29" s="19" t="str">
        <f t="shared" si="2"/>
        <v/>
      </c>
      <c r="R29" s="19" t="str">
        <f t="shared" si="3"/>
        <v/>
      </c>
      <c r="S29" s="5"/>
      <c r="T29" s="5"/>
      <c r="U29" s="5"/>
      <c r="V29" s="24"/>
      <c r="W29" s="15"/>
      <c r="X29" s="15"/>
      <c r="Y29" s="15"/>
      <c r="Z29" s="19" t="str">
        <f t="shared" si="4"/>
        <v/>
      </c>
      <c r="AA29" s="19" t="str">
        <f t="shared" si="5"/>
        <v/>
      </c>
      <c r="AB29" s="5"/>
      <c r="AC29" s="5"/>
      <c r="AE29" t="str">
        <f>IFERROR(INDEX(EqTag,_xlfn.AGGREGATE(15,6,(ROW(EqTag)-4)/((EqSys=$D$3)*(EqTag&lt;&gt;"")),ROWS($AE$14:AE29))),"")</f>
        <v/>
      </c>
    </row>
    <row r="30" spans="1:31" ht="30" customHeight="1" x14ac:dyDescent="0.2">
      <c r="A30" s="19" t="str">
        <f>IF(F30="","",LEFT($D$3,3)&amp;"-"&amp;TEXT(COUNTIF(F$14:F30,"?*"),"00"))</f>
        <v/>
      </c>
      <c r="B30" s="5"/>
      <c r="C30" s="6" t="str">
        <f t="shared" si="0"/>
        <v/>
      </c>
      <c r="D30" s="5"/>
      <c r="E30" s="5"/>
      <c r="F30" s="5"/>
      <c r="G30" s="5"/>
      <c r="H30" s="5"/>
      <c r="I30" s="5"/>
      <c r="J30" s="5"/>
      <c r="K30" s="15"/>
      <c r="L30" s="5"/>
      <c r="M30" s="15"/>
      <c r="N30" s="5"/>
      <c r="O30" s="15"/>
      <c r="P30" s="19" t="str">
        <f t="shared" si="1"/>
        <v/>
      </c>
      <c r="Q30" s="19" t="str">
        <f t="shared" si="2"/>
        <v/>
      </c>
      <c r="R30" s="19" t="str">
        <f t="shared" si="3"/>
        <v/>
      </c>
      <c r="S30" s="5"/>
      <c r="T30" s="5"/>
      <c r="U30" s="5"/>
      <c r="V30" s="24"/>
      <c r="W30" s="15"/>
      <c r="X30" s="15"/>
      <c r="Y30" s="15"/>
      <c r="Z30" s="19" t="str">
        <f t="shared" si="4"/>
        <v/>
      </c>
      <c r="AA30" s="19" t="str">
        <f t="shared" si="5"/>
        <v/>
      </c>
      <c r="AB30" s="5"/>
      <c r="AC30" s="5"/>
      <c r="AE30" t="str">
        <f>IFERROR(INDEX(EqTag,_xlfn.AGGREGATE(15,6,(ROW(EqTag)-4)/((EqSys=$D$3)*(EqTag&lt;&gt;"")),ROWS($AE$14:AE30))),"")</f>
        <v/>
      </c>
    </row>
    <row r="31" spans="1:31" ht="30" customHeight="1" x14ac:dyDescent="0.2">
      <c r="A31" s="19" t="str">
        <f>IF(F31="","",LEFT($D$3,3)&amp;"-"&amp;TEXT(COUNTIF(F$14:F31,"?*"),"00"))</f>
        <v/>
      </c>
      <c r="B31" s="5"/>
      <c r="C31" s="6" t="str">
        <f t="shared" si="0"/>
        <v/>
      </c>
      <c r="D31" s="5"/>
      <c r="E31" s="5"/>
      <c r="F31" s="5"/>
      <c r="G31" s="5"/>
      <c r="H31" s="5"/>
      <c r="I31" s="5"/>
      <c r="J31" s="5"/>
      <c r="K31" s="15"/>
      <c r="L31" s="5"/>
      <c r="M31" s="15"/>
      <c r="N31" s="5"/>
      <c r="O31" s="15"/>
      <c r="P31" s="19" t="str">
        <f t="shared" si="1"/>
        <v/>
      </c>
      <c r="Q31" s="19" t="str">
        <f t="shared" si="2"/>
        <v/>
      </c>
      <c r="R31" s="19" t="str">
        <f t="shared" si="3"/>
        <v/>
      </c>
      <c r="S31" s="5"/>
      <c r="T31" s="5"/>
      <c r="U31" s="5"/>
      <c r="V31" s="24"/>
      <c r="W31" s="15"/>
      <c r="X31" s="15"/>
      <c r="Y31" s="15"/>
      <c r="Z31" s="19" t="str">
        <f t="shared" si="4"/>
        <v/>
      </c>
      <c r="AA31" s="19" t="str">
        <f t="shared" si="5"/>
        <v/>
      </c>
      <c r="AB31" s="5"/>
      <c r="AC31" s="5"/>
      <c r="AE31" t="str">
        <f>IFERROR(INDEX(EqTag,_xlfn.AGGREGATE(15,6,(ROW(EqTag)-4)/((EqSys=$D$3)*(EqTag&lt;&gt;"")),ROWS($AE$14:AE31))),"")</f>
        <v/>
      </c>
    </row>
    <row r="32" spans="1:31" ht="30" customHeight="1" x14ac:dyDescent="0.2">
      <c r="A32" s="19" t="str">
        <f>IF(F32="","",LEFT($D$3,3)&amp;"-"&amp;TEXT(COUNTIF(F$14:F32,"?*"),"00"))</f>
        <v/>
      </c>
      <c r="B32" s="5"/>
      <c r="C32" s="6" t="str">
        <f t="shared" si="0"/>
        <v/>
      </c>
      <c r="D32" s="5"/>
      <c r="E32" s="5"/>
      <c r="F32" s="5"/>
      <c r="G32" s="5"/>
      <c r="H32" s="5"/>
      <c r="I32" s="5"/>
      <c r="J32" s="5"/>
      <c r="K32" s="15"/>
      <c r="L32" s="5"/>
      <c r="M32" s="15"/>
      <c r="N32" s="5"/>
      <c r="O32" s="15"/>
      <c r="P32" s="19" t="str">
        <f t="shared" si="1"/>
        <v/>
      </c>
      <c r="Q32" s="19" t="str">
        <f t="shared" si="2"/>
        <v/>
      </c>
      <c r="R32" s="19" t="str">
        <f t="shared" si="3"/>
        <v/>
      </c>
      <c r="S32" s="5"/>
      <c r="T32" s="5"/>
      <c r="U32" s="5"/>
      <c r="V32" s="24"/>
      <c r="W32" s="15"/>
      <c r="X32" s="15"/>
      <c r="Y32" s="15"/>
      <c r="Z32" s="19" t="str">
        <f t="shared" si="4"/>
        <v/>
      </c>
      <c r="AA32" s="19" t="str">
        <f t="shared" si="5"/>
        <v/>
      </c>
      <c r="AB32" s="5"/>
      <c r="AC32" s="5"/>
      <c r="AE32" t="str">
        <f>IFERROR(INDEX(EqTag,_xlfn.AGGREGATE(15,6,(ROW(EqTag)-4)/((EqSys=$D$3)*(EqTag&lt;&gt;"")),ROWS($AE$14:AE32))),"")</f>
        <v/>
      </c>
    </row>
    <row r="33" spans="1:31" ht="30" customHeight="1" x14ac:dyDescent="0.2">
      <c r="A33" s="19" t="str">
        <f>IF(F33="","",LEFT($D$3,3)&amp;"-"&amp;TEXT(COUNTIF(F$14:F33,"?*"),"00"))</f>
        <v/>
      </c>
      <c r="B33" s="5"/>
      <c r="C33" s="6" t="str">
        <f t="shared" si="0"/>
        <v/>
      </c>
      <c r="D33" s="5"/>
      <c r="E33" s="5"/>
      <c r="F33" s="5"/>
      <c r="G33" s="5"/>
      <c r="H33" s="5"/>
      <c r="I33" s="5"/>
      <c r="J33" s="5"/>
      <c r="K33" s="15"/>
      <c r="L33" s="5"/>
      <c r="M33" s="15"/>
      <c r="N33" s="5"/>
      <c r="O33" s="15"/>
      <c r="P33" s="19" t="str">
        <f t="shared" si="1"/>
        <v/>
      </c>
      <c r="Q33" s="19" t="str">
        <f t="shared" si="2"/>
        <v/>
      </c>
      <c r="R33" s="19" t="str">
        <f t="shared" si="3"/>
        <v/>
      </c>
      <c r="S33" s="5"/>
      <c r="T33" s="5"/>
      <c r="U33" s="5"/>
      <c r="V33" s="24"/>
      <c r="W33" s="15"/>
      <c r="X33" s="15"/>
      <c r="Y33" s="15"/>
      <c r="Z33" s="19" t="str">
        <f t="shared" si="4"/>
        <v/>
      </c>
      <c r="AA33" s="19" t="str">
        <f t="shared" si="5"/>
        <v/>
      </c>
      <c r="AB33" s="5"/>
      <c r="AC33" s="5"/>
      <c r="AE33" t="str">
        <f>IFERROR(INDEX(EqTag,_xlfn.AGGREGATE(15,6,(ROW(EqTag)-4)/((EqSys=$D$3)*(EqTag&lt;&gt;"")),ROWS($AE$14:AE33))),"")</f>
        <v/>
      </c>
    </row>
    <row r="34" spans="1:31" ht="30" customHeight="1" x14ac:dyDescent="0.2">
      <c r="A34" s="19" t="str">
        <f>IF(F34="","",LEFT($D$3,3)&amp;"-"&amp;TEXT(COUNTIF(F$14:F34,"?*"),"00"))</f>
        <v/>
      </c>
      <c r="B34" s="5"/>
      <c r="C34" s="6" t="str">
        <f t="shared" si="0"/>
        <v/>
      </c>
      <c r="D34" s="5"/>
      <c r="E34" s="5"/>
      <c r="F34" s="5"/>
      <c r="G34" s="5"/>
      <c r="H34" s="5"/>
      <c r="I34" s="5"/>
      <c r="J34" s="5"/>
      <c r="K34" s="15"/>
      <c r="L34" s="5"/>
      <c r="M34" s="15"/>
      <c r="N34" s="5"/>
      <c r="O34" s="15"/>
      <c r="P34" s="19" t="str">
        <f t="shared" si="1"/>
        <v/>
      </c>
      <c r="Q34" s="19" t="str">
        <f t="shared" si="2"/>
        <v/>
      </c>
      <c r="R34" s="19" t="str">
        <f t="shared" si="3"/>
        <v/>
      </c>
      <c r="S34" s="5"/>
      <c r="T34" s="5"/>
      <c r="U34" s="5"/>
      <c r="V34" s="24"/>
      <c r="W34" s="15"/>
      <c r="X34" s="15"/>
      <c r="Y34" s="15"/>
      <c r="Z34" s="19" t="str">
        <f t="shared" si="4"/>
        <v/>
      </c>
      <c r="AA34" s="19" t="str">
        <f t="shared" si="5"/>
        <v/>
      </c>
      <c r="AB34" s="5"/>
      <c r="AC34" s="5"/>
      <c r="AE34" t="str">
        <f>IFERROR(INDEX(EqTag,_xlfn.AGGREGATE(15,6,(ROW(EqTag)-4)/((EqSys=$D$3)*(EqTag&lt;&gt;"")),ROWS($AE$14:AE34))),"")</f>
        <v/>
      </c>
    </row>
    <row r="35" spans="1:31" ht="30" customHeight="1" x14ac:dyDescent="0.2">
      <c r="A35" s="19" t="str">
        <f>IF(F35="","",LEFT($D$3,3)&amp;"-"&amp;TEXT(COUNTIF(F$14:F35,"?*"),"00"))</f>
        <v/>
      </c>
      <c r="B35" s="5"/>
      <c r="C35" s="6" t="str">
        <f t="shared" si="0"/>
        <v/>
      </c>
      <c r="D35" s="5"/>
      <c r="E35" s="5"/>
      <c r="F35" s="5"/>
      <c r="G35" s="5"/>
      <c r="H35" s="5"/>
      <c r="I35" s="5"/>
      <c r="J35" s="5"/>
      <c r="K35" s="15"/>
      <c r="L35" s="5"/>
      <c r="M35" s="15"/>
      <c r="N35" s="5"/>
      <c r="O35" s="15"/>
      <c r="P35" s="19" t="str">
        <f t="shared" si="1"/>
        <v/>
      </c>
      <c r="Q35" s="19" t="str">
        <f t="shared" si="2"/>
        <v/>
      </c>
      <c r="R35" s="19" t="str">
        <f t="shared" si="3"/>
        <v/>
      </c>
      <c r="S35" s="5"/>
      <c r="T35" s="5"/>
      <c r="U35" s="5"/>
      <c r="V35" s="24"/>
      <c r="W35" s="15"/>
      <c r="X35" s="15"/>
      <c r="Y35" s="15"/>
      <c r="Z35" s="19" t="str">
        <f t="shared" si="4"/>
        <v/>
      </c>
      <c r="AA35" s="19" t="str">
        <f t="shared" si="5"/>
        <v/>
      </c>
      <c r="AB35" s="5"/>
      <c r="AC35" s="5"/>
      <c r="AE35" t="str">
        <f>IFERROR(INDEX(EqTag,_xlfn.AGGREGATE(15,6,(ROW(EqTag)-4)/((EqSys=$D$3)*(EqTag&lt;&gt;"")),ROWS($AE$14:AE35))),"")</f>
        <v/>
      </c>
    </row>
    <row r="36" spans="1:31" ht="30" customHeight="1" x14ac:dyDescent="0.2">
      <c r="A36" s="19" t="str">
        <f>IF(F36="","",LEFT($D$3,3)&amp;"-"&amp;TEXT(COUNTIF(F$14:F36,"?*"),"00"))</f>
        <v/>
      </c>
      <c r="B36" s="5"/>
      <c r="C36" s="6" t="str">
        <f t="shared" si="0"/>
        <v/>
      </c>
      <c r="D36" s="5"/>
      <c r="E36" s="5"/>
      <c r="F36" s="5"/>
      <c r="G36" s="5"/>
      <c r="H36" s="5"/>
      <c r="I36" s="5"/>
      <c r="J36" s="5"/>
      <c r="K36" s="15"/>
      <c r="L36" s="5"/>
      <c r="M36" s="15"/>
      <c r="N36" s="5"/>
      <c r="O36" s="15"/>
      <c r="P36" s="19" t="str">
        <f t="shared" si="1"/>
        <v/>
      </c>
      <c r="Q36" s="19" t="str">
        <f t="shared" si="2"/>
        <v/>
      </c>
      <c r="R36" s="19" t="str">
        <f t="shared" si="3"/>
        <v/>
      </c>
      <c r="S36" s="5"/>
      <c r="T36" s="5"/>
      <c r="U36" s="5"/>
      <c r="V36" s="24"/>
      <c r="W36" s="15"/>
      <c r="X36" s="15"/>
      <c r="Y36" s="15"/>
      <c r="Z36" s="19" t="str">
        <f t="shared" si="4"/>
        <v/>
      </c>
      <c r="AA36" s="19" t="str">
        <f t="shared" si="5"/>
        <v/>
      </c>
      <c r="AB36" s="5"/>
      <c r="AC36" s="5"/>
      <c r="AE36" t="str">
        <f>IFERROR(INDEX(EqTag,_xlfn.AGGREGATE(15,6,(ROW(EqTag)-4)/((EqSys=$D$3)*(EqTag&lt;&gt;"")),ROWS($AE$14:AE36))),"")</f>
        <v/>
      </c>
    </row>
    <row r="37" spans="1:31" ht="30" customHeight="1" x14ac:dyDescent="0.2">
      <c r="A37" s="19" t="str">
        <f>IF(F37="","",LEFT($D$3,3)&amp;"-"&amp;TEXT(COUNTIF(F$14:F37,"?*"),"00"))</f>
        <v/>
      </c>
      <c r="B37" s="5"/>
      <c r="C37" s="6" t="str">
        <f t="shared" si="0"/>
        <v/>
      </c>
      <c r="D37" s="5"/>
      <c r="E37" s="5"/>
      <c r="F37" s="5"/>
      <c r="G37" s="5"/>
      <c r="H37" s="5"/>
      <c r="I37" s="5"/>
      <c r="J37" s="5"/>
      <c r="K37" s="15"/>
      <c r="L37" s="5"/>
      <c r="M37" s="15"/>
      <c r="N37" s="5"/>
      <c r="O37" s="15"/>
      <c r="P37" s="19" t="str">
        <f t="shared" si="1"/>
        <v/>
      </c>
      <c r="Q37" s="19" t="str">
        <f t="shared" si="2"/>
        <v/>
      </c>
      <c r="R37" s="19" t="str">
        <f t="shared" si="3"/>
        <v/>
      </c>
      <c r="S37" s="5"/>
      <c r="T37" s="5"/>
      <c r="U37" s="5"/>
      <c r="V37" s="24"/>
      <c r="W37" s="15"/>
      <c r="X37" s="15"/>
      <c r="Y37" s="15"/>
      <c r="Z37" s="19" t="str">
        <f t="shared" si="4"/>
        <v/>
      </c>
      <c r="AA37" s="19" t="str">
        <f t="shared" si="5"/>
        <v/>
      </c>
      <c r="AB37" s="5"/>
      <c r="AC37" s="5"/>
      <c r="AE37" t="str">
        <f>IFERROR(INDEX(EqTag,_xlfn.AGGREGATE(15,6,(ROW(EqTag)-4)/((EqSys=$D$3)*(EqTag&lt;&gt;"")),ROWS($AE$14:AE37))),"")</f>
        <v/>
      </c>
    </row>
    <row r="38" spans="1:31" ht="30" customHeight="1" x14ac:dyDescent="0.2">
      <c r="A38" s="19" t="str">
        <f>IF(F38="","",LEFT($D$3,3)&amp;"-"&amp;TEXT(COUNTIF(F$14:F38,"?*"),"00"))</f>
        <v/>
      </c>
      <c r="B38" s="5"/>
      <c r="C38" s="6" t="str">
        <f t="shared" si="0"/>
        <v/>
      </c>
      <c r="D38" s="5"/>
      <c r="E38" s="5"/>
      <c r="F38" s="5"/>
      <c r="G38" s="5"/>
      <c r="H38" s="5"/>
      <c r="I38" s="5"/>
      <c r="J38" s="5"/>
      <c r="K38" s="15"/>
      <c r="L38" s="5"/>
      <c r="M38" s="15"/>
      <c r="N38" s="5"/>
      <c r="O38" s="15"/>
      <c r="P38" s="19" t="str">
        <f t="shared" si="1"/>
        <v/>
      </c>
      <c r="Q38" s="19" t="str">
        <f t="shared" si="2"/>
        <v/>
      </c>
      <c r="R38" s="19" t="str">
        <f t="shared" si="3"/>
        <v/>
      </c>
      <c r="S38" s="5"/>
      <c r="T38" s="5"/>
      <c r="U38" s="5"/>
      <c r="V38" s="24"/>
      <c r="W38" s="15"/>
      <c r="X38" s="15"/>
      <c r="Y38" s="15"/>
      <c r="Z38" s="19" t="str">
        <f t="shared" si="4"/>
        <v/>
      </c>
      <c r="AA38" s="19" t="str">
        <f t="shared" si="5"/>
        <v/>
      </c>
      <c r="AB38" s="5"/>
      <c r="AC38" s="5"/>
      <c r="AE38" t="str">
        <f>IFERROR(INDEX(EqTag,_xlfn.AGGREGATE(15,6,(ROW(EqTag)-4)/((EqSys=$D$3)*(EqTag&lt;&gt;"")),ROWS($AE$14:AE38))),"")</f>
        <v/>
      </c>
    </row>
    <row r="39" spans="1:31" ht="30" customHeight="1" x14ac:dyDescent="0.2">
      <c r="A39" s="19" t="str">
        <f>IF(F39="","",LEFT($D$3,3)&amp;"-"&amp;TEXT(COUNTIF(F$14:F39,"?*"),"00"))</f>
        <v/>
      </c>
      <c r="B39" s="5"/>
      <c r="C39" s="6" t="str">
        <f t="shared" si="0"/>
        <v/>
      </c>
      <c r="D39" s="5"/>
      <c r="E39" s="5"/>
      <c r="F39" s="5"/>
      <c r="G39" s="5"/>
      <c r="H39" s="5"/>
      <c r="I39" s="5"/>
      <c r="J39" s="5"/>
      <c r="K39" s="15"/>
      <c r="L39" s="5"/>
      <c r="M39" s="15"/>
      <c r="N39" s="5"/>
      <c r="O39" s="15"/>
      <c r="P39" s="19" t="str">
        <f t="shared" si="1"/>
        <v/>
      </c>
      <c r="Q39" s="19" t="str">
        <f t="shared" si="2"/>
        <v/>
      </c>
      <c r="R39" s="19" t="str">
        <f t="shared" si="3"/>
        <v/>
      </c>
      <c r="S39" s="5"/>
      <c r="T39" s="5"/>
      <c r="U39" s="5"/>
      <c r="V39" s="24"/>
      <c r="W39" s="15"/>
      <c r="X39" s="15"/>
      <c r="Y39" s="15"/>
      <c r="Z39" s="19" t="str">
        <f t="shared" si="4"/>
        <v/>
      </c>
      <c r="AA39" s="19" t="str">
        <f t="shared" si="5"/>
        <v/>
      </c>
      <c r="AB39" s="5"/>
      <c r="AC39" s="5"/>
      <c r="AE39" t="str">
        <f>IFERROR(INDEX(EqTag,_xlfn.AGGREGATE(15,6,(ROW(EqTag)-4)/((EqSys=$D$3)*(EqTag&lt;&gt;"")),ROWS($AE$14:AE39))),"")</f>
        <v/>
      </c>
    </row>
    <row r="40" spans="1:31" ht="30" customHeight="1" x14ac:dyDescent="0.2">
      <c r="A40" s="19" t="str">
        <f>IF(F40="","",LEFT($D$3,3)&amp;"-"&amp;TEXT(COUNTIF(F$14:F40,"?*"),"00"))</f>
        <v/>
      </c>
      <c r="B40" s="5"/>
      <c r="C40" s="6" t="str">
        <f t="shared" si="0"/>
        <v/>
      </c>
      <c r="D40" s="5"/>
      <c r="E40" s="5"/>
      <c r="F40" s="5"/>
      <c r="G40" s="5"/>
      <c r="H40" s="5"/>
      <c r="I40" s="5"/>
      <c r="J40" s="5"/>
      <c r="K40" s="15"/>
      <c r="L40" s="5"/>
      <c r="M40" s="15"/>
      <c r="N40" s="5"/>
      <c r="O40" s="15"/>
      <c r="P40" s="19" t="str">
        <f t="shared" si="1"/>
        <v/>
      </c>
      <c r="Q40" s="19" t="str">
        <f t="shared" si="2"/>
        <v/>
      </c>
      <c r="R40" s="19" t="str">
        <f t="shared" si="3"/>
        <v/>
      </c>
      <c r="S40" s="5"/>
      <c r="T40" s="5"/>
      <c r="U40" s="5"/>
      <c r="V40" s="24"/>
      <c r="W40" s="15"/>
      <c r="X40" s="15"/>
      <c r="Y40" s="15"/>
      <c r="Z40" s="19" t="str">
        <f t="shared" si="4"/>
        <v/>
      </c>
      <c r="AA40" s="19" t="str">
        <f t="shared" si="5"/>
        <v/>
      </c>
      <c r="AB40" s="5"/>
      <c r="AC40" s="5"/>
      <c r="AE40" t="str">
        <f>IFERROR(INDEX(EqTag,_xlfn.AGGREGATE(15,6,(ROW(EqTag)-4)/((EqSys=$D$3)*(EqTag&lt;&gt;"")),ROWS($AE$14:AE40))),"")</f>
        <v/>
      </c>
    </row>
    <row r="41" spans="1:31" ht="30" customHeight="1" x14ac:dyDescent="0.2">
      <c r="A41" s="19" t="str">
        <f>IF(F41="","",LEFT($D$3,3)&amp;"-"&amp;TEXT(COUNTIF(F$14:F41,"?*"),"00"))</f>
        <v/>
      </c>
      <c r="B41" s="5"/>
      <c r="C41" s="6" t="str">
        <f t="shared" si="0"/>
        <v/>
      </c>
      <c r="D41" s="5"/>
      <c r="E41" s="5"/>
      <c r="F41" s="5"/>
      <c r="G41" s="5"/>
      <c r="H41" s="5"/>
      <c r="I41" s="5"/>
      <c r="J41" s="5"/>
      <c r="K41" s="15"/>
      <c r="L41" s="5"/>
      <c r="M41" s="15"/>
      <c r="N41" s="5"/>
      <c r="O41" s="15"/>
      <c r="P41" s="19" t="str">
        <f t="shared" si="1"/>
        <v/>
      </c>
      <c r="Q41" s="19" t="str">
        <f t="shared" si="2"/>
        <v/>
      </c>
      <c r="R41" s="19" t="str">
        <f t="shared" si="3"/>
        <v/>
      </c>
      <c r="S41" s="5"/>
      <c r="T41" s="5"/>
      <c r="U41" s="5"/>
      <c r="V41" s="24"/>
      <c r="W41" s="15"/>
      <c r="X41" s="15"/>
      <c r="Y41" s="15"/>
      <c r="Z41" s="19" t="str">
        <f t="shared" si="4"/>
        <v/>
      </c>
      <c r="AA41" s="19" t="str">
        <f t="shared" si="5"/>
        <v/>
      </c>
      <c r="AB41" s="5"/>
      <c r="AC41" s="5"/>
      <c r="AE41" t="str">
        <f>IFERROR(INDEX(EqTag,_xlfn.AGGREGATE(15,6,(ROW(EqTag)-4)/((EqSys=$D$3)*(EqTag&lt;&gt;"")),ROWS($AE$14:AE41))),"")</f>
        <v/>
      </c>
    </row>
    <row r="42" spans="1:31" ht="30" customHeight="1" x14ac:dyDescent="0.2">
      <c r="A42" s="19" t="str">
        <f>IF(F42="","",LEFT($D$3,3)&amp;"-"&amp;TEXT(COUNTIF(F$14:F42,"?*"),"00"))</f>
        <v/>
      </c>
      <c r="B42" s="5"/>
      <c r="C42" s="6" t="str">
        <f t="shared" si="0"/>
        <v/>
      </c>
      <c r="D42" s="5"/>
      <c r="E42" s="5"/>
      <c r="F42" s="5"/>
      <c r="G42" s="5"/>
      <c r="H42" s="5"/>
      <c r="I42" s="5"/>
      <c r="J42" s="5"/>
      <c r="K42" s="15"/>
      <c r="L42" s="5"/>
      <c r="M42" s="15"/>
      <c r="N42" s="5"/>
      <c r="O42" s="15"/>
      <c r="P42" s="19" t="str">
        <f t="shared" si="1"/>
        <v/>
      </c>
      <c r="Q42" s="19" t="str">
        <f t="shared" si="2"/>
        <v/>
      </c>
      <c r="R42" s="19" t="str">
        <f t="shared" si="3"/>
        <v/>
      </c>
      <c r="S42" s="5"/>
      <c r="T42" s="5"/>
      <c r="U42" s="5"/>
      <c r="V42" s="24"/>
      <c r="W42" s="15"/>
      <c r="X42" s="15"/>
      <c r="Y42" s="15"/>
      <c r="Z42" s="19" t="str">
        <f t="shared" si="4"/>
        <v/>
      </c>
      <c r="AA42" s="19" t="str">
        <f t="shared" si="5"/>
        <v/>
      </c>
      <c r="AB42" s="5"/>
      <c r="AC42" s="5"/>
      <c r="AE42" t="str">
        <f>IFERROR(INDEX(EqTag,_xlfn.AGGREGATE(15,6,(ROW(EqTag)-4)/((EqSys=$D$3)*(EqTag&lt;&gt;"")),ROWS($AE$14:AE42))),"")</f>
        <v/>
      </c>
    </row>
    <row r="43" spans="1:31" ht="30" customHeight="1" x14ac:dyDescent="0.2">
      <c r="A43" s="19" t="str">
        <f>IF(F43="","",LEFT($D$3,3)&amp;"-"&amp;TEXT(COUNTIF(F$14:F43,"?*"),"00"))</f>
        <v/>
      </c>
      <c r="B43" s="5"/>
      <c r="C43" s="6" t="str">
        <f t="shared" si="0"/>
        <v/>
      </c>
      <c r="D43" s="5"/>
      <c r="E43" s="5"/>
      <c r="F43" s="5"/>
      <c r="G43" s="5"/>
      <c r="H43" s="5"/>
      <c r="I43" s="5"/>
      <c r="J43" s="5"/>
      <c r="K43" s="15"/>
      <c r="L43" s="5"/>
      <c r="M43" s="15"/>
      <c r="N43" s="5"/>
      <c r="O43" s="15"/>
      <c r="P43" s="19" t="str">
        <f t="shared" si="1"/>
        <v/>
      </c>
      <c r="Q43" s="19" t="str">
        <f t="shared" si="2"/>
        <v/>
      </c>
      <c r="R43" s="19" t="str">
        <f t="shared" si="3"/>
        <v/>
      </c>
      <c r="S43" s="5"/>
      <c r="T43" s="5"/>
      <c r="U43" s="5"/>
      <c r="V43" s="24"/>
      <c r="W43" s="15"/>
      <c r="X43" s="15"/>
      <c r="Y43" s="15"/>
      <c r="Z43" s="19" t="str">
        <f t="shared" si="4"/>
        <v/>
      </c>
      <c r="AA43" s="19" t="str">
        <f t="shared" si="5"/>
        <v/>
      </c>
      <c r="AB43" s="5"/>
      <c r="AC43" s="5"/>
      <c r="AE43" t="str">
        <f>IFERROR(INDEX(EqTag,_xlfn.AGGREGATE(15,6,(ROW(EqTag)-4)/((EqSys=$D$3)*(EqTag&lt;&gt;"")),ROWS($AE$14:AE43))),"")</f>
        <v/>
      </c>
    </row>
    <row r="44" spans="1:31" ht="30" customHeight="1" x14ac:dyDescent="0.2">
      <c r="A44" s="19" t="str">
        <f>IF(F44="","",LEFT($D$3,3)&amp;"-"&amp;TEXT(COUNTIF(F$14:F44,"?*"),"00"))</f>
        <v/>
      </c>
      <c r="B44" s="5"/>
      <c r="C44" s="6" t="str">
        <f t="shared" si="0"/>
        <v/>
      </c>
      <c r="D44" s="5"/>
      <c r="E44" s="5"/>
      <c r="F44" s="5"/>
      <c r="G44" s="5"/>
      <c r="H44" s="5"/>
      <c r="I44" s="5"/>
      <c r="J44" s="5"/>
      <c r="K44" s="15"/>
      <c r="L44" s="5"/>
      <c r="M44" s="15"/>
      <c r="N44" s="5"/>
      <c r="O44" s="15"/>
      <c r="P44" s="19" t="str">
        <f t="shared" si="1"/>
        <v/>
      </c>
      <c r="Q44" s="19" t="str">
        <f t="shared" si="2"/>
        <v/>
      </c>
      <c r="R44" s="19" t="str">
        <f t="shared" si="3"/>
        <v/>
      </c>
      <c r="S44" s="5"/>
      <c r="T44" s="5"/>
      <c r="U44" s="5"/>
      <c r="V44" s="24"/>
      <c r="W44" s="15"/>
      <c r="X44" s="15"/>
      <c r="Y44" s="15"/>
      <c r="Z44" s="19" t="str">
        <f t="shared" si="4"/>
        <v/>
      </c>
      <c r="AA44" s="19" t="str">
        <f t="shared" si="5"/>
        <v/>
      </c>
      <c r="AB44" s="5"/>
      <c r="AC44" s="5"/>
      <c r="AE44" t="str">
        <f>IFERROR(INDEX(EqTag,_xlfn.AGGREGATE(15,6,(ROW(EqTag)-4)/((EqSys=$D$3)*(EqTag&lt;&gt;"")),ROWS($AE$14:AE44))),"")</f>
        <v/>
      </c>
    </row>
    <row r="45" spans="1:31" ht="30" customHeight="1" x14ac:dyDescent="0.2">
      <c r="A45" s="19" t="str">
        <f>IF(F45="","",LEFT($D$3,3)&amp;"-"&amp;TEXT(COUNTIF(F$14:F45,"?*"),"00"))</f>
        <v/>
      </c>
      <c r="B45" s="5"/>
      <c r="C45" s="6" t="str">
        <f t="shared" si="0"/>
        <v/>
      </c>
      <c r="D45" s="5"/>
      <c r="E45" s="5"/>
      <c r="F45" s="5"/>
      <c r="G45" s="5"/>
      <c r="H45" s="5"/>
      <c r="I45" s="5"/>
      <c r="J45" s="5"/>
      <c r="K45" s="15"/>
      <c r="L45" s="5"/>
      <c r="M45" s="15"/>
      <c r="N45" s="5"/>
      <c r="O45" s="15"/>
      <c r="P45" s="19" t="str">
        <f t="shared" si="1"/>
        <v/>
      </c>
      <c r="Q45" s="19" t="str">
        <f t="shared" si="2"/>
        <v/>
      </c>
      <c r="R45" s="19" t="str">
        <f t="shared" si="3"/>
        <v/>
      </c>
      <c r="S45" s="5"/>
      <c r="T45" s="5"/>
      <c r="U45" s="5"/>
      <c r="V45" s="24"/>
      <c r="W45" s="15"/>
      <c r="X45" s="15"/>
      <c r="Y45" s="15"/>
      <c r="Z45" s="19" t="str">
        <f t="shared" si="4"/>
        <v/>
      </c>
      <c r="AA45" s="19" t="str">
        <f t="shared" si="5"/>
        <v/>
      </c>
      <c r="AB45" s="5"/>
      <c r="AC45" s="5"/>
      <c r="AE45" t="str">
        <f>IFERROR(INDEX(EqTag,_xlfn.AGGREGATE(15,6,(ROW(EqTag)-4)/((EqSys=$D$3)*(EqTag&lt;&gt;"")),ROWS($AE$14:AE45))),"")</f>
        <v/>
      </c>
    </row>
    <row r="46" spans="1:31" ht="30" customHeight="1" x14ac:dyDescent="0.2">
      <c r="A46" s="19" t="str">
        <f>IF(F46="","",LEFT($D$3,3)&amp;"-"&amp;TEXT(COUNTIF(F$14:F46,"?*"),"00"))</f>
        <v/>
      </c>
      <c r="B46" s="5"/>
      <c r="C46" s="6" t="str">
        <f t="shared" ref="C46:C77" si="6">IF(B46="","",IFERROR(INDEX(EqTypeCol,MATCH(B46,EqTag,0)),"Tag not in register"))</f>
        <v/>
      </c>
      <c r="D46" s="5"/>
      <c r="E46" s="5"/>
      <c r="F46" s="5"/>
      <c r="G46" s="5"/>
      <c r="H46" s="5"/>
      <c r="I46" s="5"/>
      <c r="J46" s="5"/>
      <c r="K46" s="15"/>
      <c r="L46" s="5"/>
      <c r="M46" s="15"/>
      <c r="N46" s="5"/>
      <c r="O46" s="15"/>
      <c r="P46" s="19" t="str">
        <f t="shared" ref="P46:P77" si="7">IF(OR(K46="",M46="",O46=""),"",(--TRIM(LEFT(K46,2)))*(--TRIM(LEFT(M46,2)))*(--TRIM(LEFT(O46,2))))</f>
        <v/>
      </c>
      <c r="Q46" s="19" t="str">
        <f t="shared" ref="Q46:Q77" si="8">IF(OR(K46="",M46="",O46=""),"",INDEX(APGrid,COUNTIF(APS,"&gt;"&amp;(--TRIM(LEFT(K46,2))))*5+COUNTIF(APO,"&gt;"&amp;(--TRIM(LEFT(M46,2))))+1,COUNTIF(APD,"&gt;"&amp;(--TRIM(LEFT(O46,2))))+1))</f>
        <v/>
      </c>
      <c r="R46" s="19" t="str">
        <f t="shared" ref="R46:R77" si="9">IF(P46="","",IF(OR((--TRIM(LEFT(K46,2)))&gt;=SThr,P46&gt;=RPNThr,Q46="H"),"Yes","No"))</f>
        <v/>
      </c>
      <c r="S46" s="5"/>
      <c r="T46" s="5"/>
      <c r="U46" s="5"/>
      <c r="V46" s="24"/>
      <c r="W46" s="15"/>
      <c r="X46" s="15"/>
      <c r="Y46" s="15"/>
      <c r="Z46" s="19" t="str">
        <f t="shared" ref="Z46:Z77" si="10">IF(OR(W46="",X46="",Y46=""),"",(--TRIM(LEFT(W46,2)))*(--TRIM(LEFT(X46,2)))*(--TRIM(LEFT(Y46,2))))</f>
        <v/>
      </c>
      <c r="AA46" s="19" t="str">
        <f t="shared" ref="AA46:AA77" si="11">IF(OR(W46="",X46="",Y46=""),"",INDEX(APGrid,COUNTIF(APS,"&gt;"&amp;(--TRIM(LEFT(W46,2))))*5+COUNTIF(APO,"&gt;"&amp;(--TRIM(LEFT(X46,2))))+1,COUNTIF(APD,"&gt;"&amp;(--TRIM(LEFT(Y46,2))))+1))</f>
        <v/>
      </c>
      <c r="AB46" s="5"/>
      <c r="AC46" s="5"/>
      <c r="AE46" t="str">
        <f>IFERROR(INDEX(EqTag,_xlfn.AGGREGATE(15,6,(ROW(EqTag)-4)/((EqSys=$D$3)*(EqTag&lt;&gt;"")),ROWS($AE$14:AE46))),"")</f>
        <v/>
      </c>
    </row>
    <row r="47" spans="1:31" ht="30" customHeight="1" x14ac:dyDescent="0.2">
      <c r="A47" s="19" t="str">
        <f>IF(F47="","",LEFT($D$3,3)&amp;"-"&amp;TEXT(COUNTIF(F$14:F47,"?*"),"00"))</f>
        <v/>
      </c>
      <c r="B47" s="5"/>
      <c r="C47" s="6" t="str">
        <f t="shared" si="6"/>
        <v/>
      </c>
      <c r="D47" s="5"/>
      <c r="E47" s="5"/>
      <c r="F47" s="5"/>
      <c r="G47" s="5"/>
      <c r="H47" s="5"/>
      <c r="I47" s="5"/>
      <c r="J47" s="5"/>
      <c r="K47" s="15"/>
      <c r="L47" s="5"/>
      <c r="M47" s="15"/>
      <c r="N47" s="5"/>
      <c r="O47" s="15"/>
      <c r="P47" s="19" t="str">
        <f t="shared" si="7"/>
        <v/>
      </c>
      <c r="Q47" s="19" t="str">
        <f t="shared" si="8"/>
        <v/>
      </c>
      <c r="R47" s="19" t="str">
        <f t="shared" si="9"/>
        <v/>
      </c>
      <c r="S47" s="5"/>
      <c r="T47" s="5"/>
      <c r="U47" s="5"/>
      <c r="V47" s="24"/>
      <c r="W47" s="15"/>
      <c r="X47" s="15"/>
      <c r="Y47" s="15"/>
      <c r="Z47" s="19" t="str">
        <f t="shared" si="10"/>
        <v/>
      </c>
      <c r="AA47" s="19" t="str">
        <f t="shared" si="11"/>
        <v/>
      </c>
      <c r="AB47" s="5"/>
      <c r="AC47" s="5"/>
      <c r="AE47" t="str">
        <f>IFERROR(INDEX(EqTag,_xlfn.AGGREGATE(15,6,(ROW(EqTag)-4)/((EqSys=$D$3)*(EqTag&lt;&gt;"")),ROWS($AE$14:AE47))),"")</f>
        <v/>
      </c>
    </row>
    <row r="48" spans="1:31" ht="30" customHeight="1" x14ac:dyDescent="0.2">
      <c r="A48" s="19" t="str">
        <f>IF(F48="","",LEFT($D$3,3)&amp;"-"&amp;TEXT(COUNTIF(F$14:F48,"?*"),"00"))</f>
        <v/>
      </c>
      <c r="B48" s="5"/>
      <c r="C48" s="6" t="str">
        <f t="shared" si="6"/>
        <v/>
      </c>
      <c r="D48" s="5"/>
      <c r="E48" s="5"/>
      <c r="F48" s="5"/>
      <c r="G48" s="5"/>
      <c r="H48" s="5"/>
      <c r="I48" s="5"/>
      <c r="J48" s="5"/>
      <c r="K48" s="15"/>
      <c r="L48" s="5"/>
      <c r="M48" s="15"/>
      <c r="N48" s="5"/>
      <c r="O48" s="15"/>
      <c r="P48" s="19" t="str">
        <f t="shared" si="7"/>
        <v/>
      </c>
      <c r="Q48" s="19" t="str">
        <f t="shared" si="8"/>
        <v/>
      </c>
      <c r="R48" s="19" t="str">
        <f t="shared" si="9"/>
        <v/>
      </c>
      <c r="S48" s="5"/>
      <c r="T48" s="5"/>
      <c r="U48" s="5"/>
      <c r="V48" s="24"/>
      <c r="W48" s="15"/>
      <c r="X48" s="15"/>
      <c r="Y48" s="15"/>
      <c r="Z48" s="19" t="str">
        <f t="shared" si="10"/>
        <v/>
      </c>
      <c r="AA48" s="19" t="str">
        <f t="shared" si="11"/>
        <v/>
      </c>
      <c r="AB48" s="5"/>
      <c r="AC48" s="5"/>
      <c r="AE48" t="str">
        <f>IFERROR(INDEX(EqTag,_xlfn.AGGREGATE(15,6,(ROW(EqTag)-4)/((EqSys=$D$3)*(EqTag&lt;&gt;"")),ROWS($AE$14:AE48))),"")</f>
        <v/>
      </c>
    </row>
    <row r="49" spans="1:31" ht="30" customHeight="1" x14ac:dyDescent="0.2">
      <c r="A49" s="19" t="str">
        <f>IF(F49="","",LEFT($D$3,3)&amp;"-"&amp;TEXT(COUNTIF(F$14:F49,"?*"),"00"))</f>
        <v/>
      </c>
      <c r="B49" s="5"/>
      <c r="C49" s="6" t="str">
        <f t="shared" si="6"/>
        <v/>
      </c>
      <c r="D49" s="5"/>
      <c r="E49" s="5"/>
      <c r="F49" s="5"/>
      <c r="G49" s="5"/>
      <c r="H49" s="5"/>
      <c r="I49" s="5"/>
      <c r="J49" s="5"/>
      <c r="K49" s="15"/>
      <c r="L49" s="5"/>
      <c r="M49" s="15"/>
      <c r="N49" s="5"/>
      <c r="O49" s="15"/>
      <c r="P49" s="19" t="str">
        <f t="shared" si="7"/>
        <v/>
      </c>
      <c r="Q49" s="19" t="str">
        <f t="shared" si="8"/>
        <v/>
      </c>
      <c r="R49" s="19" t="str">
        <f t="shared" si="9"/>
        <v/>
      </c>
      <c r="S49" s="5"/>
      <c r="T49" s="5"/>
      <c r="U49" s="5"/>
      <c r="V49" s="24"/>
      <c r="W49" s="15"/>
      <c r="X49" s="15"/>
      <c r="Y49" s="15"/>
      <c r="Z49" s="19" t="str">
        <f t="shared" si="10"/>
        <v/>
      </c>
      <c r="AA49" s="19" t="str">
        <f t="shared" si="11"/>
        <v/>
      </c>
      <c r="AB49" s="5"/>
      <c r="AC49" s="5"/>
      <c r="AE49" t="str">
        <f>IFERROR(INDEX(EqTag,_xlfn.AGGREGATE(15,6,(ROW(EqTag)-4)/((EqSys=$D$3)*(EqTag&lt;&gt;"")),ROWS($AE$14:AE49))),"")</f>
        <v/>
      </c>
    </row>
    <row r="50" spans="1:31" ht="30" customHeight="1" x14ac:dyDescent="0.2">
      <c r="A50" s="19" t="str">
        <f>IF(F50="","",LEFT($D$3,3)&amp;"-"&amp;TEXT(COUNTIF(F$14:F50,"?*"),"00"))</f>
        <v/>
      </c>
      <c r="B50" s="5"/>
      <c r="C50" s="6" t="str">
        <f t="shared" si="6"/>
        <v/>
      </c>
      <c r="D50" s="5"/>
      <c r="E50" s="5"/>
      <c r="F50" s="5"/>
      <c r="G50" s="5"/>
      <c r="H50" s="5"/>
      <c r="I50" s="5"/>
      <c r="J50" s="5"/>
      <c r="K50" s="15"/>
      <c r="L50" s="5"/>
      <c r="M50" s="15"/>
      <c r="N50" s="5"/>
      <c r="O50" s="15"/>
      <c r="P50" s="19" t="str">
        <f t="shared" si="7"/>
        <v/>
      </c>
      <c r="Q50" s="19" t="str">
        <f t="shared" si="8"/>
        <v/>
      </c>
      <c r="R50" s="19" t="str">
        <f t="shared" si="9"/>
        <v/>
      </c>
      <c r="S50" s="5"/>
      <c r="T50" s="5"/>
      <c r="U50" s="5"/>
      <c r="V50" s="24"/>
      <c r="W50" s="15"/>
      <c r="X50" s="15"/>
      <c r="Y50" s="15"/>
      <c r="Z50" s="19" t="str">
        <f t="shared" si="10"/>
        <v/>
      </c>
      <c r="AA50" s="19" t="str">
        <f t="shared" si="11"/>
        <v/>
      </c>
      <c r="AB50" s="5"/>
      <c r="AC50" s="5"/>
      <c r="AE50" t="str">
        <f>IFERROR(INDEX(EqTag,_xlfn.AGGREGATE(15,6,(ROW(EqTag)-4)/((EqSys=$D$3)*(EqTag&lt;&gt;"")),ROWS($AE$14:AE50))),"")</f>
        <v/>
      </c>
    </row>
    <row r="51" spans="1:31" ht="30" customHeight="1" x14ac:dyDescent="0.2">
      <c r="A51" s="19" t="str">
        <f>IF(F51="","",LEFT($D$3,3)&amp;"-"&amp;TEXT(COUNTIF(F$14:F51,"?*"),"00"))</f>
        <v/>
      </c>
      <c r="B51" s="5"/>
      <c r="C51" s="6" t="str">
        <f t="shared" si="6"/>
        <v/>
      </c>
      <c r="D51" s="5"/>
      <c r="E51" s="5"/>
      <c r="F51" s="5"/>
      <c r="G51" s="5"/>
      <c r="H51" s="5"/>
      <c r="I51" s="5"/>
      <c r="J51" s="5"/>
      <c r="K51" s="15"/>
      <c r="L51" s="5"/>
      <c r="M51" s="15"/>
      <c r="N51" s="5"/>
      <c r="O51" s="15"/>
      <c r="P51" s="19" t="str">
        <f t="shared" si="7"/>
        <v/>
      </c>
      <c r="Q51" s="19" t="str">
        <f t="shared" si="8"/>
        <v/>
      </c>
      <c r="R51" s="19" t="str">
        <f t="shared" si="9"/>
        <v/>
      </c>
      <c r="S51" s="5"/>
      <c r="T51" s="5"/>
      <c r="U51" s="5"/>
      <c r="V51" s="24"/>
      <c r="W51" s="15"/>
      <c r="X51" s="15"/>
      <c r="Y51" s="15"/>
      <c r="Z51" s="19" t="str">
        <f t="shared" si="10"/>
        <v/>
      </c>
      <c r="AA51" s="19" t="str">
        <f t="shared" si="11"/>
        <v/>
      </c>
      <c r="AB51" s="5"/>
      <c r="AC51" s="5"/>
      <c r="AE51" t="str">
        <f>IFERROR(INDEX(EqTag,_xlfn.AGGREGATE(15,6,(ROW(EqTag)-4)/((EqSys=$D$3)*(EqTag&lt;&gt;"")),ROWS($AE$14:AE51))),"")</f>
        <v/>
      </c>
    </row>
    <row r="52" spans="1:31" ht="30" customHeight="1" x14ac:dyDescent="0.2">
      <c r="A52" s="19" t="str">
        <f>IF(F52="","",LEFT($D$3,3)&amp;"-"&amp;TEXT(COUNTIF(F$14:F52,"?*"),"00"))</f>
        <v/>
      </c>
      <c r="B52" s="5"/>
      <c r="C52" s="6" t="str">
        <f t="shared" si="6"/>
        <v/>
      </c>
      <c r="D52" s="5"/>
      <c r="E52" s="5"/>
      <c r="F52" s="5"/>
      <c r="G52" s="5"/>
      <c r="H52" s="5"/>
      <c r="I52" s="5"/>
      <c r="J52" s="5"/>
      <c r="K52" s="15"/>
      <c r="L52" s="5"/>
      <c r="M52" s="15"/>
      <c r="N52" s="5"/>
      <c r="O52" s="15"/>
      <c r="P52" s="19" t="str">
        <f t="shared" si="7"/>
        <v/>
      </c>
      <c r="Q52" s="19" t="str">
        <f t="shared" si="8"/>
        <v/>
      </c>
      <c r="R52" s="19" t="str">
        <f t="shared" si="9"/>
        <v/>
      </c>
      <c r="S52" s="5"/>
      <c r="T52" s="5"/>
      <c r="U52" s="5"/>
      <c r="V52" s="24"/>
      <c r="W52" s="15"/>
      <c r="X52" s="15"/>
      <c r="Y52" s="15"/>
      <c r="Z52" s="19" t="str">
        <f t="shared" si="10"/>
        <v/>
      </c>
      <c r="AA52" s="19" t="str">
        <f t="shared" si="11"/>
        <v/>
      </c>
      <c r="AB52" s="5"/>
      <c r="AC52" s="5"/>
      <c r="AE52" t="str">
        <f>IFERROR(INDEX(EqTag,_xlfn.AGGREGATE(15,6,(ROW(EqTag)-4)/((EqSys=$D$3)*(EqTag&lt;&gt;"")),ROWS($AE$14:AE52))),"")</f>
        <v/>
      </c>
    </row>
    <row r="53" spans="1:31" ht="30" customHeight="1" x14ac:dyDescent="0.2">
      <c r="A53" s="19" t="str">
        <f>IF(F53="","",LEFT($D$3,3)&amp;"-"&amp;TEXT(COUNTIF(F$14:F53,"?*"),"00"))</f>
        <v/>
      </c>
      <c r="B53" s="5"/>
      <c r="C53" s="6" t="str">
        <f t="shared" si="6"/>
        <v/>
      </c>
      <c r="D53" s="5"/>
      <c r="E53" s="5"/>
      <c r="F53" s="5"/>
      <c r="G53" s="5"/>
      <c r="H53" s="5"/>
      <c r="I53" s="5"/>
      <c r="J53" s="5"/>
      <c r="K53" s="15"/>
      <c r="L53" s="5"/>
      <c r="M53" s="15"/>
      <c r="N53" s="5"/>
      <c r="O53" s="15"/>
      <c r="P53" s="19" t="str">
        <f t="shared" si="7"/>
        <v/>
      </c>
      <c r="Q53" s="19" t="str">
        <f t="shared" si="8"/>
        <v/>
      </c>
      <c r="R53" s="19" t="str">
        <f t="shared" si="9"/>
        <v/>
      </c>
      <c r="S53" s="5"/>
      <c r="T53" s="5"/>
      <c r="U53" s="5"/>
      <c r="V53" s="24"/>
      <c r="W53" s="15"/>
      <c r="X53" s="15"/>
      <c r="Y53" s="15"/>
      <c r="Z53" s="19" t="str">
        <f t="shared" si="10"/>
        <v/>
      </c>
      <c r="AA53" s="19" t="str">
        <f t="shared" si="11"/>
        <v/>
      </c>
      <c r="AB53" s="5"/>
      <c r="AC53" s="5"/>
      <c r="AE53" t="str">
        <f>IFERROR(INDEX(EqTag,_xlfn.AGGREGATE(15,6,(ROW(EqTag)-4)/((EqSys=$D$3)*(EqTag&lt;&gt;"")),ROWS($AE$14:AE53))),"")</f>
        <v/>
      </c>
    </row>
    <row r="54" spans="1:31" ht="30" customHeight="1" x14ac:dyDescent="0.2">
      <c r="A54" s="19" t="str">
        <f>IF(F54="","",LEFT($D$3,3)&amp;"-"&amp;TEXT(COUNTIF(F$14:F54,"?*"),"00"))</f>
        <v/>
      </c>
      <c r="B54" s="5"/>
      <c r="C54" s="6" t="str">
        <f t="shared" si="6"/>
        <v/>
      </c>
      <c r="D54" s="5"/>
      <c r="E54" s="5"/>
      <c r="F54" s="5"/>
      <c r="G54" s="5"/>
      <c r="H54" s="5"/>
      <c r="I54" s="5"/>
      <c r="J54" s="5"/>
      <c r="K54" s="15"/>
      <c r="L54" s="5"/>
      <c r="M54" s="15"/>
      <c r="N54" s="5"/>
      <c r="O54" s="15"/>
      <c r="P54" s="19" t="str">
        <f t="shared" si="7"/>
        <v/>
      </c>
      <c r="Q54" s="19" t="str">
        <f t="shared" si="8"/>
        <v/>
      </c>
      <c r="R54" s="19" t="str">
        <f t="shared" si="9"/>
        <v/>
      </c>
      <c r="S54" s="5"/>
      <c r="T54" s="5"/>
      <c r="U54" s="5"/>
      <c r="V54" s="24"/>
      <c r="W54" s="15"/>
      <c r="X54" s="15"/>
      <c r="Y54" s="15"/>
      <c r="Z54" s="19" t="str">
        <f t="shared" si="10"/>
        <v/>
      </c>
      <c r="AA54" s="19" t="str">
        <f t="shared" si="11"/>
        <v/>
      </c>
      <c r="AB54" s="5"/>
      <c r="AC54" s="5"/>
      <c r="AE54" t="str">
        <f>IFERROR(INDEX(EqTag,_xlfn.AGGREGATE(15,6,(ROW(EqTag)-4)/((EqSys=$D$3)*(EqTag&lt;&gt;"")),ROWS($AE$14:AE54))),"")</f>
        <v/>
      </c>
    </row>
    <row r="55" spans="1:31" ht="30" customHeight="1" x14ac:dyDescent="0.2">
      <c r="A55" s="19" t="str">
        <f>IF(F55="","",LEFT($D$3,3)&amp;"-"&amp;TEXT(COUNTIF(F$14:F55,"?*"),"00"))</f>
        <v/>
      </c>
      <c r="B55" s="5"/>
      <c r="C55" s="6" t="str">
        <f t="shared" si="6"/>
        <v/>
      </c>
      <c r="D55" s="5"/>
      <c r="E55" s="5"/>
      <c r="F55" s="5"/>
      <c r="G55" s="5"/>
      <c r="H55" s="5"/>
      <c r="I55" s="5"/>
      <c r="J55" s="5"/>
      <c r="K55" s="15"/>
      <c r="L55" s="5"/>
      <c r="M55" s="15"/>
      <c r="N55" s="5"/>
      <c r="O55" s="15"/>
      <c r="P55" s="19" t="str">
        <f t="shared" si="7"/>
        <v/>
      </c>
      <c r="Q55" s="19" t="str">
        <f t="shared" si="8"/>
        <v/>
      </c>
      <c r="R55" s="19" t="str">
        <f t="shared" si="9"/>
        <v/>
      </c>
      <c r="S55" s="5"/>
      <c r="T55" s="5"/>
      <c r="U55" s="5"/>
      <c r="V55" s="24"/>
      <c r="W55" s="15"/>
      <c r="X55" s="15"/>
      <c r="Y55" s="15"/>
      <c r="Z55" s="19" t="str">
        <f t="shared" si="10"/>
        <v/>
      </c>
      <c r="AA55" s="19" t="str">
        <f t="shared" si="11"/>
        <v/>
      </c>
      <c r="AB55" s="5"/>
      <c r="AC55" s="5"/>
      <c r="AE55" t="str">
        <f>IFERROR(INDEX(EqTag,_xlfn.AGGREGATE(15,6,(ROW(EqTag)-4)/((EqSys=$D$3)*(EqTag&lt;&gt;"")),ROWS($AE$14:AE55))),"")</f>
        <v/>
      </c>
    </row>
    <row r="56" spans="1:31" ht="30" customHeight="1" x14ac:dyDescent="0.2">
      <c r="A56" s="19" t="str">
        <f>IF(F56="","",LEFT($D$3,3)&amp;"-"&amp;TEXT(COUNTIF(F$14:F56,"?*"),"00"))</f>
        <v/>
      </c>
      <c r="B56" s="5"/>
      <c r="C56" s="6" t="str">
        <f t="shared" si="6"/>
        <v/>
      </c>
      <c r="D56" s="5"/>
      <c r="E56" s="5"/>
      <c r="F56" s="5"/>
      <c r="G56" s="5"/>
      <c r="H56" s="5"/>
      <c r="I56" s="5"/>
      <c r="J56" s="5"/>
      <c r="K56" s="15"/>
      <c r="L56" s="5"/>
      <c r="M56" s="15"/>
      <c r="N56" s="5"/>
      <c r="O56" s="15"/>
      <c r="P56" s="19" t="str">
        <f t="shared" si="7"/>
        <v/>
      </c>
      <c r="Q56" s="19" t="str">
        <f t="shared" si="8"/>
        <v/>
      </c>
      <c r="R56" s="19" t="str">
        <f t="shared" si="9"/>
        <v/>
      </c>
      <c r="S56" s="5"/>
      <c r="T56" s="5"/>
      <c r="U56" s="5"/>
      <c r="V56" s="24"/>
      <c r="W56" s="15"/>
      <c r="X56" s="15"/>
      <c r="Y56" s="15"/>
      <c r="Z56" s="19" t="str">
        <f t="shared" si="10"/>
        <v/>
      </c>
      <c r="AA56" s="19" t="str">
        <f t="shared" si="11"/>
        <v/>
      </c>
      <c r="AB56" s="5"/>
      <c r="AC56" s="5"/>
      <c r="AE56" t="str">
        <f>IFERROR(INDEX(EqTag,_xlfn.AGGREGATE(15,6,(ROW(EqTag)-4)/((EqSys=$D$3)*(EqTag&lt;&gt;"")),ROWS($AE$14:AE56))),"")</f>
        <v/>
      </c>
    </row>
    <row r="57" spans="1:31" ht="30" customHeight="1" x14ac:dyDescent="0.2">
      <c r="A57" s="19" t="str">
        <f>IF(F57="","",LEFT($D$3,3)&amp;"-"&amp;TEXT(COUNTIF(F$14:F57,"?*"),"00"))</f>
        <v/>
      </c>
      <c r="B57" s="5"/>
      <c r="C57" s="6" t="str">
        <f t="shared" si="6"/>
        <v/>
      </c>
      <c r="D57" s="5"/>
      <c r="E57" s="5"/>
      <c r="F57" s="5"/>
      <c r="G57" s="5"/>
      <c r="H57" s="5"/>
      <c r="I57" s="5"/>
      <c r="J57" s="5"/>
      <c r="K57" s="15"/>
      <c r="L57" s="5"/>
      <c r="M57" s="15"/>
      <c r="N57" s="5"/>
      <c r="O57" s="15"/>
      <c r="P57" s="19" t="str">
        <f t="shared" si="7"/>
        <v/>
      </c>
      <c r="Q57" s="19" t="str">
        <f t="shared" si="8"/>
        <v/>
      </c>
      <c r="R57" s="19" t="str">
        <f t="shared" si="9"/>
        <v/>
      </c>
      <c r="S57" s="5"/>
      <c r="T57" s="5"/>
      <c r="U57" s="5"/>
      <c r="V57" s="24"/>
      <c r="W57" s="15"/>
      <c r="X57" s="15"/>
      <c r="Y57" s="15"/>
      <c r="Z57" s="19" t="str">
        <f t="shared" si="10"/>
        <v/>
      </c>
      <c r="AA57" s="19" t="str">
        <f t="shared" si="11"/>
        <v/>
      </c>
      <c r="AB57" s="5"/>
      <c r="AC57" s="5"/>
      <c r="AE57" t="str">
        <f>IFERROR(INDEX(EqTag,_xlfn.AGGREGATE(15,6,(ROW(EqTag)-4)/((EqSys=$D$3)*(EqTag&lt;&gt;"")),ROWS($AE$14:AE57))),"")</f>
        <v/>
      </c>
    </row>
    <row r="58" spans="1:31" ht="30" customHeight="1" x14ac:dyDescent="0.2">
      <c r="A58" s="19" t="str">
        <f>IF(F58="","",LEFT($D$3,3)&amp;"-"&amp;TEXT(COUNTIF(F$14:F58,"?*"),"00"))</f>
        <v/>
      </c>
      <c r="B58" s="5"/>
      <c r="C58" s="6" t="str">
        <f t="shared" si="6"/>
        <v/>
      </c>
      <c r="D58" s="5"/>
      <c r="E58" s="5"/>
      <c r="F58" s="5"/>
      <c r="G58" s="5"/>
      <c r="H58" s="5"/>
      <c r="I58" s="5"/>
      <c r="J58" s="5"/>
      <c r="K58" s="15"/>
      <c r="L58" s="5"/>
      <c r="M58" s="15"/>
      <c r="N58" s="5"/>
      <c r="O58" s="15"/>
      <c r="P58" s="19" t="str">
        <f t="shared" si="7"/>
        <v/>
      </c>
      <c r="Q58" s="19" t="str">
        <f t="shared" si="8"/>
        <v/>
      </c>
      <c r="R58" s="19" t="str">
        <f t="shared" si="9"/>
        <v/>
      </c>
      <c r="S58" s="5"/>
      <c r="T58" s="5"/>
      <c r="U58" s="5"/>
      <c r="V58" s="24"/>
      <c r="W58" s="15"/>
      <c r="X58" s="15"/>
      <c r="Y58" s="15"/>
      <c r="Z58" s="19" t="str">
        <f t="shared" si="10"/>
        <v/>
      </c>
      <c r="AA58" s="19" t="str">
        <f t="shared" si="11"/>
        <v/>
      </c>
      <c r="AB58" s="5"/>
      <c r="AC58" s="5"/>
      <c r="AE58" t="str">
        <f>IFERROR(INDEX(EqTag,_xlfn.AGGREGATE(15,6,(ROW(EqTag)-4)/((EqSys=$D$3)*(EqTag&lt;&gt;"")),ROWS($AE$14:AE58))),"")</f>
        <v/>
      </c>
    </row>
    <row r="59" spans="1:31" ht="30" customHeight="1" x14ac:dyDescent="0.2">
      <c r="A59" s="19" t="str">
        <f>IF(F59="","",LEFT($D$3,3)&amp;"-"&amp;TEXT(COUNTIF(F$14:F59,"?*"),"00"))</f>
        <v/>
      </c>
      <c r="B59" s="5"/>
      <c r="C59" s="6" t="str">
        <f t="shared" si="6"/>
        <v/>
      </c>
      <c r="D59" s="5"/>
      <c r="E59" s="5"/>
      <c r="F59" s="5"/>
      <c r="G59" s="5"/>
      <c r="H59" s="5"/>
      <c r="I59" s="5"/>
      <c r="J59" s="5"/>
      <c r="K59" s="15"/>
      <c r="L59" s="5"/>
      <c r="M59" s="15"/>
      <c r="N59" s="5"/>
      <c r="O59" s="15"/>
      <c r="P59" s="19" t="str">
        <f t="shared" si="7"/>
        <v/>
      </c>
      <c r="Q59" s="19" t="str">
        <f t="shared" si="8"/>
        <v/>
      </c>
      <c r="R59" s="19" t="str">
        <f t="shared" si="9"/>
        <v/>
      </c>
      <c r="S59" s="5"/>
      <c r="T59" s="5"/>
      <c r="U59" s="5"/>
      <c r="V59" s="24"/>
      <c r="W59" s="15"/>
      <c r="X59" s="15"/>
      <c r="Y59" s="15"/>
      <c r="Z59" s="19" t="str">
        <f t="shared" si="10"/>
        <v/>
      </c>
      <c r="AA59" s="19" t="str">
        <f t="shared" si="11"/>
        <v/>
      </c>
      <c r="AB59" s="5"/>
      <c r="AC59" s="5"/>
      <c r="AE59" t="str">
        <f>IFERROR(INDEX(EqTag,_xlfn.AGGREGATE(15,6,(ROW(EqTag)-4)/((EqSys=$D$3)*(EqTag&lt;&gt;"")),ROWS($AE$14:AE59))),"")</f>
        <v/>
      </c>
    </row>
    <row r="60" spans="1:31" ht="30" customHeight="1" x14ac:dyDescent="0.2">
      <c r="A60" s="19" t="str">
        <f>IF(F60="","",LEFT($D$3,3)&amp;"-"&amp;TEXT(COUNTIF(F$14:F60,"?*"),"00"))</f>
        <v/>
      </c>
      <c r="B60" s="5"/>
      <c r="C60" s="6" t="str">
        <f t="shared" si="6"/>
        <v/>
      </c>
      <c r="D60" s="5"/>
      <c r="E60" s="5"/>
      <c r="F60" s="5"/>
      <c r="G60" s="5"/>
      <c r="H60" s="5"/>
      <c r="I60" s="5"/>
      <c r="J60" s="5"/>
      <c r="K60" s="15"/>
      <c r="L60" s="5"/>
      <c r="M60" s="15"/>
      <c r="N60" s="5"/>
      <c r="O60" s="15"/>
      <c r="P60" s="19" t="str">
        <f t="shared" si="7"/>
        <v/>
      </c>
      <c r="Q60" s="19" t="str">
        <f t="shared" si="8"/>
        <v/>
      </c>
      <c r="R60" s="19" t="str">
        <f t="shared" si="9"/>
        <v/>
      </c>
      <c r="S60" s="5"/>
      <c r="T60" s="5"/>
      <c r="U60" s="5"/>
      <c r="V60" s="24"/>
      <c r="W60" s="15"/>
      <c r="X60" s="15"/>
      <c r="Y60" s="15"/>
      <c r="Z60" s="19" t="str">
        <f t="shared" si="10"/>
        <v/>
      </c>
      <c r="AA60" s="19" t="str">
        <f t="shared" si="11"/>
        <v/>
      </c>
      <c r="AB60" s="5"/>
      <c r="AC60" s="5"/>
      <c r="AE60" t="str">
        <f>IFERROR(INDEX(EqTag,_xlfn.AGGREGATE(15,6,(ROW(EqTag)-4)/((EqSys=$D$3)*(EqTag&lt;&gt;"")),ROWS($AE$14:AE60))),"")</f>
        <v/>
      </c>
    </row>
    <row r="61" spans="1:31" ht="30" customHeight="1" x14ac:dyDescent="0.2">
      <c r="A61" s="19" t="str">
        <f>IF(F61="","",LEFT($D$3,3)&amp;"-"&amp;TEXT(COUNTIF(F$14:F61,"?*"),"00"))</f>
        <v/>
      </c>
      <c r="B61" s="5"/>
      <c r="C61" s="6" t="str">
        <f t="shared" si="6"/>
        <v/>
      </c>
      <c r="D61" s="5"/>
      <c r="E61" s="5"/>
      <c r="F61" s="5"/>
      <c r="G61" s="5"/>
      <c r="H61" s="5"/>
      <c r="I61" s="5"/>
      <c r="J61" s="5"/>
      <c r="K61" s="15"/>
      <c r="L61" s="5"/>
      <c r="M61" s="15"/>
      <c r="N61" s="5"/>
      <c r="O61" s="15"/>
      <c r="P61" s="19" t="str">
        <f t="shared" si="7"/>
        <v/>
      </c>
      <c r="Q61" s="19" t="str">
        <f t="shared" si="8"/>
        <v/>
      </c>
      <c r="R61" s="19" t="str">
        <f t="shared" si="9"/>
        <v/>
      </c>
      <c r="S61" s="5"/>
      <c r="T61" s="5"/>
      <c r="U61" s="5"/>
      <c r="V61" s="24"/>
      <c r="W61" s="15"/>
      <c r="X61" s="15"/>
      <c r="Y61" s="15"/>
      <c r="Z61" s="19" t="str">
        <f t="shared" si="10"/>
        <v/>
      </c>
      <c r="AA61" s="19" t="str">
        <f t="shared" si="11"/>
        <v/>
      </c>
      <c r="AB61" s="5"/>
      <c r="AC61" s="5"/>
      <c r="AE61" t="str">
        <f>IFERROR(INDEX(EqTag,_xlfn.AGGREGATE(15,6,(ROW(EqTag)-4)/((EqSys=$D$3)*(EqTag&lt;&gt;"")),ROWS($AE$14:AE61))),"")</f>
        <v/>
      </c>
    </row>
    <row r="62" spans="1:31" ht="30" customHeight="1" x14ac:dyDescent="0.2">
      <c r="A62" s="19" t="str">
        <f>IF(F62="","",LEFT($D$3,3)&amp;"-"&amp;TEXT(COUNTIF(F$14:F62,"?*"),"00"))</f>
        <v/>
      </c>
      <c r="B62" s="5"/>
      <c r="C62" s="6" t="str">
        <f t="shared" si="6"/>
        <v/>
      </c>
      <c r="D62" s="5"/>
      <c r="E62" s="5"/>
      <c r="F62" s="5"/>
      <c r="G62" s="5"/>
      <c r="H62" s="5"/>
      <c r="I62" s="5"/>
      <c r="J62" s="5"/>
      <c r="K62" s="15"/>
      <c r="L62" s="5"/>
      <c r="M62" s="15"/>
      <c r="N62" s="5"/>
      <c r="O62" s="15"/>
      <c r="P62" s="19" t="str">
        <f t="shared" si="7"/>
        <v/>
      </c>
      <c r="Q62" s="19" t="str">
        <f t="shared" si="8"/>
        <v/>
      </c>
      <c r="R62" s="19" t="str">
        <f t="shared" si="9"/>
        <v/>
      </c>
      <c r="S62" s="5"/>
      <c r="T62" s="5"/>
      <c r="U62" s="5"/>
      <c r="V62" s="24"/>
      <c r="W62" s="15"/>
      <c r="X62" s="15"/>
      <c r="Y62" s="15"/>
      <c r="Z62" s="19" t="str">
        <f t="shared" si="10"/>
        <v/>
      </c>
      <c r="AA62" s="19" t="str">
        <f t="shared" si="11"/>
        <v/>
      </c>
      <c r="AB62" s="5"/>
      <c r="AC62" s="5"/>
      <c r="AE62" t="str">
        <f>IFERROR(INDEX(EqTag,_xlfn.AGGREGATE(15,6,(ROW(EqTag)-4)/((EqSys=$D$3)*(EqTag&lt;&gt;"")),ROWS($AE$14:AE62))),"")</f>
        <v/>
      </c>
    </row>
    <row r="63" spans="1:31" ht="30" customHeight="1" x14ac:dyDescent="0.2">
      <c r="A63" s="19" t="str">
        <f>IF(F63="","",LEFT($D$3,3)&amp;"-"&amp;TEXT(COUNTIF(F$14:F63,"?*"),"00"))</f>
        <v/>
      </c>
      <c r="B63" s="5"/>
      <c r="C63" s="6" t="str">
        <f t="shared" si="6"/>
        <v/>
      </c>
      <c r="D63" s="5"/>
      <c r="E63" s="5"/>
      <c r="F63" s="5"/>
      <c r="G63" s="5"/>
      <c r="H63" s="5"/>
      <c r="I63" s="5"/>
      <c r="J63" s="5"/>
      <c r="K63" s="15"/>
      <c r="L63" s="5"/>
      <c r="M63" s="15"/>
      <c r="N63" s="5"/>
      <c r="O63" s="15"/>
      <c r="P63" s="19" t="str">
        <f t="shared" si="7"/>
        <v/>
      </c>
      <c r="Q63" s="19" t="str">
        <f t="shared" si="8"/>
        <v/>
      </c>
      <c r="R63" s="19" t="str">
        <f t="shared" si="9"/>
        <v/>
      </c>
      <c r="S63" s="5"/>
      <c r="T63" s="5"/>
      <c r="U63" s="5"/>
      <c r="V63" s="24"/>
      <c r="W63" s="15"/>
      <c r="X63" s="15"/>
      <c r="Y63" s="15"/>
      <c r="Z63" s="19" t="str">
        <f t="shared" si="10"/>
        <v/>
      </c>
      <c r="AA63" s="19" t="str">
        <f t="shared" si="11"/>
        <v/>
      </c>
      <c r="AB63" s="5"/>
      <c r="AC63" s="5"/>
      <c r="AE63" t="str">
        <f>IFERROR(INDEX(EqTag,_xlfn.AGGREGATE(15,6,(ROW(EqTag)-4)/((EqSys=$D$3)*(EqTag&lt;&gt;"")),ROWS($AE$14:AE63))),"")</f>
        <v/>
      </c>
    </row>
    <row r="64" spans="1:31" ht="30" customHeight="1" x14ac:dyDescent="0.2">
      <c r="A64" s="19" t="str">
        <f>IF(F64="","",LEFT($D$3,3)&amp;"-"&amp;TEXT(COUNTIF(F$14:F64,"?*"),"00"))</f>
        <v/>
      </c>
      <c r="B64" s="5"/>
      <c r="C64" s="6" t="str">
        <f t="shared" si="6"/>
        <v/>
      </c>
      <c r="D64" s="5"/>
      <c r="E64" s="5"/>
      <c r="F64" s="5"/>
      <c r="G64" s="5"/>
      <c r="H64" s="5"/>
      <c r="I64" s="5"/>
      <c r="J64" s="5"/>
      <c r="K64" s="15"/>
      <c r="L64" s="5"/>
      <c r="M64" s="15"/>
      <c r="N64" s="5"/>
      <c r="O64" s="15"/>
      <c r="P64" s="19" t="str">
        <f t="shared" si="7"/>
        <v/>
      </c>
      <c r="Q64" s="19" t="str">
        <f t="shared" si="8"/>
        <v/>
      </c>
      <c r="R64" s="19" t="str">
        <f t="shared" si="9"/>
        <v/>
      </c>
      <c r="S64" s="5"/>
      <c r="T64" s="5"/>
      <c r="U64" s="5"/>
      <c r="V64" s="24"/>
      <c r="W64" s="15"/>
      <c r="X64" s="15"/>
      <c r="Y64" s="15"/>
      <c r="Z64" s="19" t="str">
        <f t="shared" si="10"/>
        <v/>
      </c>
      <c r="AA64" s="19" t="str">
        <f t="shared" si="11"/>
        <v/>
      </c>
      <c r="AB64" s="5"/>
      <c r="AC64" s="5"/>
      <c r="AE64" t="str">
        <f>IFERROR(INDEX(EqTag,_xlfn.AGGREGATE(15,6,(ROW(EqTag)-4)/((EqSys=$D$3)*(EqTag&lt;&gt;"")),ROWS($AE$14:AE64))),"")</f>
        <v/>
      </c>
    </row>
    <row r="65" spans="1:31" ht="30" customHeight="1" x14ac:dyDescent="0.2">
      <c r="A65" s="19" t="str">
        <f>IF(F65="","",LEFT($D$3,3)&amp;"-"&amp;TEXT(COUNTIF(F$14:F65,"?*"),"00"))</f>
        <v/>
      </c>
      <c r="B65" s="5"/>
      <c r="C65" s="6" t="str">
        <f t="shared" si="6"/>
        <v/>
      </c>
      <c r="D65" s="5"/>
      <c r="E65" s="5"/>
      <c r="F65" s="5"/>
      <c r="G65" s="5"/>
      <c r="H65" s="5"/>
      <c r="I65" s="5"/>
      <c r="J65" s="5"/>
      <c r="K65" s="15"/>
      <c r="L65" s="5"/>
      <c r="M65" s="15"/>
      <c r="N65" s="5"/>
      <c r="O65" s="15"/>
      <c r="P65" s="19" t="str">
        <f t="shared" si="7"/>
        <v/>
      </c>
      <c r="Q65" s="19" t="str">
        <f t="shared" si="8"/>
        <v/>
      </c>
      <c r="R65" s="19" t="str">
        <f t="shared" si="9"/>
        <v/>
      </c>
      <c r="S65" s="5"/>
      <c r="T65" s="5"/>
      <c r="U65" s="5"/>
      <c r="V65" s="24"/>
      <c r="W65" s="15"/>
      <c r="X65" s="15"/>
      <c r="Y65" s="15"/>
      <c r="Z65" s="19" t="str">
        <f t="shared" si="10"/>
        <v/>
      </c>
      <c r="AA65" s="19" t="str">
        <f t="shared" si="11"/>
        <v/>
      </c>
      <c r="AB65" s="5"/>
      <c r="AC65" s="5"/>
      <c r="AE65" t="str">
        <f>IFERROR(INDEX(EqTag,_xlfn.AGGREGATE(15,6,(ROW(EqTag)-4)/((EqSys=$D$3)*(EqTag&lt;&gt;"")),ROWS($AE$14:AE65))),"")</f>
        <v/>
      </c>
    </row>
    <row r="66" spans="1:31" ht="30" customHeight="1" x14ac:dyDescent="0.2">
      <c r="A66" s="19" t="str">
        <f>IF(F66="","",LEFT($D$3,3)&amp;"-"&amp;TEXT(COUNTIF(F$14:F66,"?*"),"00"))</f>
        <v/>
      </c>
      <c r="B66" s="5"/>
      <c r="C66" s="6" t="str">
        <f t="shared" si="6"/>
        <v/>
      </c>
      <c r="D66" s="5"/>
      <c r="E66" s="5"/>
      <c r="F66" s="5"/>
      <c r="G66" s="5"/>
      <c r="H66" s="5"/>
      <c r="I66" s="5"/>
      <c r="J66" s="5"/>
      <c r="K66" s="15"/>
      <c r="L66" s="5"/>
      <c r="M66" s="15"/>
      <c r="N66" s="5"/>
      <c r="O66" s="15"/>
      <c r="P66" s="19" t="str">
        <f t="shared" si="7"/>
        <v/>
      </c>
      <c r="Q66" s="19" t="str">
        <f t="shared" si="8"/>
        <v/>
      </c>
      <c r="R66" s="19" t="str">
        <f t="shared" si="9"/>
        <v/>
      </c>
      <c r="S66" s="5"/>
      <c r="T66" s="5"/>
      <c r="U66" s="5"/>
      <c r="V66" s="24"/>
      <c r="W66" s="15"/>
      <c r="X66" s="15"/>
      <c r="Y66" s="15"/>
      <c r="Z66" s="19" t="str">
        <f t="shared" si="10"/>
        <v/>
      </c>
      <c r="AA66" s="19" t="str">
        <f t="shared" si="11"/>
        <v/>
      </c>
      <c r="AB66" s="5"/>
      <c r="AC66" s="5"/>
      <c r="AE66" t="str">
        <f>IFERROR(INDEX(EqTag,_xlfn.AGGREGATE(15,6,(ROW(EqTag)-4)/((EqSys=$D$3)*(EqTag&lt;&gt;"")),ROWS($AE$14:AE66))),"")</f>
        <v/>
      </c>
    </row>
    <row r="67" spans="1:31" ht="30" customHeight="1" x14ac:dyDescent="0.2">
      <c r="A67" s="19" t="str">
        <f>IF(F67="","",LEFT($D$3,3)&amp;"-"&amp;TEXT(COUNTIF(F$14:F67,"?*"),"00"))</f>
        <v/>
      </c>
      <c r="B67" s="5"/>
      <c r="C67" s="6" t="str">
        <f t="shared" si="6"/>
        <v/>
      </c>
      <c r="D67" s="5"/>
      <c r="E67" s="5"/>
      <c r="F67" s="5"/>
      <c r="G67" s="5"/>
      <c r="H67" s="5"/>
      <c r="I67" s="5"/>
      <c r="J67" s="5"/>
      <c r="K67" s="15"/>
      <c r="L67" s="5"/>
      <c r="M67" s="15"/>
      <c r="N67" s="5"/>
      <c r="O67" s="15"/>
      <c r="P67" s="19" t="str">
        <f t="shared" si="7"/>
        <v/>
      </c>
      <c r="Q67" s="19" t="str">
        <f t="shared" si="8"/>
        <v/>
      </c>
      <c r="R67" s="19" t="str">
        <f t="shared" si="9"/>
        <v/>
      </c>
      <c r="S67" s="5"/>
      <c r="T67" s="5"/>
      <c r="U67" s="5"/>
      <c r="V67" s="24"/>
      <c r="W67" s="15"/>
      <c r="X67" s="15"/>
      <c r="Y67" s="15"/>
      <c r="Z67" s="19" t="str">
        <f t="shared" si="10"/>
        <v/>
      </c>
      <c r="AA67" s="19" t="str">
        <f t="shared" si="11"/>
        <v/>
      </c>
      <c r="AB67" s="5"/>
      <c r="AC67" s="5"/>
      <c r="AE67" t="str">
        <f>IFERROR(INDEX(EqTag,_xlfn.AGGREGATE(15,6,(ROW(EqTag)-4)/((EqSys=$D$3)*(EqTag&lt;&gt;"")),ROWS($AE$14:AE67))),"")</f>
        <v/>
      </c>
    </row>
    <row r="68" spans="1:31" ht="30" customHeight="1" x14ac:dyDescent="0.2">
      <c r="A68" s="19" t="str">
        <f>IF(F68="","",LEFT($D$3,3)&amp;"-"&amp;TEXT(COUNTIF(F$14:F68,"?*"),"00"))</f>
        <v/>
      </c>
      <c r="B68" s="5"/>
      <c r="C68" s="6" t="str">
        <f t="shared" si="6"/>
        <v/>
      </c>
      <c r="D68" s="5"/>
      <c r="E68" s="5"/>
      <c r="F68" s="5"/>
      <c r="G68" s="5"/>
      <c r="H68" s="5"/>
      <c r="I68" s="5"/>
      <c r="J68" s="5"/>
      <c r="K68" s="15"/>
      <c r="L68" s="5"/>
      <c r="M68" s="15"/>
      <c r="N68" s="5"/>
      <c r="O68" s="15"/>
      <c r="P68" s="19" t="str">
        <f t="shared" si="7"/>
        <v/>
      </c>
      <c r="Q68" s="19" t="str">
        <f t="shared" si="8"/>
        <v/>
      </c>
      <c r="R68" s="19" t="str">
        <f t="shared" si="9"/>
        <v/>
      </c>
      <c r="S68" s="5"/>
      <c r="T68" s="5"/>
      <c r="U68" s="5"/>
      <c r="V68" s="24"/>
      <c r="W68" s="15"/>
      <c r="X68" s="15"/>
      <c r="Y68" s="15"/>
      <c r="Z68" s="19" t="str">
        <f t="shared" si="10"/>
        <v/>
      </c>
      <c r="AA68" s="19" t="str">
        <f t="shared" si="11"/>
        <v/>
      </c>
      <c r="AB68" s="5"/>
      <c r="AC68" s="5"/>
      <c r="AE68" t="str">
        <f>IFERROR(INDEX(EqTag,_xlfn.AGGREGATE(15,6,(ROW(EqTag)-4)/((EqSys=$D$3)*(EqTag&lt;&gt;"")),ROWS($AE$14:AE68))),"")</f>
        <v/>
      </c>
    </row>
    <row r="69" spans="1:31" ht="30" customHeight="1" x14ac:dyDescent="0.2">
      <c r="A69" s="19" t="str">
        <f>IF(F69="","",LEFT($D$3,3)&amp;"-"&amp;TEXT(COUNTIF(F$14:F69,"?*"),"00"))</f>
        <v/>
      </c>
      <c r="B69" s="5"/>
      <c r="C69" s="6" t="str">
        <f t="shared" si="6"/>
        <v/>
      </c>
      <c r="D69" s="5"/>
      <c r="E69" s="5"/>
      <c r="F69" s="5"/>
      <c r="G69" s="5"/>
      <c r="H69" s="5"/>
      <c r="I69" s="5"/>
      <c r="J69" s="5"/>
      <c r="K69" s="15"/>
      <c r="L69" s="5"/>
      <c r="M69" s="15"/>
      <c r="N69" s="5"/>
      <c r="O69" s="15"/>
      <c r="P69" s="19" t="str">
        <f t="shared" si="7"/>
        <v/>
      </c>
      <c r="Q69" s="19" t="str">
        <f t="shared" si="8"/>
        <v/>
      </c>
      <c r="R69" s="19" t="str">
        <f t="shared" si="9"/>
        <v/>
      </c>
      <c r="S69" s="5"/>
      <c r="T69" s="5"/>
      <c r="U69" s="5"/>
      <c r="V69" s="24"/>
      <c r="W69" s="15"/>
      <c r="X69" s="15"/>
      <c r="Y69" s="15"/>
      <c r="Z69" s="19" t="str">
        <f t="shared" si="10"/>
        <v/>
      </c>
      <c r="AA69" s="19" t="str">
        <f t="shared" si="11"/>
        <v/>
      </c>
      <c r="AB69" s="5"/>
      <c r="AC69" s="5"/>
      <c r="AE69" t="str">
        <f>IFERROR(INDEX(EqTag,_xlfn.AGGREGATE(15,6,(ROW(EqTag)-4)/((EqSys=$D$3)*(EqTag&lt;&gt;"")),ROWS($AE$14:AE69))),"")</f>
        <v/>
      </c>
    </row>
    <row r="70" spans="1:31" ht="30" customHeight="1" x14ac:dyDescent="0.2">
      <c r="A70" s="19" t="str">
        <f>IF(F70="","",LEFT($D$3,3)&amp;"-"&amp;TEXT(COUNTIF(F$14:F70,"?*"),"00"))</f>
        <v/>
      </c>
      <c r="B70" s="5"/>
      <c r="C70" s="6" t="str">
        <f t="shared" si="6"/>
        <v/>
      </c>
      <c r="D70" s="5"/>
      <c r="E70" s="5"/>
      <c r="F70" s="5"/>
      <c r="G70" s="5"/>
      <c r="H70" s="5"/>
      <c r="I70" s="5"/>
      <c r="J70" s="5"/>
      <c r="K70" s="15"/>
      <c r="L70" s="5"/>
      <c r="M70" s="15"/>
      <c r="N70" s="5"/>
      <c r="O70" s="15"/>
      <c r="P70" s="19" t="str">
        <f t="shared" si="7"/>
        <v/>
      </c>
      <c r="Q70" s="19" t="str">
        <f t="shared" si="8"/>
        <v/>
      </c>
      <c r="R70" s="19" t="str">
        <f t="shared" si="9"/>
        <v/>
      </c>
      <c r="S70" s="5"/>
      <c r="T70" s="5"/>
      <c r="U70" s="5"/>
      <c r="V70" s="24"/>
      <c r="W70" s="15"/>
      <c r="X70" s="15"/>
      <c r="Y70" s="15"/>
      <c r="Z70" s="19" t="str">
        <f t="shared" si="10"/>
        <v/>
      </c>
      <c r="AA70" s="19" t="str">
        <f t="shared" si="11"/>
        <v/>
      </c>
      <c r="AB70" s="5"/>
      <c r="AC70" s="5"/>
      <c r="AE70" t="str">
        <f>IFERROR(INDEX(EqTag,_xlfn.AGGREGATE(15,6,(ROW(EqTag)-4)/((EqSys=$D$3)*(EqTag&lt;&gt;"")),ROWS($AE$14:AE70))),"")</f>
        <v/>
      </c>
    </row>
    <row r="71" spans="1:31" ht="30" customHeight="1" x14ac:dyDescent="0.2">
      <c r="A71" s="19" t="str">
        <f>IF(F71="","",LEFT($D$3,3)&amp;"-"&amp;TEXT(COUNTIF(F$14:F71,"?*"),"00"))</f>
        <v/>
      </c>
      <c r="B71" s="5"/>
      <c r="C71" s="6" t="str">
        <f t="shared" si="6"/>
        <v/>
      </c>
      <c r="D71" s="5"/>
      <c r="E71" s="5"/>
      <c r="F71" s="5"/>
      <c r="G71" s="5"/>
      <c r="H71" s="5"/>
      <c r="I71" s="5"/>
      <c r="J71" s="5"/>
      <c r="K71" s="15"/>
      <c r="L71" s="5"/>
      <c r="M71" s="15"/>
      <c r="N71" s="5"/>
      <c r="O71" s="15"/>
      <c r="P71" s="19" t="str">
        <f t="shared" si="7"/>
        <v/>
      </c>
      <c r="Q71" s="19" t="str">
        <f t="shared" si="8"/>
        <v/>
      </c>
      <c r="R71" s="19" t="str">
        <f t="shared" si="9"/>
        <v/>
      </c>
      <c r="S71" s="5"/>
      <c r="T71" s="5"/>
      <c r="U71" s="5"/>
      <c r="V71" s="24"/>
      <c r="W71" s="15"/>
      <c r="X71" s="15"/>
      <c r="Y71" s="15"/>
      <c r="Z71" s="19" t="str">
        <f t="shared" si="10"/>
        <v/>
      </c>
      <c r="AA71" s="19" t="str">
        <f t="shared" si="11"/>
        <v/>
      </c>
      <c r="AB71" s="5"/>
      <c r="AC71" s="5"/>
      <c r="AE71" t="str">
        <f>IFERROR(INDEX(EqTag,_xlfn.AGGREGATE(15,6,(ROW(EqTag)-4)/((EqSys=$D$3)*(EqTag&lt;&gt;"")),ROWS($AE$14:AE71))),"")</f>
        <v/>
      </c>
    </row>
    <row r="72" spans="1:31" ht="30" customHeight="1" x14ac:dyDescent="0.2">
      <c r="A72" s="19" t="str">
        <f>IF(F72="","",LEFT($D$3,3)&amp;"-"&amp;TEXT(COUNTIF(F$14:F72,"?*"),"00"))</f>
        <v/>
      </c>
      <c r="B72" s="5"/>
      <c r="C72" s="6" t="str">
        <f t="shared" si="6"/>
        <v/>
      </c>
      <c r="D72" s="5"/>
      <c r="E72" s="5"/>
      <c r="F72" s="5"/>
      <c r="G72" s="5"/>
      <c r="H72" s="5"/>
      <c r="I72" s="5"/>
      <c r="J72" s="5"/>
      <c r="K72" s="15"/>
      <c r="L72" s="5"/>
      <c r="M72" s="15"/>
      <c r="N72" s="5"/>
      <c r="O72" s="15"/>
      <c r="P72" s="19" t="str">
        <f t="shared" si="7"/>
        <v/>
      </c>
      <c r="Q72" s="19" t="str">
        <f t="shared" si="8"/>
        <v/>
      </c>
      <c r="R72" s="19" t="str">
        <f t="shared" si="9"/>
        <v/>
      </c>
      <c r="S72" s="5"/>
      <c r="T72" s="5"/>
      <c r="U72" s="5"/>
      <c r="V72" s="24"/>
      <c r="W72" s="15"/>
      <c r="X72" s="15"/>
      <c r="Y72" s="15"/>
      <c r="Z72" s="19" t="str">
        <f t="shared" si="10"/>
        <v/>
      </c>
      <c r="AA72" s="19" t="str">
        <f t="shared" si="11"/>
        <v/>
      </c>
      <c r="AB72" s="5"/>
      <c r="AC72" s="5"/>
      <c r="AE72" t="str">
        <f>IFERROR(INDEX(EqTag,_xlfn.AGGREGATE(15,6,(ROW(EqTag)-4)/((EqSys=$D$3)*(EqTag&lt;&gt;"")),ROWS($AE$14:AE72))),"")</f>
        <v/>
      </c>
    </row>
    <row r="73" spans="1:31" ht="30" customHeight="1" x14ac:dyDescent="0.2">
      <c r="A73" s="19" t="str">
        <f>IF(F73="","",LEFT($D$3,3)&amp;"-"&amp;TEXT(COUNTIF(F$14:F73,"?*"),"00"))</f>
        <v/>
      </c>
      <c r="B73" s="5"/>
      <c r="C73" s="6" t="str">
        <f t="shared" si="6"/>
        <v/>
      </c>
      <c r="D73" s="5"/>
      <c r="E73" s="5"/>
      <c r="F73" s="5"/>
      <c r="G73" s="5"/>
      <c r="H73" s="5"/>
      <c r="I73" s="5"/>
      <c r="J73" s="5"/>
      <c r="K73" s="15"/>
      <c r="L73" s="5"/>
      <c r="M73" s="15"/>
      <c r="N73" s="5"/>
      <c r="O73" s="15"/>
      <c r="P73" s="19" t="str">
        <f t="shared" si="7"/>
        <v/>
      </c>
      <c r="Q73" s="19" t="str">
        <f t="shared" si="8"/>
        <v/>
      </c>
      <c r="R73" s="19" t="str">
        <f t="shared" si="9"/>
        <v/>
      </c>
      <c r="S73" s="5"/>
      <c r="T73" s="5"/>
      <c r="U73" s="5"/>
      <c r="V73" s="24"/>
      <c r="W73" s="15"/>
      <c r="X73" s="15"/>
      <c r="Y73" s="15"/>
      <c r="Z73" s="19" t="str">
        <f t="shared" si="10"/>
        <v/>
      </c>
      <c r="AA73" s="19" t="str">
        <f t="shared" si="11"/>
        <v/>
      </c>
      <c r="AB73" s="5"/>
      <c r="AC73" s="5"/>
      <c r="AE73" t="str">
        <f>IFERROR(INDEX(EqTag,_xlfn.AGGREGATE(15,6,(ROW(EqTag)-4)/((EqSys=$D$3)*(EqTag&lt;&gt;"")),ROWS($AE$14:AE73))),"")</f>
        <v/>
      </c>
    </row>
    <row r="74" spans="1:31" ht="30" customHeight="1" x14ac:dyDescent="0.2">
      <c r="A74" s="19" t="str">
        <f>IF(F74="","",LEFT($D$3,3)&amp;"-"&amp;TEXT(COUNTIF(F$14:F74,"?*"),"00"))</f>
        <v/>
      </c>
      <c r="B74" s="5"/>
      <c r="C74" s="6" t="str">
        <f t="shared" si="6"/>
        <v/>
      </c>
      <c r="D74" s="5"/>
      <c r="E74" s="5"/>
      <c r="F74" s="5"/>
      <c r="G74" s="5"/>
      <c r="H74" s="5"/>
      <c r="I74" s="5"/>
      <c r="J74" s="5"/>
      <c r="K74" s="15"/>
      <c r="L74" s="5"/>
      <c r="M74" s="15"/>
      <c r="N74" s="5"/>
      <c r="O74" s="15"/>
      <c r="P74" s="19" t="str">
        <f t="shared" si="7"/>
        <v/>
      </c>
      <c r="Q74" s="19" t="str">
        <f t="shared" si="8"/>
        <v/>
      </c>
      <c r="R74" s="19" t="str">
        <f t="shared" si="9"/>
        <v/>
      </c>
      <c r="S74" s="5"/>
      <c r="T74" s="5"/>
      <c r="U74" s="5"/>
      <c r="V74" s="24"/>
      <c r="W74" s="15"/>
      <c r="X74" s="15"/>
      <c r="Y74" s="15"/>
      <c r="Z74" s="19" t="str">
        <f t="shared" si="10"/>
        <v/>
      </c>
      <c r="AA74" s="19" t="str">
        <f t="shared" si="11"/>
        <v/>
      </c>
      <c r="AB74" s="5"/>
      <c r="AC74" s="5"/>
      <c r="AE74" t="str">
        <f>IFERROR(INDEX(EqTag,_xlfn.AGGREGATE(15,6,(ROW(EqTag)-4)/((EqSys=$D$3)*(EqTag&lt;&gt;"")),ROWS($AE$14:AE74))),"")</f>
        <v/>
      </c>
    </row>
    <row r="75" spans="1:31" ht="30" customHeight="1" x14ac:dyDescent="0.2">
      <c r="A75" s="19" t="str">
        <f>IF(F75="","",LEFT($D$3,3)&amp;"-"&amp;TEXT(COUNTIF(F$14:F75,"?*"),"00"))</f>
        <v/>
      </c>
      <c r="B75" s="5"/>
      <c r="C75" s="6" t="str">
        <f t="shared" si="6"/>
        <v/>
      </c>
      <c r="D75" s="5"/>
      <c r="E75" s="5"/>
      <c r="F75" s="5"/>
      <c r="G75" s="5"/>
      <c r="H75" s="5"/>
      <c r="I75" s="5"/>
      <c r="J75" s="5"/>
      <c r="K75" s="15"/>
      <c r="L75" s="5"/>
      <c r="M75" s="15"/>
      <c r="N75" s="5"/>
      <c r="O75" s="15"/>
      <c r="P75" s="19" t="str">
        <f t="shared" si="7"/>
        <v/>
      </c>
      <c r="Q75" s="19" t="str">
        <f t="shared" si="8"/>
        <v/>
      </c>
      <c r="R75" s="19" t="str">
        <f t="shared" si="9"/>
        <v/>
      </c>
      <c r="S75" s="5"/>
      <c r="T75" s="5"/>
      <c r="U75" s="5"/>
      <c r="V75" s="24"/>
      <c r="W75" s="15"/>
      <c r="X75" s="15"/>
      <c r="Y75" s="15"/>
      <c r="Z75" s="19" t="str">
        <f t="shared" si="10"/>
        <v/>
      </c>
      <c r="AA75" s="19" t="str">
        <f t="shared" si="11"/>
        <v/>
      </c>
      <c r="AB75" s="5"/>
      <c r="AC75" s="5"/>
      <c r="AE75" t="str">
        <f>IFERROR(INDEX(EqTag,_xlfn.AGGREGATE(15,6,(ROW(EqTag)-4)/((EqSys=$D$3)*(EqTag&lt;&gt;"")),ROWS($AE$14:AE75))),"")</f>
        <v/>
      </c>
    </row>
    <row r="76" spans="1:31" ht="30" customHeight="1" x14ac:dyDescent="0.2">
      <c r="A76" s="19" t="str">
        <f>IF(F76="","",LEFT($D$3,3)&amp;"-"&amp;TEXT(COUNTIF(F$14:F76,"?*"),"00"))</f>
        <v/>
      </c>
      <c r="B76" s="5"/>
      <c r="C76" s="6" t="str">
        <f t="shared" si="6"/>
        <v/>
      </c>
      <c r="D76" s="5"/>
      <c r="E76" s="5"/>
      <c r="F76" s="5"/>
      <c r="G76" s="5"/>
      <c r="H76" s="5"/>
      <c r="I76" s="5"/>
      <c r="J76" s="5"/>
      <c r="K76" s="15"/>
      <c r="L76" s="5"/>
      <c r="M76" s="15"/>
      <c r="N76" s="5"/>
      <c r="O76" s="15"/>
      <c r="P76" s="19" t="str">
        <f t="shared" si="7"/>
        <v/>
      </c>
      <c r="Q76" s="19" t="str">
        <f t="shared" si="8"/>
        <v/>
      </c>
      <c r="R76" s="19" t="str">
        <f t="shared" si="9"/>
        <v/>
      </c>
      <c r="S76" s="5"/>
      <c r="T76" s="5"/>
      <c r="U76" s="5"/>
      <c r="V76" s="24"/>
      <c r="W76" s="15"/>
      <c r="X76" s="15"/>
      <c r="Y76" s="15"/>
      <c r="Z76" s="19" t="str">
        <f t="shared" si="10"/>
        <v/>
      </c>
      <c r="AA76" s="19" t="str">
        <f t="shared" si="11"/>
        <v/>
      </c>
      <c r="AB76" s="5"/>
      <c r="AC76" s="5"/>
      <c r="AE76" t="str">
        <f>IFERROR(INDEX(EqTag,_xlfn.AGGREGATE(15,6,(ROW(EqTag)-4)/((EqSys=$D$3)*(EqTag&lt;&gt;"")),ROWS($AE$14:AE76))),"")</f>
        <v/>
      </c>
    </row>
    <row r="77" spans="1:31" ht="30" customHeight="1" x14ac:dyDescent="0.2">
      <c r="A77" s="19" t="str">
        <f>IF(F77="","",LEFT($D$3,3)&amp;"-"&amp;TEXT(COUNTIF(F$14:F77,"?*"),"00"))</f>
        <v/>
      </c>
      <c r="B77" s="5"/>
      <c r="C77" s="6" t="str">
        <f t="shared" si="6"/>
        <v/>
      </c>
      <c r="D77" s="5"/>
      <c r="E77" s="5"/>
      <c r="F77" s="5"/>
      <c r="G77" s="5"/>
      <c r="H77" s="5"/>
      <c r="I77" s="5"/>
      <c r="J77" s="5"/>
      <c r="K77" s="15"/>
      <c r="L77" s="5"/>
      <c r="M77" s="15"/>
      <c r="N77" s="5"/>
      <c r="O77" s="15"/>
      <c r="P77" s="19" t="str">
        <f t="shared" si="7"/>
        <v/>
      </c>
      <c r="Q77" s="19" t="str">
        <f t="shared" si="8"/>
        <v/>
      </c>
      <c r="R77" s="19" t="str">
        <f t="shared" si="9"/>
        <v/>
      </c>
      <c r="S77" s="5"/>
      <c r="T77" s="5"/>
      <c r="U77" s="5"/>
      <c r="V77" s="24"/>
      <c r="W77" s="15"/>
      <c r="X77" s="15"/>
      <c r="Y77" s="15"/>
      <c r="Z77" s="19" t="str">
        <f t="shared" si="10"/>
        <v/>
      </c>
      <c r="AA77" s="19" t="str">
        <f t="shared" si="11"/>
        <v/>
      </c>
      <c r="AB77" s="5"/>
      <c r="AC77" s="5"/>
      <c r="AE77" t="str">
        <f>IFERROR(INDEX(EqTag,_xlfn.AGGREGATE(15,6,(ROW(EqTag)-4)/((EqSys=$D$3)*(EqTag&lt;&gt;"")),ROWS($AE$14:AE77))),"")</f>
        <v/>
      </c>
    </row>
    <row r="78" spans="1:31" ht="30" customHeight="1" x14ac:dyDescent="0.2">
      <c r="A78" s="19" t="str">
        <f>IF(F78="","",LEFT($D$3,3)&amp;"-"&amp;TEXT(COUNTIF(F$14:F78,"?*"),"00"))</f>
        <v/>
      </c>
      <c r="B78" s="5"/>
      <c r="C78" s="6" t="str">
        <f t="shared" ref="C78:C109" si="12">IF(B78="","",IFERROR(INDEX(EqTypeCol,MATCH(B78,EqTag,0)),"Tag not in register"))</f>
        <v/>
      </c>
      <c r="D78" s="5"/>
      <c r="E78" s="5"/>
      <c r="F78" s="5"/>
      <c r="G78" s="5"/>
      <c r="H78" s="5"/>
      <c r="I78" s="5"/>
      <c r="J78" s="5"/>
      <c r="K78" s="15"/>
      <c r="L78" s="5"/>
      <c r="M78" s="15"/>
      <c r="N78" s="5"/>
      <c r="O78" s="15"/>
      <c r="P78" s="19" t="str">
        <f t="shared" ref="P78:P109" si="13">IF(OR(K78="",M78="",O78=""),"",(--TRIM(LEFT(K78,2)))*(--TRIM(LEFT(M78,2)))*(--TRIM(LEFT(O78,2))))</f>
        <v/>
      </c>
      <c r="Q78" s="19" t="str">
        <f t="shared" ref="Q78:Q109" si="14">IF(OR(K78="",M78="",O78=""),"",INDEX(APGrid,COUNTIF(APS,"&gt;"&amp;(--TRIM(LEFT(K78,2))))*5+COUNTIF(APO,"&gt;"&amp;(--TRIM(LEFT(M78,2))))+1,COUNTIF(APD,"&gt;"&amp;(--TRIM(LEFT(O78,2))))+1))</f>
        <v/>
      </c>
      <c r="R78" s="19" t="str">
        <f t="shared" ref="R78:R109" si="15">IF(P78="","",IF(OR((--TRIM(LEFT(K78,2)))&gt;=SThr,P78&gt;=RPNThr,Q78="H"),"Yes","No"))</f>
        <v/>
      </c>
      <c r="S78" s="5"/>
      <c r="T78" s="5"/>
      <c r="U78" s="5"/>
      <c r="V78" s="24"/>
      <c r="W78" s="15"/>
      <c r="X78" s="15"/>
      <c r="Y78" s="15"/>
      <c r="Z78" s="19" t="str">
        <f t="shared" ref="Z78:Z109" si="16">IF(OR(W78="",X78="",Y78=""),"",(--TRIM(LEFT(W78,2)))*(--TRIM(LEFT(X78,2)))*(--TRIM(LEFT(Y78,2))))</f>
        <v/>
      </c>
      <c r="AA78" s="19" t="str">
        <f t="shared" ref="AA78:AA109" si="17">IF(OR(W78="",X78="",Y78=""),"",INDEX(APGrid,COUNTIF(APS,"&gt;"&amp;(--TRIM(LEFT(W78,2))))*5+COUNTIF(APO,"&gt;"&amp;(--TRIM(LEFT(X78,2))))+1,COUNTIF(APD,"&gt;"&amp;(--TRIM(LEFT(Y78,2))))+1))</f>
        <v/>
      </c>
      <c r="AB78" s="5"/>
      <c r="AC78" s="5"/>
      <c r="AE78" t="str">
        <f>IFERROR(INDEX(EqTag,_xlfn.AGGREGATE(15,6,(ROW(EqTag)-4)/((EqSys=$D$3)*(EqTag&lt;&gt;"")),ROWS($AE$14:AE78))),"")</f>
        <v/>
      </c>
    </row>
    <row r="79" spans="1:31" ht="30" customHeight="1" x14ac:dyDescent="0.2">
      <c r="A79" s="19" t="str">
        <f>IF(F79="","",LEFT($D$3,3)&amp;"-"&amp;TEXT(COUNTIF(F$14:F79,"?*"),"00"))</f>
        <v/>
      </c>
      <c r="B79" s="5"/>
      <c r="C79" s="6" t="str">
        <f t="shared" si="12"/>
        <v/>
      </c>
      <c r="D79" s="5"/>
      <c r="E79" s="5"/>
      <c r="F79" s="5"/>
      <c r="G79" s="5"/>
      <c r="H79" s="5"/>
      <c r="I79" s="5"/>
      <c r="J79" s="5"/>
      <c r="K79" s="15"/>
      <c r="L79" s="5"/>
      <c r="M79" s="15"/>
      <c r="N79" s="5"/>
      <c r="O79" s="15"/>
      <c r="P79" s="19" t="str">
        <f t="shared" si="13"/>
        <v/>
      </c>
      <c r="Q79" s="19" t="str">
        <f t="shared" si="14"/>
        <v/>
      </c>
      <c r="R79" s="19" t="str">
        <f t="shared" si="15"/>
        <v/>
      </c>
      <c r="S79" s="5"/>
      <c r="T79" s="5"/>
      <c r="U79" s="5"/>
      <c r="V79" s="24"/>
      <c r="W79" s="15"/>
      <c r="X79" s="15"/>
      <c r="Y79" s="15"/>
      <c r="Z79" s="19" t="str">
        <f t="shared" si="16"/>
        <v/>
      </c>
      <c r="AA79" s="19" t="str">
        <f t="shared" si="17"/>
        <v/>
      </c>
      <c r="AB79" s="5"/>
      <c r="AC79" s="5"/>
      <c r="AE79" t="str">
        <f>IFERROR(INDEX(EqTag,_xlfn.AGGREGATE(15,6,(ROW(EqTag)-4)/((EqSys=$D$3)*(EqTag&lt;&gt;"")),ROWS($AE$14:AE79))),"")</f>
        <v/>
      </c>
    </row>
    <row r="80" spans="1:31" ht="30" customHeight="1" x14ac:dyDescent="0.2">
      <c r="A80" s="19" t="str">
        <f>IF(F80="","",LEFT($D$3,3)&amp;"-"&amp;TEXT(COUNTIF(F$14:F80,"?*"),"00"))</f>
        <v/>
      </c>
      <c r="B80" s="5"/>
      <c r="C80" s="6" t="str">
        <f t="shared" si="12"/>
        <v/>
      </c>
      <c r="D80" s="5"/>
      <c r="E80" s="5"/>
      <c r="F80" s="5"/>
      <c r="G80" s="5"/>
      <c r="H80" s="5"/>
      <c r="I80" s="5"/>
      <c r="J80" s="5"/>
      <c r="K80" s="15"/>
      <c r="L80" s="5"/>
      <c r="M80" s="15"/>
      <c r="N80" s="5"/>
      <c r="O80" s="15"/>
      <c r="P80" s="19" t="str">
        <f t="shared" si="13"/>
        <v/>
      </c>
      <c r="Q80" s="19" t="str">
        <f t="shared" si="14"/>
        <v/>
      </c>
      <c r="R80" s="19" t="str">
        <f t="shared" si="15"/>
        <v/>
      </c>
      <c r="S80" s="5"/>
      <c r="T80" s="5"/>
      <c r="U80" s="5"/>
      <c r="V80" s="24"/>
      <c r="W80" s="15"/>
      <c r="X80" s="15"/>
      <c r="Y80" s="15"/>
      <c r="Z80" s="19" t="str">
        <f t="shared" si="16"/>
        <v/>
      </c>
      <c r="AA80" s="19" t="str">
        <f t="shared" si="17"/>
        <v/>
      </c>
      <c r="AB80" s="5"/>
      <c r="AC80" s="5"/>
      <c r="AE80" t="str">
        <f>IFERROR(INDEX(EqTag,_xlfn.AGGREGATE(15,6,(ROW(EqTag)-4)/((EqSys=$D$3)*(EqTag&lt;&gt;"")),ROWS($AE$14:AE80))),"")</f>
        <v/>
      </c>
    </row>
    <row r="81" spans="1:31" ht="30" customHeight="1" x14ac:dyDescent="0.2">
      <c r="A81" s="19" t="str">
        <f>IF(F81="","",LEFT($D$3,3)&amp;"-"&amp;TEXT(COUNTIF(F$14:F81,"?*"),"00"))</f>
        <v/>
      </c>
      <c r="B81" s="5"/>
      <c r="C81" s="6" t="str">
        <f t="shared" si="12"/>
        <v/>
      </c>
      <c r="D81" s="5"/>
      <c r="E81" s="5"/>
      <c r="F81" s="5"/>
      <c r="G81" s="5"/>
      <c r="H81" s="5"/>
      <c r="I81" s="5"/>
      <c r="J81" s="5"/>
      <c r="K81" s="15"/>
      <c r="L81" s="5"/>
      <c r="M81" s="15"/>
      <c r="N81" s="5"/>
      <c r="O81" s="15"/>
      <c r="P81" s="19" t="str">
        <f t="shared" si="13"/>
        <v/>
      </c>
      <c r="Q81" s="19" t="str">
        <f t="shared" si="14"/>
        <v/>
      </c>
      <c r="R81" s="19" t="str">
        <f t="shared" si="15"/>
        <v/>
      </c>
      <c r="S81" s="5"/>
      <c r="T81" s="5"/>
      <c r="U81" s="5"/>
      <c r="V81" s="24"/>
      <c r="W81" s="15"/>
      <c r="X81" s="15"/>
      <c r="Y81" s="15"/>
      <c r="Z81" s="19" t="str">
        <f t="shared" si="16"/>
        <v/>
      </c>
      <c r="AA81" s="19" t="str">
        <f t="shared" si="17"/>
        <v/>
      </c>
      <c r="AB81" s="5"/>
      <c r="AC81" s="5"/>
      <c r="AE81" t="str">
        <f>IFERROR(INDEX(EqTag,_xlfn.AGGREGATE(15,6,(ROW(EqTag)-4)/((EqSys=$D$3)*(EqTag&lt;&gt;"")),ROWS($AE$14:AE81))),"")</f>
        <v/>
      </c>
    </row>
    <row r="82" spans="1:31" ht="30" customHeight="1" x14ac:dyDescent="0.2">
      <c r="A82" s="19" t="str">
        <f>IF(F82="","",LEFT($D$3,3)&amp;"-"&amp;TEXT(COUNTIF(F$14:F82,"?*"),"00"))</f>
        <v/>
      </c>
      <c r="B82" s="5"/>
      <c r="C82" s="6" t="str">
        <f t="shared" si="12"/>
        <v/>
      </c>
      <c r="D82" s="5"/>
      <c r="E82" s="5"/>
      <c r="F82" s="5"/>
      <c r="G82" s="5"/>
      <c r="H82" s="5"/>
      <c r="I82" s="5"/>
      <c r="J82" s="5"/>
      <c r="K82" s="15"/>
      <c r="L82" s="5"/>
      <c r="M82" s="15"/>
      <c r="N82" s="5"/>
      <c r="O82" s="15"/>
      <c r="P82" s="19" t="str">
        <f t="shared" si="13"/>
        <v/>
      </c>
      <c r="Q82" s="19" t="str">
        <f t="shared" si="14"/>
        <v/>
      </c>
      <c r="R82" s="19" t="str">
        <f t="shared" si="15"/>
        <v/>
      </c>
      <c r="S82" s="5"/>
      <c r="T82" s="5"/>
      <c r="U82" s="5"/>
      <c r="V82" s="24"/>
      <c r="W82" s="15"/>
      <c r="X82" s="15"/>
      <c r="Y82" s="15"/>
      <c r="Z82" s="19" t="str">
        <f t="shared" si="16"/>
        <v/>
      </c>
      <c r="AA82" s="19" t="str">
        <f t="shared" si="17"/>
        <v/>
      </c>
      <c r="AB82" s="5"/>
      <c r="AC82" s="5"/>
      <c r="AE82" t="str">
        <f>IFERROR(INDEX(EqTag,_xlfn.AGGREGATE(15,6,(ROW(EqTag)-4)/((EqSys=$D$3)*(EqTag&lt;&gt;"")),ROWS($AE$14:AE82))),"")</f>
        <v/>
      </c>
    </row>
    <row r="83" spans="1:31" ht="30" customHeight="1" x14ac:dyDescent="0.2">
      <c r="A83" s="19" t="str">
        <f>IF(F83="","",LEFT($D$3,3)&amp;"-"&amp;TEXT(COUNTIF(F$14:F83,"?*"),"00"))</f>
        <v/>
      </c>
      <c r="B83" s="5"/>
      <c r="C83" s="6" t="str">
        <f t="shared" si="12"/>
        <v/>
      </c>
      <c r="D83" s="5"/>
      <c r="E83" s="5"/>
      <c r="F83" s="5"/>
      <c r="G83" s="5"/>
      <c r="H83" s="5"/>
      <c r="I83" s="5"/>
      <c r="J83" s="5"/>
      <c r="K83" s="15"/>
      <c r="L83" s="5"/>
      <c r="M83" s="15"/>
      <c r="N83" s="5"/>
      <c r="O83" s="15"/>
      <c r="P83" s="19" t="str">
        <f t="shared" si="13"/>
        <v/>
      </c>
      <c r="Q83" s="19" t="str">
        <f t="shared" si="14"/>
        <v/>
      </c>
      <c r="R83" s="19" t="str">
        <f t="shared" si="15"/>
        <v/>
      </c>
      <c r="S83" s="5"/>
      <c r="T83" s="5"/>
      <c r="U83" s="5"/>
      <c r="V83" s="24"/>
      <c r="W83" s="15"/>
      <c r="X83" s="15"/>
      <c r="Y83" s="15"/>
      <c r="Z83" s="19" t="str">
        <f t="shared" si="16"/>
        <v/>
      </c>
      <c r="AA83" s="19" t="str">
        <f t="shared" si="17"/>
        <v/>
      </c>
      <c r="AB83" s="5"/>
      <c r="AC83" s="5"/>
      <c r="AE83" t="str">
        <f>IFERROR(INDEX(EqTag,_xlfn.AGGREGATE(15,6,(ROW(EqTag)-4)/((EqSys=$D$3)*(EqTag&lt;&gt;"")),ROWS($AE$14:AE83))),"")</f>
        <v/>
      </c>
    </row>
    <row r="84" spans="1:31" ht="30" customHeight="1" x14ac:dyDescent="0.2">
      <c r="A84" s="19" t="str">
        <f>IF(F84="","",LEFT($D$3,3)&amp;"-"&amp;TEXT(COUNTIF(F$14:F84,"?*"),"00"))</f>
        <v/>
      </c>
      <c r="B84" s="5"/>
      <c r="C84" s="6" t="str">
        <f t="shared" si="12"/>
        <v/>
      </c>
      <c r="D84" s="5"/>
      <c r="E84" s="5"/>
      <c r="F84" s="5"/>
      <c r="G84" s="5"/>
      <c r="H84" s="5"/>
      <c r="I84" s="5"/>
      <c r="J84" s="5"/>
      <c r="K84" s="15"/>
      <c r="L84" s="5"/>
      <c r="M84" s="15"/>
      <c r="N84" s="5"/>
      <c r="O84" s="15"/>
      <c r="P84" s="19" t="str">
        <f t="shared" si="13"/>
        <v/>
      </c>
      <c r="Q84" s="19" t="str">
        <f t="shared" si="14"/>
        <v/>
      </c>
      <c r="R84" s="19" t="str">
        <f t="shared" si="15"/>
        <v/>
      </c>
      <c r="S84" s="5"/>
      <c r="T84" s="5"/>
      <c r="U84" s="5"/>
      <c r="V84" s="24"/>
      <c r="W84" s="15"/>
      <c r="X84" s="15"/>
      <c r="Y84" s="15"/>
      <c r="Z84" s="19" t="str">
        <f t="shared" si="16"/>
        <v/>
      </c>
      <c r="AA84" s="19" t="str">
        <f t="shared" si="17"/>
        <v/>
      </c>
      <c r="AB84" s="5"/>
      <c r="AC84" s="5"/>
      <c r="AE84" t="str">
        <f>IFERROR(INDEX(EqTag,_xlfn.AGGREGATE(15,6,(ROW(EqTag)-4)/((EqSys=$D$3)*(EqTag&lt;&gt;"")),ROWS($AE$14:AE84))),"")</f>
        <v/>
      </c>
    </row>
    <row r="85" spans="1:31" ht="30" customHeight="1" x14ac:dyDescent="0.2">
      <c r="A85" s="19" t="str">
        <f>IF(F85="","",LEFT($D$3,3)&amp;"-"&amp;TEXT(COUNTIF(F$14:F85,"?*"),"00"))</f>
        <v/>
      </c>
      <c r="B85" s="5"/>
      <c r="C85" s="6" t="str">
        <f t="shared" si="12"/>
        <v/>
      </c>
      <c r="D85" s="5"/>
      <c r="E85" s="5"/>
      <c r="F85" s="5"/>
      <c r="G85" s="5"/>
      <c r="H85" s="5"/>
      <c r="I85" s="5"/>
      <c r="J85" s="5"/>
      <c r="K85" s="15"/>
      <c r="L85" s="5"/>
      <c r="M85" s="15"/>
      <c r="N85" s="5"/>
      <c r="O85" s="15"/>
      <c r="P85" s="19" t="str">
        <f t="shared" si="13"/>
        <v/>
      </c>
      <c r="Q85" s="19" t="str">
        <f t="shared" si="14"/>
        <v/>
      </c>
      <c r="R85" s="19" t="str">
        <f t="shared" si="15"/>
        <v/>
      </c>
      <c r="S85" s="5"/>
      <c r="T85" s="5"/>
      <c r="U85" s="5"/>
      <c r="V85" s="24"/>
      <c r="W85" s="15"/>
      <c r="X85" s="15"/>
      <c r="Y85" s="15"/>
      <c r="Z85" s="19" t="str">
        <f t="shared" si="16"/>
        <v/>
      </c>
      <c r="AA85" s="19" t="str">
        <f t="shared" si="17"/>
        <v/>
      </c>
      <c r="AB85" s="5"/>
      <c r="AC85" s="5"/>
      <c r="AE85" t="str">
        <f>IFERROR(INDEX(EqTag,_xlfn.AGGREGATE(15,6,(ROW(EqTag)-4)/((EqSys=$D$3)*(EqTag&lt;&gt;"")),ROWS($AE$14:AE85))),"")</f>
        <v/>
      </c>
    </row>
    <row r="86" spans="1:31" ht="30" customHeight="1" x14ac:dyDescent="0.2">
      <c r="A86" s="19" t="str">
        <f>IF(F86="","",LEFT($D$3,3)&amp;"-"&amp;TEXT(COUNTIF(F$14:F86,"?*"),"00"))</f>
        <v/>
      </c>
      <c r="B86" s="5"/>
      <c r="C86" s="6" t="str">
        <f t="shared" si="12"/>
        <v/>
      </c>
      <c r="D86" s="5"/>
      <c r="E86" s="5"/>
      <c r="F86" s="5"/>
      <c r="G86" s="5"/>
      <c r="H86" s="5"/>
      <c r="I86" s="5"/>
      <c r="J86" s="5"/>
      <c r="K86" s="15"/>
      <c r="L86" s="5"/>
      <c r="M86" s="15"/>
      <c r="N86" s="5"/>
      <c r="O86" s="15"/>
      <c r="P86" s="19" t="str">
        <f t="shared" si="13"/>
        <v/>
      </c>
      <c r="Q86" s="19" t="str">
        <f t="shared" si="14"/>
        <v/>
      </c>
      <c r="R86" s="19" t="str">
        <f t="shared" si="15"/>
        <v/>
      </c>
      <c r="S86" s="5"/>
      <c r="T86" s="5"/>
      <c r="U86" s="5"/>
      <c r="V86" s="24"/>
      <c r="W86" s="15"/>
      <c r="X86" s="15"/>
      <c r="Y86" s="15"/>
      <c r="Z86" s="19" t="str">
        <f t="shared" si="16"/>
        <v/>
      </c>
      <c r="AA86" s="19" t="str">
        <f t="shared" si="17"/>
        <v/>
      </c>
      <c r="AB86" s="5"/>
      <c r="AC86" s="5"/>
      <c r="AE86" t="str">
        <f>IFERROR(INDEX(EqTag,_xlfn.AGGREGATE(15,6,(ROW(EqTag)-4)/((EqSys=$D$3)*(EqTag&lt;&gt;"")),ROWS($AE$14:AE86))),"")</f>
        <v/>
      </c>
    </row>
    <row r="87" spans="1:31" ht="30" customHeight="1" x14ac:dyDescent="0.2">
      <c r="A87" s="19" t="str">
        <f>IF(F87="","",LEFT($D$3,3)&amp;"-"&amp;TEXT(COUNTIF(F$14:F87,"?*"),"00"))</f>
        <v/>
      </c>
      <c r="B87" s="5"/>
      <c r="C87" s="6" t="str">
        <f t="shared" si="12"/>
        <v/>
      </c>
      <c r="D87" s="5"/>
      <c r="E87" s="5"/>
      <c r="F87" s="5"/>
      <c r="G87" s="5"/>
      <c r="H87" s="5"/>
      <c r="I87" s="5"/>
      <c r="J87" s="5"/>
      <c r="K87" s="15"/>
      <c r="L87" s="5"/>
      <c r="M87" s="15"/>
      <c r="N87" s="5"/>
      <c r="O87" s="15"/>
      <c r="P87" s="19" t="str">
        <f t="shared" si="13"/>
        <v/>
      </c>
      <c r="Q87" s="19" t="str">
        <f t="shared" si="14"/>
        <v/>
      </c>
      <c r="R87" s="19" t="str">
        <f t="shared" si="15"/>
        <v/>
      </c>
      <c r="S87" s="5"/>
      <c r="T87" s="5"/>
      <c r="U87" s="5"/>
      <c r="V87" s="24"/>
      <c r="W87" s="15"/>
      <c r="X87" s="15"/>
      <c r="Y87" s="15"/>
      <c r="Z87" s="19" t="str">
        <f t="shared" si="16"/>
        <v/>
      </c>
      <c r="AA87" s="19" t="str">
        <f t="shared" si="17"/>
        <v/>
      </c>
      <c r="AB87" s="5"/>
      <c r="AC87" s="5"/>
      <c r="AE87" t="str">
        <f>IFERROR(INDEX(EqTag,_xlfn.AGGREGATE(15,6,(ROW(EqTag)-4)/((EqSys=$D$3)*(EqTag&lt;&gt;"")),ROWS($AE$14:AE87))),"")</f>
        <v/>
      </c>
    </row>
    <row r="88" spans="1:31" ht="30" customHeight="1" x14ac:dyDescent="0.2">
      <c r="A88" s="19" t="str">
        <f>IF(F88="","",LEFT($D$3,3)&amp;"-"&amp;TEXT(COUNTIF(F$14:F88,"?*"),"00"))</f>
        <v/>
      </c>
      <c r="B88" s="5"/>
      <c r="C88" s="6" t="str">
        <f t="shared" si="12"/>
        <v/>
      </c>
      <c r="D88" s="5"/>
      <c r="E88" s="5"/>
      <c r="F88" s="5"/>
      <c r="G88" s="5"/>
      <c r="H88" s="5"/>
      <c r="I88" s="5"/>
      <c r="J88" s="5"/>
      <c r="K88" s="15"/>
      <c r="L88" s="5"/>
      <c r="M88" s="15"/>
      <c r="N88" s="5"/>
      <c r="O88" s="15"/>
      <c r="P88" s="19" t="str">
        <f t="shared" si="13"/>
        <v/>
      </c>
      <c r="Q88" s="19" t="str">
        <f t="shared" si="14"/>
        <v/>
      </c>
      <c r="R88" s="19" t="str">
        <f t="shared" si="15"/>
        <v/>
      </c>
      <c r="S88" s="5"/>
      <c r="T88" s="5"/>
      <c r="U88" s="5"/>
      <c r="V88" s="24"/>
      <c r="W88" s="15"/>
      <c r="X88" s="15"/>
      <c r="Y88" s="15"/>
      <c r="Z88" s="19" t="str">
        <f t="shared" si="16"/>
        <v/>
      </c>
      <c r="AA88" s="19" t="str">
        <f t="shared" si="17"/>
        <v/>
      </c>
      <c r="AB88" s="5"/>
      <c r="AC88" s="5"/>
      <c r="AE88" t="str">
        <f>IFERROR(INDEX(EqTag,_xlfn.AGGREGATE(15,6,(ROW(EqTag)-4)/((EqSys=$D$3)*(EqTag&lt;&gt;"")),ROWS($AE$14:AE88))),"")</f>
        <v/>
      </c>
    </row>
    <row r="89" spans="1:31" ht="30" customHeight="1" x14ac:dyDescent="0.2">
      <c r="A89" s="19" t="str">
        <f>IF(F89="","",LEFT($D$3,3)&amp;"-"&amp;TEXT(COUNTIF(F$14:F89,"?*"),"00"))</f>
        <v/>
      </c>
      <c r="B89" s="5"/>
      <c r="C89" s="6" t="str">
        <f t="shared" si="12"/>
        <v/>
      </c>
      <c r="D89" s="5"/>
      <c r="E89" s="5"/>
      <c r="F89" s="5"/>
      <c r="G89" s="5"/>
      <c r="H89" s="5"/>
      <c r="I89" s="5"/>
      <c r="J89" s="5"/>
      <c r="K89" s="15"/>
      <c r="L89" s="5"/>
      <c r="M89" s="15"/>
      <c r="N89" s="5"/>
      <c r="O89" s="15"/>
      <c r="P89" s="19" t="str">
        <f t="shared" si="13"/>
        <v/>
      </c>
      <c r="Q89" s="19" t="str">
        <f t="shared" si="14"/>
        <v/>
      </c>
      <c r="R89" s="19" t="str">
        <f t="shared" si="15"/>
        <v/>
      </c>
      <c r="S89" s="5"/>
      <c r="T89" s="5"/>
      <c r="U89" s="5"/>
      <c r="V89" s="24"/>
      <c r="W89" s="15"/>
      <c r="X89" s="15"/>
      <c r="Y89" s="15"/>
      <c r="Z89" s="19" t="str">
        <f t="shared" si="16"/>
        <v/>
      </c>
      <c r="AA89" s="19" t="str">
        <f t="shared" si="17"/>
        <v/>
      </c>
      <c r="AB89" s="5"/>
      <c r="AC89" s="5"/>
      <c r="AE89" t="str">
        <f>IFERROR(INDEX(EqTag,_xlfn.AGGREGATE(15,6,(ROW(EqTag)-4)/((EqSys=$D$3)*(EqTag&lt;&gt;"")),ROWS($AE$14:AE89))),"")</f>
        <v/>
      </c>
    </row>
    <row r="90" spans="1:31" ht="30" customHeight="1" x14ac:dyDescent="0.2">
      <c r="A90" s="19" t="str">
        <f>IF(F90="","",LEFT($D$3,3)&amp;"-"&amp;TEXT(COUNTIF(F$14:F90,"?*"),"00"))</f>
        <v/>
      </c>
      <c r="B90" s="5"/>
      <c r="C90" s="6" t="str">
        <f t="shared" si="12"/>
        <v/>
      </c>
      <c r="D90" s="5"/>
      <c r="E90" s="5"/>
      <c r="F90" s="5"/>
      <c r="G90" s="5"/>
      <c r="H90" s="5"/>
      <c r="I90" s="5"/>
      <c r="J90" s="5"/>
      <c r="K90" s="15"/>
      <c r="L90" s="5"/>
      <c r="M90" s="15"/>
      <c r="N90" s="5"/>
      <c r="O90" s="15"/>
      <c r="P90" s="19" t="str">
        <f t="shared" si="13"/>
        <v/>
      </c>
      <c r="Q90" s="19" t="str">
        <f t="shared" si="14"/>
        <v/>
      </c>
      <c r="R90" s="19" t="str">
        <f t="shared" si="15"/>
        <v/>
      </c>
      <c r="S90" s="5"/>
      <c r="T90" s="5"/>
      <c r="U90" s="5"/>
      <c r="V90" s="24"/>
      <c r="W90" s="15"/>
      <c r="X90" s="15"/>
      <c r="Y90" s="15"/>
      <c r="Z90" s="19" t="str">
        <f t="shared" si="16"/>
        <v/>
      </c>
      <c r="AA90" s="19" t="str">
        <f t="shared" si="17"/>
        <v/>
      </c>
      <c r="AB90" s="5"/>
      <c r="AC90" s="5"/>
      <c r="AE90" t="str">
        <f>IFERROR(INDEX(EqTag,_xlfn.AGGREGATE(15,6,(ROW(EqTag)-4)/((EqSys=$D$3)*(EqTag&lt;&gt;"")),ROWS($AE$14:AE90))),"")</f>
        <v/>
      </c>
    </row>
    <row r="91" spans="1:31" ht="30" customHeight="1" x14ac:dyDescent="0.2">
      <c r="A91" s="19" t="str">
        <f>IF(F91="","",LEFT($D$3,3)&amp;"-"&amp;TEXT(COUNTIF(F$14:F91,"?*"),"00"))</f>
        <v/>
      </c>
      <c r="B91" s="5"/>
      <c r="C91" s="6" t="str">
        <f t="shared" si="12"/>
        <v/>
      </c>
      <c r="D91" s="5"/>
      <c r="E91" s="5"/>
      <c r="F91" s="5"/>
      <c r="G91" s="5"/>
      <c r="H91" s="5"/>
      <c r="I91" s="5"/>
      <c r="J91" s="5"/>
      <c r="K91" s="15"/>
      <c r="L91" s="5"/>
      <c r="M91" s="15"/>
      <c r="N91" s="5"/>
      <c r="O91" s="15"/>
      <c r="P91" s="19" t="str">
        <f t="shared" si="13"/>
        <v/>
      </c>
      <c r="Q91" s="19" t="str">
        <f t="shared" si="14"/>
        <v/>
      </c>
      <c r="R91" s="19" t="str">
        <f t="shared" si="15"/>
        <v/>
      </c>
      <c r="S91" s="5"/>
      <c r="T91" s="5"/>
      <c r="U91" s="5"/>
      <c r="V91" s="24"/>
      <c r="W91" s="15"/>
      <c r="X91" s="15"/>
      <c r="Y91" s="15"/>
      <c r="Z91" s="19" t="str">
        <f t="shared" si="16"/>
        <v/>
      </c>
      <c r="AA91" s="19" t="str">
        <f t="shared" si="17"/>
        <v/>
      </c>
      <c r="AB91" s="5"/>
      <c r="AC91" s="5"/>
      <c r="AE91" t="str">
        <f>IFERROR(INDEX(EqTag,_xlfn.AGGREGATE(15,6,(ROW(EqTag)-4)/((EqSys=$D$3)*(EqTag&lt;&gt;"")),ROWS($AE$14:AE91))),"")</f>
        <v/>
      </c>
    </row>
    <row r="92" spans="1:31" ht="30" customHeight="1" x14ac:dyDescent="0.2">
      <c r="A92" s="19" t="str">
        <f>IF(F92="","",LEFT($D$3,3)&amp;"-"&amp;TEXT(COUNTIF(F$14:F92,"?*"),"00"))</f>
        <v/>
      </c>
      <c r="B92" s="5"/>
      <c r="C92" s="6" t="str">
        <f t="shared" si="12"/>
        <v/>
      </c>
      <c r="D92" s="5"/>
      <c r="E92" s="5"/>
      <c r="F92" s="5"/>
      <c r="G92" s="5"/>
      <c r="H92" s="5"/>
      <c r="I92" s="5"/>
      <c r="J92" s="5"/>
      <c r="K92" s="15"/>
      <c r="L92" s="5"/>
      <c r="M92" s="15"/>
      <c r="N92" s="5"/>
      <c r="O92" s="15"/>
      <c r="P92" s="19" t="str">
        <f t="shared" si="13"/>
        <v/>
      </c>
      <c r="Q92" s="19" t="str">
        <f t="shared" si="14"/>
        <v/>
      </c>
      <c r="R92" s="19" t="str">
        <f t="shared" si="15"/>
        <v/>
      </c>
      <c r="S92" s="5"/>
      <c r="T92" s="5"/>
      <c r="U92" s="5"/>
      <c r="V92" s="24"/>
      <c r="W92" s="15"/>
      <c r="X92" s="15"/>
      <c r="Y92" s="15"/>
      <c r="Z92" s="19" t="str">
        <f t="shared" si="16"/>
        <v/>
      </c>
      <c r="AA92" s="19" t="str">
        <f t="shared" si="17"/>
        <v/>
      </c>
      <c r="AB92" s="5"/>
      <c r="AC92" s="5"/>
      <c r="AE92" t="str">
        <f>IFERROR(INDEX(EqTag,_xlfn.AGGREGATE(15,6,(ROW(EqTag)-4)/((EqSys=$D$3)*(EqTag&lt;&gt;"")),ROWS($AE$14:AE92))),"")</f>
        <v/>
      </c>
    </row>
    <row r="93" spans="1:31" ht="30" customHeight="1" x14ac:dyDescent="0.2">
      <c r="A93" s="19" t="str">
        <f>IF(F93="","",LEFT($D$3,3)&amp;"-"&amp;TEXT(COUNTIF(F$14:F93,"?*"),"00"))</f>
        <v/>
      </c>
      <c r="B93" s="5"/>
      <c r="C93" s="6" t="str">
        <f t="shared" si="12"/>
        <v/>
      </c>
      <c r="D93" s="5"/>
      <c r="E93" s="5"/>
      <c r="F93" s="5"/>
      <c r="G93" s="5"/>
      <c r="H93" s="5"/>
      <c r="I93" s="5"/>
      <c r="J93" s="5"/>
      <c r="K93" s="15"/>
      <c r="L93" s="5"/>
      <c r="M93" s="15"/>
      <c r="N93" s="5"/>
      <c r="O93" s="15"/>
      <c r="P93" s="19" t="str">
        <f t="shared" si="13"/>
        <v/>
      </c>
      <c r="Q93" s="19" t="str">
        <f t="shared" si="14"/>
        <v/>
      </c>
      <c r="R93" s="19" t="str">
        <f t="shared" si="15"/>
        <v/>
      </c>
      <c r="S93" s="5"/>
      <c r="T93" s="5"/>
      <c r="U93" s="5"/>
      <c r="V93" s="24"/>
      <c r="W93" s="15"/>
      <c r="X93" s="15"/>
      <c r="Y93" s="15"/>
      <c r="Z93" s="19" t="str">
        <f t="shared" si="16"/>
        <v/>
      </c>
      <c r="AA93" s="19" t="str">
        <f t="shared" si="17"/>
        <v/>
      </c>
      <c r="AB93" s="5"/>
      <c r="AC93" s="5"/>
      <c r="AE93" t="str">
        <f>IFERROR(INDEX(EqTag,_xlfn.AGGREGATE(15,6,(ROW(EqTag)-4)/((EqSys=$D$3)*(EqTag&lt;&gt;"")),ROWS($AE$14:AE93))),"")</f>
        <v/>
      </c>
    </row>
    <row r="94" spans="1:31" ht="30" customHeight="1" x14ac:dyDescent="0.2">
      <c r="A94" s="19" t="str">
        <f>IF(F94="","",LEFT($D$3,3)&amp;"-"&amp;TEXT(COUNTIF(F$14:F94,"?*"),"00"))</f>
        <v/>
      </c>
      <c r="B94" s="5"/>
      <c r="C94" s="6" t="str">
        <f t="shared" si="12"/>
        <v/>
      </c>
      <c r="D94" s="5"/>
      <c r="E94" s="5"/>
      <c r="F94" s="5"/>
      <c r="G94" s="5"/>
      <c r="H94" s="5"/>
      <c r="I94" s="5"/>
      <c r="J94" s="5"/>
      <c r="K94" s="15"/>
      <c r="L94" s="5"/>
      <c r="M94" s="15"/>
      <c r="N94" s="5"/>
      <c r="O94" s="15"/>
      <c r="P94" s="19" t="str">
        <f t="shared" si="13"/>
        <v/>
      </c>
      <c r="Q94" s="19" t="str">
        <f t="shared" si="14"/>
        <v/>
      </c>
      <c r="R94" s="19" t="str">
        <f t="shared" si="15"/>
        <v/>
      </c>
      <c r="S94" s="5"/>
      <c r="T94" s="5"/>
      <c r="U94" s="5"/>
      <c r="V94" s="24"/>
      <c r="W94" s="15"/>
      <c r="X94" s="15"/>
      <c r="Y94" s="15"/>
      <c r="Z94" s="19" t="str">
        <f t="shared" si="16"/>
        <v/>
      </c>
      <c r="AA94" s="19" t="str">
        <f t="shared" si="17"/>
        <v/>
      </c>
      <c r="AB94" s="5"/>
      <c r="AC94" s="5"/>
      <c r="AE94" t="str">
        <f>IFERROR(INDEX(EqTag,_xlfn.AGGREGATE(15,6,(ROW(EqTag)-4)/((EqSys=$D$3)*(EqTag&lt;&gt;"")),ROWS($AE$14:AE94))),"")</f>
        <v/>
      </c>
    </row>
    <row r="95" spans="1:31" ht="30" customHeight="1" x14ac:dyDescent="0.2">
      <c r="A95" s="19" t="str">
        <f>IF(F95="","",LEFT($D$3,3)&amp;"-"&amp;TEXT(COUNTIF(F$14:F95,"?*"),"00"))</f>
        <v/>
      </c>
      <c r="B95" s="5"/>
      <c r="C95" s="6" t="str">
        <f t="shared" si="12"/>
        <v/>
      </c>
      <c r="D95" s="5"/>
      <c r="E95" s="5"/>
      <c r="F95" s="5"/>
      <c r="G95" s="5"/>
      <c r="H95" s="5"/>
      <c r="I95" s="5"/>
      <c r="J95" s="5"/>
      <c r="K95" s="15"/>
      <c r="L95" s="5"/>
      <c r="M95" s="15"/>
      <c r="N95" s="5"/>
      <c r="O95" s="15"/>
      <c r="P95" s="19" t="str">
        <f t="shared" si="13"/>
        <v/>
      </c>
      <c r="Q95" s="19" t="str">
        <f t="shared" si="14"/>
        <v/>
      </c>
      <c r="R95" s="19" t="str">
        <f t="shared" si="15"/>
        <v/>
      </c>
      <c r="S95" s="5"/>
      <c r="T95" s="5"/>
      <c r="U95" s="5"/>
      <c r="V95" s="24"/>
      <c r="W95" s="15"/>
      <c r="X95" s="15"/>
      <c r="Y95" s="15"/>
      <c r="Z95" s="19" t="str">
        <f t="shared" si="16"/>
        <v/>
      </c>
      <c r="AA95" s="19" t="str">
        <f t="shared" si="17"/>
        <v/>
      </c>
      <c r="AB95" s="5"/>
      <c r="AC95" s="5"/>
      <c r="AE95" t="str">
        <f>IFERROR(INDEX(EqTag,_xlfn.AGGREGATE(15,6,(ROW(EqTag)-4)/((EqSys=$D$3)*(EqTag&lt;&gt;"")),ROWS($AE$14:AE95))),"")</f>
        <v/>
      </c>
    </row>
    <row r="96" spans="1:31" ht="30" customHeight="1" x14ac:dyDescent="0.2">
      <c r="A96" s="19" t="str">
        <f>IF(F96="","",LEFT($D$3,3)&amp;"-"&amp;TEXT(COUNTIF(F$14:F96,"?*"),"00"))</f>
        <v/>
      </c>
      <c r="B96" s="5"/>
      <c r="C96" s="6" t="str">
        <f t="shared" si="12"/>
        <v/>
      </c>
      <c r="D96" s="5"/>
      <c r="E96" s="5"/>
      <c r="F96" s="5"/>
      <c r="G96" s="5"/>
      <c r="H96" s="5"/>
      <c r="I96" s="5"/>
      <c r="J96" s="5"/>
      <c r="K96" s="15"/>
      <c r="L96" s="5"/>
      <c r="M96" s="15"/>
      <c r="N96" s="5"/>
      <c r="O96" s="15"/>
      <c r="P96" s="19" t="str">
        <f t="shared" si="13"/>
        <v/>
      </c>
      <c r="Q96" s="19" t="str">
        <f t="shared" si="14"/>
        <v/>
      </c>
      <c r="R96" s="19" t="str">
        <f t="shared" si="15"/>
        <v/>
      </c>
      <c r="S96" s="5"/>
      <c r="T96" s="5"/>
      <c r="U96" s="5"/>
      <c r="V96" s="24"/>
      <c r="W96" s="15"/>
      <c r="X96" s="15"/>
      <c r="Y96" s="15"/>
      <c r="Z96" s="19" t="str">
        <f t="shared" si="16"/>
        <v/>
      </c>
      <c r="AA96" s="19" t="str">
        <f t="shared" si="17"/>
        <v/>
      </c>
      <c r="AB96" s="5"/>
      <c r="AC96" s="5"/>
      <c r="AE96" t="str">
        <f>IFERROR(INDEX(EqTag,_xlfn.AGGREGATE(15,6,(ROW(EqTag)-4)/((EqSys=$D$3)*(EqTag&lt;&gt;"")),ROWS($AE$14:AE96))),"")</f>
        <v/>
      </c>
    </row>
    <row r="97" spans="1:31" ht="30" customHeight="1" x14ac:dyDescent="0.2">
      <c r="A97" s="19" t="str">
        <f>IF(F97="","",LEFT($D$3,3)&amp;"-"&amp;TEXT(COUNTIF(F$14:F97,"?*"),"00"))</f>
        <v/>
      </c>
      <c r="B97" s="5"/>
      <c r="C97" s="6" t="str">
        <f t="shared" si="12"/>
        <v/>
      </c>
      <c r="D97" s="5"/>
      <c r="E97" s="5"/>
      <c r="F97" s="5"/>
      <c r="G97" s="5"/>
      <c r="H97" s="5"/>
      <c r="I97" s="5"/>
      <c r="J97" s="5"/>
      <c r="K97" s="15"/>
      <c r="L97" s="5"/>
      <c r="M97" s="15"/>
      <c r="N97" s="5"/>
      <c r="O97" s="15"/>
      <c r="P97" s="19" t="str">
        <f t="shared" si="13"/>
        <v/>
      </c>
      <c r="Q97" s="19" t="str">
        <f t="shared" si="14"/>
        <v/>
      </c>
      <c r="R97" s="19" t="str">
        <f t="shared" si="15"/>
        <v/>
      </c>
      <c r="S97" s="5"/>
      <c r="T97" s="5"/>
      <c r="U97" s="5"/>
      <c r="V97" s="24"/>
      <c r="W97" s="15"/>
      <c r="X97" s="15"/>
      <c r="Y97" s="15"/>
      <c r="Z97" s="19" t="str">
        <f t="shared" si="16"/>
        <v/>
      </c>
      <c r="AA97" s="19" t="str">
        <f t="shared" si="17"/>
        <v/>
      </c>
      <c r="AB97" s="5"/>
      <c r="AC97" s="5"/>
      <c r="AE97" t="str">
        <f>IFERROR(INDEX(EqTag,_xlfn.AGGREGATE(15,6,(ROW(EqTag)-4)/((EqSys=$D$3)*(EqTag&lt;&gt;"")),ROWS($AE$14:AE97))),"")</f>
        <v/>
      </c>
    </row>
    <row r="98" spans="1:31" ht="30" customHeight="1" x14ac:dyDescent="0.2">
      <c r="A98" s="19" t="str">
        <f>IF(F98="","",LEFT($D$3,3)&amp;"-"&amp;TEXT(COUNTIF(F$14:F98,"?*"),"00"))</f>
        <v/>
      </c>
      <c r="B98" s="5"/>
      <c r="C98" s="6" t="str">
        <f t="shared" si="12"/>
        <v/>
      </c>
      <c r="D98" s="5"/>
      <c r="E98" s="5"/>
      <c r="F98" s="5"/>
      <c r="G98" s="5"/>
      <c r="H98" s="5"/>
      <c r="I98" s="5"/>
      <c r="J98" s="5"/>
      <c r="K98" s="15"/>
      <c r="L98" s="5"/>
      <c r="M98" s="15"/>
      <c r="N98" s="5"/>
      <c r="O98" s="15"/>
      <c r="P98" s="19" t="str">
        <f t="shared" si="13"/>
        <v/>
      </c>
      <c r="Q98" s="19" t="str">
        <f t="shared" si="14"/>
        <v/>
      </c>
      <c r="R98" s="19" t="str">
        <f t="shared" si="15"/>
        <v/>
      </c>
      <c r="S98" s="5"/>
      <c r="T98" s="5"/>
      <c r="U98" s="5"/>
      <c r="V98" s="24"/>
      <c r="W98" s="15"/>
      <c r="X98" s="15"/>
      <c r="Y98" s="15"/>
      <c r="Z98" s="19" t="str">
        <f t="shared" si="16"/>
        <v/>
      </c>
      <c r="AA98" s="19" t="str">
        <f t="shared" si="17"/>
        <v/>
      </c>
      <c r="AB98" s="5"/>
      <c r="AC98" s="5"/>
      <c r="AE98" t="str">
        <f>IFERROR(INDEX(EqTag,_xlfn.AGGREGATE(15,6,(ROW(EqTag)-4)/((EqSys=$D$3)*(EqTag&lt;&gt;"")),ROWS($AE$14:AE98))),"")</f>
        <v/>
      </c>
    </row>
    <row r="99" spans="1:31" ht="30" customHeight="1" x14ac:dyDescent="0.2">
      <c r="A99" s="19" t="str">
        <f>IF(F99="","",LEFT($D$3,3)&amp;"-"&amp;TEXT(COUNTIF(F$14:F99,"?*"),"00"))</f>
        <v/>
      </c>
      <c r="B99" s="5"/>
      <c r="C99" s="6" t="str">
        <f t="shared" si="12"/>
        <v/>
      </c>
      <c r="D99" s="5"/>
      <c r="E99" s="5"/>
      <c r="F99" s="5"/>
      <c r="G99" s="5"/>
      <c r="H99" s="5"/>
      <c r="I99" s="5"/>
      <c r="J99" s="5"/>
      <c r="K99" s="15"/>
      <c r="L99" s="5"/>
      <c r="M99" s="15"/>
      <c r="N99" s="5"/>
      <c r="O99" s="15"/>
      <c r="P99" s="19" t="str">
        <f t="shared" si="13"/>
        <v/>
      </c>
      <c r="Q99" s="19" t="str">
        <f t="shared" si="14"/>
        <v/>
      </c>
      <c r="R99" s="19" t="str">
        <f t="shared" si="15"/>
        <v/>
      </c>
      <c r="S99" s="5"/>
      <c r="T99" s="5"/>
      <c r="U99" s="5"/>
      <c r="V99" s="24"/>
      <c r="W99" s="15"/>
      <c r="X99" s="15"/>
      <c r="Y99" s="15"/>
      <c r="Z99" s="19" t="str">
        <f t="shared" si="16"/>
        <v/>
      </c>
      <c r="AA99" s="19" t="str">
        <f t="shared" si="17"/>
        <v/>
      </c>
      <c r="AB99" s="5"/>
      <c r="AC99" s="5"/>
      <c r="AE99" t="str">
        <f>IFERROR(INDEX(EqTag,_xlfn.AGGREGATE(15,6,(ROW(EqTag)-4)/((EqSys=$D$3)*(EqTag&lt;&gt;"")),ROWS($AE$14:AE99))),"")</f>
        <v/>
      </c>
    </row>
    <row r="100" spans="1:31" ht="30" customHeight="1" x14ac:dyDescent="0.2">
      <c r="A100" s="19" t="str">
        <f>IF(F100="","",LEFT($D$3,3)&amp;"-"&amp;TEXT(COUNTIF(F$14:F100,"?*"),"00"))</f>
        <v/>
      </c>
      <c r="B100" s="5"/>
      <c r="C100" s="6" t="str">
        <f t="shared" si="12"/>
        <v/>
      </c>
      <c r="D100" s="5"/>
      <c r="E100" s="5"/>
      <c r="F100" s="5"/>
      <c r="G100" s="5"/>
      <c r="H100" s="5"/>
      <c r="I100" s="5"/>
      <c r="J100" s="5"/>
      <c r="K100" s="15"/>
      <c r="L100" s="5"/>
      <c r="M100" s="15"/>
      <c r="N100" s="5"/>
      <c r="O100" s="15"/>
      <c r="P100" s="19" t="str">
        <f t="shared" si="13"/>
        <v/>
      </c>
      <c r="Q100" s="19" t="str">
        <f t="shared" si="14"/>
        <v/>
      </c>
      <c r="R100" s="19" t="str">
        <f t="shared" si="15"/>
        <v/>
      </c>
      <c r="S100" s="5"/>
      <c r="T100" s="5"/>
      <c r="U100" s="5"/>
      <c r="V100" s="24"/>
      <c r="W100" s="15"/>
      <c r="X100" s="15"/>
      <c r="Y100" s="15"/>
      <c r="Z100" s="19" t="str">
        <f t="shared" si="16"/>
        <v/>
      </c>
      <c r="AA100" s="19" t="str">
        <f t="shared" si="17"/>
        <v/>
      </c>
      <c r="AB100" s="5"/>
      <c r="AC100" s="5"/>
      <c r="AE100" t="str">
        <f>IFERROR(INDEX(EqTag,_xlfn.AGGREGATE(15,6,(ROW(EqTag)-4)/((EqSys=$D$3)*(EqTag&lt;&gt;"")),ROWS($AE$14:AE100))),"")</f>
        <v/>
      </c>
    </row>
    <row r="101" spans="1:31" ht="30" customHeight="1" x14ac:dyDescent="0.2">
      <c r="A101" s="19" t="str">
        <f>IF(F101="","",LEFT($D$3,3)&amp;"-"&amp;TEXT(COUNTIF(F$14:F101,"?*"),"00"))</f>
        <v/>
      </c>
      <c r="B101" s="5"/>
      <c r="C101" s="6" t="str">
        <f t="shared" si="12"/>
        <v/>
      </c>
      <c r="D101" s="5"/>
      <c r="E101" s="5"/>
      <c r="F101" s="5"/>
      <c r="G101" s="5"/>
      <c r="H101" s="5"/>
      <c r="I101" s="5"/>
      <c r="J101" s="5"/>
      <c r="K101" s="15"/>
      <c r="L101" s="5"/>
      <c r="M101" s="15"/>
      <c r="N101" s="5"/>
      <c r="O101" s="15"/>
      <c r="P101" s="19" t="str">
        <f t="shared" si="13"/>
        <v/>
      </c>
      <c r="Q101" s="19" t="str">
        <f t="shared" si="14"/>
        <v/>
      </c>
      <c r="R101" s="19" t="str">
        <f t="shared" si="15"/>
        <v/>
      </c>
      <c r="S101" s="5"/>
      <c r="T101" s="5"/>
      <c r="U101" s="5"/>
      <c r="V101" s="24"/>
      <c r="W101" s="15"/>
      <c r="X101" s="15"/>
      <c r="Y101" s="15"/>
      <c r="Z101" s="19" t="str">
        <f t="shared" si="16"/>
        <v/>
      </c>
      <c r="AA101" s="19" t="str">
        <f t="shared" si="17"/>
        <v/>
      </c>
      <c r="AB101" s="5"/>
      <c r="AC101" s="5"/>
      <c r="AE101" t="str">
        <f>IFERROR(INDEX(EqTag,_xlfn.AGGREGATE(15,6,(ROW(EqTag)-4)/((EqSys=$D$3)*(EqTag&lt;&gt;"")),ROWS($AE$14:AE101))),"")</f>
        <v/>
      </c>
    </row>
    <row r="102" spans="1:31" ht="30" customHeight="1" x14ac:dyDescent="0.2">
      <c r="A102" s="19" t="str">
        <f>IF(F102="","",LEFT($D$3,3)&amp;"-"&amp;TEXT(COUNTIF(F$14:F102,"?*"),"00"))</f>
        <v/>
      </c>
      <c r="B102" s="5"/>
      <c r="C102" s="6" t="str">
        <f t="shared" si="12"/>
        <v/>
      </c>
      <c r="D102" s="5"/>
      <c r="E102" s="5"/>
      <c r="F102" s="5"/>
      <c r="G102" s="5"/>
      <c r="H102" s="5"/>
      <c r="I102" s="5"/>
      <c r="J102" s="5"/>
      <c r="K102" s="15"/>
      <c r="L102" s="5"/>
      <c r="M102" s="15"/>
      <c r="N102" s="5"/>
      <c r="O102" s="15"/>
      <c r="P102" s="19" t="str">
        <f t="shared" si="13"/>
        <v/>
      </c>
      <c r="Q102" s="19" t="str">
        <f t="shared" si="14"/>
        <v/>
      </c>
      <c r="R102" s="19" t="str">
        <f t="shared" si="15"/>
        <v/>
      </c>
      <c r="S102" s="5"/>
      <c r="T102" s="5"/>
      <c r="U102" s="5"/>
      <c r="V102" s="24"/>
      <c r="W102" s="15"/>
      <c r="X102" s="15"/>
      <c r="Y102" s="15"/>
      <c r="Z102" s="19" t="str">
        <f t="shared" si="16"/>
        <v/>
      </c>
      <c r="AA102" s="19" t="str">
        <f t="shared" si="17"/>
        <v/>
      </c>
      <c r="AB102" s="5"/>
      <c r="AC102" s="5"/>
      <c r="AE102" t="str">
        <f>IFERROR(INDEX(EqTag,_xlfn.AGGREGATE(15,6,(ROW(EqTag)-4)/((EqSys=$D$3)*(EqTag&lt;&gt;"")),ROWS($AE$14:AE102))),"")</f>
        <v/>
      </c>
    </row>
    <row r="103" spans="1:31" ht="30" customHeight="1" x14ac:dyDescent="0.2">
      <c r="A103" s="19" t="str">
        <f>IF(F103="","",LEFT($D$3,3)&amp;"-"&amp;TEXT(COUNTIF(F$14:F103,"?*"),"00"))</f>
        <v/>
      </c>
      <c r="B103" s="5"/>
      <c r="C103" s="6" t="str">
        <f t="shared" si="12"/>
        <v/>
      </c>
      <c r="D103" s="5"/>
      <c r="E103" s="5"/>
      <c r="F103" s="5"/>
      <c r="G103" s="5"/>
      <c r="H103" s="5"/>
      <c r="I103" s="5"/>
      <c r="J103" s="5"/>
      <c r="K103" s="15"/>
      <c r="L103" s="5"/>
      <c r="M103" s="15"/>
      <c r="N103" s="5"/>
      <c r="O103" s="15"/>
      <c r="P103" s="19" t="str">
        <f t="shared" si="13"/>
        <v/>
      </c>
      <c r="Q103" s="19" t="str">
        <f t="shared" si="14"/>
        <v/>
      </c>
      <c r="R103" s="19" t="str">
        <f t="shared" si="15"/>
        <v/>
      </c>
      <c r="S103" s="5"/>
      <c r="T103" s="5"/>
      <c r="U103" s="5"/>
      <c r="V103" s="24"/>
      <c r="W103" s="15"/>
      <c r="X103" s="15"/>
      <c r="Y103" s="15"/>
      <c r="Z103" s="19" t="str">
        <f t="shared" si="16"/>
        <v/>
      </c>
      <c r="AA103" s="19" t="str">
        <f t="shared" si="17"/>
        <v/>
      </c>
      <c r="AB103" s="5"/>
      <c r="AC103" s="5"/>
      <c r="AE103" t="str">
        <f>IFERROR(INDEX(EqTag,_xlfn.AGGREGATE(15,6,(ROW(EqTag)-4)/((EqSys=$D$3)*(EqTag&lt;&gt;"")),ROWS($AE$14:AE103))),"")</f>
        <v/>
      </c>
    </row>
    <row r="104" spans="1:31" ht="30" customHeight="1" x14ac:dyDescent="0.2">
      <c r="A104" s="19" t="str">
        <f>IF(F104="","",LEFT($D$3,3)&amp;"-"&amp;TEXT(COUNTIF(F$14:F104,"?*"),"00"))</f>
        <v/>
      </c>
      <c r="B104" s="5"/>
      <c r="C104" s="6" t="str">
        <f t="shared" si="12"/>
        <v/>
      </c>
      <c r="D104" s="5"/>
      <c r="E104" s="5"/>
      <c r="F104" s="5"/>
      <c r="G104" s="5"/>
      <c r="H104" s="5"/>
      <c r="I104" s="5"/>
      <c r="J104" s="5"/>
      <c r="K104" s="15"/>
      <c r="L104" s="5"/>
      <c r="M104" s="15"/>
      <c r="N104" s="5"/>
      <c r="O104" s="15"/>
      <c r="P104" s="19" t="str">
        <f t="shared" si="13"/>
        <v/>
      </c>
      <c r="Q104" s="19" t="str">
        <f t="shared" si="14"/>
        <v/>
      </c>
      <c r="R104" s="19" t="str">
        <f t="shared" si="15"/>
        <v/>
      </c>
      <c r="S104" s="5"/>
      <c r="T104" s="5"/>
      <c r="U104" s="5"/>
      <c r="V104" s="24"/>
      <c r="W104" s="15"/>
      <c r="X104" s="15"/>
      <c r="Y104" s="15"/>
      <c r="Z104" s="19" t="str">
        <f t="shared" si="16"/>
        <v/>
      </c>
      <c r="AA104" s="19" t="str">
        <f t="shared" si="17"/>
        <v/>
      </c>
      <c r="AB104" s="5"/>
      <c r="AC104" s="5"/>
      <c r="AE104" t="str">
        <f>IFERROR(INDEX(EqTag,_xlfn.AGGREGATE(15,6,(ROW(EqTag)-4)/((EqSys=$D$3)*(EqTag&lt;&gt;"")),ROWS($AE$14:AE104))),"")</f>
        <v/>
      </c>
    </row>
    <row r="105" spans="1:31" ht="30" customHeight="1" x14ac:dyDescent="0.2">
      <c r="A105" s="19" t="str">
        <f>IF(F105="","",LEFT($D$3,3)&amp;"-"&amp;TEXT(COUNTIF(F$14:F105,"?*"),"00"))</f>
        <v/>
      </c>
      <c r="B105" s="5"/>
      <c r="C105" s="6" t="str">
        <f t="shared" si="12"/>
        <v/>
      </c>
      <c r="D105" s="5"/>
      <c r="E105" s="5"/>
      <c r="F105" s="5"/>
      <c r="G105" s="5"/>
      <c r="H105" s="5"/>
      <c r="I105" s="5"/>
      <c r="J105" s="5"/>
      <c r="K105" s="15"/>
      <c r="L105" s="5"/>
      <c r="M105" s="15"/>
      <c r="N105" s="5"/>
      <c r="O105" s="15"/>
      <c r="P105" s="19" t="str">
        <f t="shared" si="13"/>
        <v/>
      </c>
      <c r="Q105" s="19" t="str">
        <f t="shared" si="14"/>
        <v/>
      </c>
      <c r="R105" s="19" t="str">
        <f t="shared" si="15"/>
        <v/>
      </c>
      <c r="S105" s="5"/>
      <c r="T105" s="5"/>
      <c r="U105" s="5"/>
      <c r="V105" s="24"/>
      <c r="W105" s="15"/>
      <c r="X105" s="15"/>
      <c r="Y105" s="15"/>
      <c r="Z105" s="19" t="str">
        <f t="shared" si="16"/>
        <v/>
      </c>
      <c r="AA105" s="19" t="str">
        <f t="shared" si="17"/>
        <v/>
      </c>
      <c r="AB105" s="5"/>
      <c r="AC105" s="5"/>
      <c r="AE105" t="str">
        <f>IFERROR(INDEX(EqTag,_xlfn.AGGREGATE(15,6,(ROW(EqTag)-4)/((EqSys=$D$3)*(EqTag&lt;&gt;"")),ROWS($AE$14:AE105))),"")</f>
        <v/>
      </c>
    </row>
    <row r="106" spans="1:31" ht="30" customHeight="1" x14ac:dyDescent="0.2">
      <c r="A106" s="19" t="str">
        <f>IF(F106="","",LEFT($D$3,3)&amp;"-"&amp;TEXT(COUNTIF(F$14:F106,"?*"),"00"))</f>
        <v/>
      </c>
      <c r="B106" s="5"/>
      <c r="C106" s="6" t="str">
        <f t="shared" si="12"/>
        <v/>
      </c>
      <c r="D106" s="5"/>
      <c r="E106" s="5"/>
      <c r="F106" s="5"/>
      <c r="G106" s="5"/>
      <c r="H106" s="5"/>
      <c r="I106" s="5"/>
      <c r="J106" s="5"/>
      <c r="K106" s="15"/>
      <c r="L106" s="5"/>
      <c r="M106" s="15"/>
      <c r="N106" s="5"/>
      <c r="O106" s="15"/>
      <c r="P106" s="19" t="str">
        <f t="shared" si="13"/>
        <v/>
      </c>
      <c r="Q106" s="19" t="str">
        <f t="shared" si="14"/>
        <v/>
      </c>
      <c r="R106" s="19" t="str">
        <f t="shared" si="15"/>
        <v/>
      </c>
      <c r="S106" s="5"/>
      <c r="T106" s="5"/>
      <c r="U106" s="5"/>
      <c r="V106" s="24"/>
      <c r="W106" s="15"/>
      <c r="X106" s="15"/>
      <c r="Y106" s="15"/>
      <c r="Z106" s="19" t="str">
        <f t="shared" si="16"/>
        <v/>
      </c>
      <c r="AA106" s="19" t="str">
        <f t="shared" si="17"/>
        <v/>
      </c>
      <c r="AB106" s="5"/>
      <c r="AC106" s="5"/>
      <c r="AE106" t="str">
        <f>IFERROR(INDEX(EqTag,_xlfn.AGGREGATE(15,6,(ROW(EqTag)-4)/((EqSys=$D$3)*(EqTag&lt;&gt;"")),ROWS($AE$14:AE106))),"")</f>
        <v/>
      </c>
    </row>
    <row r="107" spans="1:31" ht="30" customHeight="1" x14ac:dyDescent="0.2">
      <c r="A107" s="19" t="str">
        <f>IF(F107="","",LEFT($D$3,3)&amp;"-"&amp;TEXT(COUNTIF(F$14:F107,"?*"),"00"))</f>
        <v/>
      </c>
      <c r="B107" s="5"/>
      <c r="C107" s="6" t="str">
        <f t="shared" si="12"/>
        <v/>
      </c>
      <c r="D107" s="5"/>
      <c r="E107" s="5"/>
      <c r="F107" s="5"/>
      <c r="G107" s="5"/>
      <c r="H107" s="5"/>
      <c r="I107" s="5"/>
      <c r="J107" s="5"/>
      <c r="K107" s="15"/>
      <c r="L107" s="5"/>
      <c r="M107" s="15"/>
      <c r="N107" s="5"/>
      <c r="O107" s="15"/>
      <c r="P107" s="19" t="str">
        <f t="shared" si="13"/>
        <v/>
      </c>
      <c r="Q107" s="19" t="str">
        <f t="shared" si="14"/>
        <v/>
      </c>
      <c r="R107" s="19" t="str">
        <f t="shared" si="15"/>
        <v/>
      </c>
      <c r="S107" s="5"/>
      <c r="T107" s="5"/>
      <c r="U107" s="5"/>
      <c r="V107" s="24"/>
      <c r="W107" s="15"/>
      <c r="X107" s="15"/>
      <c r="Y107" s="15"/>
      <c r="Z107" s="19" t="str">
        <f t="shared" si="16"/>
        <v/>
      </c>
      <c r="AA107" s="19" t="str">
        <f t="shared" si="17"/>
        <v/>
      </c>
      <c r="AB107" s="5"/>
      <c r="AC107" s="5"/>
      <c r="AE107" t="str">
        <f>IFERROR(INDEX(EqTag,_xlfn.AGGREGATE(15,6,(ROW(EqTag)-4)/((EqSys=$D$3)*(EqTag&lt;&gt;"")),ROWS($AE$14:AE107))),"")</f>
        <v/>
      </c>
    </row>
    <row r="108" spans="1:31" ht="30" customHeight="1" x14ac:dyDescent="0.2">
      <c r="A108" s="19" t="str">
        <f>IF(F108="","",LEFT($D$3,3)&amp;"-"&amp;TEXT(COUNTIF(F$14:F108,"?*"),"00"))</f>
        <v/>
      </c>
      <c r="B108" s="5"/>
      <c r="C108" s="6" t="str">
        <f t="shared" si="12"/>
        <v/>
      </c>
      <c r="D108" s="5"/>
      <c r="E108" s="5"/>
      <c r="F108" s="5"/>
      <c r="G108" s="5"/>
      <c r="H108" s="5"/>
      <c r="I108" s="5"/>
      <c r="J108" s="5"/>
      <c r="K108" s="15"/>
      <c r="L108" s="5"/>
      <c r="M108" s="15"/>
      <c r="N108" s="5"/>
      <c r="O108" s="15"/>
      <c r="P108" s="19" t="str">
        <f t="shared" si="13"/>
        <v/>
      </c>
      <c r="Q108" s="19" t="str">
        <f t="shared" si="14"/>
        <v/>
      </c>
      <c r="R108" s="19" t="str">
        <f t="shared" si="15"/>
        <v/>
      </c>
      <c r="S108" s="5"/>
      <c r="T108" s="5"/>
      <c r="U108" s="5"/>
      <c r="V108" s="24"/>
      <c r="W108" s="15"/>
      <c r="X108" s="15"/>
      <c r="Y108" s="15"/>
      <c r="Z108" s="19" t="str">
        <f t="shared" si="16"/>
        <v/>
      </c>
      <c r="AA108" s="19" t="str">
        <f t="shared" si="17"/>
        <v/>
      </c>
      <c r="AB108" s="5"/>
      <c r="AC108" s="5"/>
      <c r="AE108" t="str">
        <f>IFERROR(INDEX(EqTag,_xlfn.AGGREGATE(15,6,(ROW(EqTag)-4)/((EqSys=$D$3)*(EqTag&lt;&gt;"")),ROWS($AE$14:AE108))),"")</f>
        <v/>
      </c>
    </row>
    <row r="109" spans="1:31" ht="30" customHeight="1" x14ac:dyDescent="0.2">
      <c r="A109" s="19" t="str">
        <f>IF(F109="","",LEFT($D$3,3)&amp;"-"&amp;TEXT(COUNTIF(F$14:F109,"?*"),"00"))</f>
        <v/>
      </c>
      <c r="B109" s="5"/>
      <c r="C109" s="6" t="str">
        <f t="shared" si="12"/>
        <v/>
      </c>
      <c r="D109" s="5"/>
      <c r="E109" s="5"/>
      <c r="F109" s="5"/>
      <c r="G109" s="5"/>
      <c r="H109" s="5"/>
      <c r="I109" s="5"/>
      <c r="J109" s="5"/>
      <c r="K109" s="15"/>
      <c r="L109" s="5"/>
      <c r="M109" s="15"/>
      <c r="N109" s="5"/>
      <c r="O109" s="15"/>
      <c r="P109" s="19" t="str">
        <f t="shared" si="13"/>
        <v/>
      </c>
      <c r="Q109" s="19" t="str">
        <f t="shared" si="14"/>
        <v/>
      </c>
      <c r="R109" s="19" t="str">
        <f t="shared" si="15"/>
        <v/>
      </c>
      <c r="S109" s="5"/>
      <c r="T109" s="5"/>
      <c r="U109" s="5"/>
      <c r="V109" s="24"/>
      <c r="W109" s="15"/>
      <c r="X109" s="15"/>
      <c r="Y109" s="15"/>
      <c r="Z109" s="19" t="str">
        <f t="shared" si="16"/>
        <v/>
      </c>
      <c r="AA109" s="19" t="str">
        <f t="shared" si="17"/>
        <v/>
      </c>
      <c r="AB109" s="5"/>
      <c r="AC109" s="5"/>
      <c r="AE109" t="str">
        <f>IFERROR(INDEX(EqTag,_xlfn.AGGREGATE(15,6,(ROW(EqTag)-4)/((EqSys=$D$3)*(EqTag&lt;&gt;"")),ROWS($AE$14:AE109))),"")</f>
        <v/>
      </c>
    </row>
    <row r="110" spans="1:31" ht="30" customHeight="1" x14ac:dyDescent="0.2">
      <c r="A110" s="19" t="str">
        <f>IF(F110="","",LEFT($D$3,3)&amp;"-"&amp;TEXT(COUNTIF(F$14:F110,"?*"),"00"))</f>
        <v/>
      </c>
      <c r="B110" s="5"/>
      <c r="C110" s="6" t="str">
        <f t="shared" ref="C110:C141" si="18">IF(B110="","",IFERROR(INDEX(EqTypeCol,MATCH(B110,EqTag,0)),"Tag not in register"))</f>
        <v/>
      </c>
      <c r="D110" s="5"/>
      <c r="E110" s="5"/>
      <c r="F110" s="5"/>
      <c r="G110" s="5"/>
      <c r="H110" s="5"/>
      <c r="I110" s="5"/>
      <c r="J110" s="5"/>
      <c r="K110" s="15"/>
      <c r="L110" s="5"/>
      <c r="M110" s="15"/>
      <c r="N110" s="5"/>
      <c r="O110" s="15"/>
      <c r="P110" s="19" t="str">
        <f t="shared" ref="P110:P141" si="19">IF(OR(K110="",M110="",O110=""),"",(--TRIM(LEFT(K110,2)))*(--TRIM(LEFT(M110,2)))*(--TRIM(LEFT(O110,2))))</f>
        <v/>
      </c>
      <c r="Q110" s="19" t="str">
        <f t="shared" ref="Q110:Q141" si="20">IF(OR(K110="",M110="",O110=""),"",INDEX(APGrid,COUNTIF(APS,"&gt;"&amp;(--TRIM(LEFT(K110,2))))*5+COUNTIF(APO,"&gt;"&amp;(--TRIM(LEFT(M110,2))))+1,COUNTIF(APD,"&gt;"&amp;(--TRIM(LEFT(O110,2))))+1))</f>
        <v/>
      </c>
      <c r="R110" s="19" t="str">
        <f t="shared" ref="R110:R141" si="21">IF(P110="","",IF(OR((--TRIM(LEFT(K110,2)))&gt;=SThr,P110&gt;=RPNThr,Q110="H"),"Yes","No"))</f>
        <v/>
      </c>
      <c r="S110" s="5"/>
      <c r="T110" s="5"/>
      <c r="U110" s="5"/>
      <c r="V110" s="24"/>
      <c r="W110" s="15"/>
      <c r="X110" s="15"/>
      <c r="Y110" s="15"/>
      <c r="Z110" s="19" t="str">
        <f t="shared" ref="Z110:Z141" si="22">IF(OR(W110="",X110="",Y110=""),"",(--TRIM(LEFT(W110,2)))*(--TRIM(LEFT(X110,2)))*(--TRIM(LEFT(Y110,2))))</f>
        <v/>
      </c>
      <c r="AA110" s="19" t="str">
        <f t="shared" ref="AA110:AA141" si="23">IF(OR(W110="",X110="",Y110=""),"",INDEX(APGrid,COUNTIF(APS,"&gt;"&amp;(--TRIM(LEFT(W110,2))))*5+COUNTIF(APO,"&gt;"&amp;(--TRIM(LEFT(X110,2))))+1,COUNTIF(APD,"&gt;"&amp;(--TRIM(LEFT(Y110,2))))+1))</f>
        <v/>
      </c>
      <c r="AB110" s="5"/>
      <c r="AC110" s="5"/>
      <c r="AE110" t="str">
        <f>IFERROR(INDEX(EqTag,_xlfn.AGGREGATE(15,6,(ROW(EqTag)-4)/((EqSys=$D$3)*(EqTag&lt;&gt;"")),ROWS($AE$14:AE110))),"")</f>
        <v/>
      </c>
    </row>
    <row r="111" spans="1:31" ht="30" customHeight="1" x14ac:dyDescent="0.2">
      <c r="A111" s="19" t="str">
        <f>IF(F111="","",LEFT($D$3,3)&amp;"-"&amp;TEXT(COUNTIF(F$14:F111,"?*"),"00"))</f>
        <v/>
      </c>
      <c r="B111" s="5"/>
      <c r="C111" s="6" t="str">
        <f t="shared" si="18"/>
        <v/>
      </c>
      <c r="D111" s="5"/>
      <c r="E111" s="5"/>
      <c r="F111" s="5"/>
      <c r="G111" s="5"/>
      <c r="H111" s="5"/>
      <c r="I111" s="5"/>
      <c r="J111" s="5"/>
      <c r="K111" s="15"/>
      <c r="L111" s="5"/>
      <c r="M111" s="15"/>
      <c r="N111" s="5"/>
      <c r="O111" s="15"/>
      <c r="P111" s="19" t="str">
        <f t="shared" si="19"/>
        <v/>
      </c>
      <c r="Q111" s="19" t="str">
        <f t="shared" si="20"/>
        <v/>
      </c>
      <c r="R111" s="19" t="str">
        <f t="shared" si="21"/>
        <v/>
      </c>
      <c r="S111" s="5"/>
      <c r="T111" s="5"/>
      <c r="U111" s="5"/>
      <c r="V111" s="24"/>
      <c r="W111" s="15"/>
      <c r="X111" s="15"/>
      <c r="Y111" s="15"/>
      <c r="Z111" s="19" t="str">
        <f t="shared" si="22"/>
        <v/>
      </c>
      <c r="AA111" s="19" t="str">
        <f t="shared" si="23"/>
        <v/>
      </c>
      <c r="AB111" s="5"/>
      <c r="AC111" s="5"/>
      <c r="AE111" t="str">
        <f>IFERROR(INDEX(EqTag,_xlfn.AGGREGATE(15,6,(ROW(EqTag)-4)/((EqSys=$D$3)*(EqTag&lt;&gt;"")),ROWS($AE$14:AE111))),"")</f>
        <v/>
      </c>
    </row>
    <row r="112" spans="1:31" ht="30" customHeight="1" x14ac:dyDescent="0.2">
      <c r="A112" s="19" t="str">
        <f>IF(F112="","",LEFT($D$3,3)&amp;"-"&amp;TEXT(COUNTIF(F$14:F112,"?*"),"00"))</f>
        <v/>
      </c>
      <c r="B112" s="5"/>
      <c r="C112" s="6" t="str">
        <f t="shared" si="18"/>
        <v/>
      </c>
      <c r="D112" s="5"/>
      <c r="E112" s="5"/>
      <c r="F112" s="5"/>
      <c r="G112" s="5"/>
      <c r="H112" s="5"/>
      <c r="I112" s="5"/>
      <c r="J112" s="5"/>
      <c r="K112" s="15"/>
      <c r="L112" s="5"/>
      <c r="M112" s="15"/>
      <c r="N112" s="5"/>
      <c r="O112" s="15"/>
      <c r="P112" s="19" t="str">
        <f t="shared" si="19"/>
        <v/>
      </c>
      <c r="Q112" s="19" t="str">
        <f t="shared" si="20"/>
        <v/>
      </c>
      <c r="R112" s="19" t="str">
        <f t="shared" si="21"/>
        <v/>
      </c>
      <c r="S112" s="5"/>
      <c r="T112" s="5"/>
      <c r="U112" s="5"/>
      <c r="V112" s="24"/>
      <c r="W112" s="15"/>
      <c r="X112" s="15"/>
      <c r="Y112" s="15"/>
      <c r="Z112" s="19" t="str">
        <f t="shared" si="22"/>
        <v/>
      </c>
      <c r="AA112" s="19" t="str">
        <f t="shared" si="23"/>
        <v/>
      </c>
      <c r="AB112" s="5"/>
      <c r="AC112" s="5"/>
      <c r="AE112" t="str">
        <f>IFERROR(INDEX(EqTag,_xlfn.AGGREGATE(15,6,(ROW(EqTag)-4)/((EqSys=$D$3)*(EqTag&lt;&gt;"")),ROWS($AE$14:AE112))),"")</f>
        <v/>
      </c>
    </row>
    <row r="113" spans="1:31" ht="30" customHeight="1" x14ac:dyDescent="0.2">
      <c r="A113" s="19" t="str">
        <f>IF(F113="","",LEFT($D$3,3)&amp;"-"&amp;TEXT(COUNTIF(F$14:F113,"?*"),"00"))</f>
        <v/>
      </c>
      <c r="B113" s="5"/>
      <c r="C113" s="6" t="str">
        <f t="shared" si="18"/>
        <v/>
      </c>
      <c r="D113" s="5"/>
      <c r="E113" s="5"/>
      <c r="F113" s="5"/>
      <c r="G113" s="5"/>
      <c r="H113" s="5"/>
      <c r="I113" s="5"/>
      <c r="J113" s="5"/>
      <c r="K113" s="15"/>
      <c r="L113" s="5"/>
      <c r="M113" s="15"/>
      <c r="N113" s="5"/>
      <c r="O113" s="15"/>
      <c r="P113" s="19" t="str">
        <f t="shared" si="19"/>
        <v/>
      </c>
      <c r="Q113" s="19" t="str">
        <f t="shared" si="20"/>
        <v/>
      </c>
      <c r="R113" s="19" t="str">
        <f t="shared" si="21"/>
        <v/>
      </c>
      <c r="S113" s="5"/>
      <c r="T113" s="5"/>
      <c r="U113" s="5"/>
      <c r="V113" s="24"/>
      <c r="W113" s="15"/>
      <c r="X113" s="15"/>
      <c r="Y113" s="15"/>
      <c r="Z113" s="19" t="str">
        <f t="shared" si="22"/>
        <v/>
      </c>
      <c r="AA113" s="19" t="str">
        <f t="shared" si="23"/>
        <v/>
      </c>
      <c r="AB113" s="5"/>
      <c r="AC113" s="5"/>
      <c r="AE113" t="str">
        <f>IFERROR(INDEX(EqTag,_xlfn.AGGREGATE(15,6,(ROW(EqTag)-4)/((EqSys=$D$3)*(EqTag&lt;&gt;"")),ROWS($AE$14:AE113))),"")</f>
        <v/>
      </c>
    </row>
    <row r="114" spans="1:31" ht="30" customHeight="1" x14ac:dyDescent="0.2">
      <c r="A114" s="19" t="str">
        <f>IF(F114="","",LEFT($D$3,3)&amp;"-"&amp;TEXT(COUNTIF(F$14:F114,"?*"),"00"))</f>
        <v/>
      </c>
      <c r="B114" s="5"/>
      <c r="C114" s="6" t="str">
        <f t="shared" si="18"/>
        <v/>
      </c>
      <c r="D114" s="5"/>
      <c r="E114" s="5"/>
      <c r="F114" s="5"/>
      <c r="G114" s="5"/>
      <c r="H114" s="5"/>
      <c r="I114" s="5"/>
      <c r="J114" s="5"/>
      <c r="K114" s="15"/>
      <c r="L114" s="5"/>
      <c r="M114" s="15"/>
      <c r="N114" s="5"/>
      <c r="O114" s="15"/>
      <c r="P114" s="19" t="str">
        <f t="shared" si="19"/>
        <v/>
      </c>
      <c r="Q114" s="19" t="str">
        <f t="shared" si="20"/>
        <v/>
      </c>
      <c r="R114" s="19" t="str">
        <f t="shared" si="21"/>
        <v/>
      </c>
      <c r="S114" s="5"/>
      <c r="T114" s="5"/>
      <c r="U114" s="5"/>
      <c r="V114" s="24"/>
      <c r="W114" s="15"/>
      <c r="X114" s="15"/>
      <c r="Y114" s="15"/>
      <c r="Z114" s="19" t="str">
        <f t="shared" si="22"/>
        <v/>
      </c>
      <c r="AA114" s="19" t="str">
        <f t="shared" si="23"/>
        <v/>
      </c>
      <c r="AB114" s="5"/>
      <c r="AC114" s="5"/>
      <c r="AE114" t="str">
        <f>IFERROR(INDEX(EqTag,_xlfn.AGGREGATE(15,6,(ROW(EqTag)-4)/((EqSys=$D$3)*(EqTag&lt;&gt;"")),ROWS($AE$14:AE114))),"")</f>
        <v/>
      </c>
    </row>
    <row r="115" spans="1:31" ht="30" customHeight="1" x14ac:dyDescent="0.2">
      <c r="A115" s="19" t="str">
        <f>IF(F115="","",LEFT($D$3,3)&amp;"-"&amp;TEXT(COUNTIF(F$14:F115,"?*"),"00"))</f>
        <v/>
      </c>
      <c r="B115" s="5"/>
      <c r="C115" s="6" t="str">
        <f t="shared" si="18"/>
        <v/>
      </c>
      <c r="D115" s="5"/>
      <c r="E115" s="5"/>
      <c r="F115" s="5"/>
      <c r="G115" s="5"/>
      <c r="H115" s="5"/>
      <c r="I115" s="5"/>
      <c r="J115" s="5"/>
      <c r="K115" s="15"/>
      <c r="L115" s="5"/>
      <c r="M115" s="15"/>
      <c r="N115" s="5"/>
      <c r="O115" s="15"/>
      <c r="P115" s="19" t="str">
        <f t="shared" si="19"/>
        <v/>
      </c>
      <c r="Q115" s="19" t="str">
        <f t="shared" si="20"/>
        <v/>
      </c>
      <c r="R115" s="19" t="str">
        <f t="shared" si="21"/>
        <v/>
      </c>
      <c r="S115" s="5"/>
      <c r="T115" s="5"/>
      <c r="U115" s="5"/>
      <c r="V115" s="24"/>
      <c r="W115" s="15"/>
      <c r="X115" s="15"/>
      <c r="Y115" s="15"/>
      <c r="Z115" s="19" t="str">
        <f t="shared" si="22"/>
        <v/>
      </c>
      <c r="AA115" s="19" t="str">
        <f t="shared" si="23"/>
        <v/>
      </c>
      <c r="AB115" s="5"/>
      <c r="AC115" s="5"/>
      <c r="AE115" t="str">
        <f>IFERROR(INDEX(EqTag,_xlfn.AGGREGATE(15,6,(ROW(EqTag)-4)/((EqSys=$D$3)*(EqTag&lt;&gt;"")),ROWS($AE$14:AE115))),"")</f>
        <v/>
      </c>
    </row>
    <row r="116" spans="1:31" ht="30" customHeight="1" x14ac:dyDescent="0.2">
      <c r="A116" s="19" t="str">
        <f>IF(F116="","",LEFT($D$3,3)&amp;"-"&amp;TEXT(COUNTIF(F$14:F116,"?*"),"00"))</f>
        <v/>
      </c>
      <c r="B116" s="5"/>
      <c r="C116" s="6" t="str">
        <f t="shared" si="18"/>
        <v/>
      </c>
      <c r="D116" s="5"/>
      <c r="E116" s="5"/>
      <c r="F116" s="5"/>
      <c r="G116" s="5"/>
      <c r="H116" s="5"/>
      <c r="I116" s="5"/>
      <c r="J116" s="5"/>
      <c r="K116" s="15"/>
      <c r="L116" s="5"/>
      <c r="M116" s="15"/>
      <c r="N116" s="5"/>
      <c r="O116" s="15"/>
      <c r="P116" s="19" t="str">
        <f t="shared" si="19"/>
        <v/>
      </c>
      <c r="Q116" s="19" t="str">
        <f t="shared" si="20"/>
        <v/>
      </c>
      <c r="R116" s="19" t="str">
        <f t="shared" si="21"/>
        <v/>
      </c>
      <c r="S116" s="5"/>
      <c r="T116" s="5"/>
      <c r="U116" s="5"/>
      <c r="V116" s="24"/>
      <c r="W116" s="15"/>
      <c r="X116" s="15"/>
      <c r="Y116" s="15"/>
      <c r="Z116" s="19" t="str">
        <f t="shared" si="22"/>
        <v/>
      </c>
      <c r="AA116" s="19" t="str">
        <f t="shared" si="23"/>
        <v/>
      </c>
      <c r="AB116" s="5"/>
      <c r="AC116" s="5"/>
      <c r="AE116" t="str">
        <f>IFERROR(INDEX(EqTag,_xlfn.AGGREGATE(15,6,(ROW(EqTag)-4)/((EqSys=$D$3)*(EqTag&lt;&gt;"")),ROWS($AE$14:AE116))),"")</f>
        <v/>
      </c>
    </row>
    <row r="117" spans="1:31" ht="30" customHeight="1" x14ac:dyDescent="0.2">
      <c r="A117" s="19" t="str">
        <f>IF(F117="","",LEFT($D$3,3)&amp;"-"&amp;TEXT(COUNTIF(F$14:F117,"?*"),"00"))</f>
        <v/>
      </c>
      <c r="B117" s="5"/>
      <c r="C117" s="6" t="str">
        <f t="shared" si="18"/>
        <v/>
      </c>
      <c r="D117" s="5"/>
      <c r="E117" s="5"/>
      <c r="F117" s="5"/>
      <c r="G117" s="5"/>
      <c r="H117" s="5"/>
      <c r="I117" s="5"/>
      <c r="J117" s="5"/>
      <c r="K117" s="15"/>
      <c r="L117" s="5"/>
      <c r="M117" s="15"/>
      <c r="N117" s="5"/>
      <c r="O117" s="15"/>
      <c r="P117" s="19" t="str">
        <f t="shared" si="19"/>
        <v/>
      </c>
      <c r="Q117" s="19" t="str">
        <f t="shared" si="20"/>
        <v/>
      </c>
      <c r="R117" s="19" t="str">
        <f t="shared" si="21"/>
        <v/>
      </c>
      <c r="S117" s="5"/>
      <c r="T117" s="5"/>
      <c r="U117" s="5"/>
      <c r="V117" s="24"/>
      <c r="W117" s="15"/>
      <c r="X117" s="15"/>
      <c r="Y117" s="15"/>
      <c r="Z117" s="19" t="str">
        <f t="shared" si="22"/>
        <v/>
      </c>
      <c r="AA117" s="19" t="str">
        <f t="shared" si="23"/>
        <v/>
      </c>
      <c r="AB117" s="5"/>
      <c r="AC117" s="5"/>
      <c r="AE117" t="str">
        <f>IFERROR(INDEX(EqTag,_xlfn.AGGREGATE(15,6,(ROW(EqTag)-4)/((EqSys=$D$3)*(EqTag&lt;&gt;"")),ROWS($AE$14:AE117))),"")</f>
        <v/>
      </c>
    </row>
    <row r="118" spans="1:31" ht="30" customHeight="1" x14ac:dyDescent="0.2">
      <c r="A118" s="19" t="str">
        <f>IF(F118="","",LEFT($D$3,3)&amp;"-"&amp;TEXT(COUNTIF(F$14:F118,"?*"),"00"))</f>
        <v/>
      </c>
      <c r="B118" s="5"/>
      <c r="C118" s="6" t="str">
        <f t="shared" si="18"/>
        <v/>
      </c>
      <c r="D118" s="5"/>
      <c r="E118" s="5"/>
      <c r="F118" s="5"/>
      <c r="G118" s="5"/>
      <c r="H118" s="5"/>
      <c r="I118" s="5"/>
      <c r="J118" s="5"/>
      <c r="K118" s="15"/>
      <c r="L118" s="5"/>
      <c r="M118" s="15"/>
      <c r="N118" s="5"/>
      <c r="O118" s="15"/>
      <c r="P118" s="19" t="str">
        <f t="shared" si="19"/>
        <v/>
      </c>
      <c r="Q118" s="19" t="str">
        <f t="shared" si="20"/>
        <v/>
      </c>
      <c r="R118" s="19" t="str">
        <f t="shared" si="21"/>
        <v/>
      </c>
      <c r="S118" s="5"/>
      <c r="T118" s="5"/>
      <c r="U118" s="5"/>
      <c r="V118" s="24"/>
      <c r="W118" s="15"/>
      <c r="X118" s="15"/>
      <c r="Y118" s="15"/>
      <c r="Z118" s="19" t="str">
        <f t="shared" si="22"/>
        <v/>
      </c>
      <c r="AA118" s="19" t="str">
        <f t="shared" si="23"/>
        <v/>
      </c>
      <c r="AB118" s="5"/>
      <c r="AC118" s="5"/>
      <c r="AE118" t="str">
        <f>IFERROR(INDEX(EqTag,_xlfn.AGGREGATE(15,6,(ROW(EqTag)-4)/((EqSys=$D$3)*(EqTag&lt;&gt;"")),ROWS($AE$14:AE118))),"")</f>
        <v/>
      </c>
    </row>
    <row r="119" spans="1:31" ht="30" customHeight="1" x14ac:dyDescent="0.2">
      <c r="A119" s="19" t="str">
        <f>IF(F119="","",LEFT($D$3,3)&amp;"-"&amp;TEXT(COUNTIF(F$14:F119,"?*"),"00"))</f>
        <v/>
      </c>
      <c r="B119" s="5"/>
      <c r="C119" s="6" t="str">
        <f t="shared" si="18"/>
        <v/>
      </c>
      <c r="D119" s="5"/>
      <c r="E119" s="5"/>
      <c r="F119" s="5"/>
      <c r="G119" s="5"/>
      <c r="H119" s="5"/>
      <c r="I119" s="5"/>
      <c r="J119" s="5"/>
      <c r="K119" s="15"/>
      <c r="L119" s="5"/>
      <c r="M119" s="15"/>
      <c r="N119" s="5"/>
      <c r="O119" s="15"/>
      <c r="P119" s="19" t="str">
        <f t="shared" si="19"/>
        <v/>
      </c>
      <c r="Q119" s="19" t="str">
        <f t="shared" si="20"/>
        <v/>
      </c>
      <c r="R119" s="19" t="str">
        <f t="shared" si="21"/>
        <v/>
      </c>
      <c r="S119" s="5"/>
      <c r="T119" s="5"/>
      <c r="U119" s="5"/>
      <c r="V119" s="24"/>
      <c r="W119" s="15"/>
      <c r="X119" s="15"/>
      <c r="Y119" s="15"/>
      <c r="Z119" s="19" t="str">
        <f t="shared" si="22"/>
        <v/>
      </c>
      <c r="AA119" s="19" t="str">
        <f t="shared" si="23"/>
        <v/>
      </c>
      <c r="AB119" s="5"/>
      <c r="AC119" s="5"/>
      <c r="AE119" t="str">
        <f>IFERROR(INDEX(EqTag,_xlfn.AGGREGATE(15,6,(ROW(EqTag)-4)/((EqSys=$D$3)*(EqTag&lt;&gt;"")),ROWS($AE$14:AE119))),"")</f>
        <v/>
      </c>
    </row>
    <row r="120" spans="1:31" ht="30" customHeight="1" x14ac:dyDescent="0.2">
      <c r="A120" s="19" t="str">
        <f>IF(F120="","",LEFT($D$3,3)&amp;"-"&amp;TEXT(COUNTIF(F$14:F120,"?*"),"00"))</f>
        <v/>
      </c>
      <c r="B120" s="5"/>
      <c r="C120" s="6" t="str">
        <f t="shared" si="18"/>
        <v/>
      </c>
      <c r="D120" s="5"/>
      <c r="E120" s="5"/>
      <c r="F120" s="5"/>
      <c r="G120" s="5"/>
      <c r="H120" s="5"/>
      <c r="I120" s="5"/>
      <c r="J120" s="5"/>
      <c r="K120" s="15"/>
      <c r="L120" s="5"/>
      <c r="M120" s="15"/>
      <c r="N120" s="5"/>
      <c r="O120" s="15"/>
      <c r="P120" s="19" t="str">
        <f t="shared" si="19"/>
        <v/>
      </c>
      <c r="Q120" s="19" t="str">
        <f t="shared" si="20"/>
        <v/>
      </c>
      <c r="R120" s="19" t="str">
        <f t="shared" si="21"/>
        <v/>
      </c>
      <c r="S120" s="5"/>
      <c r="T120" s="5"/>
      <c r="U120" s="5"/>
      <c r="V120" s="24"/>
      <c r="W120" s="15"/>
      <c r="X120" s="15"/>
      <c r="Y120" s="15"/>
      <c r="Z120" s="19" t="str">
        <f t="shared" si="22"/>
        <v/>
      </c>
      <c r="AA120" s="19" t="str">
        <f t="shared" si="23"/>
        <v/>
      </c>
      <c r="AB120" s="5"/>
      <c r="AC120" s="5"/>
      <c r="AE120" t="str">
        <f>IFERROR(INDEX(EqTag,_xlfn.AGGREGATE(15,6,(ROW(EqTag)-4)/((EqSys=$D$3)*(EqTag&lt;&gt;"")),ROWS($AE$14:AE120))),"")</f>
        <v/>
      </c>
    </row>
    <row r="121" spans="1:31" ht="30" customHeight="1" x14ac:dyDescent="0.2">
      <c r="A121" s="19" t="str">
        <f>IF(F121="","",LEFT($D$3,3)&amp;"-"&amp;TEXT(COUNTIF(F$14:F121,"?*"),"00"))</f>
        <v/>
      </c>
      <c r="B121" s="5"/>
      <c r="C121" s="6" t="str">
        <f t="shared" si="18"/>
        <v/>
      </c>
      <c r="D121" s="5"/>
      <c r="E121" s="5"/>
      <c r="F121" s="5"/>
      <c r="G121" s="5"/>
      <c r="H121" s="5"/>
      <c r="I121" s="5"/>
      <c r="J121" s="5"/>
      <c r="K121" s="15"/>
      <c r="L121" s="5"/>
      <c r="M121" s="15"/>
      <c r="N121" s="5"/>
      <c r="O121" s="15"/>
      <c r="P121" s="19" t="str">
        <f t="shared" si="19"/>
        <v/>
      </c>
      <c r="Q121" s="19" t="str">
        <f t="shared" si="20"/>
        <v/>
      </c>
      <c r="R121" s="19" t="str">
        <f t="shared" si="21"/>
        <v/>
      </c>
      <c r="S121" s="5"/>
      <c r="T121" s="5"/>
      <c r="U121" s="5"/>
      <c r="V121" s="24"/>
      <c r="W121" s="15"/>
      <c r="X121" s="15"/>
      <c r="Y121" s="15"/>
      <c r="Z121" s="19" t="str">
        <f t="shared" si="22"/>
        <v/>
      </c>
      <c r="AA121" s="19" t="str">
        <f t="shared" si="23"/>
        <v/>
      </c>
      <c r="AB121" s="5"/>
      <c r="AC121" s="5"/>
      <c r="AE121" t="str">
        <f>IFERROR(INDEX(EqTag,_xlfn.AGGREGATE(15,6,(ROW(EqTag)-4)/((EqSys=$D$3)*(EqTag&lt;&gt;"")),ROWS($AE$14:AE121))),"")</f>
        <v/>
      </c>
    </row>
    <row r="122" spans="1:31" ht="30" customHeight="1" x14ac:dyDescent="0.2">
      <c r="A122" s="19" t="str">
        <f>IF(F122="","",LEFT($D$3,3)&amp;"-"&amp;TEXT(COUNTIF(F$14:F122,"?*"),"00"))</f>
        <v/>
      </c>
      <c r="B122" s="5"/>
      <c r="C122" s="6" t="str">
        <f t="shared" si="18"/>
        <v/>
      </c>
      <c r="D122" s="5"/>
      <c r="E122" s="5"/>
      <c r="F122" s="5"/>
      <c r="G122" s="5"/>
      <c r="H122" s="5"/>
      <c r="I122" s="5"/>
      <c r="J122" s="5"/>
      <c r="K122" s="15"/>
      <c r="L122" s="5"/>
      <c r="M122" s="15"/>
      <c r="N122" s="5"/>
      <c r="O122" s="15"/>
      <c r="P122" s="19" t="str">
        <f t="shared" si="19"/>
        <v/>
      </c>
      <c r="Q122" s="19" t="str">
        <f t="shared" si="20"/>
        <v/>
      </c>
      <c r="R122" s="19" t="str">
        <f t="shared" si="21"/>
        <v/>
      </c>
      <c r="S122" s="5"/>
      <c r="T122" s="5"/>
      <c r="U122" s="5"/>
      <c r="V122" s="24"/>
      <c r="W122" s="15"/>
      <c r="X122" s="15"/>
      <c r="Y122" s="15"/>
      <c r="Z122" s="19" t="str">
        <f t="shared" si="22"/>
        <v/>
      </c>
      <c r="AA122" s="19" t="str">
        <f t="shared" si="23"/>
        <v/>
      </c>
      <c r="AB122" s="5"/>
      <c r="AC122" s="5"/>
      <c r="AE122" t="str">
        <f>IFERROR(INDEX(EqTag,_xlfn.AGGREGATE(15,6,(ROW(EqTag)-4)/((EqSys=$D$3)*(EqTag&lt;&gt;"")),ROWS($AE$14:AE122))),"")</f>
        <v/>
      </c>
    </row>
    <row r="123" spans="1:31" ht="30" customHeight="1" x14ac:dyDescent="0.2">
      <c r="A123" s="19" t="str">
        <f>IF(F123="","",LEFT($D$3,3)&amp;"-"&amp;TEXT(COUNTIF(F$14:F123,"?*"),"00"))</f>
        <v/>
      </c>
      <c r="B123" s="5"/>
      <c r="C123" s="6" t="str">
        <f t="shared" si="18"/>
        <v/>
      </c>
      <c r="D123" s="5"/>
      <c r="E123" s="5"/>
      <c r="F123" s="5"/>
      <c r="G123" s="5"/>
      <c r="H123" s="5"/>
      <c r="I123" s="5"/>
      <c r="J123" s="5"/>
      <c r="K123" s="15"/>
      <c r="L123" s="5"/>
      <c r="M123" s="15"/>
      <c r="N123" s="5"/>
      <c r="O123" s="15"/>
      <c r="P123" s="19" t="str">
        <f t="shared" si="19"/>
        <v/>
      </c>
      <c r="Q123" s="19" t="str">
        <f t="shared" si="20"/>
        <v/>
      </c>
      <c r="R123" s="19" t="str">
        <f t="shared" si="21"/>
        <v/>
      </c>
      <c r="S123" s="5"/>
      <c r="T123" s="5"/>
      <c r="U123" s="5"/>
      <c r="V123" s="24"/>
      <c r="W123" s="15"/>
      <c r="X123" s="15"/>
      <c r="Y123" s="15"/>
      <c r="Z123" s="19" t="str">
        <f t="shared" si="22"/>
        <v/>
      </c>
      <c r="AA123" s="19" t="str">
        <f t="shared" si="23"/>
        <v/>
      </c>
      <c r="AB123" s="5"/>
      <c r="AC123" s="5"/>
      <c r="AE123" t="str">
        <f>IFERROR(INDEX(EqTag,_xlfn.AGGREGATE(15,6,(ROW(EqTag)-4)/((EqSys=$D$3)*(EqTag&lt;&gt;"")),ROWS($AE$14:AE123))),"")</f>
        <v/>
      </c>
    </row>
    <row r="124" spans="1:31" ht="30" customHeight="1" x14ac:dyDescent="0.2">
      <c r="A124" s="19" t="str">
        <f>IF(F124="","",LEFT($D$3,3)&amp;"-"&amp;TEXT(COUNTIF(F$14:F124,"?*"),"00"))</f>
        <v/>
      </c>
      <c r="B124" s="5"/>
      <c r="C124" s="6" t="str">
        <f t="shared" si="18"/>
        <v/>
      </c>
      <c r="D124" s="5"/>
      <c r="E124" s="5"/>
      <c r="F124" s="5"/>
      <c r="G124" s="5"/>
      <c r="H124" s="5"/>
      <c r="I124" s="5"/>
      <c r="J124" s="5"/>
      <c r="K124" s="15"/>
      <c r="L124" s="5"/>
      <c r="M124" s="15"/>
      <c r="N124" s="5"/>
      <c r="O124" s="15"/>
      <c r="P124" s="19" t="str">
        <f t="shared" si="19"/>
        <v/>
      </c>
      <c r="Q124" s="19" t="str">
        <f t="shared" si="20"/>
        <v/>
      </c>
      <c r="R124" s="19" t="str">
        <f t="shared" si="21"/>
        <v/>
      </c>
      <c r="S124" s="5"/>
      <c r="T124" s="5"/>
      <c r="U124" s="5"/>
      <c r="V124" s="24"/>
      <c r="W124" s="15"/>
      <c r="X124" s="15"/>
      <c r="Y124" s="15"/>
      <c r="Z124" s="19" t="str">
        <f t="shared" si="22"/>
        <v/>
      </c>
      <c r="AA124" s="19" t="str">
        <f t="shared" si="23"/>
        <v/>
      </c>
      <c r="AB124" s="5"/>
      <c r="AC124" s="5"/>
      <c r="AE124" t="str">
        <f>IFERROR(INDEX(EqTag,_xlfn.AGGREGATE(15,6,(ROW(EqTag)-4)/((EqSys=$D$3)*(EqTag&lt;&gt;"")),ROWS($AE$14:AE124))),"")</f>
        <v/>
      </c>
    </row>
    <row r="125" spans="1:31" ht="30" customHeight="1" x14ac:dyDescent="0.2">
      <c r="A125" s="19" t="str">
        <f>IF(F125="","",LEFT($D$3,3)&amp;"-"&amp;TEXT(COUNTIF(F$14:F125,"?*"),"00"))</f>
        <v/>
      </c>
      <c r="B125" s="5"/>
      <c r="C125" s="6" t="str">
        <f t="shared" si="18"/>
        <v/>
      </c>
      <c r="D125" s="5"/>
      <c r="E125" s="5"/>
      <c r="F125" s="5"/>
      <c r="G125" s="5"/>
      <c r="H125" s="5"/>
      <c r="I125" s="5"/>
      <c r="J125" s="5"/>
      <c r="K125" s="15"/>
      <c r="L125" s="5"/>
      <c r="M125" s="15"/>
      <c r="N125" s="5"/>
      <c r="O125" s="15"/>
      <c r="P125" s="19" t="str">
        <f t="shared" si="19"/>
        <v/>
      </c>
      <c r="Q125" s="19" t="str">
        <f t="shared" si="20"/>
        <v/>
      </c>
      <c r="R125" s="19" t="str">
        <f t="shared" si="21"/>
        <v/>
      </c>
      <c r="S125" s="5"/>
      <c r="T125" s="5"/>
      <c r="U125" s="5"/>
      <c r="V125" s="24"/>
      <c r="W125" s="15"/>
      <c r="X125" s="15"/>
      <c r="Y125" s="15"/>
      <c r="Z125" s="19" t="str">
        <f t="shared" si="22"/>
        <v/>
      </c>
      <c r="AA125" s="19" t="str">
        <f t="shared" si="23"/>
        <v/>
      </c>
      <c r="AB125" s="5"/>
      <c r="AC125" s="5"/>
      <c r="AE125" t="str">
        <f>IFERROR(INDEX(EqTag,_xlfn.AGGREGATE(15,6,(ROW(EqTag)-4)/((EqSys=$D$3)*(EqTag&lt;&gt;"")),ROWS($AE$14:AE125))),"")</f>
        <v/>
      </c>
    </row>
    <row r="126" spans="1:31" ht="30" customHeight="1" x14ac:dyDescent="0.2">
      <c r="A126" s="19" t="str">
        <f>IF(F126="","",LEFT($D$3,3)&amp;"-"&amp;TEXT(COUNTIF(F$14:F126,"?*"),"00"))</f>
        <v/>
      </c>
      <c r="B126" s="5"/>
      <c r="C126" s="6" t="str">
        <f t="shared" si="18"/>
        <v/>
      </c>
      <c r="D126" s="5"/>
      <c r="E126" s="5"/>
      <c r="F126" s="5"/>
      <c r="G126" s="5"/>
      <c r="H126" s="5"/>
      <c r="I126" s="5"/>
      <c r="J126" s="5"/>
      <c r="K126" s="15"/>
      <c r="L126" s="5"/>
      <c r="M126" s="15"/>
      <c r="N126" s="5"/>
      <c r="O126" s="15"/>
      <c r="P126" s="19" t="str">
        <f t="shared" si="19"/>
        <v/>
      </c>
      <c r="Q126" s="19" t="str">
        <f t="shared" si="20"/>
        <v/>
      </c>
      <c r="R126" s="19" t="str">
        <f t="shared" si="21"/>
        <v/>
      </c>
      <c r="S126" s="5"/>
      <c r="T126" s="5"/>
      <c r="U126" s="5"/>
      <c r="V126" s="24"/>
      <c r="W126" s="15"/>
      <c r="X126" s="15"/>
      <c r="Y126" s="15"/>
      <c r="Z126" s="19" t="str">
        <f t="shared" si="22"/>
        <v/>
      </c>
      <c r="AA126" s="19" t="str">
        <f t="shared" si="23"/>
        <v/>
      </c>
      <c r="AB126" s="5"/>
      <c r="AC126" s="5"/>
      <c r="AE126" t="str">
        <f>IFERROR(INDEX(EqTag,_xlfn.AGGREGATE(15,6,(ROW(EqTag)-4)/((EqSys=$D$3)*(EqTag&lt;&gt;"")),ROWS($AE$14:AE126))),"")</f>
        <v/>
      </c>
    </row>
    <row r="127" spans="1:31" ht="30" customHeight="1" x14ac:dyDescent="0.2">
      <c r="A127" s="19" t="str">
        <f>IF(F127="","",LEFT($D$3,3)&amp;"-"&amp;TEXT(COUNTIF(F$14:F127,"?*"),"00"))</f>
        <v/>
      </c>
      <c r="B127" s="5"/>
      <c r="C127" s="6" t="str">
        <f t="shared" si="18"/>
        <v/>
      </c>
      <c r="D127" s="5"/>
      <c r="E127" s="5"/>
      <c r="F127" s="5"/>
      <c r="G127" s="5"/>
      <c r="H127" s="5"/>
      <c r="I127" s="5"/>
      <c r="J127" s="5"/>
      <c r="K127" s="15"/>
      <c r="L127" s="5"/>
      <c r="M127" s="15"/>
      <c r="N127" s="5"/>
      <c r="O127" s="15"/>
      <c r="P127" s="19" t="str">
        <f t="shared" si="19"/>
        <v/>
      </c>
      <c r="Q127" s="19" t="str">
        <f t="shared" si="20"/>
        <v/>
      </c>
      <c r="R127" s="19" t="str">
        <f t="shared" si="21"/>
        <v/>
      </c>
      <c r="S127" s="5"/>
      <c r="T127" s="5"/>
      <c r="U127" s="5"/>
      <c r="V127" s="24"/>
      <c r="W127" s="15"/>
      <c r="X127" s="15"/>
      <c r="Y127" s="15"/>
      <c r="Z127" s="19" t="str">
        <f t="shared" si="22"/>
        <v/>
      </c>
      <c r="AA127" s="19" t="str">
        <f t="shared" si="23"/>
        <v/>
      </c>
      <c r="AB127" s="5"/>
      <c r="AC127" s="5"/>
      <c r="AE127" t="str">
        <f>IFERROR(INDEX(EqTag,_xlfn.AGGREGATE(15,6,(ROW(EqTag)-4)/((EqSys=$D$3)*(EqTag&lt;&gt;"")),ROWS($AE$14:AE127))),"")</f>
        <v/>
      </c>
    </row>
    <row r="128" spans="1:31" ht="30" customHeight="1" x14ac:dyDescent="0.2">
      <c r="A128" s="19" t="str">
        <f>IF(F128="","",LEFT($D$3,3)&amp;"-"&amp;TEXT(COUNTIF(F$14:F128,"?*"),"00"))</f>
        <v/>
      </c>
      <c r="B128" s="5"/>
      <c r="C128" s="6" t="str">
        <f t="shared" si="18"/>
        <v/>
      </c>
      <c r="D128" s="5"/>
      <c r="E128" s="5"/>
      <c r="F128" s="5"/>
      <c r="G128" s="5"/>
      <c r="H128" s="5"/>
      <c r="I128" s="5"/>
      <c r="J128" s="5"/>
      <c r="K128" s="15"/>
      <c r="L128" s="5"/>
      <c r="M128" s="15"/>
      <c r="N128" s="5"/>
      <c r="O128" s="15"/>
      <c r="P128" s="19" t="str">
        <f t="shared" si="19"/>
        <v/>
      </c>
      <c r="Q128" s="19" t="str">
        <f t="shared" si="20"/>
        <v/>
      </c>
      <c r="R128" s="19" t="str">
        <f t="shared" si="21"/>
        <v/>
      </c>
      <c r="S128" s="5"/>
      <c r="T128" s="5"/>
      <c r="U128" s="5"/>
      <c r="V128" s="24"/>
      <c r="W128" s="15"/>
      <c r="X128" s="15"/>
      <c r="Y128" s="15"/>
      <c r="Z128" s="19" t="str">
        <f t="shared" si="22"/>
        <v/>
      </c>
      <c r="AA128" s="19" t="str">
        <f t="shared" si="23"/>
        <v/>
      </c>
      <c r="AB128" s="5"/>
      <c r="AC128" s="5"/>
      <c r="AE128" t="str">
        <f>IFERROR(INDEX(EqTag,_xlfn.AGGREGATE(15,6,(ROW(EqTag)-4)/((EqSys=$D$3)*(EqTag&lt;&gt;"")),ROWS($AE$14:AE128))),"")</f>
        <v/>
      </c>
    </row>
    <row r="129" spans="1:31" ht="30" customHeight="1" x14ac:dyDescent="0.2">
      <c r="A129" s="19" t="str">
        <f>IF(F129="","",LEFT($D$3,3)&amp;"-"&amp;TEXT(COUNTIF(F$14:F129,"?*"),"00"))</f>
        <v/>
      </c>
      <c r="B129" s="5"/>
      <c r="C129" s="6" t="str">
        <f t="shared" si="18"/>
        <v/>
      </c>
      <c r="D129" s="5"/>
      <c r="E129" s="5"/>
      <c r="F129" s="5"/>
      <c r="G129" s="5"/>
      <c r="H129" s="5"/>
      <c r="I129" s="5"/>
      <c r="J129" s="5"/>
      <c r="K129" s="15"/>
      <c r="L129" s="5"/>
      <c r="M129" s="15"/>
      <c r="N129" s="5"/>
      <c r="O129" s="15"/>
      <c r="P129" s="19" t="str">
        <f t="shared" si="19"/>
        <v/>
      </c>
      <c r="Q129" s="19" t="str">
        <f t="shared" si="20"/>
        <v/>
      </c>
      <c r="R129" s="19" t="str">
        <f t="shared" si="21"/>
        <v/>
      </c>
      <c r="S129" s="5"/>
      <c r="T129" s="5"/>
      <c r="U129" s="5"/>
      <c r="V129" s="24"/>
      <c r="W129" s="15"/>
      <c r="X129" s="15"/>
      <c r="Y129" s="15"/>
      <c r="Z129" s="19" t="str">
        <f t="shared" si="22"/>
        <v/>
      </c>
      <c r="AA129" s="19" t="str">
        <f t="shared" si="23"/>
        <v/>
      </c>
      <c r="AB129" s="5"/>
      <c r="AC129" s="5"/>
      <c r="AE129" t="str">
        <f>IFERROR(INDEX(EqTag,_xlfn.AGGREGATE(15,6,(ROW(EqTag)-4)/((EqSys=$D$3)*(EqTag&lt;&gt;"")),ROWS($AE$14:AE129))),"")</f>
        <v/>
      </c>
    </row>
    <row r="130" spans="1:31" ht="30" customHeight="1" x14ac:dyDescent="0.2">
      <c r="A130" s="19" t="str">
        <f>IF(F130="","",LEFT($D$3,3)&amp;"-"&amp;TEXT(COUNTIF(F$14:F130,"?*"),"00"))</f>
        <v/>
      </c>
      <c r="B130" s="5"/>
      <c r="C130" s="6" t="str">
        <f t="shared" si="18"/>
        <v/>
      </c>
      <c r="D130" s="5"/>
      <c r="E130" s="5"/>
      <c r="F130" s="5"/>
      <c r="G130" s="5"/>
      <c r="H130" s="5"/>
      <c r="I130" s="5"/>
      <c r="J130" s="5"/>
      <c r="K130" s="15"/>
      <c r="L130" s="5"/>
      <c r="M130" s="15"/>
      <c r="N130" s="5"/>
      <c r="O130" s="15"/>
      <c r="P130" s="19" t="str">
        <f t="shared" si="19"/>
        <v/>
      </c>
      <c r="Q130" s="19" t="str">
        <f t="shared" si="20"/>
        <v/>
      </c>
      <c r="R130" s="19" t="str">
        <f t="shared" si="21"/>
        <v/>
      </c>
      <c r="S130" s="5"/>
      <c r="T130" s="5"/>
      <c r="U130" s="5"/>
      <c r="V130" s="24"/>
      <c r="W130" s="15"/>
      <c r="X130" s="15"/>
      <c r="Y130" s="15"/>
      <c r="Z130" s="19" t="str">
        <f t="shared" si="22"/>
        <v/>
      </c>
      <c r="AA130" s="19" t="str">
        <f t="shared" si="23"/>
        <v/>
      </c>
      <c r="AB130" s="5"/>
      <c r="AC130" s="5"/>
      <c r="AE130" t="str">
        <f>IFERROR(INDEX(EqTag,_xlfn.AGGREGATE(15,6,(ROW(EqTag)-4)/((EqSys=$D$3)*(EqTag&lt;&gt;"")),ROWS($AE$14:AE130))),"")</f>
        <v/>
      </c>
    </row>
    <row r="131" spans="1:31" ht="30" customHeight="1" x14ac:dyDescent="0.2">
      <c r="A131" s="19" t="str">
        <f>IF(F131="","",LEFT($D$3,3)&amp;"-"&amp;TEXT(COUNTIF(F$14:F131,"?*"),"00"))</f>
        <v/>
      </c>
      <c r="B131" s="5"/>
      <c r="C131" s="6" t="str">
        <f t="shared" si="18"/>
        <v/>
      </c>
      <c r="D131" s="5"/>
      <c r="E131" s="5"/>
      <c r="F131" s="5"/>
      <c r="G131" s="5"/>
      <c r="H131" s="5"/>
      <c r="I131" s="5"/>
      <c r="J131" s="5"/>
      <c r="K131" s="15"/>
      <c r="L131" s="5"/>
      <c r="M131" s="15"/>
      <c r="N131" s="5"/>
      <c r="O131" s="15"/>
      <c r="P131" s="19" t="str">
        <f t="shared" si="19"/>
        <v/>
      </c>
      <c r="Q131" s="19" t="str">
        <f t="shared" si="20"/>
        <v/>
      </c>
      <c r="R131" s="19" t="str">
        <f t="shared" si="21"/>
        <v/>
      </c>
      <c r="S131" s="5"/>
      <c r="T131" s="5"/>
      <c r="U131" s="5"/>
      <c r="V131" s="24"/>
      <c r="W131" s="15"/>
      <c r="X131" s="15"/>
      <c r="Y131" s="15"/>
      <c r="Z131" s="19" t="str">
        <f t="shared" si="22"/>
        <v/>
      </c>
      <c r="AA131" s="19" t="str">
        <f t="shared" si="23"/>
        <v/>
      </c>
      <c r="AB131" s="5"/>
      <c r="AC131" s="5"/>
      <c r="AE131" t="str">
        <f>IFERROR(INDEX(EqTag,_xlfn.AGGREGATE(15,6,(ROW(EqTag)-4)/((EqSys=$D$3)*(EqTag&lt;&gt;"")),ROWS($AE$14:AE131))),"")</f>
        <v/>
      </c>
    </row>
    <row r="132" spans="1:31" ht="30" customHeight="1" x14ac:dyDescent="0.2">
      <c r="A132" s="19" t="str">
        <f>IF(F132="","",LEFT($D$3,3)&amp;"-"&amp;TEXT(COUNTIF(F$14:F132,"?*"),"00"))</f>
        <v/>
      </c>
      <c r="B132" s="5"/>
      <c r="C132" s="6" t="str">
        <f t="shared" si="18"/>
        <v/>
      </c>
      <c r="D132" s="5"/>
      <c r="E132" s="5"/>
      <c r="F132" s="5"/>
      <c r="G132" s="5"/>
      <c r="H132" s="5"/>
      <c r="I132" s="5"/>
      <c r="J132" s="5"/>
      <c r="K132" s="15"/>
      <c r="L132" s="5"/>
      <c r="M132" s="15"/>
      <c r="N132" s="5"/>
      <c r="O132" s="15"/>
      <c r="P132" s="19" t="str">
        <f t="shared" si="19"/>
        <v/>
      </c>
      <c r="Q132" s="19" t="str">
        <f t="shared" si="20"/>
        <v/>
      </c>
      <c r="R132" s="19" t="str">
        <f t="shared" si="21"/>
        <v/>
      </c>
      <c r="S132" s="5"/>
      <c r="T132" s="5"/>
      <c r="U132" s="5"/>
      <c r="V132" s="24"/>
      <c r="W132" s="15"/>
      <c r="X132" s="15"/>
      <c r="Y132" s="15"/>
      <c r="Z132" s="19" t="str">
        <f t="shared" si="22"/>
        <v/>
      </c>
      <c r="AA132" s="19" t="str">
        <f t="shared" si="23"/>
        <v/>
      </c>
      <c r="AB132" s="5"/>
      <c r="AC132" s="5"/>
      <c r="AE132" t="str">
        <f>IFERROR(INDEX(EqTag,_xlfn.AGGREGATE(15,6,(ROW(EqTag)-4)/((EqSys=$D$3)*(EqTag&lt;&gt;"")),ROWS($AE$14:AE132))),"")</f>
        <v/>
      </c>
    </row>
    <row r="133" spans="1:31" ht="30" customHeight="1" x14ac:dyDescent="0.2">
      <c r="A133" s="19" t="str">
        <f>IF(F133="","",LEFT($D$3,3)&amp;"-"&amp;TEXT(COUNTIF(F$14:F133,"?*"),"00"))</f>
        <v/>
      </c>
      <c r="B133" s="5"/>
      <c r="C133" s="6" t="str">
        <f t="shared" si="18"/>
        <v/>
      </c>
      <c r="D133" s="5"/>
      <c r="E133" s="5"/>
      <c r="F133" s="5"/>
      <c r="G133" s="5"/>
      <c r="H133" s="5"/>
      <c r="I133" s="5"/>
      <c r="J133" s="5"/>
      <c r="K133" s="15"/>
      <c r="L133" s="5"/>
      <c r="M133" s="15"/>
      <c r="N133" s="5"/>
      <c r="O133" s="15"/>
      <c r="P133" s="19" t="str">
        <f t="shared" si="19"/>
        <v/>
      </c>
      <c r="Q133" s="19" t="str">
        <f t="shared" si="20"/>
        <v/>
      </c>
      <c r="R133" s="19" t="str">
        <f t="shared" si="21"/>
        <v/>
      </c>
      <c r="S133" s="5"/>
      <c r="T133" s="5"/>
      <c r="U133" s="5"/>
      <c r="V133" s="24"/>
      <c r="W133" s="15"/>
      <c r="X133" s="15"/>
      <c r="Y133" s="15"/>
      <c r="Z133" s="19" t="str">
        <f t="shared" si="22"/>
        <v/>
      </c>
      <c r="AA133" s="19" t="str">
        <f t="shared" si="23"/>
        <v/>
      </c>
      <c r="AB133" s="5"/>
      <c r="AC133" s="5"/>
      <c r="AE133" t="str">
        <f>IFERROR(INDEX(EqTag,_xlfn.AGGREGATE(15,6,(ROW(EqTag)-4)/((EqSys=$D$3)*(EqTag&lt;&gt;"")),ROWS($AE$14:AE133))),"")</f>
        <v/>
      </c>
    </row>
    <row r="134" spans="1:31" ht="30" customHeight="1" x14ac:dyDescent="0.2">
      <c r="A134" s="19" t="str">
        <f>IF(F134="","",LEFT($D$3,3)&amp;"-"&amp;TEXT(COUNTIF(F$14:F134,"?*"),"00"))</f>
        <v/>
      </c>
      <c r="B134" s="5"/>
      <c r="C134" s="6" t="str">
        <f t="shared" si="18"/>
        <v/>
      </c>
      <c r="D134" s="5"/>
      <c r="E134" s="5"/>
      <c r="F134" s="5"/>
      <c r="G134" s="5"/>
      <c r="H134" s="5"/>
      <c r="I134" s="5"/>
      <c r="J134" s="5"/>
      <c r="K134" s="15"/>
      <c r="L134" s="5"/>
      <c r="M134" s="15"/>
      <c r="N134" s="5"/>
      <c r="O134" s="15"/>
      <c r="P134" s="19" t="str">
        <f t="shared" si="19"/>
        <v/>
      </c>
      <c r="Q134" s="19" t="str">
        <f t="shared" si="20"/>
        <v/>
      </c>
      <c r="R134" s="19" t="str">
        <f t="shared" si="21"/>
        <v/>
      </c>
      <c r="S134" s="5"/>
      <c r="T134" s="5"/>
      <c r="U134" s="5"/>
      <c r="V134" s="24"/>
      <c r="W134" s="15"/>
      <c r="X134" s="15"/>
      <c r="Y134" s="15"/>
      <c r="Z134" s="19" t="str">
        <f t="shared" si="22"/>
        <v/>
      </c>
      <c r="AA134" s="19" t="str">
        <f t="shared" si="23"/>
        <v/>
      </c>
      <c r="AB134" s="5"/>
      <c r="AC134" s="5"/>
      <c r="AE134" t="str">
        <f>IFERROR(INDEX(EqTag,_xlfn.AGGREGATE(15,6,(ROW(EqTag)-4)/((EqSys=$D$3)*(EqTag&lt;&gt;"")),ROWS($AE$14:AE134))),"")</f>
        <v/>
      </c>
    </row>
    <row r="135" spans="1:31" ht="30" customHeight="1" x14ac:dyDescent="0.2">
      <c r="A135" s="19" t="str">
        <f>IF(F135="","",LEFT($D$3,3)&amp;"-"&amp;TEXT(COUNTIF(F$14:F135,"?*"),"00"))</f>
        <v/>
      </c>
      <c r="B135" s="5"/>
      <c r="C135" s="6" t="str">
        <f t="shared" si="18"/>
        <v/>
      </c>
      <c r="D135" s="5"/>
      <c r="E135" s="5"/>
      <c r="F135" s="5"/>
      <c r="G135" s="5"/>
      <c r="H135" s="5"/>
      <c r="I135" s="5"/>
      <c r="J135" s="5"/>
      <c r="K135" s="15"/>
      <c r="L135" s="5"/>
      <c r="M135" s="15"/>
      <c r="N135" s="5"/>
      <c r="O135" s="15"/>
      <c r="P135" s="19" t="str">
        <f t="shared" si="19"/>
        <v/>
      </c>
      <c r="Q135" s="19" t="str">
        <f t="shared" si="20"/>
        <v/>
      </c>
      <c r="R135" s="19" t="str">
        <f t="shared" si="21"/>
        <v/>
      </c>
      <c r="S135" s="5"/>
      <c r="T135" s="5"/>
      <c r="U135" s="5"/>
      <c r="V135" s="24"/>
      <c r="W135" s="15"/>
      <c r="X135" s="15"/>
      <c r="Y135" s="15"/>
      <c r="Z135" s="19" t="str">
        <f t="shared" si="22"/>
        <v/>
      </c>
      <c r="AA135" s="19" t="str">
        <f t="shared" si="23"/>
        <v/>
      </c>
      <c r="AB135" s="5"/>
      <c r="AC135" s="5"/>
      <c r="AE135" t="str">
        <f>IFERROR(INDEX(EqTag,_xlfn.AGGREGATE(15,6,(ROW(EqTag)-4)/((EqSys=$D$3)*(EqTag&lt;&gt;"")),ROWS($AE$14:AE135))),"")</f>
        <v/>
      </c>
    </row>
    <row r="136" spans="1:31" ht="30" customHeight="1" x14ac:dyDescent="0.2">
      <c r="A136" s="19" t="str">
        <f>IF(F136="","",LEFT($D$3,3)&amp;"-"&amp;TEXT(COUNTIF(F$14:F136,"?*"),"00"))</f>
        <v/>
      </c>
      <c r="B136" s="5"/>
      <c r="C136" s="6" t="str">
        <f t="shared" si="18"/>
        <v/>
      </c>
      <c r="D136" s="5"/>
      <c r="E136" s="5"/>
      <c r="F136" s="5"/>
      <c r="G136" s="5"/>
      <c r="H136" s="5"/>
      <c r="I136" s="5"/>
      <c r="J136" s="5"/>
      <c r="K136" s="15"/>
      <c r="L136" s="5"/>
      <c r="M136" s="15"/>
      <c r="N136" s="5"/>
      <c r="O136" s="15"/>
      <c r="P136" s="19" t="str">
        <f t="shared" si="19"/>
        <v/>
      </c>
      <c r="Q136" s="19" t="str">
        <f t="shared" si="20"/>
        <v/>
      </c>
      <c r="R136" s="19" t="str">
        <f t="shared" si="21"/>
        <v/>
      </c>
      <c r="S136" s="5"/>
      <c r="T136" s="5"/>
      <c r="U136" s="5"/>
      <c r="V136" s="24"/>
      <c r="W136" s="15"/>
      <c r="X136" s="15"/>
      <c r="Y136" s="15"/>
      <c r="Z136" s="19" t="str">
        <f t="shared" si="22"/>
        <v/>
      </c>
      <c r="AA136" s="19" t="str">
        <f t="shared" si="23"/>
        <v/>
      </c>
      <c r="AB136" s="5"/>
      <c r="AC136" s="5"/>
      <c r="AE136" t="str">
        <f>IFERROR(INDEX(EqTag,_xlfn.AGGREGATE(15,6,(ROW(EqTag)-4)/((EqSys=$D$3)*(EqTag&lt;&gt;"")),ROWS($AE$14:AE136))),"")</f>
        <v/>
      </c>
    </row>
    <row r="137" spans="1:31" ht="30" customHeight="1" x14ac:dyDescent="0.2">
      <c r="A137" s="19" t="str">
        <f>IF(F137="","",LEFT($D$3,3)&amp;"-"&amp;TEXT(COUNTIF(F$14:F137,"?*"),"00"))</f>
        <v/>
      </c>
      <c r="B137" s="5"/>
      <c r="C137" s="6" t="str">
        <f t="shared" si="18"/>
        <v/>
      </c>
      <c r="D137" s="5"/>
      <c r="E137" s="5"/>
      <c r="F137" s="5"/>
      <c r="G137" s="5"/>
      <c r="H137" s="5"/>
      <c r="I137" s="5"/>
      <c r="J137" s="5"/>
      <c r="K137" s="15"/>
      <c r="L137" s="5"/>
      <c r="M137" s="15"/>
      <c r="N137" s="5"/>
      <c r="O137" s="15"/>
      <c r="P137" s="19" t="str">
        <f t="shared" si="19"/>
        <v/>
      </c>
      <c r="Q137" s="19" t="str">
        <f t="shared" si="20"/>
        <v/>
      </c>
      <c r="R137" s="19" t="str">
        <f t="shared" si="21"/>
        <v/>
      </c>
      <c r="S137" s="5"/>
      <c r="T137" s="5"/>
      <c r="U137" s="5"/>
      <c r="V137" s="24"/>
      <c r="W137" s="15"/>
      <c r="X137" s="15"/>
      <c r="Y137" s="15"/>
      <c r="Z137" s="19" t="str">
        <f t="shared" si="22"/>
        <v/>
      </c>
      <c r="AA137" s="19" t="str">
        <f t="shared" si="23"/>
        <v/>
      </c>
      <c r="AB137" s="5"/>
      <c r="AC137" s="5"/>
      <c r="AE137" t="str">
        <f>IFERROR(INDEX(EqTag,_xlfn.AGGREGATE(15,6,(ROW(EqTag)-4)/((EqSys=$D$3)*(EqTag&lt;&gt;"")),ROWS($AE$14:AE137))),"")</f>
        <v/>
      </c>
    </row>
    <row r="138" spans="1:31" ht="30" customHeight="1" x14ac:dyDescent="0.2">
      <c r="A138" s="19" t="str">
        <f>IF(F138="","",LEFT($D$3,3)&amp;"-"&amp;TEXT(COUNTIF(F$14:F138,"?*"),"00"))</f>
        <v/>
      </c>
      <c r="B138" s="5"/>
      <c r="C138" s="6" t="str">
        <f t="shared" si="18"/>
        <v/>
      </c>
      <c r="D138" s="5"/>
      <c r="E138" s="5"/>
      <c r="F138" s="5"/>
      <c r="G138" s="5"/>
      <c r="H138" s="5"/>
      <c r="I138" s="5"/>
      <c r="J138" s="5"/>
      <c r="K138" s="15"/>
      <c r="L138" s="5"/>
      <c r="M138" s="15"/>
      <c r="N138" s="5"/>
      <c r="O138" s="15"/>
      <c r="P138" s="19" t="str">
        <f t="shared" si="19"/>
        <v/>
      </c>
      <c r="Q138" s="19" t="str">
        <f t="shared" si="20"/>
        <v/>
      </c>
      <c r="R138" s="19" t="str">
        <f t="shared" si="21"/>
        <v/>
      </c>
      <c r="S138" s="5"/>
      <c r="T138" s="5"/>
      <c r="U138" s="5"/>
      <c r="V138" s="24"/>
      <c r="W138" s="15"/>
      <c r="X138" s="15"/>
      <c r="Y138" s="15"/>
      <c r="Z138" s="19" t="str">
        <f t="shared" si="22"/>
        <v/>
      </c>
      <c r="AA138" s="19" t="str">
        <f t="shared" si="23"/>
        <v/>
      </c>
      <c r="AB138" s="5"/>
      <c r="AC138" s="5"/>
      <c r="AE138" t="str">
        <f>IFERROR(INDEX(EqTag,_xlfn.AGGREGATE(15,6,(ROW(EqTag)-4)/((EqSys=$D$3)*(EqTag&lt;&gt;"")),ROWS($AE$14:AE138))),"")</f>
        <v/>
      </c>
    </row>
    <row r="139" spans="1:31" ht="30" customHeight="1" x14ac:dyDescent="0.2">
      <c r="A139" s="19" t="str">
        <f>IF(F139="","",LEFT($D$3,3)&amp;"-"&amp;TEXT(COUNTIF(F$14:F139,"?*"),"00"))</f>
        <v/>
      </c>
      <c r="B139" s="5"/>
      <c r="C139" s="6" t="str">
        <f t="shared" si="18"/>
        <v/>
      </c>
      <c r="D139" s="5"/>
      <c r="E139" s="5"/>
      <c r="F139" s="5"/>
      <c r="G139" s="5"/>
      <c r="H139" s="5"/>
      <c r="I139" s="5"/>
      <c r="J139" s="5"/>
      <c r="K139" s="15"/>
      <c r="L139" s="5"/>
      <c r="M139" s="15"/>
      <c r="N139" s="5"/>
      <c r="O139" s="15"/>
      <c r="P139" s="19" t="str">
        <f t="shared" si="19"/>
        <v/>
      </c>
      <c r="Q139" s="19" t="str">
        <f t="shared" si="20"/>
        <v/>
      </c>
      <c r="R139" s="19" t="str">
        <f t="shared" si="21"/>
        <v/>
      </c>
      <c r="S139" s="5"/>
      <c r="T139" s="5"/>
      <c r="U139" s="5"/>
      <c r="V139" s="24"/>
      <c r="W139" s="15"/>
      <c r="X139" s="15"/>
      <c r="Y139" s="15"/>
      <c r="Z139" s="19" t="str">
        <f t="shared" si="22"/>
        <v/>
      </c>
      <c r="AA139" s="19" t="str">
        <f t="shared" si="23"/>
        <v/>
      </c>
      <c r="AB139" s="5"/>
      <c r="AC139" s="5"/>
      <c r="AE139" t="str">
        <f>IFERROR(INDEX(EqTag,_xlfn.AGGREGATE(15,6,(ROW(EqTag)-4)/((EqSys=$D$3)*(EqTag&lt;&gt;"")),ROWS($AE$14:AE139))),"")</f>
        <v/>
      </c>
    </row>
    <row r="140" spans="1:31" ht="30" customHeight="1" x14ac:dyDescent="0.2">
      <c r="A140" s="19" t="str">
        <f>IF(F140="","",LEFT($D$3,3)&amp;"-"&amp;TEXT(COUNTIF(F$14:F140,"?*"),"00"))</f>
        <v/>
      </c>
      <c r="B140" s="5"/>
      <c r="C140" s="6" t="str">
        <f t="shared" si="18"/>
        <v/>
      </c>
      <c r="D140" s="5"/>
      <c r="E140" s="5"/>
      <c r="F140" s="5"/>
      <c r="G140" s="5"/>
      <c r="H140" s="5"/>
      <c r="I140" s="5"/>
      <c r="J140" s="5"/>
      <c r="K140" s="15"/>
      <c r="L140" s="5"/>
      <c r="M140" s="15"/>
      <c r="N140" s="5"/>
      <c r="O140" s="15"/>
      <c r="P140" s="19" t="str">
        <f t="shared" si="19"/>
        <v/>
      </c>
      <c r="Q140" s="19" t="str">
        <f t="shared" si="20"/>
        <v/>
      </c>
      <c r="R140" s="19" t="str">
        <f t="shared" si="21"/>
        <v/>
      </c>
      <c r="S140" s="5"/>
      <c r="T140" s="5"/>
      <c r="U140" s="5"/>
      <c r="V140" s="24"/>
      <c r="W140" s="15"/>
      <c r="X140" s="15"/>
      <c r="Y140" s="15"/>
      <c r="Z140" s="19" t="str">
        <f t="shared" si="22"/>
        <v/>
      </c>
      <c r="AA140" s="19" t="str">
        <f t="shared" si="23"/>
        <v/>
      </c>
      <c r="AB140" s="5"/>
      <c r="AC140" s="5"/>
      <c r="AE140" t="str">
        <f>IFERROR(INDEX(EqTag,_xlfn.AGGREGATE(15,6,(ROW(EqTag)-4)/((EqSys=$D$3)*(EqTag&lt;&gt;"")),ROWS($AE$14:AE140))),"")</f>
        <v/>
      </c>
    </row>
    <row r="141" spans="1:31" ht="30" customHeight="1" x14ac:dyDescent="0.2">
      <c r="A141" s="19" t="str">
        <f>IF(F141="","",LEFT($D$3,3)&amp;"-"&amp;TEXT(COUNTIF(F$14:F141,"?*"),"00"))</f>
        <v/>
      </c>
      <c r="B141" s="5"/>
      <c r="C141" s="6" t="str">
        <f t="shared" si="18"/>
        <v/>
      </c>
      <c r="D141" s="5"/>
      <c r="E141" s="5"/>
      <c r="F141" s="5"/>
      <c r="G141" s="5"/>
      <c r="H141" s="5"/>
      <c r="I141" s="5"/>
      <c r="J141" s="5"/>
      <c r="K141" s="15"/>
      <c r="L141" s="5"/>
      <c r="M141" s="15"/>
      <c r="N141" s="5"/>
      <c r="O141" s="15"/>
      <c r="P141" s="19" t="str">
        <f t="shared" si="19"/>
        <v/>
      </c>
      <c r="Q141" s="19" t="str">
        <f t="shared" si="20"/>
        <v/>
      </c>
      <c r="R141" s="19" t="str">
        <f t="shared" si="21"/>
        <v/>
      </c>
      <c r="S141" s="5"/>
      <c r="T141" s="5"/>
      <c r="U141" s="5"/>
      <c r="V141" s="24"/>
      <c r="W141" s="15"/>
      <c r="X141" s="15"/>
      <c r="Y141" s="15"/>
      <c r="Z141" s="19" t="str">
        <f t="shared" si="22"/>
        <v/>
      </c>
      <c r="AA141" s="19" t="str">
        <f t="shared" si="23"/>
        <v/>
      </c>
      <c r="AB141" s="5"/>
      <c r="AC141" s="5"/>
      <c r="AE141" t="str">
        <f>IFERROR(INDEX(EqTag,_xlfn.AGGREGATE(15,6,(ROW(EqTag)-4)/((EqSys=$D$3)*(EqTag&lt;&gt;"")),ROWS($AE$14:AE141))),"")</f>
        <v/>
      </c>
    </row>
    <row r="142" spans="1:31" ht="30" customHeight="1" x14ac:dyDescent="0.2">
      <c r="A142" s="19" t="str">
        <f>IF(F142="","",LEFT($D$3,3)&amp;"-"&amp;TEXT(COUNTIF(F$14:F142,"?*"),"00"))</f>
        <v/>
      </c>
      <c r="B142" s="5"/>
      <c r="C142" s="6" t="str">
        <f t="shared" ref="C142:C163" si="24">IF(B142="","",IFERROR(INDEX(EqTypeCol,MATCH(B142,EqTag,0)),"Tag not in register"))</f>
        <v/>
      </c>
      <c r="D142" s="5"/>
      <c r="E142" s="5"/>
      <c r="F142" s="5"/>
      <c r="G142" s="5"/>
      <c r="H142" s="5"/>
      <c r="I142" s="5"/>
      <c r="J142" s="5"/>
      <c r="K142" s="15"/>
      <c r="L142" s="5"/>
      <c r="M142" s="15"/>
      <c r="N142" s="5"/>
      <c r="O142" s="15"/>
      <c r="P142" s="19" t="str">
        <f t="shared" ref="P142:P163" si="25">IF(OR(K142="",M142="",O142=""),"",(--TRIM(LEFT(K142,2)))*(--TRIM(LEFT(M142,2)))*(--TRIM(LEFT(O142,2))))</f>
        <v/>
      </c>
      <c r="Q142" s="19" t="str">
        <f t="shared" ref="Q142:Q163" si="26">IF(OR(K142="",M142="",O142=""),"",INDEX(APGrid,COUNTIF(APS,"&gt;"&amp;(--TRIM(LEFT(K142,2))))*5+COUNTIF(APO,"&gt;"&amp;(--TRIM(LEFT(M142,2))))+1,COUNTIF(APD,"&gt;"&amp;(--TRIM(LEFT(O142,2))))+1))</f>
        <v/>
      </c>
      <c r="R142" s="19" t="str">
        <f t="shared" ref="R142:R163" si="27">IF(P142="","",IF(OR((--TRIM(LEFT(K142,2)))&gt;=SThr,P142&gt;=RPNThr,Q142="H"),"Yes","No"))</f>
        <v/>
      </c>
      <c r="S142" s="5"/>
      <c r="T142" s="5"/>
      <c r="U142" s="5"/>
      <c r="V142" s="24"/>
      <c r="W142" s="15"/>
      <c r="X142" s="15"/>
      <c r="Y142" s="15"/>
      <c r="Z142" s="19" t="str">
        <f t="shared" ref="Z142:Z163" si="28">IF(OR(W142="",X142="",Y142=""),"",(--TRIM(LEFT(W142,2)))*(--TRIM(LEFT(X142,2)))*(--TRIM(LEFT(Y142,2))))</f>
        <v/>
      </c>
      <c r="AA142" s="19" t="str">
        <f t="shared" ref="AA142:AA163" si="29">IF(OR(W142="",X142="",Y142=""),"",INDEX(APGrid,COUNTIF(APS,"&gt;"&amp;(--TRIM(LEFT(W142,2))))*5+COUNTIF(APO,"&gt;"&amp;(--TRIM(LEFT(X142,2))))+1,COUNTIF(APD,"&gt;"&amp;(--TRIM(LEFT(Y142,2))))+1))</f>
        <v/>
      </c>
      <c r="AB142" s="5"/>
      <c r="AC142" s="5"/>
      <c r="AE142" t="str">
        <f>IFERROR(INDEX(EqTag,_xlfn.AGGREGATE(15,6,(ROW(EqTag)-4)/((EqSys=$D$3)*(EqTag&lt;&gt;"")),ROWS($AE$14:AE142))),"")</f>
        <v/>
      </c>
    </row>
    <row r="143" spans="1:31" ht="30" customHeight="1" x14ac:dyDescent="0.2">
      <c r="A143" s="19" t="str">
        <f>IF(F143="","",LEFT($D$3,3)&amp;"-"&amp;TEXT(COUNTIF(F$14:F143,"?*"),"00"))</f>
        <v/>
      </c>
      <c r="B143" s="5"/>
      <c r="C143" s="6" t="str">
        <f t="shared" si="24"/>
        <v/>
      </c>
      <c r="D143" s="5"/>
      <c r="E143" s="5"/>
      <c r="F143" s="5"/>
      <c r="G143" s="5"/>
      <c r="H143" s="5"/>
      <c r="I143" s="5"/>
      <c r="J143" s="5"/>
      <c r="K143" s="15"/>
      <c r="L143" s="5"/>
      <c r="M143" s="15"/>
      <c r="N143" s="5"/>
      <c r="O143" s="15"/>
      <c r="P143" s="19" t="str">
        <f t="shared" si="25"/>
        <v/>
      </c>
      <c r="Q143" s="19" t="str">
        <f t="shared" si="26"/>
        <v/>
      </c>
      <c r="R143" s="19" t="str">
        <f t="shared" si="27"/>
        <v/>
      </c>
      <c r="S143" s="5"/>
      <c r="T143" s="5"/>
      <c r="U143" s="5"/>
      <c r="V143" s="24"/>
      <c r="W143" s="15"/>
      <c r="X143" s="15"/>
      <c r="Y143" s="15"/>
      <c r="Z143" s="19" t="str">
        <f t="shared" si="28"/>
        <v/>
      </c>
      <c r="AA143" s="19" t="str">
        <f t="shared" si="29"/>
        <v/>
      </c>
      <c r="AB143" s="5"/>
      <c r="AC143" s="5"/>
      <c r="AE143" t="str">
        <f>IFERROR(INDEX(EqTag,_xlfn.AGGREGATE(15,6,(ROW(EqTag)-4)/((EqSys=$D$3)*(EqTag&lt;&gt;"")),ROWS($AE$14:AE143))),"")</f>
        <v/>
      </c>
    </row>
    <row r="144" spans="1:31" ht="30" customHeight="1" x14ac:dyDescent="0.2">
      <c r="A144" s="19" t="str">
        <f>IF(F144="","",LEFT($D$3,3)&amp;"-"&amp;TEXT(COUNTIF(F$14:F144,"?*"),"00"))</f>
        <v/>
      </c>
      <c r="B144" s="5"/>
      <c r="C144" s="6" t="str">
        <f t="shared" si="24"/>
        <v/>
      </c>
      <c r="D144" s="5"/>
      <c r="E144" s="5"/>
      <c r="F144" s="5"/>
      <c r="G144" s="5"/>
      <c r="H144" s="5"/>
      <c r="I144" s="5"/>
      <c r="J144" s="5"/>
      <c r="K144" s="15"/>
      <c r="L144" s="5"/>
      <c r="M144" s="15"/>
      <c r="N144" s="5"/>
      <c r="O144" s="15"/>
      <c r="P144" s="19" t="str">
        <f t="shared" si="25"/>
        <v/>
      </c>
      <c r="Q144" s="19" t="str">
        <f t="shared" si="26"/>
        <v/>
      </c>
      <c r="R144" s="19" t="str">
        <f t="shared" si="27"/>
        <v/>
      </c>
      <c r="S144" s="5"/>
      <c r="T144" s="5"/>
      <c r="U144" s="5"/>
      <c r="V144" s="24"/>
      <c r="W144" s="15"/>
      <c r="X144" s="15"/>
      <c r="Y144" s="15"/>
      <c r="Z144" s="19" t="str">
        <f t="shared" si="28"/>
        <v/>
      </c>
      <c r="AA144" s="19" t="str">
        <f t="shared" si="29"/>
        <v/>
      </c>
      <c r="AB144" s="5"/>
      <c r="AC144" s="5"/>
      <c r="AE144" t="str">
        <f>IFERROR(INDEX(EqTag,_xlfn.AGGREGATE(15,6,(ROW(EqTag)-4)/((EqSys=$D$3)*(EqTag&lt;&gt;"")),ROWS($AE$14:AE144))),"")</f>
        <v/>
      </c>
    </row>
    <row r="145" spans="1:31" ht="30" customHeight="1" x14ac:dyDescent="0.2">
      <c r="A145" s="19" t="str">
        <f>IF(F145="","",LEFT($D$3,3)&amp;"-"&amp;TEXT(COUNTIF(F$14:F145,"?*"),"00"))</f>
        <v/>
      </c>
      <c r="B145" s="5"/>
      <c r="C145" s="6" t="str">
        <f t="shared" si="24"/>
        <v/>
      </c>
      <c r="D145" s="5"/>
      <c r="E145" s="5"/>
      <c r="F145" s="5"/>
      <c r="G145" s="5"/>
      <c r="H145" s="5"/>
      <c r="I145" s="5"/>
      <c r="J145" s="5"/>
      <c r="K145" s="15"/>
      <c r="L145" s="5"/>
      <c r="M145" s="15"/>
      <c r="N145" s="5"/>
      <c r="O145" s="15"/>
      <c r="P145" s="19" t="str">
        <f t="shared" si="25"/>
        <v/>
      </c>
      <c r="Q145" s="19" t="str">
        <f t="shared" si="26"/>
        <v/>
      </c>
      <c r="R145" s="19" t="str">
        <f t="shared" si="27"/>
        <v/>
      </c>
      <c r="S145" s="5"/>
      <c r="T145" s="5"/>
      <c r="U145" s="5"/>
      <c r="V145" s="24"/>
      <c r="W145" s="15"/>
      <c r="X145" s="15"/>
      <c r="Y145" s="15"/>
      <c r="Z145" s="19" t="str">
        <f t="shared" si="28"/>
        <v/>
      </c>
      <c r="AA145" s="19" t="str">
        <f t="shared" si="29"/>
        <v/>
      </c>
      <c r="AB145" s="5"/>
      <c r="AC145" s="5"/>
      <c r="AE145" t="str">
        <f>IFERROR(INDEX(EqTag,_xlfn.AGGREGATE(15,6,(ROW(EqTag)-4)/((EqSys=$D$3)*(EqTag&lt;&gt;"")),ROWS($AE$14:AE145))),"")</f>
        <v/>
      </c>
    </row>
    <row r="146" spans="1:31" ht="30" customHeight="1" x14ac:dyDescent="0.2">
      <c r="A146" s="19" t="str">
        <f>IF(F146="","",LEFT($D$3,3)&amp;"-"&amp;TEXT(COUNTIF(F$14:F146,"?*"),"00"))</f>
        <v/>
      </c>
      <c r="B146" s="5"/>
      <c r="C146" s="6" t="str">
        <f t="shared" si="24"/>
        <v/>
      </c>
      <c r="D146" s="5"/>
      <c r="E146" s="5"/>
      <c r="F146" s="5"/>
      <c r="G146" s="5"/>
      <c r="H146" s="5"/>
      <c r="I146" s="5"/>
      <c r="J146" s="5"/>
      <c r="K146" s="15"/>
      <c r="L146" s="5"/>
      <c r="M146" s="15"/>
      <c r="N146" s="5"/>
      <c r="O146" s="15"/>
      <c r="P146" s="19" t="str">
        <f t="shared" si="25"/>
        <v/>
      </c>
      <c r="Q146" s="19" t="str">
        <f t="shared" si="26"/>
        <v/>
      </c>
      <c r="R146" s="19" t="str">
        <f t="shared" si="27"/>
        <v/>
      </c>
      <c r="S146" s="5"/>
      <c r="T146" s="5"/>
      <c r="U146" s="5"/>
      <c r="V146" s="24"/>
      <c r="W146" s="15"/>
      <c r="X146" s="15"/>
      <c r="Y146" s="15"/>
      <c r="Z146" s="19" t="str">
        <f t="shared" si="28"/>
        <v/>
      </c>
      <c r="AA146" s="19" t="str">
        <f t="shared" si="29"/>
        <v/>
      </c>
      <c r="AB146" s="5"/>
      <c r="AC146" s="5"/>
      <c r="AE146" t="str">
        <f>IFERROR(INDEX(EqTag,_xlfn.AGGREGATE(15,6,(ROW(EqTag)-4)/((EqSys=$D$3)*(EqTag&lt;&gt;"")),ROWS($AE$14:AE146))),"")</f>
        <v/>
      </c>
    </row>
    <row r="147" spans="1:31" ht="30" customHeight="1" x14ac:dyDescent="0.2">
      <c r="A147" s="19" t="str">
        <f>IF(F147="","",LEFT($D$3,3)&amp;"-"&amp;TEXT(COUNTIF(F$14:F147,"?*"),"00"))</f>
        <v/>
      </c>
      <c r="B147" s="5"/>
      <c r="C147" s="6" t="str">
        <f t="shared" si="24"/>
        <v/>
      </c>
      <c r="D147" s="5"/>
      <c r="E147" s="5"/>
      <c r="F147" s="5"/>
      <c r="G147" s="5"/>
      <c r="H147" s="5"/>
      <c r="I147" s="5"/>
      <c r="J147" s="5"/>
      <c r="K147" s="15"/>
      <c r="L147" s="5"/>
      <c r="M147" s="15"/>
      <c r="N147" s="5"/>
      <c r="O147" s="15"/>
      <c r="P147" s="19" t="str">
        <f t="shared" si="25"/>
        <v/>
      </c>
      <c r="Q147" s="19" t="str">
        <f t="shared" si="26"/>
        <v/>
      </c>
      <c r="R147" s="19" t="str">
        <f t="shared" si="27"/>
        <v/>
      </c>
      <c r="S147" s="5"/>
      <c r="T147" s="5"/>
      <c r="U147" s="5"/>
      <c r="V147" s="24"/>
      <c r="W147" s="15"/>
      <c r="X147" s="15"/>
      <c r="Y147" s="15"/>
      <c r="Z147" s="19" t="str">
        <f t="shared" si="28"/>
        <v/>
      </c>
      <c r="AA147" s="19" t="str">
        <f t="shared" si="29"/>
        <v/>
      </c>
      <c r="AB147" s="5"/>
      <c r="AC147" s="5"/>
      <c r="AE147" t="str">
        <f>IFERROR(INDEX(EqTag,_xlfn.AGGREGATE(15,6,(ROW(EqTag)-4)/((EqSys=$D$3)*(EqTag&lt;&gt;"")),ROWS($AE$14:AE147))),"")</f>
        <v/>
      </c>
    </row>
    <row r="148" spans="1:31" ht="30" customHeight="1" x14ac:dyDescent="0.2">
      <c r="A148" s="19" t="str">
        <f>IF(F148="","",LEFT($D$3,3)&amp;"-"&amp;TEXT(COUNTIF(F$14:F148,"?*"),"00"))</f>
        <v/>
      </c>
      <c r="B148" s="5"/>
      <c r="C148" s="6" t="str">
        <f t="shared" si="24"/>
        <v/>
      </c>
      <c r="D148" s="5"/>
      <c r="E148" s="5"/>
      <c r="F148" s="5"/>
      <c r="G148" s="5"/>
      <c r="H148" s="5"/>
      <c r="I148" s="5"/>
      <c r="J148" s="5"/>
      <c r="K148" s="15"/>
      <c r="L148" s="5"/>
      <c r="M148" s="15"/>
      <c r="N148" s="5"/>
      <c r="O148" s="15"/>
      <c r="P148" s="19" t="str">
        <f t="shared" si="25"/>
        <v/>
      </c>
      <c r="Q148" s="19" t="str">
        <f t="shared" si="26"/>
        <v/>
      </c>
      <c r="R148" s="19" t="str">
        <f t="shared" si="27"/>
        <v/>
      </c>
      <c r="S148" s="5"/>
      <c r="T148" s="5"/>
      <c r="U148" s="5"/>
      <c r="V148" s="24"/>
      <c r="W148" s="15"/>
      <c r="X148" s="15"/>
      <c r="Y148" s="15"/>
      <c r="Z148" s="19" t="str">
        <f t="shared" si="28"/>
        <v/>
      </c>
      <c r="AA148" s="19" t="str">
        <f t="shared" si="29"/>
        <v/>
      </c>
      <c r="AB148" s="5"/>
      <c r="AC148" s="5"/>
      <c r="AE148" t="str">
        <f>IFERROR(INDEX(EqTag,_xlfn.AGGREGATE(15,6,(ROW(EqTag)-4)/((EqSys=$D$3)*(EqTag&lt;&gt;"")),ROWS($AE$14:AE148))),"")</f>
        <v/>
      </c>
    </row>
    <row r="149" spans="1:31" ht="30" customHeight="1" x14ac:dyDescent="0.2">
      <c r="A149" s="19" t="str">
        <f>IF(F149="","",LEFT($D$3,3)&amp;"-"&amp;TEXT(COUNTIF(F$14:F149,"?*"),"00"))</f>
        <v/>
      </c>
      <c r="B149" s="5"/>
      <c r="C149" s="6" t="str">
        <f t="shared" si="24"/>
        <v/>
      </c>
      <c r="D149" s="5"/>
      <c r="E149" s="5"/>
      <c r="F149" s="5"/>
      <c r="G149" s="5"/>
      <c r="H149" s="5"/>
      <c r="I149" s="5"/>
      <c r="J149" s="5"/>
      <c r="K149" s="15"/>
      <c r="L149" s="5"/>
      <c r="M149" s="15"/>
      <c r="N149" s="5"/>
      <c r="O149" s="15"/>
      <c r="P149" s="19" t="str">
        <f t="shared" si="25"/>
        <v/>
      </c>
      <c r="Q149" s="19" t="str">
        <f t="shared" si="26"/>
        <v/>
      </c>
      <c r="R149" s="19" t="str">
        <f t="shared" si="27"/>
        <v/>
      </c>
      <c r="S149" s="5"/>
      <c r="T149" s="5"/>
      <c r="U149" s="5"/>
      <c r="V149" s="24"/>
      <c r="W149" s="15"/>
      <c r="X149" s="15"/>
      <c r="Y149" s="15"/>
      <c r="Z149" s="19" t="str">
        <f t="shared" si="28"/>
        <v/>
      </c>
      <c r="AA149" s="19" t="str">
        <f t="shared" si="29"/>
        <v/>
      </c>
      <c r="AB149" s="5"/>
      <c r="AC149" s="5"/>
      <c r="AE149" t="str">
        <f>IFERROR(INDEX(EqTag,_xlfn.AGGREGATE(15,6,(ROW(EqTag)-4)/((EqSys=$D$3)*(EqTag&lt;&gt;"")),ROWS($AE$14:AE149))),"")</f>
        <v/>
      </c>
    </row>
    <row r="150" spans="1:31" ht="30" customHeight="1" x14ac:dyDescent="0.2">
      <c r="A150" s="19" t="str">
        <f>IF(F150="","",LEFT($D$3,3)&amp;"-"&amp;TEXT(COUNTIF(F$14:F150,"?*"),"00"))</f>
        <v/>
      </c>
      <c r="B150" s="5"/>
      <c r="C150" s="6" t="str">
        <f t="shared" si="24"/>
        <v/>
      </c>
      <c r="D150" s="5"/>
      <c r="E150" s="5"/>
      <c r="F150" s="5"/>
      <c r="G150" s="5"/>
      <c r="H150" s="5"/>
      <c r="I150" s="5"/>
      <c r="J150" s="5"/>
      <c r="K150" s="15"/>
      <c r="L150" s="5"/>
      <c r="M150" s="15"/>
      <c r="N150" s="5"/>
      <c r="O150" s="15"/>
      <c r="P150" s="19" t="str">
        <f t="shared" si="25"/>
        <v/>
      </c>
      <c r="Q150" s="19" t="str">
        <f t="shared" si="26"/>
        <v/>
      </c>
      <c r="R150" s="19" t="str">
        <f t="shared" si="27"/>
        <v/>
      </c>
      <c r="S150" s="5"/>
      <c r="T150" s="5"/>
      <c r="U150" s="5"/>
      <c r="V150" s="24"/>
      <c r="W150" s="15"/>
      <c r="X150" s="15"/>
      <c r="Y150" s="15"/>
      <c r="Z150" s="19" t="str">
        <f t="shared" si="28"/>
        <v/>
      </c>
      <c r="AA150" s="19" t="str">
        <f t="shared" si="29"/>
        <v/>
      </c>
      <c r="AB150" s="5"/>
      <c r="AC150" s="5"/>
      <c r="AE150" t="str">
        <f>IFERROR(INDEX(EqTag,_xlfn.AGGREGATE(15,6,(ROW(EqTag)-4)/((EqSys=$D$3)*(EqTag&lt;&gt;"")),ROWS($AE$14:AE150))),"")</f>
        <v/>
      </c>
    </row>
    <row r="151" spans="1:31" ht="30" customHeight="1" x14ac:dyDescent="0.2">
      <c r="A151" s="19" t="str">
        <f>IF(F151="","",LEFT($D$3,3)&amp;"-"&amp;TEXT(COUNTIF(F$14:F151,"?*"),"00"))</f>
        <v/>
      </c>
      <c r="B151" s="5"/>
      <c r="C151" s="6" t="str">
        <f t="shared" si="24"/>
        <v/>
      </c>
      <c r="D151" s="5"/>
      <c r="E151" s="5"/>
      <c r="F151" s="5"/>
      <c r="G151" s="5"/>
      <c r="H151" s="5"/>
      <c r="I151" s="5"/>
      <c r="J151" s="5"/>
      <c r="K151" s="15"/>
      <c r="L151" s="5"/>
      <c r="M151" s="15"/>
      <c r="N151" s="5"/>
      <c r="O151" s="15"/>
      <c r="P151" s="19" t="str">
        <f t="shared" si="25"/>
        <v/>
      </c>
      <c r="Q151" s="19" t="str">
        <f t="shared" si="26"/>
        <v/>
      </c>
      <c r="R151" s="19" t="str">
        <f t="shared" si="27"/>
        <v/>
      </c>
      <c r="S151" s="5"/>
      <c r="T151" s="5"/>
      <c r="U151" s="5"/>
      <c r="V151" s="24"/>
      <c r="W151" s="15"/>
      <c r="X151" s="15"/>
      <c r="Y151" s="15"/>
      <c r="Z151" s="19" t="str">
        <f t="shared" si="28"/>
        <v/>
      </c>
      <c r="AA151" s="19" t="str">
        <f t="shared" si="29"/>
        <v/>
      </c>
      <c r="AB151" s="5"/>
      <c r="AC151" s="5"/>
      <c r="AE151" t="str">
        <f>IFERROR(INDEX(EqTag,_xlfn.AGGREGATE(15,6,(ROW(EqTag)-4)/((EqSys=$D$3)*(EqTag&lt;&gt;"")),ROWS($AE$14:AE151))),"")</f>
        <v/>
      </c>
    </row>
    <row r="152" spans="1:31" ht="30" customHeight="1" x14ac:dyDescent="0.2">
      <c r="A152" s="19" t="str">
        <f>IF(F152="","",LEFT($D$3,3)&amp;"-"&amp;TEXT(COUNTIF(F$14:F152,"?*"),"00"))</f>
        <v/>
      </c>
      <c r="B152" s="5"/>
      <c r="C152" s="6" t="str">
        <f t="shared" si="24"/>
        <v/>
      </c>
      <c r="D152" s="5"/>
      <c r="E152" s="5"/>
      <c r="F152" s="5"/>
      <c r="G152" s="5"/>
      <c r="H152" s="5"/>
      <c r="I152" s="5"/>
      <c r="J152" s="5"/>
      <c r="K152" s="15"/>
      <c r="L152" s="5"/>
      <c r="M152" s="15"/>
      <c r="N152" s="5"/>
      <c r="O152" s="15"/>
      <c r="P152" s="19" t="str">
        <f t="shared" si="25"/>
        <v/>
      </c>
      <c r="Q152" s="19" t="str">
        <f t="shared" si="26"/>
        <v/>
      </c>
      <c r="R152" s="19" t="str">
        <f t="shared" si="27"/>
        <v/>
      </c>
      <c r="S152" s="5"/>
      <c r="T152" s="5"/>
      <c r="U152" s="5"/>
      <c r="V152" s="24"/>
      <c r="W152" s="15"/>
      <c r="X152" s="15"/>
      <c r="Y152" s="15"/>
      <c r="Z152" s="19" t="str">
        <f t="shared" si="28"/>
        <v/>
      </c>
      <c r="AA152" s="19" t="str">
        <f t="shared" si="29"/>
        <v/>
      </c>
      <c r="AB152" s="5"/>
      <c r="AC152" s="5"/>
      <c r="AE152" t="str">
        <f>IFERROR(INDEX(EqTag,_xlfn.AGGREGATE(15,6,(ROW(EqTag)-4)/((EqSys=$D$3)*(EqTag&lt;&gt;"")),ROWS($AE$14:AE152))),"")</f>
        <v/>
      </c>
    </row>
    <row r="153" spans="1:31" ht="30" customHeight="1" x14ac:dyDescent="0.2">
      <c r="A153" s="19" t="str">
        <f>IF(F153="","",LEFT($D$3,3)&amp;"-"&amp;TEXT(COUNTIF(F$14:F153,"?*"),"00"))</f>
        <v/>
      </c>
      <c r="B153" s="5"/>
      <c r="C153" s="6" t="str">
        <f t="shared" si="24"/>
        <v/>
      </c>
      <c r="D153" s="5"/>
      <c r="E153" s="5"/>
      <c r="F153" s="5"/>
      <c r="G153" s="5"/>
      <c r="H153" s="5"/>
      <c r="I153" s="5"/>
      <c r="J153" s="5"/>
      <c r="K153" s="15"/>
      <c r="L153" s="5"/>
      <c r="M153" s="15"/>
      <c r="N153" s="5"/>
      <c r="O153" s="15"/>
      <c r="P153" s="19" t="str">
        <f t="shared" si="25"/>
        <v/>
      </c>
      <c r="Q153" s="19" t="str">
        <f t="shared" si="26"/>
        <v/>
      </c>
      <c r="R153" s="19" t="str">
        <f t="shared" si="27"/>
        <v/>
      </c>
      <c r="S153" s="5"/>
      <c r="T153" s="5"/>
      <c r="U153" s="5"/>
      <c r="V153" s="24"/>
      <c r="W153" s="15"/>
      <c r="X153" s="15"/>
      <c r="Y153" s="15"/>
      <c r="Z153" s="19" t="str">
        <f t="shared" si="28"/>
        <v/>
      </c>
      <c r="AA153" s="19" t="str">
        <f t="shared" si="29"/>
        <v/>
      </c>
      <c r="AB153" s="5"/>
      <c r="AC153" s="5"/>
      <c r="AE153" t="str">
        <f>IFERROR(INDEX(EqTag,_xlfn.AGGREGATE(15,6,(ROW(EqTag)-4)/((EqSys=$D$3)*(EqTag&lt;&gt;"")),ROWS($AE$14:AE153))),"")</f>
        <v/>
      </c>
    </row>
    <row r="154" spans="1:31" ht="30" customHeight="1" x14ac:dyDescent="0.2">
      <c r="A154" s="19" t="str">
        <f>IF(F154="","",LEFT($D$3,3)&amp;"-"&amp;TEXT(COUNTIF(F$14:F154,"?*"),"00"))</f>
        <v/>
      </c>
      <c r="B154" s="5"/>
      <c r="C154" s="6" t="str">
        <f t="shared" si="24"/>
        <v/>
      </c>
      <c r="D154" s="5"/>
      <c r="E154" s="5"/>
      <c r="F154" s="5"/>
      <c r="G154" s="5"/>
      <c r="H154" s="5"/>
      <c r="I154" s="5"/>
      <c r="J154" s="5"/>
      <c r="K154" s="15"/>
      <c r="L154" s="5"/>
      <c r="M154" s="15"/>
      <c r="N154" s="5"/>
      <c r="O154" s="15"/>
      <c r="P154" s="19" t="str">
        <f t="shared" si="25"/>
        <v/>
      </c>
      <c r="Q154" s="19" t="str">
        <f t="shared" si="26"/>
        <v/>
      </c>
      <c r="R154" s="19" t="str">
        <f t="shared" si="27"/>
        <v/>
      </c>
      <c r="S154" s="5"/>
      <c r="T154" s="5"/>
      <c r="U154" s="5"/>
      <c r="V154" s="24"/>
      <c r="W154" s="15"/>
      <c r="X154" s="15"/>
      <c r="Y154" s="15"/>
      <c r="Z154" s="19" t="str">
        <f t="shared" si="28"/>
        <v/>
      </c>
      <c r="AA154" s="19" t="str">
        <f t="shared" si="29"/>
        <v/>
      </c>
      <c r="AB154" s="5"/>
      <c r="AC154" s="5"/>
      <c r="AE154" t="str">
        <f>IFERROR(INDEX(EqTag,_xlfn.AGGREGATE(15,6,(ROW(EqTag)-4)/((EqSys=$D$3)*(EqTag&lt;&gt;"")),ROWS($AE$14:AE154))),"")</f>
        <v/>
      </c>
    </row>
    <row r="155" spans="1:31" ht="30" customHeight="1" x14ac:dyDescent="0.2">
      <c r="A155" s="19" t="str">
        <f>IF(F155="","",LEFT($D$3,3)&amp;"-"&amp;TEXT(COUNTIF(F$14:F155,"?*"),"00"))</f>
        <v/>
      </c>
      <c r="B155" s="5"/>
      <c r="C155" s="6" t="str">
        <f t="shared" si="24"/>
        <v/>
      </c>
      <c r="D155" s="5"/>
      <c r="E155" s="5"/>
      <c r="F155" s="5"/>
      <c r="G155" s="5"/>
      <c r="H155" s="5"/>
      <c r="I155" s="5"/>
      <c r="J155" s="5"/>
      <c r="K155" s="15"/>
      <c r="L155" s="5"/>
      <c r="M155" s="15"/>
      <c r="N155" s="5"/>
      <c r="O155" s="15"/>
      <c r="P155" s="19" t="str">
        <f t="shared" si="25"/>
        <v/>
      </c>
      <c r="Q155" s="19" t="str">
        <f t="shared" si="26"/>
        <v/>
      </c>
      <c r="R155" s="19" t="str">
        <f t="shared" si="27"/>
        <v/>
      </c>
      <c r="S155" s="5"/>
      <c r="T155" s="5"/>
      <c r="U155" s="5"/>
      <c r="V155" s="24"/>
      <c r="W155" s="15"/>
      <c r="X155" s="15"/>
      <c r="Y155" s="15"/>
      <c r="Z155" s="19" t="str">
        <f t="shared" si="28"/>
        <v/>
      </c>
      <c r="AA155" s="19" t="str">
        <f t="shared" si="29"/>
        <v/>
      </c>
      <c r="AB155" s="5"/>
      <c r="AC155" s="5"/>
      <c r="AE155" t="str">
        <f>IFERROR(INDEX(EqTag,_xlfn.AGGREGATE(15,6,(ROW(EqTag)-4)/((EqSys=$D$3)*(EqTag&lt;&gt;"")),ROWS($AE$14:AE155))),"")</f>
        <v/>
      </c>
    </row>
    <row r="156" spans="1:31" ht="30" customHeight="1" x14ac:dyDescent="0.2">
      <c r="A156" s="19" t="str">
        <f>IF(F156="","",LEFT($D$3,3)&amp;"-"&amp;TEXT(COUNTIF(F$14:F156,"?*"),"00"))</f>
        <v/>
      </c>
      <c r="B156" s="5"/>
      <c r="C156" s="6" t="str">
        <f t="shared" si="24"/>
        <v/>
      </c>
      <c r="D156" s="5"/>
      <c r="E156" s="5"/>
      <c r="F156" s="5"/>
      <c r="G156" s="5"/>
      <c r="H156" s="5"/>
      <c r="I156" s="5"/>
      <c r="J156" s="5"/>
      <c r="K156" s="15"/>
      <c r="L156" s="5"/>
      <c r="M156" s="15"/>
      <c r="N156" s="5"/>
      <c r="O156" s="15"/>
      <c r="P156" s="19" t="str">
        <f t="shared" si="25"/>
        <v/>
      </c>
      <c r="Q156" s="19" t="str">
        <f t="shared" si="26"/>
        <v/>
      </c>
      <c r="R156" s="19" t="str">
        <f t="shared" si="27"/>
        <v/>
      </c>
      <c r="S156" s="5"/>
      <c r="T156" s="5"/>
      <c r="U156" s="5"/>
      <c r="V156" s="24"/>
      <c r="W156" s="15"/>
      <c r="X156" s="15"/>
      <c r="Y156" s="15"/>
      <c r="Z156" s="19" t="str">
        <f t="shared" si="28"/>
        <v/>
      </c>
      <c r="AA156" s="19" t="str">
        <f t="shared" si="29"/>
        <v/>
      </c>
      <c r="AB156" s="5"/>
      <c r="AC156" s="5"/>
      <c r="AE156" t="str">
        <f>IFERROR(INDEX(EqTag,_xlfn.AGGREGATE(15,6,(ROW(EqTag)-4)/((EqSys=$D$3)*(EqTag&lt;&gt;"")),ROWS($AE$14:AE156))),"")</f>
        <v/>
      </c>
    </row>
    <row r="157" spans="1:31" ht="30" customHeight="1" x14ac:dyDescent="0.2">
      <c r="A157" s="19" t="str">
        <f>IF(F157="","",LEFT($D$3,3)&amp;"-"&amp;TEXT(COUNTIF(F$14:F157,"?*"),"00"))</f>
        <v/>
      </c>
      <c r="B157" s="5"/>
      <c r="C157" s="6" t="str">
        <f t="shared" si="24"/>
        <v/>
      </c>
      <c r="D157" s="5"/>
      <c r="E157" s="5"/>
      <c r="F157" s="5"/>
      <c r="G157" s="5"/>
      <c r="H157" s="5"/>
      <c r="I157" s="5"/>
      <c r="J157" s="5"/>
      <c r="K157" s="15"/>
      <c r="L157" s="5"/>
      <c r="M157" s="15"/>
      <c r="N157" s="5"/>
      <c r="O157" s="15"/>
      <c r="P157" s="19" t="str">
        <f t="shared" si="25"/>
        <v/>
      </c>
      <c r="Q157" s="19" t="str">
        <f t="shared" si="26"/>
        <v/>
      </c>
      <c r="R157" s="19" t="str">
        <f t="shared" si="27"/>
        <v/>
      </c>
      <c r="S157" s="5"/>
      <c r="T157" s="5"/>
      <c r="U157" s="5"/>
      <c r="V157" s="24"/>
      <c r="W157" s="15"/>
      <c r="X157" s="15"/>
      <c r="Y157" s="15"/>
      <c r="Z157" s="19" t="str">
        <f t="shared" si="28"/>
        <v/>
      </c>
      <c r="AA157" s="19" t="str">
        <f t="shared" si="29"/>
        <v/>
      </c>
      <c r="AB157" s="5"/>
      <c r="AC157" s="5"/>
      <c r="AE157" t="str">
        <f>IFERROR(INDEX(EqTag,_xlfn.AGGREGATE(15,6,(ROW(EqTag)-4)/((EqSys=$D$3)*(EqTag&lt;&gt;"")),ROWS($AE$14:AE157))),"")</f>
        <v/>
      </c>
    </row>
    <row r="158" spans="1:31" ht="30" customHeight="1" x14ac:dyDescent="0.2">
      <c r="A158" s="19" t="str">
        <f>IF(F158="","",LEFT($D$3,3)&amp;"-"&amp;TEXT(COUNTIF(F$14:F158,"?*"),"00"))</f>
        <v/>
      </c>
      <c r="B158" s="5"/>
      <c r="C158" s="6" t="str">
        <f t="shared" si="24"/>
        <v/>
      </c>
      <c r="D158" s="5"/>
      <c r="E158" s="5"/>
      <c r="F158" s="5"/>
      <c r="G158" s="5"/>
      <c r="H158" s="5"/>
      <c r="I158" s="5"/>
      <c r="J158" s="5"/>
      <c r="K158" s="15"/>
      <c r="L158" s="5"/>
      <c r="M158" s="15"/>
      <c r="N158" s="5"/>
      <c r="O158" s="15"/>
      <c r="P158" s="19" t="str">
        <f t="shared" si="25"/>
        <v/>
      </c>
      <c r="Q158" s="19" t="str">
        <f t="shared" si="26"/>
        <v/>
      </c>
      <c r="R158" s="19" t="str">
        <f t="shared" si="27"/>
        <v/>
      </c>
      <c r="S158" s="5"/>
      <c r="T158" s="5"/>
      <c r="U158" s="5"/>
      <c r="V158" s="24"/>
      <c r="W158" s="15"/>
      <c r="X158" s="15"/>
      <c r="Y158" s="15"/>
      <c r="Z158" s="19" t="str">
        <f t="shared" si="28"/>
        <v/>
      </c>
      <c r="AA158" s="19" t="str">
        <f t="shared" si="29"/>
        <v/>
      </c>
      <c r="AB158" s="5"/>
      <c r="AC158" s="5"/>
      <c r="AE158" t="str">
        <f>IFERROR(INDEX(EqTag,_xlfn.AGGREGATE(15,6,(ROW(EqTag)-4)/((EqSys=$D$3)*(EqTag&lt;&gt;"")),ROWS($AE$14:AE158))),"")</f>
        <v/>
      </c>
    </row>
    <row r="159" spans="1:31" ht="30" customHeight="1" x14ac:dyDescent="0.2">
      <c r="A159" s="19" t="str">
        <f>IF(F159="","",LEFT($D$3,3)&amp;"-"&amp;TEXT(COUNTIF(F$14:F159,"?*"),"00"))</f>
        <v/>
      </c>
      <c r="B159" s="5"/>
      <c r="C159" s="6" t="str">
        <f t="shared" si="24"/>
        <v/>
      </c>
      <c r="D159" s="5"/>
      <c r="E159" s="5"/>
      <c r="F159" s="5"/>
      <c r="G159" s="5"/>
      <c r="H159" s="5"/>
      <c r="I159" s="5"/>
      <c r="J159" s="5"/>
      <c r="K159" s="15"/>
      <c r="L159" s="5"/>
      <c r="M159" s="15"/>
      <c r="N159" s="5"/>
      <c r="O159" s="15"/>
      <c r="P159" s="19" t="str">
        <f t="shared" si="25"/>
        <v/>
      </c>
      <c r="Q159" s="19" t="str">
        <f t="shared" si="26"/>
        <v/>
      </c>
      <c r="R159" s="19" t="str">
        <f t="shared" si="27"/>
        <v/>
      </c>
      <c r="S159" s="5"/>
      <c r="T159" s="5"/>
      <c r="U159" s="5"/>
      <c r="V159" s="24"/>
      <c r="W159" s="15"/>
      <c r="X159" s="15"/>
      <c r="Y159" s="15"/>
      <c r="Z159" s="19" t="str">
        <f t="shared" si="28"/>
        <v/>
      </c>
      <c r="AA159" s="19" t="str">
        <f t="shared" si="29"/>
        <v/>
      </c>
      <c r="AB159" s="5"/>
      <c r="AC159" s="5"/>
      <c r="AE159" t="str">
        <f>IFERROR(INDEX(EqTag,_xlfn.AGGREGATE(15,6,(ROW(EqTag)-4)/((EqSys=$D$3)*(EqTag&lt;&gt;"")),ROWS($AE$14:AE159))),"")</f>
        <v/>
      </c>
    </row>
    <row r="160" spans="1:31" ht="30" customHeight="1" x14ac:dyDescent="0.2">
      <c r="A160" s="19" t="str">
        <f>IF(F160="","",LEFT($D$3,3)&amp;"-"&amp;TEXT(COUNTIF(F$14:F160,"?*"),"00"))</f>
        <v/>
      </c>
      <c r="B160" s="5"/>
      <c r="C160" s="6" t="str">
        <f t="shared" si="24"/>
        <v/>
      </c>
      <c r="D160" s="5"/>
      <c r="E160" s="5"/>
      <c r="F160" s="5"/>
      <c r="G160" s="5"/>
      <c r="H160" s="5"/>
      <c r="I160" s="5"/>
      <c r="J160" s="5"/>
      <c r="K160" s="15"/>
      <c r="L160" s="5"/>
      <c r="M160" s="15"/>
      <c r="N160" s="5"/>
      <c r="O160" s="15"/>
      <c r="P160" s="19" t="str">
        <f t="shared" si="25"/>
        <v/>
      </c>
      <c r="Q160" s="19" t="str">
        <f t="shared" si="26"/>
        <v/>
      </c>
      <c r="R160" s="19" t="str">
        <f t="shared" si="27"/>
        <v/>
      </c>
      <c r="S160" s="5"/>
      <c r="T160" s="5"/>
      <c r="U160" s="5"/>
      <c r="V160" s="24"/>
      <c r="W160" s="15"/>
      <c r="X160" s="15"/>
      <c r="Y160" s="15"/>
      <c r="Z160" s="19" t="str">
        <f t="shared" si="28"/>
        <v/>
      </c>
      <c r="AA160" s="19" t="str">
        <f t="shared" si="29"/>
        <v/>
      </c>
      <c r="AB160" s="5"/>
      <c r="AC160" s="5"/>
      <c r="AE160" t="str">
        <f>IFERROR(INDEX(EqTag,_xlfn.AGGREGATE(15,6,(ROW(EqTag)-4)/((EqSys=$D$3)*(EqTag&lt;&gt;"")),ROWS($AE$14:AE160))),"")</f>
        <v/>
      </c>
    </row>
    <row r="161" spans="1:31" ht="30" customHeight="1" x14ac:dyDescent="0.2">
      <c r="A161" s="19" t="str">
        <f>IF(F161="","",LEFT($D$3,3)&amp;"-"&amp;TEXT(COUNTIF(F$14:F161,"?*"),"00"))</f>
        <v/>
      </c>
      <c r="B161" s="5"/>
      <c r="C161" s="6" t="str">
        <f t="shared" si="24"/>
        <v/>
      </c>
      <c r="D161" s="5"/>
      <c r="E161" s="5"/>
      <c r="F161" s="5"/>
      <c r="G161" s="5"/>
      <c r="H161" s="5"/>
      <c r="I161" s="5"/>
      <c r="J161" s="5"/>
      <c r="K161" s="15"/>
      <c r="L161" s="5"/>
      <c r="M161" s="15"/>
      <c r="N161" s="5"/>
      <c r="O161" s="15"/>
      <c r="P161" s="19" t="str">
        <f t="shared" si="25"/>
        <v/>
      </c>
      <c r="Q161" s="19" t="str">
        <f t="shared" si="26"/>
        <v/>
      </c>
      <c r="R161" s="19" t="str">
        <f t="shared" si="27"/>
        <v/>
      </c>
      <c r="S161" s="5"/>
      <c r="T161" s="5"/>
      <c r="U161" s="5"/>
      <c r="V161" s="24"/>
      <c r="W161" s="15"/>
      <c r="X161" s="15"/>
      <c r="Y161" s="15"/>
      <c r="Z161" s="19" t="str">
        <f t="shared" si="28"/>
        <v/>
      </c>
      <c r="AA161" s="19" t="str">
        <f t="shared" si="29"/>
        <v/>
      </c>
      <c r="AB161" s="5"/>
      <c r="AC161" s="5"/>
      <c r="AE161" t="str">
        <f>IFERROR(INDEX(EqTag,_xlfn.AGGREGATE(15,6,(ROW(EqTag)-4)/((EqSys=$D$3)*(EqTag&lt;&gt;"")),ROWS($AE$14:AE161))),"")</f>
        <v/>
      </c>
    </row>
    <row r="162" spans="1:31" ht="30" customHeight="1" x14ac:dyDescent="0.2">
      <c r="A162" s="19" t="str">
        <f>IF(F162="","",LEFT($D$3,3)&amp;"-"&amp;TEXT(COUNTIF(F$14:F162,"?*"),"00"))</f>
        <v/>
      </c>
      <c r="B162" s="5"/>
      <c r="C162" s="6" t="str">
        <f t="shared" si="24"/>
        <v/>
      </c>
      <c r="D162" s="5"/>
      <c r="E162" s="5"/>
      <c r="F162" s="5"/>
      <c r="G162" s="5"/>
      <c r="H162" s="5"/>
      <c r="I162" s="5"/>
      <c r="J162" s="5"/>
      <c r="K162" s="15"/>
      <c r="L162" s="5"/>
      <c r="M162" s="15"/>
      <c r="N162" s="5"/>
      <c r="O162" s="15"/>
      <c r="P162" s="19" t="str">
        <f t="shared" si="25"/>
        <v/>
      </c>
      <c r="Q162" s="19" t="str">
        <f t="shared" si="26"/>
        <v/>
      </c>
      <c r="R162" s="19" t="str">
        <f t="shared" si="27"/>
        <v/>
      </c>
      <c r="S162" s="5"/>
      <c r="T162" s="5"/>
      <c r="U162" s="5"/>
      <c r="V162" s="24"/>
      <c r="W162" s="15"/>
      <c r="X162" s="15"/>
      <c r="Y162" s="15"/>
      <c r="Z162" s="19" t="str">
        <f t="shared" si="28"/>
        <v/>
      </c>
      <c r="AA162" s="19" t="str">
        <f t="shared" si="29"/>
        <v/>
      </c>
      <c r="AB162" s="5"/>
      <c r="AC162" s="5"/>
      <c r="AE162" t="str">
        <f>IFERROR(INDEX(EqTag,_xlfn.AGGREGATE(15,6,(ROW(EqTag)-4)/((EqSys=$D$3)*(EqTag&lt;&gt;"")),ROWS($AE$14:AE162))),"")</f>
        <v/>
      </c>
    </row>
    <row r="163" spans="1:31" ht="30" customHeight="1" x14ac:dyDescent="0.2">
      <c r="A163" s="19" t="str">
        <f>IF(F163="","",LEFT($D$3,3)&amp;"-"&amp;TEXT(COUNTIF(F$14:F163,"?*"),"00"))</f>
        <v/>
      </c>
      <c r="B163" s="5"/>
      <c r="C163" s="6" t="str">
        <f t="shared" si="24"/>
        <v/>
      </c>
      <c r="D163" s="5"/>
      <c r="E163" s="5"/>
      <c r="F163" s="5"/>
      <c r="G163" s="5"/>
      <c r="H163" s="5"/>
      <c r="I163" s="5"/>
      <c r="J163" s="5"/>
      <c r="K163" s="15"/>
      <c r="L163" s="5"/>
      <c r="M163" s="15"/>
      <c r="N163" s="5"/>
      <c r="O163" s="15"/>
      <c r="P163" s="19" t="str">
        <f t="shared" si="25"/>
        <v/>
      </c>
      <c r="Q163" s="19" t="str">
        <f t="shared" si="26"/>
        <v/>
      </c>
      <c r="R163" s="19" t="str">
        <f t="shared" si="27"/>
        <v/>
      </c>
      <c r="S163" s="5"/>
      <c r="T163" s="5"/>
      <c r="U163" s="5"/>
      <c r="V163" s="24"/>
      <c r="W163" s="15"/>
      <c r="X163" s="15"/>
      <c r="Y163" s="15"/>
      <c r="Z163" s="19" t="str">
        <f t="shared" si="28"/>
        <v/>
      </c>
      <c r="AA163" s="19" t="str">
        <f t="shared" si="29"/>
        <v/>
      </c>
      <c r="AB163" s="5"/>
      <c r="AC163" s="5"/>
      <c r="AE163" t="str">
        <f>IFERROR(INDEX(EqTag,_xlfn.AGGREGATE(15,6,(ROW(EqTag)-4)/((EqSys=$D$3)*(EqTag&lt;&gt;"")),ROWS($AE$14:AE163))),"")</f>
        <v/>
      </c>
    </row>
  </sheetData>
  <mergeCells count="22">
    <mergeCell ref="S12:V12"/>
    <mergeCell ref="D8:O8"/>
    <mergeCell ref="AB12:AC12"/>
    <mergeCell ref="K12:R12"/>
    <mergeCell ref="D5:O5"/>
    <mergeCell ref="W12:AA12"/>
    <mergeCell ref="A11:O11"/>
    <mergeCell ref="A7:C7"/>
    <mergeCell ref="D6:O6"/>
    <mergeCell ref="D3:J3"/>
    <mergeCell ref="A3:C3"/>
    <mergeCell ref="A12:F12"/>
    <mergeCell ref="D7:O7"/>
    <mergeCell ref="L3:M3"/>
    <mergeCell ref="A5:C5"/>
    <mergeCell ref="A8:C8"/>
    <mergeCell ref="G12:J12"/>
    <mergeCell ref="D4:O4"/>
    <mergeCell ref="D9:O9"/>
    <mergeCell ref="A4:C4"/>
    <mergeCell ref="A9:C9"/>
    <mergeCell ref="A6:C6"/>
  </mergeCells>
  <conditionalFormatting sqref="Q14:Q163">
    <cfRule type="expression" dxfId="35" priority="1">
      <formula>Q14="H"</formula>
    </cfRule>
    <cfRule type="expression" dxfId="34" priority="3">
      <formula>Q14="M"</formula>
    </cfRule>
    <cfRule type="expression" dxfId="33" priority="5">
      <formula>Q14="L"</formula>
    </cfRule>
  </conditionalFormatting>
  <conditionalFormatting sqref="AA14:AA163">
    <cfRule type="expression" dxfId="32" priority="2">
      <formula>AA14="H"</formula>
    </cfRule>
    <cfRule type="expression" dxfId="31" priority="4">
      <formula>AA14="M"</formula>
    </cfRule>
    <cfRule type="expression" dxfId="30" priority="6">
      <formula>AA14="L"</formula>
    </cfRule>
  </conditionalFormatting>
  <conditionalFormatting sqref="R14:R163">
    <cfRule type="expression" dxfId="29" priority="7">
      <formula>R14="Yes"</formula>
    </cfRule>
  </conditionalFormatting>
  <conditionalFormatting sqref="P14:P163">
    <cfRule type="expression" dxfId="28" priority="8">
      <formula>AND(ISNUMBER(P14),P14&gt;=RPNThr)</formula>
    </cfRule>
  </conditionalFormatting>
  <conditionalFormatting sqref="Z14:Z163">
    <cfRule type="expression" dxfId="27" priority="9">
      <formula>AND(ISNUMBER(Z14),Z14&gt;=RPNThr)</formula>
    </cfRule>
  </conditionalFormatting>
  <dataValidations count="10">
    <dataValidation type="list" allowBlank="1" showInputMessage="1" showErrorMessage="1" promptTitle="Select" prompt="Choose the system analysed on this sheet" sqref="D3" xr:uid="{00000000-0002-0000-0D00-000000000000}">
      <formula1>SystemList</formula1>
    </dataValidation>
    <dataValidation type="list" errorStyle="information" allowBlank="1" showInputMessage="1" showErrorMessage="1" errorTitle="Not in list" error="Entry is not in the list – it will be accepted as free text." promptTitle="Select" prompt="Equipment tags of the selected system (from the Equipment Register)" sqref="B14:B163" xr:uid="{00000000-0002-0000-0D00-000001000000}">
      <formula1>OFFSET($AE$14,0,0,MAX(1,COUNTIFS(EqSys,$D$3,EqTag,"?*")),1)</formula1>
    </dataValidation>
    <dataValidation type="list" errorStyle="information" allowBlank="1" showInputMessage="1" showErrorMessage="1" errorTitle="Not in list" error="Entry is not in the list – it will be accepted as free text." promptTitle="Select" prompt="Components for this equipment type – or type your own" sqref="D14:D163" xr:uid="{00000000-0002-0000-0D00-000002000000}">
      <formula1>OFFSET(CompStart,MATCH($C14,CompType,0)-1,0,MAX(1,COUNTIF(CompType,$C14)),1)</formula1>
    </dataValidation>
    <dataValidation type="list" errorStyle="information" allowBlank="1" showInputMessage="1" showErrorMessage="1" errorTitle="Not in list" error="Entry is not in the list – it will be accepted as free text." promptTitle="Select" prompt="Failure modes for this equipment type – or type your own" sqref="F14:F163" xr:uid="{00000000-0002-0000-0D00-000003000000}">
      <formula1>OFFSET(FMStart,MATCH($C14,FMType,0)-1,0,MAX(1,COUNTIF(FMType,$C14)),1)</formula1>
    </dataValidation>
    <dataValidation type="list" allowBlank="1" showInputMessage="1" promptTitle="Multi-select" prompt="Pick a cause – each pick is added as a new line; pick again to remove." sqref="G14:G163" xr:uid="{00000000-0002-0000-0D00-000004000000}">
      <formula1>MechList</formula1>
    </dataValidation>
    <dataValidation type="list" allowBlank="1" showInputMessage="1" promptTitle="Multi-select" prompt="Pick a detection method – each pick is added as a new line; pick again to remove." sqref="N14:N163" xr:uid="{00000000-0002-0000-0D00-000005000000}">
      <formula1>DetList</formula1>
    </dataValidation>
    <dataValidation type="list" errorStyle="information" allowBlank="1" showErrorMessage="1" errorTitle="Not in list" error="Entry is not in the list – it will be accepted as free text." sqref="T14:T163" xr:uid="{00000000-0002-0000-0D00-000006000000}">
      <formula1>TaskList</formula1>
    </dataValidation>
    <dataValidation type="list" allowBlank="1" showErrorMessage="1" sqref="K14:K163 W14:W163" xr:uid="{00000000-0002-0000-0D00-000007000000}">
      <formula1>SevList</formula1>
    </dataValidation>
    <dataValidation type="list" allowBlank="1" showErrorMessage="1" sqref="M14:M163 X14:X163" xr:uid="{00000000-0002-0000-0D00-000008000000}">
      <formula1>OccList</formula1>
    </dataValidation>
    <dataValidation type="list" allowBlank="1" showErrorMessage="1" sqref="O14:O163 Y14:Y163" xr:uid="{00000000-0002-0000-0D00-000009000000}">
      <formula1>DetScaleList</formula1>
    </dataValidation>
  </dataValidations>
  <pageMargins left="0.75" right="0.75" top="1" bottom="1" header="0.5" footer="0.5"/>
  <pageSetup paperSize="8" fitToHeight="0"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pageSetUpPr fitToPage="1"/>
  </sheetPr>
  <dimension ref="A1:AE163"/>
  <sheetViews>
    <sheetView workbookViewId="0">
      <pane xSplit="2" ySplit="13" topLeftCell="C14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7" customWidth="1"/>
    <col min="2" max="2" width="14" customWidth="1"/>
    <col min="3" max="4" width="22" customWidth="1"/>
    <col min="5" max="5" width="26" customWidth="1"/>
    <col min="6" max="6" width="28" customWidth="1"/>
    <col min="7" max="7" width="44" customWidth="1"/>
    <col min="8" max="9" width="28" customWidth="1"/>
    <col min="10" max="10" width="32" customWidth="1"/>
    <col min="11" max="11" width="18" customWidth="1"/>
    <col min="12" max="12" width="30" customWidth="1"/>
    <col min="13" max="13" width="18" customWidth="1"/>
    <col min="14" max="14" width="38" customWidth="1"/>
    <col min="15" max="15" width="18" customWidth="1"/>
    <col min="16" max="16" width="7" customWidth="1"/>
    <col min="17" max="17" width="6" customWidth="1"/>
    <col min="18" max="18" width="9" customWidth="1"/>
    <col min="19" max="19" width="34" customWidth="1"/>
    <col min="20" max="20" width="22" customWidth="1"/>
    <col min="21" max="21" width="14" customWidth="1"/>
    <col min="22" max="22" width="12" customWidth="1"/>
    <col min="23" max="25" width="18" customWidth="1"/>
    <col min="26" max="26" width="7" customWidth="1"/>
    <col min="27" max="27" width="6" customWidth="1"/>
    <col min="28" max="28" width="12" customWidth="1"/>
    <col min="29" max="29" width="24" customWidth="1"/>
    <col min="31" max="31" width="13" hidden="1" customWidth="1"/>
  </cols>
  <sheetData>
    <row r="1" spans="1:31" ht="18" x14ac:dyDescent="0.2">
      <c r="A1" s="21" t="s">
        <v>820</v>
      </c>
      <c r="F1" s="22" t="str">
        <f>Cover!B7</f>
        <v>FMECA – [Plant / Unit name]</v>
      </c>
    </row>
    <row r="3" spans="1:31" ht="16" x14ac:dyDescent="0.2">
      <c r="A3" s="28" t="s">
        <v>821</v>
      </c>
      <c r="B3" s="29"/>
      <c r="C3" s="30"/>
      <c r="D3" s="26"/>
      <c r="E3" s="27"/>
      <c r="F3" s="27"/>
      <c r="G3" s="27"/>
      <c r="H3" s="27"/>
      <c r="I3" s="27"/>
      <c r="J3" s="27"/>
      <c r="K3" s="23" t="s">
        <v>822</v>
      </c>
      <c r="L3" s="34"/>
      <c r="M3" s="27"/>
      <c r="N3" s="23" t="s">
        <v>823</v>
      </c>
      <c r="O3" s="19" t="str">
        <f>IF($D$3="","",COUNTIFS(EqSys,$D$3,EqTag,"?*"))</f>
        <v/>
      </c>
    </row>
    <row r="4" spans="1:31" ht="16" customHeight="1" x14ac:dyDescent="0.2">
      <c r="A4" s="35" t="s">
        <v>824</v>
      </c>
      <c r="B4" s="27"/>
      <c r="C4" s="27"/>
      <c r="D4" s="33" t="str">
        <f>IF($D$3="","",IFERROR(INDEX(Systems!$B$5:$B$34,MATCH($D$3,Systems!$C$5:$C$34,0))&amp;"",""))</f>
        <v/>
      </c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</row>
    <row r="5" spans="1:31" ht="30" customHeight="1" x14ac:dyDescent="0.2">
      <c r="A5" s="35" t="s">
        <v>140</v>
      </c>
      <c r="B5" s="27"/>
      <c r="C5" s="27"/>
      <c r="D5" s="33" t="str">
        <f>IF($D$3="","",IFERROR(INDEX(Systems!$D$5:$D$34,MATCH($D$3,Systems!$C$5:$C$34,0))&amp;"",""))</f>
        <v/>
      </c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</row>
    <row r="6" spans="1:31" ht="30" customHeight="1" x14ac:dyDescent="0.2">
      <c r="A6" s="35" t="s">
        <v>24</v>
      </c>
      <c r="B6" s="27"/>
      <c r="C6" s="27"/>
      <c r="D6" s="33" t="str">
        <f>IF($D$3="","",IFERROR(INDEX(Systems!$E$5:$E$34,MATCH($D$3,Systems!$C$5:$C$34,0))&amp;"",""))</f>
        <v/>
      </c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</row>
    <row r="7" spans="1:31" ht="30" customHeight="1" x14ac:dyDescent="0.2">
      <c r="A7" s="35" t="s">
        <v>142</v>
      </c>
      <c r="B7" s="27"/>
      <c r="C7" s="27"/>
      <c r="D7" s="33" t="str">
        <f>IF($D$3="","",IFERROR(INDEX(Systems!$F$5:$F$34,MATCH($D$3,Systems!$C$5:$C$34,0))&amp;"",""))</f>
        <v/>
      </c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</row>
    <row r="8" spans="1:31" ht="16" customHeight="1" x14ac:dyDescent="0.2">
      <c r="A8" s="35" t="s">
        <v>143</v>
      </c>
      <c r="B8" s="27"/>
      <c r="C8" s="27"/>
      <c r="D8" s="33" t="str">
        <f>IF($D$3="","",IFERROR(INDEX(Systems!$G$5:$G$34,MATCH($D$3,Systems!$C$5:$C$34,0))&amp;"",""))</f>
        <v/>
      </c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</row>
    <row r="9" spans="1:31" ht="16" customHeight="1" x14ac:dyDescent="0.2">
      <c r="A9" s="35" t="s">
        <v>144</v>
      </c>
      <c r="B9" s="27"/>
      <c r="C9" s="27"/>
      <c r="D9" s="33" t="str">
        <f>IF($D$3="","",IFERROR(INDEX(Systems!$H$5:$H$34,MATCH($D$3,Systems!$C$5:$C$34,0))&amp;"",""))</f>
        <v/>
      </c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</row>
    <row r="11" spans="1:31" ht="26" customHeight="1" x14ac:dyDescent="0.2">
      <c r="A11" s="36" t="s">
        <v>825</v>
      </c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</row>
    <row r="12" spans="1:31" x14ac:dyDescent="0.2">
      <c r="A12" s="31" t="s">
        <v>826</v>
      </c>
      <c r="B12" s="32"/>
      <c r="C12" s="32"/>
      <c r="D12" s="32"/>
      <c r="E12" s="32"/>
      <c r="F12" s="32"/>
      <c r="G12" s="31" t="s">
        <v>827</v>
      </c>
      <c r="H12" s="32"/>
      <c r="I12" s="32"/>
      <c r="J12" s="32"/>
      <c r="K12" s="31" t="s">
        <v>828</v>
      </c>
      <c r="L12" s="32"/>
      <c r="M12" s="32"/>
      <c r="N12" s="32"/>
      <c r="O12" s="32"/>
      <c r="P12" s="32"/>
      <c r="Q12" s="32"/>
      <c r="R12" s="32"/>
      <c r="S12" s="31" t="s">
        <v>829</v>
      </c>
      <c r="T12" s="32"/>
      <c r="U12" s="32"/>
      <c r="V12" s="32"/>
      <c r="W12" s="31" t="s">
        <v>830</v>
      </c>
      <c r="X12" s="32"/>
      <c r="Y12" s="32"/>
      <c r="Z12" s="32"/>
      <c r="AA12" s="32"/>
      <c r="AB12" s="31" t="s">
        <v>831</v>
      </c>
      <c r="AC12" s="32"/>
    </row>
    <row r="13" spans="1:31" ht="54" customHeight="1" x14ac:dyDescent="0.2">
      <c r="A13" s="8" t="s">
        <v>62</v>
      </c>
      <c r="B13" s="8" t="s">
        <v>192</v>
      </c>
      <c r="C13" s="8" t="s">
        <v>832</v>
      </c>
      <c r="D13" s="8" t="s">
        <v>260</v>
      </c>
      <c r="E13" s="8" t="s">
        <v>833</v>
      </c>
      <c r="F13" s="8" t="s">
        <v>261</v>
      </c>
      <c r="G13" s="8" t="s">
        <v>834</v>
      </c>
      <c r="H13" s="8" t="s">
        <v>835</v>
      </c>
      <c r="I13" s="8" t="s">
        <v>836</v>
      </c>
      <c r="J13" s="8" t="s">
        <v>837</v>
      </c>
      <c r="K13" s="8" t="s">
        <v>685</v>
      </c>
      <c r="L13" s="8" t="s">
        <v>838</v>
      </c>
      <c r="M13" s="8" t="s">
        <v>718</v>
      </c>
      <c r="N13" s="8" t="s">
        <v>839</v>
      </c>
      <c r="O13" s="8" t="s">
        <v>739</v>
      </c>
      <c r="P13" s="8" t="s">
        <v>840</v>
      </c>
      <c r="Q13" s="8" t="s">
        <v>841</v>
      </c>
      <c r="R13" s="8" t="s">
        <v>842</v>
      </c>
      <c r="S13" s="8" t="s">
        <v>843</v>
      </c>
      <c r="T13" s="8" t="s">
        <v>264</v>
      </c>
      <c r="U13" s="8" t="s">
        <v>844</v>
      </c>
      <c r="V13" s="8" t="s">
        <v>845</v>
      </c>
      <c r="W13" s="8" t="s">
        <v>685</v>
      </c>
      <c r="X13" s="8" t="s">
        <v>718</v>
      </c>
      <c r="Y13" s="8" t="s">
        <v>739</v>
      </c>
      <c r="Z13" s="8" t="s">
        <v>846</v>
      </c>
      <c r="AA13" s="8" t="s">
        <v>847</v>
      </c>
      <c r="AB13" s="8" t="s">
        <v>848</v>
      </c>
      <c r="AC13" s="8" t="s">
        <v>68</v>
      </c>
    </row>
    <row r="14" spans="1:31" ht="30" customHeight="1" x14ac:dyDescent="0.2">
      <c r="A14" s="19" t="str">
        <f>IF(F14="","",LEFT($D$3,3)&amp;"-"&amp;TEXT(COUNTIF(F$14:F14,"?*"),"00"))</f>
        <v/>
      </c>
      <c r="B14" s="5"/>
      <c r="C14" s="6" t="str">
        <f t="shared" ref="C14:C45" si="0">IF(B14="","",IFERROR(INDEX(EqTypeCol,MATCH(B14,EqTag,0)),"Tag not in register"))</f>
        <v/>
      </c>
      <c r="D14" s="5"/>
      <c r="E14" s="5"/>
      <c r="F14" s="5"/>
      <c r="G14" s="5"/>
      <c r="H14" s="5"/>
      <c r="I14" s="5"/>
      <c r="J14" s="5"/>
      <c r="K14" s="15"/>
      <c r="L14" s="5"/>
      <c r="M14" s="15"/>
      <c r="N14" s="5"/>
      <c r="O14" s="15"/>
      <c r="P14" s="19" t="str">
        <f t="shared" ref="P14:P45" si="1">IF(OR(K14="",M14="",O14=""),"",(--TRIM(LEFT(K14,2)))*(--TRIM(LEFT(M14,2)))*(--TRIM(LEFT(O14,2))))</f>
        <v/>
      </c>
      <c r="Q14" s="19" t="str">
        <f t="shared" ref="Q14:Q45" si="2">IF(OR(K14="",M14="",O14=""),"",INDEX(APGrid,COUNTIF(APS,"&gt;"&amp;(--TRIM(LEFT(K14,2))))*5+COUNTIF(APO,"&gt;"&amp;(--TRIM(LEFT(M14,2))))+1,COUNTIF(APD,"&gt;"&amp;(--TRIM(LEFT(O14,2))))+1))</f>
        <v/>
      </c>
      <c r="R14" s="19" t="str">
        <f t="shared" ref="R14:R45" si="3">IF(P14="","",IF(OR((--TRIM(LEFT(K14,2)))&gt;=SThr,P14&gt;=RPNThr,Q14="H"),"Yes","No"))</f>
        <v/>
      </c>
      <c r="S14" s="5"/>
      <c r="T14" s="5"/>
      <c r="U14" s="5"/>
      <c r="V14" s="24"/>
      <c r="W14" s="15"/>
      <c r="X14" s="15"/>
      <c r="Y14" s="15"/>
      <c r="Z14" s="19" t="str">
        <f t="shared" ref="Z14:Z45" si="4">IF(OR(W14="",X14="",Y14=""),"",(--TRIM(LEFT(W14,2)))*(--TRIM(LEFT(X14,2)))*(--TRIM(LEFT(Y14,2))))</f>
        <v/>
      </c>
      <c r="AA14" s="19" t="str">
        <f t="shared" ref="AA14:AA45" si="5">IF(OR(W14="",X14="",Y14=""),"",INDEX(APGrid,COUNTIF(APS,"&gt;"&amp;(--TRIM(LEFT(W14,2))))*5+COUNTIF(APO,"&gt;"&amp;(--TRIM(LEFT(X14,2))))+1,COUNTIF(APD,"&gt;"&amp;(--TRIM(LEFT(Y14,2))))+1))</f>
        <v/>
      </c>
      <c r="AB14" s="5"/>
      <c r="AC14" s="5"/>
      <c r="AE14" t="str">
        <f>IFERROR(INDEX(EqTag,_xlfn.AGGREGATE(15,6,(ROW(EqTag)-4)/((EqSys=$D$3)*(EqTag&lt;&gt;"")),ROWS($AE$14:AE14))),"")</f>
        <v/>
      </c>
    </row>
    <row r="15" spans="1:31" ht="30" customHeight="1" x14ac:dyDescent="0.2">
      <c r="A15" s="19" t="str">
        <f>IF(F15="","",LEFT($D$3,3)&amp;"-"&amp;TEXT(COUNTIF(F$14:F15,"?*"),"00"))</f>
        <v/>
      </c>
      <c r="B15" s="5"/>
      <c r="C15" s="6" t="str">
        <f t="shared" si="0"/>
        <v/>
      </c>
      <c r="D15" s="5"/>
      <c r="E15" s="5"/>
      <c r="F15" s="5"/>
      <c r="G15" s="5"/>
      <c r="H15" s="5"/>
      <c r="I15" s="5"/>
      <c r="J15" s="5"/>
      <c r="K15" s="15"/>
      <c r="L15" s="5"/>
      <c r="M15" s="15"/>
      <c r="N15" s="5"/>
      <c r="O15" s="15"/>
      <c r="P15" s="19" t="str">
        <f t="shared" si="1"/>
        <v/>
      </c>
      <c r="Q15" s="19" t="str">
        <f t="shared" si="2"/>
        <v/>
      </c>
      <c r="R15" s="19" t="str">
        <f t="shared" si="3"/>
        <v/>
      </c>
      <c r="S15" s="5"/>
      <c r="T15" s="5"/>
      <c r="U15" s="5"/>
      <c r="V15" s="24"/>
      <c r="W15" s="15"/>
      <c r="X15" s="15"/>
      <c r="Y15" s="15"/>
      <c r="Z15" s="19" t="str">
        <f t="shared" si="4"/>
        <v/>
      </c>
      <c r="AA15" s="19" t="str">
        <f t="shared" si="5"/>
        <v/>
      </c>
      <c r="AB15" s="5"/>
      <c r="AC15" s="5"/>
      <c r="AE15" t="str">
        <f>IFERROR(INDEX(EqTag,_xlfn.AGGREGATE(15,6,(ROW(EqTag)-4)/((EqSys=$D$3)*(EqTag&lt;&gt;"")),ROWS($AE$14:AE15))),"")</f>
        <v/>
      </c>
    </row>
    <row r="16" spans="1:31" ht="30" customHeight="1" x14ac:dyDescent="0.2">
      <c r="A16" s="19" t="str">
        <f>IF(F16="","",LEFT($D$3,3)&amp;"-"&amp;TEXT(COUNTIF(F$14:F16,"?*"),"00"))</f>
        <v/>
      </c>
      <c r="B16" s="5"/>
      <c r="C16" s="6" t="str">
        <f t="shared" si="0"/>
        <v/>
      </c>
      <c r="D16" s="5"/>
      <c r="E16" s="5"/>
      <c r="F16" s="5"/>
      <c r="G16" s="5"/>
      <c r="H16" s="5"/>
      <c r="I16" s="5"/>
      <c r="J16" s="5"/>
      <c r="K16" s="15"/>
      <c r="L16" s="5"/>
      <c r="M16" s="15"/>
      <c r="N16" s="5"/>
      <c r="O16" s="15"/>
      <c r="P16" s="19" t="str">
        <f t="shared" si="1"/>
        <v/>
      </c>
      <c r="Q16" s="19" t="str">
        <f t="shared" si="2"/>
        <v/>
      </c>
      <c r="R16" s="19" t="str">
        <f t="shared" si="3"/>
        <v/>
      </c>
      <c r="S16" s="5"/>
      <c r="T16" s="5"/>
      <c r="U16" s="5"/>
      <c r="V16" s="24"/>
      <c r="W16" s="15"/>
      <c r="X16" s="15"/>
      <c r="Y16" s="15"/>
      <c r="Z16" s="19" t="str">
        <f t="shared" si="4"/>
        <v/>
      </c>
      <c r="AA16" s="19" t="str">
        <f t="shared" si="5"/>
        <v/>
      </c>
      <c r="AB16" s="5"/>
      <c r="AC16" s="5"/>
      <c r="AE16" t="str">
        <f>IFERROR(INDEX(EqTag,_xlfn.AGGREGATE(15,6,(ROW(EqTag)-4)/((EqSys=$D$3)*(EqTag&lt;&gt;"")),ROWS($AE$14:AE16))),"")</f>
        <v/>
      </c>
    </row>
    <row r="17" spans="1:31" ht="30" customHeight="1" x14ac:dyDescent="0.2">
      <c r="A17" s="19" t="str">
        <f>IF(F17="","",LEFT($D$3,3)&amp;"-"&amp;TEXT(COUNTIF(F$14:F17,"?*"),"00"))</f>
        <v/>
      </c>
      <c r="B17" s="5"/>
      <c r="C17" s="6" t="str">
        <f t="shared" si="0"/>
        <v/>
      </c>
      <c r="D17" s="5"/>
      <c r="E17" s="5"/>
      <c r="F17" s="5"/>
      <c r="G17" s="5"/>
      <c r="H17" s="5"/>
      <c r="I17" s="5"/>
      <c r="J17" s="5"/>
      <c r="K17" s="15"/>
      <c r="L17" s="5"/>
      <c r="M17" s="15"/>
      <c r="N17" s="5"/>
      <c r="O17" s="15"/>
      <c r="P17" s="19" t="str">
        <f t="shared" si="1"/>
        <v/>
      </c>
      <c r="Q17" s="19" t="str">
        <f t="shared" si="2"/>
        <v/>
      </c>
      <c r="R17" s="19" t="str">
        <f t="shared" si="3"/>
        <v/>
      </c>
      <c r="S17" s="5"/>
      <c r="T17" s="5"/>
      <c r="U17" s="5"/>
      <c r="V17" s="24"/>
      <c r="W17" s="15"/>
      <c r="X17" s="15"/>
      <c r="Y17" s="15"/>
      <c r="Z17" s="19" t="str">
        <f t="shared" si="4"/>
        <v/>
      </c>
      <c r="AA17" s="19" t="str">
        <f t="shared" si="5"/>
        <v/>
      </c>
      <c r="AB17" s="5"/>
      <c r="AC17" s="5"/>
      <c r="AE17" t="str">
        <f>IFERROR(INDEX(EqTag,_xlfn.AGGREGATE(15,6,(ROW(EqTag)-4)/((EqSys=$D$3)*(EqTag&lt;&gt;"")),ROWS($AE$14:AE17))),"")</f>
        <v/>
      </c>
    </row>
    <row r="18" spans="1:31" ht="30" customHeight="1" x14ac:dyDescent="0.2">
      <c r="A18" s="19" t="str">
        <f>IF(F18="","",LEFT($D$3,3)&amp;"-"&amp;TEXT(COUNTIF(F$14:F18,"?*"),"00"))</f>
        <v/>
      </c>
      <c r="B18" s="5"/>
      <c r="C18" s="6" t="str">
        <f t="shared" si="0"/>
        <v/>
      </c>
      <c r="D18" s="5"/>
      <c r="E18" s="5"/>
      <c r="F18" s="5"/>
      <c r="G18" s="5"/>
      <c r="H18" s="5"/>
      <c r="I18" s="5"/>
      <c r="J18" s="5"/>
      <c r="K18" s="15"/>
      <c r="L18" s="5"/>
      <c r="M18" s="15"/>
      <c r="N18" s="5"/>
      <c r="O18" s="15"/>
      <c r="P18" s="19" t="str">
        <f t="shared" si="1"/>
        <v/>
      </c>
      <c r="Q18" s="19" t="str">
        <f t="shared" si="2"/>
        <v/>
      </c>
      <c r="R18" s="19" t="str">
        <f t="shared" si="3"/>
        <v/>
      </c>
      <c r="S18" s="5"/>
      <c r="T18" s="5"/>
      <c r="U18" s="5"/>
      <c r="V18" s="24"/>
      <c r="W18" s="15"/>
      <c r="X18" s="15"/>
      <c r="Y18" s="15"/>
      <c r="Z18" s="19" t="str">
        <f t="shared" si="4"/>
        <v/>
      </c>
      <c r="AA18" s="19" t="str">
        <f t="shared" si="5"/>
        <v/>
      </c>
      <c r="AB18" s="5"/>
      <c r="AC18" s="5"/>
      <c r="AE18" t="str">
        <f>IFERROR(INDEX(EqTag,_xlfn.AGGREGATE(15,6,(ROW(EqTag)-4)/((EqSys=$D$3)*(EqTag&lt;&gt;"")),ROWS($AE$14:AE18))),"")</f>
        <v/>
      </c>
    </row>
    <row r="19" spans="1:31" ht="30" customHeight="1" x14ac:dyDescent="0.2">
      <c r="A19" s="19" t="str">
        <f>IF(F19="","",LEFT($D$3,3)&amp;"-"&amp;TEXT(COUNTIF(F$14:F19,"?*"),"00"))</f>
        <v/>
      </c>
      <c r="B19" s="5"/>
      <c r="C19" s="6" t="str">
        <f t="shared" si="0"/>
        <v/>
      </c>
      <c r="D19" s="5"/>
      <c r="E19" s="5"/>
      <c r="F19" s="5"/>
      <c r="G19" s="5"/>
      <c r="H19" s="5"/>
      <c r="I19" s="5"/>
      <c r="J19" s="5"/>
      <c r="K19" s="15"/>
      <c r="L19" s="5"/>
      <c r="M19" s="15"/>
      <c r="N19" s="5"/>
      <c r="O19" s="15"/>
      <c r="P19" s="19" t="str">
        <f t="shared" si="1"/>
        <v/>
      </c>
      <c r="Q19" s="19" t="str">
        <f t="shared" si="2"/>
        <v/>
      </c>
      <c r="R19" s="19" t="str">
        <f t="shared" si="3"/>
        <v/>
      </c>
      <c r="S19" s="5"/>
      <c r="T19" s="5"/>
      <c r="U19" s="5"/>
      <c r="V19" s="24"/>
      <c r="W19" s="15"/>
      <c r="X19" s="15"/>
      <c r="Y19" s="15"/>
      <c r="Z19" s="19" t="str">
        <f t="shared" si="4"/>
        <v/>
      </c>
      <c r="AA19" s="19" t="str">
        <f t="shared" si="5"/>
        <v/>
      </c>
      <c r="AB19" s="5"/>
      <c r="AC19" s="5"/>
      <c r="AE19" t="str">
        <f>IFERROR(INDEX(EqTag,_xlfn.AGGREGATE(15,6,(ROW(EqTag)-4)/((EqSys=$D$3)*(EqTag&lt;&gt;"")),ROWS($AE$14:AE19))),"")</f>
        <v/>
      </c>
    </row>
    <row r="20" spans="1:31" ht="30" customHeight="1" x14ac:dyDescent="0.2">
      <c r="A20" s="19" t="str">
        <f>IF(F20="","",LEFT($D$3,3)&amp;"-"&amp;TEXT(COUNTIF(F$14:F20,"?*"),"00"))</f>
        <v/>
      </c>
      <c r="B20" s="5"/>
      <c r="C20" s="6" t="str">
        <f t="shared" si="0"/>
        <v/>
      </c>
      <c r="D20" s="5"/>
      <c r="E20" s="5"/>
      <c r="F20" s="5"/>
      <c r="G20" s="5"/>
      <c r="H20" s="5"/>
      <c r="I20" s="5"/>
      <c r="J20" s="5"/>
      <c r="K20" s="15"/>
      <c r="L20" s="5"/>
      <c r="M20" s="15"/>
      <c r="N20" s="5"/>
      <c r="O20" s="15"/>
      <c r="P20" s="19" t="str">
        <f t="shared" si="1"/>
        <v/>
      </c>
      <c r="Q20" s="19" t="str">
        <f t="shared" si="2"/>
        <v/>
      </c>
      <c r="R20" s="19" t="str">
        <f t="shared" si="3"/>
        <v/>
      </c>
      <c r="S20" s="5"/>
      <c r="T20" s="5"/>
      <c r="U20" s="5"/>
      <c r="V20" s="24"/>
      <c r="W20" s="15"/>
      <c r="X20" s="15"/>
      <c r="Y20" s="15"/>
      <c r="Z20" s="19" t="str">
        <f t="shared" si="4"/>
        <v/>
      </c>
      <c r="AA20" s="19" t="str">
        <f t="shared" si="5"/>
        <v/>
      </c>
      <c r="AB20" s="5"/>
      <c r="AC20" s="5"/>
      <c r="AE20" t="str">
        <f>IFERROR(INDEX(EqTag,_xlfn.AGGREGATE(15,6,(ROW(EqTag)-4)/((EqSys=$D$3)*(EqTag&lt;&gt;"")),ROWS($AE$14:AE20))),"")</f>
        <v/>
      </c>
    </row>
    <row r="21" spans="1:31" ht="30" customHeight="1" x14ac:dyDescent="0.2">
      <c r="A21" s="19" t="str">
        <f>IF(F21="","",LEFT($D$3,3)&amp;"-"&amp;TEXT(COUNTIF(F$14:F21,"?*"),"00"))</f>
        <v/>
      </c>
      <c r="B21" s="5"/>
      <c r="C21" s="6" t="str">
        <f t="shared" si="0"/>
        <v/>
      </c>
      <c r="D21" s="5"/>
      <c r="E21" s="5"/>
      <c r="F21" s="5"/>
      <c r="G21" s="5"/>
      <c r="H21" s="5"/>
      <c r="I21" s="5"/>
      <c r="J21" s="5"/>
      <c r="K21" s="15"/>
      <c r="L21" s="5"/>
      <c r="M21" s="15"/>
      <c r="N21" s="5"/>
      <c r="O21" s="15"/>
      <c r="P21" s="19" t="str">
        <f t="shared" si="1"/>
        <v/>
      </c>
      <c r="Q21" s="19" t="str">
        <f t="shared" si="2"/>
        <v/>
      </c>
      <c r="R21" s="19" t="str">
        <f t="shared" si="3"/>
        <v/>
      </c>
      <c r="S21" s="5"/>
      <c r="T21" s="5"/>
      <c r="U21" s="5"/>
      <c r="V21" s="24"/>
      <c r="W21" s="15"/>
      <c r="X21" s="15"/>
      <c r="Y21" s="15"/>
      <c r="Z21" s="19" t="str">
        <f t="shared" si="4"/>
        <v/>
      </c>
      <c r="AA21" s="19" t="str">
        <f t="shared" si="5"/>
        <v/>
      </c>
      <c r="AB21" s="5"/>
      <c r="AC21" s="5"/>
      <c r="AE21" t="str">
        <f>IFERROR(INDEX(EqTag,_xlfn.AGGREGATE(15,6,(ROW(EqTag)-4)/((EqSys=$D$3)*(EqTag&lt;&gt;"")),ROWS($AE$14:AE21))),"")</f>
        <v/>
      </c>
    </row>
    <row r="22" spans="1:31" ht="30" customHeight="1" x14ac:dyDescent="0.2">
      <c r="A22" s="19" t="str">
        <f>IF(F22="","",LEFT($D$3,3)&amp;"-"&amp;TEXT(COUNTIF(F$14:F22,"?*"),"00"))</f>
        <v/>
      </c>
      <c r="B22" s="5"/>
      <c r="C22" s="6" t="str">
        <f t="shared" si="0"/>
        <v/>
      </c>
      <c r="D22" s="5"/>
      <c r="E22" s="5"/>
      <c r="F22" s="5"/>
      <c r="G22" s="5"/>
      <c r="H22" s="5"/>
      <c r="I22" s="5"/>
      <c r="J22" s="5"/>
      <c r="K22" s="15"/>
      <c r="L22" s="5"/>
      <c r="M22" s="15"/>
      <c r="N22" s="5"/>
      <c r="O22" s="15"/>
      <c r="P22" s="19" t="str">
        <f t="shared" si="1"/>
        <v/>
      </c>
      <c r="Q22" s="19" t="str">
        <f t="shared" si="2"/>
        <v/>
      </c>
      <c r="R22" s="19" t="str">
        <f t="shared" si="3"/>
        <v/>
      </c>
      <c r="S22" s="5"/>
      <c r="T22" s="5"/>
      <c r="U22" s="5"/>
      <c r="V22" s="24"/>
      <c r="W22" s="15"/>
      <c r="X22" s="15"/>
      <c r="Y22" s="15"/>
      <c r="Z22" s="19" t="str">
        <f t="shared" si="4"/>
        <v/>
      </c>
      <c r="AA22" s="19" t="str">
        <f t="shared" si="5"/>
        <v/>
      </c>
      <c r="AB22" s="5"/>
      <c r="AC22" s="5"/>
      <c r="AE22" t="str">
        <f>IFERROR(INDEX(EqTag,_xlfn.AGGREGATE(15,6,(ROW(EqTag)-4)/((EqSys=$D$3)*(EqTag&lt;&gt;"")),ROWS($AE$14:AE22))),"")</f>
        <v/>
      </c>
    </row>
    <row r="23" spans="1:31" ht="30" customHeight="1" x14ac:dyDescent="0.2">
      <c r="A23" s="19" t="str">
        <f>IF(F23="","",LEFT($D$3,3)&amp;"-"&amp;TEXT(COUNTIF(F$14:F23,"?*"),"00"))</f>
        <v/>
      </c>
      <c r="B23" s="5"/>
      <c r="C23" s="6" t="str">
        <f t="shared" si="0"/>
        <v/>
      </c>
      <c r="D23" s="5"/>
      <c r="E23" s="5"/>
      <c r="F23" s="5"/>
      <c r="G23" s="5"/>
      <c r="H23" s="5"/>
      <c r="I23" s="5"/>
      <c r="J23" s="5"/>
      <c r="K23" s="15"/>
      <c r="L23" s="5"/>
      <c r="M23" s="15"/>
      <c r="N23" s="5"/>
      <c r="O23" s="15"/>
      <c r="P23" s="19" t="str">
        <f t="shared" si="1"/>
        <v/>
      </c>
      <c r="Q23" s="19" t="str">
        <f t="shared" si="2"/>
        <v/>
      </c>
      <c r="R23" s="19" t="str">
        <f t="shared" si="3"/>
        <v/>
      </c>
      <c r="S23" s="5"/>
      <c r="T23" s="5"/>
      <c r="U23" s="5"/>
      <c r="V23" s="24"/>
      <c r="W23" s="15"/>
      <c r="X23" s="15"/>
      <c r="Y23" s="15"/>
      <c r="Z23" s="19" t="str">
        <f t="shared" si="4"/>
        <v/>
      </c>
      <c r="AA23" s="19" t="str">
        <f t="shared" si="5"/>
        <v/>
      </c>
      <c r="AB23" s="5"/>
      <c r="AC23" s="5"/>
      <c r="AE23" t="str">
        <f>IFERROR(INDEX(EqTag,_xlfn.AGGREGATE(15,6,(ROW(EqTag)-4)/((EqSys=$D$3)*(EqTag&lt;&gt;"")),ROWS($AE$14:AE23))),"")</f>
        <v/>
      </c>
    </row>
    <row r="24" spans="1:31" ht="30" customHeight="1" x14ac:dyDescent="0.2">
      <c r="A24" s="19" t="str">
        <f>IF(F24="","",LEFT($D$3,3)&amp;"-"&amp;TEXT(COUNTIF(F$14:F24,"?*"),"00"))</f>
        <v/>
      </c>
      <c r="B24" s="5"/>
      <c r="C24" s="6" t="str">
        <f t="shared" si="0"/>
        <v/>
      </c>
      <c r="D24" s="5"/>
      <c r="E24" s="5"/>
      <c r="F24" s="5"/>
      <c r="G24" s="5"/>
      <c r="H24" s="5"/>
      <c r="I24" s="5"/>
      <c r="J24" s="5"/>
      <c r="K24" s="15"/>
      <c r="L24" s="5"/>
      <c r="M24" s="15"/>
      <c r="N24" s="5"/>
      <c r="O24" s="15"/>
      <c r="P24" s="19" t="str">
        <f t="shared" si="1"/>
        <v/>
      </c>
      <c r="Q24" s="19" t="str">
        <f t="shared" si="2"/>
        <v/>
      </c>
      <c r="R24" s="19" t="str">
        <f t="shared" si="3"/>
        <v/>
      </c>
      <c r="S24" s="5"/>
      <c r="T24" s="5"/>
      <c r="U24" s="5"/>
      <c r="V24" s="24"/>
      <c r="W24" s="15"/>
      <c r="X24" s="15"/>
      <c r="Y24" s="15"/>
      <c r="Z24" s="19" t="str">
        <f t="shared" si="4"/>
        <v/>
      </c>
      <c r="AA24" s="19" t="str">
        <f t="shared" si="5"/>
        <v/>
      </c>
      <c r="AB24" s="5"/>
      <c r="AC24" s="5"/>
      <c r="AE24" t="str">
        <f>IFERROR(INDEX(EqTag,_xlfn.AGGREGATE(15,6,(ROW(EqTag)-4)/((EqSys=$D$3)*(EqTag&lt;&gt;"")),ROWS($AE$14:AE24))),"")</f>
        <v/>
      </c>
    </row>
    <row r="25" spans="1:31" ht="30" customHeight="1" x14ac:dyDescent="0.2">
      <c r="A25" s="19" t="str">
        <f>IF(F25="","",LEFT($D$3,3)&amp;"-"&amp;TEXT(COUNTIF(F$14:F25,"?*"),"00"))</f>
        <v/>
      </c>
      <c r="B25" s="5"/>
      <c r="C25" s="6" t="str">
        <f t="shared" si="0"/>
        <v/>
      </c>
      <c r="D25" s="5"/>
      <c r="E25" s="5"/>
      <c r="F25" s="5"/>
      <c r="G25" s="5"/>
      <c r="H25" s="5"/>
      <c r="I25" s="5"/>
      <c r="J25" s="5"/>
      <c r="K25" s="15"/>
      <c r="L25" s="5"/>
      <c r="M25" s="15"/>
      <c r="N25" s="5"/>
      <c r="O25" s="15"/>
      <c r="P25" s="19" t="str">
        <f t="shared" si="1"/>
        <v/>
      </c>
      <c r="Q25" s="19" t="str">
        <f t="shared" si="2"/>
        <v/>
      </c>
      <c r="R25" s="19" t="str">
        <f t="shared" si="3"/>
        <v/>
      </c>
      <c r="S25" s="5"/>
      <c r="T25" s="5"/>
      <c r="U25" s="5"/>
      <c r="V25" s="24"/>
      <c r="W25" s="15"/>
      <c r="X25" s="15"/>
      <c r="Y25" s="15"/>
      <c r="Z25" s="19" t="str">
        <f t="shared" si="4"/>
        <v/>
      </c>
      <c r="AA25" s="19" t="str">
        <f t="shared" si="5"/>
        <v/>
      </c>
      <c r="AB25" s="5"/>
      <c r="AC25" s="5"/>
      <c r="AE25" t="str">
        <f>IFERROR(INDEX(EqTag,_xlfn.AGGREGATE(15,6,(ROW(EqTag)-4)/((EqSys=$D$3)*(EqTag&lt;&gt;"")),ROWS($AE$14:AE25))),"")</f>
        <v/>
      </c>
    </row>
    <row r="26" spans="1:31" ht="30" customHeight="1" x14ac:dyDescent="0.2">
      <c r="A26" s="19" t="str">
        <f>IF(F26="","",LEFT($D$3,3)&amp;"-"&amp;TEXT(COUNTIF(F$14:F26,"?*"),"00"))</f>
        <v/>
      </c>
      <c r="B26" s="5"/>
      <c r="C26" s="6" t="str">
        <f t="shared" si="0"/>
        <v/>
      </c>
      <c r="D26" s="5"/>
      <c r="E26" s="5"/>
      <c r="F26" s="5"/>
      <c r="G26" s="5"/>
      <c r="H26" s="5"/>
      <c r="I26" s="5"/>
      <c r="J26" s="5"/>
      <c r="K26" s="15"/>
      <c r="L26" s="5"/>
      <c r="M26" s="15"/>
      <c r="N26" s="5"/>
      <c r="O26" s="15"/>
      <c r="P26" s="19" t="str">
        <f t="shared" si="1"/>
        <v/>
      </c>
      <c r="Q26" s="19" t="str">
        <f t="shared" si="2"/>
        <v/>
      </c>
      <c r="R26" s="19" t="str">
        <f t="shared" si="3"/>
        <v/>
      </c>
      <c r="S26" s="5"/>
      <c r="T26" s="5"/>
      <c r="U26" s="5"/>
      <c r="V26" s="24"/>
      <c r="W26" s="15"/>
      <c r="X26" s="15"/>
      <c r="Y26" s="15"/>
      <c r="Z26" s="19" t="str">
        <f t="shared" si="4"/>
        <v/>
      </c>
      <c r="AA26" s="19" t="str">
        <f t="shared" si="5"/>
        <v/>
      </c>
      <c r="AB26" s="5"/>
      <c r="AC26" s="5"/>
      <c r="AE26" t="str">
        <f>IFERROR(INDEX(EqTag,_xlfn.AGGREGATE(15,6,(ROW(EqTag)-4)/((EqSys=$D$3)*(EqTag&lt;&gt;"")),ROWS($AE$14:AE26))),"")</f>
        <v/>
      </c>
    </row>
    <row r="27" spans="1:31" ht="30" customHeight="1" x14ac:dyDescent="0.2">
      <c r="A27" s="19" t="str">
        <f>IF(F27="","",LEFT($D$3,3)&amp;"-"&amp;TEXT(COUNTIF(F$14:F27,"?*"),"00"))</f>
        <v/>
      </c>
      <c r="B27" s="5"/>
      <c r="C27" s="6" t="str">
        <f t="shared" si="0"/>
        <v/>
      </c>
      <c r="D27" s="5"/>
      <c r="E27" s="5"/>
      <c r="F27" s="5"/>
      <c r="G27" s="5"/>
      <c r="H27" s="5"/>
      <c r="I27" s="5"/>
      <c r="J27" s="5"/>
      <c r="K27" s="15"/>
      <c r="L27" s="5"/>
      <c r="M27" s="15"/>
      <c r="N27" s="5"/>
      <c r="O27" s="15"/>
      <c r="P27" s="19" t="str">
        <f t="shared" si="1"/>
        <v/>
      </c>
      <c r="Q27" s="19" t="str">
        <f t="shared" si="2"/>
        <v/>
      </c>
      <c r="R27" s="19" t="str">
        <f t="shared" si="3"/>
        <v/>
      </c>
      <c r="S27" s="5"/>
      <c r="T27" s="5"/>
      <c r="U27" s="5"/>
      <c r="V27" s="24"/>
      <c r="W27" s="15"/>
      <c r="X27" s="15"/>
      <c r="Y27" s="15"/>
      <c r="Z27" s="19" t="str">
        <f t="shared" si="4"/>
        <v/>
      </c>
      <c r="AA27" s="19" t="str">
        <f t="shared" si="5"/>
        <v/>
      </c>
      <c r="AB27" s="5"/>
      <c r="AC27" s="5"/>
      <c r="AE27" t="str">
        <f>IFERROR(INDEX(EqTag,_xlfn.AGGREGATE(15,6,(ROW(EqTag)-4)/((EqSys=$D$3)*(EqTag&lt;&gt;"")),ROWS($AE$14:AE27))),"")</f>
        <v/>
      </c>
    </row>
    <row r="28" spans="1:31" ht="30" customHeight="1" x14ac:dyDescent="0.2">
      <c r="A28" s="19" t="str">
        <f>IF(F28="","",LEFT($D$3,3)&amp;"-"&amp;TEXT(COUNTIF(F$14:F28,"?*"),"00"))</f>
        <v/>
      </c>
      <c r="B28" s="5"/>
      <c r="C28" s="6" t="str">
        <f t="shared" si="0"/>
        <v/>
      </c>
      <c r="D28" s="5"/>
      <c r="E28" s="5"/>
      <c r="F28" s="5"/>
      <c r="G28" s="5"/>
      <c r="H28" s="5"/>
      <c r="I28" s="5"/>
      <c r="J28" s="5"/>
      <c r="K28" s="15"/>
      <c r="L28" s="5"/>
      <c r="M28" s="15"/>
      <c r="N28" s="5"/>
      <c r="O28" s="15"/>
      <c r="P28" s="19" t="str">
        <f t="shared" si="1"/>
        <v/>
      </c>
      <c r="Q28" s="19" t="str">
        <f t="shared" si="2"/>
        <v/>
      </c>
      <c r="R28" s="19" t="str">
        <f t="shared" si="3"/>
        <v/>
      </c>
      <c r="S28" s="5"/>
      <c r="T28" s="5"/>
      <c r="U28" s="5"/>
      <c r="V28" s="24"/>
      <c r="W28" s="15"/>
      <c r="X28" s="15"/>
      <c r="Y28" s="15"/>
      <c r="Z28" s="19" t="str">
        <f t="shared" si="4"/>
        <v/>
      </c>
      <c r="AA28" s="19" t="str">
        <f t="shared" si="5"/>
        <v/>
      </c>
      <c r="AB28" s="5"/>
      <c r="AC28" s="5"/>
      <c r="AE28" t="str">
        <f>IFERROR(INDEX(EqTag,_xlfn.AGGREGATE(15,6,(ROW(EqTag)-4)/((EqSys=$D$3)*(EqTag&lt;&gt;"")),ROWS($AE$14:AE28))),"")</f>
        <v/>
      </c>
    </row>
    <row r="29" spans="1:31" ht="30" customHeight="1" x14ac:dyDescent="0.2">
      <c r="A29" s="19" t="str">
        <f>IF(F29="","",LEFT($D$3,3)&amp;"-"&amp;TEXT(COUNTIF(F$14:F29,"?*"),"00"))</f>
        <v/>
      </c>
      <c r="B29" s="5"/>
      <c r="C29" s="6" t="str">
        <f t="shared" si="0"/>
        <v/>
      </c>
      <c r="D29" s="5"/>
      <c r="E29" s="5"/>
      <c r="F29" s="5"/>
      <c r="G29" s="5"/>
      <c r="H29" s="5"/>
      <c r="I29" s="5"/>
      <c r="J29" s="5"/>
      <c r="K29" s="15"/>
      <c r="L29" s="5"/>
      <c r="M29" s="15"/>
      <c r="N29" s="5"/>
      <c r="O29" s="15"/>
      <c r="P29" s="19" t="str">
        <f t="shared" si="1"/>
        <v/>
      </c>
      <c r="Q29" s="19" t="str">
        <f t="shared" si="2"/>
        <v/>
      </c>
      <c r="R29" s="19" t="str">
        <f t="shared" si="3"/>
        <v/>
      </c>
      <c r="S29" s="5"/>
      <c r="T29" s="5"/>
      <c r="U29" s="5"/>
      <c r="V29" s="24"/>
      <c r="W29" s="15"/>
      <c r="X29" s="15"/>
      <c r="Y29" s="15"/>
      <c r="Z29" s="19" t="str">
        <f t="shared" si="4"/>
        <v/>
      </c>
      <c r="AA29" s="19" t="str">
        <f t="shared" si="5"/>
        <v/>
      </c>
      <c r="AB29" s="5"/>
      <c r="AC29" s="5"/>
      <c r="AE29" t="str">
        <f>IFERROR(INDEX(EqTag,_xlfn.AGGREGATE(15,6,(ROW(EqTag)-4)/((EqSys=$D$3)*(EqTag&lt;&gt;"")),ROWS($AE$14:AE29))),"")</f>
        <v/>
      </c>
    </row>
    <row r="30" spans="1:31" ht="30" customHeight="1" x14ac:dyDescent="0.2">
      <c r="A30" s="19" t="str">
        <f>IF(F30="","",LEFT($D$3,3)&amp;"-"&amp;TEXT(COUNTIF(F$14:F30,"?*"),"00"))</f>
        <v/>
      </c>
      <c r="B30" s="5"/>
      <c r="C30" s="6" t="str">
        <f t="shared" si="0"/>
        <v/>
      </c>
      <c r="D30" s="5"/>
      <c r="E30" s="5"/>
      <c r="F30" s="5"/>
      <c r="G30" s="5"/>
      <c r="H30" s="5"/>
      <c r="I30" s="5"/>
      <c r="J30" s="5"/>
      <c r="K30" s="15"/>
      <c r="L30" s="5"/>
      <c r="M30" s="15"/>
      <c r="N30" s="5"/>
      <c r="O30" s="15"/>
      <c r="P30" s="19" t="str">
        <f t="shared" si="1"/>
        <v/>
      </c>
      <c r="Q30" s="19" t="str">
        <f t="shared" si="2"/>
        <v/>
      </c>
      <c r="R30" s="19" t="str">
        <f t="shared" si="3"/>
        <v/>
      </c>
      <c r="S30" s="5"/>
      <c r="T30" s="5"/>
      <c r="U30" s="5"/>
      <c r="V30" s="24"/>
      <c r="W30" s="15"/>
      <c r="X30" s="15"/>
      <c r="Y30" s="15"/>
      <c r="Z30" s="19" t="str">
        <f t="shared" si="4"/>
        <v/>
      </c>
      <c r="AA30" s="19" t="str">
        <f t="shared" si="5"/>
        <v/>
      </c>
      <c r="AB30" s="5"/>
      <c r="AC30" s="5"/>
      <c r="AE30" t="str">
        <f>IFERROR(INDEX(EqTag,_xlfn.AGGREGATE(15,6,(ROW(EqTag)-4)/((EqSys=$D$3)*(EqTag&lt;&gt;"")),ROWS($AE$14:AE30))),"")</f>
        <v/>
      </c>
    </row>
    <row r="31" spans="1:31" ht="30" customHeight="1" x14ac:dyDescent="0.2">
      <c r="A31" s="19" t="str">
        <f>IF(F31="","",LEFT($D$3,3)&amp;"-"&amp;TEXT(COUNTIF(F$14:F31,"?*"),"00"))</f>
        <v/>
      </c>
      <c r="B31" s="5"/>
      <c r="C31" s="6" t="str">
        <f t="shared" si="0"/>
        <v/>
      </c>
      <c r="D31" s="5"/>
      <c r="E31" s="5"/>
      <c r="F31" s="5"/>
      <c r="G31" s="5"/>
      <c r="H31" s="5"/>
      <c r="I31" s="5"/>
      <c r="J31" s="5"/>
      <c r="K31" s="15"/>
      <c r="L31" s="5"/>
      <c r="M31" s="15"/>
      <c r="N31" s="5"/>
      <c r="O31" s="15"/>
      <c r="P31" s="19" t="str">
        <f t="shared" si="1"/>
        <v/>
      </c>
      <c r="Q31" s="19" t="str">
        <f t="shared" si="2"/>
        <v/>
      </c>
      <c r="R31" s="19" t="str">
        <f t="shared" si="3"/>
        <v/>
      </c>
      <c r="S31" s="5"/>
      <c r="T31" s="5"/>
      <c r="U31" s="5"/>
      <c r="V31" s="24"/>
      <c r="W31" s="15"/>
      <c r="X31" s="15"/>
      <c r="Y31" s="15"/>
      <c r="Z31" s="19" t="str">
        <f t="shared" si="4"/>
        <v/>
      </c>
      <c r="AA31" s="19" t="str">
        <f t="shared" si="5"/>
        <v/>
      </c>
      <c r="AB31" s="5"/>
      <c r="AC31" s="5"/>
      <c r="AE31" t="str">
        <f>IFERROR(INDEX(EqTag,_xlfn.AGGREGATE(15,6,(ROW(EqTag)-4)/((EqSys=$D$3)*(EqTag&lt;&gt;"")),ROWS($AE$14:AE31))),"")</f>
        <v/>
      </c>
    </row>
    <row r="32" spans="1:31" ht="30" customHeight="1" x14ac:dyDescent="0.2">
      <c r="A32" s="19" t="str">
        <f>IF(F32="","",LEFT($D$3,3)&amp;"-"&amp;TEXT(COUNTIF(F$14:F32,"?*"),"00"))</f>
        <v/>
      </c>
      <c r="B32" s="5"/>
      <c r="C32" s="6" t="str">
        <f t="shared" si="0"/>
        <v/>
      </c>
      <c r="D32" s="5"/>
      <c r="E32" s="5"/>
      <c r="F32" s="5"/>
      <c r="G32" s="5"/>
      <c r="H32" s="5"/>
      <c r="I32" s="5"/>
      <c r="J32" s="5"/>
      <c r="K32" s="15"/>
      <c r="L32" s="5"/>
      <c r="M32" s="15"/>
      <c r="N32" s="5"/>
      <c r="O32" s="15"/>
      <c r="P32" s="19" t="str">
        <f t="shared" si="1"/>
        <v/>
      </c>
      <c r="Q32" s="19" t="str">
        <f t="shared" si="2"/>
        <v/>
      </c>
      <c r="R32" s="19" t="str">
        <f t="shared" si="3"/>
        <v/>
      </c>
      <c r="S32" s="5"/>
      <c r="T32" s="5"/>
      <c r="U32" s="5"/>
      <c r="V32" s="24"/>
      <c r="W32" s="15"/>
      <c r="X32" s="15"/>
      <c r="Y32" s="15"/>
      <c r="Z32" s="19" t="str">
        <f t="shared" si="4"/>
        <v/>
      </c>
      <c r="AA32" s="19" t="str">
        <f t="shared" si="5"/>
        <v/>
      </c>
      <c r="AB32" s="5"/>
      <c r="AC32" s="5"/>
      <c r="AE32" t="str">
        <f>IFERROR(INDEX(EqTag,_xlfn.AGGREGATE(15,6,(ROW(EqTag)-4)/((EqSys=$D$3)*(EqTag&lt;&gt;"")),ROWS($AE$14:AE32))),"")</f>
        <v/>
      </c>
    </row>
    <row r="33" spans="1:31" ht="30" customHeight="1" x14ac:dyDescent="0.2">
      <c r="A33" s="19" t="str">
        <f>IF(F33="","",LEFT($D$3,3)&amp;"-"&amp;TEXT(COUNTIF(F$14:F33,"?*"),"00"))</f>
        <v/>
      </c>
      <c r="B33" s="5"/>
      <c r="C33" s="6" t="str">
        <f t="shared" si="0"/>
        <v/>
      </c>
      <c r="D33" s="5"/>
      <c r="E33" s="5"/>
      <c r="F33" s="5"/>
      <c r="G33" s="5"/>
      <c r="H33" s="5"/>
      <c r="I33" s="5"/>
      <c r="J33" s="5"/>
      <c r="K33" s="15"/>
      <c r="L33" s="5"/>
      <c r="M33" s="15"/>
      <c r="N33" s="5"/>
      <c r="O33" s="15"/>
      <c r="P33" s="19" t="str">
        <f t="shared" si="1"/>
        <v/>
      </c>
      <c r="Q33" s="19" t="str">
        <f t="shared" si="2"/>
        <v/>
      </c>
      <c r="R33" s="19" t="str">
        <f t="shared" si="3"/>
        <v/>
      </c>
      <c r="S33" s="5"/>
      <c r="T33" s="5"/>
      <c r="U33" s="5"/>
      <c r="V33" s="24"/>
      <c r="W33" s="15"/>
      <c r="X33" s="15"/>
      <c r="Y33" s="15"/>
      <c r="Z33" s="19" t="str">
        <f t="shared" si="4"/>
        <v/>
      </c>
      <c r="AA33" s="19" t="str">
        <f t="shared" si="5"/>
        <v/>
      </c>
      <c r="AB33" s="5"/>
      <c r="AC33" s="5"/>
      <c r="AE33" t="str">
        <f>IFERROR(INDEX(EqTag,_xlfn.AGGREGATE(15,6,(ROW(EqTag)-4)/((EqSys=$D$3)*(EqTag&lt;&gt;"")),ROWS($AE$14:AE33))),"")</f>
        <v/>
      </c>
    </row>
    <row r="34" spans="1:31" ht="30" customHeight="1" x14ac:dyDescent="0.2">
      <c r="A34" s="19" t="str">
        <f>IF(F34="","",LEFT($D$3,3)&amp;"-"&amp;TEXT(COUNTIF(F$14:F34,"?*"),"00"))</f>
        <v/>
      </c>
      <c r="B34" s="5"/>
      <c r="C34" s="6" t="str">
        <f t="shared" si="0"/>
        <v/>
      </c>
      <c r="D34" s="5"/>
      <c r="E34" s="5"/>
      <c r="F34" s="5"/>
      <c r="G34" s="5"/>
      <c r="H34" s="5"/>
      <c r="I34" s="5"/>
      <c r="J34" s="5"/>
      <c r="K34" s="15"/>
      <c r="L34" s="5"/>
      <c r="M34" s="15"/>
      <c r="N34" s="5"/>
      <c r="O34" s="15"/>
      <c r="P34" s="19" t="str">
        <f t="shared" si="1"/>
        <v/>
      </c>
      <c r="Q34" s="19" t="str">
        <f t="shared" si="2"/>
        <v/>
      </c>
      <c r="R34" s="19" t="str">
        <f t="shared" si="3"/>
        <v/>
      </c>
      <c r="S34" s="5"/>
      <c r="T34" s="5"/>
      <c r="U34" s="5"/>
      <c r="V34" s="24"/>
      <c r="W34" s="15"/>
      <c r="X34" s="15"/>
      <c r="Y34" s="15"/>
      <c r="Z34" s="19" t="str">
        <f t="shared" si="4"/>
        <v/>
      </c>
      <c r="AA34" s="19" t="str">
        <f t="shared" si="5"/>
        <v/>
      </c>
      <c r="AB34" s="5"/>
      <c r="AC34" s="5"/>
      <c r="AE34" t="str">
        <f>IFERROR(INDEX(EqTag,_xlfn.AGGREGATE(15,6,(ROW(EqTag)-4)/((EqSys=$D$3)*(EqTag&lt;&gt;"")),ROWS($AE$14:AE34))),"")</f>
        <v/>
      </c>
    </row>
    <row r="35" spans="1:31" ht="30" customHeight="1" x14ac:dyDescent="0.2">
      <c r="A35" s="19" t="str">
        <f>IF(F35="","",LEFT($D$3,3)&amp;"-"&amp;TEXT(COUNTIF(F$14:F35,"?*"),"00"))</f>
        <v/>
      </c>
      <c r="B35" s="5"/>
      <c r="C35" s="6" t="str">
        <f t="shared" si="0"/>
        <v/>
      </c>
      <c r="D35" s="5"/>
      <c r="E35" s="5"/>
      <c r="F35" s="5"/>
      <c r="G35" s="5"/>
      <c r="H35" s="5"/>
      <c r="I35" s="5"/>
      <c r="J35" s="5"/>
      <c r="K35" s="15"/>
      <c r="L35" s="5"/>
      <c r="M35" s="15"/>
      <c r="N35" s="5"/>
      <c r="O35" s="15"/>
      <c r="P35" s="19" t="str">
        <f t="shared" si="1"/>
        <v/>
      </c>
      <c r="Q35" s="19" t="str">
        <f t="shared" si="2"/>
        <v/>
      </c>
      <c r="R35" s="19" t="str">
        <f t="shared" si="3"/>
        <v/>
      </c>
      <c r="S35" s="5"/>
      <c r="T35" s="5"/>
      <c r="U35" s="5"/>
      <c r="V35" s="24"/>
      <c r="W35" s="15"/>
      <c r="X35" s="15"/>
      <c r="Y35" s="15"/>
      <c r="Z35" s="19" t="str">
        <f t="shared" si="4"/>
        <v/>
      </c>
      <c r="AA35" s="19" t="str">
        <f t="shared" si="5"/>
        <v/>
      </c>
      <c r="AB35" s="5"/>
      <c r="AC35" s="5"/>
      <c r="AE35" t="str">
        <f>IFERROR(INDEX(EqTag,_xlfn.AGGREGATE(15,6,(ROW(EqTag)-4)/((EqSys=$D$3)*(EqTag&lt;&gt;"")),ROWS($AE$14:AE35))),"")</f>
        <v/>
      </c>
    </row>
    <row r="36" spans="1:31" ht="30" customHeight="1" x14ac:dyDescent="0.2">
      <c r="A36" s="19" t="str">
        <f>IF(F36="","",LEFT($D$3,3)&amp;"-"&amp;TEXT(COUNTIF(F$14:F36,"?*"),"00"))</f>
        <v/>
      </c>
      <c r="B36" s="5"/>
      <c r="C36" s="6" t="str">
        <f t="shared" si="0"/>
        <v/>
      </c>
      <c r="D36" s="5"/>
      <c r="E36" s="5"/>
      <c r="F36" s="5"/>
      <c r="G36" s="5"/>
      <c r="H36" s="5"/>
      <c r="I36" s="5"/>
      <c r="J36" s="5"/>
      <c r="K36" s="15"/>
      <c r="L36" s="5"/>
      <c r="M36" s="15"/>
      <c r="N36" s="5"/>
      <c r="O36" s="15"/>
      <c r="P36" s="19" t="str">
        <f t="shared" si="1"/>
        <v/>
      </c>
      <c r="Q36" s="19" t="str">
        <f t="shared" si="2"/>
        <v/>
      </c>
      <c r="R36" s="19" t="str">
        <f t="shared" si="3"/>
        <v/>
      </c>
      <c r="S36" s="5"/>
      <c r="T36" s="5"/>
      <c r="U36" s="5"/>
      <c r="V36" s="24"/>
      <c r="W36" s="15"/>
      <c r="X36" s="15"/>
      <c r="Y36" s="15"/>
      <c r="Z36" s="19" t="str">
        <f t="shared" si="4"/>
        <v/>
      </c>
      <c r="AA36" s="19" t="str">
        <f t="shared" si="5"/>
        <v/>
      </c>
      <c r="AB36" s="5"/>
      <c r="AC36" s="5"/>
      <c r="AE36" t="str">
        <f>IFERROR(INDEX(EqTag,_xlfn.AGGREGATE(15,6,(ROW(EqTag)-4)/((EqSys=$D$3)*(EqTag&lt;&gt;"")),ROWS($AE$14:AE36))),"")</f>
        <v/>
      </c>
    </row>
    <row r="37" spans="1:31" ht="30" customHeight="1" x14ac:dyDescent="0.2">
      <c r="A37" s="19" t="str">
        <f>IF(F37="","",LEFT($D$3,3)&amp;"-"&amp;TEXT(COUNTIF(F$14:F37,"?*"),"00"))</f>
        <v/>
      </c>
      <c r="B37" s="5"/>
      <c r="C37" s="6" t="str">
        <f t="shared" si="0"/>
        <v/>
      </c>
      <c r="D37" s="5"/>
      <c r="E37" s="5"/>
      <c r="F37" s="5"/>
      <c r="G37" s="5"/>
      <c r="H37" s="5"/>
      <c r="I37" s="5"/>
      <c r="J37" s="5"/>
      <c r="K37" s="15"/>
      <c r="L37" s="5"/>
      <c r="M37" s="15"/>
      <c r="N37" s="5"/>
      <c r="O37" s="15"/>
      <c r="P37" s="19" t="str">
        <f t="shared" si="1"/>
        <v/>
      </c>
      <c r="Q37" s="19" t="str">
        <f t="shared" si="2"/>
        <v/>
      </c>
      <c r="R37" s="19" t="str">
        <f t="shared" si="3"/>
        <v/>
      </c>
      <c r="S37" s="5"/>
      <c r="T37" s="5"/>
      <c r="U37" s="5"/>
      <c r="V37" s="24"/>
      <c r="W37" s="15"/>
      <c r="X37" s="15"/>
      <c r="Y37" s="15"/>
      <c r="Z37" s="19" t="str">
        <f t="shared" si="4"/>
        <v/>
      </c>
      <c r="AA37" s="19" t="str">
        <f t="shared" si="5"/>
        <v/>
      </c>
      <c r="AB37" s="5"/>
      <c r="AC37" s="5"/>
      <c r="AE37" t="str">
        <f>IFERROR(INDEX(EqTag,_xlfn.AGGREGATE(15,6,(ROW(EqTag)-4)/((EqSys=$D$3)*(EqTag&lt;&gt;"")),ROWS($AE$14:AE37))),"")</f>
        <v/>
      </c>
    </row>
    <row r="38" spans="1:31" ht="30" customHeight="1" x14ac:dyDescent="0.2">
      <c r="A38" s="19" t="str">
        <f>IF(F38="","",LEFT($D$3,3)&amp;"-"&amp;TEXT(COUNTIF(F$14:F38,"?*"),"00"))</f>
        <v/>
      </c>
      <c r="B38" s="5"/>
      <c r="C38" s="6" t="str">
        <f t="shared" si="0"/>
        <v/>
      </c>
      <c r="D38" s="5"/>
      <c r="E38" s="5"/>
      <c r="F38" s="5"/>
      <c r="G38" s="5"/>
      <c r="H38" s="5"/>
      <c r="I38" s="5"/>
      <c r="J38" s="5"/>
      <c r="K38" s="15"/>
      <c r="L38" s="5"/>
      <c r="M38" s="15"/>
      <c r="N38" s="5"/>
      <c r="O38" s="15"/>
      <c r="P38" s="19" t="str">
        <f t="shared" si="1"/>
        <v/>
      </c>
      <c r="Q38" s="19" t="str">
        <f t="shared" si="2"/>
        <v/>
      </c>
      <c r="R38" s="19" t="str">
        <f t="shared" si="3"/>
        <v/>
      </c>
      <c r="S38" s="5"/>
      <c r="T38" s="5"/>
      <c r="U38" s="5"/>
      <c r="V38" s="24"/>
      <c r="W38" s="15"/>
      <c r="X38" s="15"/>
      <c r="Y38" s="15"/>
      <c r="Z38" s="19" t="str">
        <f t="shared" si="4"/>
        <v/>
      </c>
      <c r="AA38" s="19" t="str">
        <f t="shared" si="5"/>
        <v/>
      </c>
      <c r="AB38" s="5"/>
      <c r="AC38" s="5"/>
      <c r="AE38" t="str">
        <f>IFERROR(INDEX(EqTag,_xlfn.AGGREGATE(15,6,(ROW(EqTag)-4)/((EqSys=$D$3)*(EqTag&lt;&gt;"")),ROWS($AE$14:AE38))),"")</f>
        <v/>
      </c>
    </row>
    <row r="39" spans="1:31" ht="30" customHeight="1" x14ac:dyDescent="0.2">
      <c r="A39" s="19" t="str">
        <f>IF(F39="","",LEFT($D$3,3)&amp;"-"&amp;TEXT(COUNTIF(F$14:F39,"?*"),"00"))</f>
        <v/>
      </c>
      <c r="B39" s="5"/>
      <c r="C39" s="6" t="str">
        <f t="shared" si="0"/>
        <v/>
      </c>
      <c r="D39" s="5"/>
      <c r="E39" s="5"/>
      <c r="F39" s="5"/>
      <c r="G39" s="5"/>
      <c r="H39" s="5"/>
      <c r="I39" s="5"/>
      <c r="J39" s="5"/>
      <c r="K39" s="15"/>
      <c r="L39" s="5"/>
      <c r="M39" s="15"/>
      <c r="N39" s="5"/>
      <c r="O39" s="15"/>
      <c r="P39" s="19" t="str">
        <f t="shared" si="1"/>
        <v/>
      </c>
      <c r="Q39" s="19" t="str">
        <f t="shared" si="2"/>
        <v/>
      </c>
      <c r="R39" s="19" t="str">
        <f t="shared" si="3"/>
        <v/>
      </c>
      <c r="S39" s="5"/>
      <c r="T39" s="5"/>
      <c r="U39" s="5"/>
      <c r="V39" s="24"/>
      <c r="W39" s="15"/>
      <c r="X39" s="15"/>
      <c r="Y39" s="15"/>
      <c r="Z39" s="19" t="str">
        <f t="shared" si="4"/>
        <v/>
      </c>
      <c r="AA39" s="19" t="str">
        <f t="shared" si="5"/>
        <v/>
      </c>
      <c r="AB39" s="5"/>
      <c r="AC39" s="5"/>
      <c r="AE39" t="str">
        <f>IFERROR(INDEX(EqTag,_xlfn.AGGREGATE(15,6,(ROW(EqTag)-4)/((EqSys=$D$3)*(EqTag&lt;&gt;"")),ROWS($AE$14:AE39))),"")</f>
        <v/>
      </c>
    </row>
    <row r="40" spans="1:31" ht="30" customHeight="1" x14ac:dyDescent="0.2">
      <c r="A40" s="19" t="str">
        <f>IF(F40="","",LEFT($D$3,3)&amp;"-"&amp;TEXT(COUNTIF(F$14:F40,"?*"),"00"))</f>
        <v/>
      </c>
      <c r="B40" s="5"/>
      <c r="C40" s="6" t="str">
        <f t="shared" si="0"/>
        <v/>
      </c>
      <c r="D40" s="5"/>
      <c r="E40" s="5"/>
      <c r="F40" s="5"/>
      <c r="G40" s="5"/>
      <c r="H40" s="5"/>
      <c r="I40" s="5"/>
      <c r="J40" s="5"/>
      <c r="K40" s="15"/>
      <c r="L40" s="5"/>
      <c r="M40" s="15"/>
      <c r="N40" s="5"/>
      <c r="O40" s="15"/>
      <c r="P40" s="19" t="str">
        <f t="shared" si="1"/>
        <v/>
      </c>
      <c r="Q40" s="19" t="str">
        <f t="shared" si="2"/>
        <v/>
      </c>
      <c r="R40" s="19" t="str">
        <f t="shared" si="3"/>
        <v/>
      </c>
      <c r="S40" s="5"/>
      <c r="T40" s="5"/>
      <c r="U40" s="5"/>
      <c r="V40" s="24"/>
      <c r="W40" s="15"/>
      <c r="X40" s="15"/>
      <c r="Y40" s="15"/>
      <c r="Z40" s="19" t="str">
        <f t="shared" si="4"/>
        <v/>
      </c>
      <c r="AA40" s="19" t="str">
        <f t="shared" si="5"/>
        <v/>
      </c>
      <c r="AB40" s="5"/>
      <c r="AC40" s="5"/>
      <c r="AE40" t="str">
        <f>IFERROR(INDEX(EqTag,_xlfn.AGGREGATE(15,6,(ROW(EqTag)-4)/((EqSys=$D$3)*(EqTag&lt;&gt;"")),ROWS($AE$14:AE40))),"")</f>
        <v/>
      </c>
    </row>
    <row r="41" spans="1:31" ht="30" customHeight="1" x14ac:dyDescent="0.2">
      <c r="A41" s="19" t="str">
        <f>IF(F41="","",LEFT($D$3,3)&amp;"-"&amp;TEXT(COUNTIF(F$14:F41,"?*"),"00"))</f>
        <v/>
      </c>
      <c r="B41" s="5"/>
      <c r="C41" s="6" t="str">
        <f t="shared" si="0"/>
        <v/>
      </c>
      <c r="D41" s="5"/>
      <c r="E41" s="5"/>
      <c r="F41" s="5"/>
      <c r="G41" s="5"/>
      <c r="H41" s="5"/>
      <c r="I41" s="5"/>
      <c r="J41" s="5"/>
      <c r="K41" s="15"/>
      <c r="L41" s="5"/>
      <c r="M41" s="15"/>
      <c r="N41" s="5"/>
      <c r="O41" s="15"/>
      <c r="P41" s="19" t="str">
        <f t="shared" si="1"/>
        <v/>
      </c>
      <c r="Q41" s="19" t="str">
        <f t="shared" si="2"/>
        <v/>
      </c>
      <c r="R41" s="19" t="str">
        <f t="shared" si="3"/>
        <v/>
      </c>
      <c r="S41" s="5"/>
      <c r="T41" s="5"/>
      <c r="U41" s="5"/>
      <c r="V41" s="24"/>
      <c r="W41" s="15"/>
      <c r="X41" s="15"/>
      <c r="Y41" s="15"/>
      <c r="Z41" s="19" t="str">
        <f t="shared" si="4"/>
        <v/>
      </c>
      <c r="AA41" s="19" t="str">
        <f t="shared" si="5"/>
        <v/>
      </c>
      <c r="AB41" s="5"/>
      <c r="AC41" s="5"/>
      <c r="AE41" t="str">
        <f>IFERROR(INDEX(EqTag,_xlfn.AGGREGATE(15,6,(ROW(EqTag)-4)/((EqSys=$D$3)*(EqTag&lt;&gt;"")),ROWS($AE$14:AE41))),"")</f>
        <v/>
      </c>
    </row>
    <row r="42" spans="1:31" ht="30" customHeight="1" x14ac:dyDescent="0.2">
      <c r="A42" s="19" t="str">
        <f>IF(F42="","",LEFT($D$3,3)&amp;"-"&amp;TEXT(COUNTIF(F$14:F42,"?*"),"00"))</f>
        <v/>
      </c>
      <c r="B42" s="5"/>
      <c r="C42" s="6" t="str">
        <f t="shared" si="0"/>
        <v/>
      </c>
      <c r="D42" s="5"/>
      <c r="E42" s="5"/>
      <c r="F42" s="5"/>
      <c r="G42" s="5"/>
      <c r="H42" s="5"/>
      <c r="I42" s="5"/>
      <c r="J42" s="5"/>
      <c r="K42" s="15"/>
      <c r="L42" s="5"/>
      <c r="M42" s="15"/>
      <c r="N42" s="5"/>
      <c r="O42" s="15"/>
      <c r="P42" s="19" t="str">
        <f t="shared" si="1"/>
        <v/>
      </c>
      <c r="Q42" s="19" t="str">
        <f t="shared" si="2"/>
        <v/>
      </c>
      <c r="R42" s="19" t="str">
        <f t="shared" si="3"/>
        <v/>
      </c>
      <c r="S42" s="5"/>
      <c r="T42" s="5"/>
      <c r="U42" s="5"/>
      <c r="V42" s="24"/>
      <c r="W42" s="15"/>
      <c r="X42" s="15"/>
      <c r="Y42" s="15"/>
      <c r="Z42" s="19" t="str">
        <f t="shared" si="4"/>
        <v/>
      </c>
      <c r="AA42" s="19" t="str">
        <f t="shared" si="5"/>
        <v/>
      </c>
      <c r="AB42" s="5"/>
      <c r="AC42" s="5"/>
      <c r="AE42" t="str">
        <f>IFERROR(INDEX(EqTag,_xlfn.AGGREGATE(15,6,(ROW(EqTag)-4)/((EqSys=$D$3)*(EqTag&lt;&gt;"")),ROWS($AE$14:AE42))),"")</f>
        <v/>
      </c>
    </row>
    <row r="43" spans="1:31" ht="30" customHeight="1" x14ac:dyDescent="0.2">
      <c r="A43" s="19" t="str">
        <f>IF(F43="","",LEFT($D$3,3)&amp;"-"&amp;TEXT(COUNTIF(F$14:F43,"?*"),"00"))</f>
        <v/>
      </c>
      <c r="B43" s="5"/>
      <c r="C43" s="6" t="str">
        <f t="shared" si="0"/>
        <v/>
      </c>
      <c r="D43" s="5"/>
      <c r="E43" s="5"/>
      <c r="F43" s="5"/>
      <c r="G43" s="5"/>
      <c r="H43" s="5"/>
      <c r="I43" s="5"/>
      <c r="J43" s="5"/>
      <c r="K43" s="15"/>
      <c r="L43" s="5"/>
      <c r="M43" s="15"/>
      <c r="N43" s="5"/>
      <c r="O43" s="15"/>
      <c r="P43" s="19" t="str">
        <f t="shared" si="1"/>
        <v/>
      </c>
      <c r="Q43" s="19" t="str">
        <f t="shared" si="2"/>
        <v/>
      </c>
      <c r="R43" s="19" t="str">
        <f t="shared" si="3"/>
        <v/>
      </c>
      <c r="S43" s="5"/>
      <c r="T43" s="5"/>
      <c r="U43" s="5"/>
      <c r="V43" s="24"/>
      <c r="W43" s="15"/>
      <c r="X43" s="15"/>
      <c r="Y43" s="15"/>
      <c r="Z43" s="19" t="str">
        <f t="shared" si="4"/>
        <v/>
      </c>
      <c r="AA43" s="19" t="str">
        <f t="shared" si="5"/>
        <v/>
      </c>
      <c r="AB43" s="5"/>
      <c r="AC43" s="5"/>
      <c r="AE43" t="str">
        <f>IFERROR(INDEX(EqTag,_xlfn.AGGREGATE(15,6,(ROW(EqTag)-4)/((EqSys=$D$3)*(EqTag&lt;&gt;"")),ROWS($AE$14:AE43))),"")</f>
        <v/>
      </c>
    </row>
    <row r="44" spans="1:31" ht="30" customHeight="1" x14ac:dyDescent="0.2">
      <c r="A44" s="19" t="str">
        <f>IF(F44="","",LEFT($D$3,3)&amp;"-"&amp;TEXT(COUNTIF(F$14:F44,"?*"),"00"))</f>
        <v/>
      </c>
      <c r="B44" s="5"/>
      <c r="C44" s="6" t="str">
        <f t="shared" si="0"/>
        <v/>
      </c>
      <c r="D44" s="5"/>
      <c r="E44" s="5"/>
      <c r="F44" s="5"/>
      <c r="G44" s="5"/>
      <c r="H44" s="5"/>
      <c r="I44" s="5"/>
      <c r="J44" s="5"/>
      <c r="K44" s="15"/>
      <c r="L44" s="5"/>
      <c r="M44" s="15"/>
      <c r="N44" s="5"/>
      <c r="O44" s="15"/>
      <c r="P44" s="19" t="str">
        <f t="shared" si="1"/>
        <v/>
      </c>
      <c r="Q44" s="19" t="str">
        <f t="shared" si="2"/>
        <v/>
      </c>
      <c r="R44" s="19" t="str">
        <f t="shared" si="3"/>
        <v/>
      </c>
      <c r="S44" s="5"/>
      <c r="T44" s="5"/>
      <c r="U44" s="5"/>
      <c r="V44" s="24"/>
      <c r="W44" s="15"/>
      <c r="X44" s="15"/>
      <c r="Y44" s="15"/>
      <c r="Z44" s="19" t="str">
        <f t="shared" si="4"/>
        <v/>
      </c>
      <c r="AA44" s="19" t="str">
        <f t="shared" si="5"/>
        <v/>
      </c>
      <c r="AB44" s="5"/>
      <c r="AC44" s="5"/>
      <c r="AE44" t="str">
        <f>IFERROR(INDEX(EqTag,_xlfn.AGGREGATE(15,6,(ROW(EqTag)-4)/((EqSys=$D$3)*(EqTag&lt;&gt;"")),ROWS($AE$14:AE44))),"")</f>
        <v/>
      </c>
    </row>
    <row r="45" spans="1:31" ht="30" customHeight="1" x14ac:dyDescent="0.2">
      <c r="A45" s="19" t="str">
        <f>IF(F45="","",LEFT($D$3,3)&amp;"-"&amp;TEXT(COUNTIF(F$14:F45,"?*"),"00"))</f>
        <v/>
      </c>
      <c r="B45" s="5"/>
      <c r="C45" s="6" t="str">
        <f t="shared" si="0"/>
        <v/>
      </c>
      <c r="D45" s="5"/>
      <c r="E45" s="5"/>
      <c r="F45" s="5"/>
      <c r="G45" s="5"/>
      <c r="H45" s="5"/>
      <c r="I45" s="5"/>
      <c r="J45" s="5"/>
      <c r="K45" s="15"/>
      <c r="L45" s="5"/>
      <c r="M45" s="15"/>
      <c r="N45" s="5"/>
      <c r="O45" s="15"/>
      <c r="P45" s="19" t="str">
        <f t="shared" si="1"/>
        <v/>
      </c>
      <c r="Q45" s="19" t="str">
        <f t="shared" si="2"/>
        <v/>
      </c>
      <c r="R45" s="19" t="str">
        <f t="shared" si="3"/>
        <v/>
      </c>
      <c r="S45" s="5"/>
      <c r="T45" s="5"/>
      <c r="U45" s="5"/>
      <c r="V45" s="24"/>
      <c r="W45" s="15"/>
      <c r="X45" s="15"/>
      <c r="Y45" s="15"/>
      <c r="Z45" s="19" t="str">
        <f t="shared" si="4"/>
        <v/>
      </c>
      <c r="AA45" s="19" t="str">
        <f t="shared" si="5"/>
        <v/>
      </c>
      <c r="AB45" s="5"/>
      <c r="AC45" s="5"/>
      <c r="AE45" t="str">
        <f>IFERROR(INDEX(EqTag,_xlfn.AGGREGATE(15,6,(ROW(EqTag)-4)/((EqSys=$D$3)*(EqTag&lt;&gt;"")),ROWS($AE$14:AE45))),"")</f>
        <v/>
      </c>
    </row>
    <row r="46" spans="1:31" ht="30" customHeight="1" x14ac:dyDescent="0.2">
      <c r="A46" s="19" t="str">
        <f>IF(F46="","",LEFT($D$3,3)&amp;"-"&amp;TEXT(COUNTIF(F$14:F46,"?*"),"00"))</f>
        <v/>
      </c>
      <c r="B46" s="5"/>
      <c r="C46" s="6" t="str">
        <f t="shared" ref="C46:C77" si="6">IF(B46="","",IFERROR(INDEX(EqTypeCol,MATCH(B46,EqTag,0)),"Tag not in register"))</f>
        <v/>
      </c>
      <c r="D46" s="5"/>
      <c r="E46" s="5"/>
      <c r="F46" s="5"/>
      <c r="G46" s="5"/>
      <c r="H46" s="5"/>
      <c r="I46" s="5"/>
      <c r="J46" s="5"/>
      <c r="K46" s="15"/>
      <c r="L46" s="5"/>
      <c r="M46" s="15"/>
      <c r="N46" s="5"/>
      <c r="O46" s="15"/>
      <c r="P46" s="19" t="str">
        <f t="shared" ref="P46:P77" si="7">IF(OR(K46="",M46="",O46=""),"",(--TRIM(LEFT(K46,2)))*(--TRIM(LEFT(M46,2)))*(--TRIM(LEFT(O46,2))))</f>
        <v/>
      </c>
      <c r="Q46" s="19" t="str">
        <f t="shared" ref="Q46:Q77" si="8">IF(OR(K46="",M46="",O46=""),"",INDEX(APGrid,COUNTIF(APS,"&gt;"&amp;(--TRIM(LEFT(K46,2))))*5+COUNTIF(APO,"&gt;"&amp;(--TRIM(LEFT(M46,2))))+1,COUNTIF(APD,"&gt;"&amp;(--TRIM(LEFT(O46,2))))+1))</f>
        <v/>
      </c>
      <c r="R46" s="19" t="str">
        <f t="shared" ref="R46:R77" si="9">IF(P46="","",IF(OR((--TRIM(LEFT(K46,2)))&gt;=SThr,P46&gt;=RPNThr,Q46="H"),"Yes","No"))</f>
        <v/>
      </c>
      <c r="S46" s="5"/>
      <c r="T46" s="5"/>
      <c r="U46" s="5"/>
      <c r="V46" s="24"/>
      <c r="W46" s="15"/>
      <c r="X46" s="15"/>
      <c r="Y46" s="15"/>
      <c r="Z46" s="19" t="str">
        <f t="shared" ref="Z46:Z77" si="10">IF(OR(W46="",X46="",Y46=""),"",(--TRIM(LEFT(W46,2)))*(--TRIM(LEFT(X46,2)))*(--TRIM(LEFT(Y46,2))))</f>
        <v/>
      </c>
      <c r="AA46" s="19" t="str">
        <f t="shared" ref="AA46:AA77" si="11">IF(OR(W46="",X46="",Y46=""),"",INDEX(APGrid,COUNTIF(APS,"&gt;"&amp;(--TRIM(LEFT(W46,2))))*5+COUNTIF(APO,"&gt;"&amp;(--TRIM(LEFT(X46,2))))+1,COUNTIF(APD,"&gt;"&amp;(--TRIM(LEFT(Y46,2))))+1))</f>
        <v/>
      </c>
      <c r="AB46" s="5"/>
      <c r="AC46" s="5"/>
      <c r="AE46" t="str">
        <f>IFERROR(INDEX(EqTag,_xlfn.AGGREGATE(15,6,(ROW(EqTag)-4)/((EqSys=$D$3)*(EqTag&lt;&gt;"")),ROWS($AE$14:AE46))),"")</f>
        <v/>
      </c>
    </row>
    <row r="47" spans="1:31" ht="30" customHeight="1" x14ac:dyDescent="0.2">
      <c r="A47" s="19" t="str">
        <f>IF(F47="","",LEFT($D$3,3)&amp;"-"&amp;TEXT(COUNTIF(F$14:F47,"?*"),"00"))</f>
        <v/>
      </c>
      <c r="B47" s="5"/>
      <c r="C47" s="6" t="str">
        <f t="shared" si="6"/>
        <v/>
      </c>
      <c r="D47" s="5"/>
      <c r="E47" s="5"/>
      <c r="F47" s="5"/>
      <c r="G47" s="5"/>
      <c r="H47" s="5"/>
      <c r="I47" s="5"/>
      <c r="J47" s="5"/>
      <c r="K47" s="15"/>
      <c r="L47" s="5"/>
      <c r="M47" s="15"/>
      <c r="N47" s="5"/>
      <c r="O47" s="15"/>
      <c r="P47" s="19" t="str">
        <f t="shared" si="7"/>
        <v/>
      </c>
      <c r="Q47" s="19" t="str">
        <f t="shared" si="8"/>
        <v/>
      </c>
      <c r="R47" s="19" t="str">
        <f t="shared" si="9"/>
        <v/>
      </c>
      <c r="S47" s="5"/>
      <c r="T47" s="5"/>
      <c r="U47" s="5"/>
      <c r="V47" s="24"/>
      <c r="W47" s="15"/>
      <c r="X47" s="15"/>
      <c r="Y47" s="15"/>
      <c r="Z47" s="19" t="str">
        <f t="shared" si="10"/>
        <v/>
      </c>
      <c r="AA47" s="19" t="str">
        <f t="shared" si="11"/>
        <v/>
      </c>
      <c r="AB47" s="5"/>
      <c r="AC47" s="5"/>
      <c r="AE47" t="str">
        <f>IFERROR(INDEX(EqTag,_xlfn.AGGREGATE(15,6,(ROW(EqTag)-4)/((EqSys=$D$3)*(EqTag&lt;&gt;"")),ROWS($AE$14:AE47))),"")</f>
        <v/>
      </c>
    </row>
    <row r="48" spans="1:31" ht="30" customHeight="1" x14ac:dyDescent="0.2">
      <c r="A48" s="19" t="str">
        <f>IF(F48="","",LEFT($D$3,3)&amp;"-"&amp;TEXT(COUNTIF(F$14:F48,"?*"),"00"))</f>
        <v/>
      </c>
      <c r="B48" s="5"/>
      <c r="C48" s="6" t="str">
        <f t="shared" si="6"/>
        <v/>
      </c>
      <c r="D48" s="5"/>
      <c r="E48" s="5"/>
      <c r="F48" s="5"/>
      <c r="G48" s="5"/>
      <c r="H48" s="5"/>
      <c r="I48" s="5"/>
      <c r="J48" s="5"/>
      <c r="K48" s="15"/>
      <c r="L48" s="5"/>
      <c r="M48" s="15"/>
      <c r="N48" s="5"/>
      <c r="O48" s="15"/>
      <c r="P48" s="19" t="str">
        <f t="shared" si="7"/>
        <v/>
      </c>
      <c r="Q48" s="19" t="str">
        <f t="shared" si="8"/>
        <v/>
      </c>
      <c r="R48" s="19" t="str">
        <f t="shared" si="9"/>
        <v/>
      </c>
      <c r="S48" s="5"/>
      <c r="T48" s="5"/>
      <c r="U48" s="5"/>
      <c r="V48" s="24"/>
      <c r="W48" s="15"/>
      <c r="X48" s="15"/>
      <c r="Y48" s="15"/>
      <c r="Z48" s="19" t="str">
        <f t="shared" si="10"/>
        <v/>
      </c>
      <c r="AA48" s="19" t="str">
        <f t="shared" si="11"/>
        <v/>
      </c>
      <c r="AB48" s="5"/>
      <c r="AC48" s="5"/>
      <c r="AE48" t="str">
        <f>IFERROR(INDEX(EqTag,_xlfn.AGGREGATE(15,6,(ROW(EqTag)-4)/((EqSys=$D$3)*(EqTag&lt;&gt;"")),ROWS($AE$14:AE48))),"")</f>
        <v/>
      </c>
    </row>
    <row r="49" spans="1:31" ht="30" customHeight="1" x14ac:dyDescent="0.2">
      <c r="A49" s="19" t="str">
        <f>IF(F49="","",LEFT($D$3,3)&amp;"-"&amp;TEXT(COUNTIF(F$14:F49,"?*"),"00"))</f>
        <v/>
      </c>
      <c r="B49" s="5"/>
      <c r="C49" s="6" t="str">
        <f t="shared" si="6"/>
        <v/>
      </c>
      <c r="D49" s="5"/>
      <c r="E49" s="5"/>
      <c r="F49" s="5"/>
      <c r="G49" s="5"/>
      <c r="H49" s="5"/>
      <c r="I49" s="5"/>
      <c r="J49" s="5"/>
      <c r="K49" s="15"/>
      <c r="L49" s="5"/>
      <c r="M49" s="15"/>
      <c r="N49" s="5"/>
      <c r="O49" s="15"/>
      <c r="P49" s="19" t="str">
        <f t="shared" si="7"/>
        <v/>
      </c>
      <c r="Q49" s="19" t="str">
        <f t="shared" si="8"/>
        <v/>
      </c>
      <c r="R49" s="19" t="str">
        <f t="shared" si="9"/>
        <v/>
      </c>
      <c r="S49" s="5"/>
      <c r="T49" s="5"/>
      <c r="U49" s="5"/>
      <c r="V49" s="24"/>
      <c r="W49" s="15"/>
      <c r="X49" s="15"/>
      <c r="Y49" s="15"/>
      <c r="Z49" s="19" t="str">
        <f t="shared" si="10"/>
        <v/>
      </c>
      <c r="AA49" s="19" t="str">
        <f t="shared" si="11"/>
        <v/>
      </c>
      <c r="AB49" s="5"/>
      <c r="AC49" s="5"/>
      <c r="AE49" t="str">
        <f>IFERROR(INDEX(EqTag,_xlfn.AGGREGATE(15,6,(ROW(EqTag)-4)/((EqSys=$D$3)*(EqTag&lt;&gt;"")),ROWS($AE$14:AE49))),"")</f>
        <v/>
      </c>
    </row>
    <row r="50" spans="1:31" ht="30" customHeight="1" x14ac:dyDescent="0.2">
      <c r="A50" s="19" t="str">
        <f>IF(F50="","",LEFT($D$3,3)&amp;"-"&amp;TEXT(COUNTIF(F$14:F50,"?*"),"00"))</f>
        <v/>
      </c>
      <c r="B50" s="5"/>
      <c r="C50" s="6" t="str">
        <f t="shared" si="6"/>
        <v/>
      </c>
      <c r="D50" s="5"/>
      <c r="E50" s="5"/>
      <c r="F50" s="5"/>
      <c r="G50" s="5"/>
      <c r="H50" s="5"/>
      <c r="I50" s="5"/>
      <c r="J50" s="5"/>
      <c r="K50" s="15"/>
      <c r="L50" s="5"/>
      <c r="M50" s="15"/>
      <c r="N50" s="5"/>
      <c r="O50" s="15"/>
      <c r="P50" s="19" t="str">
        <f t="shared" si="7"/>
        <v/>
      </c>
      <c r="Q50" s="19" t="str">
        <f t="shared" si="8"/>
        <v/>
      </c>
      <c r="R50" s="19" t="str">
        <f t="shared" si="9"/>
        <v/>
      </c>
      <c r="S50" s="5"/>
      <c r="T50" s="5"/>
      <c r="U50" s="5"/>
      <c r="V50" s="24"/>
      <c r="W50" s="15"/>
      <c r="X50" s="15"/>
      <c r="Y50" s="15"/>
      <c r="Z50" s="19" t="str">
        <f t="shared" si="10"/>
        <v/>
      </c>
      <c r="AA50" s="19" t="str">
        <f t="shared" si="11"/>
        <v/>
      </c>
      <c r="AB50" s="5"/>
      <c r="AC50" s="5"/>
      <c r="AE50" t="str">
        <f>IFERROR(INDEX(EqTag,_xlfn.AGGREGATE(15,6,(ROW(EqTag)-4)/((EqSys=$D$3)*(EqTag&lt;&gt;"")),ROWS($AE$14:AE50))),"")</f>
        <v/>
      </c>
    </row>
    <row r="51" spans="1:31" ht="30" customHeight="1" x14ac:dyDescent="0.2">
      <c r="A51" s="19" t="str">
        <f>IF(F51="","",LEFT($D$3,3)&amp;"-"&amp;TEXT(COUNTIF(F$14:F51,"?*"),"00"))</f>
        <v/>
      </c>
      <c r="B51" s="5"/>
      <c r="C51" s="6" t="str">
        <f t="shared" si="6"/>
        <v/>
      </c>
      <c r="D51" s="5"/>
      <c r="E51" s="5"/>
      <c r="F51" s="5"/>
      <c r="G51" s="5"/>
      <c r="H51" s="5"/>
      <c r="I51" s="5"/>
      <c r="J51" s="5"/>
      <c r="K51" s="15"/>
      <c r="L51" s="5"/>
      <c r="M51" s="15"/>
      <c r="N51" s="5"/>
      <c r="O51" s="15"/>
      <c r="P51" s="19" t="str">
        <f t="shared" si="7"/>
        <v/>
      </c>
      <c r="Q51" s="19" t="str">
        <f t="shared" si="8"/>
        <v/>
      </c>
      <c r="R51" s="19" t="str">
        <f t="shared" si="9"/>
        <v/>
      </c>
      <c r="S51" s="5"/>
      <c r="T51" s="5"/>
      <c r="U51" s="5"/>
      <c r="V51" s="24"/>
      <c r="W51" s="15"/>
      <c r="X51" s="15"/>
      <c r="Y51" s="15"/>
      <c r="Z51" s="19" t="str">
        <f t="shared" si="10"/>
        <v/>
      </c>
      <c r="AA51" s="19" t="str">
        <f t="shared" si="11"/>
        <v/>
      </c>
      <c r="AB51" s="5"/>
      <c r="AC51" s="5"/>
      <c r="AE51" t="str">
        <f>IFERROR(INDEX(EqTag,_xlfn.AGGREGATE(15,6,(ROW(EqTag)-4)/((EqSys=$D$3)*(EqTag&lt;&gt;"")),ROWS($AE$14:AE51))),"")</f>
        <v/>
      </c>
    </row>
    <row r="52" spans="1:31" ht="30" customHeight="1" x14ac:dyDescent="0.2">
      <c r="A52" s="19" t="str">
        <f>IF(F52="","",LEFT($D$3,3)&amp;"-"&amp;TEXT(COUNTIF(F$14:F52,"?*"),"00"))</f>
        <v/>
      </c>
      <c r="B52" s="5"/>
      <c r="C52" s="6" t="str">
        <f t="shared" si="6"/>
        <v/>
      </c>
      <c r="D52" s="5"/>
      <c r="E52" s="5"/>
      <c r="F52" s="5"/>
      <c r="G52" s="5"/>
      <c r="H52" s="5"/>
      <c r="I52" s="5"/>
      <c r="J52" s="5"/>
      <c r="K52" s="15"/>
      <c r="L52" s="5"/>
      <c r="M52" s="15"/>
      <c r="N52" s="5"/>
      <c r="O52" s="15"/>
      <c r="P52" s="19" t="str">
        <f t="shared" si="7"/>
        <v/>
      </c>
      <c r="Q52" s="19" t="str">
        <f t="shared" si="8"/>
        <v/>
      </c>
      <c r="R52" s="19" t="str">
        <f t="shared" si="9"/>
        <v/>
      </c>
      <c r="S52" s="5"/>
      <c r="T52" s="5"/>
      <c r="U52" s="5"/>
      <c r="V52" s="24"/>
      <c r="W52" s="15"/>
      <c r="X52" s="15"/>
      <c r="Y52" s="15"/>
      <c r="Z52" s="19" t="str">
        <f t="shared" si="10"/>
        <v/>
      </c>
      <c r="AA52" s="19" t="str">
        <f t="shared" si="11"/>
        <v/>
      </c>
      <c r="AB52" s="5"/>
      <c r="AC52" s="5"/>
      <c r="AE52" t="str">
        <f>IFERROR(INDEX(EqTag,_xlfn.AGGREGATE(15,6,(ROW(EqTag)-4)/((EqSys=$D$3)*(EqTag&lt;&gt;"")),ROWS($AE$14:AE52))),"")</f>
        <v/>
      </c>
    </row>
    <row r="53" spans="1:31" ht="30" customHeight="1" x14ac:dyDescent="0.2">
      <c r="A53" s="19" t="str">
        <f>IF(F53="","",LEFT($D$3,3)&amp;"-"&amp;TEXT(COUNTIF(F$14:F53,"?*"),"00"))</f>
        <v/>
      </c>
      <c r="B53" s="5"/>
      <c r="C53" s="6" t="str">
        <f t="shared" si="6"/>
        <v/>
      </c>
      <c r="D53" s="5"/>
      <c r="E53" s="5"/>
      <c r="F53" s="5"/>
      <c r="G53" s="5"/>
      <c r="H53" s="5"/>
      <c r="I53" s="5"/>
      <c r="J53" s="5"/>
      <c r="K53" s="15"/>
      <c r="L53" s="5"/>
      <c r="M53" s="15"/>
      <c r="N53" s="5"/>
      <c r="O53" s="15"/>
      <c r="P53" s="19" t="str">
        <f t="shared" si="7"/>
        <v/>
      </c>
      <c r="Q53" s="19" t="str">
        <f t="shared" si="8"/>
        <v/>
      </c>
      <c r="R53" s="19" t="str">
        <f t="shared" si="9"/>
        <v/>
      </c>
      <c r="S53" s="5"/>
      <c r="T53" s="5"/>
      <c r="U53" s="5"/>
      <c r="V53" s="24"/>
      <c r="W53" s="15"/>
      <c r="X53" s="15"/>
      <c r="Y53" s="15"/>
      <c r="Z53" s="19" t="str">
        <f t="shared" si="10"/>
        <v/>
      </c>
      <c r="AA53" s="19" t="str">
        <f t="shared" si="11"/>
        <v/>
      </c>
      <c r="AB53" s="5"/>
      <c r="AC53" s="5"/>
      <c r="AE53" t="str">
        <f>IFERROR(INDEX(EqTag,_xlfn.AGGREGATE(15,6,(ROW(EqTag)-4)/((EqSys=$D$3)*(EqTag&lt;&gt;"")),ROWS($AE$14:AE53))),"")</f>
        <v/>
      </c>
    </row>
    <row r="54" spans="1:31" ht="30" customHeight="1" x14ac:dyDescent="0.2">
      <c r="A54" s="19" t="str">
        <f>IF(F54="","",LEFT($D$3,3)&amp;"-"&amp;TEXT(COUNTIF(F$14:F54,"?*"),"00"))</f>
        <v/>
      </c>
      <c r="B54" s="5"/>
      <c r="C54" s="6" t="str">
        <f t="shared" si="6"/>
        <v/>
      </c>
      <c r="D54" s="5"/>
      <c r="E54" s="5"/>
      <c r="F54" s="5"/>
      <c r="G54" s="5"/>
      <c r="H54" s="5"/>
      <c r="I54" s="5"/>
      <c r="J54" s="5"/>
      <c r="K54" s="15"/>
      <c r="L54" s="5"/>
      <c r="M54" s="15"/>
      <c r="N54" s="5"/>
      <c r="O54" s="15"/>
      <c r="P54" s="19" t="str">
        <f t="shared" si="7"/>
        <v/>
      </c>
      <c r="Q54" s="19" t="str">
        <f t="shared" si="8"/>
        <v/>
      </c>
      <c r="R54" s="19" t="str">
        <f t="shared" si="9"/>
        <v/>
      </c>
      <c r="S54" s="5"/>
      <c r="T54" s="5"/>
      <c r="U54" s="5"/>
      <c r="V54" s="24"/>
      <c r="W54" s="15"/>
      <c r="X54" s="15"/>
      <c r="Y54" s="15"/>
      <c r="Z54" s="19" t="str">
        <f t="shared" si="10"/>
        <v/>
      </c>
      <c r="AA54" s="19" t="str">
        <f t="shared" si="11"/>
        <v/>
      </c>
      <c r="AB54" s="5"/>
      <c r="AC54" s="5"/>
      <c r="AE54" t="str">
        <f>IFERROR(INDEX(EqTag,_xlfn.AGGREGATE(15,6,(ROW(EqTag)-4)/((EqSys=$D$3)*(EqTag&lt;&gt;"")),ROWS($AE$14:AE54))),"")</f>
        <v/>
      </c>
    </row>
    <row r="55" spans="1:31" ht="30" customHeight="1" x14ac:dyDescent="0.2">
      <c r="A55" s="19" t="str">
        <f>IF(F55="","",LEFT($D$3,3)&amp;"-"&amp;TEXT(COUNTIF(F$14:F55,"?*"),"00"))</f>
        <v/>
      </c>
      <c r="B55" s="5"/>
      <c r="C55" s="6" t="str">
        <f t="shared" si="6"/>
        <v/>
      </c>
      <c r="D55" s="5"/>
      <c r="E55" s="5"/>
      <c r="F55" s="5"/>
      <c r="G55" s="5"/>
      <c r="H55" s="5"/>
      <c r="I55" s="5"/>
      <c r="J55" s="5"/>
      <c r="K55" s="15"/>
      <c r="L55" s="5"/>
      <c r="M55" s="15"/>
      <c r="N55" s="5"/>
      <c r="O55" s="15"/>
      <c r="P55" s="19" t="str">
        <f t="shared" si="7"/>
        <v/>
      </c>
      <c r="Q55" s="19" t="str">
        <f t="shared" si="8"/>
        <v/>
      </c>
      <c r="R55" s="19" t="str">
        <f t="shared" si="9"/>
        <v/>
      </c>
      <c r="S55" s="5"/>
      <c r="T55" s="5"/>
      <c r="U55" s="5"/>
      <c r="V55" s="24"/>
      <c r="W55" s="15"/>
      <c r="X55" s="15"/>
      <c r="Y55" s="15"/>
      <c r="Z55" s="19" t="str">
        <f t="shared" si="10"/>
        <v/>
      </c>
      <c r="AA55" s="19" t="str">
        <f t="shared" si="11"/>
        <v/>
      </c>
      <c r="AB55" s="5"/>
      <c r="AC55" s="5"/>
      <c r="AE55" t="str">
        <f>IFERROR(INDEX(EqTag,_xlfn.AGGREGATE(15,6,(ROW(EqTag)-4)/((EqSys=$D$3)*(EqTag&lt;&gt;"")),ROWS($AE$14:AE55))),"")</f>
        <v/>
      </c>
    </row>
    <row r="56" spans="1:31" ht="30" customHeight="1" x14ac:dyDescent="0.2">
      <c r="A56" s="19" t="str">
        <f>IF(F56="","",LEFT($D$3,3)&amp;"-"&amp;TEXT(COUNTIF(F$14:F56,"?*"),"00"))</f>
        <v/>
      </c>
      <c r="B56" s="5"/>
      <c r="C56" s="6" t="str">
        <f t="shared" si="6"/>
        <v/>
      </c>
      <c r="D56" s="5"/>
      <c r="E56" s="5"/>
      <c r="F56" s="5"/>
      <c r="G56" s="5"/>
      <c r="H56" s="5"/>
      <c r="I56" s="5"/>
      <c r="J56" s="5"/>
      <c r="K56" s="15"/>
      <c r="L56" s="5"/>
      <c r="M56" s="15"/>
      <c r="N56" s="5"/>
      <c r="O56" s="15"/>
      <c r="P56" s="19" t="str">
        <f t="shared" si="7"/>
        <v/>
      </c>
      <c r="Q56" s="19" t="str">
        <f t="shared" si="8"/>
        <v/>
      </c>
      <c r="R56" s="19" t="str">
        <f t="shared" si="9"/>
        <v/>
      </c>
      <c r="S56" s="5"/>
      <c r="T56" s="5"/>
      <c r="U56" s="5"/>
      <c r="V56" s="24"/>
      <c r="W56" s="15"/>
      <c r="X56" s="15"/>
      <c r="Y56" s="15"/>
      <c r="Z56" s="19" t="str">
        <f t="shared" si="10"/>
        <v/>
      </c>
      <c r="AA56" s="19" t="str">
        <f t="shared" si="11"/>
        <v/>
      </c>
      <c r="AB56" s="5"/>
      <c r="AC56" s="5"/>
      <c r="AE56" t="str">
        <f>IFERROR(INDEX(EqTag,_xlfn.AGGREGATE(15,6,(ROW(EqTag)-4)/((EqSys=$D$3)*(EqTag&lt;&gt;"")),ROWS($AE$14:AE56))),"")</f>
        <v/>
      </c>
    </row>
    <row r="57" spans="1:31" ht="30" customHeight="1" x14ac:dyDescent="0.2">
      <c r="A57" s="19" t="str">
        <f>IF(F57="","",LEFT($D$3,3)&amp;"-"&amp;TEXT(COUNTIF(F$14:F57,"?*"),"00"))</f>
        <v/>
      </c>
      <c r="B57" s="5"/>
      <c r="C57" s="6" t="str">
        <f t="shared" si="6"/>
        <v/>
      </c>
      <c r="D57" s="5"/>
      <c r="E57" s="5"/>
      <c r="F57" s="5"/>
      <c r="G57" s="5"/>
      <c r="H57" s="5"/>
      <c r="I57" s="5"/>
      <c r="J57" s="5"/>
      <c r="K57" s="15"/>
      <c r="L57" s="5"/>
      <c r="M57" s="15"/>
      <c r="N57" s="5"/>
      <c r="O57" s="15"/>
      <c r="P57" s="19" t="str">
        <f t="shared" si="7"/>
        <v/>
      </c>
      <c r="Q57" s="19" t="str">
        <f t="shared" si="8"/>
        <v/>
      </c>
      <c r="R57" s="19" t="str">
        <f t="shared" si="9"/>
        <v/>
      </c>
      <c r="S57" s="5"/>
      <c r="T57" s="5"/>
      <c r="U57" s="5"/>
      <c r="V57" s="24"/>
      <c r="W57" s="15"/>
      <c r="X57" s="15"/>
      <c r="Y57" s="15"/>
      <c r="Z57" s="19" t="str">
        <f t="shared" si="10"/>
        <v/>
      </c>
      <c r="AA57" s="19" t="str">
        <f t="shared" si="11"/>
        <v/>
      </c>
      <c r="AB57" s="5"/>
      <c r="AC57" s="5"/>
      <c r="AE57" t="str">
        <f>IFERROR(INDEX(EqTag,_xlfn.AGGREGATE(15,6,(ROW(EqTag)-4)/((EqSys=$D$3)*(EqTag&lt;&gt;"")),ROWS($AE$14:AE57))),"")</f>
        <v/>
      </c>
    </row>
    <row r="58" spans="1:31" ht="30" customHeight="1" x14ac:dyDescent="0.2">
      <c r="A58" s="19" t="str">
        <f>IF(F58="","",LEFT($D$3,3)&amp;"-"&amp;TEXT(COUNTIF(F$14:F58,"?*"),"00"))</f>
        <v/>
      </c>
      <c r="B58" s="5"/>
      <c r="C58" s="6" t="str">
        <f t="shared" si="6"/>
        <v/>
      </c>
      <c r="D58" s="5"/>
      <c r="E58" s="5"/>
      <c r="F58" s="5"/>
      <c r="G58" s="5"/>
      <c r="H58" s="5"/>
      <c r="I58" s="5"/>
      <c r="J58" s="5"/>
      <c r="K58" s="15"/>
      <c r="L58" s="5"/>
      <c r="M58" s="15"/>
      <c r="N58" s="5"/>
      <c r="O58" s="15"/>
      <c r="P58" s="19" t="str">
        <f t="shared" si="7"/>
        <v/>
      </c>
      <c r="Q58" s="19" t="str">
        <f t="shared" si="8"/>
        <v/>
      </c>
      <c r="R58" s="19" t="str">
        <f t="shared" si="9"/>
        <v/>
      </c>
      <c r="S58" s="5"/>
      <c r="T58" s="5"/>
      <c r="U58" s="5"/>
      <c r="V58" s="24"/>
      <c r="W58" s="15"/>
      <c r="X58" s="15"/>
      <c r="Y58" s="15"/>
      <c r="Z58" s="19" t="str">
        <f t="shared" si="10"/>
        <v/>
      </c>
      <c r="AA58" s="19" t="str">
        <f t="shared" si="11"/>
        <v/>
      </c>
      <c r="AB58" s="5"/>
      <c r="AC58" s="5"/>
      <c r="AE58" t="str">
        <f>IFERROR(INDEX(EqTag,_xlfn.AGGREGATE(15,6,(ROW(EqTag)-4)/((EqSys=$D$3)*(EqTag&lt;&gt;"")),ROWS($AE$14:AE58))),"")</f>
        <v/>
      </c>
    </row>
    <row r="59" spans="1:31" ht="30" customHeight="1" x14ac:dyDescent="0.2">
      <c r="A59" s="19" t="str">
        <f>IF(F59="","",LEFT($D$3,3)&amp;"-"&amp;TEXT(COUNTIF(F$14:F59,"?*"),"00"))</f>
        <v/>
      </c>
      <c r="B59" s="5"/>
      <c r="C59" s="6" t="str">
        <f t="shared" si="6"/>
        <v/>
      </c>
      <c r="D59" s="5"/>
      <c r="E59" s="5"/>
      <c r="F59" s="5"/>
      <c r="G59" s="5"/>
      <c r="H59" s="5"/>
      <c r="I59" s="5"/>
      <c r="J59" s="5"/>
      <c r="K59" s="15"/>
      <c r="L59" s="5"/>
      <c r="M59" s="15"/>
      <c r="N59" s="5"/>
      <c r="O59" s="15"/>
      <c r="P59" s="19" t="str">
        <f t="shared" si="7"/>
        <v/>
      </c>
      <c r="Q59" s="19" t="str">
        <f t="shared" si="8"/>
        <v/>
      </c>
      <c r="R59" s="19" t="str">
        <f t="shared" si="9"/>
        <v/>
      </c>
      <c r="S59" s="5"/>
      <c r="T59" s="5"/>
      <c r="U59" s="5"/>
      <c r="V59" s="24"/>
      <c r="W59" s="15"/>
      <c r="X59" s="15"/>
      <c r="Y59" s="15"/>
      <c r="Z59" s="19" t="str">
        <f t="shared" si="10"/>
        <v/>
      </c>
      <c r="AA59" s="19" t="str">
        <f t="shared" si="11"/>
        <v/>
      </c>
      <c r="AB59" s="5"/>
      <c r="AC59" s="5"/>
      <c r="AE59" t="str">
        <f>IFERROR(INDEX(EqTag,_xlfn.AGGREGATE(15,6,(ROW(EqTag)-4)/((EqSys=$D$3)*(EqTag&lt;&gt;"")),ROWS($AE$14:AE59))),"")</f>
        <v/>
      </c>
    </row>
    <row r="60" spans="1:31" ht="30" customHeight="1" x14ac:dyDescent="0.2">
      <c r="A60" s="19" t="str">
        <f>IF(F60="","",LEFT($D$3,3)&amp;"-"&amp;TEXT(COUNTIF(F$14:F60,"?*"),"00"))</f>
        <v/>
      </c>
      <c r="B60" s="5"/>
      <c r="C60" s="6" t="str">
        <f t="shared" si="6"/>
        <v/>
      </c>
      <c r="D60" s="5"/>
      <c r="E60" s="5"/>
      <c r="F60" s="5"/>
      <c r="G60" s="5"/>
      <c r="H60" s="5"/>
      <c r="I60" s="5"/>
      <c r="J60" s="5"/>
      <c r="K60" s="15"/>
      <c r="L60" s="5"/>
      <c r="M60" s="15"/>
      <c r="N60" s="5"/>
      <c r="O60" s="15"/>
      <c r="P60" s="19" t="str">
        <f t="shared" si="7"/>
        <v/>
      </c>
      <c r="Q60" s="19" t="str">
        <f t="shared" si="8"/>
        <v/>
      </c>
      <c r="R60" s="19" t="str">
        <f t="shared" si="9"/>
        <v/>
      </c>
      <c r="S60" s="5"/>
      <c r="T60" s="5"/>
      <c r="U60" s="5"/>
      <c r="V60" s="24"/>
      <c r="W60" s="15"/>
      <c r="X60" s="15"/>
      <c r="Y60" s="15"/>
      <c r="Z60" s="19" t="str">
        <f t="shared" si="10"/>
        <v/>
      </c>
      <c r="AA60" s="19" t="str">
        <f t="shared" si="11"/>
        <v/>
      </c>
      <c r="AB60" s="5"/>
      <c r="AC60" s="5"/>
      <c r="AE60" t="str">
        <f>IFERROR(INDEX(EqTag,_xlfn.AGGREGATE(15,6,(ROW(EqTag)-4)/((EqSys=$D$3)*(EqTag&lt;&gt;"")),ROWS($AE$14:AE60))),"")</f>
        <v/>
      </c>
    </row>
    <row r="61" spans="1:31" ht="30" customHeight="1" x14ac:dyDescent="0.2">
      <c r="A61" s="19" t="str">
        <f>IF(F61="","",LEFT($D$3,3)&amp;"-"&amp;TEXT(COUNTIF(F$14:F61,"?*"),"00"))</f>
        <v/>
      </c>
      <c r="B61" s="5"/>
      <c r="C61" s="6" t="str">
        <f t="shared" si="6"/>
        <v/>
      </c>
      <c r="D61" s="5"/>
      <c r="E61" s="5"/>
      <c r="F61" s="5"/>
      <c r="G61" s="5"/>
      <c r="H61" s="5"/>
      <c r="I61" s="5"/>
      <c r="J61" s="5"/>
      <c r="K61" s="15"/>
      <c r="L61" s="5"/>
      <c r="M61" s="15"/>
      <c r="N61" s="5"/>
      <c r="O61" s="15"/>
      <c r="P61" s="19" t="str">
        <f t="shared" si="7"/>
        <v/>
      </c>
      <c r="Q61" s="19" t="str">
        <f t="shared" si="8"/>
        <v/>
      </c>
      <c r="R61" s="19" t="str">
        <f t="shared" si="9"/>
        <v/>
      </c>
      <c r="S61" s="5"/>
      <c r="T61" s="5"/>
      <c r="U61" s="5"/>
      <c r="V61" s="24"/>
      <c r="W61" s="15"/>
      <c r="X61" s="15"/>
      <c r="Y61" s="15"/>
      <c r="Z61" s="19" t="str">
        <f t="shared" si="10"/>
        <v/>
      </c>
      <c r="AA61" s="19" t="str">
        <f t="shared" si="11"/>
        <v/>
      </c>
      <c r="AB61" s="5"/>
      <c r="AC61" s="5"/>
      <c r="AE61" t="str">
        <f>IFERROR(INDEX(EqTag,_xlfn.AGGREGATE(15,6,(ROW(EqTag)-4)/((EqSys=$D$3)*(EqTag&lt;&gt;"")),ROWS($AE$14:AE61))),"")</f>
        <v/>
      </c>
    </row>
    <row r="62" spans="1:31" ht="30" customHeight="1" x14ac:dyDescent="0.2">
      <c r="A62" s="19" t="str">
        <f>IF(F62="","",LEFT($D$3,3)&amp;"-"&amp;TEXT(COUNTIF(F$14:F62,"?*"),"00"))</f>
        <v/>
      </c>
      <c r="B62" s="5"/>
      <c r="C62" s="6" t="str">
        <f t="shared" si="6"/>
        <v/>
      </c>
      <c r="D62" s="5"/>
      <c r="E62" s="5"/>
      <c r="F62" s="5"/>
      <c r="G62" s="5"/>
      <c r="H62" s="5"/>
      <c r="I62" s="5"/>
      <c r="J62" s="5"/>
      <c r="K62" s="15"/>
      <c r="L62" s="5"/>
      <c r="M62" s="15"/>
      <c r="N62" s="5"/>
      <c r="O62" s="15"/>
      <c r="P62" s="19" t="str">
        <f t="shared" si="7"/>
        <v/>
      </c>
      <c r="Q62" s="19" t="str">
        <f t="shared" si="8"/>
        <v/>
      </c>
      <c r="R62" s="19" t="str">
        <f t="shared" si="9"/>
        <v/>
      </c>
      <c r="S62" s="5"/>
      <c r="T62" s="5"/>
      <c r="U62" s="5"/>
      <c r="V62" s="24"/>
      <c r="W62" s="15"/>
      <c r="X62" s="15"/>
      <c r="Y62" s="15"/>
      <c r="Z62" s="19" t="str">
        <f t="shared" si="10"/>
        <v/>
      </c>
      <c r="AA62" s="19" t="str">
        <f t="shared" si="11"/>
        <v/>
      </c>
      <c r="AB62" s="5"/>
      <c r="AC62" s="5"/>
      <c r="AE62" t="str">
        <f>IFERROR(INDEX(EqTag,_xlfn.AGGREGATE(15,6,(ROW(EqTag)-4)/((EqSys=$D$3)*(EqTag&lt;&gt;"")),ROWS($AE$14:AE62))),"")</f>
        <v/>
      </c>
    </row>
    <row r="63" spans="1:31" ht="30" customHeight="1" x14ac:dyDescent="0.2">
      <c r="A63" s="19" t="str">
        <f>IF(F63="","",LEFT($D$3,3)&amp;"-"&amp;TEXT(COUNTIF(F$14:F63,"?*"),"00"))</f>
        <v/>
      </c>
      <c r="B63" s="5"/>
      <c r="C63" s="6" t="str">
        <f t="shared" si="6"/>
        <v/>
      </c>
      <c r="D63" s="5"/>
      <c r="E63" s="5"/>
      <c r="F63" s="5"/>
      <c r="G63" s="5"/>
      <c r="H63" s="5"/>
      <c r="I63" s="5"/>
      <c r="J63" s="5"/>
      <c r="K63" s="15"/>
      <c r="L63" s="5"/>
      <c r="M63" s="15"/>
      <c r="N63" s="5"/>
      <c r="O63" s="15"/>
      <c r="P63" s="19" t="str">
        <f t="shared" si="7"/>
        <v/>
      </c>
      <c r="Q63" s="19" t="str">
        <f t="shared" si="8"/>
        <v/>
      </c>
      <c r="R63" s="19" t="str">
        <f t="shared" si="9"/>
        <v/>
      </c>
      <c r="S63" s="5"/>
      <c r="T63" s="5"/>
      <c r="U63" s="5"/>
      <c r="V63" s="24"/>
      <c r="W63" s="15"/>
      <c r="X63" s="15"/>
      <c r="Y63" s="15"/>
      <c r="Z63" s="19" t="str">
        <f t="shared" si="10"/>
        <v/>
      </c>
      <c r="AA63" s="19" t="str">
        <f t="shared" si="11"/>
        <v/>
      </c>
      <c r="AB63" s="5"/>
      <c r="AC63" s="5"/>
      <c r="AE63" t="str">
        <f>IFERROR(INDEX(EqTag,_xlfn.AGGREGATE(15,6,(ROW(EqTag)-4)/((EqSys=$D$3)*(EqTag&lt;&gt;"")),ROWS($AE$14:AE63))),"")</f>
        <v/>
      </c>
    </row>
    <row r="64" spans="1:31" ht="30" customHeight="1" x14ac:dyDescent="0.2">
      <c r="A64" s="19" t="str">
        <f>IF(F64="","",LEFT($D$3,3)&amp;"-"&amp;TEXT(COUNTIF(F$14:F64,"?*"),"00"))</f>
        <v/>
      </c>
      <c r="B64" s="5"/>
      <c r="C64" s="6" t="str">
        <f t="shared" si="6"/>
        <v/>
      </c>
      <c r="D64" s="5"/>
      <c r="E64" s="5"/>
      <c r="F64" s="5"/>
      <c r="G64" s="5"/>
      <c r="H64" s="5"/>
      <c r="I64" s="5"/>
      <c r="J64" s="5"/>
      <c r="K64" s="15"/>
      <c r="L64" s="5"/>
      <c r="M64" s="15"/>
      <c r="N64" s="5"/>
      <c r="O64" s="15"/>
      <c r="P64" s="19" t="str">
        <f t="shared" si="7"/>
        <v/>
      </c>
      <c r="Q64" s="19" t="str">
        <f t="shared" si="8"/>
        <v/>
      </c>
      <c r="R64" s="19" t="str">
        <f t="shared" si="9"/>
        <v/>
      </c>
      <c r="S64" s="5"/>
      <c r="T64" s="5"/>
      <c r="U64" s="5"/>
      <c r="V64" s="24"/>
      <c r="W64" s="15"/>
      <c r="X64" s="15"/>
      <c r="Y64" s="15"/>
      <c r="Z64" s="19" t="str">
        <f t="shared" si="10"/>
        <v/>
      </c>
      <c r="AA64" s="19" t="str">
        <f t="shared" si="11"/>
        <v/>
      </c>
      <c r="AB64" s="5"/>
      <c r="AC64" s="5"/>
      <c r="AE64" t="str">
        <f>IFERROR(INDEX(EqTag,_xlfn.AGGREGATE(15,6,(ROW(EqTag)-4)/((EqSys=$D$3)*(EqTag&lt;&gt;"")),ROWS($AE$14:AE64))),"")</f>
        <v/>
      </c>
    </row>
    <row r="65" spans="1:31" ht="30" customHeight="1" x14ac:dyDescent="0.2">
      <c r="A65" s="19" t="str">
        <f>IF(F65="","",LEFT($D$3,3)&amp;"-"&amp;TEXT(COUNTIF(F$14:F65,"?*"),"00"))</f>
        <v/>
      </c>
      <c r="B65" s="5"/>
      <c r="C65" s="6" t="str">
        <f t="shared" si="6"/>
        <v/>
      </c>
      <c r="D65" s="5"/>
      <c r="E65" s="5"/>
      <c r="F65" s="5"/>
      <c r="G65" s="5"/>
      <c r="H65" s="5"/>
      <c r="I65" s="5"/>
      <c r="J65" s="5"/>
      <c r="K65" s="15"/>
      <c r="L65" s="5"/>
      <c r="M65" s="15"/>
      <c r="N65" s="5"/>
      <c r="O65" s="15"/>
      <c r="P65" s="19" t="str">
        <f t="shared" si="7"/>
        <v/>
      </c>
      <c r="Q65" s="19" t="str">
        <f t="shared" si="8"/>
        <v/>
      </c>
      <c r="R65" s="19" t="str">
        <f t="shared" si="9"/>
        <v/>
      </c>
      <c r="S65" s="5"/>
      <c r="T65" s="5"/>
      <c r="U65" s="5"/>
      <c r="V65" s="24"/>
      <c r="W65" s="15"/>
      <c r="X65" s="15"/>
      <c r="Y65" s="15"/>
      <c r="Z65" s="19" t="str">
        <f t="shared" si="10"/>
        <v/>
      </c>
      <c r="AA65" s="19" t="str">
        <f t="shared" si="11"/>
        <v/>
      </c>
      <c r="AB65" s="5"/>
      <c r="AC65" s="5"/>
      <c r="AE65" t="str">
        <f>IFERROR(INDEX(EqTag,_xlfn.AGGREGATE(15,6,(ROW(EqTag)-4)/((EqSys=$D$3)*(EqTag&lt;&gt;"")),ROWS($AE$14:AE65))),"")</f>
        <v/>
      </c>
    </row>
    <row r="66" spans="1:31" ht="30" customHeight="1" x14ac:dyDescent="0.2">
      <c r="A66" s="19" t="str">
        <f>IF(F66="","",LEFT($D$3,3)&amp;"-"&amp;TEXT(COUNTIF(F$14:F66,"?*"),"00"))</f>
        <v/>
      </c>
      <c r="B66" s="5"/>
      <c r="C66" s="6" t="str">
        <f t="shared" si="6"/>
        <v/>
      </c>
      <c r="D66" s="5"/>
      <c r="E66" s="5"/>
      <c r="F66" s="5"/>
      <c r="G66" s="5"/>
      <c r="H66" s="5"/>
      <c r="I66" s="5"/>
      <c r="J66" s="5"/>
      <c r="K66" s="15"/>
      <c r="L66" s="5"/>
      <c r="M66" s="15"/>
      <c r="N66" s="5"/>
      <c r="O66" s="15"/>
      <c r="P66" s="19" t="str">
        <f t="shared" si="7"/>
        <v/>
      </c>
      <c r="Q66" s="19" t="str">
        <f t="shared" si="8"/>
        <v/>
      </c>
      <c r="R66" s="19" t="str">
        <f t="shared" si="9"/>
        <v/>
      </c>
      <c r="S66" s="5"/>
      <c r="T66" s="5"/>
      <c r="U66" s="5"/>
      <c r="V66" s="24"/>
      <c r="W66" s="15"/>
      <c r="X66" s="15"/>
      <c r="Y66" s="15"/>
      <c r="Z66" s="19" t="str">
        <f t="shared" si="10"/>
        <v/>
      </c>
      <c r="AA66" s="19" t="str">
        <f t="shared" si="11"/>
        <v/>
      </c>
      <c r="AB66" s="5"/>
      <c r="AC66" s="5"/>
      <c r="AE66" t="str">
        <f>IFERROR(INDEX(EqTag,_xlfn.AGGREGATE(15,6,(ROW(EqTag)-4)/((EqSys=$D$3)*(EqTag&lt;&gt;"")),ROWS($AE$14:AE66))),"")</f>
        <v/>
      </c>
    </row>
    <row r="67" spans="1:31" ht="30" customHeight="1" x14ac:dyDescent="0.2">
      <c r="A67" s="19" t="str">
        <f>IF(F67="","",LEFT($D$3,3)&amp;"-"&amp;TEXT(COUNTIF(F$14:F67,"?*"),"00"))</f>
        <v/>
      </c>
      <c r="B67" s="5"/>
      <c r="C67" s="6" t="str">
        <f t="shared" si="6"/>
        <v/>
      </c>
      <c r="D67" s="5"/>
      <c r="E67" s="5"/>
      <c r="F67" s="5"/>
      <c r="G67" s="5"/>
      <c r="H67" s="5"/>
      <c r="I67" s="5"/>
      <c r="J67" s="5"/>
      <c r="K67" s="15"/>
      <c r="L67" s="5"/>
      <c r="M67" s="15"/>
      <c r="N67" s="5"/>
      <c r="O67" s="15"/>
      <c r="P67" s="19" t="str">
        <f t="shared" si="7"/>
        <v/>
      </c>
      <c r="Q67" s="19" t="str">
        <f t="shared" si="8"/>
        <v/>
      </c>
      <c r="R67" s="19" t="str">
        <f t="shared" si="9"/>
        <v/>
      </c>
      <c r="S67" s="5"/>
      <c r="T67" s="5"/>
      <c r="U67" s="5"/>
      <c r="V67" s="24"/>
      <c r="W67" s="15"/>
      <c r="X67" s="15"/>
      <c r="Y67" s="15"/>
      <c r="Z67" s="19" t="str">
        <f t="shared" si="10"/>
        <v/>
      </c>
      <c r="AA67" s="19" t="str">
        <f t="shared" si="11"/>
        <v/>
      </c>
      <c r="AB67" s="5"/>
      <c r="AC67" s="5"/>
      <c r="AE67" t="str">
        <f>IFERROR(INDEX(EqTag,_xlfn.AGGREGATE(15,6,(ROW(EqTag)-4)/((EqSys=$D$3)*(EqTag&lt;&gt;"")),ROWS($AE$14:AE67))),"")</f>
        <v/>
      </c>
    </row>
    <row r="68" spans="1:31" ht="30" customHeight="1" x14ac:dyDescent="0.2">
      <c r="A68" s="19" t="str">
        <f>IF(F68="","",LEFT($D$3,3)&amp;"-"&amp;TEXT(COUNTIF(F$14:F68,"?*"),"00"))</f>
        <v/>
      </c>
      <c r="B68" s="5"/>
      <c r="C68" s="6" t="str">
        <f t="shared" si="6"/>
        <v/>
      </c>
      <c r="D68" s="5"/>
      <c r="E68" s="5"/>
      <c r="F68" s="5"/>
      <c r="G68" s="5"/>
      <c r="H68" s="5"/>
      <c r="I68" s="5"/>
      <c r="J68" s="5"/>
      <c r="K68" s="15"/>
      <c r="L68" s="5"/>
      <c r="M68" s="15"/>
      <c r="N68" s="5"/>
      <c r="O68" s="15"/>
      <c r="P68" s="19" t="str">
        <f t="shared" si="7"/>
        <v/>
      </c>
      <c r="Q68" s="19" t="str">
        <f t="shared" si="8"/>
        <v/>
      </c>
      <c r="R68" s="19" t="str">
        <f t="shared" si="9"/>
        <v/>
      </c>
      <c r="S68" s="5"/>
      <c r="T68" s="5"/>
      <c r="U68" s="5"/>
      <c r="V68" s="24"/>
      <c r="W68" s="15"/>
      <c r="X68" s="15"/>
      <c r="Y68" s="15"/>
      <c r="Z68" s="19" t="str">
        <f t="shared" si="10"/>
        <v/>
      </c>
      <c r="AA68" s="19" t="str">
        <f t="shared" si="11"/>
        <v/>
      </c>
      <c r="AB68" s="5"/>
      <c r="AC68" s="5"/>
      <c r="AE68" t="str">
        <f>IFERROR(INDEX(EqTag,_xlfn.AGGREGATE(15,6,(ROW(EqTag)-4)/((EqSys=$D$3)*(EqTag&lt;&gt;"")),ROWS($AE$14:AE68))),"")</f>
        <v/>
      </c>
    </row>
    <row r="69" spans="1:31" ht="30" customHeight="1" x14ac:dyDescent="0.2">
      <c r="A69" s="19" t="str">
        <f>IF(F69="","",LEFT($D$3,3)&amp;"-"&amp;TEXT(COUNTIF(F$14:F69,"?*"),"00"))</f>
        <v/>
      </c>
      <c r="B69" s="5"/>
      <c r="C69" s="6" t="str">
        <f t="shared" si="6"/>
        <v/>
      </c>
      <c r="D69" s="5"/>
      <c r="E69" s="5"/>
      <c r="F69" s="5"/>
      <c r="G69" s="5"/>
      <c r="H69" s="5"/>
      <c r="I69" s="5"/>
      <c r="J69" s="5"/>
      <c r="K69" s="15"/>
      <c r="L69" s="5"/>
      <c r="M69" s="15"/>
      <c r="N69" s="5"/>
      <c r="O69" s="15"/>
      <c r="P69" s="19" t="str">
        <f t="shared" si="7"/>
        <v/>
      </c>
      <c r="Q69" s="19" t="str">
        <f t="shared" si="8"/>
        <v/>
      </c>
      <c r="R69" s="19" t="str">
        <f t="shared" si="9"/>
        <v/>
      </c>
      <c r="S69" s="5"/>
      <c r="T69" s="5"/>
      <c r="U69" s="5"/>
      <c r="V69" s="24"/>
      <c r="W69" s="15"/>
      <c r="X69" s="15"/>
      <c r="Y69" s="15"/>
      <c r="Z69" s="19" t="str">
        <f t="shared" si="10"/>
        <v/>
      </c>
      <c r="AA69" s="19" t="str">
        <f t="shared" si="11"/>
        <v/>
      </c>
      <c r="AB69" s="5"/>
      <c r="AC69" s="5"/>
      <c r="AE69" t="str">
        <f>IFERROR(INDEX(EqTag,_xlfn.AGGREGATE(15,6,(ROW(EqTag)-4)/((EqSys=$D$3)*(EqTag&lt;&gt;"")),ROWS($AE$14:AE69))),"")</f>
        <v/>
      </c>
    </row>
    <row r="70" spans="1:31" ht="30" customHeight="1" x14ac:dyDescent="0.2">
      <c r="A70" s="19" t="str">
        <f>IF(F70="","",LEFT($D$3,3)&amp;"-"&amp;TEXT(COUNTIF(F$14:F70,"?*"),"00"))</f>
        <v/>
      </c>
      <c r="B70" s="5"/>
      <c r="C70" s="6" t="str">
        <f t="shared" si="6"/>
        <v/>
      </c>
      <c r="D70" s="5"/>
      <c r="E70" s="5"/>
      <c r="F70" s="5"/>
      <c r="G70" s="5"/>
      <c r="H70" s="5"/>
      <c r="I70" s="5"/>
      <c r="J70" s="5"/>
      <c r="K70" s="15"/>
      <c r="L70" s="5"/>
      <c r="M70" s="15"/>
      <c r="N70" s="5"/>
      <c r="O70" s="15"/>
      <c r="P70" s="19" t="str">
        <f t="shared" si="7"/>
        <v/>
      </c>
      <c r="Q70" s="19" t="str">
        <f t="shared" si="8"/>
        <v/>
      </c>
      <c r="R70" s="19" t="str">
        <f t="shared" si="9"/>
        <v/>
      </c>
      <c r="S70" s="5"/>
      <c r="T70" s="5"/>
      <c r="U70" s="5"/>
      <c r="V70" s="24"/>
      <c r="W70" s="15"/>
      <c r="X70" s="15"/>
      <c r="Y70" s="15"/>
      <c r="Z70" s="19" t="str">
        <f t="shared" si="10"/>
        <v/>
      </c>
      <c r="AA70" s="19" t="str">
        <f t="shared" si="11"/>
        <v/>
      </c>
      <c r="AB70" s="5"/>
      <c r="AC70" s="5"/>
      <c r="AE70" t="str">
        <f>IFERROR(INDEX(EqTag,_xlfn.AGGREGATE(15,6,(ROW(EqTag)-4)/((EqSys=$D$3)*(EqTag&lt;&gt;"")),ROWS($AE$14:AE70))),"")</f>
        <v/>
      </c>
    </row>
    <row r="71" spans="1:31" ht="30" customHeight="1" x14ac:dyDescent="0.2">
      <c r="A71" s="19" t="str">
        <f>IF(F71="","",LEFT($D$3,3)&amp;"-"&amp;TEXT(COUNTIF(F$14:F71,"?*"),"00"))</f>
        <v/>
      </c>
      <c r="B71" s="5"/>
      <c r="C71" s="6" t="str">
        <f t="shared" si="6"/>
        <v/>
      </c>
      <c r="D71" s="5"/>
      <c r="E71" s="5"/>
      <c r="F71" s="5"/>
      <c r="G71" s="5"/>
      <c r="H71" s="5"/>
      <c r="I71" s="5"/>
      <c r="J71" s="5"/>
      <c r="K71" s="15"/>
      <c r="L71" s="5"/>
      <c r="M71" s="15"/>
      <c r="N71" s="5"/>
      <c r="O71" s="15"/>
      <c r="P71" s="19" t="str">
        <f t="shared" si="7"/>
        <v/>
      </c>
      <c r="Q71" s="19" t="str">
        <f t="shared" si="8"/>
        <v/>
      </c>
      <c r="R71" s="19" t="str">
        <f t="shared" si="9"/>
        <v/>
      </c>
      <c r="S71" s="5"/>
      <c r="T71" s="5"/>
      <c r="U71" s="5"/>
      <c r="V71" s="24"/>
      <c r="W71" s="15"/>
      <c r="X71" s="15"/>
      <c r="Y71" s="15"/>
      <c r="Z71" s="19" t="str">
        <f t="shared" si="10"/>
        <v/>
      </c>
      <c r="AA71" s="19" t="str">
        <f t="shared" si="11"/>
        <v/>
      </c>
      <c r="AB71" s="5"/>
      <c r="AC71" s="5"/>
      <c r="AE71" t="str">
        <f>IFERROR(INDEX(EqTag,_xlfn.AGGREGATE(15,6,(ROW(EqTag)-4)/((EqSys=$D$3)*(EqTag&lt;&gt;"")),ROWS($AE$14:AE71))),"")</f>
        <v/>
      </c>
    </row>
    <row r="72" spans="1:31" ht="30" customHeight="1" x14ac:dyDescent="0.2">
      <c r="A72" s="19" t="str">
        <f>IF(F72="","",LEFT($D$3,3)&amp;"-"&amp;TEXT(COUNTIF(F$14:F72,"?*"),"00"))</f>
        <v/>
      </c>
      <c r="B72" s="5"/>
      <c r="C72" s="6" t="str">
        <f t="shared" si="6"/>
        <v/>
      </c>
      <c r="D72" s="5"/>
      <c r="E72" s="5"/>
      <c r="F72" s="5"/>
      <c r="G72" s="5"/>
      <c r="H72" s="5"/>
      <c r="I72" s="5"/>
      <c r="J72" s="5"/>
      <c r="K72" s="15"/>
      <c r="L72" s="5"/>
      <c r="M72" s="15"/>
      <c r="N72" s="5"/>
      <c r="O72" s="15"/>
      <c r="P72" s="19" t="str">
        <f t="shared" si="7"/>
        <v/>
      </c>
      <c r="Q72" s="19" t="str">
        <f t="shared" si="8"/>
        <v/>
      </c>
      <c r="R72" s="19" t="str">
        <f t="shared" si="9"/>
        <v/>
      </c>
      <c r="S72" s="5"/>
      <c r="T72" s="5"/>
      <c r="U72" s="5"/>
      <c r="V72" s="24"/>
      <c r="W72" s="15"/>
      <c r="X72" s="15"/>
      <c r="Y72" s="15"/>
      <c r="Z72" s="19" t="str">
        <f t="shared" si="10"/>
        <v/>
      </c>
      <c r="AA72" s="19" t="str">
        <f t="shared" si="11"/>
        <v/>
      </c>
      <c r="AB72" s="5"/>
      <c r="AC72" s="5"/>
      <c r="AE72" t="str">
        <f>IFERROR(INDEX(EqTag,_xlfn.AGGREGATE(15,6,(ROW(EqTag)-4)/((EqSys=$D$3)*(EqTag&lt;&gt;"")),ROWS($AE$14:AE72))),"")</f>
        <v/>
      </c>
    </row>
    <row r="73" spans="1:31" ht="30" customHeight="1" x14ac:dyDescent="0.2">
      <c r="A73" s="19" t="str">
        <f>IF(F73="","",LEFT($D$3,3)&amp;"-"&amp;TEXT(COUNTIF(F$14:F73,"?*"),"00"))</f>
        <v/>
      </c>
      <c r="B73" s="5"/>
      <c r="C73" s="6" t="str">
        <f t="shared" si="6"/>
        <v/>
      </c>
      <c r="D73" s="5"/>
      <c r="E73" s="5"/>
      <c r="F73" s="5"/>
      <c r="G73" s="5"/>
      <c r="H73" s="5"/>
      <c r="I73" s="5"/>
      <c r="J73" s="5"/>
      <c r="K73" s="15"/>
      <c r="L73" s="5"/>
      <c r="M73" s="15"/>
      <c r="N73" s="5"/>
      <c r="O73" s="15"/>
      <c r="P73" s="19" t="str">
        <f t="shared" si="7"/>
        <v/>
      </c>
      <c r="Q73" s="19" t="str">
        <f t="shared" si="8"/>
        <v/>
      </c>
      <c r="R73" s="19" t="str">
        <f t="shared" si="9"/>
        <v/>
      </c>
      <c r="S73" s="5"/>
      <c r="T73" s="5"/>
      <c r="U73" s="5"/>
      <c r="V73" s="24"/>
      <c r="W73" s="15"/>
      <c r="X73" s="15"/>
      <c r="Y73" s="15"/>
      <c r="Z73" s="19" t="str">
        <f t="shared" si="10"/>
        <v/>
      </c>
      <c r="AA73" s="19" t="str">
        <f t="shared" si="11"/>
        <v/>
      </c>
      <c r="AB73" s="5"/>
      <c r="AC73" s="5"/>
      <c r="AE73" t="str">
        <f>IFERROR(INDEX(EqTag,_xlfn.AGGREGATE(15,6,(ROW(EqTag)-4)/((EqSys=$D$3)*(EqTag&lt;&gt;"")),ROWS($AE$14:AE73))),"")</f>
        <v/>
      </c>
    </row>
    <row r="74" spans="1:31" ht="30" customHeight="1" x14ac:dyDescent="0.2">
      <c r="A74" s="19" t="str">
        <f>IF(F74="","",LEFT($D$3,3)&amp;"-"&amp;TEXT(COUNTIF(F$14:F74,"?*"),"00"))</f>
        <v/>
      </c>
      <c r="B74" s="5"/>
      <c r="C74" s="6" t="str">
        <f t="shared" si="6"/>
        <v/>
      </c>
      <c r="D74" s="5"/>
      <c r="E74" s="5"/>
      <c r="F74" s="5"/>
      <c r="G74" s="5"/>
      <c r="H74" s="5"/>
      <c r="I74" s="5"/>
      <c r="J74" s="5"/>
      <c r="K74" s="15"/>
      <c r="L74" s="5"/>
      <c r="M74" s="15"/>
      <c r="N74" s="5"/>
      <c r="O74" s="15"/>
      <c r="P74" s="19" t="str">
        <f t="shared" si="7"/>
        <v/>
      </c>
      <c r="Q74" s="19" t="str">
        <f t="shared" si="8"/>
        <v/>
      </c>
      <c r="R74" s="19" t="str">
        <f t="shared" si="9"/>
        <v/>
      </c>
      <c r="S74" s="5"/>
      <c r="T74" s="5"/>
      <c r="U74" s="5"/>
      <c r="V74" s="24"/>
      <c r="W74" s="15"/>
      <c r="X74" s="15"/>
      <c r="Y74" s="15"/>
      <c r="Z74" s="19" t="str">
        <f t="shared" si="10"/>
        <v/>
      </c>
      <c r="AA74" s="19" t="str">
        <f t="shared" si="11"/>
        <v/>
      </c>
      <c r="AB74" s="5"/>
      <c r="AC74" s="5"/>
      <c r="AE74" t="str">
        <f>IFERROR(INDEX(EqTag,_xlfn.AGGREGATE(15,6,(ROW(EqTag)-4)/((EqSys=$D$3)*(EqTag&lt;&gt;"")),ROWS($AE$14:AE74))),"")</f>
        <v/>
      </c>
    </row>
    <row r="75" spans="1:31" ht="30" customHeight="1" x14ac:dyDescent="0.2">
      <c r="A75" s="19" t="str">
        <f>IF(F75="","",LEFT($D$3,3)&amp;"-"&amp;TEXT(COUNTIF(F$14:F75,"?*"),"00"))</f>
        <v/>
      </c>
      <c r="B75" s="5"/>
      <c r="C75" s="6" t="str">
        <f t="shared" si="6"/>
        <v/>
      </c>
      <c r="D75" s="5"/>
      <c r="E75" s="5"/>
      <c r="F75" s="5"/>
      <c r="G75" s="5"/>
      <c r="H75" s="5"/>
      <c r="I75" s="5"/>
      <c r="J75" s="5"/>
      <c r="K75" s="15"/>
      <c r="L75" s="5"/>
      <c r="M75" s="15"/>
      <c r="N75" s="5"/>
      <c r="O75" s="15"/>
      <c r="P75" s="19" t="str">
        <f t="shared" si="7"/>
        <v/>
      </c>
      <c r="Q75" s="19" t="str">
        <f t="shared" si="8"/>
        <v/>
      </c>
      <c r="R75" s="19" t="str">
        <f t="shared" si="9"/>
        <v/>
      </c>
      <c r="S75" s="5"/>
      <c r="T75" s="5"/>
      <c r="U75" s="5"/>
      <c r="V75" s="24"/>
      <c r="W75" s="15"/>
      <c r="X75" s="15"/>
      <c r="Y75" s="15"/>
      <c r="Z75" s="19" t="str">
        <f t="shared" si="10"/>
        <v/>
      </c>
      <c r="AA75" s="19" t="str">
        <f t="shared" si="11"/>
        <v/>
      </c>
      <c r="AB75" s="5"/>
      <c r="AC75" s="5"/>
      <c r="AE75" t="str">
        <f>IFERROR(INDEX(EqTag,_xlfn.AGGREGATE(15,6,(ROW(EqTag)-4)/((EqSys=$D$3)*(EqTag&lt;&gt;"")),ROWS($AE$14:AE75))),"")</f>
        <v/>
      </c>
    </row>
    <row r="76" spans="1:31" ht="30" customHeight="1" x14ac:dyDescent="0.2">
      <c r="A76" s="19" t="str">
        <f>IF(F76="","",LEFT($D$3,3)&amp;"-"&amp;TEXT(COUNTIF(F$14:F76,"?*"),"00"))</f>
        <v/>
      </c>
      <c r="B76" s="5"/>
      <c r="C76" s="6" t="str">
        <f t="shared" si="6"/>
        <v/>
      </c>
      <c r="D76" s="5"/>
      <c r="E76" s="5"/>
      <c r="F76" s="5"/>
      <c r="G76" s="5"/>
      <c r="H76" s="5"/>
      <c r="I76" s="5"/>
      <c r="J76" s="5"/>
      <c r="K76" s="15"/>
      <c r="L76" s="5"/>
      <c r="M76" s="15"/>
      <c r="N76" s="5"/>
      <c r="O76" s="15"/>
      <c r="P76" s="19" t="str">
        <f t="shared" si="7"/>
        <v/>
      </c>
      <c r="Q76" s="19" t="str">
        <f t="shared" si="8"/>
        <v/>
      </c>
      <c r="R76" s="19" t="str">
        <f t="shared" si="9"/>
        <v/>
      </c>
      <c r="S76" s="5"/>
      <c r="T76" s="5"/>
      <c r="U76" s="5"/>
      <c r="V76" s="24"/>
      <c r="W76" s="15"/>
      <c r="X76" s="15"/>
      <c r="Y76" s="15"/>
      <c r="Z76" s="19" t="str">
        <f t="shared" si="10"/>
        <v/>
      </c>
      <c r="AA76" s="19" t="str">
        <f t="shared" si="11"/>
        <v/>
      </c>
      <c r="AB76" s="5"/>
      <c r="AC76" s="5"/>
      <c r="AE76" t="str">
        <f>IFERROR(INDEX(EqTag,_xlfn.AGGREGATE(15,6,(ROW(EqTag)-4)/((EqSys=$D$3)*(EqTag&lt;&gt;"")),ROWS($AE$14:AE76))),"")</f>
        <v/>
      </c>
    </row>
    <row r="77" spans="1:31" ht="30" customHeight="1" x14ac:dyDescent="0.2">
      <c r="A77" s="19" t="str">
        <f>IF(F77="","",LEFT($D$3,3)&amp;"-"&amp;TEXT(COUNTIF(F$14:F77,"?*"),"00"))</f>
        <v/>
      </c>
      <c r="B77" s="5"/>
      <c r="C77" s="6" t="str">
        <f t="shared" si="6"/>
        <v/>
      </c>
      <c r="D77" s="5"/>
      <c r="E77" s="5"/>
      <c r="F77" s="5"/>
      <c r="G77" s="5"/>
      <c r="H77" s="5"/>
      <c r="I77" s="5"/>
      <c r="J77" s="5"/>
      <c r="K77" s="15"/>
      <c r="L77" s="5"/>
      <c r="M77" s="15"/>
      <c r="N77" s="5"/>
      <c r="O77" s="15"/>
      <c r="P77" s="19" t="str">
        <f t="shared" si="7"/>
        <v/>
      </c>
      <c r="Q77" s="19" t="str">
        <f t="shared" si="8"/>
        <v/>
      </c>
      <c r="R77" s="19" t="str">
        <f t="shared" si="9"/>
        <v/>
      </c>
      <c r="S77" s="5"/>
      <c r="T77" s="5"/>
      <c r="U77" s="5"/>
      <c r="V77" s="24"/>
      <c r="W77" s="15"/>
      <c r="X77" s="15"/>
      <c r="Y77" s="15"/>
      <c r="Z77" s="19" t="str">
        <f t="shared" si="10"/>
        <v/>
      </c>
      <c r="AA77" s="19" t="str">
        <f t="shared" si="11"/>
        <v/>
      </c>
      <c r="AB77" s="5"/>
      <c r="AC77" s="5"/>
      <c r="AE77" t="str">
        <f>IFERROR(INDEX(EqTag,_xlfn.AGGREGATE(15,6,(ROW(EqTag)-4)/((EqSys=$D$3)*(EqTag&lt;&gt;"")),ROWS($AE$14:AE77))),"")</f>
        <v/>
      </c>
    </row>
    <row r="78" spans="1:31" ht="30" customHeight="1" x14ac:dyDescent="0.2">
      <c r="A78" s="19" t="str">
        <f>IF(F78="","",LEFT($D$3,3)&amp;"-"&amp;TEXT(COUNTIF(F$14:F78,"?*"),"00"))</f>
        <v/>
      </c>
      <c r="B78" s="5"/>
      <c r="C78" s="6" t="str">
        <f t="shared" ref="C78:C109" si="12">IF(B78="","",IFERROR(INDEX(EqTypeCol,MATCH(B78,EqTag,0)),"Tag not in register"))</f>
        <v/>
      </c>
      <c r="D78" s="5"/>
      <c r="E78" s="5"/>
      <c r="F78" s="5"/>
      <c r="G78" s="5"/>
      <c r="H78" s="5"/>
      <c r="I78" s="5"/>
      <c r="J78" s="5"/>
      <c r="K78" s="15"/>
      <c r="L78" s="5"/>
      <c r="M78" s="15"/>
      <c r="N78" s="5"/>
      <c r="O78" s="15"/>
      <c r="P78" s="19" t="str">
        <f t="shared" ref="P78:P109" si="13">IF(OR(K78="",M78="",O78=""),"",(--TRIM(LEFT(K78,2)))*(--TRIM(LEFT(M78,2)))*(--TRIM(LEFT(O78,2))))</f>
        <v/>
      </c>
      <c r="Q78" s="19" t="str">
        <f t="shared" ref="Q78:Q109" si="14">IF(OR(K78="",M78="",O78=""),"",INDEX(APGrid,COUNTIF(APS,"&gt;"&amp;(--TRIM(LEFT(K78,2))))*5+COUNTIF(APO,"&gt;"&amp;(--TRIM(LEFT(M78,2))))+1,COUNTIF(APD,"&gt;"&amp;(--TRIM(LEFT(O78,2))))+1))</f>
        <v/>
      </c>
      <c r="R78" s="19" t="str">
        <f t="shared" ref="R78:R109" si="15">IF(P78="","",IF(OR((--TRIM(LEFT(K78,2)))&gt;=SThr,P78&gt;=RPNThr,Q78="H"),"Yes","No"))</f>
        <v/>
      </c>
      <c r="S78" s="5"/>
      <c r="T78" s="5"/>
      <c r="U78" s="5"/>
      <c r="V78" s="24"/>
      <c r="W78" s="15"/>
      <c r="X78" s="15"/>
      <c r="Y78" s="15"/>
      <c r="Z78" s="19" t="str">
        <f t="shared" ref="Z78:Z109" si="16">IF(OR(W78="",X78="",Y78=""),"",(--TRIM(LEFT(W78,2)))*(--TRIM(LEFT(X78,2)))*(--TRIM(LEFT(Y78,2))))</f>
        <v/>
      </c>
      <c r="AA78" s="19" t="str">
        <f t="shared" ref="AA78:AA109" si="17">IF(OR(W78="",X78="",Y78=""),"",INDEX(APGrid,COUNTIF(APS,"&gt;"&amp;(--TRIM(LEFT(W78,2))))*5+COUNTIF(APO,"&gt;"&amp;(--TRIM(LEFT(X78,2))))+1,COUNTIF(APD,"&gt;"&amp;(--TRIM(LEFT(Y78,2))))+1))</f>
        <v/>
      </c>
      <c r="AB78" s="5"/>
      <c r="AC78" s="5"/>
      <c r="AE78" t="str">
        <f>IFERROR(INDEX(EqTag,_xlfn.AGGREGATE(15,6,(ROW(EqTag)-4)/((EqSys=$D$3)*(EqTag&lt;&gt;"")),ROWS($AE$14:AE78))),"")</f>
        <v/>
      </c>
    </row>
    <row r="79" spans="1:31" ht="30" customHeight="1" x14ac:dyDescent="0.2">
      <c r="A79" s="19" t="str">
        <f>IF(F79="","",LEFT($D$3,3)&amp;"-"&amp;TEXT(COUNTIF(F$14:F79,"?*"),"00"))</f>
        <v/>
      </c>
      <c r="B79" s="5"/>
      <c r="C79" s="6" t="str">
        <f t="shared" si="12"/>
        <v/>
      </c>
      <c r="D79" s="5"/>
      <c r="E79" s="5"/>
      <c r="F79" s="5"/>
      <c r="G79" s="5"/>
      <c r="H79" s="5"/>
      <c r="I79" s="5"/>
      <c r="J79" s="5"/>
      <c r="K79" s="15"/>
      <c r="L79" s="5"/>
      <c r="M79" s="15"/>
      <c r="N79" s="5"/>
      <c r="O79" s="15"/>
      <c r="P79" s="19" t="str">
        <f t="shared" si="13"/>
        <v/>
      </c>
      <c r="Q79" s="19" t="str">
        <f t="shared" si="14"/>
        <v/>
      </c>
      <c r="R79" s="19" t="str">
        <f t="shared" si="15"/>
        <v/>
      </c>
      <c r="S79" s="5"/>
      <c r="T79" s="5"/>
      <c r="U79" s="5"/>
      <c r="V79" s="24"/>
      <c r="W79" s="15"/>
      <c r="X79" s="15"/>
      <c r="Y79" s="15"/>
      <c r="Z79" s="19" t="str">
        <f t="shared" si="16"/>
        <v/>
      </c>
      <c r="AA79" s="19" t="str">
        <f t="shared" si="17"/>
        <v/>
      </c>
      <c r="AB79" s="5"/>
      <c r="AC79" s="5"/>
      <c r="AE79" t="str">
        <f>IFERROR(INDEX(EqTag,_xlfn.AGGREGATE(15,6,(ROW(EqTag)-4)/((EqSys=$D$3)*(EqTag&lt;&gt;"")),ROWS($AE$14:AE79))),"")</f>
        <v/>
      </c>
    </row>
    <row r="80" spans="1:31" ht="30" customHeight="1" x14ac:dyDescent="0.2">
      <c r="A80" s="19" t="str">
        <f>IF(F80="","",LEFT($D$3,3)&amp;"-"&amp;TEXT(COUNTIF(F$14:F80,"?*"),"00"))</f>
        <v/>
      </c>
      <c r="B80" s="5"/>
      <c r="C80" s="6" t="str">
        <f t="shared" si="12"/>
        <v/>
      </c>
      <c r="D80" s="5"/>
      <c r="E80" s="5"/>
      <c r="F80" s="5"/>
      <c r="G80" s="5"/>
      <c r="H80" s="5"/>
      <c r="I80" s="5"/>
      <c r="J80" s="5"/>
      <c r="K80" s="15"/>
      <c r="L80" s="5"/>
      <c r="M80" s="15"/>
      <c r="N80" s="5"/>
      <c r="O80" s="15"/>
      <c r="P80" s="19" t="str">
        <f t="shared" si="13"/>
        <v/>
      </c>
      <c r="Q80" s="19" t="str">
        <f t="shared" si="14"/>
        <v/>
      </c>
      <c r="R80" s="19" t="str">
        <f t="shared" si="15"/>
        <v/>
      </c>
      <c r="S80" s="5"/>
      <c r="T80" s="5"/>
      <c r="U80" s="5"/>
      <c r="V80" s="24"/>
      <c r="W80" s="15"/>
      <c r="X80" s="15"/>
      <c r="Y80" s="15"/>
      <c r="Z80" s="19" t="str">
        <f t="shared" si="16"/>
        <v/>
      </c>
      <c r="AA80" s="19" t="str">
        <f t="shared" si="17"/>
        <v/>
      </c>
      <c r="AB80" s="5"/>
      <c r="AC80" s="5"/>
      <c r="AE80" t="str">
        <f>IFERROR(INDEX(EqTag,_xlfn.AGGREGATE(15,6,(ROW(EqTag)-4)/((EqSys=$D$3)*(EqTag&lt;&gt;"")),ROWS($AE$14:AE80))),"")</f>
        <v/>
      </c>
    </row>
    <row r="81" spans="1:31" ht="30" customHeight="1" x14ac:dyDescent="0.2">
      <c r="A81" s="19" t="str">
        <f>IF(F81="","",LEFT($D$3,3)&amp;"-"&amp;TEXT(COUNTIF(F$14:F81,"?*"),"00"))</f>
        <v/>
      </c>
      <c r="B81" s="5"/>
      <c r="C81" s="6" t="str">
        <f t="shared" si="12"/>
        <v/>
      </c>
      <c r="D81" s="5"/>
      <c r="E81" s="5"/>
      <c r="F81" s="5"/>
      <c r="G81" s="5"/>
      <c r="H81" s="5"/>
      <c r="I81" s="5"/>
      <c r="J81" s="5"/>
      <c r="K81" s="15"/>
      <c r="L81" s="5"/>
      <c r="M81" s="15"/>
      <c r="N81" s="5"/>
      <c r="O81" s="15"/>
      <c r="P81" s="19" t="str">
        <f t="shared" si="13"/>
        <v/>
      </c>
      <c r="Q81" s="19" t="str">
        <f t="shared" si="14"/>
        <v/>
      </c>
      <c r="R81" s="19" t="str">
        <f t="shared" si="15"/>
        <v/>
      </c>
      <c r="S81" s="5"/>
      <c r="T81" s="5"/>
      <c r="U81" s="5"/>
      <c r="V81" s="24"/>
      <c r="W81" s="15"/>
      <c r="X81" s="15"/>
      <c r="Y81" s="15"/>
      <c r="Z81" s="19" t="str">
        <f t="shared" si="16"/>
        <v/>
      </c>
      <c r="AA81" s="19" t="str">
        <f t="shared" si="17"/>
        <v/>
      </c>
      <c r="AB81" s="5"/>
      <c r="AC81" s="5"/>
      <c r="AE81" t="str">
        <f>IFERROR(INDEX(EqTag,_xlfn.AGGREGATE(15,6,(ROW(EqTag)-4)/((EqSys=$D$3)*(EqTag&lt;&gt;"")),ROWS($AE$14:AE81))),"")</f>
        <v/>
      </c>
    </row>
    <row r="82" spans="1:31" ht="30" customHeight="1" x14ac:dyDescent="0.2">
      <c r="A82" s="19" t="str">
        <f>IF(F82="","",LEFT($D$3,3)&amp;"-"&amp;TEXT(COUNTIF(F$14:F82,"?*"),"00"))</f>
        <v/>
      </c>
      <c r="B82" s="5"/>
      <c r="C82" s="6" t="str">
        <f t="shared" si="12"/>
        <v/>
      </c>
      <c r="D82" s="5"/>
      <c r="E82" s="5"/>
      <c r="F82" s="5"/>
      <c r="G82" s="5"/>
      <c r="H82" s="5"/>
      <c r="I82" s="5"/>
      <c r="J82" s="5"/>
      <c r="K82" s="15"/>
      <c r="L82" s="5"/>
      <c r="M82" s="15"/>
      <c r="N82" s="5"/>
      <c r="O82" s="15"/>
      <c r="P82" s="19" t="str">
        <f t="shared" si="13"/>
        <v/>
      </c>
      <c r="Q82" s="19" t="str">
        <f t="shared" si="14"/>
        <v/>
      </c>
      <c r="R82" s="19" t="str">
        <f t="shared" si="15"/>
        <v/>
      </c>
      <c r="S82" s="5"/>
      <c r="T82" s="5"/>
      <c r="U82" s="5"/>
      <c r="V82" s="24"/>
      <c r="W82" s="15"/>
      <c r="X82" s="15"/>
      <c r="Y82" s="15"/>
      <c r="Z82" s="19" t="str">
        <f t="shared" si="16"/>
        <v/>
      </c>
      <c r="AA82" s="19" t="str">
        <f t="shared" si="17"/>
        <v/>
      </c>
      <c r="AB82" s="5"/>
      <c r="AC82" s="5"/>
      <c r="AE82" t="str">
        <f>IFERROR(INDEX(EqTag,_xlfn.AGGREGATE(15,6,(ROW(EqTag)-4)/((EqSys=$D$3)*(EqTag&lt;&gt;"")),ROWS($AE$14:AE82))),"")</f>
        <v/>
      </c>
    </row>
    <row r="83" spans="1:31" ht="30" customHeight="1" x14ac:dyDescent="0.2">
      <c r="A83" s="19" t="str">
        <f>IF(F83="","",LEFT($D$3,3)&amp;"-"&amp;TEXT(COUNTIF(F$14:F83,"?*"),"00"))</f>
        <v/>
      </c>
      <c r="B83" s="5"/>
      <c r="C83" s="6" t="str">
        <f t="shared" si="12"/>
        <v/>
      </c>
      <c r="D83" s="5"/>
      <c r="E83" s="5"/>
      <c r="F83" s="5"/>
      <c r="G83" s="5"/>
      <c r="H83" s="5"/>
      <c r="I83" s="5"/>
      <c r="J83" s="5"/>
      <c r="K83" s="15"/>
      <c r="L83" s="5"/>
      <c r="M83" s="15"/>
      <c r="N83" s="5"/>
      <c r="O83" s="15"/>
      <c r="P83" s="19" t="str">
        <f t="shared" si="13"/>
        <v/>
      </c>
      <c r="Q83" s="19" t="str">
        <f t="shared" si="14"/>
        <v/>
      </c>
      <c r="R83" s="19" t="str">
        <f t="shared" si="15"/>
        <v/>
      </c>
      <c r="S83" s="5"/>
      <c r="T83" s="5"/>
      <c r="U83" s="5"/>
      <c r="V83" s="24"/>
      <c r="W83" s="15"/>
      <c r="X83" s="15"/>
      <c r="Y83" s="15"/>
      <c r="Z83" s="19" t="str">
        <f t="shared" si="16"/>
        <v/>
      </c>
      <c r="AA83" s="19" t="str">
        <f t="shared" si="17"/>
        <v/>
      </c>
      <c r="AB83" s="5"/>
      <c r="AC83" s="5"/>
      <c r="AE83" t="str">
        <f>IFERROR(INDEX(EqTag,_xlfn.AGGREGATE(15,6,(ROW(EqTag)-4)/((EqSys=$D$3)*(EqTag&lt;&gt;"")),ROWS($AE$14:AE83))),"")</f>
        <v/>
      </c>
    </row>
    <row r="84" spans="1:31" ht="30" customHeight="1" x14ac:dyDescent="0.2">
      <c r="A84" s="19" t="str">
        <f>IF(F84="","",LEFT($D$3,3)&amp;"-"&amp;TEXT(COUNTIF(F$14:F84,"?*"),"00"))</f>
        <v/>
      </c>
      <c r="B84" s="5"/>
      <c r="C84" s="6" t="str">
        <f t="shared" si="12"/>
        <v/>
      </c>
      <c r="D84" s="5"/>
      <c r="E84" s="5"/>
      <c r="F84" s="5"/>
      <c r="G84" s="5"/>
      <c r="H84" s="5"/>
      <c r="I84" s="5"/>
      <c r="J84" s="5"/>
      <c r="K84" s="15"/>
      <c r="L84" s="5"/>
      <c r="M84" s="15"/>
      <c r="N84" s="5"/>
      <c r="O84" s="15"/>
      <c r="P84" s="19" t="str">
        <f t="shared" si="13"/>
        <v/>
      </c>
      <c r="Q84" s="19" t="str">
        <f t="shared" si="14"/>
        <v/>
      </c>
      <c r="R84" s="19" t="str">
        <f t="shared" si="15"/>
        <v/>
      </c>
      <c r="S84" s="5"/>
      <c r="T84" s="5"/>
      <c r="U84" s="5"/>
      <c r="V84" s="24"/>
      <c r="W84" s="15"/>
      <c r="X84" s="15"/>
      <c r="Y84" s="15"/>
      <c r="Z84" s="19" t="str">
        <f t="shared" si="16"/>
        <v/>
      </c>
      <c r="AA84" s="19" t="str">
        <f t="shared" si="17"/>
        <v/>
      </c>
      <c r="AB84" s="5"/>
      <c r="AC84" s="5"/>
      <c r="AE84" t="str">
        <f>IFERROR(INDEX(EqTag,_xlfn.AGGREGATE(15,6,(ROW(EqTag)-4)/((EqSys=$D$3)*(EqTag&lt;&gt;"")),ROWS($AE$14:AE84))),"")</f>
        <v/>
      </c>
    </row>
    <row r="85" spans="1:31" ht="30" customHeight="1" x14ac:dyDescent="0.2">
      <c r="A85" s="19" t="str">
        <f>IF(F85="","",LEFT($D$3,3)&amp;"-"&amp;TEXT(COUNTIF(F$14:F85,"?*"),"00"))</f>
        <v/>
      </c>
      <c r="B85" s="5"/>
      <c r="C85" s="6" t="str">
        <f t="shared" si="12"/>
        <v/>
      </c>
      <c r="D85" s="5"/>
      <c r="E85" s="5"/>
      <c r="F85" s="5"/>
      <c r="G85" s="5"/>
      <c r="H85" s="5"/>
      <c r="I85" s="5"/>
      <c r="J85" s="5"/>
      <c r="K85" s="15"/>
      <c r="L85" s="5"/>
      <c r="M85" s="15"/>
      <c r="N85" s="5"/>
      <c r="O85" s="15"/>
      <c r="P85" s="19" t="str">
        <f t="shared" si="13"/>
        <v/>
      </c>
      <c r="Q85" s="19" t="str">
        <f t="shared" si="14"/>
        <v/>
      </c>
      <c r="R85" s="19" t="str">
        <f t="shared" si="15"/>
        <v/>
      </c>
      <c r="S85" s="5"/>
      <c r="T85" s="5"/>
      <c r="U85" s="5"/>
      <c r="V85" s="24"/>
      <c r="W85" s="15"/>
      <c r="X85" s="15"/>
      <c r="Y85" s="15"/>
      <c r="Z85" s="19" t="str">
        <f t="shared" si="16"/>
        <v/>
      </c>
      <c r="AA85" s="19" t="str">
        <f t="shared" si="17"/>
        <v/>
      </c>
      <c r="AB85" s="5"/>
      <c r="AC85" s="5"/>
      <c r="AE85" t="str">
        <f>IFERROR(INDEX(EqTag,_xlfn.AGGREGATE(15,6,(ROW(EqTag)-4)/((EqSys=$D$3)*(EqTag&lt;&gt;"")),ROWS($AE$14:AE85))),"")</f>
        <v/>
      </c>
    </row>
    <row r="86" spans="1:31" ht="30" customHeight="1" x14ac:dyDescent="0.2">
      <c r="A86" s="19" t="str">
        <f>IF(F86="","",LEFT($D$3,3)&amp;"-"&amp;TEXT(COUNTIF(F$14:F86,"?*"),"00"))</f>
        <v/>
      </c>
      <c r="B86" s="5"/>
      <c r="C86" s="6" t="str">
        <f t="shared" si="12"/>
        <v/>
      </c>
      <c r="D86" s="5"/>
      <c r="E86" s="5"/>
      <c r="F86" s="5"/>
      <c r="G86" s="5"/>
      <c r="H86" s="5"/>
      <c r="I86" s="5"/>
      <c r="J86" s="5"/>
      <c r="K86" s="15"/>
      <c r="L86" s="5"/>
      <c r="M86" s="15"/>
      <c r="N86" s="5"/>
      <c r="O86" s="15"/>
      <c r="P86" s="19" t="str">
        <f t="shared" si="13"/>
        <v/>
      </c>
      <c r="Q86" s="19" t="str">
        <f t="shared" si="14"/>
        <v/>
      </c>
      <c r="R86" s="19" t="str">
        <f t="shared" si="15"/>
        <v/>
      </c>
      <c r="S86" s="5"/>
      <c r="T86" s="5"/>
      <c r="U86" s="5"/>
      <c r="V86" s="24"/>
      <c r="W86" s="15"/>
      <c r="X86" s="15"/>
      <c r="Y86" s="15"/>
      <c r="Z86" s="19" t="str">
        <f t="shared" si="16"/>
        <v/>
      </c>
      <c r="AA86" s="19" t="str">
        <f t="shared" si="17"/>
        <v/>
      </c>
      <c r="AB86" s="5"/>
      <c r="AC86" s="5"/>
      <c r="AE86" t="str">
        <f>IFERROR(INDEX(EqTag,_xlfn.AGGREGATE(15,6,(ROW(EqTag)-4)/((EqSys=$D$3)*(EqTag&lt;&gt;"")),ROWS($AE$14:AE86))),"")</f>
        <v/>
      </c>
    </row>
    <row r="87" spans="1:31" ht="30" customHeight="1" x14ac:dyDescent="0.2">
      <c r="A87" s="19" t="str">
        <f>IF(F87="","",LEFT($D$3,3)&amp;"-"&amp;TEXT(COUNTIF(F$14:F87,"?*"),"00"))</f>
        <v/>
      </c>
      <c r="B87" s="5"/>
      <c r="C87" s="6" t="str">
        <f t="shared" si="12"/>
        <v/>
      </c>
      <c r="D87" s="5"/>
      <c r="E87" s="5"/>
      <c r="F87" s="5"/>
      <c r="G87" s="5"/>
      <c r="H87" s="5"/>
      <c r="I87" s="5"/>
      <c r="J87" s="5"/>
      <c r="K87" s="15"/>
      <c r="L87" s="5"/>
      <c r="M87" s="15"/>
      <c r="N87" s="5"/>
      <c r="O87" s="15"/>
      <c r="P87" s="19" t="str">
        <f t="shared" si="13"/>
        <v/>
      </c>
      <c r="Q87" s="19" t="str">
        <f t="shared" si="14"/>
        <v/>
      </c>
      <c r="R87" s="19" t="str">
        <f t="shared" si="15"/>
        <v/>
      </c>
      <c r="S87" s="5"/>
      <c r="T87" s="5"/>
      <c r="U87" s="5"/>
      <c r="V87" s="24"/>
      <c r="W87" s="15"/>
      <c r="X87" s="15"/>
      <c r="Y87" s="15"/>
      <c r="Z87" s="19" t="str">
        <f t="shared" si="16"/>
        <v/>
      </c>
      <c r="AA87" s="19" t="str">
        <f t="shared" si="17"/>
        <v/>
      </c>
      <c r="AB87" s="5"/>
      <c r="AC87" s="5"/>
      <c r="AE87" t="str">
        <f>IFERROR(INDEX(EqTag,_xlfn.AGGREGATE(15,6,(ROW(EqTag)-4)/((EqSys=$D$3)*(EqTag&lt;&gt;"")),ROWS($AE$14:AE87))),"")</f>
        <v/>
      </c>
    </row>
    <row r="88" spans="1:31" ht="30" customHeight="1" x14ac:dyDescent="0.2">
      <c r="A88" s="19" t="str">
        <f>IF(F88="","",LEFT($D$3,3)&amp;"-"&amp;TEXT(COUNTIF(F$14:F88,"?*"),"00"))</f>
        <v/>
      </c>
      <c r="B88" s="5"/>
      <c r="C88" s="6" t="str">
        <f t="shared" si="12"/>
        <v/>
      </c>
      <c r="D88" s="5"/>
      <c r="E88" s="5"/>
      <c r="F88" s="5"/>
      <c r="G88" s="5"/>
      <c r="H88" s="5"/>
      <c r="I88" s="5"/>
      <c r="J88" s="5"/>
      <c r="K88" s="15"/>
      <c r="L88" s="5"/>
      <c r="M88" s="15"/>
      <c r="N88" s="5"/>
      <c r="O88" s="15"/>
      <c r="P88" s="19" t="str">
        <f t="shared" si="13"/>
        <v/>
      </c>
      <c r="Q88" s="19" t="str">
        <f t="shared" si="14"/>
        <v/>
      </c>
      <c r="R88" s="19" t="str">
        <f t="shared" si="15"/>
        <v/>
      </c>
      <c r="S88" s="5"/>
      <c r="T88" s="5"/>
      <c r="U88" s="5"/>
      <c r="V88" s="24"/>
      <c r="W88" s="15"/>
      <c r="X88" s="15"/>
      <c r="Y88" s="15"/>
      <c r="Z88" s="19" t="str">
        <f t="shared" si="16"/>
        <v/>
      </c>
      <c r="AA88" s="19" t="str">
        <f t="shared" si="17"/>
        <v/>
      </c>
      <c r="AB88" s="5"/>
      <c r="AC88" s="5"/>
      <c r="AE88" t="str">
        <f>IFERROR(INDEX(EqTag,_xlfn.AGGREGATE(15,6,(ROW(EqTag)-4)/((EqSys=$D$3)*(EqTag&lt;&gt;"")),ROWS($AE$14:AE88))),"")</f>
        <v/>
      </c>
    </row>
    <row r="89" spans="1:31" ht="30" customHeight="1" x14ac:dyDescent="0.2">
      <c r="A89" s="19" t="str">
        <f>IF(F89="","",LEFT($D$3,3)&amp;"-"&amp;TEXT(COUNTIF(F$14:F89,"?*"),"00"))</f>
        <v/>
      </c>
      <c r="B89" s="5"/>
      <c r="C89" s="6" t="str">
        <f t="shared" si="12"/>
        <v/>
      </c>
      <c r="D89" s="5"/>
      <c r="E89" s="5"/>
      <c r="F89" s="5"/>
      <c r="G89" s="5"/>
      <c r="H89" s="5"/>
      <c r="I89" s="5"/>
      <c r="J89" s="5"/>
      <c r="K89" s="15"/>
      <c r="L89" s="5"/>
      <c r="M89" s="15"/>
      <c r="N89" s="5"/>
      <c r="O89" s="15"/>
      <c r="P89" s="19" t="str">
        <f t="shared" si="13"/>
        <v/>
      </c>
      <c r="Q89" s="19" t="str">
        <f t="shared" si="14"/>
        <v/>
      </c>
      <c r="R89" s="19" t="str">
        <f t="shared" si="15"/>
        <v/>
      </c>
      <c r="S89" s="5"/>
      <c r="T89" s="5"/>
      <c r="U89" s="5"/>
      <c r="V89" s="24"/>
      <c r="W89" s="15"/>
      <c r="X89" s="15"/>
      <c r="Y89" s="15"/>
      <c r="Z89" s="19" t="str">
        <f t="shared" si="16"/>
        <v/>
      </c>
      <c r="AA89" s="19" t="str">
        <f t="shared" si="17"/>
        <v/>
      </c>
      <c r="AB89" s="5"/>
      <c r="AC89" s="5"/>
      <c r="AE89" t="str">
        <f>IFERROR(INDEX(EqTag,_xlfn.AGGREGATE(15,6,(ROW(EqTag)-4)/((EqSys=$D$3)*(EqTag&lt;&gt;"")),ROWS($AE$14:AE89))),"")</f>
        <v/>
      </c>
    </row>
    <row r="90" spans="1:31" ht="30" customHeight="1" x14ac:dyDescent="0.2">
      <c r="A90" s="19" t="str">
        <f>IF(F90="","",LEFT($D$3,3)&amp;"-"&amp;TEXT(COUNTIF(F$14:F90,"?*"),"00"))</f>
        <v/>
      </c>
      <c r="B90" s="5"/>
      <c r="C90" s="6" t="str">
        <f t="shared" si="12"/>
        <v/>
      </c>
      <c r="D90" s="5"/>
      <c r="E90" s="5"/>
      <c r="F90" s="5"/>
      <c r="G90" s="5"/>
      <c r="H90" s="5"/>
      <c r="I90" s="5"/>
      <c r="J90" s="5"/>
      <c r="K90" s="15"/>
      <c r="L90" s="5"/>
      <c r="M90" s="15"/>
      <c r="N90" s="5"/>
      <c r="O90" s="15"/>
      <c r="P90" s="19" t="str">
        <f t="shared" si="13"/>
        <v/>
      </c>
      <c r="Q90" s="19" t="str">
        <f t="shared" si="14"/>
        <v/>
      </c>
      <c r="R90" s="19" t="str">
        <f t="shared" si="15"/>
        <v/>
      </c>
      <c r="S90" s="5"/>
      <c r="T90" s="5"/>
      <c r="U90" s="5"/>
      <c r="V90" s="24"/>
      <c r="W90" s="15"/>
      <c r="X90" s="15"/>
      <c r="Y90" s="15"/>
      <c r="Z90" s="19" t="str">
        <f t="shared" si="16"/>
        <v/>
      </c>
      <c r="AA90" s="19" t="str">
        <f t="shared" si="17"/>
        <v/>
      </c>
      <c r="AB90" s="5"/>
      <c r="AC90" s="5"/>
      <c r="AE90" t="str">
        <f>IFERROR(INDEX(EqTag,_xlfn.AGGREGATE(15,6,(ROW(EqTag)-4)/((EqSys=$D$3)*(EqTag&lt;&gt;"")),ROWS($AE$14:AE90))),"")</f>
        <v/>
      </c>
    </row>
    <row r="91" spans="1:31" ht="30" customHeight="1" x14ac:dyDescent="0.2">
      <c r="A91" s="19" t="str">
        <f>IF(F91="","",LEFT($D$3,3)&amp;"-"&amp;TEXT(COUNTIF(F$14:F91,"?*"),"00"))</f>
        <v/>
      </c>
      <c r="B91" s="5"/>
      <c r="C91" s="6" t="str">
        <f t="shared" si="12"/>
        <v/>
      </c>
      <c r="D91" s="5"/>
      <c r="E91" s="5"/>
      <c r="F91" s="5"/>
      <c r="G91" s="5"/>
      <c r="H91" s="5"/>
      <c r="I91" s="5"/>
      <c r="J91" s="5"/>
      <c r="K91" s="15"/>
      <c r="L91" s="5"/>
      <c r="M91" s="15"/>
      <c r="N91" s="5"/>
      <c r="O91" s="15"/>
      <c r="P91" s="19" t="str">
        <f t="shared" si="13"/>
        <v/>
      </c>
      <c r="Q91" s="19" t="str">
        <f t="shared" si="14"/>
        <v/>
      </c>
      <c r="R91" s="19" t="str">
        <f t="shared" si="15"/>
        <v/>
      </c>
      <c r="S91" s="5"/>
      <c r="T91" s="5"/>
      <c r="U91" s="5"/>
      <c r="V91" s="24"/>
      <c r="W91" s="15"/>
      <c r="X91" s="15"/>
      <c r="Y91" s="15"/>
      <c r="Z91" s="19" t="str">
        <f t="shared" si="16"/>
        <v/>
      </c>
      <c r="AA91" s="19" t="str">
        <f t="shared" si="17"/>
        <v/>
      </c>
      <c r="AB91" s="5"/>
      <c r="AC91" s="5"/>
      <c r="AE91" t="str">
        <f>IFERROR(INDEX(EqTag,_xlfn.AGGREGATE(15,6,(ROW(EqTag)-4)/((EqSys=$D$3)*(EqTag&lt;&gt;"")),ROWS($AE$14:AE91))),"")</f>
        <v/>
      </c>
    </row>
    <row r="92" spans="1:31" ht="30" customHeight="1" x14ac:dyDescent="0.2">
      <c r="A92" s="19" t="str">
        <f>IF(F92="","",LEFT($D$3,3)&amp;"-"&amp;TEXT(COUNTIF(F$14:F92,"?*"),"00"))</f>
        <v/>
      </c>
      <c r="B92" s="5"/>
      <c r="C92" s="6" t="str">
        <f t="shared" si="12"/>
        <v/>
      </c>
      <c r="D92" s="5"/>
      <c r="E92" s="5"/>
      <c r="F92" s="5"/>
      <c r="G92" s="5"/>
      <c r="H92" s="5"/>
      <c r="I92" s="5"/>
      <c r="J92" s="5"/>
      <c r="K92" s="15"/>
      <c r="L92" s="5"/>
      <c r="M92" s="15"/>
      <c r="N92" s="5"/>
      <c r="O92" s="15"/>
      <c r="P92" s="19" t="str">
        <f t="shared" si="13"/>
        <v/>
      </c>
      <c r="Q92" s="19" t="str">
        <f t="shared" si="14"/>
        <v/>
      </c>
      <c r="R92" s="19" t="str">
        <f t="shared" si="15"/>
        <v/>
      </c>
      <c r="S92" s="5"/>
      <c r="T92" s="5"/>
      <c r="U92" s="5"/>
      <c r="V92" s="24"/>
      <c r="W92" s="15"/>
      <c r="X92" s="15"/>
      <c r="Y92" s="15"/>
      <c r="Z92" s="19" t="str">
        <f t="shared" si="16"/>
        <v/>
      </c>
      <c r="AA92" s="19" t="str">
        <f t="shared" si="17"/>
        <v/>
      </c>
      <c r="AB92" s="5"/>
      <c r="AC92" s="5"/>
      <c r="AE92" t="str">
        <f>IFERROR(INDEX(EqTag,_xlfn.AGGREGATE(15,6,(ROW(EqTag)-4)/((EqSys=$D$3)*(EqTag&lt;&gt;"")),ROWS($AE$14:AE92))),"")</f>
        <v/>
      </c>
    </row>
    <row r="93" spans="1:31" ht="30" customHeight="1" x14ac:dyDescent="0.2">
      <c r="A93" s="19" t="str">
        <f>IF(F93="","",LEFT($D$3,3)&amp;"-"&amp;TEXT(COUNTIF(F$14:F93,"?*"),"00"))</f>
        <v/>
      </c>
      <c r="B93" s="5"/>
      <c r="C93" s="6" t="str">
        <f t="shared" si="12"/>
        <v/>
      </c>
      <c r="D93" s="5"/>
      <c r="E93" s="5"/>
      <c r="F93" s="5"/>
      <c r="G93" s="5"/>
      <c r="H93" s="5"/>
      <c r="I93" s="5"/>
      <c r="J93" s="5"/>
      <c r="K93" s="15"/>
      <c r="L93" s="5"/>
      <c r="M93" s="15"/>
      <c r="N93" s="5"/>
      <c r="O93" s="15"/>
      <c r="P93" s="19" t="str">
        <f t="shared" si="13"/>
        <v/>
      </c>
      <c r="Q93" s="19" t="str">
        <f t="shared" si="14"/>
        <v/>
      </c>
      <c r="R93" s="19" t="str">
        <f t="shared" si="15"/>
        <v/>
      </c>
      <c r="S93" s="5"/>
      <c r="T93" s="5"/>
      <c r="U93" s="5"/>
      <c r="V93" s="24"/>
      <c r="W93" s="15"/>
      <c r="X93" s="15"/>
      <c r="Y93" s="15"/>
      <c r="Z93" s="19" t="str">
        <f t="shared" si="16"/>
        <v/>
      </c>
      <c r="AA93" s="19" t="str">
        <f t="shared" si="17"/>
        <v/>
      </c>
      <c r="AB93" s="5"/>
      <c r="AC93" s="5"/>
      <c r="AE93" t="str">
        <f>IFERROR(INDEX(EqTag,_xlfn.AGGREGATE(15,6,(ROW(EqTag)-4)/((EqSys=$D$3)*(EqTag&lt;&gt;"")),ROWS($AE$14:AE93))),"")</f>
        <v/>
      </c>
    </row>
    <row r="94" spans="1:31" ht="30" customHeight="1" x14ac:dyDescent="0.2">
      <c r="A94" s="19" t="str">
        <f>IF(F94="","",LEFT($D$3,3)&amp;"-"&amp;TEXT(COUNTIF(F$14:F94,"?*"),"00"))</f>
        <v/>
      </c>
      <c r="B94" s="5"/>
      <c r="C94" s="6" t="str">
        <f t="shared" si="12"/>
        <v/>
      </c>
      <c r="D94" s="5"/>
      <c r="E94" s="5"/>
      <c r="F94" s="5"/>
      <c r="G94" s="5"/>
      <c r="H94" s="5"/>
      <c r="I94" s="5"/>
      <c r="J94" s="5"/>
      <c r="K94" s="15"/>
      <c r="L94" s="5"/>
      <c r="M94" s="15"/>
      <c r="N94" s="5"/>
      <c r="O94" s="15"/>
      <c r="P94" s="19" t="str">
        <f t="shared" si="13"/>
        <v/>
      </c>
      <c r="Q94" s="19" t="str">
        <f t="shared" si="14"/>
        <v/>
      </c>
      <c r="R94" s="19" t="str">
        <f t="shared" si="15"/>
        <v/>
      </c>
      <c r="S94" s="5"/>
      <c r="T94" s="5"/>
      <c r="U94" s="5"/>
      <c r="V94" s="24"/>
      <c r="W94" s="15"/>
      <c r="X94" s="15"/>
      <c r="Y94" s="15"/>
      <c r="Z94" s="19" t="str">
        <f t="shared" si="16"/>
        <v/>
      </c>
      <c r="AA94" s="19" t="str">
        <f t="shared" si="17"/>
        <v/>
      </c>
      <c r="AB94" s="5"/>
      <c r="AC94" s="5"/>
      <c r="AE94" t="str">
        <f>IFERROR(INDEX(EqTag,_xlfn.AGGREGATE(15,6,(ROW(EqTag)-4)/((EqSys=$D$3)*(EqTag&lt;&gt;"")),ROWS($AE$14:AE94))),"")</f>
        <v/>
      </c>
    </row>
    <row r="95" spans="1:31" ht="30" customHeight="1" x14ac:dyDescent="0.2">
      <c r="A95" s="19" t="str">
        <f>IF(F95="","",LEFT($D$3,3)&amp;"-"&amp;TEXT(COUNTIF(F$14:F95,"?*"),"00"))</f>
        <v/>
      </c>
      <c r="B95" s="5"/>
      <c r="C95" s="6" t="str">
        <f t="shared" si="12"/>
        <v/>
      </c>
      <c r="D95" s="5"/>
      <c r="E95" s="5"/>
      <c r="F95" s="5"/>
      <c r="G95" s="5"/>
      <c r="H95" s="5"/>
      <c r="I95" s="5"/>
      <c r="J95" s="5"/>
      <c r="K95" s="15"/>
      <c r="L95" s="5"/>
      <c r="M95" s="15"/>
      <c r="N95" s="5"/>
      <c r="O95" s="15"/>
      <c r="P95" s="19" t="str">
        <f t="shared" si="13"/>
        <v/>
      </c>
      <c r="Q95" s="19" t="str">
        <f t="shared" si="14"/>
        <v/>
      </c>
      <c r="R95" s="19" t="str">
        <f t="shared" si="15"/>
        <v/>
      </c>
      <c r="S95" s="5"/>
      <c r="T95" s="5"/>
      <c r="U95" s="5"/>
      <c r="V95" s="24"/>
      <c r="W95" s="15"/>
      <c r="X95" s="15"/>
      <c r="Y95" s="15"/>
      <c r="Z95" s="19" t="str">
        <f t="shared" si="16"/>
        <v/>
      </c>
      <c r="AA95" s="19" t="str">
        <f t="shared" si="17"/>
        <v/>
      </c>
      <c r="AB95" s="5"/>
      <c r="AC95" s="5"/>
      <c r="AE95" t="str">
        <f>IFERROR(INDEX(EqTag,_xlfn.AGGREGATE(15,6,(ROW(EqTag)-4)/((EqSys=$D$3)*(EqTag&lt;&gt;"")),ROWS($AE$14:AE95))),"")</f>
        <v/>
      </c>
    </row>
    <row r="96" spans="1:31" ht="30" customHeight="1" x14ac:dyDescent="0.2">
      <c r="A96" s="19" t="str">
        <f>IF(F96="","",LEFT($D$3,3)&amp;"-"&amp;TEXT(COUNTIF(F$14:F96,"?*"),"00"))</f>
        <v/>
      </c>
      <c r="B96" s="5"/>
      <c r="C96" s="6" t="str">
        <f t="shared" si="12"/>
        <v/>
      </c>
      <c r="D96" s="5"/>
      <c r="E96" s="5"/>
      <c r="F96" s="5"/>
      <c r="G96" s="5"/>
      <c r="H96" s="5"/>
      <c r="I96" s="5"/>
      <c r="J96" s="5"/>
      <c r="K96" s="15"/>
      <c r="L96" s="5"/>
      <c r="M96" s="15"/>
      <c r="N96" s="5"/>
      <c r="O96" s="15"/>
      <c r="P96" s="19" t="str">
        <f t="shared" si="13"/>
        <v/>
      </c>
      <c r="Q96" s="19" t="str">
        <f t="shared" si="14"/>
        <v/>
      </c>
      <c r="R96" s="19" t="str">
        <f t="shared" si="15"/>
        <v/>
      </c>
      <c r="S96" s="5"/>
      <c r="T96" s="5"/>
      <c r="U96" s="5"/>
      <c r="V96" s="24"/>
      <c r="W96" s="15"/>
      <c r="X96" s="15"/>
      <c r="Y96" s="15"/>
      <c r="Z96" s="19" t="str">
        <f t="shared" si="16"/>
        <v/>
      </c>
      <c r="AA96" s="19" t="str">
        <f t="shared" si="17"/>
        <v/>
      </c>
      <c r="AB96" s="5"/>
      <c r="AC96" s="5"/>
      <c r="AE96" t="str">
        <f>IFERROR(INDEX(EqTag,_xlfn.AGGREGATE(15,6,(ROW(EqTag)-4)/((EqSys=$D$3)*(EqTag&lt;&gt;"")),ROWS($AE$14:AE96))),"")</f>
        <v/>
      </c>
    </row>
    <row r="97" spans="1:31" ht="30" customHeight="1" x14ac:dyDescent="0.2">
      <c r="A97" s="19" t="str">
        <f>IF(F97="","",LEFT($D$3,3)&amp;"-"&amp;TEXT(COUNTIF(F$14:F97,"?*"),"00"))</f>
        <v/>
      </c>
      <c r="B97" s="5"/>
      <c r="C97" s="6" t="str">
        <f t="shared" si="12"/>
        <v/>
      </c>
      <c r="D97" s="5"/>
      <c r="E97" s="5"/>
      <c r="F97" s="5"/>
      <c r="G97" s="5"/>
      <c r="H97" s="5"/>
      <c r="I97" s="5"/>
      <c r="J97" s="5"/>
      <c r="K97" s="15"/>
      <c r="L97" s="5"/>
      <c r="M97" s="15"/>
      <c r="N97" s="5"/>
      <c r="O97" s="15"/>
      <c r="P97" s="19" t="str">
        <f t="shared" si="13"/>
        <v/>
      </c>
      <c r="Q97" s="19" t="str">
        <f t="shared" si="14"/>
        <v/>
      </c>
      <c r="R97" s="19" t="str">
        <f t="shared" si="15"/>
        <v/>
      </c>
      <c r="S97" s="5"/>
      <c r="T97" s="5"/>
      <c r="U97" s="5"/>
      <c r="V97" s="24"/>
      <c r="W97" s="15"/>
      <c r="X97" s="15"/>
      <c r="Y97" s="15"/>
      <c r="Z97" s="19" t="str">
        <f t="shared" si="16"/>
        <v/>
      </c>
      <c r="AA97" s="19" t="str">
        <f t="shared" si="17"/>
        <v/>
      </c>
      <c r="AB97" s="5"/>
      <c r="AC97" s="5"/>
      <c r="AE97" t="str">
        <f>IFERROR(INDEX(EqTag,_xlfn.AGGREGATE(15,6,(ROW(EqTag)-4)/((EqSys=$D$3)*(EqTag&lt;&gt;"")),ROWS($AE$14:AE97))),"")</f>
        <v/>
      </c>
    </row>
    <row r="98" spans="1:31" ht="30" customHeight="1" x14ac:dyDescent="0.2">
      <c r="A98" s="19" t="str">
        <f>IF(F98="","",LEFT($D$3,3)&amp;"-"&amp;TEXT(COUNTIF(F$14:F98,"?*"),"00"))</f>
        <v/>
      </c>
      <c r="B98" s="5"/>
      <c r="C98" s="6" t="str">
        <f t="shared" si="12"/>
        <v/>
      </c>
      <c r="D98" s="5"/>
      <c r="E98" s="5"/>
      <c r="F98" s="5"/>
      <c r="G98" s="5"/>
      <c r="H98" s="5"/>
      <c r="I98" s="5"/>
      <c r="J98" s="5"/>
      <c r="K98" s="15"/>
      <c r="L98" s="5"/>
      <c r="M98" s="15"/>
      <c r="N98" s="5"/>
      <c r="O98" s="15"/>
      <c r="P98" s="19" t="str">
        <f t="shared" si="13"/>
        <v/>
      </c>
      <c r="Q98" s="19" t="str">
        <f t="shared" si="14"/>
        <v/>
      </c>
      <c r="R98" s="19" t="str">
        <f t="shared" si="15"/>
        <v/>
      </c>
      <c r="S98" s="5"/>
      <c r="T98" s="5"/>
      <c r="U98" s="5"/>
      <c r="V98" s="24"/>
      <c r="W98" s="15"/>
      <c r="X98" s="15"/>
      <c r="Y98" s="15"/>
      <c r="Z98" s="19" t="str">
        <f t="shared" si="16"/>
        <v/>
      </c>
      <c r="AA98" s="19" t="str">
        <f t="shared" si="17"/>
        <v/>
      </c>
      <c r="AB98" s="5"/>
      <c r="AC98" s="5"/>
      <c r="AE98" t="str">
        <f>IFERROR(INDEX(EqTag,_xlfn.AGGREGATE(15,6,(ROW(EqTag)-4)/((EqSys=$D$3)*(EqTag&lt;&gt;"")),ROWS($AE$14:AE98))),"")</f>
        <v/>
      </c>
    </row>
    <row r="99" spans="1:31" ht="30" customHeight="1" x14ac:dyDescent="0.2">
      <c r="A99" s="19" t="str">
        <f>IF(F99="","",LEFT($D$3,3)&amp;"-"&amp;TEXT(COUNTIF(F$14:F99,"?*"),"00"))</f>
        <v/>
      </c>
      <c r="B99" s="5"/>
      <c r="C99" s="6" t="str">
        <f t="shared" si="12"/>
        <v/>
      </c>
      <c r="D99" s="5"/>
      <c r="E99" s="5"/>
      <c r="F99" s="5"/>
      <c r="G99" s="5"/>
      <c r="H99" s="5"/>
      <c r="I99" s="5"/>
      <c r="J99" s="5"/>
      <c r="K99" s="15"/>
      <c r="L99" s="5"/>
      <c r="M99" s="15"/>
      <c r="N99" s="5"/>
      <c r="O99" s="15"/>
      <c r="P99" s="19" t="str">
        <f t="shared" si="13"/>
        <v/>
      </c>
      <c r="Q99" s="19" t="str">
        <f t="shared" si="14"/>
        <v/>
      </c>
      <c r="R99" s="19" t="str">
        <f t="shared" si="15"/>
        <v/>
      </c>
      <c r="S99" s="5"/>
      <c r="T99" s="5"/>
      <c r="U99" s="5"/>
      <c r="V99" s="24"/>
      <c r="W99" s="15"/>
      <c r="X99" s="15"/>
      <c r="Y99" s="15"/>
      <c r="Z99" s="19" t="str">
        <f t="shared" si="16"/>
        <v/>
      </c>
      <c r="AA99" s="19" t="str">
        <f t="shared" si="17"/>
        <v/>
      </c>
      <c r="AB99" s="5"/>
      <c r="AC99" s="5"/>
      <c r="AE99" t="str">
        <f>IFERROR(INDEX(EqTag,_xlfn.AGGREGATE(15,6,(ROW(EqTag)-4)/((EqSys=$D$3)*(EqTag&lt;&gt;"")),ROWS($AE$14:AE99))),"")</f>
        <v/>
      </c>
    </row>
    <row r="100" spans="1:31" ht="30" customHeight="1" x14ac:dyDescent="0.2">
      <c r="A100" s="19" t="str">
        <f>IF(F100="","",LEFT($D$3,3)&amp;"-"&amp;TEXT(COUNTIF(F$14:F100,"?*"),"00"))</f>
        <v/>
      </c>
      <c r="B100" s="5"/>
      <c r="C100" s="6" t="str">
        <f t="shared" si="12"/>
        <v/>
      </c>
      <c r="D100" s="5"/>
      <c r="E100" s="5"/>
      <c r="F100" s="5"/>
      <c r="G100" s="5"/>
      <c r="H100" s="5"/>
      <c r="I100" s="5"/>
      <c r="J100" s="5"/>
      <c r="K100" s="15"/>
      <c r="L100" s="5"/>
      <c r="M100" s="15"/>
      <c r="N100" s="5"/>
      <c r="O100" s="15"/>
      <c r="P100" s="19" t="str">
        <f t="shared" si="13"/>
        <v/>
      </c>
      <c r="Q100" s="19" t="str">
        <f t="shared" si="14"/>
        <v/>
      </c>
      <c r="R100" s="19" t="str">
        <f t="shared" si="15"/>
        <v/>
      </c>
      <c r="S100" s="5"/>
      <c r="T100" s="5"/>
      <c r="U100" s="5"/>
      <c r="V100" s="24"/>
      <c r="W100" s="15"/>
      <c r="X100" s="15"/>
      <c r="Y100" s="15"/>
      <c r="Z100" s="19" t="str">
        <f t="shared" si="16"/>
        <v/>
      </c>
      <c r="AA100" s="19" t="str">
        <f t="shared" si="17"/>
        <v/>
      </c>
      <c r="AB100" s="5"/>
      <c r="AC100" s="5"/>
      <c r="AE100" t="str">
        <f>IFERROR(INDEX(EqTag,_xlfn.AGGREGATE(15,6,(ROW(EqTag)-4)/((EqSys=$D$3)*(EqTag&lt;&gt;"")),ROWS($AE$14:AE100))),"")</f>
        <v/>
      </c>
    </row>
    <row r="101" spans="1:31" ht="30" customHeight="1" x14ac:dyDescent="0.2">
      <c r="A101" s="19" t="str">
        <f>IF(F101="","",LEFT($D$3,3)&amp;"-"&amp;TEXT(COUNTIF(F$14:F101,"?*"),"00"))</f>
        <v/>
      </c>
      <c r="B101" s="5"/>
      <c r="C101" s="6" t="str">
        <f t="shared" si="12"/>
        <v/>
      </c>
      <c r="D101" s="5"/>
      <c r="E101" s="5"/>
      <c r="F101" s="5"/>
      <c r="G101" s="5"/>
      <c r="H101" s="5"/>
      <c r="I101" s="5"/>
      <c r="J101" s="5"/>
      <c r="K101" s="15"/>
      <c r="L101" s="5"/>
      <c r="M101" s="15"/>
      <c r="N101" s="5"/>
      <c r="O101" s="15"/>
      <c r="P101" s="19" t="str">
        <f t="shared" si="13"/>
        <v/>
      </c>
      <c r="Q101" s="19" t="str">
        <f t="shared" si="14"/>
        <v/>
      </c>
      <c r="R101" s="19" t="str">
        <f t="shared" si="15"/>
        <v/>
      </c>
      <c r="S101" s="5"/>
      <c r="T101" s="5"/>
      <c r="U101" s="5"/>
      <c r="V101" s="24"/>
      <c r="W101" s="15"/>
      <c r="X101" s="15"/>
      <c r="Y101" s="15"/>
      <c r="Z101" s="19" t="str">
        <f t="shared" si="16"/>
        <v/>
      </c>
      <c r="AA101" s="19" t="str">
        <f t="shared" si="17"/>
        <v/>
      </c>
      <c r="AB101" s="5"/>
      <c r="AC101" s="5"/>
      <c r="AE101" t="str">
        <f>IFERROR(INDEX(EqTag,_xlfn.AGGREGATE(15,6,(ROW(EqTag)-4)/((EqSys=$D$3)*(EqTag&lt;&gt;"")),ROWS($AE$14:AE101))),"")</f>
        <v/>
      </c>
    </row>
    <row r="102" spans="1:31" ht="30" customHeight="1" x14ac:dyDescent="0.2">
      <c r="A102" s="19" t="str">
        <f>IF(F102="","",LEFT($D$3,3)&amp;"-"&amp;TEXT(COUNTIF(F$14:F102,"?*"),"00"))</f>
        <v/>
      </c>
      <c r="B102" s="5"/>
      <c r="C102" s="6" t="str">
        <f t="shared" si="12"/>
        <v/>
      </c>
      <c r="D102" s="5"/>
      <c r="E102" s="5"/>
      <c r="F102" s="5"/>
      <c r="G102" s="5"/>
      <c r="H102" s="5"/>
      <c r="I102" s="5"/>
      <c r="J102" s="5"/>
      <c r="K102" s="15"/>
      <c r="L102" s="5"/>
      <c r="M102" s="15"/>
      <c r="N102" s="5"/>
      <c r="O102" s="15"/>
      <c r="P102" s="19" t="str">
        <f t="shared" si="13"/>
        <v/>
      </c>
      <c r="Q102" s="19" t="str">
        <f t="shared" si="14"/>
        <v/>
      </c>
      <c r="R102" s="19" t="str">
        <f t="shared" si="15"/>
        <v/>
      </c>
      <c r="S102" s="5"/>
      <c r="T102" s="5"/>
      <c r="U102" s="5"/>
      <c r="V102" s="24"/>
      <c r="W102" s="15"/>
      <c r="X102" s="15"/>
      <c r="Y102" s="15"/>
      <c r="Z102" s="19" t="str">
        <f t="shared" si="16"/>
        <v/>
      </c>
      <c r="AA102" s="19" t="str">
        <f t="shared" si="17"/>
        <v/>
      </c>
      <c r="AB102" s="5"/>
      <c r="AC102" s="5"/>
      <c r="AE102" t="str">
        <f>IFERROR(INDEX(EqTag,_xlfn.AGGREGATE(15,6,(ROW(EqTag)-4)/((EqSys=$D$3)*(EqTag&lt;&gt;"")),ROWS($AE$14:AE102))),"")</f>
        <v/>
      </c>
    </row>
    <row r="103" spans="1:31" ht="30" customHeight="1" x14ac:dyDescent="0.2">
      <c r="A103" s="19" t="str">
        <f>IF(F103="","",LEFT($D$3,3)&amp;"-"&amp;TEXT(COUNTIF(F$14:F103,"?*"),"00"))</f>
        <v/>
      </c>
      <c r="B103" s="5"/>
      <c r="C103" s="6" t="str">
        <f t="shared" si="12"/>
        <v/>
      </c>
      <c r="D103" s="5"/>
      <c r="E103" s="5"/>
      <c r="F103" s="5"/>
      <c r="G103" s="5"/>
      <c r="H103" s="5"/>
      <c r="I103" s="5"/>
      <c r="J103" s="5"/>
      <c r="K103" s="15"/>
      <c r="L103" s="5"/>
      <c r="M103" s="15"/>
      <c r="N103" s="5"/>
      <c r="O103" s="15"/>
      <c r="P103" s="19" t="str">
        <f t="shared" si="13"/>
        <v/>
      </c>
      <c r="Q103" s="19" t="str">
        <f t="shared" si="14"/>
        <v/>
      </c>
      <c r="R103" s="19" t="str">
        <f t="shared" si="15"/>
        <v/>
      </c>
      <c r="S103" s="5"/>
      <c r="T103" s="5"/>
      <c r="U103" s="5"/>
      <c r="V103" s="24"/>
      <c r="W103" s="15"/>
      <c r="X103" s="15"/>
      <c r="Y103" s="15"/>
      <c r="Z103" s="19" t="str">
        <f t="shared" si="16"/>
        <v/>
      </c>
      <c r="AA103" s="19" t="str">
        <f t="shared" si="17"/>
        <v/>
      </c>
      <c r="AB103" s="5"/>
      <c r="AC103" s="5"/>
      <c r="AE103" t="str">
        <f>IFERROR(INDEX(EqTag,_xlfn.AGGREGATE(15,6,(ROW(EqTag)-4)/((EqSys=$D$3)*(EqTag&lt;&gt;"")),ROWS($AE$14:AE103))),"")</f>
        <v/>
      </c>
    </row>
    <row r="104" spans="1:31" ht="30" customHeight="1" x14ac:dyDescent="0.2">
      <c r="A104" s="19" t="str">
        <f>IF(F104="","",LEFT($D$3,3)&amp;"-"&amp;TEXT(COUNTIF(F$14:F104,"?*"),"00"))</f>
        <v/>
      </c>
      <c r="B104" s="5"/>
      <c r="C104" s="6" t="str">
        <f t="shared" si="12"/>
        <v/>
      </c>
      <c r="D104" s="5"/>
      <c r="E104" s="5"/>
      <c r="F104" s="5"/>
      <c r="G104" s="5"/>
      <c r="H104" s="5"/>
      <c r="I104" s="5"/>
      <c r="J104" s="5"/>
      <c r="K104" s="15"/>
      <c r="L104" s="5"/>
      <c r="M104" s="15"/>
      <c r="N104" s="5"/>
      <c r="O104" s="15"/>
      <c r="P104" s="19" t="str">
        <f t="shared" si="13"/>
        <v/>
      </c>
      <c r="Q104" s="19" t="str">
        <f t="shared" si="14"/>
        <v/>
      </c>
      <c r="R104" s="19" t="str">
        <f t="shared" si="15"/>
        <v/>
      </c>
      <c r="S104" s="5"/>
      <c r="T104" s="5"/>
      <c r="U104" s="5"/>
      <c r="V104" s="24"/>
      <c r="W104" s="15"/>
      <c r="X104" s="15"/>
      <c r="Y104" s="15"/>
      <c r="Z104" s="19" t="str">
        <f t="shared" si="16"/>
        <v/>
      </c>
      <c r="AA104" s="19" t="str">
        <f t="shared" si="17"/>
        <v/>
      </c>
      <c r="AB104" s="5"/>
      <c r="AC104" s="5"/>
      <c r="AE104" t="str">
        <f>IFERROR(INDEX(EqTag,_xlfn.AGGREGATE(15,6,(ROW(EqTag)-4)/((EqSys=$D$3)*(EqTag&lt;&gt;"")),ROWS($AE$14:AE104))),"")</f>
        <v/>
      </c>
    </row>
    <row r="105" spans="1:31" ht="30" customHeight="1" x14ac:dyDescent="0.2">
      <c r="A105" s="19" t="str">
        <f>IF(F105="","",LEFT($D$3,3)&amp;"-"&amp;TEXT(COUNTIF(F$14:F105,"?*"),"00"))</f>
        <v/>
      </c>
      <c r="B105" s="5"/>
      <c r="C105" s="6" t="str">
        <f t="shared" si="12"/>
        <v/>
      </c>
      <c r="D105" s="5"/>
      <c r="E105" s="5"/>
      <c r="F105" s="5"/>
      <c r="G105" s="5"/>
      <c r="H105" s="5"/>
      <c r="I105" s="5"/>
      <c r="J105" s="5"/>
      <c r="K105" s="15"/>
      <c r="L105" s="5"/>
      <c r="M105" s="15"/>
      <c r="N105" s="5"/>
      <c r="O105" s="15"/>
      <c r="P105" s="19" t="str">
        <f t="shared" si="13"/>
        <v/>
      </c>
      <c r="Q105" s="19" t="str">
        <f t="shared" si="14"/>
        <v/>
      </c>
      <c r="R105" s="19" t="str">
        <f t="shared" si="15"/>
        <v/>
      </c>
      <c r="S105" s="5"/>
      <c r="T105" s="5"/>
      <c r="U105" s="5"/>
      <c r="V105" s="24"/>
      <c r="W105" s="15"/>
      <c r="X105" s="15"/>
      <c r="Y105" s="15"/>
      <c r="Z105" s="19" t="str">
        <f t="shared" si="16"/>
        <v/>
      </c>
      <c r="AA105" s="19" t="str">
        <f t="shared" si="17"/>
        <v/>
      </c>
      <c r="AB105" s="5"/>
      <c r="AC105" s="5"/>
      <c r="AE105" t="str">
        <f>IFERROR(INDEX(EqTag,_xlfn.AGGREGATE(15,6,(ROW(EqTag)-4)/((EqSys=$D$3)*(EqTag&lt;&gt;"")),ROWS($AE$14:AE105))),"")</f>
        <v/>
      </c>
    </row>
    <row r="106" spans="1:31" ht="30" customHeight="1" x14ac:dyDescent="0.2">
      <c r="A106" s="19" t="str">
        <f>IF(F106="","",LEFT($D$3,3)&amp;"-"&amp;TEXT(COUNTIF(F$14:F106,"?*"),"00"))</f>
        <v/>
      </c>
      <c r="B106" s="5"/>
      <c r="C106" s="6" t="str">
        <f t="shared" si="12"/>
        <v/>
      </c>
      <c r="D106" s="5"/>
      <c r="E106" s="5"/>
      <c r="F106" s="5"/>
      <c r="G106" s="5"/>
      <c r="H106" s="5"/>
      <c r="I106" s="5"/>
      <c r="J106" s="5"/>
      <c r="K106" s="15"/>
      <c r="L106" s="5"/>
      <c r="M106" s="15"/>
      <c r="N106" s="5"/>
      <c r="O106" s="15"/>
      <c r="P106" s="19" t="str">
        <f t="shared" si="13"/>
        <v/>
      </c>
      <c r="Q106" s="19" t="str">
        <f t="shared" si="14"/>
        <v/>
      </c>
      <c r="R106" s="19" t="str">
        <f t="shared" si="15"/>
        <v/>
      </c>
      <c r="S106" s="5"/>
      <c r="T106" s="5"/>
      <c r="U106" s="5"/>
      <c r="V106" s="24"/>
      <c r="W106" s="15"/>
      <c r="X106" s="15"/>
      <c r="Y106" s="15"/>
      <c r="Z106" s="19" t="str">
        <f t="shared" si="16"/>
        <v/>
      </c>
      <c r="AA106" s="19" t="str">
        <f t="shared" si="17"/>
        <v/>
      </c>
      <c r="AB106" s="5"/>
      <c r="AC106" s="5"/>
      <c r="AE106" t="str">
        <f>IFERROR(INDEX(EqTag,_xlfn.AGGREGATE(15,6,(ROW(EqTag)-4)/((EqSys=$D$3)*(EqTag&lt;&gt;"")),ROWS($AE$14:AE106))),"")</f>
        <v/>
      </c>
    </row>
    <row r="107" spans="1:31" ht="30" customHeight="1" x14ac:dyDescent="0.2">
      <c r="A107" s="19" t="str">
        <f>IF(F107="","",LEFT($D$3,3)&amp;"-"&amp;TEXT(COUNTIF(F$14:F107,"?*"),"00"))</f>
        <v/>
      </c>
      <c r="B107" s="5"/>
      <c r="C107" s="6" t="str">
        <f t="shared" si="12"/>
        <v/>
      </c>
      <c r="D107" s="5"/>
      <c r="E107" s="5"/>
      <c r="F107" s="5"/>
      <c r="G107" s="5"/>
      <c r="H107" s="5"/>
      <c r="I107" s="5"/>
      <c r="J107" s="5"/>
      <c r="K107" s="15"/>
      <c r="L107" s="5"/>
      <c r="M107" s="15"/>
      <c r="N107" s="5"/>
      <c r="O107" s="15"/>
      <c r="P107" s="19" t="str">
        <f t="shared" si="13"/>
        <v/>
      </c>
      <c r="Q107" s="19" t="str">
        <f t="shared" si="14"/>
        <v/>
      </c>
      <c r="R107" s="19" t="str">
        <f t="shared" si="15"/>
        <v/>
      </c>
      <c r="S107" s="5"/>
      <c r="T107" s="5"/>
      <c r="U107" s="5"/>
      <c r="V107" s="24"/>
      <c r="W107" s="15"/>
      <c r="X107" s="15"/>
      <c r="Y107" s="15"/>
      <c r="Z107" s="19" t="str">
        <f t="shared" si="16"/>
        <v/>
      </c>
      <c r="AA107" s="19" t="str">
        <f t="shared" si="17"/>
        <v/>
      </c>
      <c r="AB107" s="5"/>
      <c r="AC107" s="5"/>
      <c r="AE107" t="str">
        <f>IFERROR(INDEX(EqTag,_xlfn.AGGREGATE(15,6,(ROW(EqTag)-4)/((EqSys=$D$3)*(EqTag&lt;&gt;"")),ROWS($AE$14:AE107))),"")</f>
        <v/>
      </c>
    </row>
    <row r="108" spans="1:31" ht="30" customHeight="1" x14ac:dyDescent="0.2">
      <c r="A108" s="19" t="str">
        <f>IF(F108="","",LEFT($D$3,3)&amp;"-"&amp;TEXT(COUNTIF(F$14:F108,"?*"),"00"))</f>
        <v/>
      </c>
      <c r="B108" s="5"/>
      <c r="C108" s="6" t="str">
        <f t="shared" si="12"/>
        <v/>
      </c>
      <c r="D108" s="5"/>
      <c r="E108" s="5"/>
      <c r="F108" s="5"/>
      <c r="G108" s="5"/>
      <c r="H108" s="5"/>
      <c r="I108" s="5"/>
      <c r="J108" s="5"/>
      <c r="K108" s="15"/>
      <c r="L108" s="5"/>
      <c r="M108" s="15"/>
      <c r="N108" s="5"/>
      <c r="O108" s="15"/>
      <c r="P108" s="19" t="str">
        <f t="shared" si="13"/>
        <v/>
      </c>
      <c r="Q108" s="19" t="str">
        <f t="shared" si="14"/>
        <v/>
      </c>
      <c r="R108" s="19" t="str">
        <f t="shared" si="15"/>
        <v/>
      </c>
      <c r="S108" s="5"/>
      <c r="T108" s="5"/>
      <c r="U108" s="5"/>
      <c r="V108" s="24"/>
      <c r="W108" s="15"/>
      <c r="X108" s="15"/>
      <c r="Y108" s="15"/>
      <c r="Z108" s="19" t="str">
        <f t="shared" si="16"/>
        <v/>
      </c>
      <c r="AA108" s="19" t="str">
        <f t="shared" si="17"/>
        <v/>
      </c>
      <c r="AB108" s="5"/>
      <c r="AC108" s="5"/>
      <c r="AE108" t="str">
        <f>IFERROR(INDEX(EqTag,_xlfn.AGGREGATE(15,6,(ROW(EqTag)-4)/((EqSys=$D$3)*(EqTag&lt;&gt;"")),ROWS($AE$14:AE108))),"")</f>
        <v/>
      </c>
    </row>
    <row r="109" spans="1:31" ht="30" customHeight="1" x14ac:dyDescent="0.2">
      <c r="A109" s="19" t="str">
        <f>IF(F109="","",LEFT($D$3,3)&amp;"-"&amp;TEXT(COUNTIF(F$14:F109,"?*"),"00"))</f>
        <v/>
      </c>
      <c r="B109" s="5"/>
      <c r="C109" s="6" t="str">
        <f t="shared" si="12"/>
        <v/>
      </c>
      <c r="D109" s="5"/>
      <c r="E109" s="5"/>
      <c r="F109" s="5"/>
      <c r="G109" s="5"/>
      <c r="H109" s="5"/>
      <c r="I109" s="5"/>
      <c r="J109" s="5"/>
      <c r="K109" s="15"/>
      <c r="L109" s="5"/>
      <c r="M109" s="15"/>
      <c r="N109" s="5"/>
      <c r="O109" s="15"/>
      <c r="P109" s="19" t="str">
        <f t="shared" si="13"/>
        <v/>
      </c>
      <c r="Q109" s="19" t="str">
        <f t="shared" si="14"/>
        <v/>
      </c>
      <c r="R109" s="19" t="str">
        <f t="shared" si="15"/>
        <v/>
      </c>
      <c r="S109" s="5"/>
      <c r="T109" s="5"/>
      <c r="U109" s="5"/>
      <c r="V109" s="24"/>
      <c r="W109" s="15"/>
      <c r="X109" s="15"/>
      <c r="Y109" s="15"/>
      <c r="Z109" s="19" t="str">
        <f t="shared" si="16"/>
        <v/>
      </c>
      <c r="AA109" s="19" t="str">
        <f t="shared" si="17"/>
        <v/>
      </c>
      <c r="AB109" s="5"/>
      <c r="AC109" s="5"/>
      <c r="AE109" t="str">
        <f>IFERROR(INDEX(EqTag,_xlfn.AGGREGATE(15,6,(ROW(EqTag)-4)/((EqSys=$D$3)*(EqTag&lt;&gt;"")),ROWS($AE$14:AE109))),"")</f>
        <v/>
      </c>
    </row>
    <row r="110" spans="1:31" ht="30" customHeight="1" x14ac:dyDescent="0.2">
      <c r="A110" s="19" t="str">
        <f>IF(F110="","",LEFT($D$3,3)&amp;"-"&amp;TEXT(COUNTIF(F$14:F110,"?*"),"00"))</f>
        <v/>
      </c>
      <c r="B110" s="5"/>
      <c r="C110" s="6" t="str">
        <f t="shared" ref="C110:C141" si="18">IF(B110="","",IFERROR(INDEX(EqTypeCol,MATCH(B110,EqTag,0)),"Tag not in register"))</f>
        <v/>
      </c>
      <c r="D110" s="5"/>
      <c r="E110" s="5"/>
      <c r="F110" s="5"/>
      <c r="G110" s="5"/>
      <c r="H110" s="5"/>
      <c r="I110" s="5"/>
      <c r="J110" s="5"/>
      <c r="K110" s="15"/>
      <c r="L110" s="5"/>
      <c r="M110" s="15"/>
      <c r="N110" s="5"/>
      <c r="O110" s="15"/>
      <c r="P110" s="19" t="str">
        <f t="shared" ref="P110:P141" si="19">IF(OR(K110="",M110="",O110=""),"",(--TRIM(LEFT(K110,2)))*(--TRIM(LEFT(M110,2)))*(--TRIM(LEFT(O110,2))))</f>
        <v/>
      </c>
      <c r="Q110" s="19" t="str">
        <f t="shared" ref="Q110:Q141" si="20">IF(OR(K110="",M110="",O110=""),"",INDEX(APGrid,COUNTIF(APS,"&gt;"&amp;(--TRIM(LEFT(K110,2))))*5+COUNTIF(APO,"&gt;"&amp;(--TRIM(LEFT(M110,2))))+1,COUNTIF(APD,"&gt;"&amp;(--TRIM(LEFT(O110,2))))+1))</f>
        <v/>
      </c>
      <c r="R110" s="19" t="str">
        <f t="shared" ref="R110:R141" si="21">IF(P110="","",IF(OR((--TRIM(LEFT(K110,2)))&gt;=SThr,P110&gt;=RPNThr,Q110="H"),"Yes","No"))</f>
        <v/>
      </c>
      <c r="S110" s="5"/>
      <c r="T110" s="5"/>
      <c r="U110" s="5"/>
      <c r="V110" s="24"/>
      <c r="W110" s="15"/>
      <c r="X110" s="15"/>
      <c r="Y110" s="15"/>
      <c r="Z110" s="19" t="str">
        <f t="shared" ref="Z110:Z141" si="22">IF(OR(W110="",X110="",Y110=""),"",(--TRIM(LEFT(W110,2)))*(--TRIM(LEFT(X110,2)))*(--TRIM(LEFT(Y110,2))))</f>
        <v/>
      </c>
      <c r="AA110" s="19" t="str">
        <f t="shared" ref="AA110:AA141" si="23">IF(OR(W110="",X110="",Y110=""),"",INDEX(APGrid,COUNTIF(APS,"&gt;"&amp;(--TRIM(LEFT(W110,2))))*5+COUNTIF(APO,"&gt;"&amp;(--TRIM(LEFT(X110,2))))+1,COUNTIF(APD,"&gt;"&amp;(--TRIM(LEFT(Y110,2))))+1))</f>
        <v/>
      </c>
      <c r="AB110" s="5"/>
      <c r="AC110" s="5"/>
      <c r="AE110" t="str">
        <f>IFERROR(INDEX(EqTag,_xlfn.AGGREGATE(15,6,(ROW(EqTag)-4)/((EqSys=$D$3)*(EqTag&lt;&gt;"")),ROWS($AE$14:AE110))),"")</f>
        <v/>
      </c>
    </row>
    <row r="111" spans="1:31" ht="30" customHeight="1" x14ac:dyDescent="0.2">
      <c r="A111" s="19" t="str">
        <f>IF(F111="","",LEFT($D$3,3)&amp;"-"&amp;TEXT(COUNTIF(F$14:F111,"?*"),"00"))</f>
        <v/>
      </c>
      <c r="B111" s="5"/>
      <c r="C111" s="6" t="str">
        <f t="shared" si="18"/>
        <v/>
      </c>
      <c r="D111" s="5"/>
      <c r="E111" s="5"/>
      <c r="F111" s="5"/>
      <c r="G111" s="5"/>
      <c r="H111" s="5"/>
      <c r="I111" s="5"/>
      <c r="J111" s="5"/>
      <c r="K111" s="15"/>
      <c r="L111" s="5"/>
      <c r="M111" s="15"/>
      <c r="N111" s="5"/>
      <c r="O111" s="15"/>
      <c r="P111" s="19" t="str">
        <f t="shared" si="19"/>
        <v/>
      </c>
      <c r="Q111" s="19" t="str">
        <f t="shared" si="20"/>
        <v/>
      </c>
      <c r="R111" s="19" t="str">
        <f t="shared" si="21"/>
        <v/>
      </c>
      <c r="S111" s="5"/>
      <c r="T111" s="5"/>
      <c r="U111" s="5"/>
      <c r="V111" s="24"/>
      <c r="W111" s="15"/>
      <c r="X111" s="15"/>
      <c r="Y111" s="15"/>
      <c r="Z111" s="19" t="str">
        <f t="shared" si="22"/>
        <v/>
      </c>
      <c r="AA111" s="19" t="str">
        <f t="shared" si="23"/>
        <v/>
      </c>
      <c r="AB111" s="5"/>
      <c r="AC111" s="5"/>
      <c r="AE111" t="str">
        <f>IFERROR(INDEX(EqTag,_xlfn.AGGREGATE(15,6,(ROW(EqTag)-4)/((EqSys=$D$3)*(EqTag&lt;&gt;"")),ROWS($AE$14:AE111))),"")</f>
        <v/>
      </c>
    </row>
    <row r="112" spans="1:31" ht="30" customHeight="1" x14ac:dyDescent="0.2">
      <c r="A112" s="19" t="str">
        <f>IF(F112="","",LEFT($D$3,3)&amp;"-"&amp;TEXT(COUNTIF(F$14:F112,"?*"),"00"))</f>
        <v/>
      </c>
      <c r="B112" s="5"/>
      <c r="C112" s="6" t="str">
        <f t="shared" si="18"/>
        <v/>
      </c>
      <c r="D112" s="5"/>
      <c r="E112" s="5"/>
      <c r="F112" s="5"/>
      <c r="G112" s="5"/>
      <c r="H112" s="5"/>
      <c r="I112" s="5"/>
      <c r="J112" s="5"/>
      <c r="K112" s="15"/>
      <c r="L112" s="5"/>
      <c r="M112" s="15"/>
      <c r="N112" s="5"/>
      <c r="O112" s="15"/>
      <c r="P112" s="19" t="str">
        <f t="shared" si="19"/>
        <v/>
      </c>
      <c r="Q112" s="19" t="str">
        <f t="shared" si="20"/>
        <v/>
      </c>
      <c r="R112" s="19" t="str">
        <f t="shared" si="21"/>
        <v/>
      </c>
      <c r="S112" s="5"/>
      <c r="T112" s="5"/>
      <c r="U112" s="5"/>
      <c r="V112" s="24"/>
      <c r="W112" s="15"/>
      <c r="X112" s="15"/>
      <c r="Y112" s="15"/>
      <c r="Z112" s="19" t="str">
        <f t="shared" si="22"/>
        <v/>
      </c>
      <c r="AA112" s="19" t="str">
        <f t="shared" si="23"/>
        <v/>
      </c>
      <c r="AB112" s="5"/>
      <c r="AC112" s="5"/>
      <c r="AE112" t="str">
        <f>IFERROR(INDEX(EqTag,_xlfn.AGGREGATE(15,6,(ROW(EqTag)-4)/((EqSys=$D$3)*(EqTag&lt;&gt;"")),ROWS($AE$14:AE112))),"")</f>
        <v/>
      </c>
    </row>
    <row r="113" spans="1:31" ht="30" customHeight="1" x14ac:dyDescent="0.2">
      <c r="A113" s="19" t="str">
        <f>IF(F113="","",LEFT($D$3,3)&amp;"-"&amp;TEXT(COUNTIF(F$14:F113,"?*"),"00"))</f>
        <v/>
      </c>
      <c r="B113" s="5"/>
      <c r="C113" s="6" t="str">
        <f t="shared" si="18"/>
        <v/>
      </c>
      <c r="D113" s="5"/>
      <c r="E113" s="5"/>
      <c r="F113" s="5"/>
      <c r="G113" s="5"/>
      <c r="H113" s="5"/>
      <c r="I113" s="5"/>
      <c r="J113" s="5"/>
      <c r="K113" s="15"/>
      <c r="L113" s="5"/>
      <c r="M113" s="15"/>
      <c r="N113" s="5"/>
      <c r="O113" s="15"/>
      <c r="P113" s="19" t="str">
        <f t="shared" si="19"/>
        <v/>
      </c>
      <c r="Q113" s="19" t="str">
        <f t="shared" si="20"/>
        <v/>
      </c>
      <c r="R113" s="19" t="str">
        <f t="shared" si="21"/>
        <v/>
      </c>
      <c r="S113" s="5"/>
      <c r="T113" s="5"/>
      <c r="U113" s="5"/>
      <c r="V113" s="24"/>
      <c r="W113" s="15"/>
      <c r="X113" s="15"/>
      <c r="Y113" s="15"/>
      <c r="Z113" s="19" t="str">
        <f t="shared" si="22"/>
        <v/>
      </c>
      <c r="AA113" s="19" t="str">
        <f t="shared" si="23"/>
        <v/>
      </c>
      <c r="AB113" s="5"/>
      <c r="AC113" s="5"/>
      <c r="AE113" t="str">
        <f>IFERROR(INDEX(EqTag,_xlfn.AGGREGATE(15,6,(ROW(EqTag)-4)/((EqSys=$D$3)*(EqTag&lt;&gt;"")),ROWS($AE$14:AE113))),"")</f>
        <v/>
      </c>
    </row>
    <row r="114" spans="1:31" ht="30" customHeight="1" x14ac:dyDescent="0.2">
      <c r="A114" s="19" t="str">
        <f>IF(F114="","",LEFT($D$3,3)&amp;"-"&amp;TEXT(COUNTIF(F$14:F114,"?*"),"00"))</f>
        <v/>
      </c>
      <c r="B114" s="5"/>
      <c r="C114" s="6" t="str">
        <f t="shared" si="18"/>
        <v/>
      </c>
      <c r="D114" s="5"/>
      <c r="E114" s="5"/>
      <c r="F114" s="5"/>
      <c r="G114" s="5"/>
      <c r="H114" s="5"/>
      <c r="I114" s="5"/>
      <c r="J114" s="5"/>
      <c r="K114" s="15"/>
      <c r="L114" s="5"/>
      <c r="M114" s="15"/>
      <c r="N114" s="5"/>
      <c r="O114" s="15"/>
      <c r="P114" s="19" t="str">
        <f t="shared" si="19"/>
        <v/>
      </c>
      <c r="Q114" s="19" t="str">
        <f t="shared" si="20"/>
        <v/>
      </c>
      <c r="R114" s="19" t="str">
        <f t="shared" si="21"/>
        <v/>
      </c>
      <c r="S114" s="5"/>
      <c r="T114" s="5"/>
      <c r="U114" s="5"/>
      <c r="V114" s="24"/>
      <c r="W114" s="15"/>
      <c r="X114" s="15"/>
      <c r="Y114" s="15"/>
      <c r="Z114" s="19" t="str">
        <f t="shared" si="22"/>
        <v/>
      </c>
      <c r="AA114" s="19" t="str">
        <f t="shared" si="23"/>
        <v/>
      </c>
      <c r="AB114" s="5"/>
      <c r="AC114" s="5"/>
      <c r="AE114" t="str">
        <f>IFERROR(INDEX(EqTag,_xlfn.AGGREGATE(15,6,(ROW(EqTag)-4)/((EqSys=$D$3)*(EqTag&lt;&gt;"")),ROWS($AE$14:AE114))),"")</f>
        <v/>
      </c>
    </row>
    <row r="115" spans="1:31" ht="30" customHeight="1" x14ac:dyDescent="0.2">
      <c r="A115" s="19" t="str">
        <f>IF(F115="","",LEFT($D$3,3)&amp;"-"&amp;TEXT(COUNTIF(F$14:F115,"?*"),"00"))</f>
        <v/>
      </c>
      <c r="B115" s="5"/>
      <c r="C115" s="6" t="str">
        <f t="shared" si="18"/>
        <v/>
      </c>
      <c r="D115" s="5"/>
      <c r="E115" s="5"/>
      <c r="F115" s="5"/>
      <c r="G115" s="5"/>
      <c r="H115" s="5"/>
      <c r="I115" s="5"/>
      <c r="J115" s="5"/>
      <c r="K115" s="15"/>
      <c r="L115" s="5"/>
      <c r="M115" s="15"/>
      <c r="N115" s="5"/>
      <c r="O115" s="15"/>
      <c r="P115" s="19" t="str">
        <f t="shared" si="19"/>
        <v/>
      </c>
      <c r="Q115" s="19" t="str">
        <f t="shared" si="20"/>
        <v/>
      </c>
      <c r="R115" s="19" t="str">
        <f t="shared" si="21"/>
        <v/>
      </c>
      <c r="S115" s="5"/>
      <c r="T115" s="5"/>
      <c r="U115" s="5"/>
      <c r="V115" s="24"/>
      <c r="W115" s="15"/>
      <c r="X115" s="15"/>
      <c r="Y115" s="15"/>
      <c r="Z115" s="19" t="str">
        <f t="shared" si="22"/>
        <v/>
      </c>
      <c r="AA115" s="19" t="str">
        <f t="shared" si="23"/>
        <v/>
      </c>
      <c r="AB115" s="5"/>
      <c r="AC115" s="5"/>
      <c r="AE115" t="str">
        <f>IFERROR(INDEX(EqTag,_xlfn.AGGREGATE(15,6,(ROW(EqTag)-4)/((EqSys=$D$3)*(EqTag&lt;&gt;"")),ROWS($AE$14:AE115))),"")</f>
        <v/>
      </c>
    </row>
    <row r="116" spans="1:31" ht="30" customHeight="1" x14ac:dyDescent="0.2">
      <c r="A116" s="19" t="str">
        <f>IF(F116="","",LEFT($D$3,3)&amp;"-"&amp;TEXT(COUNTIF(F$14:F116,"?*"),"00"))</f>
        <v/>
      </c>
      <c r="B116" s="5"/>
      <c r="C116" s="6" t="str">
        <f t="shared" si="18"/>
        <v/>
      </c>
      <c r="D116" s="5"/>
      <c r="E116" s="5"/>
      <c r="F116" s="5"/>
      <c r="G116" s="5"/>
      <c r="H116" s="5"/>
      <c r="I116" s="5"/>
      <c r="J116" s="5"/>
      <c r="K116" s="15"/>
      <c r="L116" s="5"/>
      <c r="M116" s="15"/>
      <c r="N116" s="5"/>
      <c r="O116" s="15"/>
      <c r="P116" s="19" t="str">
        <f t="shared" si="19"/>
        <v/>
      </c>
      <c r="Q116" s="19" t="str">
        <f t="shared" si="20"/>
        <v/>
      </c>
      <c r="R116" s="19" t="str">
        <f t="shared" si="21"/>
        <v/>
      </c>
      <c r="S116" s="5"/>
      <c r="T116" s="5"/>
      <c r="U116" s="5"/>
      <c r="V116" s="24"/>
      <c r="W116" s="15"/>
      <c r="X116" s="15"/>
      <c r="Y116" s="15"/>
      <c r="Z116" s="19" t="str">
        <f t="shared" si="22"/>
        <v/>
      </c>
      <c r="AA116" s="19" t="str">
        <f t="shared" si="23"/>
        <v/>
      </c>
      <c r="AB116" s="5"/>
      <c r="AC116" s="5"/>
      <c r="AE116" t="str">
        <f>IFERROR(INDEX(EqTag,_xlfn.AGGREGATE(15,6,(ROW(EqTag)-4)/((EqSys=$D$3)*(EqTag&lt;&gt;"")),ROWS($AE$14:AE116))),"")</f>
        <v/>
      </c>
    </row>
    <row r="117" spans="1:31" ht="30" customHeight="1" x14ac:dyDescent="0.2">
      <c r="A117" s="19" t="str">
        <f>IF(F117="","",LEFT($D$3,3)&amp;"-"&amp;TEXT(COUNTIF(F$14:F117,"?*"),"00"))</f>
        <v/>
      </c>
      <c r="B117" s="5"/>
      <c r="C117" s="6" t="str">
        <f t="shared" si="18"/>
        <v/>
      </c>
      <c r="D117" s="5"/>
      <c r="E117" s="5"/>
      <c r="F117" s="5"/>
      <c r="G117" s="5"/>
      <c r="H117" s="5"/>
      <c r="I117" s="5"/>
      <c r="J117" s="5"/>
      <c r="K117" s="15"/>
      <c r="L117" s="5"/>
      <c r="M117" s="15"/>
      <c r="N117" s="5"/>
      <c r="O117" s="15"/>
      <c r="P117" s="19" t="str">
        <f t="shared" si="19"/>
        <v/>
      </c>
      <c r="Q117" s="19" t="str">
        <f t="shared" si="20"/>
        <v/>
      </c>
      <c r="R117" s="19" t="str">
        <f t="shared" si="21"/>
        <v/>
      </c>
      <c r="S117" s="5"/>
      <c r="T117" s="5"/>
      <c r="U117" s="5"/>
      <c r="V117" s="24"/>
      <c r="W117" s="15"/>
      <c r="X117" s="15"/>
      <c r="Y117" s="15"/>
      <c r="Z117" s="19" t="str">
        <f t="shared" si="22"/>
        <v/>
      </c>
      <c r="AA117" s="19" t="str">
        <f t="shared" si="23"/>
        <v/>
      </c>
      <c r="AB117" s="5"/>
      <c r="AC117" s="5"/>
      <c r="AE117" t="str">
        <f>IFERROR(INDEX(EqTag,_xlfn.AGGREGATE(15,6,(ROW(EqTag)-4)/((EqSys=$D$3)*(EqTag&lt;&gt;"")),ROWS($AE$14:AE117))),"")</f>
        <v/>
      </c>
    </row>
    <row r="118" spans="1:31" ht="30" customHeight="1" x14ac:dyDescent="0.2">
      <c r="A118" s="19" t="str">
        <f>IF(F118="","",LEFT($D$3,3)&amp;"-"&amp;TEXT(COUNTIF(F$14:F118,"?*"),"00"))</f>
        <v/>
      </c>
      <c r="B118" s="5"/>
      <c r="C118" s="6" t="str">
        <f t="shared" si="18"/>
        <v/>
      </c>
      <c r="D118" s="5"/>
      <c r="E118" s="5"/>
      <c r="F118" s="5"/>
      <c r="G118" s="5"/>
      <c r="H118" s="5"/>
      <c r="I118" s="5"/>
      <c r="J118" s="5"/>
      <c r="K118" s="15"/>
      <c r="L118" s="5"/>
      <c r="M118" s="15"/>
      <c r="N118" s="5"/>
      <c r="O118" s="15"/>
      <c r="P118" s="19" t="str">
        <f t="shared" si="19"/>
        <v/>
      </c>
      <c r="Q118" s="19" t="str">
        <f t="shared" si="20"/>
        <v/>
      </c>
      <c r="R118" s="19" t="str">
        <f t="shared" si="21"/>
        <v/>
      </c>
      <c r="S118" s="5"/>
      <c r="T118" s="5"/>
      <c r="U118" s="5"/>
      <c r="V118" s="24"/>
      <c r="W118" s="15"/>
      <c r="X118" s="15"/>
      <c r="Y118" s="15"/>
      <c r="Z118" s="19" t="str">
        <f t="shared" si="22"/>
        <v/>
      </c>
      <c r="AA118" s="19" t="str">
        <f t="shared" si="23"/>
        <v/>
      </c>
      <c r="AB118" s="5"/>
      <c r="AC118" s="5"/>
      <c r="AE118" t="str">
        <f>IFERROR(INDEX(EqTag,_xlfn.AGGREGATE(15,6,(ROW(EqTag)-4)/((EqSys=$D$3)*(EqTag&lt;&gt;"")),ROWS($AE$14:AE118))),"")</f>
        <v/>
      </c>
    </row>
    <row r="119" spans="1:31" ht="30" customHeight="1" x14ac:dyDescent="0.2">
      <c r="A119" s="19" t="str">
        <f>IF(F119="","",LEFT($D$3,3)&amp;"-"&amp;TEXT(COUNTIF(F$14:F119,"?*"),"00"))</f>
        <v/>
      </c>
      <c r="B119" s="5"/>
      <c r="C119" s="6" t="str">
        <f t="shared" si="18"/>
        <v/>
      </c>
      <c r="D119" s="5"/>
      <c r="E119" s="5"/>
      <c r="F119" s="5"/>
      <c r="G119" s="5"/>
      <c r="H119" s="5"/>
      <c r="I119" s="5"/>
      <c r="J119" s="5"/>
      <c r="K119" s="15"/>
      <c r="L119" s="5"/>
      <c r="M119" s="15"/>
      <c r="N119" s="5"/>
      <c r="O119" s="15"/>
      <c r="P119" s="19" t="str">
        <f t="shared" si="19"/>
        <v/>
      </c>
      <c r="Q119" s="19" t="str">
        <f t="shared" si="20"/>
        <v/>
      </c>
      <c r="R119" s="19" t="str">
        <f t="shared" si="21"/>
        <v/>
      </c>
      <c r="S119" s="5"/>
      <c r="T119" s="5"/>
      <c r="U119" s="5"/>
      <c r="V119" s="24"/>
      <c r="W119" s="15"/>
      <c r="X119" s="15"/>
      <c r="Y119" s="15"/>
      <c r="Z119" s="19" t="str">
        <f t="shared" si="22"/>
        <v/>
      </c>
      <c r="AA119" s="19" t="str">
        <f t="shared" si="23"/>
        <v/>
      </c>
      <c r="AB119" s="5"/>
      <c r="AC119" s="5"/>
      <c r="AE119" t="str">
        <f>IFERROR(INDEX(EqTag,_xlfn.AGGREGATE(15,6,(ROW(EqTag)-4)/((EqSys=$D$3)*(EqTag&lt;&gt;"")),ROWS($AE$14:AE119))),"")</f>
        <v/>
      </c>
    </row>
    <row r="120" spans="1:31" ht="30" customHeight="1" x14ac:dyDescent="0.2">
      <c r="A120" s="19" t="str">
        <f>IF(F120="","",LEFT($D$3,3)&amp;"-"&amp;TEXT(COUNTIF(F$14:F120,"?*"),"00"))</f>
        <v/>
      </c>
      <c r="B120" s="5"/>
      <c r="C120" s="6" t="str">
        <f t="shared" si="18"/>
        <v/>
      </c>
      <c r="D120" s="5"/>
      <c r="E120" s="5"/>
      <c r="F120" s="5"/>
      <c r="G120" s="5"/>
      <c r="H120" s="5"/>
      <c r="I120" s="5"/>
      <c r="J120" s="5"/>
      <c r="K120" s="15"/>
      <c r="L120" s="5"/>
      <c r="M120" s="15"/>
      <c r="N120" s="5"/>
      <c r="O120" s="15"/>
      <c r="P120" s="19" t="str">
        <f t="shared" si="19"/>
        <v/>
      </c>
      <c r="Q120" s="19" t="str">
        <f t="shared" si="20"/>
        <v/>
      </c>
      <c r="R120" s="19" t="str">
        <f t="shared" si="21"/>
        <v/>
      </c>
      <c r="S120" s="5"/>
      <c r="T120" s="5"/>
      <c r="U120" s="5"/>
      <c r="V120" s="24"/>
      <c r="W120" s="15"/>
      <c r="X120" s="15"/>
      <c r="Y120" s="15"/>
      <c r="Z120" s="19" t="str">
        <f t="shared" si="22"/>
        <v/>
      </c>
      <c r="AA120" s="19" t="str">
        <f t="shared" si="23"/>
        <v/>
      </c>
      <c r="AB120" s="5"/>
      <c r="AC120" s="5"/>
      <c r="AE120" t="str">
        <f>IFERROR(INDEX(EqTag,_xlfn.AGGREGATE(15,6,(ROW(EqTag)-4)/((EqSys=$D$3)*(EqTag&lt;&gt;"")),ROWS($AE$14:AE120))),"")</f>
        <v/>
      </c>
    </row>
    <row r="121" spans="1:31" ht="30" customHeight="1" x14ac:dyDescent="0.2">
      <c r="A121" s="19" t="str">
        <f>IF(F121="","",LEFT($D$3,3)&amp;"-"&amp;TEXT(COUNTIF(F$14:F121,"?*"),"00"))</f>
        <v/>
      </c>
      <c r="B121" s="5"/>
      <c r="C121" s="6" t="str">
        <f t="shared" si="18"/>
        <v/>
      </c>
      <c r="D121" s="5"/>
      <c r="E121" s="5"/>
      <c r="F121" s="5"/>
      <c r="G121" s="5"/>
      <c r="H121" s="5"/>
      <c r="I121" s="5"/>
      <c r="J121" s="5"/>
      <c r="K121" s="15"/>
      <c r="L121" s="5"/>
      <c r="M121" s="15"/>
      <c r="N121" s="5"/>
      <c r="O121" s="15"/>
      <c r="P121" s="19" t="str">
        <f t="shared" si="19"/>
        <v/>
      </c>
      <c r="Q121" s="19" t="str">
        <f t="shared" si="20"/>
        <v/>
      </c>
      <c r="R121" s="19" t="str">
        <f t="shared" si="21"/>
        <v/>
      </c>
      <c r="S121" s="5"/>
      <c r="T121" s="5"/>
      <c r="U121" s="5"/>
      <c r="V121" s="24"/>
      <c r="W121" s="15"/>
      <c r="X121" s="15"/>
      <c r="Y121" s="15"/>
      <c r="Z121" s="19" t="str">
        <f t="shared" si="22"/>
        <v/>
      </c>
      <c r="AA121" s="19" t="str">
        <f t="shared" si="23"/>
        <v/>
      </c>
      <c r="AB121" s="5"/>
      <c r="AC121" s="5"/>
      <c r="AE121" t="str">
        <f>IFERROR(INDEX(EqTag,_xlfn.AGGREGATE(15,6,(ROW(EqTag)-4)/((EqSys=$D$3)*(EqTag&lt;&gt;"")),ROWS($AE$14:AE121))),"")</f>
        <v/>
      </c>
    </row>
    <row r="122" spans="1:31" ht="30" customHeight="1" x14ac:dyDescent="0.2">
      <c r="A122" s="19" t="str">
        <f>IF(F122="","",LEFT($D$3,3)&amp;"-"&amp;TEXT(COUNTIF(F$14:F122,"?*"),"00"))</f>
        <v/>
      </c>
      <c r="B122" s="5"/>
      <c r="C122" s="6" t="str">
        <f t="shared" si="18"/>
        <v/>
      </c>
      <c r="D122" s="5"/>
      <c r="E122" s="5"/>
      <c r="F122" s="5"/>
      <c r="G122" s="5"/>
      <c r="H122" s="5"/>
      <c r="I122" s="5"/>
      <c r="J122" s="5"/>
      <c r="K122" s="15"/>
      <c r="L122" s="5"/>
      <c r="M122" s="15"/>
      <c r="N122" s="5"/>
      <c r="O122" s="15"/>
      <c r="P122" s="19" t="str">
        <f t="shared" si="19"/>
        <v/>
      </c>
      <c r="Q122" s="19" t="str">
        <f t="shared" si="20"/>
        <v/>
      </c>
      <c r="R122" s="19" t="str">
        <f t="shared" si="21"/>
        <v/>
      </c>
      <c r="S122" s="5"/>
      <c r="T122" s="5"/>
      <c r="U122" s="5"/>
      <c r="V122" s="24"/>
      <c r="W122" s="15"/>
      <c r="X122" s="15"/>
      <c r="Y122" s="15"/>
      <c r="Z122" s="19" t="str">
        <f t="shared" si="22"/>
        <v/>
      </c>
      <c r="AA122" s="19" t="str">
        <f t="shared" si="23"/>
        <v/>
      </c>
      <c r="AB122" s="5"/>
      <c r="AC122" s="5"/>
      <c r="AE122" t="str">
        <f>IFERROR(INDEX(EqTag,_xlfn.AGGREGATE(15,6,(ROW(EqTag)-4)/((EqSys=$D$3)*(EqTag&lt;&gt;"")),ROWS($AE$14:AE122))),"")</f>
        <v/>
      </c>
    </row>
    <row r="123" spans="1:31" ht="30" customHeight="1" x14ac:dyDescent="0.2">
      <c r="A123" s="19" t="str">
        <f>IF(F123="","",LEFT($D$3,3)&amp;"-"&amp;TEXT(COUNTIF(F$14:F123,"?*"),"00"))</f>
        <v/>
      </c>
      <c r="B123" s="5"/>
      <c r="C123" s="6" t="str">
        <f t="shared" si="18"/>
        <v/>
      </c>
      <c r="D123" s="5"/>
      <c r="E123" s="5"/>
      <c r="F123" s="5"/>
      <c r="G123" s="5"/>
      <c r="H123" s="5"/>
      <c r="I123" s="5"/>
      <c r="J123" s="5"/>
      <c r="K123" s="15"/>
      <c r="L123" s="5"/>
      <c r="M123" s="15"/>
      <c r="N123" s="5"/>
      <c r="O123" s="15"/>
      <c r="P123" s="19" t="str">
        <f t="shared" si="19"/>
        <v/>
      </c>
      <c r="Q123" s="19" t="str">
        <f t="shared" si="20"/>
        <v/>
      </c>
      <c r="R123" s="19" t="str">
        <f t="shared" si="21"/>
        <v/>
      </c>
      <c r="S123" s="5"/>
      <c r="T123" s="5"/>
      <c r="U123" s="5"/>
      <c r="V123" s="24"/>
      <c r="W123" s="15"/>
      <c r="X123" s="15"/>
      <c r="Y123" s="15"/>
      <c r="Z123" s="19" t="str">
        <f t="shared" si="22"/>
        <v/>
      </c>
      <c r="AA123" s="19" t="str">
        <f t="shared" si="23"/>
        <v/>
      </c>
      <c r="AB123" s="5"/>
      <c r="AC123" s="5"/>
      <c r="AE123" t="str">
        <f>IFERROR(INDEX(EqTag,_xlfn.AGGREGATE(15,6,(ROW(EqTag)-4)/((EqSys=$D$3)*(EqTag&lt;&gt;"")),ROWS($AE$14:AE123))),"")</f>
        <v/>
      </c>
    </row>
    <row r="124" spans="1:31" ht="30" customHeight="1" x14ac:dyDescent="0.2">
      <c r="A124" s="19" t="str">
        <f>IF(F124="","",LEFT($D$3,3)&amp;"-"&amp;TEXT(COUNTIF(F$14:F124,"?*"),"00"))</f>
        <v/>
      </c>
      <c r="B124" s="5"/>
      <c r="C124" s="6" t="str">
        <f t="shared" si="18"/>
        <v/>
      </c>
      <c r="D124" s="5"/>
      <c r="E124" s="5"/>
      <c r="F124" s="5"/>
      <c r="G124" s="5"/>
      <c r="H124" s="5"/>
      <c r="I124" s="5"/>
      <c r="J124" s="5"/>
      <c r="K124" s="15"/>
      <c r="L124" s="5"/>
      <c r="M124" s="15"/>
      <c r="N124" s="5"/>
      <c r="O124" s="15"/>
      <c r="P124" s="19" t="str">
        <f t="shared" si="19"/>
        <v/>
      </c>
      <c r="Q124" s="19" t="str">
        <f t="shared" si="20"/>
        <v/>
      </c>
      <c r="R124" s="19" t="str">
        <f t="shared" si="21"/>
        <v/>
      </c>
      <c r="S124" s="5"/>
      <c r="T124" s="5"/>
      <c r="U124" s="5"/>
      <c r="V124" s="24"/>
      <c r="W124" s="15"/>
      <c r="X124" s="15"/>
      <c r="Y124" s="15"/>
      <c r="Z124" s="19" t="str">
        <f t="shared" si="22"/>
        <v/>
      </c>
      <c r="AA124" s="19" t="str">
        <f t="shared" si="23"/>
        <v/>
      </c>
      <c r="AB124" s="5"/>
      <c r="AC124" s="5"/>
      <c r="AE124" t="str">
        <f>IFERROR(INDEX(EqTag,_xlfn.AGGREGATE(15,6,(ROW(EqTag)-4)/((EqSys=$D$3)*(EqTag&lt;&gt;"")),ROWS($AE$14:AE124))),"")</f>
        <v/>
      </c>
    </row>
    <row r="125" spans="1:31" ht="30" customHeight="1" x14ac:dyDescent="0.2">
      <c r="A125" s="19" t="str">
        <f>IF(F125="","",LEFT($D$3,3)&amp;"-"&amp;TEXT(COUNTIF(F$14:F125,"?*"),"00"))</f>
        <v/>
      </c>
      <c r="B125" s="5"/>
      <c r="C125" s="6" t="str">
        <f t="shared" si="18"/>
        <v/>
      </c>
      <c r="D125" s="5"/>
      <c r="E125" s="5"/>
      <c r="F125" s="5"/>
      <c r="G125" s="5"/>
      <c r="H125" s="5"/>
      <c r="I125" s="5"/>
      <c r="J125" s="5"/>
      <c r="K125" s="15"/>
      <c r="L125" s="5"/>
      <c r="M125" s="15"/>
      <c r="N125" s="5"/>
      <c r="O125" s="15"/>
      <c r="P125" s="19" t="str">
        <f t="shared" si="19"/>
        <v/>
      </c>
      <c r="Q125" s="19" t="str">
        <f t="shared" si="20"/>
        <v/>
      </c>
      <c r="R125" s="19" t="str">
        <f t="shared" si="21"/>
        <v/>
      </c>
      <c r="S125" s="5"/>
      <c r="T125" s="5"/>
      <c r="U125" s="5"/>
      <c r="V125" s="24"/>
      <c r="W125" s="15"/>
      <c r="X125" s="15"/>
      <c r="Y125" s="15"/>
      <c r="Z125" s="19" t="str">
        <f t="shared" si="22"/>
        <v/>
      </c>
      <c r="AA125" s="19" t="str">
        <f t="shared" si="23"/>
        <v/>
      </c>
      <c r="AB125" s="5"/>
      <c r="AC125" s="5"/>
      <c r="AE125" t="str">
        <f>IFERROR(INDEX(EqTag,_xlfn.AGGREGATE(15,6,(ROW(EqTag)-4)/((EqSys=$D$3)*(EqTag&lt;&gt;"")),ROWS($AE$14:AE125))),"")</f>
        <v/>
      </c>
    </row>
    <row r="126" spans="1:31" ht="30" customHeight="1" x14ac:dyDescent="0.2">
      <c r="A126" s="19" t="str">
        <f>IF(F126="","",LEFT($D$3,3)&amp;"-"&amp;TEXT(COUNTIF(F$14:F126,"?*"),"00"))</f>
        <v/>
      </c>
      <c r="B126" s="5"/>
      <c r="C126" s="6" t="str">
        <f t="shared" si="18"/>
        <v/>
      </c>
      <c r="D126" s="5"/>
      <c r="E126" s="5"/>
      <c r="F126" s="5"/>
      <c r="G126" s="5"/>
      <c r="H126" s="5"/>
      <c r="I126" s="5"/>
      <c r="J126" s="5"/>
      <c r="K126" s="15"/>
      <c r="L126" s="5"/>
      <c r="M126" s="15"/>
      <c r="N126" s="5"/>
      <c r="O126" s="15"/>
      <c r="P126" s="19" t="str">
        <f t="shared" si="19"/>
        <v/>
      </c>
      <c r="Q126" s="19" t="str">
        <f t="shared" si="20"/>
        <v/>
      </c>
      <c r="R126" s="19" t="str">
        <f t="shared" si="21"/>
        <v/>
      </c>
      <c r="S126" s="5"/>
      <c r="T126" s="5"/>
      <c r="U126" s="5"/>
      <c r="V126" s="24"/>
      <c r="W126" s="15"/>
      <c r="X126" s="15"/>
      <c r="Y126" s="15"/>
      <c r="Z126" s="19" t="str">
        <f t="shared" si="22"/>
        <v/>
      </c>
      <c r="AA126" s="19" t="str">
        <f t="shared" si="23"/>
        <v/>
      </c>
      <c r="AB126" s="5"/>
      <c r="AC126" s="5"/>
      <c r="AE126" t="str">
        <f>IFERROR(INDEX(EqTag,_xlfn.AGGREGATE(15,6,(ROW(EqTag)-4)/((EqSys=$D$3)*(EqTag&lt;&gt;"")),ROWS($AE$14:AE126))),"")</f>
        <v/>
      </c>
    </row>
    <row r="127" spans="1:31" ht="30" customHeight="1" x14ac:dyDescent="0.2">
      <c r="A127" s="19" t="str">
        <f>IF(F127="","",LEFT($D$3,3)&amp;"-"&amp;TEXT(COUNTIF(F$14:F127,"?*"),"00"))</f>
        <v/>
      </c>
      <c r="B127" s="5"/>
      <c r="C127" s="6" t="str">
        <f t="shared" si="18"/>
        <v/>
      </c>
      <c r="D127" s="5"/>
      <c r="E127" s="5"/>
      <c r="F127" s="5"/>
      <c r="G127" s="5"/>
      <c r="H127" s="5"/>
      <c r="I127" s="5"/>
      <c r="J127" s="5"/>
      <c r="K127" s="15"/>
      <c r="L127" s="5"/>
      <c r="M127" s="15"/>
      <c r="N127" s="5"/>
      <c r="O127" s="15"/>
      <c r="P127" s="19" t="str">
        <f t="shared" si="19"/>
        <v/>
      </c>
      <c r="Q127" s="19" t="str">
        <f t="shared" si="20"/>
        <v/>
      </c>
      <c r="R127" s="19" t="str">
        <f t="shared" si="21"/>
        <v/>
      </c>
      <c r="S127" s="5"/>
      <c r="T127" s="5"/>
      <c r="U127" s="5"/>
      <c r="V127" s="24"/>
      <c r="W127" s="15"/>
      <c r="X127" s="15"/>
      <c r="Y127" s="15"/>
      <c r="Z127" s="19" t="str">
        <f t="shared" si="22"/>
        <v/>
      </c>
      <c r="AA127" s="19" t="str">
        <f t="shared" si="23"/>
        <v/>
      </c>
      <c r="AB127" s="5"/>
      <c r="AC127" s="5"/>
      <c r="AE127" t="str">
        <f>IFERROR(INDEX(EqTag,_xlfn.AGGREGATE(15,6,(ROW(EqTag)-4)/((EqSys=$D$3)*(EqTag&lt;&gt;"")),ROWS($AE$14:AE127))),"")</f>
        <v/>
      </c>
    </row>
    <row r="128" spans="1:31" ht="30" customHeight="1" x14ac:dyDescent="0.2">
      <c r="A128" s="19" t="str">
        <f>IF(F128="","",LEFT($D$3,3)&amp;"-"&amp;TEXT(COUNTIF(F$14:F128,"?*"),"00"))</f>
        <v/>
      </c>
      <c r="B128" s="5"/>
      <c r="C128" s="6" t="str">
        <f t="shared" si="18"/>
        <v/>
      </c>
      <c r="D128" s="5"/>
      <c r="E128" s="5"/>
      <c r="F128" s="5"/>
      <c r="G128" s="5"/>
      <c r="H128" s="5"/>
      <c r="I128" s="5"/>
      <c r="J128" s="5"/>
      <c r="K128" s="15"/>
      <c r="L128" s="5"/>
      <c r="M128" s="15"/>
      <c r="N128" s="5"/>
      <c r="O128" s="15"/>
      <c r="P128" s="19" t="str">
        <f t="shared" si="19"/>
        <v/>
      </c>
      <c r="Q128" s="19" t="str">
        <f t="shared" si="20"/>
        <v/>
      </c>
      <c r="R128" s="19" t="str">
        <f t="shared" si="21"/>
        <v/>
      </c>
      <c r="S128" s="5"/>
      <c r="T128" s="5"/>
      <c r="U128" s="5"/>
      <c r="V128" s="24"/>
      <c r="W128" s="15"/>
      <c r="X128" s="15"/>
      <c r="Y128" s="15"/>
      <c r="Z128" s="19" t="str">
        <f t="shared" si="22"/>
        <v/>
      </c>
      <c r="AA128" s="19" t="str">
        <f t="shared" si="23"/>
        <v/>
      </c>
      <c r="AB128" s="5"/>
      <c r="AC128" s="5"/>
      <c r="AE128" t="str">
        <f>IFERROR(INDEX(EqTag,_xlfn.AGGREGATE(15,6,(ROW(EqTag)-4)/((EqSys=$D$3)*(EqTag&lt;&gt;"")),ROWS($AE$14:AE128))),"")</f>
        <v/>
      </c>
    </row>
    <row r="129" spans="1:31" ht="30" customHeight="1" x14ac:dyDescent="0.2">
      <c r="A129" s="19" t="str">
        <f>IF(F129="","",LEFT($D$3,3)&amp;"-"&amp;TEXT(COUNTIF(F$14:F129,"?*"),"00"))</f>
        <v/>
      </c>
      <c r="B129" s="5"/>
      <c r="C129" s="6" t="str">
        <f t="shared" si="18"/>
        <v/>
      </c>
      <c r="D129" s="5"/>
      <c r="E129" s="5"/>
      <c r="F129" s="5"/>
      <c r="G129" s="5"/>
      <c r="H129" s="5"/>
      <c r="I129" s="5"/>
      <c r="J129" s="5"/>
      <c r="K129" s="15"/>
      <c r="L129" s="5"/>
      <c r="M129" s="15"/>
      <c r="N129" s="5"/>
      <c r="O129" s="15"/>
      <c r="P129" s="19" t="str">
        <f t="shared" si="19"/>
        <v/>
      </c>
      <c r="Q129" s="19" t="str">
        <f t="shared" si="20"/>
        <v/>
      </c>
      <c r="R129" s="19" t="str">
        <f t="shared" si="21"/>
        <v/>
      </c>
      <c r="S129" s="5"/>
      <c r="T129" s="5"/>
      <c r="U129" s="5"/>
      <c r="V129" s="24"/>
      <c r="W129" s="15"/>
      <c r="X129" s="15"/>
      <c r="Y129" s="15"/>
      <c r="Z129" s="19" t="str">
        <f t="shared" si="22"/>
        <v/>
      </c>
      <c r="AA129" s="19" t="str">
        <f t="shared" si="23"/>
        <v/>
      </c>
      <c r="AB129" s="5"/>
      <c r="AC129" s="5"/>
      <c r="AE129" t="str">
        <f>IFERROR(INDEX(EqTag,_xlfn.AGGREGATE(15,6,(ROW(EqTag)-4)/((EqSys=$D$3)*(EqTag&lt;&gt;"")),ROWS($AE$14:AE129))),"")</f>
        <v/>
      </c>
    </row>
    <row r="130" spans="1:31" ht="30" customHeight="1" x14ac:dyDescent="0.2">
      <c r="A130" s="19" t="str">
        <f>IF(F130="","",LEFT($D$3,3)&amp;"-"&amp;TEXT(COUNTIF(F$14:F130,"?*"),"00"))</f>
        <v/>
      </c>
      <c r="B130" s="5"/>
      <c r="C130" s="6" t="str">
        <f t="shared" si="18"/>
        <v/>
      </c>
      <c r="D130" s="5"/>
      <c r="E130" s="5"/>
      <c r="F130" s="5"/>
      <c r="G130" s="5"/>
      <c r="H130" s="5"/>
      <c r="I130" s="5"/>
      <c r="J130" s="5"/>
      <c r="K130" s="15"/>
      <c r="L130" s="5"/>
      <c r="M130" s="15"/>
      <c r="N130" s="5"/>
      <c r="O130" s="15"/>
      <c r="P130" s="19" t="str">
        <f t="shared" si="19"/>
        <v/>
      </c>
      <c r="Q130" s="19" t="str">
        <f t="shared" si="20"/>
        <v/>
      </c>
      <c r="R130" s="19" t="str">
        <f t="shared" si="21"/>
        <v/>
      </c>
      <c r="S130" s="5"/>
      <c r="T130" s="5"/>
      <c r="U130" s="5"/>
      <c r="V130" s="24"/>
      <c r="W130" s="15"/>
      <c r="X130" s="15"/>
      <c r="Y130" s="15"/>
      <c r="Z130" s="19" t="str">
        <f t="shared" si="22"/>
        <v/>
      </c>
      <c r="AA130" s="19" t="str">
        <f t="shared" si="23"/>
        <v/>
      </c>
      <c r="AB130" s="5"/>
      <c r="AC130" s="5"/>
      <c r="AE130" t="str">
        <f>IFERROR(INDEX(EqTag,_xlfn.AGGREGATE(15,6,(ROW(EqTag)-4)/((EqSys=$D$3)*(EqTag&lt;&gt;"")),ROWS($AE$14:AE130))),"")</f>
        <v/>
      </c>
    </row>
    <row r="131" spans="1:31" ht="30" customHeight="1" x14ac:dyDescent="0.2">
      <c r="A131" s="19" t="str">
        <f>IF(F131="","",LEFT($D$3,3)&amp;"-"&amp;TEXT(COUNTIF(F$14:F131,"?*"),"00"))</f>
        <v/>
      </c>
      <c r="B131" s="5"/>
      <c r="C131" s="6" t="str">
        <f t="shared" si="18"/>
        <v/>
      </c>
      <c r="D131" s="5"/>
      <c r="E131" s="5"/>
      <c r="F131" s="5"/>
      <c r="G131" s="5"/>
      <c r="H131" s="5"/>
      <c r="I131" s="5"/>
      <c r="J131" s="5"/>
      <c r="K131" s="15"/>
      <c r="L131" s="5"/>
      <c r="M131" s="15"/>
      <c r="N131" s="5"/>
      <c r="O131" s="15"/>
      <c r="P131" s="19" t="str">
        <f t="shared" si="19"/>
        <v/>
      </c>
      <c r="Q131" s="19" t="str">
        <f t="shared" si="20"/>
        <v/>
      </c>
      <c r="R131" s="19" t="str">
        <f t="shared" si="21"/>
        <v/>
      </c>
      <c r="S131" s="5"/>
      <c r="T131" s="5"/>
      <c r="U131" s="5"/>
      <c r="V131" s="24"/>
      <c r="W131" s="15"/>
      <c r="X131" s="15"/>
      <c r="Y131" s="15"/>
      <c r="Z131" s="19" t="str">
        <f t="shared" si="22"/>
        <v/>
      </c>
      <c r="AA131" s="19" t="str">
        <f t="shared" si="23"/>
        <v/>
      </c>
      <c r="AB131" s="5"/>
      <c r="AC131" s="5"/>
      <c r="AE131" t="str">
        <f>IFERROR(INDEX(EqTag,_xlfn.AGGREGATE(15,6,(ROW(EqTag)-4)/((EqSys=$D$3)*(EqTag&lt;&gt;"")),ROWS($AE$14:AE131))),"")</f>
        <v/>
      </c>
    </row>
    <row r="132" spans="1:31" ht="30" customHeight="1" x14ac:dyDescent="0.2">
      <c r="A132" s="19" t="str">
        <f>IF(F132="","",LEFT($D$3,3)&amp;"-"&amp;TEXT(COUNTIF(F$14:F132,"?*"),"00"))</f>
        <v/>
      </c>
      <c r="B132" s="5"/>
      <c r="C132" s="6" t="str">
        <f t="shared" si="18"/>
        <v/>
      </c>
      <c r="D132" s="5"/>
      <c r="E132" s="5"/>
      <c r="F132" s="5"/>
      <c r="G132" s="5"/>
      <c r="H132" s="5"/>
      <c r="I132" s="5"/>
      <c r="J132" s="5"/>
      <c r="K132" s="15"/>
      <c r="L132" s="5"/>
      <c r="M132" s="15"/>
      <c r="N132" s="5"/>
      <c r="O132" s="15"/>
      <c r="P132" s="19" t="str">
        <f t="shared" si="19"/>
        <v/>
      </c>
      <c r="Q132" s="19" t="str">
        <f t="shared" si="20"/>
        <v/>
      </c>
      <c r="R132" s="19" t="str">
        <f t="shared" si="21"/>
        <v/>
      </c>
      <c r="S132" s="5"/>
      <c r="T132" s="5"/>
      <c r="U132" s="5"/>
      <c r="V132" s="24"/>
      <c r="W132" s="15"/>
      <c r="X132" s="15"/>
      <c r="Y132" s="15"/>
      <c r="Z132" s="19" t="str">
        <f t="shared" si="22"/>
        <v/>
      </c>
      <c r="AA132" s="19" t="str">
        <f t="shared" si="23"/>
        <v/>
      </c>
      <c r="AB132" s="5"/>
      <c r="AC132" s="5"/>
      <c r="AE132" t="str">
        <f>IFERROR(INDEX(EqTag,_xlfn.AGGREGATE(15,6,(ROW(EqTag)-4)/((EqSys=$D$3)*(EqTag&lt;&gt;"")),ROWS($AE$14:AE132))),"")</f>
        <v/>
      </c>
    </row>
    <row r="133" spans="1:31" ht="30" customHeight="1" x14ac:dyDescent="0.2">
      <c r="A133" s="19" t="str">
        <f>IF(F133="","",LEFT($D$3,3)&amp;"-"&amp;TEXT(COUNTIF(F$14:F133,"?*"),"00"))</f>
        <v/>
      </c>
      <c r="B133" s="5"/>
      <c r="C133" s="6" t="str">
        <f t="shared" si="18"/>
        <v/>
      </c>
      <c r="D133" s="5"/>
      <c r="E133" s="5"/>
      <c r="F133" s="5"/>
      <c r="G133" s="5"/>
      <c r="H133" s="5"/>
      <c r="I133" s="5"/>
      <c r="J133" s="5"/>
      <c r="K133" s="15"/>
      <c r="L133" s="5"/>
      <c r="M133" s="15"/>
      <c r="N133" s="5"/>
      <c r="O133" s="15"/>
      <c r="P133" s="19" t="str">
        <f t="shared" si="19"/>
        <v/>
      </c>
      <c r="Q133" s="19" t="str">
        <f t="shared" si="20"/>
        <v/>
      </c>
      <c r="R133" s="19" t="str">
        <f t="shared" si="21"/>
        <v/>
      </c>
      <c r="S133" s="5"/>
      <c r="T133" s="5"/>
      <c r="U133" s="5"/>
      <c r="V133" s="24"/>
      <c r="W133" s="15"/>
      <c r="X133" s="15"/>
      <c r="Y133" s="15"/>
      <c r="Z133" s="19" t="str">
        <f t="shared" si="22"/>
        <v/>
      </c>
      <c r="AA133" s="19" t="str">
        <f t="shared" si="23"/>
        <v/>
      </c>
      <c r="AB133" s="5"/>
      <c r="AC133" s="5"/>
      <c r="AE133" t="str">
        <f>IFERROR(INDEX(EqTag,_xlfn.AGGREGATE(15,6,(ROW(EqTag)-4)/((EqSys=$D$3)*(EqTag&lt;&gt;"")),ROWS($AE$14:AE133))),"")</f>
        <v/>
      </c>
    </row>
    <row r="134" spans="1:31" ht="30" customHeight="1" x14ac:dyDescent="0.2">
      <c r="A134" s="19" t="str">
        <f>IF(F134="","",LEFT($D$3,3)&amp;"-"&amp;TEXT(COUNTIF(F$14:F134,"?*"),"00"))</f>
        <v/>
      </c>
      <c r="B134" s="5"/>
      <c r="C134" s="6" t="str">
        <f t="shared" si="18"/>
        <v/>
      </c>
      <c r="D134" s="5"/>
      <c r="E134" s="5"/>
      <c r="F134" s="5"/>
      <c r="G134" s="5"/>
      <c r="H134" s="5"/>
      <c r="I134" s="5"/>
      <c r="J134" s="5"/>
      <c r="K134" s="15"/>
      <c r="L134" s="5"/>
      <c r="M134" s="15"/>
      <c r="N134" s="5"/>
      <c r="O134" s="15"/>
      <c r="P134" s="19" t="str">
        <f t="shared" si="19"/>
        <v/>
      </c>
      <c r="Q134" s="19" t="str">
        <f t="shared" si="20"/>
        <v/>
      </c>
      <c r="R134" s="19" t="str">
        <f t="shared" si="21"/>
        <v/>
      </c>
      <c r="S134" s="5"/>
      <c r="T134" s="5"/>
      <c r="U134" s="5"/>
      <c r="V134" s="24"/>
      <c r="W134" s="15"/>
      <c r="X134" s="15"/>
      <c r="Y134" s="15"/>
      <c r="Z134" s="19" t="str">
        <f t="shared" si="22"/>
        <v/>
      </c>
      <c r="AA134" s="19" t="str">
        <f t="shared" si="23"/>
        <v/>
      </c>
      <c r="AB134" s="5"/>
      <c r="AC134" s="5"/>
      <c r="AE134" t="str">
        <f>IFERROR(INDEX(EqTag,_xlfn.AGGREGATE(15,6,(ROW(EqTag)-4)/((EqSys=$D$3)*(EqTag&lt;&gt;"")),ROWS($AE$14:AE134))),"")</f>
        <v/>
      </c>
    </row>
    <row r="135" spans="1:31" ht="30" customHeight="1" x14ac:dyDescent="0.2">
      <c r="A135" s="19" t="str">
        <f>IF(F135="","",LEFT($D$3,3)&amp;"-"&amp;TEXT(COUNTIF(F$14:F135,"?*"),"00"))</f>
        <v/>
      </c>
      <c r="B135" s="5"/>
      <c r="C135" s="6" t="str">
        <f t="shared" si="18"/>
        <v/>
      </c>
      <c r="D135" s="5"/>
      <c r="E135" s="5"/>
      <c r="F135" s="5"/>
      <c r="G135" s="5"/>
      <c r="H135" s="5"/>
      <c r="I135" s="5"/>
      <c r="J135" s="5"/>
      <c r="K135" s="15"/>
      <c r="L135" s="5"/>
      <c r="M135" s="15"/>
      <c r="N135" s="5"/>
      <c r="O135" s="15"/>
      <c r="P135" s="19" t="str">
        <f t="shared" si="19"/>
        <v/>
      </c>
      <c r="Q135" s="19" t="str">
        <f t="shared" si="20"/>
        <v/>
      </c>
      <c r="R135" s="19" t="str">
        <f t="shared" si="21"/>
        <v/>
      </c>
      <c r="S135" s="5"/>
      <c r="T135" s="5"/>
      <c r="U135" s="5"/>
      <c r="V135" s="24"/>
      <c r="W135" s="15"/>
      <c r="X135" s="15"/>
      <c r="Y135" s="15"/>
      <c r="Z135" s="19" t="str">
        <f t="shared" si="22"/>
        <v/>
      </c>
      <c r="AA135" s="19" t="str">
        <f t="shared" si="23"/>
        <v/>
      </c>
      <c r="AB135" s="5"/>
      <c r="AC135" s="5"/>
      <c r="AE135" t="str">
        <f>IFERROR(INDEX(EqTag,_xlfn.AGGREGATE(15,6,(ROW(EqTag)-4)/((EqSys=$D$3)*(EqTag&lt;&gt;"")),ROWS($AE$14:AE135))),"")</f>
        <v/>
      </c>
    </row>
    <row r="136" spans="1:31" ht="30" customHeight="1" x14ac:dyDescent="0.2">
      <c r="A136" s="19" t="str">
        <f>IF(F136="","",LEFT($D$3,3)&amp;"-"&amp;TEXT(COUNTIF(F$14:F136,"?*"),"00"))</f>
        <v/>
      </c>
      <c r="B136" s="5"/>
      <c r="C136" s="6" t="str">
        <f t="shared" si="18"/>
        <v/>
      </c>
      <c r="D136" s="5"/>
      <c r="E136" s="5"/>
      <c r="F136" s="5"/>
      <c r="G136" s="5"/>
      <c r="H136" s="5"/>
      <c r="I136" s="5"/>
      <c r="J136" s="5"/>
      <c r="K136" s="15"/>
      <c r="L136" s="5"/>
      <c r="M136" s="15"/>
      <c r="N136" s="5"/>
      <c r="O136" s="15"/>
      <c r="P136" s="19" t="str">
        <f t="shared" si="19"/>
        <v/>
      </c>
      <c r="Q136" s="19" t="str">
        <f t="shared" si="20"/>
        <v/>
      </c>
      <c r="R136" s="19" t="str">
        <f t="shared" si="21"/>
        <v/>
      </c>
      <c r="S136" s="5"/>
      <c r="T136" s="5"/>
      <c r="U136" s="5"/>
      <c r="V136" s="24"/>
      <c r="W136" s="15"/>
      <c r="X136" s="15"/>
      <c r="Y136" s="15"/>
      <c r="Z136" s="19" t="str">
        <f t="shared" si="22"/>
        <v/>
      </c>
      <c r="AA136" s="19" t="str">
        <f t="shared" si="23"/>
        <v/>
      </c>
      <c r="AB136" s="5"/>
      <c r="AC136" s="5"/>
      <c r="AE136" t="str">
        <f>IFERROR(INDEX(EqTag,_xlfn.AGGREGATE(15,6,(ROW(EqTag)-4)/((EqSys=$D$3)*(EqTag&lt;&gt;"")),ROWS($AE$14:AE136))),"")</f>
        <v/>
      </c>
    </row>
    <row r="137" spans="1:31" ht="30" customHeight="1" x14ac:dyDescent="0.2">
      <c r="A137" s="19" t="str">
        <f>IF(F137="","",LEFT($D$3,3)&amp;"-"&amp;TEXT(COUNTIF(F$14:F137,"?*"),"00"))</f>
        <v/>
      </c>
      <c r="B137" s="5"/>
      <c r="C137" s="6" t="str">
        <f t="shared" si="18"/>
        <v/>
      </c>
      <c r="D137" s="5"/>
      <c r="E137" s="5"/>
      <c r="F137" s="5"/>
      <c r="G137" s="5"/>
      <c r="H137" s="5"/>
      <c r="I137" s="5"/>
      <c r="J137" s="5"/>
      <c r="K137" s="15"/>
      <c r="L137" s="5"/>
      <c r="M137" s="15"/>
      <c r="N137" s="5"/>
      <c r="O137" s="15"/>
      <c r="P137" s="19" t="str">
        <f t="shared" si="19"/>
        <v/>
      </c>
      <c r="Q137" s="19" t="str">
        <f t="shared" si="20"/>
        <v/>
      </c>
      <c r="R137" s="19" t="str">
        <f t="shared" si="21"/>
        <v/>
      </c>
      <c r="S137" s="5"/>
      <c r="T137" s="5"/>
      <c r="U137" s="5"/>
      <c r="V137" s="24"/>
      <c r="W137" s="15"/>
      <c r="X137" s="15"/>
      <c r="Y137" s="15"/>
      <c r="Z137" s="19" t="str">
        <f t="shared" si="22"/>
        <v/>
      </c>
      <c r="AA137" s="19" t="str">
        <f t="shared" si="23"/>
        <v/>
      </c>
      <c r="AB137" s="5"/>
      <c r="AC137" s="5"/>
      <c r="AE137" t="str">
        <f>IFERROR(INDEX(EqTag,_xlfn.AGGREGATE(15,6,(ROW(EqTag)-4)/((EqSys=$D$3)*(EqTag&lt;&gt;"")),ROWS($AE$14:AE137))),"")</f>
        <v/>
      </c>
    </row>
    <row r="138" spans="1:31" ht="30" customHeight="1" x14ac:dyDescent="0.2">
      <c r="A138" s="19" t="str">
        <f>IF(F138="","",LEFT($D$3,3)&amp;"-"&amp;TEXT(COUNTIF(F$14:F138,"?*"),"00"))</f>
        <v/>
      </c>
      <c r="B138" s="5"/>
      <c r="C138" s="6" t="str">
        <f t="shared" si="18"/>
        <v/>
      </c>
      <c r="D138" s="5"/>
      <c r="E138" s="5"/>
      <c r="F138" s="5"/>
      <c r="G138" s="5"/>
      <c r="H138" s="5"/>
      <c r="I138" s="5"/>
      <c r="J138" s="5"/>
      <c r="K138" s="15"/>
      <c r="L138" s="5"/>
      <c r="M138" s="15"/>
      <c r="N138" s="5"/>
      <c r="O138" s="15"/>
      <c r="P138" s="19" t="str">
        <f t="shared" si="19"/>
        <v/>
      </c>
      <c r="Q138" s="19" t="str">
        <f t="shared" si="20"/>
        <v/>
      </c>
      <c r="R138" s="19" t="str">
        <f t="shared" si="21"/>
        <v/>
      </c>
      <c r="S138" s="5"/>
      <c r="T138" s="5"/>
      <c r="U138" s="5"/>
      <c r="V138" s="24"/>
      <c r="W138" s="15"/>
      <c r="X138" s="15"/>
      <c r="Y138" s="15"/>
      <c r="Z138" s="19" t="str">
        <f t="shared" si="22"/>
        <v/>
      </c>
      <c r="AA138" s="19" t="str">
        <f t="shared" si="23"/>
        <v/>
      </c>
      <c r="AB138" s="5"/>
      <c r="AC138" s="5"/>
      <c r="AE138" t="str">
        <f>IFERROR(INDEX(EqTag,_xlfn.AGGREGATE(15,6,(ROW(EqTag)-4)/((EqSys=$D$3)*(EqTag&lt;&gt;"")),ROWS($AE$14:AE138))),"")</f>
        <v/>
      </c>
    </row>
    <row r="139" spans="1:31" ht="30" customHeight="1" x14ac:dyDescent="0.2">
      <c r="A139" s="19" t="str">
        <f>IF(F139="","",LEFT($D$3,3)&amp;"-"&amp;TEXT(COUNTIF(F$14:F139,"?*"),"00"))</f>
        <v/>
      </c>
      <c r="B139" s="5"/>
      <c r="C139" s="6" t="str">
        <f t="shared" si="18"/>
        <v/>
      </c>
      <c r="D139" s="5"/>
      <c r="E139" s="5"/>
      <c r="F139" s="5"/>
      <c r="G139" s="5"/>
      <c r="H139" s="5"/>
      <c r="I139" s="5"/>
      <c r="J139" s="5"/>
      <c r="K139" s="15"/>
      <c r="L139" s="5"/>
      <c r="M139" s="15"/>
      <c r="N139" s="5"/>
      <c r="O139" s="15"/>
      <c r="P139" s="19" t="str">
        <f t="shared" si="19"/>
        <v/>
      </c>
      <c r="Q139" s="19" t="str">
        <f t="shared" si="20"/>
        <v/>
      </c>
      <c r="R139" s="19" t="str">
        <f t="shared" si="21"/>
        <v/>
      </c>
      <c r="S139" s="5"/>
      <c r="T139" s="5"/>
      <c r="U139" s="5"/>
      <c r="V139" s="24"/>
      <c r="W139" s="15"/>
      <c r="X139" s="15"/>
      <c r="Y139" s="15"/>
      <c r="Z139" s="19" t="str">
        <f t="shared" si="22"/>
        <v/>
      </c>
      <c r="AA139" s="19" t="str">
        <f t="shared" si="23"/>
        <v/>
      </c>
      <c r="AB139" s="5"/>
      <c r="AC139" s="5"/>
      <c r="AE139" t="str">
        <f>IFERROR(INDEX(EqTag,_xlfn.AGGREGATE(15,6,(ROW(EqTag)-4)/((EqSys=$D$3)*(EqTag&lt;&gt;"")),ROWS($AE$14:AE139))),"")</f>
        <v/>
      </c>
    </row>
    <row r="140" spans="1:31" ht="30" customHeight="1" x14ac:dyDescent="0.2">
      <c r="A140" s="19" t="str">
        <f>IF(F140="","",LEFT($D$3,3)&amp;"-"&amp;TEXT(COUNTIF(F$14:F140,"?*"),"00"))</f>
        <v/>
      </c>
      <c r="B140" s="5"/>
      <c r="C140" s="6" t="str">
        <f t="shared" si="18"/>
        <v/>
      </c>
      <c r="D140" s="5"/>
      <c r="E140" s="5"/>
      <c r="F140" s="5"/>
      <c r="G140" s="5"/>
      <c r="H140" s="5"/>
      <c r="I140" s="5"/>
      <c r="J140" s="5"/>
      <c r="K140" s="15"/>
      <c r="L140" s="5"/>
      <c r="M140" s="15"/>
      <c r="N140" s="5"/>
      <c r="O140" s="15"/>
      <c r="P140" s="19" t="str">
        <f t="shared" si="19"/>
        <v/>
      </c>
      <c r="Q140" s="19" t="str">
        <f t="shared" si="20"/>
        <v/>
      </c>
      <c r="R140" s="19" t="str">
        <f t="shared" si="21"/>
        <v/>
      </c>
      <c r="S140" s="5"/>
      <c r="T140" s="5"/>
      <c r="U140" s="5"/>
      <c r="V140" s="24"/>
      <c r="W140" s="15"/>
      <c r="X140" s="15"/>
      <c r="Y140" s="15"/>
      <c r="Z140" s="19" t="str">
        <f t="shared" si="22"/>
        <v/>
      </c>
      <c r="AA140" s="19" t="str">
        <f t="shared" si="23"/>
        <v/>
      </c>
      <c r="AB140" s="5"/>
      <c r="AC140" s="5"/>
      <c r="AE140" t="str">
        <f>IFERROR(INDEX(EqTag,_xlfn.AGGREGATE(15,6,(ROW(EqTag)-4)/((EqSys=$D$3)*(EqTag&lt;&gt;"")),ROWS($AE$14:AE140))),"")</f>
        <v/>
      </c>
    </row>
    <row r="141" spans="1:31" ht="30" customHeight="1" x14ac:dyDescent="0.2">
      <c r="A141" s="19" t="str">
        <f>IF(F141="","",LEFT($D$3,3)&amp;"-"&amp;TEXT(COUNTIF(F$14:F141,"?*"),"00"))</f>
        <v/>
      </c>
      <c r="B141" s="5"/>
      <c r="C141" s="6" t="str">
        <f t="shared" si="18"/>
        <v/>
      </c>
      <c r="D141" s="5"/>
      <c r="E141" s="5"/>
      <c r="F141" s="5"/>
      <c r="G141" s="5"/>
      <c r="H141" s="5"/>
      <c r="I141" s="5"/>
      <c r="J141" s="5"/>
      <c r="K141" s="15"/>
      <c r="L141" s="5"/>
      <c r="M141" s="15"/>
      <c r="N141" s="5"/>
      <c r="O141" s="15"/>
      <c r="P141" s="19" t="str">
        <f t="shared" si="19"/>
        <v/>
      </c>
      <c r="Q141" s="19" t="str">
        <f t="shared" si="20"/>
        <v/>
      </c>
      <c r="R141" s="19" t="str">
        <f t="shared" si="21"/>
        <v/>
      </c>
      <c r="S141" s="5"/>
      <c r="T141" s="5"/>
      <c r="U141" s="5"/>
      <c r="V141" s="24"/>
      <c r="W141" s="15"/>
      <c r="X141" s="15"/>
      <c r="Y141" s="15"/>
      <c r="Z141" s="19" t="str">
        <f t="shared" si="22"/>
        <v/>
      </c>
      <c r="AA141" s="19" t="str">
        <f t="shared" si="23"/>
        <v/>
      </c>
      <c r="AB141" s="5"/>
      <c r="AC141" s="5"/>
      <c r="AE141" t="str">
        <f>IFERROR(INDEX(EqTag,_xlfn.AGGREGATE(15,6,(ROW(EqTag)-4)/((EqSys=$D$3)*(EqTag&lt;&gt;"")),ROWS($AE$14:AE141))),"")</f>
        <v/>
      </c>
    </row>
    <row r="142" spans="1:31" ht="30" customHeight="1" x14ac:dyDescent="0.2">
      <c r="A142" s="19" t="str">
        <f>IF(F142="","",LEFT($D$3,3)&amp;"-"&amp;TEXT(COUNTIF(F$14:F142,"?*"),"00"))</f>
        <v/>
      </c>
      <c r="B142" s="5"/>
      <c r="C142" s="6" t="str">
        <f t="shared" ref="C142:C163" si="24">IF(B142="","",IFERROR(INDEX(EqTypeCol,MATCH(B142,EqTag,0)),"Tag not in register"))</f>
        <v/>
      </c>
      <c r="D142" s="5"/>
      <c r="E142" s="5"/>
      <c r="F142" s="5"/>
      <c r="G142" s="5"/>
      <c r="H142" s="5"/>
      <c r="I142" s="5"/>
      <c r="J142" s="5"/>
      <c r="K142" s="15"/>
      <c r="L142" s="5"/>
      <c r="M142" s="15"/>
      <c r="N142" s="5"/>
      <c r="O142" s="15"/>
      <c r="P142" s="19" t="str">
        <f t="shared" ref="P142:P163" si="25">IF(OR(K142="",M142="",O142=""),"",(--TRIM(LEFT(K142,2)))*(--TRIM(LEFT(M142,2)))*(--TRIM(LEFT(O142,2))))</f>
        <v/>
      </c>
      <c r="Q142" s="19" t="str">
        <f t="shared" ref="Q142:Q163" si="26">IF(OR(K142="",M142="",O142=""),"",INDEX(APGrid,COUNTIF(APS,"&gt;"&amp;(--TRIM(LEFT(K142,2))))*5+COUNTIF(APO,"&gt;"&amp;(--TRIM(LEFT(M142,2))))+1,COUNTIF(APD,"&gt;"&amp;(--TRIM(LEFT(O142,2))))+1))</f>
        <v/>
      </c>
      <c r="R142" s="19" t="str">
        <f t="shared" ref="R142:R163" si="27">IF(P142="","",IF(OR((--TRIM(LEFT(K142,2)))&gt;=SThr,P142&gt;=RPNThr,Q142="H"),"Yes","No"))</f>
        <v/>
      </c>
      <c r="S142" s="5"/>
      <c r="T142" s="5"/>
      <c r="U142" s="5"/>
      <c r="V142" s="24"/>
      <c r="W142" s="15"/>
      <c r="X142" s="15"/>
      <c r="Y142" s="15"/>
      <c r="Z142" s="19" t="str">
        <f t="shared" ref="Z142:Z163" si="28">IF(OR(W142="",X142="",Y142=""),"",(--TRIM(LEFT(W142,2)))*(--TRIM(LEFT(X142,2)))*(--TRIM(LEFT(Y142,2))))</f>
        <v/>
      </c>
      <c r="AA142" s="19" t="str">
        <f t="shared" ref="AA142:AA163" si="29">IF(OR(W142="",X142="",Y142=""),"",INDEX(APGrid,COUNTIF(APS,"&gt;"&amp;(--TRIM(LEFT(W142,2))))*5+COUNTIF(APO,"&gt;"&amp;(--TRIM(LEFT(X142,2))))+1,COUNTIF(APD,"&gt;"&amp;(--TRIM(LEFT(Y142,2))))+1))</f>
        <v/>
      </c>
      <c r="AB142" s="5"/>
      <c r="AC142" s="5"/>
      <c r="AE142" t="str">
        <f>IFERROR(INDEX(EqTag,_xlfn.AGGREGATE(15,6,(ROW(EqTag)-4)/((EqSys=$D$3)*(EqTag&lt;&gt;"")),ROWS($AE$14:AE142))),"")</f>
        <v/>
      </c>
    </row>
    <row r="143" spans="1:31" ht="30" customHeight="1" x14ac:dyDescent="0.2">
      <c r="A143" s="19" t="str">
        <f>IF(F143="","",LEFT($D$3,3)&amp;"-"&amp;TEXT(COUNTIF(F$14:F143,"?*"),"00"))</f>
        <v/>
      </c>
      <c r="B143" s="5"/>
      <c r="C143" s="6" t="str">
        <f t="shared" si="24"/>
        <v/>
      </c>
      <c r="D143" s="5"/>
      <c r="E143" s="5"/>
      <c r="F143" s="5"/>
      <c r="G143" s="5"/>
      <c r="H143" s="5"/>
      <c r="I143" s="5"/>
      <c r="J143" s="5"/>
      <c r="K143" s="15"/>
      <c r="L143" s="5"/>
      <c r="M143" s="15"/>
      <c r="N143" s="5"/>
      <c r="O143" s="15"/>
      <c r="P143" s="19" t="str">
        <f t="shared" si="25"/>
        <v/>
      </c>
      <c r="Q143" s="19" t="str">
        <f t="shared" si="26"/>
        <v/>
      </c>
      <c r="R143" s="19" t="str">
        <f t="shared" si="27"/>
        <v/>
      </c>
      <c r="S143" s="5"/>
      <c r="T143" s="5"/>
      <c r="U143" s="5"/>
      <c r="V143" s="24"/>
      <c r="W143" s="15"/>
      <c r="X143" s="15"/>
      <c r="Y143" s="15"/>
      <c r="Z143" s="19" t="str">
        <f t="shared" si="28"/>
        <v/>
      </c>
      <c r="AA143" s="19" t="str">
        <f t="shared" si="29"/>
        <v/>
      </c>
      <c r="AB143" s="5"/>
      <c r="AC143" s="5"/>
      <c r="AE143" t="str">
        <f>IFERROR(INDEX(EqTag,_xlfn.AGGREGATE(15,6,(ROW(EqTag)-4)/((EqSys=$D$3)*(EqTag&lt;&gt;"")),ROWS($AE$14:AE143))),"")</f>
        <v/>
      </c>
    </row>
    <row r="144" spans="1:31" ht="30" customHeight="1" x14ac:dyDescent="0.2">
      <c r="A144" s="19" t="str">
        <f>IF(F144="","",LEFT($D$3,3)&amp;"-"&amp;TEXT(COUNTIF(F$14:F144,"?*"),"00"))</f>
        <v/>
      </c>
      <c r="B144" s="5"/>
      <c r="C144" s="6" t="str">
        <f t="shared" si="24"/>
        <v/>
      </c>
      <c r="D144" s="5"/>
      <c r="E144" s="5"/>
      <c r="F144" s="5"/>
      <c r="G144" s="5"/>
      <c r="H144" s="5"/>
      <c r="I144" s="5"/>
      <c r="J144" s="5"/>
      <c r="K144" s="15"/>
      <c r="L144" s="5"/>
      <c r="M144" s="15"/>
      <c r="N144" s="5"/>
      <c r="O144" s="15"/>
      <c r="P144" s="19" t="str">
        <f t="shared" si="25"/>
        <v/>
      </c>
      <c r="Q144" s="19" t="str">
        <f t="shared" si="26"/>
        <v/>
      </c>
      <c r="R144" s="19" t="str">
        <f t="shared" si="27"/>
        <v/>
      </c>
      <c r="S144" s="5"/>
      <c r="T144" s="5"/>
      <c r="U144" s="5"/>
      <c r="V144" s="24"/>
      <c r="W144" s="15"/>
      <c r="X144" s="15"/>
      <c r="Y144" s="15"/>
      <c r="Z144" s="19" t="str">
        <f t="shared" si="28"/>
        <v/>
      </c>
      <c r="AA144" s="19" t="str">
        <f t="shared" si="29"/>
        <v/>
      </c>
      <c r="AB144" s="5"/>
      <c r="AC144" s="5"/>
      <c r="AE144" t="str">
        <f>IFERROR(INDEX(EqTag,_xlfn.AGGREGATE(15,6,(ROW(EqTag)-4)/((EqSys=$D$3)*(EqTag&lt;&gt;"")),ROWS($AE$14:AE144))),"")</f>
        <v/>
      </c>
    </row>
    <row r="145" spans="1:31" ht="30" customHeight="1" x14ac:dyDescent="0.2">
      <c r="A145" s="19" t="str">
        <f>IF(F145="","",LEFT($D$3,3)&amp;"-"&amp;TEXT(COUNTIF(F$14:F145,"?*"),"00"))</f>
        <v/>
      </c>
      <c r="B145" s="5"/>
      <c r="C145" s="6" t="str">
        <f t="shared" si="24"/>
        <v/>
      </c>
      <c r="D145" s="5"/>
      <c r="E145" s="5"/>
      <c r="F145" s="5"/>
      <c r="G145" s="5"/>
      <c r="H145" s="5"/>
      <c r="I145" s="5"/>
      <c r="J145" s="5"/>
      <c r="K145" s="15"/>
      <c r="L145" s="5"/>
      <c r="M145" s="15"/>
      <c r="N145" s="5"/>
      <c r="O145" s="15"/>
      <c r="P145" s="19" t="str">
        <f t="shared" si="25"/>
        <v/>
      </c>
      <c r="Q145" s="19" t="str">
        <f t="shared" si="26"/>
        <v/>
      </c>
      <c r="R145" s="19" t="str">
        <f t="shared" si="27"/>
        <v/>
      </c>
      <c r="S145" s="5"/>
      <c r="T145" s="5"/>
      <c r="U145" s="5"/>
      <c r="V145" s="24"/>
      <c r="W145" s="15"/>
      <c r="X145" s="15"/>
      <c r="Y145" s="15"/>
      <c r="Z145" s="19" t="str">
        <f t="shared" si="28"/>
        <v/>
      </c>
      <c r="AA145" s="19" t="str">
        <f t="shared" si="29"/>
        <v/>
      </c>
      <c r="AB145" s="5"/>
      <c r="AC145" s="5"/>
      <c r="AE145" t="str">
        <f>IFERROR(INDEX(EqTag,_xlfn.AGGREGATE(15,6,(ROW(EqTag)-4)/((EqSys=$D$3)*(EqTag&lt;&gt;"")),ROWS($AE$14:AE145))),"")</f>
        <v/>
      </c>
    </row>
    <row r="146" spans="1:31" ht="30" customHeight="1" x14ac:dyDescent="0.2">
      <c r="A146" s="19" t="str">
        <f>IF(F146="","",LEFT($D$3,3)&amp;"-"&amp;TEXT(COUNTIF(F$14:F146,"?*"),"00"))</f>
        <v/>
      </c>
      <c r="B146" s="5"/>
      <c r="C146" s="6" t="str">
        <f t="shared" si="24"/>
        <v/>
      </c>
      <c r="D146" s="5"/>
      <c r="E146" s="5"/>
      <c r="F146" s="5"/>
      <c r="G146" s="5"/>
      <c r="H146" s="5"/>
      <c r="I146" s="5"/>
      <c r="J146" s="5"/>
      <c r="K146" s="15"/>
      <c r="L146" s="5"/>
      <c r="M146" s="15"/>
      <c r="N146" s="5"/>
      <c r="O146" s="15"/>
      <c r="P146" s="19" t="str">
        <f t="shared" si="25"/>
        <v/>
      </c>
      <c r="Q146" s="19" t="str">
        <f t="shared" si="26"/>
        <v/>
      </c>
      <c r="R146" s="19" t="str">
        <f t="shared" si="27"/>
        <v/>
      </c>
      <c r="S146" s="5"/>
      <c r="T146" s="5"/>
      <c r="U146" s="5"/>
      <c r="V146" s="24"/>
      <c r="W146" s="15"/>
      <c r="X146" s="15"/>
      <c r="Y146" s="15"/>
      <c r="Z146" s="19" t="str">
        <f t="shared" si="28"/>
        <v/>
      </c>
      <c r="AA146" s="19" t="str">
        <f t="shared" si="29"/>
        <v/>
      </c>
      <c r="AB146" s="5"/>
      <c r="AC146" s="5"/>
      <c r="AE146" t="str">
        <f>IFERROR(INDEX(EqTag,_xlfn.AGGREGATE(15,6,(ROW(EqTag)-4)/((EqSys=$D$3)*(EqTag&lt;&gt;"")),ROWS($AE$14:AE146))),"")</f>
        <v/>
      </c>
    </row>
    <row r="147" spans="1:31" ht="30" customHeight="1" x14ac:dyDescent="0.2">
      <c r="A147" s="19" t="str">
        <f>IF(F147="","",LEFT($D$3,3)&amp;"-"&amp;TEXT(COUNTIF(F$14:F147,"?*"),"00"))</f>
        <v/>
      </c>
      <c r="B147" s="5"/>
      <c r="C147" s="6" t="str">
        <f t="shared" si="24"/>
        <v/>
      </c>
      <c r="D147" s="5"/>
      <c r="E147" s="5"/>
      <c r="F147" s="5"/>
      <c r="G147" s="5"/>
      <c r="H147" s="5"/>
      <c r="I147" s="5"/>
      <c r="J147" s="5"/>
      <c r="K147" s="15"/>
      <c r="L147" s="5"/>
      <c r="M147" s="15"/>
      <c r="N147" s="5"/>
      <c r="O147" s="15"/>
      <c r="P147" s="19" t="str">
        <f t="shared" si="25"/>
        <v/>
      </c>
      <c r="Q147" s="19" t="str">
        <f t="shared" si="26"/>
        <v/>
      </c>
      <c r="R147" s="19" t="str">
        <f t="shared" si="27"/>
        <v/>
      </c>
      <c r="S147" s="5"/>
      <c r="T147" s="5"/>
      <c r="U147" s="5"/>
      <c r="V147" s="24"/>
      <c r="W147" s="15"/>
      <c r="X147" s="15"/>
      <c r="Y147" s="15"/>
      <c r="Z147" s="19" t="str">
        <f t="shared" si="28"/>
        <v/>
      </c>
      <c r="AA147" s="19" t="str">
        <f t="shared" si="29"/>
        <v/>
      </c>
      <c r="AB147" s="5"/>
      <c r="AC147" s="5"/>
      <c r="AE147" t="str">
        <f>IFERROR(INDEX(EqTag,_xlfn.AGGREGATE(15,6,(ROW(EqTag)-4)/((EqSys=$D$3)*(EqTag&lt;&gt;"")),ROWS($AE$14:AE147))),"")</f>
        <v/>
      </c>
    </row>
    <row r="148" spans="1:31" ht="30" customHeight="1" x14ac:dyDescent="0.2">
      <c r="A148" s="19" t="str">
        <f>IF(F148="","",LEFT($D$3,3)&amp;"-"&amp;TEXT(COUNTIF(F$14:F148,"?*"),"00"))</f>
        <v/>
      </c>
      <c r="B148" s="5"/>
      <c r="C148" s="6" t="str">
        <f t="shared" si="24"/>
        <v/>
      </c>
      <c r="D148" s="5"/>
      <c r="E148" s="5"/>
      <c r="F148" s="5"/>
      <c r="G148" s="5"/>
      <c r="H148" s="5"/>
      <c r="I148" s="5"/>
      <c r="J148" s="5"/>
      <c r="K148" s="15"/>
      <c r="L148" s="5"/>
      <c r="M148" s="15"/>
      <c r="N148" s="5"/>
      <c r="O148" s="15"/>
      <c r="P148" s="19" t="str">
        <f t="shared" si="25"/>
        <v/>
      </c>
      <c r="Q148" s="19" t="str">
        <f t="shared" si="26"/>
        <v/>
      </c>
      <c r="R148" s="19" t="str">
        <f t="shared" si="27"/>
        <v/>
      </c>
      <c r="S148" s="5"/>
      <c r="T148" s="5"/>
      <c r="U148" s="5"/>
      <c r="V148" s="24"/>
      <c r="W148" s="15"/>
      <c r="X148" s="15"/>
      <c r="Y148" s="15"/>
      <c r="Z148" s="19" t="str">
        <f t="shared" si="28"/>
        <v/>
      </c>
      <c r="AA148" s="19" t="str">
        <f t="shared" si="29"/>
        <v/>
      </c>
      <c r="AB148" s="5"/>
      <c r="AC148" s="5"/>
      <c r="AE148" t="str">
        <f>IFERROR(INDEX(EqTag,_xlfn.AGGREGATE(15,6,(ROW(EqTag)-4)/((EqSys=$D$3)*(EqTag&lt;&gt;"")),ROWS($AE$14:AE148))),"")</f>
        <v/>
      </c>
    </row>
    <row r="149" spans="1:31" ht="30" customHeight="1" x14ac:dyDescent="0.2">
      <c r="A149" s="19" t="str">
        <f>IF(F149="","",LEFT($D$3,3)&amp;"-"&amp;TEXT(COUNTIF(F$14:F149,"?*"),"00"))</f>
        <v/>
      </c>
      <c r="B149" s="5"/>
      <c r="C149" s="6" t="str">
        <f t="shared" si="24"/>
        <v/>
      </c>
      <c r="D149" s="5"/>
      <c r="E149" s="5"/>
      <c r="F149" s="5"/>
      <c r="G149" s="5"/>
      <c r="H149" s="5"/>
      <c r="I149" s="5"/>
      <c r="J149" s="5"/>
      <c r="K149" s="15"/>
      <c r="L149" s="5"/>
      <c r="M149" s="15"/>
      <c r="N149" s="5"/>
      <c r="O149" s="15"/>
      <c r="P149" s="19" t="str">
        <f t="shared" si="25"/>
        <v/>
      </c>
      <c r="Q149" s="19" t="str">
        <f t="shared" si="26"/>
        <v/>
      </c>
      <c r="R149" s="19" t="str">
        <f t="shared" si="27"/>
        <v/>
      </c>
      <c r="S149" s="5"/>
      <c r="T149" s="5"/>
      <c r="U149" s="5"/>
      <c r="V149" s="24"/>
      <c r="W149" s="15"/>
      <c r="X149" s="15"/>
      <c r="Y149" s="15"/>
      <c r="Z149" s="19" t="str">
        <f t="shared" si="28"/>
        <v/>
      </c>
      <c r="AA149" s="19" t="str">
        <f t="shared" si="29"/>
        <v/>
      </c>
      <c r="AB149" s="5"/>
      <c r="AC149" s="5"/>
      <c r="AE149" t="str">
        <f>IFERROR(INDEX(EqTag,_xlfn.AGGREGATE(15,6,(ROW(EqTag)-4)/((EqSys=$D$3)*(EqTag&lt;&gt;"")),ROWS($AE$14:AE149))),"")</f>
        <v/>
      </c>
    </row>
    <row r="150" spans="1:31" ht="30" customHeight="1" x14ac:dyDescent="0.2">
      <c r="A150" s="19" t="str">
        <f>IF(F150="","",LEFT($D$3,3)&amp;"-"&amp;TEXT(COUNTIF(F$14:F150,"?*"),"00"))</f>
        <v/>
      </c>
      <c r="B150" s="5"/>
      <c r="C150" s="6" t="str">
        <f t="shared" si="24"/>
        <v/>
      </c>
      <c r="D150" s="5"/>
      <c r="E150" s="5"/>
      <c r="F150" s="5"/>
      <c r="G150" s="5"/>
      <c r="H150" s="5"/>
      <c r="I150" s="5"/>
      <c r="J150" s="5"/>
      <c r="K150" s="15"/>
      <c r="L150" s="5"/>
      <c r="M150" s="15"/>
      <c r="N150" s="5"/>
      <c r="O150" s="15"/>
      <c r="P150" s="19" t="str">
        <f t="shared" si="25"/>
        <v/>
      </c>
      <c r="Q150" s="19" t="str">
        <f t="shared" si="26"/>
        <v/>
      </c>
      <c r="R150" s="19" t="str">
        <f t="shared" si="27"/>
        <v/>
      </c>
      <c r="S150" s="5"/>
      <c r="T150" s="5"/>
      <c r="U150" s="5"/>
      <c r="V150" s="24"/>
      <c r="W150" s="15"/>
      <c r="X150" s="15"/>
      <c r="Y150" s="15"/>
      <c r="Z150" s="19" t="str">
        <f t="shared" si="28"/>
        <v/>
      </c>
      <c r="AA150" s="19" t="str">
        <f t="shared" si="29"/>
        <v/>
      </c>
      <c r="AB150" s="5"/>
      <c r="AC150" s="5"/>
      <c r="AE150" t="str">
        <f>IFERROR(INDEX(EqTag,_xlfn.AGGREGATE(15,6,(ROW(EqTag)-4)/((EqSys=$D$3)*(EqTag&lt;&gt;"")),ROWS($AE$14:AE150))),"")</f>
        <v/>
      </c>
    </row>
    <row r="151" spans="1:31" ht="30" customHeight="1" x14ac:dyDescent="0.2">
      <c r="A151" s="19" t="str">
        <f>IF(F151="","",LEFT($D$3,3)&amp;"-"&amp;TEXT(COUNTIF(F$14:F151,"?*"),"00"))</f>
        <v/>
      </c>
      <c r="B151" s="5"/>
      <c r="C151" s="6" t="str">
        <f t="shared" si="24"/>
        <v/>
      </c>
      <c r="D151" s="5"/>
      <c r="E151" s="5"/>
      <c r="F151" s="5"/>
      <c r="G151" s="5"/>
      <c r="H151" s="5"/>
      <c r="I151" s="5"/>
      <c r="J151" s="5"/>
      <c r="K151" s="15"/>
      <c r="L151" s="5"/>
      <c r="M151" s="15"/>
      <c r="N151" s="5"/>
      <c r="O151" s="15"/>
      <c r="P151" s="19" t="str">
        <f t="shared" si="25"/>
        <v/>
      </c>
      <c r="Q151" s="19" t="str">
        <f t="shared" si="26"/>
        <v/>
      </c>
      <c r="R151" s="19" t="str">
        <f t="shared" si="27"/>
        <v/>
      </c>
      <c r="S151" s="5"/>
      <c r="T151" s="5"/>
      <c r="U151" s="5"/>
      <c r="V151" s="24"/>
      <c r="W151" s="15"/>
      <c r="X151" s="15"/>
      <c r="Y151" s="15"/>
      <c r="Z151" s="19" t="str">
        <f t="shared" si="28"/>
        <v/>
      </c>
      <c r="AA151" s="19" t="str">
        <f t="shared" si="29"/>
        <v/>
      </c>
      <c r="AB151" s="5"/>
      <c r="AC151" s="5"/>
      <c r="AE151" t="str">
        <f>IFERROR(INDEX(EqTag,_xlfn.AGGREGATE(15,6,(ROW(EqTag)-4)/((EqSys=$D$3)*(EqTag&lt;&gt;"")),ROWS($AE$14:AE151))),"")</f>
        <v/>
      </c>
    </row>
    <row r="152" spans="1:31" ht="30" customHeight="1" x14ac:dyDescent="0.2">
      <c r="A152" s="19" t="str">
        <f>IF(F152="","",LEFT($D$3,3)&amp;"-"&amp;TEXT(COUNTIF(F$14:F152,"?*"),"00"))</f>
        <v/>
      </c>
      <c r="B152" s="5"/>
      <c r="C152" s="6" t="str">
        <f t="shared" si="24"/>
        <v/>
      </c>
      <c r="D152" s="5"/>
      <c r="E152" s="5"/>
      <c r="F152" s="5"/>
      <c r="G152" s="5"/>
      <c r="H152" s="5"/>
      <c r="I152" s="5"/>
      <c r="J152" s="5"/>
      <c r="K152" s="15"/>
      <c r="L152" s="5"/>
      <c r="M152" s="15"/>
      <c r="N152" s="5"/>
      <c r="O152" s="15"/>
      <c r="P152" s="19" t="str">
        <f t="shared" si="25"/>
        <v/>
      </c>
      <c r="Q152" s="19" t="str">
        <f t="shared" si="26"/>
        <v/>
      </c>
      <c r="R152" s="19" t="str">
        <f t="shared" si="27"/>
        <v/>
      </c>
      <c r="S152" s="5"/>
      <c r="T152" s="5"/>
      <c r="U152" s="5"/>
      <c r="V152" s="24"/>
      <c r="W152" s="15"/>
      <c r="X152" s="15"/>
      <c r="Y152" s="15"/>
      <c r="Z152" s="19" t="str">
        <f t="shared" si="28"/>
        <v/>
      </c>
      <c r="AA152" s="19" t="str">
        <f t="shared" si="29"/>
        <v/>
      </c>
      <c r="AB152" s="5"/>
      <c r="AC152" s="5"/>
      <c r="AE152" t="str">
        <f>IFERROR(INDEX(EqTag,_xlfn.AGGREGATE(15,6,(ROW(EqTag)-4)/((EqSys=$D$3)*(EqTag&lt;&gt;"")),ROWS($AE$14:AE152))),"")</f>
        <v/>
      </c>
    </row>
    <row r="153" spans="1:31" ht="30" customHeight="1" x14ac:dyDescent="0.2">
      <c r="A153" s="19" t="str">
        <f>IF(F153="","",LEFT($D$3,3)&amp;"-"&amp;TEXT(COUNTIF(F$14:F153,"?*"),"00"))</f>
        <v/>
      </c>
      <c r="B153" s="5"/>
      <c r="C153" s="6" t="str">
        <f t="shared" si="24"/>
        <v/>
      </c>
      <c r="D153" s="5"/>
      <c r="E153" s="5"/>
      <c r="F153" s="5"/>
      <c r="G153" s="5"/>
      <c r="H153" s="5"/>
      <c r="I153" s="5"/>
      <c r="J153" s="5"/>
      <c r="K153" s="15"/>
      <c r="L153" s="5"/>
      <c r="M153" s="15"/>
      <c r="N153" s="5"/>
      <c r="O153" s="15"/>
      <c r="P153" s="19" t="str">
        <f t="shared" si="25"/>
        <v/>
      </c>
      <c r="Q153" s="19" t="str">
        <f t="shared" si="26"/>
        <v/>
      </c>
      <c r="R153" s="19" t="str">
        <f t="shared" si="27"/>
        <v/>
      </c>
      <c r="S153" s="5"/>
      <c r="T153" s="5"/>
      <c r="U153" s="5"/>
      <c r="V153" s="24"/>
      <c r="W153" s="15"/>
      <c r="X153" s="15"/>
      <c r="Y153" s="15"/>
      <c r="Z153" s="19" t="str">
        <f t="shared" si="28"/>
        <v/>
      </c>
      <c r="AA153" s="19" t="str">
        <f t="shared" si="29"/>
        <v/>
      </c>
      <c r="AB153" s="5"/>
      <c r="AC153" s="5"/>
      <c r="AE153" t="str">
        <f>IFERROR(INDEX(EqTag,_xlfn.AGGREGATE(15,6,(ROW(EqTag)-4)/((EqSys=$D$3)*(EqTag&lt;&gt;"")),ROWS($AE$14:AE153))),"")</f>
        <v/>
      </c>
    </row>
    <row r="154" spans="1:31" ht="30" customHeight="1" x14ac:dyDescent="0.2">
      <c r="A154" s="19" t="str">
        <f>IF(F154="","",LEFT($D$3,3)&amp;"-"&amp;TEXT(COUNTIF(F$14:F154,"?*"),"00"))</f>
        <v/>
      </c>
      <c r="B154" s="5"/>
      <c r="C154" s="6" t="str">
        <f t="shared" si="24"/>
        <v/>
      </c>
      <c r="D154" s="5"/>
      <c r="E154" s="5"/>
      <c r="F154" s="5"/>
      <c r="G154" s="5"/>
      <c r="H154" s="5"/>
      <c r="I154" s="5"/>
      <c r="J154" s="5"/>
      <c r="K154" s="15"/>
      <c r="L154" s="5"/>
      <c r="M154" s="15"/>
      <c r="N154" s="5"/>
      <c r="O154" s="15"/>
      <c r="P154" s="19" t="str">
        <f t="shared" si="25"/>
        <v/>
      </c>
      <c r="Q154" s="19" t="str">
        <f t="shared" si="26"/>
        <v/>
      </c>
      <c r="R154" s="19" t="str">
        <f t="shared" si="27"/>
        <v/>
      </c>
      <c r="S154" s="5"/>
      <c r="T154" s="5"/>
      <c r="U154" s="5"/>
      <c r="V154" s="24"/>
      <c r="W154" s="15"/>
      <c r="X154" s="15"/>
      <c r="Y154" s="15"/>
      <c r="Z154" s="19" t="str">
        <f t="shared" si="28"/>
        <v/>
      </c>
      <c r="AA154" s="19" t="str">
        <f t="shared" si="29"/>
        <v/>
      </c>
      <c r="AB154" s="5"/>
      <c r="AC154" s="5"/>
      <c r="AE154" t="str">
        <f>IFERROR(INDEX(EqTag,_xlfn.AGGREGATE(15,6,(ROW(EqTag)-4)/((EqSys=$D$3)*(EqTag&lt;&gt;"")),ROWS($AE$14:AE154))),"")</f>
        <v/>
      </c>
    </row>
    <row r="155" spans="1:31" ht="30" customHeight="1" x14ac:dyDescent="0.2">
      <c r="A155" s="19" t="str">
        <f>IF(F155="","",LEFT($D$3,3)&amp;"-"&amp;TEXT(COUNTIF(F$14:F155,"?*"),"00"))</f>
        <v/>
      </c>
      <c r="B155" s="5"/>
      <c r="C155" s="6" t="str">
        <f t="shared" si="24"/>
        <v/>
      </c>
      <c r="D155" s="5"/>
      <c r="E155" s="5"/>
      <c r="F155" s="5"/>
      <c r="G155" s="5"/>
      <c r="H155" s="5"/>
      <c r="I155" s="5"/>
      <c r="J155" s="5"/>
      <c r="K155" s="15"/>
      <c r="L155" s="5"/>
      <c r="M155" s="15"/>
      <c r="N155" s="5"/>
      <c r="O155" s="15"/>
      <c r="P155" s="19" t="str">
        <f t="shared" si="25"/>
        <v/>
      </c>
      <c r="Q155" s="19" t="str">
        <f t="shared" si="26"/>
        <v/>
      </c>
      <c r="R155" s="19" t="str">
        <f t="shared" si="27"/>
        <v/>
      </c>
      <c r="S155" s="5"/>
      <c r="T155" s="5"/>
      <c r="U155" s="5"/>
      <c r="V155" s="24"/>
      <c r="W155" s="15"/>
      <c r="X155" s="15"/>
      <c r="Y155" s="15"/>
      <c r="Z155" s="19" t="str">
        <f t="shared" si="28"/>
        <v/>
      </c>
      <c r="AA155" s="19" t="str">
        <f t="shared" si="29"/>
        <v/>
      </c>
      <c r="AB155" s="5"/>
      <c r="AC155" s="5"/>
      <c r="AE155" t="str">
        <f>IFERROR(INDEX(EqTag,_xlfn.AGGREGATE(15,6,(ROW(EqTag)-4)/((EqSys=$D$3)*(EqTag&lt;&gt;"")),ROWS($AE$14:AE155))),"")</f>
        <v/>
      </c>
    </row>
    <row r="156" spans="1:31" ht="30" customHeight="1" x14ac:dyDescent="0.2">
      <c r="A156" s="19" t="str">
        <f>IF(F156="","",LEFT($D$3,3)&amp;"-"&amp;TEXT(COUNTIF(F$14:F156,"?*"),"00"))</f>
        <v/>
      </c>
      <c r="B156" s="5"/>
      <c r="C156" s="6" t="str">
        <f t="shared" si="24"/>
        <v/>
      </c>
      <c r="D156" s="5"/>
      <c r="E156" s="5"/>
      <c r="F156" s="5"/>
      <c r="G156" s="5"/>
      <c r="H156" s="5"/>
      <c r="I156" s="5"/>
      <c r="J156" s="5"/>
      <c r="K156" s="15"/>
      <c r="L156" s="5"/>
      <c r="M156" s="15"/>
      <c r="N156" s="5"/>
      <c r="O156" s="15"/>
      <c r="P156" s="19" t="str">
        <f t="shared" si="25"/>
        <v/>
      </c>
      <c r="Q156" s="19" t="str">
        <f t="shared" si="26"/>
        <v/>
      </c>
      <c r="R156" s="19" t="str">
        <f t="shared" si="27"/>
        <v/>
      </c>
      <c r="S156" s="5"/>
      <c r="T156" s="5"/>
      <c r="U156" s="5"/>
      <c r="V156" s="24"/>
      <c r="W156" s="15"/>
      <c r="X156" s="15"/>
      <c r="Y156" s="15"/>
      <c r="Z156" s="19" t="str">
        <f t="shared" si="28"/>
        <v/>
      </c>
      <c r="AA156" s="19" t="str">
        <f t="shared" si="29"/>
        <v/>
      </c>
      <c r="AB156" s="5"/>
      <c r="AC156" s="5"/>
      <c r="AE156" t="str">
        <f>IFERROR(INDEX(EqTag,_xlfn.AGGREGATE(15,6,(ROW(EqTag)-4)/((EqSys=$D$3)*(EqTag&lt;&gt;"")),ROWS($AE$14:AE156))),"")</f>
        <v/>
      </c>
    </row>
    <row r="157" spans="1:31" ht="30" customHeight="1" x14ac:dyDescent="0.2">
      <c r="A157" s="19" t="str">
        <f>IF(F157="","",LEFT($D$3,3)&amp;"-"&amp;TEXT(COUNTIF(F$14:F157,"?*"),"00"))</f>
        <v/>
      </c>
      <c r="B157" s="5"/>
      <c r="C157" s="6" t="str">
        <f t="shared" si="24"/>
        <v/>
      </c>
      <c r="D157" s="5"/>
      <c r="E157" s="5"/>
      <c r="F157" s="5"/>
      <c r="G157" s="5"/>
      <c r="H157" s="5"/>
      <c r="I157" s="5"/>
      <c r="J157" s="5"/>
      <c r="K157" s="15"/>
      <c r="L157" s="5"/>
      <c r="M157" s="15"/>
      <c r="N157" s="5"/>
      <c r="O157" s="15"/>
      <c r="P157" s="19" t="str">
        <f t="shared" si="25"/>
        <v/>
      </c>
      <c r="Q157" s="19" t="str">
        <f t="shared" si="26"/>
        <v/>
      </c>
      <c r="R157" s="19" t="str">
        <f t="shared" si="27"/>
        <v/>
      </c>
      <c r="S157" s="5"/>
      <c r="T157" s="5"/>
      <c r="U157" s="5"/>
      <c r="V157" s="24"/>
      <c r="W157" s="15"/>
      <c r="X157" s="15"/>
      <c r="Y157" s="15"/>
      <c r="Z157" s="19" t="str">
        <f t="shared" si="28"/>
        <v/>
      </c>
      <c r="AA157" s="19" t="str">
        <f t="shared" si="29"/>
        <v/>
      </c>
      <c r="AB157" s="5"/>
      <c r="AC157" s="5"/>
      <c r="AE157" t="str">
        <f>IFERROR(INDEX(EqTag,_xlfn.AGGREGATE(15,6,(ROW(EqTag)-4)/((EqSys=$D$3)*(EqTag&lt;&gt;"")),ROWS($AE$14:AE157))),"")</f>
        <v/>
      </c>
    </row>
    <row r="158" spans="1:31" ht="30" customHeight="1" x14ac:dyDescent="0.2">
      <c r="A158" s="19" t="str">
        <f>IF(F158="","",LEFT($D$3,3)&amp;"-"&amp;TEXT(COUNTIF(F$14:F158,"?*"),"00"))</f>
        <v/>
      </c>
      <c r="B158" s="5"/>
      <c r="C158" s="6" t="str">
        <f t="shared" si="24"/>
        <v/>
      </c>
      <c r="D158" s="5"/>
      <c r="E158" s="5"/>
      <c r="F158" s="5"/>
      <c r="G158" s="5"/>
      <c r="H158" s="5"/>
      <c r="I158" s="5"/>
      <c r="J158" s="5"/>
      <c r="K158" s="15"/>
      <c r="L158" s="5"/>
      <c r="M158" s="15"/>
      <c r="N158" s="5"/>
      <c r="O158" s="15"/>
      <c r="P158" s="19" t="str">
        <f t="shared" si="25"/>
        <v/>
      </c>
      <c r="Q158" s="19" t="str">
        <f t="shared" si="26"/>
        <v/>
      </c>
      <c r="R158" s="19" t="str">
        <f t="shared" si="27"/>
        <v/>
      </c>
      <c r="S158" s="5"/>
      <c r="T158" s="5"/>
      <c r="U158" s="5"/>
      <c r="V158" s="24"/>
      <c r="W158" s="15"/>
      <c r="X158" s="15"/>
      <c r="Y158" s="15"/>
      <c r="Z158" s="19" t="str">
        <f t="shared" si="28"/>
        <v/>
      </c>
      <c r="AA158" s="19" t="str">
        <f t="shared" si="29"/>
        <v/>
      </c>
      <c r="AB158" s="5"/>
      <c r="AC158" s="5"/>
      <c r="AE158" t="str">
        <f>IFERROR(INDEX(EqTag,_xlfn.AGGREGATE(15,6,(ROW(EqTag)-4)/((EqSys=$D$3)*(EqTag&lt;&gt;"")),ROWS($AE$14:AE158))),"")</f>
        <v/>
      </c>
    </row>
    <row r="159" spans="1:31" ht="30" customHeight="1" x14ac:dyDescent="0.2">
      <c r="A159" s="19" t="str">
        <f>IF(F159="","",LEFT($D$3,3)&amp;"-"&amp;TEXT(COUNTIF(F$14:F159,"?*"),"00"))</f>
        <v/>
      </c>
      <c r="B159" s="5"/>
      <c r="C159" s="6" t="str">
        <f t="shared" si="24"/>
        <v/>
      </c>
      <c r="D159" s="5"/>
      <c r="E159" s="5"/>
      <c r="F159" s="5"/>
      <c r="G159" s="5"/>
      <c r="H159" s="5"/>
      <c r="I159" s="5"/>
      <c r="J159" s="5"/>
      <c r="K159" s="15"/>
      <c r="L159" s="5"/>
      <c r="M159" s="15"/>
      <c r="N159" s="5"/>
      <c r="O159" s="15"/>
      <c r="P159" s="19" t="str">
        <f t="shared" si="25"/>
        <v/>
      </c>
      <c r="Q159" s="19" t="str">
        <f t="shared" si="26"/>
        <v/>
      </c>
      <c r="R159" s="19" t="str">
        <f t="shared" si="27"/>
        <v/>
      </c>
      <c r="S159" s="5"/>
      <c r="T159" s="5"/>
      <c r="U159" s="5"/>
      <c r="V159" s="24"/>
      <c r="W159" s="15"/>
      <c r="X159" s="15"/>
      <c r="Y159" s="15"/>
      <c r="Z159" s="19" t="str">
        <f t="shared" si="28"/>
        <v/>
      </c>
      <c r="AA159" s="19" t="str">
        <f t="shared" si="29"/>
        <v/>
      </c>
      <c r="AB159" s="5"/>
      <c r="AC159" s="5"/>
      <c r="AE159" t="str">
        <f>IFERROR(INDEX(EqTag,_xlfn.AGGREGATE(15,6,(ROW(EqTag)-4)/((EqSys=$D$3)*(EqTag&lt;&gt;"")),ROWS($AE$14:AE159))),"")</f>
        <v/>
      </c>
    </row>
    <row r="160" spans="1:31" ht="30" customHeight="1" x14ac:dyDescent="0.2">
      <c r="A160" s="19" t="str">
        <f>IF(F160="","",LEFT($D$3,3)&amp;"-"&amp;TEXT(COUNTIF(F$14:F160,"?*"),"00"))</f>
        <v/>
      </c>
      <c r="B160" s="5"/>
      <c r="C160" s="6" t="str">
        <f t="shared" si="24"/>
        <v/>
      </c>
      <c r="D160" s="5"/>
      <c r="E160" s="5"/>
      <c r="F160" s="5"/>
      <c r="G160" s="5"/>
      <c r="H160" s="5"/>
      <c r="I160" s="5"/>
      <c r="J160" s="5"/>
      <c r="K160" s="15"/>
      <c r="L160" s="5"/>
      <c r="M160" s="15"/>
      <c r="N160" s="5"/>
      <c r="O160" s="15"/>
      <c r="P160" s="19" t="str">
        <f t="shared" si="25"/>
        <v/>
      </c>
      <c r="Q160" s="19" t="str">
        <f t="shared" si="26"/>
        <v/>
      </c>
      <c r="R160" s="19" t="str">
        <f t="shared" si="27"/>
        <v/>
      </c>
      <c r="S160" s="5"/>
      <c r="T160" s="5"/>
      <c r="U160" s="5"/>
      <c r="V160" s="24"/>
      <c r="W160" s="15"/>
      <c r="X160" s="15"/>
      <c r="Y160" s="15"/>
      <c r="Z160" s="19" t="str">
        <f t="shared" si="28"/>
        <v/>
      </c>
      <c r="AA160" s="19" t="str">
        <f t="shared" si="29"/>
        <v/>
      </c>
      <c r="AB160" s="5"/>
      <c r="AC160" s="5"/>
      <c r="AE160" t="str">
        <f>IFERROR(INDEX(EqTag,_xlfn.AGGREGATE(15,6,(ROW(EqTag)-4)/((EqSys=$D$3)*(EqTag&lt;&gt;"")),ROWS($AE$14:AE160))),"")</f>
        <v/>
      </c>
    </row>
    <row r="161" spans="1:31" ht="30" customHeight="1" x14ac:dyDescent="0.2">
      <c r="A161" s="19" t="str">
        <f>IF(F161="","",LEFT($D$3,3)&amp;"-"&amp;TEXT(COUNTIF(F$14:F161,"?*"),"00"))</f>
        <v/>
      </c>
      <c r="B161" s="5"/>
      <c r="C161" s="6" t="str">
        <f t="shared" si="24"/>
        <v/>
      </c>
      <c r="D161" s="5"/>
      <c r="E161" s="5"/>
      <c r="F161" s="5"/>
      <c r="G161" s="5"/>
      <c r="H161" s="5"/>
      <c r="I161" s="5"/>
      <c r="J161" s="5"/>
      <c r="K161" s="15"/>
      <c r="L161" s="5"/>
      <c r="M161" s="15"/>
      <c r="N161" s="5"/>
      <c r="O161" s="15"/>
      <c r="P161" s="19" t="str">
        <f t="shared" si="25"/>
        <v/>
      </c>
      <c r="Q161" s="19" t="str">
        <f t="shared" si="26"/>
        <v/>
      </c>
      <c r="R161" s="19" t="str">
        <f t="shared" si="27"/>
        <v/>
      </c>
      <c r="S161" s="5"/>
      <c r="T161" s="5"/>
      <c r="U161" s="5"/>
      <c r="V161" s="24"/>
      <c r="W161" s="15"/>
      <c r="X161" s="15"/>
      <c r="Y161" s="15"/>
      <c r="Z161" s="19" t="str">
        <f t="shared" si="28"/>
        <v/>
      </c>
      <c r="AA161" s="19" t="str">
        <f t="shared" si="29"/>
        <v/>
      </c>
      <c r="AB161" s="5"/>
      <c r="AC161" s="5"/>
      <c r="AE161" t="str">
        <f>IFERROR(INDEX(EqTag,_xlfn.AGGREGATE(15,6,(ROW(EqTag)-4)/((EqSys=$D$3)*(EqTag&lt;&gt;"")),ROWS($AE$14:AE161))),"")</f>
        <v/>
      </c>
    </row>
    <row r="162" spans="1:31" ht="30" customHeight="1" x14ac:dyDescent="0.2">
      <c r="A162" s="19" t="str">
        <f>IF(F162="","",LEFT($D$3,3)&amp;"-"&amp;TEXT(COUNTIF(F$14:F162,"?*"),"00"))</f>
        <v/>
      </c>
      <c r="B162" s="5"/>
      <c r="C162" s="6" t="str">
        <f t="shared" si="24"/>
        <v/>
      </c>
      <c r="D162" s="5"/>
      <c r="E162" s="5"/>
      <c r="F162" s="5"/>
      <c r="G162" s="5"/>
      <c r="H162" s="5"/>
      <c r="I162" s="5"/>
      <c r="J162" s="5"/>
      <c r="K162" s="15"/>
      <c r="L162" s="5"/>
      <c r="M162" s="15"/>
      <c r="N162" s="5"/>
      <c r="O162" s="15"/>
      <c r="P162" s="19" t="str">
        <f t="shared" si="25"/>
        <v/>
      </c>
      <c r="Q162" s="19" t="str">
        <f t="shared" si="26"/>
        <v/>
      </c>
      <c r="R162" s="19" t="str">
        <f t="shared" si="27"/>
        <v/>
      </c>
      <c r="S162" s="5"/>
      <c r="T162" s="5"/>
      <c r="U162" s="5"/>
      <c r="V162" s="24"/>
      <c r="W162" s="15"/>
      <c r="X162" s="15"/>
      <c r="Y162" s="15"/>
      <c r="Z162" s="19" t="str">
        <f t="shared" si="28"/>
        <v/>
      </c>
      <c r="AA162" s="19" t="str">
        <f t="shared" si="29"/>
        <v/>
      </c>
      <c r="AB162" s="5"/>
      <c r="AC162" s="5"/>
      <c r="AE162" t="str">
        <f>IFERROR(INDEX(EqTag,_xlfn.AGGREGATE(15,6,(ROW(EqTag)-4)/((EqSys=$D$3)*(EqTag&lt;&gt;"")),ROWS($AE$14:AE162))),"")</f>
        <v/>
      </c>
    </row>
    <row r="163" spans="1:31" ht="30" customHeight="1" x14ac:dyDescent="0.2">
      <c r="A163" s="19" t="str">
        <f>IF(F163="","",LEFT($D$3,3)&amp;"-"&amp;TEXT(COUNTIF(F$14:F163,"?*"),"00"))</f>
        <v/>
      </c>
      <c r="B163" s="5"/>
      <c r="C163" s="6" t="str">
        <f t="shared" si="24"/>
        <v/>
      </c>
      <c r="D163" s="5"/>
      <c r="E163" s="5"/>
      <c r="F163" s="5"/>
      <c r="G163" s="5"/>
      <c r="H163" s="5"/>
      <c r="I163" s="5"/>
      <c r="J163" s="5"/>
      <c r="K163" s="15"/>
      <c r="L163" s="5"/>
      <c r="M163" s="15"/>
      <c r="N163" s="5"/>
      <c r="O163" s="15"/>
      <c r="P163" s="19" t="str">
        <f t="shared" si="25"/>
        <v/>
      </c>
      <c r="Q163" s="19" t="str">
        <f t="shared" si="26"/>
        <v/>
      </c>
      <c r="R163" s="19" t="str">
        <f t="shared" si="27"/>
        <v/>
      </c>
      <c r="S163" s="5"/>
      <c r="T163" s="5"/>
      <c r="U163" s="5"/>
      <c r="V163" s="24"/>
      <c r="W163" s="15"/>
      <c r="X163" s="15"/>
      <c r="Y163" s="15"/>
      <c r="Z163" s="19" t="str">
        <f t="shared" si="28"/>
        <v/>
      </c>
      <c r="AA163" s="19" t="str">
        <f t="shared" si="29"/>
        <v/>
      </c>
      <c r="AB163" s="5"/>
      <c r="AC163" s="5"/>
      <c r="AE163" t="str">
        <f>IFERROR(INDEX(EqTag,_xlfn.AGGREGATE(15,6,(ROW(EqTag)-4)/((EqSys=$D$3)*(EqTag&lt;&gt;"")),ROWS($AE$14:AE163))),"")</f>
        <v/>
      </c>
    </row>
  </sheetData>
  <mergeCells count="22">
    <mergeCell ref="S12:V12"/>
    <mergeCell ref="D8:O8"/>
    <mergeCell ref="AB12:AC12"/>
    <mergeCell ref="K12:R12"/>
    <mergeCell ref="D5:O5"/>
    <mergeCell ref="W12:AA12"/>
    <mergeCell ref="A11:O11"/>
    <mergeCell ref="A7:C7"/>
    <mergeCell ref="D6:O6"/>
    <mergeCell ref="D3:J3"/>
    <mergeCell ref="A3:C3"/>
    <mergeCell ref="A12:F12"/>
    <mergeCell ref="D7:O7"/>
    <mergeCell ref="L3:M3"/>
    <mergeCell ref="A5:C5"/>
    <mergeCell ref="A8:C8"/>
    <mergeCell ref="G12:J12"/>
    <mergeCell ref="D4:O4"/>
    <mergeCell ref="D9:O9"/>
    <mergeCell ref="A4:C4"/>
    <mergeCell ref="A9:C9"/>
    <mergeCell ref="A6:C6"/>
  </mergeCells>
  <conditionalFormatting sqref="Q14:Q163">
    <cfRule type="expression" dxfId="26" priority="1">
      <formula>Q14="H"</formula>
    </cfRule>
    <cfRule type="expression" dxfId="25" priority="3">
      <formula>Q14="M"</formula>
    </cfRule>
    <cfRule type="expression" dxfId="24" priority="5">
      <formula>Q14="L"</formula>
    </cfRule>
  </conditionalFormatting>
  <conditionalFormatting sqref="AA14:AA163">
    <cfRule type="expression" dxfId="23" priority="2">
      <formula>AA14="H"</formula>
    </cfRule>
    <cfRule type="expression" dxfId="22" priority="4">
      <formula>AA14="M"</formula>
    </cfRule>
    <cfRule type="expression" dxfId="21" priority="6">
      <formula>AA14="L"</formula>
    </cfRule>
  </conditionalFormatting>
  <conditionalFormatting sqref="R14:R163">
    <cfRule type="expression" dxfId="20" priority="7">
      <formula>R14="Yes"</formula>
    </cfRule>
  </conditionalFormatting>
  <conditionalFormatting sqref="P14:P163">
    <cfRule type="expression" dxfId="19" priority="8">
      <formula>AND(ISNUMBER(P14),P14&gt;=RPNThr)</formula>
    </cfRule>
  </conditionalFormatting>
  <conditionalFormatting sqref="Z14:Z163">
    <cfRule type="expression" dxfId="18" priority="9">
      <formula>AND(ISNUMBER(Z14),Z14&gt;=RPNThr)</formula>
    </cfRule>
  </conditionalFormatting>
  <dataValidations count="10">
    <dataValidation type="list" allowBlank="1" showInputMessage="1" showErrorMessage="1" promptTitle="Select" prompt="Choose the system analysed on this sheet" sqref="D3" xr:uid="{00000000-0002-0000-0E00-000000000000}">
      <formula1>SystemList</formula1>
    </dataValidation>
    <dataValidation type="list" errorStyle="information" allowBlank="1" showInputMessage="1" showErrorMessage="1" errorTitle="Not in list" error="Entry is not in the list – it will be accepted as free text." promptTitle="Select" prompt="Equipment tags of the selected system (from the Equipment Register)" sqref="B14:B163" xr:uid="{00000000-0002-0000-0E00-000001000000}">
      <formula1>OFFSET($AE$14,0,0,MAX(1,COUNTIFS(EqSys,$D$3,EqTag,"?*")),1)</formula1>
    </dataValidation>
    <dataValidation type="list" errorStyle="information" allowBlank="1" showInputMessage="1" showErrorMessage="1" errorTitle="Not in list" error="Entry is not in the list – it will be accepted as free text." promptTitle="Select" prompt="Components for this equipment type – or type your own" sqref="D14:D163" xr:uid="{00000000-0002-0000-0E00-000002000000}">
      <formula1>OFFSET(CompStart,MATCH($C14,CompType,0)-1,0,MAX(1,COUNTIF(CompType,$C14)),1)</formula1>
    </dataValidation>
    <dataValidation type="list" errorStyle="information" allowBlank="1" showInputMessage="1" showErrorMessage="1" errorTitle="Not in list" error="Entry is not in the list – it will be accepted as free text." promptTitle="Select" prompt="Failure modes for this equipment type – or type your own" sqref="F14:F163" xr:uid="{00000000-0002-0000-0E00-000003000000}">
      <formula1>OFFSET(FMStart,MATCH($C14,FMType,0)-1,0,MAX(1,COUNTIF(FMType,$C14)),1)</formula1>
    </dataValidation>
    <dataValidation type="list" allowBlank="1" showInputMessage="1" promptTitle="Multi-select" prompt="Pick a cause – each pick is added as a new line; pick again to remove." sqref="G14:G163" xr:uid="{00000000-0002-0000-0E00-000004000000}">
      <formula1>MechList</formula1>
    </dataValidation>
    <dataValidation type="list" allowBlank="1" showInputMessage="1" promptTitle="Multi-select" prompt="Pick a detection method – each pick is added as a new line; pick again to remove." sqref="N14:N163" xr:uid="{00000000-0002-0000-0E00-000005000000}">
      <formula1>DetList</formula1>
    </dataValidation>
    <dataValidation type="list" errorStyle="information" allowBlank="1" showErrorMessage="1" errorTitle="Not in list" error="Entry is not in the list – it will be accepted as free text." sqref="T14:T163" xr:uid="{00000000-0002-0000-0E00-000006000000}">
      <formula1>TaskList</formula1>
    </dataValidation>
    <dataValidation type="list" allowBlank="1" showErrorMessage="1" sqref="K14:K163 W14:W163" xr:uid="{00000000-0002-0000-0E00-000007000000}">
      <formula1>SevList</formula1>
    </dataValidation>
    <dataValidation type="list" allowBlank="1" showErrorMessage="1" sqref="M14:M163 X14:X163" xr:uid="{00000000-0002-0000-0E00-000008000000}">
      <formula1>OccList</formula1>
    </dataValidation>
    <dataValidation type="list" allowBlank="1" showErrorMessage="1" sqref="O14:O163 Y14:Y163" xr:uid="{00000000-0002-0000-0E00-000009000000}">
      <formula1>DetScaleList</formula1>
    </dataValidation>
  </dataValidations>
  <pageMargins left="0.75" right="0.75" top="1" bottom="1" header="0.5" footer="0.5"/>
  <pageSetup paperSize="8" fitToHeight="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pageSetUpPr fitToPage="1"/>
  </sheetPr>
  <dimension ref="A1:AE163"/>
  <sheetViews>
    <sheetView workbookViewId="0">
      <pane xSplit="2" ySplit="13" topLeftCell="C14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7" customWidth="1"/>
    <col min="2" max="2" width="14" customWidth="1"/>
    <col min="3" max="4" width="22" customWidth="1"/>
    <col min="5" max="5" width="26" customWidth="1"/>
    <col min="6" max="6" width="28" customWidth="1"/>
    <col min="7" max="7" width="44" customWidth="1"/>
    <col min="8" max="9" width="28" customWidth="1"/>
    <col min="10" max="10" width="32" customWidth="1"/>
    <col min="11" max="11" width="18" customWidth="1"/>
    <col min="12" max="12" width="30" customWidth="1"/>
    <col min="13" max="13" width="18" customWidth="1"/>
    <col min="14" max="14" width="38" customWidth="1"/>
    <col min="15" max="15" width="18" customWidth="1"/>
    <col min="16" max="16" width="7" customWidth="1"/>
    <col min="17" max="17" width="6" customWidth="1"/>
    <col min="18" max="18" width="9" customWidth="1"/>
    <col min="19" max="19" width="34" customWidth="1"/>
    <col min="20" max="20" width="22" customWidth="1"/>
    <col min="21" max="21" width="14" customWidth="1"/>
    <col min="22" max="22" width="12" customWidth="1"/>
    <col min="23" max="25" width="18" customWidth="1"/>
    <col min="26" max="26" width="7" customWidth="1"/>
    <col min="27" max="27" width="6" customWidth="1"/>
    <col min="28" max="28" width="12" customWidth="1"/>
    <col min="29" max="29" width="24" customWidth="1"/>
    <col min="31" max="31" width="13" hidden="1" customWidth="1"/>
  </cols>
  <sheetData>
    <row r="1" spans="1:31" ht="18" x14ac:dyDescent="0.2">
      <c r="A1" s="21" t="s">
        <v>820</v>
      </c>
      <c r="F1" s="22" t="str">
        <f>Cover!B7</f>
        <v>FMECA – [Plant / Unit name]</v>
      </c>
    </row>
    <row r="3" spans="1:31" ht="16" x14ac:dyDescent="0.2">
      <c r="A3" s="28" t="s">
        <v>821</v>
      </c>
      <c r="B3" s="29"/>
      <c r="C3" s="30"/>
      <c r="D3" s="26"/>
      <c r="E3" s="27"/>
      <c r="F3" s="27"/>
      <c r="G3" s="27"/>
      <c r="H3" s="27"/>
      <c r="I3" s="27"/>
      <c r="J3" s="27"/>
      <c r="K3" s="23" t="s">
        <v>822</v>
      </c>
      <c r="L3" s="34"/>
      <c r="M3" s="27"/>
      <c r="N3" s="23" t="s">
        <v>823</v>
      </c>
      <c r="O3" s="19" t="str">
        <f>IF($D$3="","",COUNTIFS(EqSys,$D$3,EqTag,"?*"))</f>
        <v/>
      </c>
    </row>
    <row r="4" spans="1:31" ht="16" customHeight="1" x14ac:dyDescent="0.2">
      <c r="A4" s="35" t="s">
        <v>824</v>
      </c>
      <c r="B4" s="27"/>
      <c r="C4" s="27"/>
      <c r="D4" s="33" t="str">
        <f>IF($D$3="","",IFERROR(INDEX(Systems!$B$5:$B$34,MATCH($D$3,Systems!$C$5:$C$34,0))&amp;"",""))</f>
        <v/>
      </c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</row>
    <row r="5" spans="1:31" ht="30" customHeight="1" x14ac:dyDescent="0.2">
      <c r="A5" s="35" t="s">
        <v>140</v>
      </c>
      <c r="B5" s="27"/>
      <c r="C5" s="27"/>
      <c r="D5" s="33" t="str">
        <f>IF($D$3="","",IFERROR(INDEX(Systems!$D$5:$D$34,MATCH($D$3,Systems!$C$5:$C$34,0))&amp;"",""))</f>
        <v/>
      </c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</row>
    <row r="6" spans="1:31" ht="30" customHeight="1" x14ac:dyDescent="0.2">
      <c r="A6" s="35" t="s">
        <v>24</v>
      </c>
      <c r="B6" s="27"/>
      <c r="C6" s="27"/>
      <c r="D6" s="33" t="str">
        <f>IF($D$3="","",IFERROR(INDEX(Systems!$E$5:$E$34,MATCH($D$3,Systems!$C$5:$C$34,0))&amp;"",""))</f>
        <v/>
      </c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</row>
    <row r="7" spans="1:31" ht="30" customHeight="1" x14ac:dyDescent="0.2">
      <c r="A7" s="35" t="s">
        <v>142</v>
      </c>
      <c r="B7" s="27"/>
      <c r="C7" s="27"/>
      <c r="D7" s="33" t="str">
        <f>IF($D$3="","",IFERROR(INDEX(Systems!$F$5:$F$34,MATCH($D$3,Systems!$C$5:$C$34,0))&amp;"",""))</f>
        <v/>
      </c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</row>
    <row r="8" spans="1:31" ht="16" customHeight="1" x14ac:dyDescent="0.2">
      <c r="A8" s="35" t="s">
        <v>143</v>
      </c>
      <c r="B8" s="27"/>
      <c r="C8" s="27"/>
      <c r="D8" s="33" t="str">
        <f>IF($D$3="","",IFERROR(INDEX(Systems!$G$5:$G$34,MATCH($D$3,Systems!$C$5:$C$34,0))&amp;"",""))</f>
        <v/>
      </c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</row>
    <row r="9" spans="1:31" ht="16" customHeight="1" x14ac:dyDescent="0.2">
      <c r="A9" s="35" t="s">
        <v>144</v>
      </c>
      <c r="B9" s="27"/>
      <c r="C9" s="27"/>
      <c r="D9" s="33" t="str">
        <f>IF($D$3="","",IFERROR(INDEX(Systems!$H$5:$H$34,MATCH($D$3,Systems!$C$5:$C$34,0))&amp;"",""))</f>
        <v/>
      </c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</row>
    <row r="11" spans="1:31" ht="26" customHeight="1" x14ac:dyDescent="0.2">
      <c r="A11" s="36" t="s">
        <v>825</v>
      </c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</row>
    <row r="12" spans="1:31" x14ac:dyDescent="0.2">
      <c r="A12" s="31" t="s">
        <v>826</v>
      </c>
      <c r="B12" s="32"/>
      <c r="C12" s="32"/>
      <c r="D12" s="32"/>
      <c r="E12" s="32"/>
      <c r="F12" s="32"/>
      <c r="G12" s="31" t="s">
        <v>827</v>
      </c>
      <c r="H12" s="32"/>
      <c r="I12" s="32"/>
      <c r="J12" s="32"/>
      <c r="K12" s="31" t="s">
        <v>828</v>
      </c>
      <c r="L12" s="32"/>
      <c r="M12" s="32"/>
      <c r="N12" s="32"/>
      <c r="O12" s="32"/>
      <c r="P12" s="32"/>
      <c r="Q12" s="32"/>
      <c r="R12" s="32"/>
      <c r="S12" s="31" t="s">
        <v>829</v>
      </c>
      <c r="T12" s="32"/>
      <c r="U12" s="32"/>
      <c r="V12" s="32"/>
      <c r="W12" s="31" t="s">
        <v>830</v>
      </c>
      <c r="X12" s="32"/>
      <c r="Y12" s="32"/>
      <c r="Z12" s="32"/>
      <c r="AA12" s="32"/>
      <c r="AB12" s="31" t="s">
        <v>831</v>
      </c>
      <c r="AC12" s="32"/>
    </row>
    <row r="13" spans="1:31" ht="54" customHeight="1" x14ac:dyDescent="0.2">
      <c r="A13" s="8" t="s">
        <v>62</v>
      </c>
      <c r="B13" s="8" t="s">
        <v>192</v>
      </c>
      <c r="C13" s="8" t="s">
        <v>832</v>
      </c>
      <c r="D13" s="8" t="s">
        <v>260</v>
      </c>
      <c r="E13" s="8" t="s">
        <v>833</v>
      </c>
      <c r="F13" s="8" t="s">
        <v>261</v>
      </c>
      <c r="G13" s="8" t="s">
        <v>834</v>
      </c>
      <c r="H13" s="8" t="s">
        <v>835</v>
      </c>
      <c r="I13" s="8" t="s">
        <v>836</v>
      </c>
      <c r="J13" s="8" t="s">
        <v>837</v>
      </c>
      <c r="K13" s="8" t="s">
        <v>685</v>
      </c>
      <c r="L13" s="8" t="s">
        <v>838</v>
      </c>
      <c r="M13" s="8" t="s">
        <v>718</v>
      </c>
      <c r="N13" s="8" t="s">
        <v>839</v>
      </c>
      <c r="O13" s="8" t="s">
        <v>739</v>
      </c>
      <c r="P13" s="8" t="s">
        <v>840</v>
      </c>
      <c r="Q13" s="8" t="s">
        <v>841</v>
      </c>
      <c r="R13" s="8" t="s">
        <v>842</v>
      </c>
      <c r="S13" s="8" t="s">
        <v>843</v>
      </c>
      <c r="T13" s="8" t="s">
        <v>264</v>
      </c>
      <c r="U13" s="8" t="s">
        <v>844</v>
      </c>
      <c r="V13" s="8" t="s">
        <v>845</v>
      </c>
      <c r="W13" s="8" t="s">
        <v>685</v>
      </c>
      <c r="X13" s="8" t="s">
        <v>718</v>
      </c>
      <c r="Y13" s="8" t="s">
        <v>739</v>
      </c>
      <c r="Z13" s="8" t="s">
        <v>846</v>
      </c>
      <c r="AA13" s="8" t="s">
        <v>847</v>
      </c>
      <c r="AB13" s="8" t="s">
        <v>848</v>
      </c>
      <c r="AC13" s="8" t="s">
        <v>68</v>
      </c>
    </row>
    <row r="14" spans="1:31" ht="30" customHeight="1" x14ac:dyDescent="0.2">
      <c r="A14" s="19" t="str">
        <f>IF(F14="","",LEFT($D$3,3)&amp;"-"&amp;TEXT(COUNTIF(F$14:F14,"?*"),"00"))</f>
        <v/>
      </c>
      <c r="B14" s="5"/>
      <c r="C14" s="6" t="str">
        <f t="shared" ref="C14:C45" si="0">IF(B14="","",IFERROR(INDEX(EqTypeCol,MATCH(B14,EqTag,0)),"Tag not in register"))</f>
        <v/>
      </c>
      <c r="D14" s="5"/>
      <c r="E14" s="5"/>
      <c r="F14" s="5"/>
      <c r="G14" s="5"/>
      <c r="H14" s="5"/>
      <c r="I14" s="5"/>
      <c r="J14" s="5"/>
      <c r="K14" s="15"/>
      <c r="L14" s="5"/>
      <c r="M14" s="15"/>
      <c r="N14" s="5"/>
      <c r="O14" s="15"/>
      <c r="P14" s="19" t="str">
        <f t="shared" ref="P14:P45" si="1">IF(OR(K14="",M14="",O14=""),"",(--TRIM(LEFT(K14,2)))*(--TRIM(LEFT(M14,2)))*(--TRIM(LEFT(O14,2))))</f>
        <v/>
      </c>
      <c r="Q14" s="19" t="str">
        <f t="shared" ref="Q14:Q45" si="2">IF(OR(K14="",M14="",O14=""),"",INDEX(APGrid,COUNTIF(APS,"&gt;"&amp;(--TRIM(LEFT(K14,2))))*5+COUNTIF(APO,"&gt;"&amp;(--TRIM(LEFT(M14,2))))+1,COUNTIF(APD,"&gt;"&amp;(--TRIM(LEFT(O14,2))))+1))</f>
        <v/>
      </c>
      <c r="R14" s="19" t="str">
        <f t="shared" ref="R14:R45" si="3">IF(P14="","",IF(OR((--TRIM(LEFT(K14,2)))&gt;=SThr,P14&gt;=RPNThr,Q14="H"),"Yes","No"))</f>
        <v/>
      </c>
      <c r="S14" s="5"/>
      <c r="T14" s="5"/>
      <c r="U14" s="5"/>
      <c r="V14" s="24"/>
      <c r="W14" s="15"/>
      <c r="X14" s="15"/>
      <c r="Y14" s="15"/>
      <c r="Z14" s="19" t="str">
        <f t="shared" ref="Z14:Z45" si="4">IF(OR(W14="",X14="",Y14=""),"",(--TRIM(LEFT(W14,2)))*(--TRIM(LEFT(X14,2)))*(--TRIM(LEFT(Y14,2))))</f>
        <v/>
      </c>
      <c r="AA14" s="19" t="str">
        <f t="shared" ref="AA14:AA45" si="5">IF(OR(W14="",X14="",Y14=""),"",INDEX(APGrid,COUNTIF(APS,"&gt;"&amp;(--TRIM(LEFT(W14,2))))*5+COUNTIF(APO,"&gt;"&amp;(--TRIM(LEFT(X14,2))))+1,COUNTIF(APD,"&gt;"&amp;(--TRIM(LEFT(Y14,2))))+1))</f>
        <v/>
      </c>
      <c r="AB14" s="5"/>
      <c r="AC14" s="5"/>
      <c r="AE14" t="str">
        <f>IFERROR(INDEX(EqTag,_xlfn.AGGREGATE(15,6,(ROW(EqTag)-4)/((EqSys=$D$3)*(EqTag&lt;&gt;"")),ROWS($AE$14:AE14))),"")</f>
        <v/>
      </c>
    </row>
    <row r="15" spans="1:31" ht="30" customHeight="1" x14ac:dyDescent="0.2">
      <c r="A15" s="19" t="str">
        <f>IF(F15="","",LEFT($D$3,3)&amp;"-"&amp;TEXT(COUNTIF(F$14:F15,"?*"),"00"))</f>
        <v/>
      </c>
      <c r="B15" s="5"/>
      <c r="C15" s="6" t="str">
        <f t="shared" si="0"/>
        <v/>
      </c>
      <c r="D15" s="5"/>
      <c r="E15" s="5"/>
      <c r="F15" s="5"/>
      <c r="G15" s="5"/>
      <c r="H15" s="5"/>
      <c r="I15" s="5"/>
      <c r="J15" s="5"/>
      <c r="K15" s="15"/>
      <c r="L15" s="5"/>
      <c r="M15" s="15"/>
      <c r="N15" s="5"/>
      <c r="O15" s="15"/>
      <c r="P15" s="19" t="str">
        <f t="shared" si="1"/>
        <v/>
      </c>
      <c r="Q15" s="19" t="str">
        <f t="shared" si="2"/>
        <v/>
      </c>
      <c r="R15" s="19" t="str">
        <f t="shared" si="3"/>
        <v/>
      </c>
      <c r="S15" s="5"/>
      <c r="T15" s="5"/>
      <c r="U15" s="5"/>
      <c r="V15" s="24"/>
      <c r="W15" s="15"/>
      <c r="X15" s="15"/>
      <c r="Y15" s="15"/>
      <c r="Z15" s="19" t="str">
        <f t="shared" si="4"/>
        <v/>
      </c>
      <c r="AA15" s="19" t="str">
        <f t="shared" si="5"/>
        <v/>
      </c>
      <c r="AB15" s="5"/>
      <c r="AC15" s="5"/>
      <c r="AE15" t="str">
        <f>IFERROR(INDEX(EqTag,_xlfn.AGGREGATE(15,6,(ROW(EqTag)-4)/((EqSys=$D$3)*(EqTag&lt;&gt;"")),ROWS($AE$14:AE15))),"")</f>
        <v/>
      </c>
    </row>
    <row r="16" spans="1:31" ht="30" customHeight="1" x14ac:dyDescent="0.2">
      <c r="A16" s="19" t="str">
        <f>IF(F16="","",LEFT($D$3,3)&amp;"-"&amp;TEXT(COUNTIF(F$14:F16,"?*"),"00"))</f>
        <v/>
      </c>
      <c r="B16" s="5"/>
      <c r="C16" s="6" t="str">
        <f t="shared" si="0"/>
        <v/>
      </c>
      <c r="D16" s="5"/>
      <c r="E16" s="5"/>
      <c r="F16" s="5"/>
      <c r="G16" s="5"/>
      <c r="H16" s="5"/>
      <c r="I16" s="5"/>
      <c r="J16" s="5"/>
      <c r="K16" s="15"/>
      <c r="L16" s="5"/>
      <c r="M16" s="15"/>
      <c r="N16" s="5"/>
      <c r="O16" s="15"/>
      <c r="P16" s="19" t="str">
        <f t="shared" si="1"/>
        <v/>
      </c>
      <c r="Q16" s="19" t="str">
        <f t="shared" si="2"/>
        <v/>
      </c>
      <c r="R16" s="19" t="str">
        <f t="shared" si="3"/>
        <v/>
      </c>
      <c r="S16" s="5"/>
      <c r="T16" s="5"/>
      <c r="U16" s="5"/>
      <c r="V16" s="24"/>
      <c r="W16" s="15"/>
      <c r="X16" s="15"/>
      <c r="Y16" s="15"/>
      <c r="Z16" s="19" t="str">
        <f t="shared" si="4"/>
        <v/>
      </c>
      <c r="AA16" s="19" t="str">
        <f t="shared" si="5"/>
        <v/>
      </c>
      <c r="AB16" s="5"/>
      <c r="AC16" s="5"/>
      <c r="AE16" t="str">
        <f>IFERROR(INDEX(EqTag,_xlfn.AGGREGATE(15,6,(ROW(EqTag)-4)/((EqSys=$D$3)*(EqTag&lt;&gt;"")),ROWS($AE$14:AE16))),"")</f>
        <v/>
      </c>
    </row>
    <row r="17" spans="1:31" ht="30" customHeight="1" x14ac:dyDescent="0.2">
      <c r="A17" s="19" t="str">
        <f>IF(F17="","",LEFT($D$3,3)&amp;"-"&amp;TEXT(COUNTIF(F$14:F17,"?*"),"00"))</f>
        <v/>
      </c>
      <c r="B17" s="5"/>
      <c r="C17" s="6" t="str">
        <f t="shared" si="0"/>
        <v/>
      </c>
      <c r="D17" s="5"/>
      <c r="E17" s="5"/>
      <c r="F17" s="5"/>
      <c r="G17" s="5"/>
      <c r="H17" s="5"/>
      <c r="I17" s="5"/>
      <c r="J17" s="5"/>
      <c r="K17" s="15"/>
      <c r="L17" s="5"/>
      <c r="M17" s="15"/>
      <c r="N17" s="5"/>
      <c r="O17" s="15"/>
      <c r="P17" s="19" t="str">
        <f t="shared" si="1"/>
        <v/>
      </c>
      <c r="Q17" s="19" t="str">
        <f t="shared" si="2"/>
        <v/>
      </c>
      <c r="R17" s="19" t="str">
        <f t="shared" si="3"/>
        <v/>
      </c>
      <c r="S17" s="5"/>
      <c r="T17" s="5"/>
      <c r="U17" s="5"/>
      <c r="V17" s="24"/>
      <c r="W17" s="15"/>
      <c r="X17" s="15"/>
      <c r="Y17" s="15"/>
      <c r="Z17" s="19" t="str">
        <f t="shared" si="4"/>
        <v/>
      </c>
      <c r="AA17" s="19" t="str">
        <f t="shared" si="5"/>
        <v/>
      </c>
      <c r="AB17" s="5"/>
      <c r="AC17" s="5"/>
      <c r="AE17" t="str">
        <f>IFERROR(INDEX(EqTag,_xlfn.AGGREGATE(15,6,(ROW(EqTag)-4)/((EqSys=$D$3)*(EqTag&lt;&gt;"")),ROWS($AE$14:AE17))),"")</f>
        <v/>
      </c>
    </row>
    <row r="18" spans="1:31" ht="30" customHeight="1" x14ac:dyDescent="0.2">
      <c r="A18" s="19" t="str">
        <f>IF(F18="","",LEFT($D$3,3)&amp;"-"&amp;TEXT(COUNTIF(F$14:F18,"?*"),"00"))</f>
        <v/>
      </c>
      <c r="B18" s="5"/>
      <c r="C18" s="6" t="str">
        <f t="shared" si="0"/>
        <v/>
      </c>
      <c r="D18" s="5"/>
      <c r="E18" s="5"/>
      <c r="F18" s="5"/>
      <c r="G18" s="5"/>
      <c r="H18" s="5"/>
      <c r="I18" s="5"/>
      <c r="J18" s="5"/>
      <c r="K18" s="15"/>
      <c r="L18" s="5"/>
      <c r="M18" s="15"/>
      <c r="N18" s="5"/>
      <c r="O18" s="15"/>
      <c r="P18" s="19" t="str">
        <f t="shared" si="1"/>
        <v/>
      </c>
      <c r="Q18" s="19" t="str">
        <f t="shared" si="2"/>
        <v/>
      </c>
      <c r="R18" s="19" t="str">
        <f t="shared" si="3"/>
        <v/>
      </c>
      <c r="S18" s="5"/>
      <c r="T18" s="5"/>
      <c r="U18" s="5"/>
      <c r="V18" s="24"/>
      <c r="W18" s="15"/>
      <c r="X18" s="15"/>
      <c r="Y18" s="15"/>
      <c r="Z18" s="19" t="str">
        <f t="shared" si="4"/>
        <v/>
      </c>
      <c r="AA18" s="19" t="str">
        <f t="shared" si="5"/>
        <v/>
      </c>
      <c r="AB18" s="5"/>
      <c r="AC18" s="5"/>
      <c r="AE18" t="str">
        <f>IFERROR(INDEX(EqTag,_xlfn.AGGREGATE(15,6,(ROW(EqTag)-4)/((EqSys=$D$3)*(EqTag&lt;&gt;"")),ROWS($AE$14:AE18))),"")</f>
        <v/>
      </c>
    </row>
    <row r="19" spans="1:31" ht="30" customHeight="1" x14ac:dyDescent="0.2">
      <c r="A19" s="19" t="str">
        <f>IF(F19="","",LEFT($D$3,3)&amp;"-"&amp;TEXT(COUNTIF(F$14:F19,"?*"),"00"))</f>
        <v/>
      </c>
      <c r="B19" s="5"/>
      <c r="C19" s="6" t="str">
        <f t="shared" si="0"/>
        <v/>
      </c>
      <c r="D19" s="5"/>
      <c r="E19" s="5"/>
      <c r="F19" s="5"/>
      <c r="G19" s="5"/>
      <c r="H19" s="5"/>
      <c r="I19" s="5"/>
      <c r="J19" s="5"/>
      <c r="K19" s="15"/>
      <c r="L19" s="5"/>
      <c r="M19" s="15"/>
      <c r="N19" s="5"/>
      <c r="O19" s="15"/>
      <c r="P19" s="19" t="str">
        <f t="shared" si="1"/>
        <v/>
      </c>
      <c r="Q19" s="19" t="str">
        <f t="shared" si="2"/>
        <v/>
      </c>
      <c r="R19" s="19" t="str">
        <f t="shared" si="3"/>
        <v/>
      </c>
      <c r="S19" s="5"/>
      <c r="T19" s="5"/>
      <c r="U19" s="5"/>
      <c r="V19" s="24"/>
      <c r="W19" s="15"/>
      <c r="X19" s="15"/>
      <c r="Y19" s="15"/>
      <c r="Z19" s="19" t="str">
        <f t="shared" si="4"/>
        <v/>
      </c>
      <c r="AA19" s="19" t="str">
        <f t="shared" si="5"/>
        <v/>
      </c>
      <c r="AB19" s="5"/>
      <c r="AC19" s="5"/>
      <c r="AE19" t="str">
        <f>IFERROR(INDEX(EqTag,_xlfn.AGGREGATE(15,6,(ROW(EqTag)-4)/((EqSys=$D$3)*(EqTag&lt;&gt;"")),ROWS($AE$14:AE19))),"")</f>
        <v/>
      </c>
    </row>
    <row r="20" spans="1:31" ht="30" customHeight="1" x14ac:dyDescent="0.2">
      <c r="A20" s="19" t="str">
        <f>IF(F20="","",LEFT($D$3,3)&amp;"-"&amp;TEXT(COUNTIF(F$14:F20,"?*"),"00"))</f>
        <v/>
      </c>
      <c r="B20" s="5"/>
      <c r="C20" s="6" t="str">
        <f t="shared" si="0"/>
        <v/>
      </c>
      <c r="D20" s="5"/>
      <c r="E20" s="5"/>
      <c r="F20" s="5"/>
      <c r="G20" s="5"/>
      <c r="H20" s="5"/>
      <c r="I20" s="5"/>
      <c r="J20" s="5"/>
      <c r="K20" s="15"/>
      <c r="L20" s="5"/>
      <c r="M20" s="15"/>
      <c r="N20" s="5"/>
      <c r="O20" s="15"/>
      <c r="P20" s="19" t="str">
        <f t="shared" si="1"/>
        <v/>
      </c>
      <c r="Q20" s="19" t="str">
        <f t="shared" si="2"/>
        <v/>
      </c>
      <c r="R20" s="19" t="str">
        <f t="shared" si="3"/>
        <v/>
      </c>
      <c r="S20" s="5"/>
      <c r="T20" s="5"/>
      <c r="U20" s="5"/>
      <c r="V20" s="24"/>
      <c r="W20" s="15"/>
      <c r="X20" s="15"/>
      <c r="Y20" s="15"/>
      <c r="Z20" s="19" t="str">
        <f t="shared" si="4"/>
        <v/>
      </c>
      <c r="AA20" s="19" t="str">
        <f t="shared" si="5"/>
        <v/>
      </c>
      <c r="AB20" s="5"/>
      <c r="AC20" s="5"/>
      <c r="AE20" t="str">
        <f>IFERROR(INDEX(EqTag,_xlfn.AGGREGATE(15,6,(ROW(EqTag)-4)/((EqSys=$D$3)*(EqTag&lt;&gt;"")),ROWS($AE$14:AE20))),"")</f>
        <v/>
      </c>
    </row>
    <row r="21" spans="1:31" ht="30" customHeight="1" x14ac:dyDescent="0.2">
      <c r="A21" s="19" t="str">
        <f>IF(F21="","",LEFT($D$3,3)&amp;"-"&amp;TEXT(COUNTIF(F$14:F21,"?*"),"00"))</f>
        <v/>
      </c>
      <c r="B21" s="5"/>
      <c r="C21" s="6" t="str">
        <f t="shared" si="0"/>
        <v/>
      </c>
      <c r="D21" s="5"/>
      <c r="E21" s="5"/>
      <c r="F21" s="5"/>
      <c r="G21" s="5"/>
      <c r="H21" s="5"/>
      <c r="I21" s="5"/>
      <c r="J21" s="5"/>
      <c r="K21" s="15"/>
      <c r="L21" s="5"/>
      <c r="M21" s="15"/>
      <c r="N21" s="5"/>
      <c r="O21" s="15"/>
      <c r="P21" s="19" t="str">
        <f t="shared" si="1"/>
        <v/>
      </c>
      <c r="Q21" s="19" t="str">
        <f t="shared" si="2"/>
        <v/>
      </c>
      <c r="R21" s="19" t="str">
        <f t="shared" si="3"/>
        <v/>
      </c>
      <c r="S21" s="5"/>
      <c r="T21" s="5"/>
      <c r="U21" s="5"/>
      <c r="V21" s="24"/>
      <c r="W21" s="15"/>
      <c r="X21" s="15"/>
      <c r="Y21" s="15"/>
      <c r="Z21" s="19" t="str">
        <f t="shared" si="4"/>
        <v/>
      </c>
      <c r="AA21" s="19" t="str">
        <f t="shared" si="5"/>
        <v/>
      </c>
      <c r="AB21" s="5"/>
      <c r="AC21" s="5"/>
      <c r="AE21" t="str">
        <f>IFERROR(INDEX(EqTag,_xlfn.AGGREGATE(15,6,(ROW(EqTag)-4)/((EqSys=$D$3)*(EqTag&lt;&gt;"")),ROWS($AE$14:AE21))),"")</f>
        <v/>
      </c>
    </row>
    <row r="22" spans="1:31" ht="30" customHeight="1" x14ac:dyDescent="0.2">
      <c r="A22" s="19" t="str">
        <f>IF(F22="","",LEFT($D$3,3)&amp;"-"&amp;TEXT(COUNTIF(F$14:F22,"?*"),"00"))</f>
        <v/>
      </c>
      <c r="B22" s="5"/>
      <c r="C22" s="6" t="str">
        <f t="shared" si="0"/>
        <v/>
      </c>
      <c r="D22" s="5"/>
      <c r="E22" s="5"/>
      <c r="F22" s="5"/>
      <c r="G22" s="5"/>
      <c r="H22" s="5"/>
      <c r="I22" s="5"/>
      <c r="J22" s="5"/>
      <c r="K22" s="15"/>
      <c r="L22" s="5"/>
      <c r="M22" s="15"/>
      <c r="N22" s="5"/>
      <c r="O22" s="15"/>
      <c r="P22" s="19" t="str">
        <f t="shared" si="1"/>
        <v/>
      </c>
      <c r="Q22" s="19" t="str">
        <f t="shared" si="2"/>
        <v/>
      </c>
      <c r="R22" s="19" t="str">
        <f t="shared" si="3"/>
        <v/>
      </c>
      <c r="S22" s="5"/>
      <c r="T22" s="5"/>
      <c r="U22" s="5"/>
      <c r="V22" s="24"/>
      <c r="W22" s="15"/>
      <c r="X22" s="15"/>
      <c r="Y22" s="15"/>
      <c r="Z22" s="19" t="str">
        <f t="shared" si="4"/>
        <v/>
      </c>
      <c r="AA22" s="19" t="str">
        <f t="shared" si="5"/>
        <v/>
      </c>
      <c r="AB22" s="5"/>
      <c r="AC22" s="5"/>
      <c r="AE22" t="str">
        <f>IFERROR(INDEX(EqTag,_xlfn.AGGREGATE(15,6,(ROW(EqTag)-4)/((EqSys=$D$3)*(EqTag&lt;&gt;"")),ROWS($AE$14:AE22))),"")</f>
        <v/>
      </c>
    </row>
    <row r="23" spans="1:31" ht="30" customHeight="1" x14ac:dyDescent="0.2">
      <c r="A23" s="19" t="str">
        <f>IF(F23="","",LEFT($D$3,3)&amp;"-"&amp;TEXT(COUNTIF(F$14:F23,"?*"),"00"))</f>
        <v/>
      </c>
      <c r="B23" s="5"/>
      <c r="C23" s="6" t="str">
        <f t="shared" si="0"/>
        <v/>
      </c>
      <c r="D23" s="5"/>
      <c r="E23" s="5"/>
      <c r="F23" s="5"/>
      <c r="G23" s="5"/>
      <c r="H23" s="5"/>
      <c r="I23" s="5"/>
      <c r="J23" s="5"/>
      <c r="K23" s="15"/>
      <c r="L23" s="5"/>
      <c r="M23" s="15"/>
      <c r="N23" s="5"/>
      <c r="O23" s="15"/>
      <c r="P23" s="19" t="str">
        <f t="shared" si="1"/>
        <v/>
      </c>
      <c r="Q23" s="19" t="str">
        <f t="shared" si="2"/>
        <v/>
      </c>
      <c r="R23" s="19" t="str">
        <f t="shared" si="3"/>
        <v/>
      </c>
      <c r="S23" s="5"/>
      <c r="T23" s="5"/>
      <c r="U23" s="5"/>
      <c r="V23" s="24"/>
      <c r="W23" s="15"/>
      <c r="X23" s="15"/>
      <c r="Y23" s="15"/>
      <c r="Z23" s="19" t="str">
        <f t="shared" si="4"/>
        <v/>
      </c>
      <c r="AA23" s="19" t="str">
        <f t="shared" si="5"/>
        <v/>
      </c>
      <c r="AB23" s="5"/>
      <c r="AC23" s="5"/>
      <c r="AE23" t="str">
        <f>IFERROR(INDEX(EqTag,_xlfn.AGGREGATE(15,6,(ROW(EqTag)-4)/((EqSys=$D$3)*(EqTag&lt;&gt;"")),ROWS($AE$14:AE23))),"")</f>
        <v/>
      </c>
    </row>
    <row r="24" spans="1:31" ht="30" customHeight="1" x14ac:dyDescent="0.2">
      <c r="A24" s="19" t="str">
        <f>IF(F24="","",LEFT($D$3,3)&amp;"-"&amp;TEXT(COUNTIF(F$14:F24,"?*"),"00"))</f>
        <v/>
      </c>
      <c r="B24" s="5"/>
      <c r="C24" s="6" t="str">
        <f t="shared" si="0"/>
        <v/>
      </c>
      <c r="D24" s="5"/>
      <c r="E24" s="5"/>
      <c r="F24" s="5"/>
      <c r="G24" s="5"/>
      <c r="H24" s="5"/>
      <c r="I24" s="5"/>
      <c r="J24" s="5"/>
      <c r="K24" s="15"/>
      <c r="L24" s="5"/>
      <c r="M24" s="15"/>
      <c r="N24" s="5"/>
      <c r="O24" s="15"/>
      <c r="P24" s="19" t="str">
        <f t="shared" si="1"/>
        <v/>
      </c>
      <c r="Q24" s="19" t="str">
        <f t="shared" si="2"/>
        <v/>
      </c>
      <c r="R24" s="19" t="str">
        <f t="shared" si="3"/>
        <v/>
      </c>
      <c r="S24" s="5"/>
      <c r="T24" s="5"/>
      <c r="U24" s="5"/>
      <c r="V24" s="24"/>
      <c r="W24" s="15"/>
      <c r="X24" s="15"/>
      <c r="Y24" s="15"/>
      <c r="Z24" s="19" t="str">
        <f t="shared" si="4"/>
        <v/>
      </c>
      <c r="AA24" s="19" t="str">
        <f t="shared" si="5"/>
        <v/>
      </c>
      <c r="AB24" s="5"/>
      <c r="AC24" s="5"/>
      <c r="AE24" t="str">
        <f>IFERROR(INDEX(EqTag,_xlfn.AGGREGATE(15,6,(ROW(EqTag)-4)/((EqSys=$D$3)*(EqTag&lt;&gt;"")),ROWS($AE$14:AE24))),"")</f>
        <v/>
      </c>
    </row>
    <row r="25" spans="1:31" ht="30" customHeight="1" x14ac:dyDescent="0.2">
      <c r="A25" s="19" t="str">
        <f>IF(F25="","",LEFT($D$3,3)&amp;"-"&amp;TEXT(COUNTIF(F$14:F25,"?*"),"00"))</f>
        <v/>
      </c>
      <c r="B25" s="5"/>
      <c r="C25" s="6" t="str">
        <f t="shared" si="0"/>
        <v/>
      </c>
      <c r="D25" s="5"/>
      <c r="E25" s="5"/>
      <c r="F25" s="5"/>
      <c r="G25" s="5"/>
      <c r="H25" s="5"/>
      <c r="I25" s="5"/>
      <c r="J25" s="5"/>
      <c r="K25" s="15"/>
      <c r="L25" s="5"/>
      <c r="M25" s="15"/>
      <c r="N25" s="5"/>
      <c r="O25" s="15"/>
      <c r="P25" s="19" t="str">
        <f t="shared" si="1"/>
        <v/>
      </c>
      <c r="Q25" s="19" t="str">
        <f t="shared" si="2"/>
        <v/>
      </c>
      <c r="R25" s="19" t="str">
        <f t="shared" si="3"/>
        <v/>
      </c>
      <c r="S25" s="5"/>
      <c r="T25" s="5"/>
      <c r="U25" s="5"/>
      <c r="V25" s="24"/>
      <c r="W25" s="15"/>
      <c r="X25" s="15"/>
      <c r="Y25" s="15"/>
      <c r="Z25" s="19" t="str">
        <f t="shared" si="4"/>
        <v/>
      </c>
      <c r="AA25" s="19" t="str">
        <f t="shared" si="5"/>
        <v/>
      </c>
      <c r="AB25" s="5"/>
      <c r="AC25" s="5"/>
      <c r="AE25" t="str">
        <f>IFERROR(INDEX(EqTag,_xlfn.AGGREGATE(15,6,(ROW(EqTag)-4)/((EqSys=$D$3)*(EqTag&lt;&gt;"")),ROWS($AE$14:AE25))),"")</f>
        <v/>
      </c>
    </row>
    <row r="26" spans="1:31" ht="30" customHeight="1" x14ac:dyDescent="0.2">
      <c r="A26" s="19" t="str">
        <f>IF(F26="","",LEFT($D$3,3)&amp;"-"&amp;TEXT(COUNTIF(F$14:F26,"?*"),"00"))</f>
        <v/>
      </c>
      <c r="B26" s="5"/>
      <c r="C26" s="6" t="str">
        <f t="shared" si="0"/>
        <v/>
      </c>
      <c r="D26" s="5"/>
      <c r="E26" s="5"/>
      <c r="F26" s="5"/>
      <c r="G26" s="5"/>
      <c r="H26" s="5"/>
      <c r="I26" s="5"/>
      <c r="J26" s="5"/>
      <c r="K26" s="15"/>
      <c r="L26" s="5"/>
      <c r="M26" s="15"/>
      <c r="N26" s="5"/>
      <c r="O26" s="15"/>
      <c r="P26" s="19" t="str">
        <f t="shared" si="1"/>
        <v/>
      </c>
      <c r="Q26" s="19" t="str">
        <f t="shared" si="2"/>
        <v/>
      </c>
      <c r="R26" s="19" t="str">
        <f t="shared" si="3"/>
        <v/>
      </c>
      <c r="S26" s="5"/>
      <c r="T26" s="5"/>
      <c r="U26" s="5"/>
      <c r="V26" s="24"/>
      <c r="W26" s="15"/>
      <c r="X26" s="15"/>
      <c r="Y26" s="15"/>
      <c r="Z26" s="19" t="str">
        <f t="shared" si="4"/>
        <v/>
      </c>
      <c r="AA26" s="19" t="str">
        <f t="shared" si="5"/>
        <v/>
      </c>
      <c r="AB26" s="5"/>
      <c r="AC26" s="5"/>
      <c r="AE26" t="str">
        <f>IFERROR(INDEX(EqTag,_xlfn.AGGREGATE(15,6,(ROW(EqTag)-4)/((EqSys=$D$3)*(EqTag&lt;&gt;"")),ROWS($AE$14:AE26))),"")</f>
        <v/>
      </c>
    </row>
    <row r="27" spans="1:31" ht="30" customHeight="1" x14ac:dyDescent="0.2">
      <c r="A27" s="19" t="str">
        <f>IF(F27="","",LEFT($D$3,3)&amp;"-"&amp;TEXT(COUNTIF(F$14:F27,"?*"),"00"))</f>
        <v/>
      </c>
      <c r="B27" s="5"/>
      <c r="C27" s="6" t="str">
        <f t="shared" si="0"/>
        <v/>
      </c>
      <c r="D27" s="5"/>
      <c r="E27" s="5"/>
      <c r="F27" s="5"/>
      <c r="G27" s="5"/>
      <c r="H27" s="5"/>
      <c r="I27" s="5"/>
      <c r="J27" s="5"/>
      <c r="K27" s="15"/>
      <c r="L27" s="5"/>
      <c r="M27" s="15"/>
      <c r="N27" s="5"/>
      <c r="O27" s="15"/>
      <c r="P27" s="19" t="str">
        <f t="shared" si="1"/>
        <v/>
      </c>
      <c r="Q27" s="19" t="str">
        <f t="shared" si="2"/>
        <v/>
      </c>
      <c r="R27" s="19" t="str">
        <f t="shared" si="3"/>
        <v/>
      </c>
      <c r="S27" s="5"/>
      <c r="T27" s="5"/>
      <c r="U27" s="5"/>
      <c r="V27" s="24"/>
      <c r="W27" s="15"/>
      <c r="X27" s="15"/>
      <c r="Y27" s="15"/>
      <c r="Z27" s="19" t="str">
        <f t="shared" si="4"/>
        <v/>
      </c>
      <c r="AA27" s="19" t="str">
        <f t="shared" si="5"/>
        <v/>
      </c>
      <c r="AB27" s="5"/>
      <c r="AC27" s="5"/>
      <c r="AE27" t="str">
        <f>IFERROR(INDEX(EqTag,_xlfn.AGGREGATE(15,6,(ROW(EqTag)-4)/((EqSys=$D$3)*(EqTag&lt;&gt;"")),ROWS($AE$14:AE27))),"")</f>
        <v/>
      </c>
    </row>
    <row r="28" spans="1:31" ht="30" customHeight="1" x14ac:dyDescent="0.2">
      <c r="A28" s="19" t="str">
        <f>IF(F28="","",LEFT($D$3,3)&amp;"-"&amp;TEXT(COUNTIF(F$14:F28,"?*"),"00"))</f>
        <v/>
      </c>
      <c r="B28" s="5"/>
      <c r="C28" s="6" t="str">
        <f t="shared" si="0"/>
        <v/>
      </c>
      <c r="D28" s="5"/>
      <c r="E28" s="5"/>
      <c r="F28" s="5"/>
      <c r="G28" s="5"/>
      <c r="H28" s="5"/>
      <c r="I28" s="5"/>
      <c r="J28" s="5"/>
      <c r="K28" s="15"/>
      <c r="L28" s="5"/>
      <c r="M28" s="15"/>
      <c r="N28" s="5"/>
      <c r="O28" s="15"/>
      <c r="P28" s="19" t="str">
        <f t="shared" si="1"/>
        <v/>
      </c>
      <c r="Q28" s="19" t="str">
        <f t="shared" si="2"/>
        <v/>
      </c>
      <c r="R28" s="19" t="str">
        <f t="shared" si="3"/>
        <v/>
      </c>
      <c r="S28" s="5"/>
      <c r="T28" s="5"/>
      <c r="U28" s="5"/>
      <c r="V28" s="24"/>
      <c r="W28" s="15"/>
      <c r="X28" s="15"/>
      <c r="Y28" s="15"/>
      <c r="Z28" s="19" t="str">
        <f t="shared" si="4"/>
        <v/>
      </c>
      <c r="AA28" s="19" t="str">
        <f t="shared" si="5"/>
        <v/>
      </c>
      <c r="AB28" s="5"/>
      <c r="AC28" s="5"/>
      <c r="AE28" t="str">
        <f>IFERROR(INDEX(EqTag,_xlfn.AGGREGATE(15,6,(ROW(EqTag)-4)/((EqSys=$D$3)*(EqTag&lt;&gt;"")),ROWS($AE$14:AE28))),"")</f>
        <v/>
      </c>
    </row>
    <row r="29" spans="1:31" ht="30" customHeight="1" x14ac:dyDescent="0.2">
      <c r="A29" s="19" t="str">
        <f>IF(F29="","",LEFT($D$3,3)&amp;"-"&amp;TEXT(COUNTIF(F$14:F29,"?*"),"00"))</f>
        <v/>
      </c>
      <c r="B29" s="5"/>
      <c r="C29" s="6" t="str">
        <f t="shared" si="0"/>
        <v/>
      </c>
      <c r="D29" s="5"/>
      <c r="E29" s="5"/>
      <c r="F29" s="5"/>
      <c r="G29" s="5"/>
      <c r="H29" s="5"/>
      <c r="I29" s="5"/>
      <c r="J29" s="5"/>
      <c r="K29" s="15"/>
      <c r="L29" s="5"/>
      <c r="M29" s="15"/>
      <c r="N29" s="5"/>
      <c r="O29" s="15"/>
      <c r="P29" s="19" t="str">
        <f t="shared" si="1"/>
        <v/>
      </c>
      <c r="Q29" s="19" t="str">
        <f t="shared" si="2"/>
        <v/>
      </c>
      <c r="R29" s="19" t="str">
        <f t="shared" si="3"/>
        <v/>
      </c>
      <c r="S29" s="5"/>
      <c r="T29" s="5"/>
      <c r="U29" s="5"/>
      <c r="V29" s="24"/>
      <c r="W29" s="15"/>
      <c r="X29" s="15"/>
      <c r="Y29" s="15"/>
      <c r="Z29" s="19" t="str">
        <f t="shared" si="4"/>
        <v/>
      </c>
      <c r="AA29" s="19" t="str">
        <f t="shared" si="5"/>
        <v/>
      </c>
      <c r="AB29" s="5"/>
      <c r="AC29" s="5"/>
      <c r="AE29" t="str">
        <f>IFERROR(INDEX(EqTag,_xlfn.AGGREGATE(15,6,(ROW(EqTag)-4)/((EqSys=$D$3)*(EqTag&lt;&gt;"")),ROWS($AE$14:AE29))),"")</f>
        <v/>
      </c>
    </row>
    <row r="30" spans="1:31" ht="30" customHeight="1" x14ac:dyDescent="0.2">
      <c r="A30" s="19" t="str">
        <f>IF(F30="","",LEFT($D$3,3)&amp;"-"&amp;TEXT(COUNTIF(F$14:F30,"?*"),"00"))</f>
        <v/>
      </c>
      <c r="B30" s="5"/>
      <c r="C30" s="6" t="str">
        <f t="shared" si="0"/>
        <v/>
      </c>
      <c r="D30" s="5"/>
      <c r="E30" s="5"/>
      <c r="F30" s="5"/>
      <c r="G30" s="5"/>
      <c r="H30" s="5"/>
      <c r="I30" s="5"/>
      <c r="J30" s="5"/>
      <c r="K30" s="15"/>
      <c r="L30" s="5"/>
      <c r="M30" s="15"/>
      <c r="N30" s="5"/>
      <c r="O30" s="15"/>
      <c r="P30" s="19" t="str">
        <f t="shared" si="1"/>
        <v/>
      </c>
      <c r="Q30" s="19" t="str">
        <f t="shared" si="2"/>
        <v/>
      </c>
      <c r="R30" s="19" t="str">
        <f t="shared" si="3"/>
        <v/>
      </c>
      <c r="S30" s="5"/>
      <c r="T30" s="5"/>
      <c r="U30" s="5"/>
      <c r="V30" s="24"/>
      <c r="W30" s="15"/>
      <c r="X30" s="15"/>
      <c r="Y30" s="15"/>
      <c r="Z30" s="19" t="str">
        <f t="shared" si="4"/>
        <v/>
      </c>
      <c r="AA30" s="19" t="str">
        <f t="shared" si="5"/>
        <v/>
      </c>
      <c r="AB30" s="5"/>
      <c r="AC30" s="5"/>
      <c r="AE30" t="str">
        <f>IFERROR(INDEX(EqTag,_xlfn.AGGREGATE(15,6,(ROW(EqTag)-4)/((EqSys=$D$3)*(EqTag&lt;&gt;"")),ROWS($AE$14:AE30))),"")</f>
        <v/>
      </c>
    </row>
    <row r="31" spans="1:31" ht="30" customHeight="1" x14ac:dyDescent="0.2">
      <c r="A31" s="19" t="str">
        <f>IF(F31="","",LEFT($D$3,3)&amp;"-"&amp;TEXT(COUNTIF(F$14:F31,"?*"),"00"))</f>
        <v/>
      </c>
      <c r="B31" s="5"/>
      <c r="C31" s="6" t="str">
        <f t="shared" si="0"/>
        <v/>
      </c>
      <c r="D31" s="5"/>
      <c r="E31" s="5"/>
      <c r="F31" s="5"/>
      <c r="G31" s="5"/>
      <c r="H31" s="5"/>
      <c r="I31" s="5"/>
      <c r="J31" s="5"/>
      <c r="K31" s="15"/>
      <c r="L31" s="5"/>
      <c r="M31" s="15"/>
      <c r="N31" s="5"/>
      <c r="O31" s="15"/>
      <c r="P31" s="19" t="str">
        <f t="shared" si="1"/>
        <v/>
      </c>
      <c r="Q31" s="19" t="str">
        <f t="shared" si="2"/>
        <v/>
      </c>
      <c r="R31" s="19" t="str">
        <f t="shared" si="3"/>
        <v/>
      </c>
      <c r="S31" s="5"/>
      <c r="T31" s="5"/>
      <c r="U31" s="5"/>
      <c r="V31" s="24"/>
      <c r="W31" s="15"/>
      <c r="X31" s="15"/>
      <c r="Y31" s="15"/>
      <c r="Z31" s="19" t="str">
        <f t="shared" si="4"/>
        <v/>
      </c>
      <c r="AA31" s="19" t="str">
        <f t="shared" si="5"/>
        <v/>
      </c>
      <c r="AB31" s="5"/>
      <c r="AC31" s="5"/>
      <c r="AE31" t="str">
        <f>IFERROR(INDEX(EqTag,_xlfn.AGGREGATE(15,6,(ROW(EqTag)-4)/((EqSys=$D$3)*(EqTag&lt;&gt;"")),ROWS($AE$14:AE31))),"")</f>
        <v/>
      </c>
    </row>
    <row r="32" spans="1:31" ht="30" customHeight="1" x14ac:dyDescent="0.2">
      <c r="A32" s="19" t="str">
        <f>IF(F32="","",LEFT($D$3,3)&amp;"-"&amp;TEXT(COUNTIF(F$14:F32,"?*"),"00"))</f>
        <v/>
      </c>
      <c r="B32" s="5"/>
      <c r="C32" s="6" t="str">
        <f t="shared" si="0"/>
        <v/>
      </c>
      <c r="D32" s="5"/>
      <c r="E32" s="5"/>
      <c r="F32" s="5"/>
      <c r="G32" s="5"/>
      <c r="H32" s="5"/>
      <c r="I32" s="5"/>
      <c r="J32" s="5"/>
      <c r="K32" s="15"/>
      <c r="L32" s="5"/>
      <c r="M32" s="15"/>
      <c r="N32" s="5"/>
      <c r="O32" s="15"/>
      <c r="P32" s="19" t="str">
        <f t="shared" si="1"/>
        <v/>
      </c>
      <c r="Q32" s="19" t="str">
        <f t="shared" si="2"/>
        <v/>
      </c>
      <c r="R32" s="19" t="str">
        <f t="shared" si="3"/>
        <v/>
      </c>
      <c r="S32" s="5"/>
      <c r="T32" s="5"/>
      <c r="U32" s="5"/>
      <c r="V32" s="24"/>
      <c r="W32" s="15"/>
      <c r="X32" s="15"/>
      <c r="Y32" s="15"/>
      <c r="Z32" s="19" t="str">
        <f t="shared" si="4"/>
        <v/>
      </c>
      <c r="AA32" s="19" t="str">
        <f t="shared" si="5"/>
        <v/>
      </c>
      <c r="AB32" s="5"/>
      <c r="AC32" s="5"/>
      <c r="AE32" t="str">
        <f>IFERROR(INDEX(EqTag,_xlfn.AGGREGATE(15,6,(ROW(EqTag)-4)/((EqSys=$D$3)*(EqTag&lt;&gt;"")),ROWS($AE$14:AE32))),"")</f>
        <v/>
      </c>
    </row>
    <row r="33" spans="1:31" ht="30" customHeight="1" x14ac:dyDescent="0.2">
      <c r="A33" s="19" t="str">
        <f>IF(F33="","",LEFT($D$3,3)&amp;"-"&amp;TEXT(COUNTIF(F$14:F33,"?*"),"00"))</f>
        <v/>
      </c>
      <c r="B33" s="5"/>
      <c r="C33" s="6" t="str">
        <f t="shared" si="0"/>
        <v/>
      </c>
      <c r="D33" s="5"/>
      <c r="E33" s="5"/>
      <c r="F33" s="5"/>
      <c r="G33" s="5"/>
      <c r="H33" s="5"/>
      <c r="I33" s="5"/>
      <c r="J33" s="5"/>
      <c r="K33" s="15"/>
      <c r="L33" s="5"/>
      <c r="M33" s="15"/>
      <c r="N33" s="5"/>
      <c r="O33" s="15"/>
      <c r="P33" s="19" t="str">
        <f t="shared" si="1"/>
        <v/>
      </c>
      <c r="Q33" s="19" t="str">
        <f t="shared" si="2"/>
        <v/>
      </c>
      <c r="R33" s="19" t="str">
        <f t="shared" si="3"/>
        <v/>
      </c>
      <c r="S33" s="5"/>
      <c r="T33" s="5"/>
      <c r="U33" s="5"/>
      <c r="V33" s="24"/>
      <c r="W33" s="15"/>
      <c r="X33" s="15"/>
      <c r="Y33" s="15"/>
      <c r="Z33" s="19" t="str">
        <f t="shared" si="4"/>
        <v/>
      </c>
      <c r="AA33" s="19" t="str">
        <f t="shared" si="5"/>
        <v/>
      </c>
      <c r="AB33" s="5"/>
      <c r="AC33" s="5"/>
      <c r="AE33" t="str">
        <f>IFERROR(INDEX(EqTag,_xlfn.AGGREGATE(15,6,(ROW(EqTag)-4)/((EqSys=$D$3)*(EqTag&lt;&gt;"")),ROWS($AE$14:AE33))),"")</f>
        <v/>
      </c>
    </row>
    <row r="34" spans="1:31" ht="30" customHeight="1" x14ac:dyDescent="0.2">
      <c r="A34" s="19" t="str">
        <f>IF(F34="","",LEFT($D$3,3)&amp;"-"&amp;TEXT(COUNTIF(F$14:F34,"?*"),"00"))</f>
        <v/>
      </c>
      <c r="B34" s="5"/>
      <c r="C34" s="6" t="str">
        <f t="shared" si="0"/>
        <v/>
      </c>
      <c r="D34" s="5"/>
      <c r="E34" s="5"/>
      <c r="F34" s="5"/>
      <c r="G34" s="5"/>
      <c r="H34" s="5"/>
      <c r="I34" s="5"/>
      <c r="J34" s="5"/>
      <c r="K34" s="15"/>
      <c r="L34" s="5"/>
      <c r="M34" s="15"/>
      <c r="N34" s="5"/>
      <c r="O34" s="15"/>
      <c r="P34" s="19" t="str">
        <f t="shared" si="1"/>
        <v/>
      </c>
      <c r="Q34" s="19" t="str">
        <f t="shared" si="2"/>
        <v/>
      </c>
      <c r="R34" s="19" t="str">
        <f t="shared" si="3"/>
        <v/>
      </c>
      <c r="S34" s="5"/>
      <c r="T34" s="5"/>
      <c r="U34" s="5"/>
      <c r="V34" s="24"/>
      <c r="W34" s="15"/>
      <c r="X34" s="15"/>
      <c r="Y34" s="15"/>
      <c r="Z34" s="19" t="str">
        <f t="shared" si="4"/>
        <v/>
      </c>
      <c r="AA34" s="19" t="str">
        <f t="shared" si="5"/>
        <v/>
      </c>
      <c r="AB34" s="5"/>
      <c r="AC34" s="5"/>
      <c r="AE34" t="str">
        <f>IFERROR(INDEX(EqTag,_xlfn.AGGREGATE(15,6,(ROW(EqTag)-4)/((EqSys=$D$3)*(EqTag&lt;&gt;"")),ROWS($AE$14:AE34))),"")</f>
        <v/>
      </c>
    </row>
    <row r="35" spans="1:31" ht="30" customHeight="1" x14ac:dyDescent="0.2">
      <c r="A35" s="19" t="str">
        <f>IF(F35="","",LEFT($D$3,3)&amp;"-"&amp;TEXT(COUNTIF(F$14:F35,"?*"),"00"))</f>
        <v/>
      </c>
      <c r="B35" s="5"/>
      <c r="C35" s="6" t="str">
        <f t="shared" si="0"/>
        <v/>
      </c>
      <c r="D35" s="5"/>
      <c r="E35" s="5"/>
      <c r="F35" s="5"/>
      <c r="G35" s="5"/>
      <c r="H35" s="5"/>
      <c r="I35" s="5"/>
      <c r="J35" s="5"/>
      <c r="K35" s="15"/>
      <c r="L35" s="5"/>
      <c r="M35" s="15"/>
      <c r="N35" s="5"/>
      <c r="O35" s="15"/>
      <c r="P35" s="19" t="str">
        <f t="shared" si="1"/>
        <v/>
      </c>
      <c r="Q35" s="19" t="str">
        <f t="shared" si="2"/>
        <v/>
      </c>
      <c r="R35" s="19" t="str">
        <f t="shared" si="3"/>
        <v/>
      </c>
      <c r="S35" s="5"/>
      <c r="T35" s="5"/>
      <c r="U35" s="5"/>
      <c r="V35" s="24"/>
      <c r="W35" s="15"/>
      <c r="X35" s="15"/>
      <c r="Y35" s="15"/>
      <c r="Z35" s="19" t="str">
        <f t="shared" si="4"/>
        <v/>
      </c>
      <c r="AA35" s="19" t="str">
        <f t="shared" si="5"/>
        <v/>
      </c>
      <c r="AB35" s="5"/>
      <c r="AC35" s="5"/>
      <c r="AE35" t="str">
        <f>IFERROR(INDEX(EqTag,_xlfn.AGGREGATE(15,6,(ROW(EqTag)-4)/((EqSys=$D$3)*(EqTag&lt;&gt;"")),ROWS($AE$14:AE35))),"")</f>
        <v/>
      </c>
    </row>
    <row r="36" spans="1:31" ht="30" customHeight="1" x14ac:dyDescent="0.2">
      <c r="A36" s="19" t="str">
        <f>IF(F36="","",LEFT($D$3,3)&amp;"-"&amp;TEXT(COUNTIF(F$14:F36,"?*"),"00"))</f>
        <v/>
      </c>
      <c r="B36" s="5"/>
      <c r="C36" s="6" t="str">
        <f t="shared" si="0"/>
        <v/>
      </c>
      <c r="D36" s="5"/>
      <c r="E36" s="5"/>
      <c r="F36" s="5"/>
      <c r="G36" s="5"/>
      <c r="H36" s="5"/>
      <c r="I36" s="5"/>
      <c r="J36" s="5"/>
      <c r="K36" s="15"/>
      <c r="L36" s="5"/>
      <c r="M36" s="15"/>
      <c r="N36" s="5"/>
      <c r="O36" s="15"/>
      <c r="P36" s="19" t="str">
        <f t="shared" si="1"/>
        <v/>
      </c>
      <c r="Q36" s="19" t="str">
        <f t="shared" si="2"/>
        <v/>
      </c>
      <c r="R36" s="19" t="str">
        <f t="shared" si="3"/>
        <v/>
      </c>
      <c r="S36" s="5"/>
      <c r="T36" s="5"/>
      <c r="U36" s="5"/>
      <c r="V36" s="24"/>
      <c r="W36" s="15"/>
      <c r="X36" s="15"/>
      <c r="Y36" s="15"/>
      <c r="Z36" s="19" t="str">
        <f t="shared" si="4"/>
        <v/>
      </c>
      <c r="AA36" s="19" t="str">
        <f t="shared" si="5"/>
        <v/>
      </c>
      <c r="AB36" s="5"/>
      <c r="AC36" s="5"/>
      <c r="AE36" t="str">
        <f>IFERROR(INDEX(EqTag,_xlfn.AGGREGATE(15,6,(ROW(EqTag)-4)/((EqSys=$D$3)*(EqTag&lt;&gt;"")),ROWS($AE$14:AE36))),"")</f>
        <v/>
      </c>
    </row>
    <row r="37" spans="1:31" ht="30" customHeight="1" x14ac:dyDescent="0.2">
      <c r="A37" s="19" t="str">
        <f>IF(F37="","",LEFT($D$3,3)&amp;"-"&amp;TEXT(COUNTIF(F$14:F37,"?*"),"00"))</f>
        <v/>
      </c>
      <c r="B37" s="5"/>
      <c r="C37" s="6" t="str">
        <f t="shared" si="0"/>
        <v/>
      </c>
      <c r="D37" s="5"/>
      <c r="E37" s="5"/>
      <c r="F37" s="5"/>
      <c r="G37" s="5"/>
      <c r="H37" s="5"/>
      <c r="I37" s="5"/>
      <c r="J37" s="5"/>
      <c r="K37" s="15"/>
      <c r="L37" s="5"/>
      <c r="M37" s="15"/>
      <c r="N37" s="5"/>
      <c r="O37" s="15"/>
      <c r="P37" s="19" t="str">
        <f t="shared" si="1"/>
        <v/>
      </c>
      <c r="Q37" s="19" t="str">
        <f t="shared" si="2"/>
        <v/>
      </c>
      <c r="R37" s="19" t="str">
        <f t="shared" si="3"/>
        <v/>
      </c>
      <c r="S37" s="5"/>
      <c r="T37" s="5"/>
      <c r="U37" s="5"/>
      <c r="V37" s="24"/>
      <c r="W37" s="15"/>
      <c r="X37" s="15"/>
      <c r="Y37" s="15"/>
      <c r="Z37" s="19" t="str">
        <f t="shared" si="4"/>
        <v/>
      </c>
      <c r="AA37" s="19" t="str">
        <f t="shared" si="5"/>
        <v/>
      </c>
      <c r="AB37" s="5"/>
      <c r="AC37" s="5"/>
      <c r="AE37" t="str">
        <f>IFERROR(INDEX(EqTag,_xlfn.AGGREGATE(15,6,(ROW(EqTag)-4)/((EqSys=$D$3)*(EqTag&lt;&gt;"")),ROWS($AE$14:AE37))),"")</f>
        <v/>
      </c>
    </row>
    <row r="38" spans="1:31" ht="30" customHeight="1" x14ac:dyDescent="0.2">
      <c r="A38" s="19" t="str">
        <f>IF(F38="","",LEFT($D$3,3)&amp;"-"&amp;TEXT(COUNTIF(F$14:F38,"?*"),"00"))</f>
        <v/>
      </c>
      <c r="B38" s="5"/>
      <c r="C38" s="6" t="str">
        <f t="shared" si="0"/>
        <v/>
      </c>
      <c r="D38" s="5"/>
      <c r="E38" s="5"/>
      <c r="F38" s="5"/>
      <c r="G38" s="5"/>
      <c r="H38" s="5"/>
      <c r="I38" s="5"/>
      <c r="J38" s="5"/>
      <c r="K38" s="15"/>
      <c r="L38" s="5"/>
      <c r="M38" s="15"/>
      <c r="N38" s="5"/>
      <c r="O38" s="15"/>
      <c r="P38" s="19" t="str">
        <f t="shared" si="1"/>
        <v/>
      </c>
      <c r="Q38" s="19" t="str">
        <f t="shared" si="2"/>
        <v/>
      </c>
      <c r="R38" s="19" t="str">
        <f t="shared" si="3"/>
        <v/>
      </c>
      <c r="S38" s="5"/>
      <c r="T38" s="5"/>
      <c r="U38" s="5"/>
      <c r="V38" s="24"/>
      <c r="W38" s="15"/>
      <c r="X38" s="15"/>
      <c r="Y38" s="15"/>
      <c r="Z38" s="19" t="str">
        <f t="shared" si="4"/>
        <v/>
      </c>
      <c r="AA38" s="19" t="str">
        <f t="shared" si="5"/>
        <v/>
      </c>
      <c r="AB38" s="5"/>
      <c r="AC38" s="5"/>
      <c r="AE38" t="str">
        <f>IFERROR(INDEX(EqTag,_xlfn.AGGREGATE(15,6,(ROW(EqTag)-4)/((EqSys=$D$3)*(EqTag&lt;&gt;"")),ROWS($AE$14:AE38))),"")</f>
        <v/>
      </c>
    </row>
    <row r="39" spans="1:31" ht="30" customHeight="1" x14ac:dyDescent="0.2">
      <c r="A39" s="19" t="str">
        <f>IF(F39="","",LEFT($D$3,3)&amp;"-"&amp;TEXT(COUNTIF(F$14:F39,"?*"),"00"))</f>
        <v/>
      </c>
      <c r="B39" s="5"/>
      <c r="C39" s="6" t="str">
        <f t="shared" si="0"/>
        <v/>
      </c>
      <c r="D39" s="5"/>
      <c r="E39" s="5"/>
      <c r="F39" s="5"/>
      <c r="G39" s="5"/>
      <c r="H39" s="5"/>
      <c r="I39" s="5"/>
      <c r="J39" s="5"/>
      <c r="K39" s="15"/>
      <c r="L39" s="5"/>
      <c r="M39" s="15"/>
      <c r="N39" s="5"/>
      <c r="O39" s="15"/>
      <c r="P39" s="19" t="str">
        <f t="shared" si="1"/>
        <v/>
      </c>
      <c r="Q39" s="19" t="str">
        <f t="shared" si="2"/>
        <v/>
      </c>
      <c r="R39" s="19" t="str">
        <f t="shared" si="3"/>
        <v/>
      </c>
      <c r="S39" s="5"/>
      <c r="T39" s="5"/>
      <c r="U39" s="5"/>
      <c r="V39" s="24"/>
      <c r="W39" s="15"/>
      <c r="X39" s="15"/>
      <c r="Y39" s="15"/>
      <c r="Z39" s="19" t="str">
        <f t="shared" si="4"/>
        <v/>
      </c>
      <c r="AA39" s="19" t="str">
        <f t="shared" si="5"/>
        <v/>
      </c>
      <c r="AB39" s="5"/>
      <c r="AC39" s="5"/>
      <c r="AE39" t="str">
        <f>IFERROR(INDEX(EqTag,_xlfn.AGGREGATE(15,6,(ROW(EqTag)-4)/((EqSys=$D$3)*(EqTag&lt;&gt;"")),ROWS($AE$14:AE39))),"")</f>
        <v/>
      </c>
    </row>
    <row r="40" spans="1:31" ht="30" customHeight="1" x14ac:dyDescent="0.2">
      <c r="A40" s="19" t="str">
        <f>IF(F40="","",LEFT($D$3,3)&amp;"-"&amp;TEXT(COUNTIF(F$14:F40,"?*"),"00"))</f>
        <v/>
      </c>
      <c r="B40" s="5"/>
      <c r="C40" s="6" t="str">
        <f t="shared" si="0"/>
        <v/>
      </c>
      <c r="D40" s="5"/>
      <c r="E40" s="5"/>
      <c r="F40" s="5"/>
      <c r="G40" s="5"/>
      <c r="H40" s="5"/>
      <c r="I40" s="5"/>
      <c r="J40" s="5"/>
      <c r="K40" s="15"/>
      <c r="L40" s="5"/>
      <c r="M40" s="15"/>
      <c r="N40" s="5"/>
      <c r="O40" s="15"/>
      <c r="P40" s="19" t="str">
        <f t="shared" si="1"/>
        <v/>
      </c>
      <c r="Q40" s="19" t="str">
        <f t="shared" si="2"/>
        <v/>
      </c>
      <c r="R40" s="19" t="str">
        <f t="shared" si="3"/>
        <v/>
      </c>
      <c r="S40" s="5"/>
      <c r="T40" s="5"/>
      <c r="U40" s="5"/>
      <c r="V40" s="24"/>
      <c r="W40" s="15"/>
      <c r="X40" s="15"/>
      <c r="Y40" s="15"/>
      <c r="Z40" s="19" t="str">
        <f t="shared" si="4"/>
        <v/>
      </c>
      <c r="AA40" s="19" t="str">
        <f t="shared" si="5"/>
        <v/>
      </c>
      <c r="AB40" s="5"/>
      <c r="AC40" s="5"/>
      <c r="AE40" t="str">
        <f>IFERROR(INDEX(EqTag,_xlfn.AGGREGATE(15,6,(ROW(EqTag)-4)/((EqSys=$D$3)*(EqTag&lt;&gt;"")),ROWS($AE$14:AE40))),"")</f>
        <v/>
      </c>
    </row>
    <row r="41" spans="1:31" ht="30" customHeight="1" x14ac:dyDescent="0.2">
      <c r="A41" s="19" t="str">
        <f>IF(F41="","",LEFT($D$3,3)&amp;"-"&amp;TEXT(COUNTIF(F$14:F41,"?*"),"00"))</f>
        <v/>
      </c>
      <c r="B41" s="5"/>
      <c r="C41" s="6" t="str">
        <f t="shared" si="0"/>
        <v/>
      </c>
      <c r="D41" s="5"/>
      <c r="E41" s="5"/>
      <c r="F41" s="5"/>
      <c r="G41" s="5"/>
      <c r="H41" s="5"/>
      <c r="I41" s="5"/>
      <c r="J41" s="5"/>
      <c r="K41" s="15"/>
      <c r="L41" s="5"/>
      <c r="M41" s="15"/>
      <c r="N41" s="5"/>
      <c r="O41" s="15"/>
      <c r="P41" s="19" t="str">
        <f t="shared" si="1"/>
        <v/>
      </c>
      <c r="Q41" s="19" t="str">
        <f t="shared" si="2"/>
        <v/>
      </c>
      <c r="R41" s="19" t="str">
        <f t="shared" si="3"/>
        <v/>
      </c>
      <c r="S41" s="5"/>
      <c r="T41" s="5"/>
      <c r="U41" s="5"/>
      <c r="V41" s="24"/>
      <c r="W41" s="15"/>
      <c r="X41" s="15"/>
      <c r="Y41" s="15"/>
      <c r="Z41" s="19" t="str">
        <f t="shared" si="4"/>
        <v/>
      </c>
      <c r="AA41" s="19" t="str">
        <f t="shared" si="5"/>
        <v/>
      </c>
      <c r="AB41" s="5"/>
      <c r="AC41" s="5"/>
      <c r="AE41" t="str">
        <f>IFERROR(INDEX(EqTag,_xlfn.AGGREGATE(15,6,(ROW(EqTag)-4)/((EqSys=$D$3)*(EqTag&lt;&gt;"")),ROWS($AE$14:AE41))),"")</f>
        <v/>
      </c>
    </row>
    <row r="42" spans="1:31" ht="30" customHeight="1" x14ac:dyDescent="0.2">
      <c r="A42" s="19" t="str">
        <f>IF(F42="","",LEFT($D$3,3)&amp;"-"&amp;TEXT(COUNTIF(F$14:F42,"?*"),"00"))</f>
        <v/>
      </c>
      <c r="B42" s="5"/>
      <c r="C42" s="6" t="str">
        <f t="shared" si="0"/>
        <v/>
      </c>
      <c r="D42" s="5"/>
      <c r="E42" s="5"/>
      <c r="F42" s="5"/>
      <c r="G42" s="5"/>
      <c r="H42" s="5"/>
      <c r="I42" s="5"/>
      <c r="J42" s="5"/>
      <c r="K42" s="15"/>
      <c r="L42" s="5"/>
      <c r="M42" s="15"/>
      <c r="N42" s="5"/>
      <c r="O42" s="15"/>
      <c r="P42" s="19" t="str">
        <f t="shared" si="1"/>
        <v/>
      </c>
      <c r="Q42" s="19" t="str">
        <f t="shared" si="2"/>
        <v/>
      </c>
      <c r="R42" s="19" t="str">
        <f t="shared" si="3"/>
        <v/>
      </c>
      <c r="S42" s="5"/>
      <c r="T42" s="5"/>
      <c r="U42" s="5"/>
      <c r="V42" s="24"/>
      <c r="W42" s="15"/>
      <c r="X42" s="15"/>
      <c r="Y42" s="15"/>
      <c r="Z42" s="19" t="str">
        <f t="shared" si="4"/>
        <v/>
      </c>
      <c r="AA42" s="19" t="str">
        <f t="shared" si="5"/>
        <v/>
      </c>
      <c r="AB42" s="5"/>
      <c r="AC42" s="5"/>
      <c r="AE42" t="str">
        <f>IFERROR(INDEX(EqTag,_xlfn.AGGREGATE(15,6,(ROW(EqTag)-4)/((EqSys=$D$3)*(EqTag&lt;&gt;"")),ROWS($AE$14:AE42))),"")</f>
        <v/>
      </c>
    </row>
    <row r="43" spans="1:31" ht="30" customHeight="1" x14ac:dyDescent="0.2">
      <c r="A43" s="19" t="str">
        <f>IF(F43="","",LEFT($D$3,3)&amp;"-"&amp;TEXT(COUNTIF(F$14:F43,"?*"),"00"))</f>
        <v/>
      </c>
      <c r="B43" s="5"/>
      <c r="C43" s="6" t="str">
        <f t="shared" si="0"/>
        <v/>
      </c>
      <c r="D43" s="5"/>
      <c r="E43" s="5"/>
      <c r="F43" s="5"/>
      <c r="G43" s="5"/>
      <c r="H43" s="5"/>
      <c r="I43" s="5"/>
      <c r="J43" s="5"/>
      <c r="K43" s="15"/>
      <c r="L43" s="5"/>
      <c r="M43" s="15"/>
      <c r="N43" s="5"/>
      <c r="O43" s="15"/>
      <c r="P43" s="19" t="str">
        <f t="shared" si="1"/>
        <v/>
      </c>
      <c r="Q43" s="19" t="str">
        <f t="shared" si="2"/>
        <v/>
      </c>
      <c r="R43" s="19" t="str">
        <f t="shared" si="3"/>
        <v/>
      </c>
      <c r="S43" s="5"/>
      <c r="T43" s="5"/>
      <c r="U43" s="5"/>
      <c r="V43" s="24"/>
      <c r="W43" s="15"/>
      <c r="X43" s="15"/>
      <c r="Y43" s="15"/>
      <c r="Z43" s="19" t="str">
        <f t="shared" si="4"/>
        <v/>
      </c>
      <c r="AA43" s="19" t="str">
        <f t="shared" si="5"/>
        <v/>
      </c>
      <c r="AB43" s="5"/>
      <c r="AC43" s="5"/>
      <c r="AE43" t="str">
        <f>IFERROR(INDEX(EqTag,_xlfn.AGGREGATE(15,6,(ROW(EqTag)-4)/((EqSys=$D$3)*(EqTag&lt;&gt;"")),ROWS($AE$14:AE43))),"")</f>
        <v/>
      </c>
    </row>
    <row r="44" spans="1:31" ht="30" customHeight="1" x14ac:dyDescent="0.2">
      <c r="A44" s="19" t="str">
        <f>IF(F44="","",LEFT($D$3,3)&amp;"-"&amp;TEXT(COUNTIF(F$14:F44,"?*"),"00"))</f>
        <v/>
      </c>
      <c r="B44" s="5"/>
      <c r="C44" s="6" t="str">
        <f t="shared" si="0"/>
        <v/>
      </c>
      <c r="D44" s="5"/>
      <c r="E44" s="5"/>
      <c r="F44" s="5"/>
      <c r="G44" s="5"/>
      <c r="H44" s="5"/>
      <c r="I44" s="5"/>
      <c r="J44" s="5"/>
      <c r="K44" s="15"/>
      <c r="L44" s="5"/>
      <c r="M44" s="15"/>
      <c r="N44" s="5"/>
      <c r="O44" s="15"/>
      <c r="P44" s="19" t="str">
        <f t="shared" si="1"/>
        <v/>
      </c>
      <c r="Q44" s="19" t="str">
        <f t="shared" si="2"/>
        <v/>
      </c>
      <c r="R44" s="19" t="str">
        <f t="shared" si="3"/>
        <v/>
      </c>
      <c r="S44" s="5"/>
      <c r="T44" s="5"/>
      <c r="U44" s="5"/>
      <c r="V44" s="24"/>
      <c r="W44" s="15"/>
      <c r="X44" s="15"/>
      <c r="Y44" s="15"/>
      <c r="Z44" s="19" t="str">
        <f t="shared" si="4"/>
        <v/>
      </c>
      <c r="AA44" s="19" t="str">
        <f t="shared" si="5"/>
        <v/>
      </c>
      <c r="AB44" s="5"/>
      <c r="AC44" s="5"/>
      <c r="AE44" t="str">
        <f>IFERROR(INDEX(EqTag,_xlfn.AGGREGATE(15,6,(ROW(EqTag)-4)/((EqSys=$D$3)*(EqTag&lt;&gt;"")),ROWS($AE$14:AE44))),"")</f>
        <v/>
      </c>
    </row>
    <row r="45" spans="1:31" ht="30" customHeight="1" x14ac:dyDescent="0.2">
      <c r="A45" s="19" t="str">
        <f>IF(F45="","",LEFT($D$3,3)&amp;"-"&amp;TEXT(COUNTIF(F$14:F45,"?*"),"00"))</f>
        <v/>
      </c>
      <c r="B45" s="5"/>
      <c r="C45" s="6" t="str">
        <f t="shared" si="0"/>
        <v/>
      </c>
      <c r="D45" s="5"/>
      <c r="E45" s="5"/>
      <c r="F45" s="5"/>
      <c r="G45" s="5"/>
      <c r="H45" s="5"/>
      <c r="I45" s="5"/>
      <c r="J45" s="5"/>
      <c r="K45" s="15"/>
      <c r="L45" s="5"/>
      <c r="M45" s="15"/>
      <c r="N45" s="5"/>
      <c r="O45" s="15"/>
      <c r="P45" s="19" t="str">
        <f t="shared" si="1"/>
        <v/>
      </c>
      <c r="Q45" s="19" t="str">
        <f t="shared" si="2"/>
        <v/>
      </c>
      <c r="R45" s="19" t="str">
        <f t="shared" si="3"/>
        <v/>
      </c>
      <c r="S45" s="5"/>
      <c r="T45" s="5"/>
      <c r="U45" s="5"/>
      <c r="V45" s="24"/>
      <c r="W45" s="15"/>
      <c r="X45" s="15"/>
      <c r="Y45" s="15"/>
      <c r="Z45" s="19" t="str">
        <f t="shared" si="4"/>
        <v/>
      </c>
      <c r="AA45" s="19" t="str">
        <f t="shared" si="5"/>
        <v/>
      </c>
      <c r="AB45" s="5"/>
      <c r="AC45" s="5"/>
      <c r="AE45" t="str">
        <f>IFERROR(INDEX(EqTag,_xlfn.AGGREGATE(15,6,(ROW(EqTag)-4)/((EqSys=$D$3)*(EqTag&lt;&gt;"")),ROWS($AE$14:AE45))),"")</f>
        <v/>
      </c>
    </row>
    <row r="46" spans="1:31" ht="30" customHeight="1" x14ac:dyDescent="0.2">
      <c r="A46" s="19" t="str">
        <f>IF(F46="","",LEFT($D$3,3)&amp;"-"&amp;TEXT(COUNTIF(F$14:F46,"?*"),"00"))</f>
        <v/>
      </c>
      <c r="B46" s="5"/>
      <c r="C46" s="6" t="str">
        <f t="shared" ref="C46:C77" si="6">IF(B46="","",IFERROR(INDEX(EqTypeCol,MATCH(B46,EqTag,0)),"Tag not in register"))</f>
        <v/>
      </c>
      <c r="D46" s="5"/>
      <c r="E46" s="5"/>
      <c r="F46" s="5"/>
      <c r="G46" s="5"/>
      <c r="H46" s="5"/>
      <c r="I46" s="5"/>
      <c r="J46" s="5"/>
      <c r="K46" s="15"/>
      <c r="L46" s="5"/>
      <c r="M46" s="15"/>
      <c r="N46" s="5"/>
      <c r="O46" s="15"/>
      <c r="P46" s="19" t="str">
        <f t="shared" ref="P46:P77" si="7">IF(OR(K46="",M46="",O46=""),"",(--TRIM(LEFT(K46,2)))*(--TRIM(LEFT(M46,2)))*(--TRIM(LEFT(O46,2))))</f>
        <v/>
      </c>
      <c r="Q46" s="19" t="str">
        <f t="shared" ref="Q46:Q77" si="8">IF(OR(K46="",M46="",O46=""),"",INDEX(APGrid,COUNTIF(APS,"&gt;"&amp;(--TRIM(LEFT(K46,2))))*5+COUNTIF(APO,"&gt;"&amp;(--TRIM(LEFT(M46,2))))+1,COUNTIF(APD,"&gt;"&amp;(--TRIM(LEFT(O46,2))))+1))</f>
        <v/>
      </c>
      <c r="R46" s="19" t="str">
        <f t="shared" ref="R46:R77" si="9">IF(P46="","",IF(OR((--TRIM(LEFT(K46,2)))&gt;=SThr,P46&gt;=RPNThr,Q46="H"),"Yes","No"))</f>
        <v/>
      </c>
      <c r="S46" s="5"/>
      <c r="T46" s="5"/>
      <c r="U46" s="5"/>
      <c r="V46" s="24"/>
      <c r="W46" s="15"/>
      <c r="X46" s="15"/>
      <c r="Y46" s="15"/>
      <c r="Z46" s="19" t="str">
        <f t="shared" ref="Z46:Z77" si="10">IF(OR(W46="",X46="",Y46=""),"",(--TRIM(LEFT(W46,2)))*(--TRIM(LEFT(X46,2)))*(--TRIM(LEFT(Y46,2))))</f>
        <v/>
      </c>
      <c r="AA46" s="19" t="str">
        <f t="shared" ref="AA46:AA77" si="11">IF(OR(W46="",X46="",Y46=""),"",INDEX(APGrid,COUNTIF(APS,"&gt;"&amp;(--TRIM(LEFT(W46,2))))*5+COUNTIF(APO,"&gt;"&amp;(--TRIM(LEFT(X46,2))))+1,COUNTIF(APD,"&gt;"&amp;(--TRIM(LEFT(Y46,2))))+1))</f>
        <v/>
      </c>
      <c r="AB46" s="5"/>
      <c r="AC46" s="5"/>
      <c r="AE46" t="str">
        <f>IFERROR(INDEX(EqTag,_xlfn.AGGREGATE(15,6,(ROW(EqTag)-4)/((EqSys=$D$3)*(EqTag&lt;&gt;"")),ROWS($AE$14:AE46))),"")</f>
        <v/>
      </c>
    </row>
    <row r="47" spans="1:31" ht="30" customHeight="1" x14ac:dyDescent="0.2">
      <c r="A47" s="19" t="str">
        <f>IF(F47="","",LEFT($D$3,3)&amp;"-"&amp;TEXT(COUNTIF(F$14:F47,"?*"),"00"))</f>
        <v/>
      </c>
      <c r="B47" s="5"/>
      <c r="C47" s="6" t="str">
        <f t="shared" si="6"/>
        <v/>
      </c>
      <c r="D47" s="5"/>
      <c r="E47" s="5"/>
      <c r="F47" s="5"/>
      <c r="G47" s="5"/>
      <c r="H47" s="5"/>
      <c r="I47" s="5"/>
      <c r="J47" s="5"/>
      <c r="K47" s="15"/>
      <c r="L47" s="5"/>
      <c r="M47" s="15"/>
      <c r="N47" s="5"/>
      <c r="O47" s="15"/>
      <c r="P47" s="19" t="str">
        <f t="shared" si="7"/>
        <v/>
      </c>
      <c r="Q47" s="19" t="str">
        <f t="shared" si="8"/>
        <v/>
      </c>
      <c r="R47" s="19" t="str">
        <f t="shared" si="9"/>
        <v/>
      </c>
      <c r="S47" s="5"/>
      <c r="T47" s="5"/>
      <c r="U47" s="5"/>
      <c r="V47" s="24"/>
      <c r="W47" s="15"/>
      <c r="X47" s="15"/>
      <c r="Y47" s="15"/>
      <c r="Z47" s="19" t="str">
        <f t="shared" si="10"/>
        <v/>
      </c>
      <c r="AA47" s="19" t="str">
        <f t="shared" si="11"/>
        <v/>
      </c>
      <c r="AB47" s="5"/>
      <c r="AC47" s="5"/>
      <c r="AE47" t="str">
        <f>IFERROR(INDEX(EqTag,_xlfn.AGGREGATE(15,6,(ROW(EqTag)-4)/((EqSys=$D$3)*(EqTag&lt;&gt;"")),ROWS($AE$14:AE47))),"")</f>
        <v/>
      </c>
    </row>
    <row r="48" spans="1:31" ht="30" customHeight="1" x14ac:dyDescent="0.2">
      <c r="A48" s="19" t="str">
        <f>IF(F48="","",LEFT($D$3,3)&amp;"-"&amp;TEXT(COUNTIF(F$14:F48,"?*"),"00"))</f>
        <v/>
      </c>
      <c r="B48" s="5"/>
      <c r="C48" s="6" t="str">
        <f t="shared" si="6"/>
        <v/>
      </c>
      <c r="D48" s="5"/>
      <c r="E48" s="5"/>
      <c r="F48" s="5"/>
      <c r="G48" s="5"/>
      <c r="H48" s="5"/>
      <c r="I48" s="5"/>
      <c r="J48" s="5"/>
      <c r="K48" s="15"/>
      <c r="L48" s="5"/>
      <c r="M48" s="15"/>
      <c r="N48" s="5"/>
      <c r="O48" s="15"/>
      <c r="P48" s="19" t="str">
        <f t="shared" si="7"/>
        <v/>
      </c>
      <c r="Q48" s="19" t="str">
        <f t="shared" si="8"/>
        <v/>
      </c>
      <c r="R48" s="19" t="str">
        <f t="shared" si="9"/>
        <v/>
      </c>
      <c r="S48" s="5"/>
      <c r="T48" s="5"/>
      <c r="U48" s="5"/>
      <c r="V48" s="24"/>
      <c r="W48" s="15"/>
      <c r="X48" s="15"/>
      <c r="Y48" s="15"/>
      <c r="Z48" s="19" t="str">
        <f t="shared" si="10"/>
        <v/>
      </c>
      <c r="AA48" s="19" t="str">
        <f t="shared" si="11"/>
        <v/>
      </c>
      <c r="AB48" s="5"/>
      <c r="AC48" s="5"/>
      <c r="AE48" t="str">
        <f>IFERROR(INDEX(EqTag,_xlfn.AGGREGATE(15,6,(ROW(EqTag)-4)/((EqSys=$D$3)*(EqTag&lt;&gt;"")),ROWS($AE$14:AE48))),"")</f>
        <v/>
      </c>
    </row>
    <row r="49" spans="1:31" ht="30" customHeight="1" x14ac:dyDescent="0.2">
      <c r="A49" s="19" t="str">
        <f>IF(F49="","",LEFT($D$3,3)&amp;"-"&amp;TEXT(COUNTIF(F$14:F49,"?*"),"00"))</f>
        <v/>
      </c>
      <c r="B49" s="5"/>
      <c r="C49" s="6" t="str">
        <f t="shared" si="6"/>
        <v/>
      </c>
      <c r="D49" s="5"/>
      <c r="E49" s="5"/>
      <c r="F49" s="5"/>
      <c r="G49" s="5"/>
      <c r="H49" s="5"/>
      <c r="I49" s="5"/>
      <c r="J49" s="5"/>
      <c r="K49" s="15"/>
      <c r="L49" s="5"/>
      <c r="M49" s="15"/>
      <c r="N49" s="5"/>
      <c r="O49" s="15"/>
      <c r="P49" s="19" t="str">
        <f t="shared" si="7"/>
        <v/>
      </c>
      <c r="Q49" s="19" t="str">
        <f t="shared" si="8"/>
        <v/>
      </c>
      <c r="R49" s="19" t="str">
        <f t="shared" si="9"/>
        <v/>
      </c>
      <c r="S49" s="5"/>
      <c r="T49" s="5"/>
      <c r="U49" s="5"/>
      <c r="V49" s="24"/>
      <c r="W49" s="15"/>
      <c r="X49" s="15"/>
      <c r="Y49" s="15"/>
      <c r="Z49" s="19" t="str">
        <f t="shared" si="10"/>
        <v/>
      </c>
      <c r="AA49" s="19" t="str">
        <f t="shared" si="11"/>
        <v/>
      </c>
      <c r="AB49" s="5"/>
      <c r="AC49" s="5"/>
      <c r="AE49" t="str">
        <f>IFERROR(INDEX(EqTag,_xlfn.AGGREGATE(15,6,(ROW(EqTag)-4)/((EqSys=$D$3)*(EqTag&lt;&gt;"")),ROWS($AE$14:AE49))),"")</f>
        <v/>
      </c>
    </row>
    <row r="50" spans="1:31" ht="30" customHeight="1" x14ac:dyDescent="0.2">
      <c r="A50" s="19" t="str">
        <f>IF(F50="","",LEFT($D$3,3)&amp;"-"&amp;TEXT(COUNTIF(F$14:F50,"?*"),"00"))</f>
        <v/>
      </c>
      <c r="B50" s="5"/>
      <c r="C50" s="6" t="str">
        <f t="shared" si="6"/>
        <v/>
      </c>
      <c r="D50" s="5"/>
      <c r="E50" s="5"/>
      <c r="F50" s="5"/>
      <c r="G50" s="5"/>
      <c r="H50" s="5"/>
      <c r="I50" s="5"/>
      <c r="J50" s="5"/>
      <c r="K50" s="15"/>
      <c r="L50" s="5"/>
      <c r="M50" s="15"/>
      <c r="N50" s="5"/>
      <c r="O50" s="15"/>
      <c r="P50" s="19" t="str">
        <f t="shared" si="7"/>
        <v/>
      </c>
      <c r="Q50" s="19" t="str">
        <f t="shared" si="8"/>
        <v/>
      </c>
      <c r="R50" s="19" t="str">
        <f t="shared" si="9"/>
        <v/>
      </c>
      <c r="S50" s="5"/>
      <c r="T50" s="5"/>
      <c r="U50" s="5"/>
      <c r="V50" s="24"/>
      <c r="W50" s="15"/>
      <c r="X50" s="15"/>
      <c r="Y50" s="15"/>
      <c r="Z50" s="19" t="str">
        <f t="shared" si="10"/>
        <v/>
      </c>
      <c r="AA50" s="19" t="str">
        <f t="shared" si="11"/>
        <v/>
      </c>
      <c r="AB50" s="5"/>
      <c r="AC50" s="5"/>
      <c r="AE50" t="str">
        <f>IFERROR(INDEX(EqTag,_xlfn.AGGREGATE(15,6,(ROW(EqTag)-4)/((EqSys=$D$3)*(EqTag&lt;&gt;"")),ROWS($AE$14:AE50))),"")</f>
        <v/>
      </c>
    </row>
    <row r="51" spans="1:31" ht="30" customHeight="1" x14ac:dyDescent="0.2">
      <c r="A51" s="19" t="str">
        <f>IF(F51="","",LEFT($D$3,3)&amp;"-"&amp;TEXT(COUNTIF(F$14:F51,"?*"),"00"))</f>
        <v/>
      </c>
      <c r="B51" s="5"/>
      <c r="C51" s="6" t="str">
        <f t="shared" si="6"/>
        <v/>
      </c>
      <c r="D51" s="5"/>
      <c r="E51" s="5"/>
      <c r="F51" s="5"/>
      <c r="G51" s="5"/>
      <c r="H51" s="5"/>
      <c r="I51" s="5"/>
      <c r="J51" s="5"/>
      <c r="K51" s="15"/>
      <c r="L51" s="5"/>
      <c r="M51" s="15"/>
      <c r="N51" s="5"/>
      <c r="O51" s="15"/>
      <c r="P51" s="19" t="str">
        <f t="shared" si="7"/>
        <v/>
      </c>
      <c r="Q51" s="19" t="str">
        <f t="shared" si="8"/>
        <v/>
      </c>
      <c r="R51" s="19" t="str">
        <f t="shared" si="9"/>
        <v/>
      </c>
      <c r="S51" s="5"/>
      <c r="T51" s="5"/>
      <c r="U51" s="5"/>
      <c r="V51" s="24"/>
      <c r="W51" s="15"/>
      <c r="X51" s="15"/>
      <c r="Y51" s="15"/>
      <c r="Z51" s="19" t="str">
        <f t="shared" si="10"/>
        <v/>
      </c>
      <c r="AA51" s="19" t="str">
        <f t="shared" si="11"/>
        <v/>
      </c>
      <c r="AB51" s="5"/>
      <c r="AC51" s="5"/>
      <c r="AE51" t="str">
        <f>IFERROR(INDEX(EqTag,_xlfn.AGGREGATE(15,6,(ROW(EqTag)-4)/((EqSys=$D$3)*(EqTag&lt;&gt;"")),ROWS($AE$14:AE51))),"")</f>
        <v/>
      </c>
    </row>
    <row r="52" spans="1:31" ht="30" customHeight="1" x14ac:dyDescent="0.2">
      <c r="A52" s="19" t="str">
        <f>IF(F52="","",LEFT($D$3,3)&amp;"-"&amp;TEXT(COUNTIF(F$14:F52,"?*"),"00"))</f>
        <v/>
      </c>
      <c r="B52" s="5"/>
      <c r="C52" s="6" t="str">
        <f t="shared" si="6"/>
        <v/>
      </c>
      <c r="D52" s="5"/>
      <c r="E52" s="5"/>
      <c r="F52" s="5"/>
      <c r="G52" s="5"/>
      <c r="H52" s="5"/>
      <c r="I52" s="5"/>
      <c r="J52" s="5"/>
      <c r="K52" s="15"/>
      <c r="L52" s="5"/>
      <c r="M52" s="15"/>
      <c r="N52" s="5"/>
      <c r="O52" s="15"/>
      <c r="P52" s="19" t="str">
        <f t="shared" si="7"/>
        <v/>
      </c>
      <c r="Q52" s="19" t="str">
        <f t="shared" si="8"/>
        <v/>
      </c>
      <c r="R52" s="19" t="str">
        <f t="shared" si="9"/>
        <v/>
      </c>
      <c r="S52" s="5"/>
      <c r="T52" s="5"/>
      <c r="U52" s="5"/>
      <c r="V52" s="24"/>
      <c r="W52" s="15"/>
      <c r="X52" s="15"/>
      <c r="Y52" s="15"/>
      <c r="Z52" s="19" t="str">
        <f t="shared" si="10"/>
        <v/>
      </c>
      <c r="AA52" s="19" t="str">
        <f t="shared" si="11"/>
        <v/>
      </c>
      <c r="AB52" s="5"/>
      <c r="AC52" s="5"/>
      <c r="AE52" t="str">
        <f>IFERROR(INDEX(EqTag,_xlfn.AGGREGATE(15,6,(ROW(EqTag)-4)/((EqSys=$D$3)*(EqTag&lt;&gt;"")),ROWS($AE$14:AE52))),"")</f>
        <v/>
      </c>
    </row>
    <row r="53" spans="1:31" ht="30" customHeight="1" x14ac:dyDescent="0.2">
      <c r="A53" s="19" t="str">
        <f>IF(F53="","",LEFT($D$3,3)&amp;"-"&amp;TEXT(COUNTIF(F$14:F53,"?*"),"00"))</f>
        <v/>
      </c>
      <c r="B53" s="5"/>
      <c r="C53" s="6" t="str">
        <f t="shared" si="6"/>
        <v/>
      </c>
      <c r="D53" s="5"/>
      <c r="E53" s="5"/>
      <c r="F53" s="5"/>
      <c r="G53" s="5"/>
      <c r="H53" s="5"/>
      <c r="I53" s="5"/>
      <c r="J53" s="5"/>
      <c r="K53" s="15"/>
      <c r="L53" s="5"/>
      <c r="M53" s="15"/>
      <c r="N53" s="5"/>
      <c r="O53" s="15"/>
      <c r="P53" s="19" t="str">
        <f t="shared" si="7"/>
        <v/>
      </c>
      <c r="Q53" s="19" t="str">
        <f t="shared" si="8"/>
        <v/>
      </c>
      <c r="R53" s="19" t="str">
        <f t="shared" si="9"/>
        <v/>
      </c>
      <c r="S53" s="5"/>
      <c r="T53" s="5"/>
      <c r="U53" s="5"/>
      <c r="V53" s="24"/>
      <c r="W53" s="15"/>
      <c r="X53" s="15"/>
      <c r="Y53" s="15"/>
      <c r="Z53" s="19" t="str">
        <f t="shared" si="10"/>
        <v/>
      </c>
      <c r="AA53" s="19" t="str">
        <f t="shared" si="11"/>
        <v/>
      </c>
      <c r="AB53" s="5"/>
      <c r="AC53" s="5"/>
      <c r="AE53" t="str">
        <f>IFERROR(INDEX(EqTag,_xlfn.AGGREGATE(15,6,(ROW(EqTag)-4)/((EqSys=$D$3)*(EqTag&lt;&gt;"")),ROWS($AE$14:AE53))),"")</f>
        <v/>
      </c>
    </row>
    <row r="54" spans="1:31" ht="30" customHeight="1" x14ac:dyDescent="0.2">
      <c r="A54" s="19" t="str">
        <f>IF(F54="","",LEFT($D$3,3)&amp;"-"&amp;TEXT(COUNTIF(F$14:F54,"?*"),"00"))</f>
        <v/>
      </c>
      <c r="B54" s="5"/>
      <c r="C54" s="6" t="str">
        <f t="shared" si="6"/>
        <v/>
      </c>
      <c r="D54" s="5"/>
      <c r="E54" s="5"/>
      <c r="F54" s="5"/>
      <c r="G54" s="5"/>
      <c r="H54" s="5"/>
      <c r="I54" s="5"/>
      <c r="J54" s="5"/>
      <c r="K54" s="15"/>
      <c r="L54" s="5"/>
      <c r="M54" s="15"/>
      <c r="N54" s="5"/>
      <c r="O54" s="15"/>
      <c r="P54" s="19" t="str">
        <f t="shared" si="7"/>
        <v/>
      </c>
      <c r="Q54" s="19" t="str">
        <f t="shared" si="8"/>
        <v/>
      </c>
      <c r="R54" s="19" t="str">
        <f t="shared" si="9"/>
        <v/>
      </c>
      <c r="S54" s="5"/>
      <c r="T54" s="5"/>
      <c r="U54" s="5"/>
      <c r="V54" s="24"/>
      <c r="W54" s="15"/>
      <c r="X54" s="15"/>
      <c r="Y54" s="15"/>
      <c r="Z54" s="19" t="str">
        <f t="shared" si="10"/>
        <v/>
      </c>
      <c r="AA54" s="19" t="str">
        <f t="shared" si="11"/>
        <v/>
      </c>
      <c r="AB54" s="5"/>
      <c r="AC54" s="5"/>
      <c r="AE54" t="str">
        <f>IFERROR(INDEX(EqTag,_xlfn.AGGREGATE(15,6,(ROW(EqTag)-4)/((EqSys=$D$3)*(EqTag&lt;&gt;"")),ROWS($AE$14:AE54))),"")</f>
        <v/>
      </c>
    </row>
    <row r="55" spans="1:31" ht="30" customHeight="1" x14ac:dyDescent="0.2">
      <c r="A55" s="19" t="str">
        <f>IF(F55="","",LEFT($D$3,3)&amp;"-"&amp;TEXT(COUNTIF(F$14:F55,"?*"),"00"))</f>
        <v/>
      </c>
      <c r="B55" s="5"/>
      <c r="C55" s="6" t="str">
        <f t="shared" si="6"/>
        <v/>
      </c>
      <c r="D55" s="5"/>
      <c r="E55" s="5"/>
      <c r="F55" s="5"/>
      <c r="G55" s="5"/>
      <c r="H55" s="5"/>
      <c r="I55" s="5"/>
      <c r="J55" s="5"/>
      <c r="K55" s="15"/>
      <c r="L55" s="5"/>
      <c r="M55" s="15"/>
      <c r="N55" s="5"/>
      <c r="O55" s="15"/>
      <c r="P55" s="19" t="str">
        <f t="shared" si="7"/>
        <v/>
      </c>
      <c r="Q55" s="19" t="str">
        <f t="shared" si="8"/>
        <v/>
      </c>
      <c r="R55" s="19" t="str">
        <f t="shared" si="9"/>
        <v/>
      </c>
      <c r="S55" s="5"/>
      <c r="T55" s="5"/>
      <c r="U55" s="5"/>
      <c r="V55" s="24"/>
      <c r="W55" s="15"/>
      <c r="X55" s="15"/>
      <c r="Y55" s="15"/>
      <c r="Z55" s="19" t="str">
        <f t="shared" si="10"/>
        <v/>
      </c>
      <c r="AA55" s="19" t="str">
        <f t="shared" si="11"/>
        <v/>
      </c>
      <c r="AB55" s="5"/>
      <c r="AC55" s="5"/>
      <c r="AE55" t="str">
        <f>IFERROR(INDEX(EqTag,_xlfn.AGGREGATE(15,6,(ROW(EqTag)-4)/((EqSys=$D$3)*(EqTag&lt;&gt;"")),ROWS($AE$14:AE55))),"")</f>
        <v/>
      </c>
    </row>
    <row r="56" spans="1:31" ht="30" customHeight="1" x14ac:dyDescent="0.2">
      <c r="A56" s="19" t="str">
        <f>IF(F56="","",LEFT($D$3,3)&amp;"-"&amp;TEXT(COUNTIF(F$14:F56,"?*"),"00"))</f>
        <v/>
      </c>
      <c r="B56" s="5"/>
      <c r="C56" s="6" t="str">
        <f t="shared" si="6"/>
        <v/>
      </c>
      <c r="D56" s="5"/>
      <c r="E56" s="5"/>
      <c r="F56" s="5"/>
      <c r="G56" s="5"/>
      <c r="H56" s="5"/>
      <c r="I56" s="5"/>
      <c r="J56" s="5"/>
      <c r="K56" s="15"/>
      <c r="L56" s="5"/>
      <c r="M56" s="15"/>
      <c r="N56" s="5"/>
      <c r="O56" s="15"/>
      <c r="P56" s="19" t="str">
        <f t="shared" si="7"/>
        <v/>
      </c>
      <c r="Q56" s="19" t="str">
        <f t="shared" si="8"/>
        <v/>
      </c>
      <c r="R56" s="19" t="str">
        <f t="shared" si="9"/>
        <v/>
      </c>
      <c r="S56" s="5"/>
      <c r="T56" s="5"/>
      <c r="U56" s="5"/>
      <c r="V56" s="24"/>
      <c r="W56" s="15"/>
      <c r="X56" s="15"/>
      <c r="Y56" s="15"/>
      <c r="Z56" s="19" t="str">
        <f t="shared" si="10"/>
        <v/>
      </c>
      <c r="AA56" s="19" t="str">
        <f t="shared" si="11"/>
        <v/>
      </c>
      <c r="AB56" s="5"/>
      <c r="AC56" s="5"/>
      <c r="AE56" t="str">
        <f>IFERROR(INDEX(EqTag,_xlfn.AGGREGATE(15,6,(ROW(EqTag)-4)/((EqSys=$D$3)*(EqTag&lt;&gt;"")),ROWS($AE$14:AE56))),"")</f>
        <v/>
      </c>
    </row>
    <row r="57" spans="1:31" ht="30" customHeight="1" x14ac:dyDescent="0.2">
      <c r="A57" s="19" t="str">
        <f>IF(F57="","",LEFT($D$3,3)&amp;"-"&amp;TEXT(COUNTIF(F$14:F57,"?*"),"00"))</f>
        <v/>
      </c>
      <c r="B57" s="5"/>
      <c r="C57" s="6" t="str">
        <f t="shared" si="6"/>
        <v/>
      </c>
      <c r="D57" s="5"/>
      <c r="E57" s="5"/>
      <c r="F57" s="5"/>
      <c r="G57" s="5"/>
      <c r="H57" s="5"/>
      <c r="I57" s="5"/>
      <c r="J57" s="5"/>
      <c r="K57" s="15"/>
      <c r="L57" s="5"/>
      <c r="M57" s="15"/>
      <c r="N57" s="5"/>
      <c r="O57" s="15"/>
      <c r="P57" s="19" t="str">
        <f t="shared" si="7"/>
        <v/>
      </c>
      <c r="Q57" s="19" t="str">
        <f t="shared" si="8"/>
        <v/>
      </c>
      <c r="R57" s="19" t="str">
        <f t="shared" si="9"/>
        <v/>
      </c>
      <c r="S57" s="5"/>
      <c r="T57" s="5"/>
      <c r="U57" s="5"/>
      <c r="V57" s="24"/>
      <c r="W57" s="15"/>
      <c r="X57" s="15"/>
      <c r="Y57" s="15"/>
      <c r="Z57" s="19" t="str">
        <f t="shared" si="10"/>
        <v/>
      </c>
      <c r="AA57" s="19" t="str">
        <f t="shared" si="11"/>
        <v/>
      </c>
      <c r="AB57" s="5"/>
      <c r="AC57" s="5"/>
      <c r="AE57" t="str">
        <f>IFERROR(INDEX(EqTag,_xlfn.AGGREGATE(15,6,(ROW(EqTag)-4)/((EqSys=$D$3)*(EqTag&lt;&gt;"")),ROWS($AE$14:AE57))),"")</f>
        <v/>
      </c>
    </row>
    <row r="58" spans="1:31" ht="30" customHeight="1" x14ac:dyDescent="0.2">
      <c r="A58" s="19" t="str">
        <f>IF(F58="","",LEFT($D$3,3)&amp;"-"&amp;TEXT(COUNTIF(F$14:F58,"?*"),"00"))</f>
        <v/>
      </c>
      <c r="B58" s="5"/>
      <c r="C58" s="6" t="str">
        <f t="shared" si="6"/>
        <v/>
      </c>
      <c r="D58" s="5"/>
      <c r="E58" s="5"/>
      <c r="F58" s="5"/>
      <c r="G58" s="5"/>
      <c r="H58" s="5"/>
      <c r="I58" s="5"/>
      <c r="J58" s="5"/>
      <c r="K58" s="15"/>
      <c r="L58" s="5"/>
      <c r="M58" s="15"/>
      <c r="N58" s="5"/>
      <c r="O58" s="15"/>
      <c r="P58" s="19" t="str">
        <f t="shared" si="7"/>
        <v/>
      </c>
      <c r="Q58" s="19" t="str">
        <f t="shared" si="8"/>
        <v/>
      </c>
      <c r="R58" s="19" t="str">
        <f t="shared" si="9"/>
        <v/>
      </c>
      <c r="S58" s="5"/>
      <c r="T58" s="5"/>
      <c r="U58" s="5"/>
      <c r="V58" s="24"/>
      <c r="W58" s="15"/>
      <c r="X58" s="15"/>
      <c r="Y58" s="15"/>
      <c r="Z58" s="19" t="str">
        <f t="shared" si="10"/>
        <v/>
      </c>
      <c r="AA58" s="19" t="str">
        <f t="shared" si="11"/>
        <v/>
      </c>
      <c r="AB58" s="5"/>
      <c r="AC58" s="5"/>
      <c r="AE58" t="str">
        <f>IFERROR(INDEX(EqTag,_xlfn.AGGREGATE(15,6,(ROW(EqTag)-4)/((EqSys=$D$3)*(EqTag&lt;&gt;"")),ROWS($AE$14:AE58))),"")</f>
        <v/>
      </c>
    </row>
    <row r="59" spans="1:31" ht="30" customHeight="1" x14ac:dyDescent="0.2">
      <c r="A59" s="19" t="str">
        <f>IF(F59="","",LEFT($D$3,3)&amp;"-"&amp;TEXT(COUNTIF(F$14:F59,"?*"),"00"))</f>
        <v/>
      </c>
      <c r="B59" s="5"/>
      <c r="C59" s="6" t="str">
        <f t="shared" si="6"/>
        <v/>
      </c>
      <c r="D59" s="5"/>
      <c r="E59" s="5"/>
      <c r="F59" s="5"/>
      <c r="G59" s="5"/>
      <c r="H59" s="5"/>
      <c r="I59" s="5"/>
      <c r="J59" s="5"/>
      <c r="K59" s="15"/>
      <c r="L59" s="5"/>
      <c r="M59" s="15"/>
      <c r="N59" s="5"/>
      <c r="O59" s="15"/>
      <c r="P59" s="19" t="str">
        <f t="shared" si="7"/>
        <v/>
      </c>
      <c r="Q59" s="19" t="str">
        <f t="shared" si="8"/>
        <v/>
      </c>
      <c r="R59" s="19" t="str">
        <f t="shared" si="9"/>
        <v/>
      </c>
      <c r="S59" s="5"/>
      <c r="T59" s="5"/>
      <c r="U59" s="5"/>
      <c r="V59" s="24"/>
      <c r="W59" s="15"/>
      <c r="X59" s="15"/>
      <c r="Y59" s="15"/>
      <c r="Z59" s="19" t="str">
        <f t="shared" si="10"/>
        <v/>
      </c>
      <c r="AA59" s="19" t="str">
        <f t="shared" si="11"/>
        <v/>
      </c>
      <c r="AB59" s="5"/>
      <c r="AC59" s="5"/>
      <c r="AE59" t="str">
        <f>IFERROR(INDEX(EqTag,_xlfn.AGGREGATE(15,6,(ROW(EqTag)-4)/((EqSys=$D$3)*(EqTag&lt;&gt;"")),ROWS($AE$14:AE59))),"")</f>
        <v/>
      </c>
    </row>
    <row r="60" spans="1:31" ht="30" customHeight="1" x14ac:dyDescent="0.2">
      <c r="A60" s="19" t="str">
        <f>IF(F60="","",LEFT($D$3,3)&amp;"-"&amp;TEXT(COUNTIF(F$14:F60,"?*"),"00"))</f>
        <v/>
      </c>
      <c r="B60" s="5"/>
      <c r="C60" s="6" t="str">
        <f t="shared" si="6"/>
        <v/>
      </c>
      <c r="D60" s="5"/>
      <c r="E60" s="5"/>
      <c r="F60" s="5"/>
      <c r="G60" s="5"/>
      <c r="H60" s="5"/>
      <c r="I60" s="5"/>
      <c r="J60" s="5"/>
      <c r="K60" s="15"/>
      <c r="L60" s="5"/>
      <c r="M60" s="15"/>
      <c r="N60" s="5"/>
      <c r="O60" s="15"/>
      <c r="P60" s="19" t="str">
        <f t="shared" si="7"/>
        <v/>
      </c>
      <c r="Q60" s="19" t="str">
        <f t="shared" si="8"/>
        <v/>
      </c>
      <c r="R60" s="19" t="str">
        <f t="shared" si="9"/>
        <v/>
      </c>
      <c r="S60" s="5"/>
      <c r="T60" s="5"/>
      <c r="U60" s="5"/>
      <c r="V60" s="24"/>
      <c r="W60" s="15"/>
      <c r="X60" s="15"/>
      <c r="Y60" s="15"/>
      <c r="Z60" s="19" t="str">
        <f t="shared" si="10"/>
        <v/>
      </c>
      <c r="AA60" s="19" t="str">
        <f t="shared" si="11"/>
        <v/>
      </c>
      <c r="AB60" s="5"/>
      <c r="AC60" s="5"/>
      <c r="AE60" t="str">
        <f>IFERROR(INDEX(EqTag,_xlfn.AGGREGATE(15,6,(ROW(EqTag)-4)/((EqSys=$D$3)*(EqTag&lt;&gt;"")),ROWS($AE$14:AE60))),"")</f>
        <v/>
      </c>
    </row>
    <row r="61" spans="1:31" ht="30" customHeight="1" x14ac:dyDescent="0.2">
      <c r="A61" s="19" t="str">
        <f>IF(F61="","",LEFT($D$3,3)&amp;"-"&amp;TEXT(COUNTIF(F$14:F61,"?*"),"00"))</f>
        <v/>
      </c>
      <c r="B61" s="5"/>
      <c r="C61" s="6" t="str">
        <f t="shared" si="6"/>
        <v/>
      </c>
      <c r="D61" s="5"/>
      <c r="E61" s="5"/>
      <c r="F61" s="5"/>
      <c r="G61" s="5"/>
      <c r="H61" s="5"/>
      <c r="I61" s="5"/>
      <c r="J61" s="5"/>
      <c r="K61" s="15"/>
      <c r="L61" s="5"/>
      <c r="M61" s="15"/>
      <c r="N61" s="5"/>
      <c r="O61" s="15"/>
      <c r="P61" s="19" t="str">
        <f t="shared" si="7"/>
        <v/>
      </c>
      <c r="Q61" s="19" t="str">
        <f t="shared" si="8"/>
        <v/>
      </c>
      <c r="R61" s="19" t="str">
        <f t="shared" si="9"/>
        <v/>
      </c>
      <c r="S61" s="5"/>
      <c r="T61" s="5"/>
      <c r="U61" s="5"/>
      <c r="V61" s="24"/>
      <c r="W61" s="15"/>
      <c r="X61" s="15"/>
      <c r="Y61" s="15"/>
      <c r="Z61" s="19" t="str">
        <f t="shared" si="10"/>
        <v/>
      </c>
      <c r="AA61" s="19" t="str">
        <f t="shared" si="11"/>
        <v/>
      </c>
      <c r="AB61" s="5"/>
      <c r="AC61" s="5"/>
      <c r="AE61" t="str">
        <f>IFERROR(INDEX(EqTag,_xlfn.AGGREGATE(15,6,(ROW(EqTag)-4)/((EqSys=$D$3)*(EqTag&lt;&gt;"")),ROWS($AE$14:AE61))),"")</f>
        <v/>
      </c>
    </row>
    <row r="62" spans="1:31" ht="30" customHeight="1" x14ac:dyDescent="0.2">
      <c r="A62" s="19" t="str">
        <f>IF(F62="","",LEFT($D$3,3)&amp;"-"&amp;TEXT(COUNTIF(F$14:F62,"?*"),"00"))</f>
        <v/>
      </c>
      <c r="B62" s="5"/>
      <c r="C62" s="6" t="str">
        <f t="shared" si="6"/>
        <v/>
      </c>
      <c r="D62" s="5"/>
      <c r="E62" s="5"/>
      <c r="F62" s="5"/>
      <c r="G62" s="5"/>
      <c r="H62" s="5"/>
      <c r="I62" s="5"/>
      <c r="J62" s="5"/>
      <c r="K62" s="15"/>
      <c r="L62" s="5"/>
      <c r="M62" s="15"/>
      <c r="N62" s="5"/>
      <c r="O62" s="15"/>
      <c r="P62" s="19" t="str">
        <f t="shared" si="7"/>
        <v/>
      </c>
      <c r="Q62" s="19" t="str">
        <f t="shared" si="8"/>
        <v/>
      </c>
      <c r="R62" s="19" t="str">
        <f t="shared" si="9"/>
        <v/>
      </c>
      <c r="S62" s="5"/>
      <c r="T62" s="5"/>
      <c r="U62" s="5"/>
      <c r="V62" s="24"/>
      <c r="W62" s="15"/>
      <c r="X62" s="15"/>
      <c r="Y62" s="15"/>
      <c r="Z62" s="19" t="str">
        <f t="shared" si="10"/>
        <v/>
      </c>
      <c r="AA62" s="19" t="str">
        <f t="shared" si="11"/>
        <v/>
      </c>
      <c r="AB62" s="5"/>
      <c r="AC62" s="5"/>
      <c r="AE62" t="str">
        <f>IFERROR(INDEX(EqTag,_xlfn.AGGREGATE(15,6,(ROW(EqTag)-4)/((EqSys=$D$3)*(EqTag&lt;&gt;"")),ROWS($AE$14:AE62))),"")</f>
        <v/>
      </c>
    </row>
    <row r="63" spans="1:31" ht="30" customHeight="1" x14ac:dyDescent="0.2">
      <c r="A63" s="19" t="str">
        <f>IF(F63="","",LEFT($D$3,3)&amp;"-"&amp;TEXT(COUNTIF(F$14:F63,"?*"),"00"))</f>
        <v/>
      </c>
      <c r="B63" s="5"/>
      <c r="C63" s="6" t="str">
        <f t="shared" si="6"/>
        <v/>
      </c>
      <c r="D63" s="5"/>
      <c r="E63" s="5"/>
      <c r="F63" s="5"/>
      <c r="G63" s="5"/>
      <c r="H63" s="5"/>
      <c r="I63" s="5"/>
      <c r="J63" s="5"/>
      <c r="K63" s="15"/>
      <c r="L63" s="5"/>
      <c r="M63" s="15"/>
      <c r="N63" s="5"/>
      <c r="O63" s="15"/>
      <c r="P63" s="19" t="str">
        <f t="shared" si="7"/>
        <v/>
      </c>
      <c r="Q63" s="19" t="str">
        <f t="shared" si="8"/>
        <v/>
      </c>
      <c r="R63" s="19" t="str">
        <f t="shared" si="9"/>
        <v/>
      </c>
      <c r="S63" s="5"/>
      <c r="T63" s="5"/>
      <c r="U63" s="5"/>
      <c r="V63" s="24"/>
      <c r="W63" s="15"/>
      <c r="X63" s="15"/>
      <c r="Y63" s="15"/>
      <c r="Z63" s="19" t="str">
        <f t="shared" si="10"/>
        <v/>
      </c>
      <c r="AA63" s="19" t="str">
        <f t="shared" si="11"/>
        <v/>
      </c>
      <c r="AB63" s="5"/>
      <c r="AC63" s="5"/>
      <c r="AE63" t="str">
        <f>IFERROR(INDEX(EqTag,_xlfn.AGGREGATE(15,6,(ROW(EqTag)-4)/((EqSys=$D$3)*(EqTag&lt;&gt;"")),ROWS($AE$14:AE63))),"")</f>
        <v/>
      </c>
    </row>
    <row r="64" spans="1:31" ht="30" customHeight="1" x14ac:dyDescent="0.2">
      <c r="A64" s="19" t="str">
        <f>IF(F64="","",LEFT($D$3,3)&amp;"-"&amp;TEXT(COUNTIF(F$14:F64,"?*"),"00"))</f>
        <v/>
      </c>
      <c r="B64" s="5"/>
      <c r="C64" s="6" t="str">
        <f t="shared" si="6"/>
        <v/>
      </c>
      <c r="D64" s="5"/>
      <c r="E64" s="5"/>
      <c r="F64" s="5"/>
      <c r="G64" s="5"/>
      <c r="H64" s="5"/>
      <c r="I64" s="5"/>
      <c r="J64" s="5"/>
      <c r="K64" s="15"/>
      <c r="L64" s="5"/>
      <c r="M64" s="15"/>
      <c r="N64" s="5"/>
      <c r="O64" s="15"/>
      <c r="P64" s="19" t="str">
        <f t="shared" si="7"/>
        <v/>
      </c>
      <c r="Q64" s="19" t="str">
        <f t="shared" si="8"/>
        <v/>
      </c>
      <c r="R64" s="19" t="str">
        <f t="shared" si="9"/>
        <v/>
      </c>
      <c r="S64" s="5"/>
      <c r="T64" s="5"/>
      <c r="U64" s="5"/>
      <c r="V64" s="24"/>
      <c r="W64" s="15"/>
      <c r="X64" s="15"/>
      <c r="Y64" s="15"/>
      <c r="Z64" s="19" t="str">
        <f t="shared" si="10"/>
        <v/>
      </c>
      <c r="AA64" s="19" t="str">
        <f t="shared" si="11"/>
        <v/>
      </c>
      <c r="AB64" s="5"/>
      <c r="AC64" s="5"/>
      <c r="AE64" t="str">
        <f>IFERROR(INDEX(EqTag,_xlfn.AGGREGATE(15,6,(ROW(EqTag)-4)/((EqSys=$D$3)*(EqTag&lt;&gt;"")),ROWS($AE$14:AE64))),"")</f>
        <v/>
      </c>
    </row>
    <row r="65" spans="1:31" ht="30" customHeight="1" x14ac:dyDescent="0.2">
      <c r="A65" s="19" t="str">
        <f>IF(F65="","",LEFT($D$3,3)&amp;"-"&amp;TEXT(COUNTIF(F$14:F65,"?*"),"00"))</f>
        <v/>
      </c>
      <c r="B65" s="5"/>
      <c r="C65" s="6" t="str">
        <f t="shared" si="6"/>
        <v/>
      </c>
      <c r="D65" s="5"/>
      <c r="E65" s="5"/>
      <c r="F65" s="5"/>
      <c r="G65" s="5"/>
      <c r="H65" s="5"/>
      <c r="I65" s="5"/>
      <c r="J65" s="5"/>
      <c r="K65" s="15"/>
      <c r="L65" s="5"/>
      <c r="M65" s="15"/>
      <c r="N65" s="5"/>
      <c r="O65" s="15"/>
      <c r="P65" s="19" t="str">
        <f t="shared" si="7"/>
        <v/>
      </c>
      <c r="Q65" s="19" t="str">
        <f t="shared" si="8"/>
        <v/>
      </c>
      <c r="R65" s="19" t="str">
        <f t="shared" si="9"/>
        <v/>
      </c>
      <c r="S65" s="5"/>
      <c r="T65" s="5"/>
      <c r="U65" s="5"/>
      <c r="V65" s="24"/>
      <c r="W65" s="15"/>
      <c r="X65" s="15"/>
      <c r="Y65" s="15"/>
      <c r="Z65" s="19" t="str">
        <f t="shared" si="10"/>
        <v/>
      </c>
      <c r="AA65" s="19" t="str">
        <f t="shared" si="11"/>
        <v/>
      </c>
      <c r="AB65" s="5"/>
      <c r="AC65" s="5"/>
      <c r="AE65" t="str">
        <f>IFERROR(INDEX(EqTag,_xlfn.AGGREGATE(15,6,(ROW(EqTag)-4)/((EqSys=$D$3)*(EqTag&lt;&gt;"")),ROWS($AE$14:AE65))),"")</f>
        <v/>
      </c>
    </row>
    <row r="66" spans="1:31" ht="30" customHeight="1" x14ac:dyDescent="0.2">
      <c r="A66" s="19" t="str">
        <f>IF(F66="","",LEFT($D$3,3)&amp;"-"&amp;TEXT(COUNTIF(F$14:F66,"?*"),"00"))</f>
        <v/>
      </c>
      <c r="B66" s="5"/>
      <c r="C66" s="6" t="str">
        <f t="shared" si="6"/>
        <v/>
      </c>
      <c r="D66" s="5"/>
      <c r="E66" s="5"/>
      <c r="F66" s="5"/>
      <c r="G66" s="5"/>
      <c r="H66" s="5"/>
      <c r="I66" s="5"/>
      <c r="J66" s="5"/>
      <c r="K66" s="15"/>
      <c r="L66" s="5"/>
      <c r="M66" s="15"/>
      <c r="N66" s="5"/>
      <c r="O66" s="15"/>
      <c r="P66" s="19" t="str">
        <f t="shared" si="7"/>
        <v/>
      </c>
      <c r="Q66" s="19" t="str">
        <f t="shared" si="8"/>
        <v/>
      </c>
      <c r="R66" s="19" t="str">
        <f t="shared" si="9"/>
        <v/>
      </c>
      <c r="S66" s="5"/>
      <c r="T66" s="5"/>
      <c r="U66" s="5"/>
      <c r="V66" s="24"/>
      <c r="W66" s="15"/>
      <c r="X66" s="15"/>
      <c r="Y66" s="15"/>
      <c r="Z66" s="19" t="str">
        <f t="shared" si="10"/>
        <v/>
      </c>
      <c r="AA66" s="19" t="str">
        <f t="shared" si="11"/>
        <v/>
      </c>
      <c r="AB66" s="5"/>
      <c r="AC66" s="5"/>
      <c r="AE66" t="str">
        <f>IFERROR(INDEX(EqTag,_xlfn.AGGREGATE(15,6,(ROW(EqTag)-4)/((EqSys=$D$3)*(EqTag&lt;&gt;"")),ROWS($AE$14:AE66))),"")</f>
        <v/>
      </c>
    </row>
    <row r="67" spans="1:31" ht="30" customHeight="1" x14ac:dyDescent="0.2">
      <c r="A67" s="19" t="str">
        <f>IF(F67="","",LEFT($D$3,3)&amp;"-"&amp;TEXT(COUNTIF(F$14:F67,"?*"),"00"))</f>
        <v/>
      </c>
      <c r="B67" s="5"/>
      <c r="C67" s="6" t="str">
        <f t="shared" si="6"/>
        <v/>
      </c>
      <c r="D67" s="5"/>
      <c r="E67" s="5"/>
      <c r="F67" s="5"/>
      <c r="G67" s="5"/>
      <c r="H67" s="5"/>
      <c r="I67" s="5"/>
      <c r="J67" s="5"/>
      <c r="K67" s="15"/>
      <c r="L67" s="5"/>
      <c r="M67" s="15"/>
      <c r="N67" s="5"/>
      <c r="O67" s="15"/>
      <c r="P67" s="19" t="str">
        <f t="shared" si="7"/>
        <v/>
      </c>
      <c r="Q67" s="19" t="str">
        <f t="shared" si="8"/>
        <v/>
      </c>
      <c r="R67" s="19" t="str">
        <f t="shared" si="9"/>
        <v/>
      </c>
      <c r="S67" s="5"/>
      <c r="T67" s="5"/>
      <c r="U67" s="5"/>
      <c r="V67" s="24"/>
      <c r="W67" s="15"/>
      <c r="X67" s="15"/>
      <c r="Y67" s="15"/>
      <c r="Z67" s="19" t="str">
        <f t="shared" si="10"/>
        <v/>
      </c>
      <c r="AA67" s="19" t="str">
        <f t="shared" si="11"/>
        <v/>
      </c>
      <c r="AB67" s="5"/>
      <c r="AC67" s="5"/>
      <c r="AE67" t="str">
        <f>IFERROR(INDEX(EqTag,_xlfn.AGGREGATE(15,6,(ROW(EqTag)-4)/((EqSys=$D$3)*(EqTag&lt;&gt;"")),ROWS($AE$14:AE67))),"")</f>
        <v/>
      </c>
    </row>
    <row r="68" spans="1:31" ht="30" customHeight="1" x14ac:dyDescent="0.2">
      <c r="A68" s="19" t="str">
        <f>IF(F68="","",LEFT($D$3,3)&amp;"-"&amp;TEXT(COUNTIF(F$14:F68,"?*"),"00"))</f>
        <v/>
      </c>
      <c r="B68" s="5"/>
      <c r="C68" s="6" t="str">
        <f t="shared" si="6"/>
        <v/>
      </c>
      <c r="D68" s="5"/>
      <c r="E68" s="5"/>
      <c r="F68" s="5"/>
      <c r="G68" s="5"/>
      <c r="H68" s="5"/>
      <c r="I68" s="5"/>
      <c r="J68" s="5"/>
      <c r="K68" s="15"/>
      <c r="L68" s="5"/>
      <c r="M68" s="15"/>
      <c r="N68" s="5"/>
      <c r="O68" s="15"/>
      <c r="P68" s="19" t="str">
        <f t="shared" si="7"/>
        <v/>
      </c>
      <c r="Q68" s="19" t="str">
        <f t="shared" si="8"/>
        <v/>
      </c>
      <c r="R68" s="19" t="str">
        <f t="shared" si="9"/>
        <v/>
      </c>
      <c r="S68" s="5"/>
      <c r="T68" s="5"/>
      <c r="U68" s="5"/>
      <c r="V68" s="24"/>
      <c r="W68" s="15"/>
      <c r="X68" s="15"/>
      <c r="Y68" s="15"/>
      <c r="Z68" s="19" t="str">
        <f t="shared" si="10"/>
        <v/>
      </c>
      <c r="AA68" s="19" t="str">
        <f t="shared" si="11"/>
        <v/>
      </c>
      <c r="AB68" s="5"/>
      <c r="AC68" s="5"/>
      <c r="AE68" t="str">
        <f>IFERROR(INDEX(EqTag,_xlfn.AGGREGATE(15,6,(ROW(EqTag)-4)/((EqSys=$D$3)*(EqTag&lt;&gt;"")),ROWS($AE$14:AE68))),"")</f>
        <v/>
      </c>
    </row>
    <row r="69" spans="1:31" ht="30" customHeight="1" x14ac:dyDescent="0.2">
      <c r="A69" s="19" t="str">
        <f>IF(F69="","",LEFT($D$3,3)&amp;"-"&amp;TEXT(COUNTIF(F$14:F69,"?*"),"00"))</f>
        <v/>
      </c>
      <c r="B69" s="5"/>
      <c r="C69" s="6" t="str">
        <f t="shared" si="6"/>
        <v/>
      </c>
      <c r="D69" s="5"/>
      <c r="E69" s="5"/>
      <c r="F69" s="5"/>
      <c r="G69" s="5"/>
      <c r="H69" s="5"/>
      <c r="I69" s="5"/>
      <c r="J69" s="5"/>
      <c r="K69" s="15"/>
      <c r="L69" s="5"/>
      <c r="M69" s="15"/>
      <c r="N69" s="5"/>
      <c r="O69" s="15"/>
      <c r="P69" s="19" t="str">
        <f t="shared" si="7"/>
        <v/>
      </c>
      <c r="Q69" s="19" t="str">
        <f t="shared" si="8"/>
        <v/>
      </c>
      <c r="R69" s="19" t="str">
        <f t="shared" si="9"/>
        <v/>
      </c>
      <c r="S69" s="5"/>
      <c r="T69" s="5"/>
      <c r="U69" s="5"/>
      <c r="V69" s="24"/>
      <c r="W69" s="15"/>
      <c r="X69" s="15"/>
      <c r="Y69" s="15"/>
      <c r="Z69" s="19" t="str">
        <f t="shared" si="10"/>
        <v/>
      </c>
      <c r="AA69" s="19" t="str">
        <f t="shared" si="11"/>
        <v/>
      </c>
      <c r="AB69" s="5"/>
      <c r="AC69" s="5"/>
      <c r="AE69" t="str">
        <f>IFERROR(INDEX(EqTag,_xlfn.AGGREGATE(15,6,(ROW(EqTag)-4)/((EqSys=$D$3)*(EqTag&lt;&gt;"")),ROWS($AE$14:AE69))),"")</f>
        <v/>
      </c>
    </row>
    <row r="70" spans="1:31" ht="30" customHeight="1" x14ac:dyDescent="0.2">
      <c r="A70" s="19" t="str">
        <f>IF(F70="","",LEFT($D$3,3)&amp;"-"&amp;TEXT(COUNTIF(F$14:F70,"?*"),"00"))</f>
        <v/>
      </c>
      <c r="B70" s="5"/>
      <c r="C70" s="6" t="str">
        <f t="shared" si="6"/>
        <v/>
      </c>
      <c r="D70" s="5"/>
      <c r="E70" s="5"/>
      <c r="F70" s="5"/>
      <c r="G70" s="5"/>
      <c r="H70" s="5"/>
      <c r="I70" s="5"/>
      <c r="J70" s="5"/>
      <c r="K70" s="15"/>
      <c r="L70" s="5"/>
      <c r="M70" s="15"/>
      <c r="N70" s="5"/>
      <c r="O70" s="15"/>
      <c r="P70" s="19" t="str">
        <f t="shared" si="7"/>
        <v/>
      </c>
      <c r="Q70" s="19" t="str">
        <f t="shared" si="8"/>
        <v/>
      </c>
      <c r="R70" s="19" t="str">
        <f t="shared" si="9"/>
        <v/>
      </c>
      <c r="S70" s="5"/>
      <c r="T70" s="5"/>
      <c r="U70" s="5"/>
      <c r="V70" s="24"/>
      <c r="W70" s="15"/>
      <c r="X70" s="15"/>
      <c r="Y70" s="15"/>
      <c r="Z70" s="19" t="str">
        <f t="shared" si="10"/>
        <v/>
      </c>
      <c r="AA70" s="19" t="str">
        <f t="shared" si="11"/>
        <v/>
      </c>
      <c r="AB70" s="5"/>
      <c r="AC70" s="5"/>
      <c r="AE70" t="str">
        <f>IFERROR(INDEX(EqTag,_xlfn.AGGREGATE(15,6,(ROW(EqTag)-4)/((EqSys=$D$3)*(EqTag&lt;&gt;"")),ROWS($AE$14:AE70))),"")</f>
        <v/>
      </c>
    </row>
    <row r="71" spans="1:31" ht="30" customHeight="1" x14ac:dyDescent="0.2">
      <c r="A71" s="19" t="str">
        <f>IF(F71="","",LEFT($D$3,3)&amp;"-"&amp;TEXT(COUNTIF(F$14:F71,"?*"),"00"))</f>
        <v/>
      </c>
      <c r="B71" s="5"/>
      <c r="C71" s="6" t="str">
        <f t="shared" si="6"/>
        <v/>
      </c>
      <c r="D71" s="5"/>
      <c r="E71" s="5"/>
      <c r="F71" s="5"/>
      <c r="G71" s="5"/>
      <c r="H71" s="5"/>
      <c r="I71" s="5"/>
      <c r="J71" s="5"/>
      <c r="K71" s="15"/>
      <c r="L71" s="5"/>
      <c r="M71" s="15"/>
      <c r="N71" s="5"/>
      <c r="O71" s="15"/>
      <c r="P71" s="19" t="str">
        <f t="shared" si="7"/>
        <v/>
      </c>
      <c r="Q71" s="19" t="str">
        <f t="shared" si="8"/>
        <v/>
      </c>
      <c r="R71" s="19" t="str">
        <f t="shared" si="9"/>
        <v/>
      </c>
      <c r="S71" s="5"/>
      <c r="T71" s="5"/>
      <c r="U71" s="5"/>
      <c r="V71" s="24"/>
      <c r="W71" s="15"/>
      <c r="X71" s="15"/>
      <c r="Y71" s="15"/>
      <c r="Z71" s="19" t="str">
        <f t="shared" si="10"/>
        <v/>
      </c>
      <c r="AA71" s="19" t="str">
        <f t="shared" si="11"/>
        <v/>
      </c>
      <c r="AB71" s="5"/>
      <c r="AC71" s="5"/>
      <c r="AE71" t="str">
        <f>IFERROR(INDEX(EqTag,_xlfn.AGGREGATE(15,6,(ROW(EqTag)-4)/((EqSys=$D$3)*(EqTag&lt;&gt;"")),ROWS($AE$14:AE71))),"")</f>
        <v/>
      </c>
    </row>
    <row r="72" spans="1:31" ht="30" customHeight="1" x14ac:dyDescent="0.2">
      <c r="A72" s="19" t="str">
        <f>IF(F72="","",LEFT($D$3,3)&amp;"-"&amp;TEXT(COUNTIF(F$14:F72,"?*"),"00"))</f>
        <v/>
      </c>
      <c r="B72" s="5"/>
      <c r="C72" s="6" t="str">
        <f t="shared" si="6"/>
        <v/>
      </c>
      <c r="D72" s="5"/>
      <c r="E72" s="5"/>
      <c r="F72" s="5"/>
      <c r="G72" s="5"/>
      <c r="H72" s="5"/>
      <c r="I72" s="5"/>
      <c r="J72" s="5"/>
      <c r="K72" s="15"/>
      <c r="L72" s="5"/>
      <c r="M72" s="15"/>
      <c r="N72" s="5"/>
      <c r="O72" s="15"/>
      <c r="P72" s="19" t="str">
        <f t="shared" si="7"/>
        <v/>
      </c>
      <c r="Q72" s="19" t="str">
        <f t="shared" si="8"/>
        <v/>
      </c>
      <c r="R72" s="19" t="str">
        <f t="shared" si="9"/>
        <v/>
      </c>
      <c r="S72" s="5"/>
      <c r="T72" s="5"/>
      <c r="U72" s="5"/>
      <c r="V72" s="24"/>
      <c r="W72" s="15"/>
      <c r="X72" s="15"/>
      <c r="Y72" s="15"/>
      <c r="Z72" s="19" t="str">
        <f t="shared" si="10"/>
        <v/>
      </c>
      <c r="AA72" s="19" t="str">
        <f t="shared" si="11"/>
        <v/>
      </c>
      <c r="AB72" s="5"/>
      <c r="AC72" s="5"/>
      <c r="AE72" t="str">
        <f>IFERROR(INDEX(EqTag,_xlfn.AGGREGATE(15,6,(ROW(EqTag)-4)/((EqSys=$D$3)*(EqTag&lt;&gt;"")),ROWS($AE$14:AE72))),"")</f>
        <v/>
      </c>
    </row>
    <row r="73" spans="1:31" ht="30" customHeight="1" x14ac:dyDescent="0.2">
      <c r="A73" s="19" t="str">
        <f>IF(F73="","",LEFT($D$3,3)&amp;"-"&amp;TEXT(COUNTIF(F$14:F73,"?*"),"00"))</f>
        <v/>
      </c>
      <c r="B73" s="5"/>
      <c r="C73" s="6" t="str">
        <f t="shared" si="6"/>
        <v/>
      </c>
      <c r="D73" s="5"/>
      <c r="E73" s="5"/>
      <c r="F73" s="5"/>
      <c r="G73" s="5"/>
      <c r="H73" s="5"/>
      <c r="I73" s="5"/>
      <c r="J73" s="5"/>
      <c r="K73" s="15"/>
      <c r="L73" s="5"/>
      <c r="M73" s="15"/>
      <c r="N73" s="5"/>
      <c r="O73" s="15"/>
      <c r="P73" s="19" t="str">
        <f t="shared" si="7"/>
        <v/>
      </c>
      <c r="Q73" s="19" t="str">
        <f t="shared" si="8"/>
        <v/>
      </c>
      <c r="R73" s="19" t="str">
        <f t="shared" si="9"/>
        <v/>
      </c>
      <c r="S73" s="5"/>
      <c r="T73" s="5"/>
      <c r="U73" s="5"/>
      <c r="V73" s="24"/>
      <c r="W73" s="15"/>
      <c r="X73" s="15"/>
      <c r="Y73" s="15"/>
      <c r="Z73" s="19" t="str">
        <f t="shared" si="10"/>
        <v/>
      </c>
      <c r="AA73" s="19" t="str">
        <f t="shared" si="11"/>
        <v/>
      </c>
      <c r="AB73" s="5"/>
      <c r="AC73" s="5"/>
      <c r="AE73" t="str">
        <f>IFERROR(INDEX(EqTag,_xlfn.AGGREGATE(15,6,(ROW(EqTag)-4)/((EqSys=$D$3)*(EqTag&lt;&gt;"")),ROWS($AE$14:AE73))),"")</f>
        <v/>
      </c>
    </row>
    <row r="74" spans="1:31" ht="30" customHeight="1" x14ac:dyDescent="0.2">
      <c r="A74" s="19" t="str">
        <f>IF(F74="","",LEFT($D$3,3)&amp;"-"&amp;TEXT(COUNTIF(F$14:F74,"?*"),"00"))</f>
        <v/>
      </c>
      <c r="B74" s="5"/>
      <c r="C74" s="6" t="str">
        <f t="shared" si="6"/>
        <v/>
      </c>
      <c r="D74" s="5"/>
      <c r="E74" s="5"/>
      <c r="F74" s="5"/>
      <c r="G74" s="5"/>
      <c r="H74" s="5"/>
      <c r="I74" s="5"/>
      <c r="J74" s="5"/>
      <c r="K74" s="15"/>
      <c r="L74" s="5"/>
      <c r="M74" s="15"/>
      <c r="N74" s="5"/>
      <c r="O74" s="15"/>
      <c r="P74" s="19" t="str">
        <f t="shared" si="7"/>
        <v/>
      </c>
      <c r="Q74" s="19" t="str">
        <f t="shared" si="8"/>
        <v/>
      </c>
      <c r="R74" s="19" t="str">
        <f t="shared" si="9"/>
        <v/>
      </c>
      <c r="S74" s="5"/>
      <c r="T74" s="5"/>
      <c r="U74" s="5"/>
      <c r="V74" s="24"/>
      <c r="W74" s="15"/>
      <c r="X74" s="15"/>
      <c r="Y74" s="15"/>
      <c r="Z74" s="19" t="str">
        <f t="shared" si="10"/>
        <v/>
      </c>
      <c r="AA74" s="19" t="str">
        <f t="shared" si="11"/>
        <v/>
      </c>
      <c r="AB74" s="5"/>
      <c r="AC74" s="5"/>
      <c r="AE74" t="str">
        <f>IFERROR(INDEX(EqTag,_xlfn.AGGREGATE(15,6,(ROW(EqTag)-4)/((EqSys=$D$3)*(EqTag&lt;&gt;"")),ROWS($AE$14:AE74))),"")</f>
        <v/>
      </c>
    </row>
    <row r="75" spans="1:31" ht="30" customHeight="1" x14ac:dyDescent="0.2">
      <c r="A75" s="19" t="str">
        <f>IF(F75="","",LEFT($D$3,3)&amp;"-"&amp;TEXT(COUNTIF(F$14:F75,"?*"),"00"))</f>
        <v/>
      </c>
      <c r="B75" s="5"/>
      <c r="C75" s="6" t="str">
        <f t="shared" si="6"/>
        <v/>
      </c>
      <c r="D75" s="5"/>
      <c r="E75" s="5"/>
      <c r="F75" s="5"/>
      <c r="G75" s="5"/>
      <c r="H75" s="5"/>
      <c r="I75" s="5"/>
      <c r="J75" s="5"/>
      <c r="K75" s="15"/>
      <c r="L75" s="5"/>
      <c r="M75" s="15"/>
      <c r="N75" s="5"/>
      <c r="O75" s="15"/>
      <c r="P75" s="19" t="str">
        <f t="shared" si="7"/>
        <v/>
      </c>
      <c r="Q75" s="19" t="str">
        <f t="shared" si="8"/>
        <v/>
      </c>
      <c r="R75" s="19" t="str">
        <f t="shared" si="9"/>
        <v/>
      </c>
      <c r="S75" s="5"/>
      <c r="T75" s="5"/>
      <c r="U75" s="5"/>
      <c r="V75" s="24"/>
      <c r="W75" s="15"/>
      <c r="X75" s="15"/>
      <c r="Y75" s="15"/>
      <c r="Z75" s="19" t="str">
        <f t="shared" si="10"/>
        <v/>
      </c>
      <c r="AA75" s="19" t="str">
        <f t="shared" si="11"/>
        <v/>
      </c>
      <c r="AB75" s="5"/>
      <c r="AC75" s="5"/>
      <c r="AE75" t="str">
        <f>IFERROR(INDEX(EqTag,_xlfn.AGGREGATE(15,6,(ROW(EqTag)-4)/((EqSys=$D$3)*(EqTag&lt;&gt;"")),ROWS($AE$14:AE75))),"")</f>
        <v/>
      </c>
    </row>
    <row r="76" spans="1:31" ht="30" customHeight="1" x14ac:dyDescent="0.2">
      <c r="A76" s="19" t="str">
        <f>IF(F76="","",LEFT($D$3,3)&amp;"-"&amp;TEXT(COUNTIF(F$14:F76,"?*"),"00"))</f>
        <v/>
      </c>
      <c r="B76" s="5"/>
      <c r="C76" s="6" t="str">
        <f t="shared" si="6"/>
        <v/>
      </c>
      <c r="D76" s="5"/>
      <c r="E76" s="5"/>
      <c r="F76" s="5"/>
      <c r="G76" s="5"/>
      <c r="H76" s="5"/>
      <c r="I76" s="5"/>
      <c r="J76" s="5"/>
      <c r="K76" s="15"/>
      <c r="L76" s="5"/>
      <c r="M76" s="15"/>
      <c r="N76" s="5"/>
      <c r="O76" s="15"/>
      <c r="P76" s="19" t="str">
        <f t="shared" si="7"/>
        <v/>
      </c>
      <c r="Q76" s="19" t="str">
        <f t="shared" si="8"/>
        <v/>
      </c>
      <c r="R76" s="19" t="str">
        <f t="shared" si="9"/>
        <v/>
      </c>
      <c r="S76" s="5"/>
      <c r="T76" s="5"/>
      <c r="U76" s="5"/>
      <c r="V76" s="24"/>
      <c r="W76" s="15"/>
      <c r="X76" s="15"/>
      <c r="Y76" s="15"/>
      <c r="Z76" s="19" t="str">
        <f t="shared" si="10"/>
        <v/>
      </c>
      <c r="AA76" s="19" t="str">
        <f t="shared" si="11"/>
        <v/>
      </c>
      <c r="AB76" s="5"/>
      <c r="AC76" s="5"/>
      <c r="AE76" t="str">
        <f>IFERROR(INDEX(EqTag,_xlfn.AGGREGATE(15,6,(ROW(EqTag)-4)/((EqSys=$D$3)*(EqTag&lt;&gt;"")),ROWS($AE$14:AE76))),"")</f>
        <v/>
      </c>
    </row>
    <row r="77" spans="1:31" ht="30" customHeight="1" x14ac:dyDescent="0.2">
      <c r="A77" s="19" t="str">
        <f>IF(F77="","",LEFT($D$3,3)&amp;"-"&amp;TEXT(COUNTIF(F$14:F77,"?*"),"00"))</f>
        <v/>
      </c>
      <c r="B77" s="5"/>
      <c r="C77" s="6" t="str">
        <f t="shared" si="6"/>
        <v/>
      </c>
      <c r="D77" s="5"/>
      <c r="E77" s="5"/>
      <c r="F77" s="5"/>
      <c r="G77" s="5"/>
      <c r="H77" s="5"/>
      <c r="I77" s="5"/>
      <c r="J77" s="5"/>
      <c r="K77" s="15"/>
      <c r="L77" s="5"/>
      <c r="M77" s="15"/>
      <c r="N77" s="5"/>
      <c r="O77" s="15"/>
      <c r="P77" s="19" t="str">
        <f t="shared" si="7"/>
        <v/>
      </c>
      <c r="Q77" s="19" t="str">
        <f t="shared" si="8"/>
        <v/>
      </c>
      <c r="R77" s="19" t="str">
        <f t="shared" si="9"/>
        <v/>
      </c>
      <c r="S77" s="5"/>
      <c r="T77" s="5"/>
      <c r="U77" s="5"/>
      <c r="V77" s="24"/>
      <c r="W77" s="15"/>
      <c r="X77" s="15"/>
      <c r="Y77" s="15"/>
      <c r="Z77" s="19" t="str">
        <f t="shared" si="10"/>
        <v/>
      </c>
      <c r="AA77" s="19" t="str">
        <f t="shared" si="11"/>
        <v/>
      </c>
      <c r="AB77" s="5"/>
      <c r="AC77" s="5"/>
      <c r="AE77" t="str">
        <f>IFERROR(INDEX(EqTag,_xlfn.AGGREGATE(15,6,(ROW(EqTag)-4)/((EqSys=$D$3)*(EqTag&lt;&gt;"")),ROWS($AE$14:AE77))),"")</f>
        <v/>
      </c>
    </row>
    <row r="78" spans="1:31" ht="30" customHeight="1" x14ac:dyDescent="0.2">
      <c r="A78" s="19" t="str">
        <f>IF(F78="","",LEFT($D$3,3)&amp;"-"&amp;TEXT(COUNTIF(F$14:F78,"?*"),"00"))</f>
        <v/>
      </c>
      <c r="B78" s="5"/>
      <c r="C78" s="6" t="str">
        <f t="shared" ref="C78:C109" si="12">IF(B78="","",IFERROR(INDEX(EqTypeCol,MATCH(B78,EqTag,0)),"Tag not in register"))</f>
        <v/>
      </c>
      <c r="D78" s="5"/>
      <c r="E78" s="5"/>
      <c r="F78" s="5"/>
      <c r="G78" s="5"/>
      <c r="H78" s="5"/>
      <c r="I78" s="5"/>
      <c r="J78" s="5"/>
      <c r="K78" s="15"/>
      <c r="L78" s="5"/>
      <c r="M78" s="15"/>
      <c r="N78" s="5"/>
      <c r="O78" s="15"/>
      <c r="P78" s="19" t="str">
        <f t="shared" ref="P78:P109" si="13">IF(OR(K78="",M78="",O78=""),"",(--TRIM(LEFT(K78,2)))*(--TRIM(LEFT(M78,2)))*(--TRIM(LEFT(O78,2))))</f>
        <v/>
      </c>
      <c r="Q78" s="19" t="str">
        <f t="shared" ref="Q78:Q109" si="14">IF(OR(K78="",M78="",O78=""),"",INDEX(APGrid,COUNTIF(APS,"&gt;"&amp;(--TRIM(LEFT(K78,2))))*5+COUNTIF(APO,"&gt;"&amp;(--TRIM(LEFT(M78,2))))+1,COUNTIF(APD,"&gt;"&amp;(--TRIM(LEFT(O78,2))))+1))</f>
        <v/>
      </c>
      <c r="R78" s="19" t="str">
        <f t="shared" ref="R78:R109" si="15">IF(P78="","",IF(OR((--TRIM(LEFT(K78,2)))&gt;=SThr,P78&gt;=RPNThr,Q78="H"),"Yes","No"))</f>
        <v/>
      </c>
      <c r="S78" s="5"/>
      <c r="T78" s="5"/>
      <c r="U78" s="5"/>
      <c r="V78" s="24"/>
      <c r="W78" s="15"/>
      <c r="X78" s="15"/>
      <c r="Y78" s="15"/>
      <c r="Z78" s="19" t="str">
        <f t="shared" ref="Z78:Z109" si="16">IF(OR(W78="",X78="",Y78=""),"",(--TRIM(LEFT(W78,2)))*(--TRIM(LEFT(X78,2)))*(--TRIM(LEFT(Y78,2))))</f>
        <v/>
      </c>
      <c r="AA78" s="19" t="str">
        <f t="shared" ref="AA78:AA109" si="17">IF(OR(W78="",X78="",Y78=""),"",INDEX(APGrid,COUNTIF(APS,"&gt;"&amp;(--TRIM(LEFT(W78,2))))*5+COUNTIF(APO,"&gt;"&amp;(--TRIM(LEFT(X78,2))))+1,COUNTIF(APD,"&gt;"&amp;(--TRIM(LEFT(Y78,2))))+1))</f>
        <v/>
      </c>
      <c r="AB78" s="5"/>
      <c r="AC78" s="5"/>
      <c r="AE78" t="str">
        <f>IFERROR(INDEX(EqTag,_xlfn.AGGREGATE(15,6,(ROW(EqTag)-4)/((EqSys=$D$3)*(EqTag&lt;&gt;"")),ROWS($AE$14:AE78))),"")</f>
        <v/>
      </c>
    </row>
    <row r="79" spans="1:31" ht="30" customHeight="1" x14ac:dyDescent="0.2">
      <c r="A79" s="19" t="str">
        <f>IF(F79="","",LEFT($D$3,3)&amp;"-"&amp;TEXT(COUNTIF(F$14:F79,"?*"),"00"))</f>
        <v/>
      </c>
      <c r="B79" s="5"/>
      <c r="C79" s="6" t="str">
        <f t="shared" si="12"/>
        <v/>
      </c>
      <c r="D79" s="5"/>
      <c r="E79" s="5"/>
      <c r="F79" s="5"/>
      <c r="G79" s="5"/>
      <c r="H79" s="5"/>
      <c r="I79" s="5"/>
      <c r="J79" s="5"/>
      <c r="K79" s="15"/>
      <c r="L79" s="5"/>
      <c r="M79" s="15"/>
      <c r="N79" s="5"/>
      <c r="O79" s="15"/>
      <c r="P79" s="19" t="str">
        <f t="shared" si="13"/>
        <v/>
      </c>
      <c r="Q79" s="19" t="str">
        <f t="shared" si="14"/>
        <v/>
      </c>
      <c r="R79" s="19" t="str">
        <f t="shared" si="15"/>
        <v/>
      </c>
      <c r="S79" s="5"/>
      <c r="T79" s="5"/>
      <c r="U79" s="5"/>
      <c r="V79" s="24"/>
      <c r="W79" s="15"/>
      <c r="X79" s="15"/>
      <c r="Y79" s="15"/>
      <c r="Z79" s="19" t="str">
        <f t="shared" si="16"/>
        <v/>
      </c>
      <c r="AA79" s="19" t="str">
        <f t="shared" si="17"/>
        <v/>
      </c>
      <c r="AB79" s="5"/>
      <c r="AC79" s="5"/>
      <c r="AE79" t="str">
        <f>IFERROR(INDEX(EqTag,_xlfn.AGGREGATE(15,6,(ROW(EqTag)-4)/((EqSys=$D$3)*(EqTag&lt;&gt;"")),ROWS($AE$14:AE79))),"")</f>
        <v/>
      </c>
    </row>
    <row r="80" spans="1:31" ht="30" customHeight="1" x14ac:dyDescent="0.2">
      <c r="A80" s="19" t="str">
        <f>IF(F80="","",LEFT($D$3,3)&amp;"-"&amp;TEXT(COUNTIF(F$14:F80,"?*"),"00"))</f>
        <v/>
      </c>
      <c r="B80" s="5"/>
      <c r="C80" s="6" t="str">
        <f t="shared" si="12"/>
        <v/>
      </c>
      <c r="D80" s="5"/>
      <c r="E80" s="5"/>
      <c r="F80" s="5"/>
      <c r="G80" s="5"/>
      <c r="H80" s="5"/>
      <c r="I80" s="5"/>
      <c r="J80" s="5"/>
      <c r="K80" s="15"/>
      <c r="L80" s="5"/>
      <c r="M80" s="15"/>
      <c r="N80" s="5"/>
      <c r="O80" s="15"/>
      <c r="P80" s="19" t="str">
        <f t="shared" si="13"/>
        <v/>
      </c>
      <c r="Q80" s="19" t="str">
        <f t="shared" si="14"/>
        <v/>
      </c>
      <c r="R80" s="19" t="str">
        <f t="shared" si="15"/>
        <v/>
      </c>
      <c r="S80" s="5"/>
      <c r="T80" s="5"/>
      <c r="U80" s="5"/>
      <c r="V80" s="24"/>
      <c r="W80" s="15"/>
      <c r="X80" s="15"/>
      <c r="Y80" s="15"/>
      <c r="Z80" s="19" t="str">
        <f t="shared" si="16"/>
        <v/>
      </c>
      <c r="AA80" s="19" t="str">
        <f t="shared" si="17"/>
        <v/>
      </c>
      <c r="AB80" s="5"/>
      <c r="AC80" s="5"/>
      <c r="AE80" t="str">
        <f>IFERROR(INDEX(EqTag,_xlfn.AGGREGATE(15,6,(ROW(EqTag)-4)/((EqSys=$D$3)*(EqTag&lt;&gt;"")),ROWS($AE$14:AE80))),"")</f>
        <v/>
      </c>
    </row>
    <row r="81" spans="1:31" ht="30" customHeight="1" x14ac:dyDescent="0.2">
      <c r="A81" s="19" t="str">
        <f>IF(F81="","",LEFT($D$3,3)&amp;"-"&amp;TEXT(COUNTIF(F$14:F81,"?*"),"00"))</f>
        <v/>
      </c>
      <c r="B81" s="5"/>
      <c r="C81" s="6" t="str">
        <f t="shared" si="12"/>
        <v/>
      </c>
      <c r="D81" s="5"/>
      <c r="E81" s="5"/>
      <c r="F81" s="5"/>
      <c r="G81" s="5"/>
      <c r="H81" s="5"/>
      <c r="I81" s="5"/>
      <c r="J81" s="5"/>
      <c r="K81" s="15"/>
      <c r="L81" s="5"/>
      <c r="M81" s="15"/>
      <c r="N81" s="5"/>
      <c r="O81" s="15"/>
      <c r="P81" s="19" t="str">
        <f t="shared" si="13"/>
        <v/>
      </c>
      <c r="Q81" s="19" t="str">
        <f t="shared" si="14"/>
        <v/>
      </c>
      <c r="R81" s="19" t="str">
        <f t="shared" si="15"/>
        <v/>
      </c>
      <c r="S81" s="5"/>
      <c r="T81" s="5"/>
      <c r="U81" s="5"/>
      <c r="V81" s="24"/>
      <c r="W81" s="15"/>
      <c r="X81" s="15"/>
      <c r="Y81" s="15"/>
      <c r="Z81" s="19" t="str">
        <f t="shared" si="16"/>
        <v/>
      </c>
      <c r="AA81" s="19" t="str">
        <f t="shared" si="17"/>
        <v/>
      </c>
      <c r="AB81" s="5"/>
      <c r="AC81" s="5"/>
      <c r="AE81" t="str">
        <f>IFERROR(INDEX(EqTag,_xlfn.AGGREGATE(15,6,(ROW(EqTag)-4)/((EqSys=$D$3)*(EqTag&lt;&gt;"")),ROWS($AE$14:AE81))),"")</f>
        <v/>
      </c>
    </row>
    <row r="82" spans="1:31" ht="30" customHeight="1" x14ac:dyDescent="0.2">
      <c r="A82" s="19" t="str">
        <f>IF(F82="","",LEFT($D$3,3)&amp;"-"&amp;TEXT(COUNTIF(F$14:F82,"?*"),"00"))</f>
        <v/>
      </c>
      <c r="B82" s="5"/>
      <c r="C82" s="6" t="str">
        <f t="shared" si="12"/>
        <v/>
      </c>
      <c r="D82" s="5"/>
      <c r="E82" s="5"/>
      <c r="F82" s="5"/>
      <c r="G82" s="5"/>
      <c r="H82" s="5"/>
      <c r="I82" s="5"/>
      <c r="J82" s="5"/>
      <c r="K82" s="15"/>
      <c r="L82" s="5"/>
      <c r="M82" s="15"/>
      <c r="N82" s="5"/>
      <c r="O82" s="15"/>
      <c r="P82" s="19" t="str">
        <f t="shared" si="13"/>
        <v/>
      </c>
      <c r="Q82" s="19" t="str">
        <f t="shared" si="14"/>
        <v/>
      </c>
      <c r="R82" s="19" t="str">
        <f t="shared" si="15"/>
        <v/>
      </c>
      <c r="S82" s="5"/>
      <c r="T82" s="5"/>
      <c r="U82" s="5"/>
      <c r="V82" s="24"/>
      <c r="W82" s="15"/>
      <c r="X82" s="15"/>
      <c r="Y82" s="15"/>
      <c r="Z82" s="19" t="str">
        <f t="shared" si="16"/>
        <v/>
      </c>
      <c r="AA82" s="19" t="str">
        <f t="shared" si="17"/>
        <v/>
      </c>
      <c r="AB82" s="5"/>
      <c r="AC82" s="5"/>
      <c r="AE82" t="str">
        <f>IFERROR(INDEX(EqTag,_xlfn.AGGREGATE(15,6,(ROW(EqTag)-4)/((EqSys=$D$3)*(EqTag&lt;&gt;"")),ROWS($AE$14:AE82))),"")</f>
        <v/>
      </c>
    </row>
    <row r="83" spans="1:31" ht="30" customHeight="1" x14ac:dyDescent="0.2">
      <c r="A83" s="19" t="str">
        <f>IF(F83="","",LEFT($D$3,3)&amp;"-"&amp;TEXT(COUNTIF(F$14:F83,"?*"),"00"))</f>
        <v/>
      </c>
      <c r="B83" s="5"/>
      <c r="C83" s="6" t="str">
        <f t="shared" si="12"/>
        <v/>
      </c>
      <c r="D83" s="5"/>
      <c r="E83" s="5"/>
      <c r="F83" s="5"/>
      <c r="G83" s="5"/>
      <c r="H83" s="5"/>
      <c r="I83" s="5"/>
      <c r="J83" s="5"/>
      <c r="K83" s="15"/>
      <c r="L83" s="5"/>
      <c r="M83" s="15"/>
      <c r="N83" s="5"/>
      <c r="O83" s="15"/>
      <c r="P83" s="19" t="str">
        <f t="shared" si="13"/>
        <v/>
      </c>
      <c r="Q83" s="19" t="str">
        <f t="shared" si="14"/>
        <v/>
      </c>
      <c r="R83" s="19" t="str">
        <f t="shared" si="15"/>
        <v/>
      </c>
      <c r="S83" s="5"/>
      <c r="T83" s="5"/>
      <c r="U83" s="5"/>
      <c r="V83" s="24"/>
      <c r="W83" s="15"/>
      <c r="X83" s="15"/>
      <c r="Y83" s="15"/>
      <c r="Z83" s="19" t="str">
        <f t="shared" si="16"/>
        <v/>
      </c>
      <c r="AA83" s="19" t="str">
        <f t="shared" si="17"/>
        <v/>
      </c>
      <c r="AB83" s="5"/>
      <c r="AC83" s="5"/>
      <c r="AE83" t="str">
        <f>IFERROR(INDEX(EqTag,_xlfn.AGGREGATE(15,6,(ROW(EqTag)-4)/((EqSys=$D$3)*(EqTag&lt;&gt;"")),ROWS($AE$14:AE83))),"")</f>
        <v/>
      </c>
    </row>
    <row r="84" spans="1:31" ht="30" customHeight="1" x14ac:dyDescent="0.2">
      <c r="A84" s="19" t="str">
        <f>IF(F84="","",LEFT($D$3,3)&amp;"-"&amp;TEXT(COUNTIF(F$14:F84,"?*"),"00"))</f>
        <v/>
      </c>
      <c r="B84" s="5"/>
      <c r="C84" s="6" t="str">
        <f t="shared" si="12"/>
        <v/>
      </c>
      <c r="D84" s="5"/>
      <c r="E84" s="5"/>
      <c r="F84" s="5"/>
      <c r="G84" s="5"/>
      <c r="H84" s="5"/>
      <c r="I84" s="5"/>
      <c r="J84" s="5"/>
      <c r="K84" s="15"/>
      <c r="L84" s="5"/>
      <c r="M84" s="15"/>
      <c r="N84" s="5"/>
      <c r="O84" s="15"/>
      <c r="P84" s="19" t="str">
        <f t="shared" si="13"/>
        <v/>
      </c>
      <c r="Q84" s="19" t="str">
        <f t="shared" si="14"/>
        <v/>
      </c>
      <c r="R84" s="19" t="str">
        <f t="shared" si="15"/>
        <v/>
      </c>
      <c r="S84" s="5"/>
      <c r="T84" s="5"/>
      <c r="U84" s="5"/>
      <c r="V84" s="24"/>
      <c r="W84" s="15"/>
      <c r="X84" s="15"/>
      <c r="Y84" s="15"/>
      <c r="Z84" s="19" t="str">
        <f t="shared" si="16"/>
        <v/>
      </c>
      <c r="AA84" s="19" t="str">
        <f t="shared" si="17"/>
        <v/>
      </c>
      <c r="AB84" s="5"/>
      <c r="AC84" s="5"/>
      <c r="AE84" t="str">
        <f>IFERROR(INDEX(EqTag,_xlfn.AGGREGATE(15,6,(ROW(EqTag)-4)/((EqSys=$D$3)*(EqTag&lt;&gt;"")),ROWS($AE$14:AE84))),"")</f>
        <v/>
      </c>
    </row>
    <row r="85" spans="1:31" ht="30" customHeight="1" x14ac:dyDescent="0.2">
      <c r="A85" s="19" t="str">
        <f>IF(F85="","",LEFT($D$3,3)&amp;"-"&amp;TEXT(COUNTIF(F$14:F85,"?*"),"00"))</f>
        <v/>
      </c>
      <c r="B85" s="5"/>
      <c r="C85" s="6" t="str">
        <f t="shared" si="12"/>
        <v/>
      </c>
      <c r="D85" s="5"/>
      <c r="E85" s="5"/>
      <c r="F85" s="5"/>
      <c r="G85" s="5"/>
      <c r="H85" s="5"/>
      <c r="I85" s="5"/>
      <c r="J85" s="5"/>
      <c r="K85" s="15"/>
      <c r="L85" s="5"/>
      <c r="M85" s="15"/>
      <c r="N85" s="5"/>
      <c r="O85" s="15"/>
      <c r="P85" s="19" t="str">
        <f t="shared" si="13"/>
        <v/>
      </c>
      <c r="Q85" s="19" t="str">
        <f t="shared" si="14"/>
        <v/>
      </c>
      <c r="R85" s="19" t="str">
        <f t="shared" si="15"/>
        <v/>
      </c>
      <c r="S85" s="5"/>
      <c r="T85" s="5"/>
      <c r="U85" s="5"/>
      <c r="V85" s="24"/>
      <c r="W85" s="15"/>
      <c r="X85" s="15"/>
      <c r="Y85" s="15"/>
      <c r="Z85" s="19" t="str">
        <f t="shared" si="16"/>
        <v/>
      </c>
      <c r="AA85" s="19" t="str">
        <f t="shared" si="17"/>
        <v/>
      </c>
      <c r="AB85" s="5"/>
      <c r="AC85" s="5"/>
      <c r="AE85" t="str">
        <f>IFERROR(INDEX(EqTag,_xlfn.AGGREGATE(15,6,(ROW(EqTag)-4)/((EqSys=$D$3)*(EqTag&lt;&gt;"")),ROWS($AE$14:AE85))),"")</f>
        <v/>
      </c>
    </row>
    <row r="86" spans="1:31" ht="30" customHeight="1" x14ac:dyDescent="0.2">
      <c r="A86" s="19" t="str">
        <f>IF(F86="","",LEFT($D$3,3)&amp;"-"&amp;TEXT(COUNTIF(F$14:F86,"?*"),"00"))</f>
        <v/>
      </c>
      <c r="B86" s="5"/>
      <c r="C86" s="6" t="str">
        <f t="shared" si="12"/>
        <v/>
      </c>
      <c r="D86" s="5"/>
      <c r="E86" s="5"/>
      <c r="F86" s="5"/>
      <c r="G86" s="5"/>
      <c r="H86" s="5"/>
      <c r="I86" s="5"/>
      <c r="J86" s="5"/>
      <c r="K86" s="15"/>
      <c r="L86" s="5"/>
      <c r="M86" s="15"/>
      <c r="N86" s="5"/>
      <c r="O86" s="15"/>
      <c r="P86" s="19" t="str">
        <f t="shared" si="13"/>
        <v/>
      </c>
      <c r="Q86" s="19" t="str">
        <f t="shared" si="14"/>
        <v/>
      </c>
      <c r="R86" s="19" t="str">
        <f t="shared" si="15"/>
        <v/>
      </c>
      <c r="S86" s="5"/>
      <c r="T86" s="5"/>
      <c r="U86" s="5"/>
      <c r="V86" s="24"/>
      <c r="W86" s="15"/>
      <c r="X86" s="15"/>
      <c r="Y86" s="15"/>
      <c r="Z86" s="19" t="str">
        <f t="shared" si="16"/>
        <v/>
      </c>
      <c r="AA86" s="19" t="str">
        <f t="shared" si="17"/>
        <v/>
      </c>
      <c r="AB86" s="5"/>
      <c r="AC86" s="5"/>
      <c r="AE86" t="str">
        <f>IFERROR(INDEX(EqTag,_xlfn.AGGREGATE(15,6,(ROW(EqTag)-4)/((EqSys=$D$3)*(EqTag&lt;&gt;"")),ROWS($AE$14:AE86))),"")</f>
        <v/>
      </c>
    </row>
    <row r="87" spans="1:31" ht="30" customHeight="1" x14ac:dyDescent="0.2">
      <c r="A87" s="19" t="str">
        <f>IF(F87="","",LEFT($D$3,3)&amp;"-"&amp;TEXT(COUNTIF(F$14:F87,"?*"),"00"))</f>
        <v/>
      </c>
      <c r="B87" s="5"/>
      <c r="C87" s="6" t="str">
        <f t="shared" si="12"/>
        <v/>
      </c>
      <c r="D87" s="5"/>
      <c r="E87" s="5"/>
      <c r="F87" s="5"/>
      <c r="G87" s="5"/>
      <c r="H87" s="5"/>
      <c r="I87" s="5"/>
      <c r="J87" s="5"/>
      <c r="K87" s="15"/>
      <c r="L87" s="5"/>
      <c r="M87" s="15"/>
      <c r="N87" s="5"/>
      <c r="O87" s="15"/>
      <c r="P87" s="19" t="str">
        <f t="shared" si="13"/>
        <v/>
      </c>
      <c r="Q87" s="19" t="str">
        <f t="shared" si="14"/>
        <v/>
      </c>
      <c r="R87" s="19" t="str">
        <f t="shared" si="15"/>
        <v/>
      </c>
      <c r="S87" s="5"/>
      <c r="T87" s="5"/>
      <c r="U87" s="5"/>
      <c r="V87" s="24"/>
      <c r="W87" s="15"/>
      <c r="X87" s="15"/>
      <c r="Y87" s="15"/>
      <c r="Z87" s="19" t="str">
        <f t="shared" si="16"/>
        <v/>
      </c>
      <c r="AA87" s="19" t="str">
        <f t="shared" si="17"/>
        <v/>
      </c>
      <c r="AB87" s="5"/>
      <c r="AC87" s="5"/>
      <c r="AE87" t="str">
        <f>IFERROR(INDEX(EqTag,_xlfn.AGGREGATE(15,6,(ROW(EqTag)-4)/((EqSys=$D$3)*(EqTag&lt;&gt;"")),ROWS($AE$14:AE87))),"")</f>
        <v/>
      </c>
    </row>
    <row r="88" spans="1:31" ht="30" customHeight="1" x14ac:dyDescent="0.2">
      <c r="A88" s="19" t="str">
        <f>IF(F88="","",LEFT($D$3,3)&amp;"-"&amp;TEXT(COUNTIF(F$14:F88,"?*"),"00"))</f>
        <v/>
      </c>
      <c r="B88" s="5"/>
      <c r="C88" s="6" t="str">
        <f t="shared" si="12"/>
        <v/>
      </c>
      <c r="D88" s="5"/>
      <c r="E88" s="5"/>
      <c r="F88" s="5"/>
      <c r="G88" s="5"/>
      <c r="H88" s="5"/>
      <c r="I88" s="5"/>
      <c r="J88" s="5"/>
      <c r="K88" s="15"/>
      <c r="L88" s="5"/>
      <c r="M88" s="15"/>
      <c r="N88" s="5"/>
      <c r="O88" s="15"/>
      <c r="P88" s="19" t="str">
        <f t="shared" si="13"/>
        <v/>
      </c>
      <c r="Q88" s="19" t="str">
        <f t="shared" si="14"/>
        <v/>
      </c>
      <c r="R88" s="19" t="str">
        <f t="shared" si="15"/>
        <v/>
      </c>
      <c r="S88" s="5"/>
      <c r="T88" s="5"/>
      <c r="U88" s="5"/>
      <c r="V88" s="24"/>
      <c r="W88" s="15"/>
      <c r="X88" s="15"/>
      <c r="Y88" s="15"/>
      <c r="Z88" s="19" t="str">
        <f t="shared" si="16"/>
        <v/>
      </c>
      <c r="AA88" s="19" t="str">
        <f t="shared" si="17"/>
        <v/>
      </c>
      <c r="AB88" s="5"/>
      <c r="AC88" s="5"/>
      <c r="AE88" t="str">
        <f>IFERROR(INDEX(EqTag,_xlfn.AGGREGATE(15,6,(ROW(EqTag)-4)/((EqSys=$D$3)*(EqTag&lt;&gt;"")),ROWS($AE$14:AE88))),"")</f>
        <v/>
      </c>
    </row>
    <row r="89" spans="1:31" ht="30" customHeight="1" x14ac:dyDescent="0.2">
      <c r="A89" s="19" t="str">
        <f>IF(F89="","",LEFT($D$3,3)&amp;"-"&amp;TEXT(COUNTIF(F$14:F89,"?*"),"00"))</f>
        <v/>
      </c>
      <c r="B89" s="5"/>
      <c r="C89" s="6" t="str">
        <f t="shared" si="12"/>
        <v/>
      </c>
      <c r="D89" s="5"/>
      <c r="E89" s="5"/>
      <c r="F89" s="5"/>
      <c r="G89" s="5"/>
      <c r="H89" s="5"/>
      <c r="I89" s="5"/>
      <c r="J89" s="5"/>
      <c r="K89" s="15"/>
      <c r="L89" s="5"/>
      <c r="M89" s="15"/>
      <c r="N89" s="5"/>
      <c r="O89" s="15"/>
      <c r="P89" s="19" t="str">
        <f t="shared" si="13"/>
        <v/>
      </c>
      <c r="Q89" s="19" t="str">
        <f t="shared" si="14"/>
        <v/>
      </c>
      <c r="R89" s="19" t="str">
        <f t="shared" si="15"/>
        <v/>
      </c>
      <c r="S89" s="5"/>
      <c r="T89" s="5"/>
      <c r="U89" s="5"/>
      <c r="V89" s="24"/>
      <c r="W89" s="15"/>
      <c r="X89" s="15"/>
      <c r="Y89" s="15"/>
      <c r="Z89" s="19" t="str">
        <f t="shared" si="16"/>
        <v/>
      </c>
      <c r="AA89" s="19" t="str">
        <f t="shared" si="17"/>
        <v/>
      </c>
      <c r="AB89" s="5"/>
      <c r="AC89" s="5"/>
      <c r="AE89" t="str">
        <f>IFERROR(INDEX(EqTag,_xlfn.AGGREGATE(15,6,(ROW(EqTag)-4)/((EqSys=$D$3)*(EqTag&lt;&gt;"")),ROWS($AE$14:AE89))),"")</f>
        <v/>
      </c>
    </row>
    <row r="90" spans="1:31" ht="30" customHeight="1" x14ac:dyDescent="0.2">
      <c r="A90" s="19" t="str">
        <f>IF(F90="","",LEFT($D$3,3)&amp;"-"&amp;TEXT(COUNTIF(F$14:F90,"?*"),"00"))</f>
        <v/>
      </c>
      <c r="B90" s="5"/>
      <c r="C90" s="6" t="str">
        <f t="shared" si="12"/>
        <v/>
      </c>
      <c r="D90" s="5"/>
      <c r="E90" s="5"/>
      <c r="F90" s="5"/>
      <c r="G90" s="5"/>
      <c r="H90" s="5"/>
      <c r="I90" s="5"/>
      <c r="J90" s="5"/>
      <c r="K90" s="15"/>
      <c r="L90" s="5"/>
      <c r="M90" s="15"/>
      <c r="N90" s="5"/>
      <c r="O90" s="15"/>
      <c r="P90" s="19" t="str">
        <f t="shared" si="13"/>
        <v/>
      </c>
      <c r="Q90" s="19" t="str">
        <f t="shared" si="14"/>
        <v/>
      </c>
      <c r="R90" s="19" t="str">
        <f t="shared" si="15"/>
        <v/>
      </c>
      <c r="S90" s="5"/>
      <c r="T90" s="5"/>
      <c r="U90" s="5"/>
      <c r="V90" s="24"/>
      <c r="W90" s="15"/>
      <c r="X90" s="15"/>
      <c r="Y90" s="15"/>
      <c r="Z90" s="19" t="str">
        <f t="shared" si="16"/>
        <v/>
      </c>
      <c r="AA90" s="19" t="str">
        <f t="shared" si="17"/>
        <v/>
      </c>
      <c r="AB90" s="5"/>
      <c r="AC90" s="5"/>
      <c r="AE90" t="str">
        <f>IFERROR(INDEX(EqTag,_xlfn.AGGREGATE(15,6,(ROW(EqTag)-4)/((EqSys=$D$3)*(EqTag&lt;&gt;"")),ROWS($AE$14:AE90))),"")</f>
        <v/>
      </c>
    </row>
    <row r="91" spans="1:31" ht="30" customHeight="1" x14ac:dyDescent="0.2">
      <c r="A91" s="19" t="str">
        <f>IF(F91="","",LEFT($D$3,3)&amp;"-"&amp;TEXT(COUNTIF(F$14:F91,"?*"),"00"))</f>
        <v/>
      </c>
      <c r="B91" s="5"/>
      <c r="C91" s="6" t="str">
        <f t="shared" si="12"/>
        <v/>
      </c>
      <c r="D91" s="5"/>
      <c r="E91" s="5"/>
      <c r="F91" s="5"/>
      <c r="G91" s="5"/>
      <c r="H91" s="5"/>
      <c r="I91" s="5"/>
      <c r="J91" s="5"/>
      <c r="K91" s="15"/>
      <c r="L91" s="5"/>
      <c r="M91" s="15"/>
      <c r="N91" s="5"/>
      <c r="O91" s="15"/>
      <c r="P91" s="19" t="str">
        <f t="shared" si="13"/>
        <v/>
      </c>
      <c r="Q91" s="19" t="str">
        <f t="shared" si="14"/>
        <v/>
      </c>
      <c r="R91" s="19" t="str">
        <f t="shared" si="15"/>
        <v/>
      </c>
      <c r="S91" s="5"/>
      <c r="T91" s="5"/>
      <c r="U91" s="5"/>
      <c r="V91" s="24"/>
      <c r="W91" s="15"/>
      <c r="X91" s="15"/>
      <c r="Y91" s="15"/>
      <c r="Z91" s="19" t="str">
        <f t="shared" si="16"/>
        <v/>
      </c>
      <c r="AA91" s="19" t="str">
        <f t="shared" si="17"/>
        <v/>
      </c>
      <c r="AB91" s="5"/>
      <c r="AC91" s="5"/>
      <c r="AE91" t="str">
        <f>IFERROR(INDEX(EqTag,_xlfn.AGGREGATE(15,6,(ROW(EqTag)-4)/((EqSys=$D$3)*(EqTag&lt;&gt;"")),ROWS($AE$14:AE91))),"")</f>
        <v/>
      </c>
    </row>
    <row r="92" spans="1:31" ht="30" customHeight="1" x14ac:dyDescent="0.2">
      <c r="A92" s="19" t="str">
        <f>IF(F92="","",LEFT($D$3,3)&amp;"-"&amp;TEXT(COUNTIF(F$14:F92,"?*"),"00"))</f>
        <v/>
      </c>
      <c r="B92" s="5"/>
      <c r="C92" s="6" t="str">
        <f t="shared" si="12"/>
        <v/>
      </c>
      <c r="D92" s="5"/>
      <c r="E92" s="5"/>
      <c r="F92" s="5"/>
      <c r="G92" s="5"/>
      <c r="H92" s="5"/>
      <c r="I92" s="5"/>
      <c r="J92" s="5"/>
      <c r="K92" s="15"/>
      <c r="L92" s="5"/>
      <c r="M92" s="15"/>
      <c r="N92" s="5"/>
      <c r="O92" s="15"/>
      <c r="P92" s="19" t="str">
        <f t="shared" si="13"/>
        <v/>
      </c>
      <c r="Q92" s="19" t="str">
        <f t="shared" si="14"/>
        <v/>
      </c>
      <c r="R92" s="19" t="str">
        <f t="shared" si="15"/>
        <v/>
      </c>
      <c r="S92" s="5"/>
      <c r="T92" s="5"/>
      <c r="U92" s="5"/>
      <c r="V92" s="24"/>
      <c r="W92" s="15"/>
      <c r="X92" s="15"/>
      <c r="Y92" s="15"/>
      <c r="Z92" s="19" t="str">
        <f t="shared" si="16"/>
        <v/>
      </c>
      <c r="AA92" s="19" t="str">
        <f t="shared" si="17"/>
        <v/>
      </c>
      <c r="AB92" s="5"/>
      <c r="AC92" s="5"/>
      <c r="AE92" t="str">
        <f>IFERROR(INDEX(EqTag,_xlfn.AGGREGATE(15,6,(ROW(EqTag)-4)/((EqSys=$D$3)*(EqTag&lt;&gt;"")),ROWS($AE$14:AE92))),"")</f>
        <v/>
      </c>
    </row>
    <row r="93" spans="1:31" ht="30" customHeight="1" x14ac:dyDescent="0.2">
      <c r="A93" s="19" t="str">
        <f>IF(F93="","",LEFT($D$3,3)&amp;"-"&amp;TEXT(COUNTIF(F$14:F93,"?*"),"00"))</f>
        <v/>
      </c>
      <c r="B93" s="5"/>
      <c r="C93" s="6" t="str">
        <f t="shared" si="12"/>
        <v/>
      </c>
      <c r="D93" s="5"/>
      <c r="E93" s="5"/>
      <c r="F93" s="5"/>
      <c r="G93" s="5"/>
      <c r="H93" s="5"/>
      <c r="I93" s="5"/>
      <c r="J93" s="5"/>
      <c r="K93" s="15"/>
      <c r="L93" s="5"/>
      <c r="M93" s="15"/>
      <c r="N93" s="5"/>
      <c r="O93" s="15"/>
      <c r="P93" s="19" t="str">
        <f t="shared" si="13"/>
        <v/>
      </c>
      <c r="Q93" s="19" t="str">
        <f t="shared" si="14"/>
        <v/>
      </c>
      <c r="R93" s="19" t="str">
        <f t="shared" si="15"/>
        <v/>
      </c>
      <c r="S93" s="5"/>
      <c r="T93" s="5"/>
      <c r="U93" s="5"/>
      <c r="V93" s="24"/>
      <c r="W93" s="15"/>
      <c r="X93" s="15"/>
      <c r="Y93" s="15"/>
      <c r="Z93" s="19" t="str">
        <f t="shared" si="16"/>
        <v/>
      </c>
      <c r="AA93" s="19" t="str">
        <f t="shared" si="17"/>
        <v/>
      </c>
      <c r="AB93" s="5"/>
      <c r="AC93" s="5"/>
      <c r="AE93" t="str">
        <f>IFERROR(INDEX(EqTag,_xlfn.AGGREGATE(15,6,(ROW(EqTag)-4)/((EqSys=$D$3)*(EqTag&lt;&gt;"")),ROWS($AE$14:AE93))),"")</f>
        <v/>
      </c>
    </row>
    <row r="94" spans="1:31" ht="30" customHeight="1" x14ac:dyDescent="0.2">
      <c r="A94" s="19" t="str">
        <f>IF(F94="","",LEFT($D$3,3)&amp;"-"&amp;TEXT(COUNTIF(F$14:F94,"?*"),"00"))</f>
        <v/>
      </c>
      <c r="B94" s="5"/>
      <c r="C94" s="6" t="str">
        <f t="shared" si="12"/>
        <v/>
      </c>
      <c r="D94" s="5"/>
      <c r="E94" s="5"/>
      <c r="F94" s="5"/>
      <c r="G94" s="5"/>
      <c r="H94" s="5"/>
      <c r="I94" s="5"/>
      <c r="J94" s="5"/>
      <c r="K94" s="15"/>
      <c r="L94" s="5"/>
      <c r="M94" s="15"/>
      <c r="N94" s="5"/>
      <c r="O94" s="15"/>
      <c r="P94" s="19" t="str">
        <f t="shared" si="13"/>
        <v/>
      </c>
      <c r="Q94" s="19" t="str">
        <f t="shared" si="14"/>
        <v/>
      </c>
      <c r="R94" s="19" t="str">
        <f t="shared" si="15"/>
        <v/>
      </c>
      <c r="S94" s="5"/>
      <c r="T94" s="5"/>
      <c r="U94" s="5"/>
      <c r="V94" s="24"/>
      <c r="W94" s="15"/>
      <c r="X94" s="15"/>
      <c r="Y94" s="15"/>
      <c r="Z94" s="19" t="str">
        <f t="shared" si="16"/>
        <v/>
      </c>
      <c r="AA94" s="19" t="str">
        <f t="shared" si="17"/>
        <v/>
      </c>
      <c r="AB94" s="5"/>
      <c r="AC94" s="5"/>
      <c r="AE94" t="str">
        <f>IFERROR(INDEX(EqTag,_xlfn.AGGREGATE(15,6,(ROW(EqTag)-4)/((EqSys=$D$3)*(EqTag&lt;&gt;"")),ROWS($AE$14:AE94))),"")</f>
        <v/>
      </c>
    </row>
    <row r="95" spans="1:31" ht="30" customHeight="1" x14ac:dyDescent="0.2">
      <c r="A95" s="19" t="str">
        <f>IF(F95="","",LEFT($D$3,3)&amp;"-"&amp;TEXT(COUNTIF(F$14:F95,"?*"),"00"))</f>
        <v/>
      </c>
      <c r="B95" s="5"/>
      <c r="C95" s="6" t="str">
        <f t="shared" si="12"/>
        <v/>
      </c>
      <c r="D95" s="5"/>
      <c r="E95" s="5"/>
      <c r="F95" s="5"/>
      <c r="G95" s="5"/>
      <c r="H95" s="5"/>
      <c r="I95" s="5"/>
      <c r="J95" s="5"/>
      <c r="K95" s="15"/>
      <c r="L95" s="5"/>
      <c r="M95" s="15"/>
      <c r="N95" s="5"/>
      <c r="O95" s="15"/>
      <c r="P95" s="19" t="str">
        <f t="shared" si="13"/>
        <v/>
      </c>
      <c r="Q95" s="19" t="str">
        <f t="shared" si="14"/>
        <v/>
      </c>
      <c r="R95" s="19" t="str">
        <f t="shared" si="15"/>
        <v/>
      </c>
      <c r="S95" s="5"/>
      <c r="T95" s="5"/>
      <c r="U95" s="5"/>
      <c r="V95" s="24"/>
      <c r="W95" s="15"/>
      <c r="X95" s="15"/>
      <c r="Y95" s="15"/>
      <c r="Z95" s="19" t="str">
        <f t="shared" si="16"/>
        <v/>
      </c>
      <c r="AA95" s="19" t="str">
        <f t="shared" si="17"/>
        <v/>
      </c>
      <c r="AB95" s="5"/>
      <c r="AC95" s="5"/>
      <c r="AE95" t="str">
        <f>IFERROR(INDEX(EqTag,_xlfn.AGGREGATE(15,6,(ROW(EqTag)-4)/((EqSys=$D$3)*(EqTag&lt;&gt;"")),ROWS($AE$14:AE95))),"")</f>
        <v/>
      </c>
    </row>
    <row r="96" spans="1:31" ht="30" customHeight="1" x14ac:dyDescent="0.2">
      <c r="A96" s="19" t="str">
        <f>IF(F96="","",LEFT($D$3,3)&amp;"-"&amp;TEXT(COUNTIF(F$14:F96,"?*"),"00"))</f>
        <v/>
      </c>
      <c r="B96" s="5"/>
      <c r="C96" s="6" t="str">
        <f t="shared" si="12"/>
        <v/>
      </c>
      <c r="D96" s="5"/>
      <c r="E96" s="5"/>
      <c r="F96" s="5"/>
      <c r="G96" s="5"/>
      <c r="H96" s="5"/>
      <c r="I96" s="5"/>
      <c r="J96" s="5"/>
      <c r="K96" s="15"/>
      <c r="L96" s="5"/>
      <c r="M96" s="15"/>
      <c r="N96" s="5"/>
      <c r="O96" s="15"/>
      <c r="P96" s="19" t="str">
        <f t="shared" si="13"/>
        <v/>
      </c>
      <c r="Q96" s="19" t="str">
        <f t="shared" si="14"/>
        <v/>
      </c>
      <c r="R96" s="19" t="str">
        <f t="shared" si="15"/>
        <v/>
      </c>
      <c r="S96" s="5"/>
      <c r="T96" s="5"/>
      <c r="U96" s="5"/>
      <c r="V96" s="24"/>
      <c r="W96" s="15"/>
      <c r="X96" s="15"/>
      <c r="Y96" s="15"/>
      <c r="Z96" s="19" t="str">
        <f t="shared" si="16"/>
        <v/>
      </c>
      <c r="AA96" s="19" t="str">
        <f t="shared" si="17"/>
        <v/>
      </c>
      <c r="AB96" s="5"/>
      <c r="AC96" s="5"/>
      <c r="AE96" t="str">
        <f>IFERROR(INDEX(EqTag,_xlfn.AGGREGATE(15,6,(ROW(EqTag)-4)/((EqSys=$D$3)*(EqTag&lt;&gt;"")),ROWS($AE$14:AE96))),"")</f>
        <v/>
      </c>
    </row>
    <row r="97" spans="1:31" ht="30" customHeight="1" x14ac:dyDescent="0.2">
      <c r="A97" s="19" t="str">
        <f>IF(F97="","",LEFT($D$3,3)&amp;"-"&amp;TEXT(COUNTIF(F$14:F97,"?*"),"00"))</f>
        <v/>
      </c>
      <c r="B97" s="5"/>
      <c r="C97" s="6" t="str">
        <f t="shared" si="12"/>
        <v/>
      </c>
      <c r="D97" s="5"/>
      <c r="E97" s="5"/>
      <c r="F97" s="5"/>
      <c r="G97" s="5"/>
      <c r="H97" s="5"/>
      <c r="I97" s="5"/>
      <c r="J97" s="5"/>
      <c r="K97" s="15"/>
      <c r="L97" s="5"/>
      <c r="M97" s="15"/>
      <c r="N97" s="5"/>
      <c r="O97" s="15"/>
      <c r="P97" s="19" t="str">
        <f t="shared" si="13"/>
        <v/>
      </c>
      <c r="Q97" s="19" t="str">
        <f t="shared" si="14"/>
        <v/>
      </c>
      <c r="R97" s="19" t="str">
        <f t="shared" si="15"/>
        <v/>
      </c>
      <c r="S97" s="5"/>
      <c r="T97" s="5"/>
      <c r="U97" s="5"/>
      <c r="V97" s="24"/>
      <c r="W97" s="15"/>
      <c r="X97" s="15"/>
      <c r="Y97" s="15"/>
      <c r="Z97" s="19" t="str">
        <f t="shared" si="16"/>
        <v/>
      </c>
      <c r="AA97" s="19" t="str">
        <f t="shared" si="17"/>
        <v/>
      </c>
      <c r="AB97" s="5"/>
      <c r="AC97" s="5"/>
      <c r="AE97" t="str">
        <f>IFERROR(INDEX(EqTag,_xlfn.AGGREGATE(15,6,(ROW(EqTag)-4)/((EqSys=$D$3)*(EqTag&lt;&gt;"")),ROWS($AE$14:AE97))),"")</f>
        <v/>
      </c>
    </row>
    <row r="98" spans="1:31" ht="30" customHeight="1" x14ac:dyDescent="0.2">
      <c r="A98" s="19" t="str">
        <f>IF(F98="","",LEFT($D$3,3)&amp;"-"&amp;TEXT(COUNTIF(F$14:F98,"?*"),"00"))</f>
        <v/>
      </c>
      <c r="B98" s="5"/>
      <c r="C98" s="6" t="str">
        <f t="shared" si="12"/>
        <v/>
      </c>
      <c r="D98" s="5"/>
      <c r="E98" s="5"/>
      <c r="F98" s="5"/>
      <c r="G98" s="5"/>
      <c r="H98" s="5"/>
      <c r="I98" s="5"/>
      <c r="J98" s="5"/>
      <c r="K98" s="15"/>
      <c r="L98" s="5"/>
      <c r="M98" s="15"/>
      <c r="N98" s="5"/>
      <c r="O98" s="15"/>
      <c r="P98" s="19" t="str">
        <f t="shared" si="13"/>
        <v/>
      </c>
      <c r="Q98" s="19" t="str">
        <f t="shared" si="14"/>
        <v/>
      </c>
      <c r="R98" s="19" t="str">
        <f t="shared" si="15"/>
        <v/>
      </c>
      <c r="S98" s="5"/>
      <c r="T98" s="5"/>
      <c r="U98" s="5"/>
      <c r="V98" s="24"/>
      <c r="W98" s="15"/>
      <c r="X98" s="15"/>
      <c r="Y98" s="15"/>
      <c r="Z98" s="19" t="str">
        <f t="shared" si="16"/>
        <v/>
      </c>
      <c r="AA98" s="19" t="str">
        <f t="shared" si="17"/>
        <v/>
      </c>
      <c r="AB98" s="5"/>
      <c r="AC98" s="5"/>
      <c r="AE98" t="str">
        <f>IFERROR(INDEX(EqTag,_xlfn.AGGREGATE(15,6,(ROW(EqTag)-4)/((EqSys=$D$3)*(EqTag&lt;&gt;"")),ROWS($AE$14:AE98))),"")</f>
        <v/>
      </c>
    </row>
    <row r="99" spans="1:31" ht="30" customHeight="1" x14ac:dyDescent="0.2">
      <c r="A99" s="19" t="str">
        <f>IF(F99="","",LEFT($D$3,3)&amp;"-"&amp;TEXT(COUNTIF(F$14:F99,"?*"),"00"))</f>
        <v/>
      </c>
      <c r="B99" s="5"/>
      <c r="C99" s="6" t="str">
        <f t="shared" si="12"/>
        <v/>
      </c>
      <c r="D99" s="5"/>
      <c r="E99" s="5"/>
      <c r="F99" s="5"/>
      <c r="G99" s="5"/>
      <c r="H99" s="5"/>
      <c r="I99" s="5"/>
      <c r="J99" s="5"/>
      <c r="K99" s="15"/>
      <c r="L99" s="5"/>
      <c r="M99" s="15"/>
      <c r="N99" s="5"/>
      <c r="O99" s="15"/>
      <c r="P99" s="19" t="str">
        <f t="shared" si="13"/>
        <v/>
      </c>
      <c r="Q99" s="19" t="str">
        <f t="shared" si="14"/>
        <v/>
      </c>
      <c r="R99" s="19" t="str">
        <f t="shared" si="15"/>
        <v/>
      </c>
      <c r="S99" s="5"/>
      <c r="T99" s="5"/>
      <c r="U99" s="5"/>
      <c r="V99" s="24"/>
      <c r="W99" s="15"/>
      <c r="X99" s="15"/>
      <c r="Y99" s="15"/>
      <c r="Z99" s="19" t="str">
        <f t="shared" si="16"/>
        <v/>
      </c>
      <c r="AA99" s="19" t="str">
        <f t="shared" si="17"/>
        <v/>
      </c>
      <c r="AB99" s="5"/>
      <c r="AC99" s="5"/>
      <c r="AE99" t="str">
        <f>IFERROR(INDEX(EqTag,_xlfn.AGGREGATE(15,6,(ROW(EqTag)-4)/((EqSys=$D$3)*(EqTag&lt;&gt;"")),ROWS($AE$14:AE99))),"")</f>
        <v/>
      </c>
    </row>
    <row r="100" spans="1:31" ht="30" customHeight="1" x14ac:dyDescent="0.2">
      <c r="A100" s="19" t="str">
        <f>IF(F100="","",LEFT($D$3,3)&amp;"-"&amp;TEXT(COUNTIF(F$14:F100,"?*"),"00"))</f>
        <v/>
      </c>
      <c r="B100" s="5"/>
      <c r="C100" s="6" t="str">
        <f t="shared" si="12"/>
        <v/>
      </c>
      <c r="D100" s="5"/>
      <c r="E100" s="5"/>
      <c r="F100" s="5"/>
      <c r="G100" s="5"/>
      <c r="H100" s="5"/>
      <c r="I100" s="5"/>
      <c r="J100" s="5"/>
      <c r="K100" s="15"/>
      <c r="L100" s="5"/>
      <c r="M100" s="15"/>
      <c r="N100" s="5"/>
      <c r="O100" s="15"/>
      <c r="P100" s="19" t="str">
        <f t="shared" si="13"/>
        <v/>
      </c>
      <c r="Q100" s="19" t="str">
        <f t="shared" si="14"/>
        <v/>
      </c>
      <c r="R100" s="19" t="str">
        <f t="shared" si="15"/>
        <v/>
      </c>
      <c r="S100" s="5"/>
      <c r="T100" s="5"/>
      <c r="U100" s="5"/>
      <c r="V100" s="24"/>
      <c r="W100" s="15"/>
      <c r="X100" s="15"/>
      <c r="Y100" s="15"/>
      <c r="Z100" s="19" t="str">
        <f t="shared" si="16"/>
        <v/>
      </c>
      <c r="AA100" s="19" t="str">
        <f t="shared" si="17"/>
        <v/>
      </c>
      <c r="AB100" s="5"/>
      <c r="AC100" s="5"/>
      <c r="AE100" t="str">
        <f>IFERROR(INDEX(EqTag,_xlfn.AGGREGATE(15,6,(ROW(EqTag)-4)/((EqSys=$D$3)*(EqTag&lt;&gt;"")),ROWS($AE$14:AE100))),"")</f>
        <v/>
      </c>
    </row>
    <row r="101" spans="1:31" ht="30" customHeight="1" x14ac:dyDescent="0.2">
      <c r="A101" s="19" t="str">
        <f>IF(F101="","",LEFT($D$3,3)&amp;"-"&amp;TEXT(COUNTIF(F$14:F101,"?*"),"00"))</f>
        <v/>
      </c>
      <c r="B101" s="5"/>
      <c r="C101" s="6" t="str">
        <f t="shared" si="12"/>
        <v/>
      </c>
      <c r="D101" s="5"/>
      <c r="E101" s="5"/>
      <c r="F101" s="5"/>
      <c r="G101" s="5"/>
      <c r="H101" s="5"/>
      <c r="I101" s="5"/>
      <c r="J101" s="5"/>
      <c r="K101" s="15"/>
      <c r="L101" s="5"/>
      <c r="M101" s="15"/>
      <c r="N101" s="5"/>
      <c r="O101" s="15"/>
      <c r="P101" s="19" t="str">
        <f t="shared" si="13"/>
        <v/>
      </c>
      <c r="Q101" s="19" t="str">
        <f t="shared" si="14"/>
        <v/>
      </c>
      <c r="R101" s="19" t="str">
        <f t="shared" si="15"/>
        <v/>
      </c>
      <c r="S101" s="5"/>
      <c r="T101" s="5"/>
      <c r="U101" s="5"/>
      <c r="V101" s="24"/>
      <c r="W101" s="15"/>
      <c r="X101" s="15"/>
      <c r="Y101" s="15"/>
      <c r="Z101" s="19" t="str">
        <f t="shared" si="16"/>
        <v/>
      </c>
      <c r="AA101" s="19" t="str">
        <f t="shared" si="17"/>
        <v/>
      </c>
      <c r="AB101" s="5"/>
      <c r="AC101" s="5"/>
      <c r="AE101" t="str">
        <f>IFERROR(INDEX(EqTag,_xlfn.AGGREGATE(15,6,(ROW(EqTag)-4)/((EqSys=$D$3)*(EqTag&lt;&gt;"")),ROWS($AE$14:AE101))),"")</f>
        <v/>
      </c>
    </row>
    <row r="102" spans="1:31" ht="30" customHeight="1" x14ac:dyDescent="0.2">
      <c r="A102" s="19" t="str">
        <f>IF(F102="","",LEFT($D$3,3)&amp;"-"&amp;TEXT(COUNTIF(F$14:F102,"?*"),"00"))</f>
        <v/>
      </c>
      <c r="B102" s="5"/>
      <c r="C102" s="6" t="str">
        <f t="shared" si="12"/>
        <v/>
      </c>
      <c r="D102" s="5"/>
      <c r="E102" s="5"/>
      <c r="F102" s="5"/>
      <c r="G102" s="5"/>
      <c r="H102" s="5"/>
      <c r="I102" s="5"/>
      <c r="J102" s="5"/>
      <c r="K102" s="15"/>
      <c r="L102" s="5"/>
      <c r="M102" s="15"/>
      <c r="N102" s="5"/>
      <c r="O102" s="15"/>
      <c r="P102" s="19" t="str">
        <f t="shared" si="13"/>
        <v/>
      </c>
      <c r="Q102" s="19" t="str">
        <f t="shared" si="14"/>
        <v/>
      </c>
      <c r="R102" s="19" t="str">
        <f t="shared" si="15"/>
        <v/>
      </c>
      <c r="S102" s="5"/>
      <c r="T102" s="5"/>
      <c r="U102" s="5"/>
      <c r="V102" s="24"/>
      <c r="W102" s="15"/>
      <c r="X102" s="15"/>
      <c r="Y102" s="15"/>
      <c r="Z102" s="19" t="str">
        <f t="shared" si="16"/>
        <v/>
      </c>
      <c r="AA102" s="19" t="str">
        <f t="shared" si="17"/>
        <v/>
      </c>
      <c r="AB102" s="5"/>
      <c r="AC102" s="5"/>
      <c r="AE102" t="str">
        <f>IFERROR(INDEX(EqTag,_xlfn.AGGREGATE(15,6,(ROW(EqTag)-4)/((EqSys=$D$3)*(EqTag&lt;&gt;"")),ROWS($AE$14:AE102))),"")</f>
        <v/>
      </c>
    </row>
    <row r="103" spans="1:31" ht="30" customHeight="1" x14ac:dyDescent="0.2">
      <c r="A103" s="19" t="str">
        <f>IF(F103="","",LEFT($D$3,3)&amp;"-"&amp;TEXT(COUNTIF(F$14:F103,"?*"),"00"))</f>
        <v/>
      </c>
      <c r="B103" s="5"/>
      <c r="C103" s="6" t="str">
        <f t="shared" si="12"/>
        <v/>
      </c>
      <c r="D103" s="5"/>
      <c r="E103" s="5"/>
      <c r="F103" s="5"/>
      <c r="G103" s="5"/>
      <c r="H103" s="5"/>
      <c r="I103" s="5"/>
      <c r="J103" s="5"/>
      <c r="K103" s="15"/>
      <c r="L103" s="5"/>
      <c r="M103" s="15"/>
      <c r="N103" s="5"/>
      <c r="O103" s="15"/>
      <c r="P103" s="19" t="str">
        <f t="shared" si="13"/>
        <v/>
      </c>
      <c r="Q103" s="19" t="str">
        <f t="shared" si="14"/>
        <v/>
      </c>
      <c r="R103" s="19" t="str">
        <f t="shared" si="15"/>
        <v/>
      </c>
      <c r="S103" s="5"/>
      <c r="T103" s="5"/>
      <c r="U103" s="5"/>
      <c r="V103" s="24"/>
      <c r="W103" s="15"/>
      <c r="X103" s="15"/>
      <c r="Y103" s="15"/>
      <c r="Z103" s="19" t="str">
        <f t="shared" si="16"/>
        <v/>
      </c>
      <c r="AA103" s="19" t="str">
        <f t="shared" si="17"/>
        <v/>
      </c>
      <c r="AB103" s="5"/>
      <c r="AC103" s="5"/>
      <c r="AE103" t="str">
        <f>IFERROR(INDEX(EqTag,_xlfn.AGGREGATE(15,6,(ROW(EqTag)-4)/((EqSys=$D$3)*(EqTag&lt;&gt;"")),ROWS($AE$14:AE103))),"")</f>
        <v/>
      </c>
    </row>
    <row r="104" spans="1:31" ht="30" customHeight="1" x14ac:dyDescent="0.2">
      <c r="A104" s="19" t="str">
        <f>IF(F104="","",LEFT($D$3,3)&amp;"-"&amp;TEXT(COUNTIF(F$14:F104,"?*"),"00"))</f>
        <v/>
      </c>
      <c r="B104" s="5"/>
      <c r="C104" s="6" t="str">
        <f t="shared" si="12"/>
        <v/>
      </c>
      <c r="D104" s="5"/>
      <c r="E104" s="5"/>
      <c r="F104" s="5"/>
      <c r="G104" s="5"/>
      <c r="H104" s="5"/>
      <c r="I104" s="5"/>
      <c r="J104" s="5"/>
      <c r="K104" s="15"/>
      <c r="L104" s="5"/>
      <c r="M104" s="15"/>
      <c r="N104" s="5"/>
      <c r="O104" s="15"/>
      <c r="P104" s="19" t="str">
        <f t="shared" si="13"/>
        <v/>
      </c>
      <c r="Q104" s="19" t="str">
        <f t="shared" si="14"/>
        <v/>
      </c>
      <c r="R104" s="19" t="str">
        <f t="shared" si="15"/>
        <v/>
      </c>
      <c r="S104" s="5"/>
      <c r="T104" s="5"/>
      <c r="U104" s="5"/>
      <c r="V104" s="24"/>
      <c r="W104" s="15"/>
      <c r="X104" s="15"/>
      <c r="Y104" s="15"/>
      <c r="Z104" s="19" t="str">
        <f t="shared" si="16"/>
        <v/>
      </c>
      <c r="AA104" s="19" t="str">
        <f t="shared" si="17"/>
        <v/>
      </c>
      <c r="AB104" s="5"/>
      <c r="AC104" s="5"/>
      <c r="AE104" t="str">
        <f>IFERROR(INDEX(EqTag,_xlfn.AGGREGATE(15,6,(ROW(EqTag)-4)/((EqSys=$D$3)*(EqTag&lt;&gt;"")),ROWS($AE$14:AE104))),"")</f>
        <v/>
      </c>
    </row>
    <row r="105" spans="1:31" ht="30" customHeight="1" x14ac:dyDescent="0.2">
      <c r="A105" s="19" t="str">
        <f>IF(F105="","",LEFT($D$3,3)&amp;"-"&amp;TEXT(COUNTIF(F$14:F105,"?*"),"00"))</f>
        <v/>
      </c>
      <c r="B105" s="5"/>
      <c r="C105" s="6" t="str">
        <f t="shared" si="12"/>
        <v/>
      </c>
      <c r="D105" s="5"/>
      <c r="E105" s="5"/>
      <c r="F105" s="5"/>
      <c r="G105" s="5"/>
      <c r="H105" s="5"/>
      <c r="I105" s="5"/>
      <c r="J105" s="5"/>
      <c r="K105" s="15"/>
      <c r="L105" s="5"/>
      <c r="M105" s="15"/>
      <c r="N105" s="5"/>
      <c r="O105" s="15"/>
      <c r="P105" s="19" t="str">
        <f t="shared" si="13"/>
        <v/>
      </c>
      <c r="Q105" s="19" t="str">
        <f t="shared" si="14"/>
        <v/>
      </c>
      <c r="R105" s="19" t="str">
        <f t="shared" si="15"/>
        <v/>
      </c>
      <c r="S105" s="5"/>
      <c r="T105" s="5"/>
      <c r="U105" s="5"/>
      <c r="V105" s="24"/>
      <c r="W105" s="15"/>
      <c r="X105" s="15"/>
      <c r="Y105" s="15"/>
      <c r="Z105" s="19" t="str">
        <f t="shared" si="16"/>
        <v/>
      </c>
      <c r="AA105" s="19" t="str">
        <f t="shared" si="17"/>
        <v/>
      </c>
      <c r="AB105" s="5"/>
      <c r="AC105" s="5"/>
      <c r="AE105" t="str">
        <f>IFERROR(INDEX(EqTag,_xlfn.AGGREGATE(15,6,(ROW(EqTag)-4)/((EqSys=$D$3)*(EqTag&lt;&gt;"")),ROWS($AE$14:AE105))),"")</f>
        <v/>
      </c>
    </row>
    <row r="106" spans="1:31" ht="30" customHeight="1" x14ac:dyDescent="0.2">
      <c r="A106" s="19" t="str">
        <f>IF(F106="","",LEFT($D$3,3)&amp;"-"&amp;TEXT(COUNTIF(F$14:F106,"?*"),"00"))</f>
        <v/>
      </c>
      <c r="B106" s="5"/>
      <c r="C106" s="6" t="str">
        <f t="shared" si="12"/>
        <v/>
      </c>
      <c r="D106" s="5"/>
      <c r="E106" s="5"/>
      <c r="F106" s="5"/>
      <c r="G106" s="5"/>
      <c r="H106" s="5"/>
      <c r="I106" s="5"/>
      <c r="J106" s="5"/>
      <c r="K106" s="15"/>
      <c r="L106" s="5"/>
      <c r="M106" s="15"/>
      <c r="N106" s="5"/>
      <c r="O106" s="15"/>
      <c r="P106" s="19" t="str">
        <f t="shared" si="13"/>
        <v/>
      </c>
      <c r="Q106" s="19" t="str">
        <f t="shared" si="14"/>
        <v/>
      </c>
      <c r="R106" s="19" t="str">
        <f t="shared" si="15"/>
        <v/>
      </c>
      <c r="S106" s="5"/>
      <c r="T106" s="5"/>
      <c r="U106" s="5"/>
      <c r="V106" s="24"/>
      <c r="W106" s="15"/>
      <c r="X106" s="15"/>
      <c r="Y106" s="15"/>
      <c r="Z106" s="19" t="str">
        <f t="shared" si="16"/>
        <v/>
      </c>
      <c r="AA106" s="19" t="str">
        <f t="shared" si="17"/>
        <v/>
      </c>
      <c r="AB106" s="5"/>
      <c r="AC106" s="5"/>
      <c r="AE106" t="str">
        <f>IFERROR(INDEX(EqTag,_xlfn.AGGREGATE(15,6,(ROW(EqTag)-4)/((EqSys=$D$3)*(EqTag&lt;&gt;"")),ROWS($AE$14:AE106))),"")</f>
        <v/>
      </c>
    </row>
    <row r="107" spans="1:31" ht="30" customHeight="1" x14ac:dyDescent="0.2">
      <c r="A107" s="19" t="str">
        <f>IF(F107="","",LEFT($D$3,3)&amp;"-"&amp;TEXT(COUNTIF(F$14:F107,"?*"),"00"))</f>
        <v/>
      </c>
      <c r="B107" s="5"/>
      <c r="C107" s="6" t="str">
        <f t="shared" si="12"/>
        <v/>
      </c>
      <c r="D107" s="5"/>
      <c r="E107" s="5"/>
      <c r="F107" s="5"/>
      <c r="G107" s="5"/>
      <c r="H107" s="5"/>
      <c r="I107" s="5"/>
      <c r="J107" s="5"/>
      <c r="K107" s="15"/>
      <c r="L107" s="5"/>
      <c r="M107" s="15"/>
      <c r="N107" s="5"/>
      <c r="O107" s="15"/>
      <c r="P107" s="19" t="str">
        <f t="shared" si="13"/>
        <v/>
      </c>
      <c r="Q107" s="19" t="str">
        <f t="shared" si="14"/>
        <v/>
      </c>
      <c r="R107" s="19" t="str">
        <f t="shared" si="15"/>
        <v/>
      </c>
      <c r="S107" s="5"/>
      <c r="T107" s="5"/>
      <c r="U107" s="5"/>
      <c r="V107" s="24"/>
      <c r="W107" s="15"/>
      <c r="X107" s="15"/>
      <c r="Y107" s="15"/>
      <c r="Z107" s="19" t="str">
        <f t="shared" si="16"/>
        <v/>
      </c>
      <c r="AA107" s="19" t="str">
        <f t="shared" si="17"/>
        <v/>
      </c>
      <c r="AB107" s="5"/>
      <c r="AC107" s="5"/>
      <c r="AE107" t="str">
        <f>IFERROR(INDEX(EqTag,_xlfn.AGGREGATE(15,6,(ROW(EqTag)-4)/((EqSys=$D$3)*(EqTag&lt;&gt;"")),ROWS($AE$14:AE107))),"")</f>
        <v/>
      </c>
    </row>
    <row r="108" spans="1:31" ht="30" customHeight="1" x14ac:dyDescent="0.2">
      <c r="A108" s="19" t="str">
        <f>IF(F108="","",LEFT($D$3,3)&amp;"-"&amp;TEXT(COUNTIF(F$14:F108,"?*"),"00"))</f>
        <v/>
      </c>
      <c r="B108" s="5"/>
      <c r="C108" s="6" t="str">
        <f t="shared" si="12"/>
        <v/>
      </c>
      <c r="D108" s="5"/>
      <c r="E108" s="5"/>
      <c r="F108" s="5"/>
      <c r="G108" s="5"/>
      <c r="H108" s="5"/>
      <c r="I108" s="5"/>
      <c r="J108" s="5"/>
      <c r="K108" s="15"/>
      <c r="L108" s="5"/>
      <c r="M108" s="15"/>
      <c r="N108" s="5"/>
      <c r="O108" s="15"/>
      <c r="P108" s="19" t="str">
        <f t="shared" si="13"/>
        <v/>
      </c>
      <c r="Q108" s="19" t="str">
        <f t="shared" si="14"/>
        <v/>
      </c>
      <c r="R108" s="19" t="str">
        <f t="shared" si="15"/>
        <v/>
      </c>
      <c r="S108" s="5"/>
      <c r="T108" s="5"/>
      <c r="U108" s="5"/>
      <c r="V108" s="24"/>
      <c r="W108" s="15"/>
      <c r="X108" s="15"/>
      <c r="Y108" s="15"/>
      <c r="Z108" s="19" t="str">
        <f t="shared" si="16"/>
        <v/>
      </c>
      <c r="AA108" s="19" t="str">
        <f t="shared" si="17"/>
        <v/>
      </c>
      <c r="AB108" s="5"/>
      <c r="AC108" s="5"/>
      <c r="AE108" t="str">
        <f>IFERROR(INDEX(EqTag,_xlfn.AGGREGATE(15,6,(ROW(EqTag)-4)/((EqSys=$D$3)*(EqTag&lt;&gt;"")),ROWS($AE$14:AE108))),"")</f>
        <v/>
      </c>
    </row>
    <row r="109" spans="1:31" ht="30" customHeight="1" x14ac:dyDescent="0.2">
      <c r="A109" s="19" t="str">
        <f>IF(F109="","",LEFT($D$3,3)&amp;"-"&amp;TEXT(COUNTIF(F$14:F109,"?*"),"00"))</f>
        <v/>
      </c>
      <c r="B109" s="5"/>
      <c r="C109" s="6" t="str">
        <f t="shared" si="12"/>
        <v/>
      </c>
      <c r="D109" s="5"/>
      <c r="E109" s="5"/>
      <c r="F109" s="5"/>
      <c r="G109" s="5"/>
      <c r="H109" s="5"/>
      <c r="I109" s="5"/>
      <c r="J109" s="5"/>
      <c r="K109" s="15"/>
      <c r="L109" s="5"/>
      <c r="M109" s="15"/>
      <c r="N109" s="5"/>
      <c r="O109" s="15"/>
      <c r="P109" s="19" t="str">
        <f t="shared" si="13"/>
        <v/>
      </c>
      <c r="Q109" s="19" t="str">
        <f t="shared" si="14"/>
        <v/>
      </c>
      <c r="R109" s="19" t="str">
        <f t="shared" si="15"/>
        <v/>
      </c>
      <c r="S109" s="5"/>
      <c r="T109" s="5"/>
      <c r="U109" s="5"/>
      <c r="V109" s="24"/>
      <c r="W109" s="15"/>
      <c r="X109" s="15"/>
      <c r="Y109" s="15"/>
      <c r="Z109" s="19" t="str">
        <f t="shared" si="16"/>
        <v/>
      </c>
      <c r="AA109" s="19" t="str">
        <f t="shared" si="17"/>
        <v/>
      </c>
      <c r="AB109" s="5"/>
      <c r="AC109" s="5"/>
      <c r="AE109" t="str">
        <f>IFERROR(INDEX(EqTag,_xlfn.AGGREGATE(15,6,(ROW(EqTag)-4)/((EqSys=$D$3)*(EqTag&lt;&gt;"")),ROWS($AE$14:AE109))),"")</f>
        <v/>
      </c>
    </row>
    <row r="110" spans="1:31" ht="30" customHeight="1" x14ac:dyDescent="0.2">
      <c r="A110" s="19" t="str">
        <f>IF(F110="","",LEFT($D$3,3)&amp;"-"&amp;TEXT(COUNTIF(F$14:F110,"?*"),"00"))</f>
        <v/>
      </c>
      <c r="B110" s="5"/>
      <c r="C110" s="6" t="str">
        <f t="shared" ref="C110:C141" si="18">IF(B110="","",IFERROR(INDEX(EqTypeCol,MATCH(B110,EqTag,0)),"Tag not in register"))</f>
        <v/>
      </c>
      <c r="D110" s="5"/>
      <c r="E110" s="5"/>
      <c r="F110" s="5"/>
      <c r="G110" s="5"/>
      <c r="H110" s="5"/>
      <c r="I110" s="5"/>
      <c r="J110" s="5"/>
      <c r="K110" s="15"/>
      <c r="L110" s="5"/>
      <c r="M110" s="15"/>
      <c r="N110" s="5"/>
      <c r="O110" s="15"/>
      <c r="P110" s="19" t="str">
        <f t="shared" ref="P110:P141" si="19">IF(OR(K110="",M110="",O110=""),"",(--TRIM(LEFT(K110,2)))*(--TRIM(LEFT(M110,2)))*(--TRIM(LEFT(O110,2))))</f>
        <v/>
      </c>
      <c r="Q110" s="19" t="str">
        <f t="shared" ref="Q110:Q141" si="20">IF(OR(K110="",M110="",O110=""),"",INDEX(APGrid,COUNTIF(APS,"&gt;"&amp;(--TRIM(LEFT(K110,2))))*5+COUNTIF(APO,"&gt;"&amp;(--TRIM(LEFT(M110,2))))+1,COUNTIF(APD,"&gt;"&amp;(--TRIM(LEFT(O110,2))))+1))</f>
        <v/>
      </c>
      <c r="R110" s="19" t="str">
        <f t="shared" ref="R110:R141" si="21">IF(P110="","",IF(OR((--TRIM(LEFT(K110,2)))&gt;=SThr,P110&gt;=RPNThr,Q110="H"),"Yes","No"))</f>
        <v/>
      </c>
      <c r="S110" s="5"/>
      <c r="T110" s="5"/>
      <c r="U110" s="5"/>
      <c r="V110" s="24"/>
      <c r="W110" s="15"/>
      <c r="X110" s="15"/>
      <c r="Y110" s="15"/>
      <c r="Z110" s="19" t="str">
        <f t="shared" ref="Z110:Z141" si="22">IF(OR(W110="",X110="",Y110=""),"",(--TRIM(LEFT(W110,2)))*(--TRIM(LEFT(X110,2)))*(--TRIM(LEFT(Y110,2))))</f>
        <v/>
      </c>
      <c r="AA110" s="19" t="str">
        <f t="shared" ref="AA110:AA141" si="23">IF(OR(W110="",X110="",Y110=""),"",INDEX(APGrid,COUNTIF(APS,"&gt;"&amp;(--TRIM(LEFT(W110,2))))*5+COUNTIF(APO,"&gt;"&amp;(--TRIM(LEFT(X110,2))))+1,COUNTIF(APD,"&gt;"&amp;(--TRIM(LEFT(Y110,2))))+1))</f>
        <v/>
      </c>
      <c r="AB110" s="5"/>
      <c r="AC110" s="5"/>
      <c r="AE110" t="str">
        <f>IFERROR(INDEX(EqTag,_xlfn.AGGREGATE(15,6,(ROW(EqTag)-4)/((EqSys=$D$3)*(EqTag&lt;&gt;"")),ROWS($AE$14:AE110))),"")</f>
        <v/>
      </c>
    </row>
    <row r="111" spans="1:31" ht="30" customHeight="1" x14ac:dyDescent="0.2">
      <c r="A111" s="19" t="str">
        <f>IF(F111="","",LEFT($D$3,3)&amp;"-"&amp;TEXT(COUNTIF(F$14:F111,"?*"),"00"))</f>
        <v/>
      </c>
      <c r="B111" s="5"/>
      <c r="C111" s="6" t="str">
        <f t="shared" si="18"/>
        <v/>
      </c>
      <c r="D111" s="5"/>
      <c r="E111" s="5"/>
      <c r="F111" s="5"/>
      <c r="G111" s="5"/>
      <c r="H111" s="5"/>
      <c r="I111" s="5"/>
      <c r="J111" s="5"/>
      <c r="K111" s="15"/>
      <c r="L111" s="5"/>
      <c r="M111" s="15"/>
      <c r="N111" s="5"/>
      <c r="O111" s="15"/>
      <c r="P111" s="19" t="str">
        <f t="shared" si="19"/>
        <v/>
      </c>
      <c r="Q111" s="19" t="str">
        <f t="shared" si="20"/>
        <v/>
      </c>
      <c r="R111" s="19" t="str">
        <f t="shared" si="21"/>
        <v/>
      </c>
      <c r="S111" s="5"/>
      <c r="T111" s="5"/>
      <c r="U111" s="5"/>
      <c r="V111" s="24"/>
      <c r="W111" s="15"/>
      <c r="X111" s="15"/>
      <c r="Y111" s="15"/>
      <c r="Z111" s="19" t="str">
        <f t="shared" si="22"/>
        <v/>
      </c>
      <c r="AA111" s="19" t="str">
        <f t="shared" si="23"/>
        <v/>
      </c>
      <c r="AB111" s="5"/>
      <c r="AC111" s="5"/>
      <c r="AE111" t="str">
        <f>IFERROR(INDEX(EqTag,_xlfn.AGGREGATE(15,6,(ROW(EqTag)-4)/((EqSys=$D$3)*(EqTag&lt;&gt;"")),ROWS($AE$14:AE111))),"")</f>
        <v/>
      </c>
    </row>
    <row r="112" spans="1:31" ht="30" customHeight="1" x14ac:dyDescent="0.2">
      <c r="A112" s="19" t="str">
        <f>IF(F112="","",LEFT($D$3,3)&amp;"-"&amp;TEXT(COUNTIF(F$14:F112,"?*"),"00"))</f>
        <v/>
      </c>
      <c r="B112" s="5"/>
      <c r="C112" s="6" t="str">
        <f t="shared" si="18"/>
        <v/>
      </c>
      <c r="D112" s="5"/>
      <c r="E112" s="5"/>
      <c r="F112" s="5"/>
      <c r="G112" s="5"/>
      <c r="H112" s="5"/>
      <c r="I112" s="5"/>
      <c r="J112" s="5"/>
      <c r="K112" s="15"/>
      <c r="L112" s="5"/>
      <c r="M112" s="15"/>
      <c r="N112" s="5"/>
      <c r="O112" s="15"/>
      <c r="P112" s="19" t="str">
        <f t="shared" si="19"/>
        <v/>
      </c>
      <c r="Q112" s="19" t="str">
        <f t="shared" si="20"/>
        <v/>
      </c>
      <c r="R112" s="19" t="str">
        <f t="shared" si="21"/>
        <v/>
      </c>
      <c r="S112" s="5"/>
      <c r="T112" s="5"/>
      <c r="U112" s="5"/>
      <c r="V112" s="24"/>
      <c r="W112" s="15"/>
      <c r="X112" s="15"/>
      <c r="Y112" s="15"/>
      <c r="Z112" s="19" t="str">
        <f t="shared" si="22"/>
        <v/>
      </c>
      <c r="AA112" s="19" t="str">
        <f t="shared" si="23"/>
        <v/>
      </c>
      <c r="AB112" s="5"/>
      <c r="AC112" s="5"/>
      <c r="AE112" t="str">
        <f>IFERROR(INDEX(EqTag,_xlfn.AGGREGATE(15,6,(ROW(EqTag)-4)/((EqSys=$D$3)*(EqTag&lt;&gt;"")),ROWS($AE$14:AE112))),"")</f>
        <v/>
      </c>
    </row>
    <row r="113" spans="1:31" ht="30" customHeight="1" x14ac:dyDescent="0.2">
      <c r="A113" s="19" t="str">
        <f>IF(F113="","",LEFT($D$3,3)&amp;"-"&amp;TEXT(COUNTIF(F$14:F113,"?*"),"00"))</f>
        <v/>
      </c>
      <c r="B113" s="5"/>
      <c r="C113" s="6" t="str">
        <f t="shared" si="18"/>
        <v/>
      </c>
      <c r="D113" s="5"/>
      <c r="E113" s="5"/>
      <c r="F113" s="5"/>
      <c r="G113" s="5"/>
      <c r="H113" s="5"/>
      <c r="I113" s="5"/>
      <c r="J113" s="5"/>
      <c r="K113" s="15"/>
      <c r="L113" s="5"/>
      <c r="M113" s="15"/>
      <c r="N113" s="5"/>
      <c r="O113" s="15"/>
      <c r="P113" s="19" t="str">
        <f t="shared" si="19"/>
        <v/>
      </c>
      <c r="Q113" s="19" t="str">
        <f t="shared" si="20"/>
        <v/>
      </c>
      <c r="R113" s="19" t="str">
        <f t="shared" si="21"/>
        <v/>
      </c>
      <c r="S113" s="5"/>
      <c r="T113" s="5"/>
      <c r="U113" s="5"/>
      <c r="V113" s="24"/>
      <c r="W113" s="15"/>
      <c r="X113" s="15"/>
      <c r="Y113" s="15"/>
      <c r="Z113" s="19" t="str">
        <f t="shared" si="22"/>
        <v/>
      </c>
      <c r="AA113" s="19" t="str">
        <f t="shared" si="23"/>
        <v/>
      </c>
      <c r="AB113" s="5"/>
      <c r="AC113" s="5"/>
      <c r="AE113" t="str">
        <f>IFERROR(INDEX(EqTag,_xlfn.AGGREGATE(15,6,(ROW(EqTag)-4)/((EqSys=$D$3)*(EqTag&lt;&gt;"")),ROWS($AE$14:AE113))),"")</f>
        <v/>
      </c>
    </row>
    <row r="114" spans="1:31" ht="30" customHeight="1" x14ac:dyDescent="0.2">
      <c r="A114" s="19" t="str">
        <f>IF(F114="","",LEFT($D$3,3)&amp;"-"&amp;TEXT(COUNTIF(F$14:F114,"?*"),"00"))</f>
        <v/>
      </c>
      <c r="B114" s="5"/>
      <c r="C114" s="6" t="str">
        <f t="shared" si="18"/>
        <v/>
      </c>
      <c r="D114" s="5"/>
      <c r="E114" s="5"/>
      <c r="F114" s="5"/>
      <c r="G114" s="5"/>
      <c r="H114" s="5"/>
      <c r="I114" s="5"/>
      <c r="J114" s="5"/>
      <c r="K114" s="15"/>
      <c r="L114" s="5"/>
      <c r="M114" s="15"/>
      <c r="N114" s="5"/>
      <c r="O114" s="15"/>
      <c r="P114" s="19" t="str">
        <f t="shared" si="19"/>
        <v/>
      </c>
      <c r="Q114" s="19" t="str">
        <f t="shared" si="20"/>
        <v/>
      </c>
      <c r="R114" s="19" t="str">
        <f t="shared" si="21"/>
        <v/>
      </c>
      <c r="S114" s="5"/>
      <c r="T114" s="5"/>
      <c r="U114" s="5"/>
      <c r="V114" s="24"/>
      <c r="W114" s="15"/>
      <c r="X114" s="15"/>
      <c r="Y114" s="15"/>
      <c r="Z114" s="19" t="str">
        <f t="shared" si="22"/>
        <v/>
      </c>
      <c r="AA114" s="19" t="str">
        <f t="shared" si="23"/>
        <v/>
      </c>
      <c r="AB114" s="5"/>
      <c r="AC114" s="5"/>
      <c r="AE114" t="str">
        <f>IFERROR(INDEX(EqTag,_xlfn.AGGREGATE(15,6,(ROW(EqTag)-4)/((EqSys=$D$3)*(EqTag&lt;&gt;"")),ROWS($AE$14:AE114))),"")</f>
        <v/>
      </c>
    </row>
    <row r="115" spans="1:31" ht="30" customHeight="1" x14ac:dyDescent="0.2">
      <c r="A115" s="19" t="str">
        <f>IF(F115="","",LEFT($D$3,3)&amp;"-"&amp;TEXT(COUNTIF(F$14:F115,"?*"),"00"))</f>
        <v/>
      </c>
      <c r="B115" s="5"/>
      <c r="C115" s="6" t="str">
        <f t="shared" si="18"/>
        <v/>
      </c>
      <c r="D115" s="5"/>
      <c r="E115" s="5"/>
      <c r="F115" s="5"/>
      <c r="G115" s="5"/>
      <c r="H115" s="5"/>
      <c r="I115" s="5"/>
      <c r="J115" s="5"/>
      <c r="K115" s="15"/>
      <c r="L115" s="5"/>
      <c r="M115" s="15"/>
      <c r="N115" s="5"/>
      <c r="O115" s="15"/>
      <c r="P115" s="19" t="str">
        <f t="shared" si="19"/>
        <v/>
      </c>
      <c r="Q115" s="19" t="str">
        <f t="shared" si="20"/>
        <v/>
      </c>
      <c r="R115" s="19" t="str">
        <f t="shared" si="21"/>
        <v/>
      </c>
      <c r="S115" s="5"/>
      <c r="T115" s="5"/>
      <c r="U115" s="5"/>
      <c r="V115" s="24"/>
      <c r="W115" s="15"/>
      <c r="X115" s="15"/>
      <c r="Y115" s="15"/>
      <c r="Z115" s="19" t="str">
        <f t="shared" si="22"/>
        <v/>
      </c>
      <c r="AA115" s="19" t="str">
        <f t="shared" si="23"/>
        <v/>
      </c>
      <c r="AB115" s="5"/>
      <c r="AC115" s="5"/>
      <c r="AE115" t="str">
        <f>IFERROR(INDEX(EqTag,_xlfn.AGGREGATE(15,6,(ROW(EqTag)-4)/((EqSys=$D$3)*(EqTag&lt;&gt;"")),ROWS($AE$14:AE115))),"")</f>
        <v/>
      </c>
    </row>
    <row r="116" spans="1:31" ht="30" customHeight="1" x14ac:dyDescent="0.2">
      <c r="A116" s="19" t="str">
        <f>IF(F116="","",LEFT($D$3,3)&amp;"-"&amp;TEXT(COUNTIF(F$14:F116,"?*"),"00"))</f>
        <v/>
      </c>
      <c r="B116" s="5"/>
      <c r="C116" s="6" t="str">
        <f t="shared" si="18"/>
        <v/>
      </c>
      <c r="D116" s="5"/>
      <c r="E116" s="5"/>
      <c r="F116" s="5"/>
      <c r="G116" s="5"/>
      <c r="H116" s="5"/>
      <c r="I116" s="5"/>
      <c r="J116" s="5"/>
      <c r="K116" s="15"/>
      <c r="L116" s="5"/>
      <c r="M116" s="15"/>
      <c r="N116" s="5"/>
      <c r="O116" s="15"/>
      <c r="P116" s="19" t="str">
        <f t="shared" si="19"/>
        <v/>
      </c>
      <c r="Q116" s="19" t="str">
        <f t="shared" si="20"/>
        <v/>
      </c>
      <c r="R116" s="19" t="str">
        <f t="shared" si="21"/>
        <v/>
      </c>
      <c r="S116" s="5"/>
      <c r="T116" s="5"/>
      <c r="U116" s="5"/>
      <c r="V116" s="24"/>
      <c r="W116" s="15"/>
      <c r="X116" s="15"/>
      <c r="Y116" s="15"/>
      <c r="Z116" s="19" t="str">
        <f t="shared" si="22"/>
        <v/>
      </c>
      <c r="AA116" s="19" t="str">
        <f t="shared" si="23"/>
        <v/>
      </c>
      <c r="AB116" s="5"/>
      <c r="AC116" s="5"/>
      <c r="AE116" t="str">
        <f>IFERROR(INDEX(EqTag,_xlfn.AGGREGATE(15,6,(ROW(EqTag)-4)/((EqSys=$D$3)*(EqTag&lt;&gt;"")),ROWS($AE$14:AE116))),"")</f>
        <v/>
      </c>
    </row>
    <row r="117" spans="1:31" ht="30" customHeight="1" x14ac:dyDescent="0.2">
      <c r="A117" s="19" t="str">
        <f>IF(F117="","",LEFT($D$3,3)&amp;"-"&amp;TEXT(COUNTIF(F$14:F117,"?*"),"00"))</f>
        <v/>
      </c>
      <c r="B117" s="5"/>
      <c r="C117" s="6" t="str">
        <f t="shared" si="18"/>
        <v/>
      </c>
      <c r="D117" s="5"/>
      <c r="E117" s="5"/>
      <c r="F117" s="5"/>
      <c r="G117" s="5"/>
      <c r="H117" s="5"/>
      <c r="I117" s="5"/>
      <c r="J117" s="5"/>
      <c r="K117" s="15"/>
      <c r="L117" s="5"/>
      <c r="M117" s="15"/>
      <c r="N117" s="5"/>
      <c r="O117" s="15"/>
      <c r="P117" s="19" t="str">
        <f t="shared" si="19"/>
        <v/>
      </c>
      <c r="Q117" s="19" t="str">
        <f t="shared" si="20"/>
        <v/>
      </c>
      <c r="R117" s="19" t="str">
        <f t="shared" si="21"/>
        <v/>
      </c>
      <c r="S117" s="5"/>
      <c r="T117" s="5"/>
      <c r="U117" s="5"/>
      <c r="V117" s="24"/>
      <c r="W117" s="15"/>
      <c r="X117" s="15"/>
      <c r="Y117" s="15"/>
      <c r="Z117" s="19" t="str">
        <f t="shared" si="22"/>
        <v/>
      </c>
      <c r="AA117" s="19" t="str">
        <f t="shared" si="23"/>
        <v/>
      </c>
      <c r="AB117" s="5"/>
      <c r="AC117" s="5"/>
      <c r="AE117" t="str">
        <f>IFERROR(INDEX(EqTag,_xlfn.AGGREGATE(15,6,(ROW(EqTag)-4)/((EqSys=$D$3)*(EqTag&lt;&gt;"")),ROWS($AE$14:AE117))),"")</f>
        <v/>
      </c>
    </row>
    <row r="118" spans="1:31" ht="30" customHeight="1" x14ac:dyDescent="0.2">
      <c r="A118" s="19" t="str">
        <f>IF(F118="","",LEFT($D$3,3)&amp;"-"&amp;TEXT(COUNTIF(F$14:F118,"?*"),"00"))</f>
        <v/>
      </c>
      <c r="B118" s="5"/>
      <c r="C118" s="6" t="str">
        <f t="shared" si="18"/>
        <v/>
      </c>
      <c r="D118" s="5"/>
      <c r="E118" s="5"/>
      <c r="F118" s="5"/>
      <c r="G118" s="5"/>
      <c r="H118" s="5"/>
      <c r="I118" s="5"/>
      <c r="J118" s="5"/>
      <c r="K118" s="15"/>
      <c r="L118" s="5"/>
      <c r="M118" s="15"/>
      <c r="N118" s="5"/>
      <c r="O118" s="15"/>
      <c r="P118" s="19" t="str">
        <f t="shared" si="19"/>
        <v/>
      </c>
      <c r="Q118" s="19" t="str">
        <f t="shared" si="20"/>
        <v/>
      </c>
      <c r="R118" s="19" t="str">
        <f t="shared" si="21"/>
        <v/>
      </c>
      <c r="S118" s="5"/>
      <c r="T118" s="5"/>
      <c r="U118" s="5"/>
      <c r="V118" s="24"/>
      <c r="W118" s="15"/>
      <c r="X118" s="15"/>
      <c r="Y118" s="15"/>
      <c r="Z118" s="19" t="str">
        <f t="shared" si="22"/>
        <v/>
      </c>
      <c r="AA118" s="19" t="str">
        <f t="shared" si="23"/>
        <v/>
      </c>
      <c r="AB118" s="5"/>
      <c r="AC118" s="5"/>
      <c r="AE118" t="str">
        <f>IFERROR(INDEX(EqTag,_xlfn.AGGREGATE(15,6,(ROW(EqTag)-4)/((EqSys=$D$3)*(EqTag&lt;&gt;"")),ROWS($AE$14:AE118))),"")</f>
        <v/>
      </c>
    </row>
    <row r="119" spans="1:31" ht="30" customHeight="1" x14ac:dyDescent="0.2">
      <c r="A119" s="19" t="str">
        <f>IF(F119="","",LEFT($D$3,3)&amp;"-"&amp;TEXT(COUNTIF(F$14:F119,"?*"),"00"))</f>
        <v/>
      </c>
      <c r="B119" s="5"/>
      <c r="C119" s="6" t="str">
        <f t="shared" si="18"/>
        <v/>
      </c>
      <c r="D119" s="5"/>
      <c r="E119" s="5"/>
      <c r="F119" s="5"/>
      <c r="G119" s="5"/>
      <c r="H119" s="5"/>
      <c r="I119" s="5"/>
      <c r="J119" s="5"/>
      <c r="K119" s="15"/>
      <c r="L119" s="5"/>
      <c r="M119" s="15"/>
      <c r="N119" s="5"/>
      <c r="O119" s="15"/>
      <c r="P119" s="19" t="str">
        <f t="shared" si="19"/>
        <v/>
      </c>
      <c r="Q119" s="19" t="str">
        <f t="shared" si="20"/>
        <v/>
      </c>
      <c r="R119" s="19" t="str">
        <f t="shared" si="21"/>
        <v/>
      </c>
      <c r="S119" s="5"/>
      <c r="T119" s="5"/>
      <c r="U119" s="5"/>
      <c r="V119" s="24"/>
      <c r="W119" s="15"/>
      <c r="X119" s="15"/>
      <c r="Y119" s="15"/>
      <c r="Z119" s="19" t="str">
        <f t="shared" si="22"/>
        <v/>
      </c>
      <c r="AA119" s="19" t="str">
        <f t="shared" si="23"/>
        <v/>
      </c>
      <c r="AB119" s="5"/>
      <c r="AC119" s="5"/>
      <c r="AE119" t="str">
        <f>IFERROR(INDEX(EqTag,_xlfn.AGGREGATE(15,6,(ROW(EqTag)-4)/((EqSys=$D$3)*(EqTag&lt;&gt;"")),ROWS($AE$14:AE119))),"")</f>
        <v/>
      </c>
    </row>
    <row r="120" spans="1:31" ht="30" customHeight="1" x14ac:dyDescent="0.2">
      <c r="A120" s="19" t="str">
        <f>IF(F120="","",LEFT($D$3,3)&amp;"-"&amp;TEXT(COUNTIF(F$14:F120,"?*"),"00"))</f>
        <v/>
      </c>
      <c r="B120" s="5"/>
      <c r="C120" s="6" t="str">
        <f t="shared" si="18"/>
        <v/>
      </c>
      <c r="D120" s="5"/>
      <c r="E120" s="5"/>
      <c r="F120" s="5"/>
      <c r="G120" s="5"/>
      <c r="H120" s="5"/>
      <c r="I120" s="5"/>
      <c r="J120" s="5"/>
      <c r="K120" s="15"/>
      <c r="L120" s="5"/>
      <c r="M120" s="15"/>
      <c r="N120" s="5"/>
      <c r="O120" s="15"/>
      <c r="P120" s="19" t="str">
        <f t="shared" si="19"/>
        <v/>
      </c>
      <c r="Q120" s="19" t="str">
        <f t="shared" si="20"/>
        <v/>
      </c>
      <c r="R120" s="19" t="str">
        <f t="shared" si="21"/>
        <v/>
      </c>
      <c r="S120" s="5"/>
      <c r="T120" s="5"/>
      <c r="U120" s="5"/>
      <c r="V120" s="24"/>
      <c r="W120" s="15"/>
      <c r="X120" s="15"/>
      <c r="Y120" s="15"/>
      <c r="Z120" s="19" t="str">
        <f t="shared" si="22"/>
        <v/>
      </c>
      <c r="AA120" s="19" t="str">
        <f t="shared" si="23"/>
        <v/>
      </c>
      <c r="AB120" s="5"/>
      <c r="AC120" s="5"/>
      <c r="AE120" t="str">
        <f>IFERROR(INDEX(EqTag,_xlfn.AGGREGATE(15,6,(ROW(EqTag)-4)/((EqSys=$D$3)*(EqTag&lt;&gt;"")),ROWS($AE$14:AE120))),"")</f>
        <v/>
      </c>
    </row>
    <row r="121" spans="1:31" ht="30" customHeight="1" x14ac:dyDescent="0.2">
      <c r="A121" s="19" t="str">
        <f>IF(F121="","",LEFT($D$3,3)&amp;"-"&amp;TEXT(COUNTIF(F$14:F121,"?*"),"00"))</f>
        <v/>
      </c>
      <c r="B121" s="5"/>
      <c r="C121" s="6" t="str">
        <f t="shared" si="18"/>
        <v/>
      </c>
      <c r="D121" s="5"/>
      <c r="E121" s="5"/>
      <c r="F121" s="5"/>
      <c r="G121" s="5"/>
      <c r="H121" s="5"/>
      <c r="I121" s="5"/>
      <c r="J121" s="5"/>
      <c r="K121" s="15"/>
      <c r="L121" s="5"/>
      <c r="M121" s="15"/>
      <c r="N121" s="5"/>
      <c r="O121" s="15"/>
      <c r="P121" s="19" t="str">
        <f t="shared" si="19"/>
        <v/>
      </c>
      <c r="Q121" s="19" t="str">
        <f t="shared" si="20"/>
        <v/>
      </c>
      <c r="R121" s="19" t="str">
        <f t="shared" si="21"/>
        <v/>
      </c>
      <c r="S121" s="5"/>
      <c r="T121" s="5"/>
      <c r="U121" s="5"/>
      <c r="V121" s="24"/>
      <c r="W121" s="15"/>
      <c r="X121" s="15"/>
      <c r="Y121" s="15"/>
      <c r="Z121" s="19" t="str">
        <f t="shared" si="22"/>
        <v/>
      </c>
      <c r="AA121" s="19" t="str">
        <f t="shared" si="23"/>
        <v/>
      </c>
      <c r="AB121" s="5"/>
      <c r="AC121" s="5"/>
      <c r="AE121" t="str">
        <f>IFERROR(INDEX(EqTag,_xlfn.AGGREGATE(15,6,(ROW(EqTag)-4)/((EqSys=$D$3)*(EqTag&lt;&gt;"")),ROWS($AE$14:AE121))),"")</f>
        <v/>
      </c>
    </row>
    <row r="122" spans="1:31" ht="30" customHeight="1" x14ac:dyDescent="0.2">
      <c r="A122" s="19" t="str">
        <f>IF(F122="","",LEFT($D$3,3)&amp;"-"&amp;TEXT(COUNTIF(F$14:F122,"?*"),"00"))</f>
        <v/>
      </c>
      <c r="B122" s="5"/>
      <c r="C122" s="6" t="str">
        <f t="shared" si="18"/>
        <v/>
      </c>
      <c r="D122" s="5"/>
      <c r="E122" s="5"/>
      <c r="F122" s="5"/>
      <c r="G122" s="5"/>
      <c r="H122" s="5"/>
      <c r="I122" s="5"/>
      <c r="J122" s="5"/>
      <c r="K122" s="15"/>
      <c r="L122" s="5"/>
      <c r="M122" s="15"/>
      <c r="N122" s="5"/>
      <c r="O122" s="15"/>
      <c r="P122" s="19" t="str">
        <f t="shared" si="19"/>
        <v/>
      </c>
      <c r="Q122" s="19" t="str">
        <f t="shared" si="20"/>
        <v/>
      </c>
      <c r="R122" s="19" t="str">
        <f t="shared" si="21"/>
        <v/>
      </c>
      <c r="S122" s="5"/>
      <c r="T122" s="5"/>
      <c r="U122" s="5"/>
      <c r="V122" s="24"/>
      <c r="W122" s="15"/>
      <c r="X122" s="15"/>
      <c r="Y122" s="15"/>
      <c r="Z122" s="19" t="str">
        <f t="shared" si="22"/>
        <v/>
      </c>
      <c r="AA122" s="19" t="str">
        <f t="shared" si="23"/>
        <v/>
      </c>
      <c r="AB122" s="5"/>
      <c r="AC122" s="5"/>
      <c r="AE122" t="str">
        <f>IFERROR(INDEX(EqTag,_xlfn.AGGREGATE(15,6,(ROW(EqTag)-4)/((EqSys=$D$3)*(EqTag&lt;&gt;"")),ROWS($AE$14:AE122))),"")</f>
        <v/>
      </c>
    </row>
    <row r="123" spans="1:31" ht="30" customHeight="1" x14ac:dyDescent="0.2">
      <c r="A123" s="19" t="str">
        <f>IF(F123="","",LEFT($D$3,3)&amp;"-"&amp;TEXT(COUNTIF(F$14:F123,"?*"),"00"))</f>
        <v/>
      </c>
      <c r="B123" s="5"/>
      <c r="C123" s="6" t="str">
        <f t="shared" si="18"/>
        <v/>
      </c>
      <c r="D123" s="5"/>
      <c r="E123" s="5"/>
      <c r="F123" s="5"/>
      <c r="G123" s="5"/>
      <c r="H123" s="5"/>
      <c r="I123" s="5"/>
      <c r="J123" s="5"/>
      <c r="K123" s="15"/>
      <c r="L123" s="5"/>
      <c r="M123" s="15"/>
      <c r="N123" s="5"/>
      <c r="O123" s="15"/>
      <c r="P123" s="19" t="str">
        <f t="shared" si="19"/>
        <v/>
      </c>
      <c r="Q123" s="19" t="str">
        <f t="shared" si="20"/>
        <v/>
      </c>
      <c r="R123" s="19" t="str">
        <f t="shared" si="21"/>
        <v/>
      </c>
      <c r="S123" s="5"/>
      <c r="T123" s="5"/>
      <c r="U123" s="5"/>
      <c r="V123" s="24"/>
      <c r="W123" s="15"/>
      <c r="X123" s="15"/>
      <c r="Y123" s="15"/>
      <c r="Z123" s="19" t="str">
        <f t="shared" si="22"/>
        <v/>
      </c>
      <c r="AA123" s="19" t="str">
        <f t="shared" si="23"/>
        <v/>
      </c>
      <c r="AB123" s="5"/>
      <c r="AC123" s="5"/>
      <c r="AE123" t="str">
        <f>IFERROR(INDEX(EqTag,_xlfn.AGGREGATE(15,6,(ROW(EqTag)-4)/((EqSys=$D$3)*(EqTag&lt;&gt;"")),ROWS($AE$14:AE123))),"")</f>
        <v/>
      </c>
    </row>
    <row r="124" spans="1:31" ht="30" customHeight="1" x14ac:dyDescent="0.2">
      <c r="A124" s="19" t="str">
        <f>IF(F124="","",LEFT($D$3,3)&amp;"-"&amp;TEXT(COUNTIF(F$14:F124,"?*"),"00"))</f>
        <v/>
      </c>
      <c r="B124" s="5"/>
      <c r="C124" s="6" t="str">
        <f t="shared" si="18"/>
        <v/>
      </c>
      <c r="D124" s="5"/>
      <c r="E124" s="5"/>
      <c r="F124" s="5"/>
      <c r="G124" s="5"/>
      <c r="H124" s="5"/>
      <c r="I124" s="5"/>
      <c r="J124" s="5"/>
      <c r="K124" s="15"/>
      <c r="L124" s="5"/>
      <c r="M124" s="15"/>
      <c r="N124" s="5"/>
      <c r="O124" s="15"/>
      <c r="P124" s="19" t="str">
        <f t="shared" si="19"/>
        <v/>
      </c>
      <c r="Q124" s="19" t="str">
        <f t="shared" si="20"/>
        <v/>
      </c>
      <c r="R124" s="19" t="str">
        <f t="shared" si="21"/>
        <v/>
      </c>
      <c r="S124" s="5"/>
      <c r="T124" s="5"/>
      <c r="U124" s="5"/>
      <c r="V124" s="24"/>
      <c r="W124" s="15"/>
      <c r="X124" s="15"/>
      <c r="Y124" s="15"/>
      <c r="Z124" s="19" t="str">
        <f t="shared" si="22"/>
        <v/>
      </c>
      <c r="AA124" s="19" t="str">
        <f t="shared" si="23"/>
        <v/>
      </c>
      <c r="AB124" s="5"/>
      <c r="AC124" s="5"/>
      <c r="AE124" t="str">
        <f>IFERROR(INDEX(EqTag,_xlfn.AGGREGATE(15,6,(ROW(EqTag)-4)/((EqSys=$D$3)*(EqTag&lt;&gt;"")),ROWS($AE$14:AE124))),"")</f>
        <v/>
      </c>
    </row>
    <row r="125" spans="1:31" ht="30" customHeight="1" x14ac:dyDescent="0.2">
      <c r="A125" s="19" t="str">
        <f>IF(F125="","",LEFT($D$3,3)&amp;"-"&amp;TEXT(COUNTIF(F$14:F125,"?*"),"00"))</f>
        <v/>
      </c>
      <c r="B125" s="5"/>
      <c r="C125" s="6" t="str">
        <f t="shared" si="18"/>
        <v/>
      </c>
      <c r="D125" s="5"/>
      <c r="E125" s="5"/>
      <c r="F125" s="5"/>
      <c r="G125" s="5"/>
      <c r="H125" s="5"/>
      <c r="I125" s="5"/>
      <c r="J125" s="5"/>
      <c r="K125" s="15"/>
      <c r="L125" s="5"/>
      <c r="M125" s="15"/>
      <c r="N125" s="5"/>
      <c r="O125" s="15"/>
      <c r="P125" s="19" t="str">
        <f t="shared" si="19"/>
        <v/>
      </c>
      <c r="Q125" s="19" t="str">
        <f t="shared" si="20"/>
        <v/>
      </c>
      <c r="R125" s="19" t="str">
        <f t="shared" si="21"/>
        <v/>
      </c>
      <c r="S125" s="5"/>
      <c r="T125" s="5"/>
      <c r="U125" s="5"/>
      <c r="V125" s="24"/>
      <c r="W125" s="15"/>
      <c r="X125" s="15"/>
      <c r="Y125" s="15"/>
      <c r="Z125" s="19" t="str">
        <f t="shared" si="22"/>
        <v/>
      </c>
      <c r="AA125" s="19" t="str">
        <f t="shared" si="23"/>
        <v/>
      </c>
      <c r="AB125" s="5"/>
      <c r="AC125" s="5"/>
      <c r="AE125" t="str">
        <f>IFERROR(INDEX(EqTag,_xlfn.AGGREGATE(15,6,(ROW(EqTag)-4)/((EqSys=$D$3)*(EqTag&lt;&gt;"")),ROWS($AE$14:AE125))),"")</f>
        <v/>
      </c>
    </row>
    <row r="126" spans="1:31" ht="30" customHeight="1" x14ac:dyDescent="0.2">
      <c r="A126" s="19" t="str">
        <f>IF(F126="","",LEFT($D$3,3)&amp;"-"&amp;TEXT(COUNTIF(F$14:F126,"?*"),"00"))</f>
        <v/>
      </c>
      <c r="B126" s="5"/>
      <c r="C126" s="6" t="str">
        <f t="shared" si="18"/>
        <v/>
      </c>
      <c r="D126" s="5"/>
      <c r="E126" s="5"/>
      <c r="F126" s="5"/>
      <c r="G126" s="5"/>
      <c r="H126" s="5"/>
      <c r="I126" s="5"/>
      <c r="J126" s="5"/>
      <c r="K126" s="15"/>
      <c r="L126" s="5"/>
      <c r="M126" s="15"/>
      <c r="N126" s="5"/>
      <c r="O126" s="15"/>
      <c r="P126" s="19" t="str">
        <f t="shared" si="19"/>
        <v/>
      </c>
      <c r="Q126" s="19" t="str">
        <f t="shared" si="20"/>
        <v/>
      </c>
      <c r="R126" s="19" t="str">
        <f t="shared" si="21"/>
        <v/>
      </c>
      <c r="S126" s="5"/>
      <c r="T126" s="5"/>
      <c r="U126" s="5"/>
      <c r="V126" s="24"/>
      <c r="W126" s="15"/>
      <c r="X126" s="15"/>
      <c r="Y126" s="15"/>
      <c r="Z126" s="19" t="str">
        <f t="shared" si="22"/>
        <v/>
      </c>
      <c r="AA126" s="19" t="str">
        <f t="shared" si="23"/>
        <v/>
      </c>
      <c r="AB126" s="5"/>
      <c r="AC126" s="5"/>
      <c r="AE126" t="str">
        <f>IFERROR(INDEX(EqTag,_xlfn.AGGREGATE(15,6,(ROW(EqTag)-4)/((EqSys=$D$3)*(EqTag&lt;&gt;"")),ROWS($AE$14:AE126))),"")</f>
        <v/>
      </c>
    </row>
    <row r="127" spans="1:31" ht="30" customHeight="1" x14ac:dyDescent="0.2">
      <c r="A127" s="19" t="str">
        <f>IF(F127="","",LEFT($D$3,3)&amp;"-"&amp;TEXT(COUNTIF(F$14:F127,"?*"),"00"))</f>
        <v/>
      </c>
      <c r="B127" s="5"/>
      <c r="C127" s="6" t="str">
        <f t="shared" si="18"/>
        <v/>
      </c>
      <c r="D127" s="5"/>
      <c r="E127" s="5"/>
      <c r="F127" s="5"/>
      <c r="G127" s="5"/>
      <c r="H127" s="5"/>
      <c r="I127" s="5"/>
      <c r="J127" s="5"/>
      <c r="K127" s="15"/>
      <c r="L127" s="5"/>
      <c r="M127" s="15"/>
      <c r="N127" s="5"/>
      <c r="O127" s="15"/>
      <c r="P127" s="19" t="str">
        <f t="shared" si="19"/>
        <v/>
      </c>
      <c r="Q127" s="19" t="str">
        <f t="shared" si="20"/>
        <v/>
      </c>
      <c r="R127" s="19" t="str">
        <f t="shared" si="21"/>
        <v/>
      </c>
      <c r="S127" s="5"/>
      <c r="T127" s="5"/>
      <c r="U127" s="5"/>
      <c r="V127" s="24"/>
      <c r="W127" s="15"/>
      <c r="X127" s="15"/>
      <c r="Y127" s="15"/>
      <c r="Z127" s="19" t="str">
        <f t="shared" si="22"/>
        <v/>
      </c>
      <c r="AA127" s="19" t="str">
        <f t="shared" si="23"/>
        <v/>
      </c>
      <c r="AB127" s="5"/>
      <c r="AC127" s="5"/>
      <c r="AE127" t="str">
        <f>IFERROR(INDEX(EqTag,_xlfn.AGGREGATE(15,6,(ROW(EqTag)-4)/((EqSys=$D$3)*(EqTag&lt;&gt;"")),ROWS($AE$14:AE127))),"")</f>
        <v/>
      </c>
    </row>
    <row r="128" spans="1:31" ht="30" customHeight="1" x14ac:dyDescent="0.2">
      <c r="A128" s="19" t="str">
        <f>IF(F128="","",LEFT($D$3,3)&amp;"-"&amp;TEXT(COUNTIF(F$14:F128,"?*"),"00"))</f>
        <v/>
      </c>
      <c r="B128" s="5"/>
      <c r="C128" s="6" t="str">
        <f t="shared" si="18"/>
        <v/>
      </c>
      <c r="D128" s="5"/>
      <c r="E128" s="5"/>
      <c r="F128" s="5"/>
      <c r="G128" s="5"/>
      <c r="H128" s="5"/>
      <c r="I128" s="5"/>
      <c r="J128" s="5"/>
      <c r="K128" s="15"/>
      <c r="L128" s="5"/>
      <c r="M128" s="15"/>
      <c r="N128" s="5"/>
      <c r="O128" s="15"/>
      <c r="P128" s="19" t="str">
        <f t="shared" si="19"/>
        <v/>
      </c>
      <c r="Q128" s="19" t="str">
        <f t="shared" si="20"/>
        <v/>
      </c>
      <c r="R128" s="19" t="str">
        <f t="shared" si="21"/>
        <v/>
      </c>
      <c r="S128" s="5"/>
      <c r="T128" s="5"/>
      <c r="U128" s="5"/>
      <c r="V128" s="24"/>
      <c r="W128" s="15"/>
      <c r="X128" s="15"/>
      <c r="Y128" s="15"/>
      <c r="Z128" s="19" t="str">
        <f t="shared" si="22"/>
        <v/>
      </c>
      <c r="AA128" s="19" t="str">
        <f t="shared" si="23"/>
        <v/>
      </c>
      <c r="AB128" s="5"/>
      <c r="AC128" s="5"/>
      <c r="AE128" t="str">
        <f>IFERROR(INDEX(EqTag,_xlfn.AGGREGATE(15,6,(ROW(EqTag)-4)/((EqSys=$D$3)*(EqTag&lt;&gt;"")),ROWS($AE$14:AE128))),"")</f>
        <v/>
      </c>
    </row>
    <row r="129" spans="1:31" ht="30" customHeight="1" x14ac:dyDescent="0.2">
      <c r="A129" s="19" t="str">
        <f>IF(F129="","",LEFT($D$3,3)&amp;"-"&amp;TEXT(COUNTIF(F$14:F129,"?*"),"00"))</f>
        <v/>
      </c>
      <c r="B129" s="5"/>
      <c r="C129" s="6" t="str">
        <f t="shared" si="18"/>
        <v/>
      </c>
      <c r="D129" s="5"/>
      <c r="E129" s="5"/>
      <c r="F129" s="5"/>
      <c r="G129" s="5"/>
      <c r="H129" s="5"/>
      <c r="I129" s="5"/>
      <c r="J129" s="5"/>
      <c r="K129" s="15"/>
      <c r="L129" s="5"/>
      <c r="M129" s="15"/>
      <c r="N129" s="5"/>
      <c r="O129" s="15"/>
      <c r="P129" s="19" t="str">
        <f t="shared" si="19"/>
        <v/>
      </c>
      <c r="Q129" s="19" t="str">
        <f t="shared" si="20"/>
        <v/>
      </c>
      <c r="R129" s="19" t="str">
        <f t="shared" si="21"/>
        <v/>
      </c>
      <c r="S129" s="5"/>
      <c r="T129" s="5"/>
      <c r="U129" s="5"/>
      <c r="V129" s="24"/>
      <c r="W129" s="15"/>
      <c r="X129" s="15"/>
      <c r="Y129" s="15"/>
      <c r="Z129" s="19" t="str">
        <f t="shared" si="22"/>
        <v/>
      </c>
      <c r="AA129" s="19" t="str">
        <f t="shared" si="23"/>
        <v/>
      </c>
      <c r="AB129" s="5"/>
      <c r="AC129" s="5"/>
      <c r="AE129" t="str">
        <f>IFERROR(INDEX(EqTag,_xlfn.AGGREGATE(15,6,(ROW(EqTag)-4)/((EqSys=$D$3)*(EqTag&lt;&gt;"")),ROWS($AE$14:AE129))),"")</f>
        <v/>
      </c>
    </row>
    <row r="130" spans="1:31" ht="30" customHeight="1" x14ac:dyDescent="0.2">
      <c r="A130" s="19" t="str">
        <f>IF(F130="","",LEFT($D$3,3)&amp;"-"&amp;TEXT(COUNTIF(F$14:F130,"?*"),"00"))</f>
        <v/>
      </c>
      <c r="B130" s="5"/>
      <c r="C130" s="6" t="str">
        <f t="shared" si="18"/>
        <v/>
      </c>
      <c r="D130" s="5"/>
      <c r="E130" s="5"/>
      <c r="F130" s="5"/>
      <c r="G130" s="5"/>
      <c r="H130" s="5"/>
      <c r="I130" s="5"/>
      <c r="J130" s="5"/>
      <c r="K130" s="15"/>
      <c r="L130" s="5"/>
      <c r="M130" s="15"/>
      <c r="N130" s="5"/>
      <c r="O130" s="15"/>
      <c r="P130" s="19" t="str">
        <f t="shared" si="19"/>
        <v/>
      </c>
      <c r="Q130" s="19" t="str">
        <f t="shared" si="20"/>
        <v/>
      </c>
      <c r="R130" s="19" t="str">
        <f t="shared" si="21"/>
        <v/>
      </c>
      <c r="S130" s="5"/>
      <c r="T130" s="5"/>
      <c r="U130" s="5"/>
      <c r="V130" s="24"/>
      <c r="W130" s="15"/>
      <c r="X130" s="15"/>
      <c r="Y130" s="15"/>
      <c r="Z130" s="19" t="str">
        <f t="shared" si="22"/>
        <v/>
      </c>
      <c r="AA130" s="19" t="str">
        <f t="shared" si="23"/>
        <v/>
      </c>
      <c r="AB130" s="5"/>
      <c r="AC130" s="5"/>
      <c r="AE130" t="str">
        <f>IFERROR(INDEX(EqTag,_xlfn.AGGREGATE(15,6,(ROW(EqTag)-4)/((EqSys=$D$3)*(EqTag&lt;&gt;"")),ROWS($AE$14:AE130))),"")</f>
        <v/>
      </c>
    </row>
    <row r="131" spans="1:31" ht="30" customHeight="1" x14ac:dyDescent="0.2">
      <c r="A131" s="19" t="str">
        <f>IF(F131="","",LEFT($D$3,3)&amp;"-"&amp;TEXT(COUNTIF(F$14:F131,"?*"),"00"))</f>
        <v/>
      </c>
      <c r="B131" s="5"/>
      <c r="C131" s="6" t="str">
        <f t="shared" si="18"/>
        <v/>
      </c>
      <c r="D131" s="5"/>
      <c r="E131" s="5"/>
      <c r="F131" s="5"/>
      <c r="G131" s="5"/>
      <c r="H131" s="5"/>
      <c r="I131" s="5"/>
      <c r="J131" s="5"/>
      <c r="K131" s="15"/>
      <c r="L131" s="5"/>
      <c r="M131" s="15"/>
      <c r="N131" s="5"/>
      <c r="O131" s="15"/>
      <c r="P131" s="19" t="str">
        <f t="shared" si="19"/>
        <v/>
      </c>
      <c r="Q131" s="19" t="str">
        <f t="shared" si="20"/>
        <v/>
      </c>
      <c r="R131" s="19" t="str">
        <f t="shared" si="21"/>
        <v/>
      </c>
      <c r="S131" s="5"/>
      <c r="T131" s="5"/>
      <c r="U131" s="5"/>
      <c r="V131" s="24"/>
      <c r="W131" s="15"/>
      <c r="X131" s="15"/>
      <c r="Y131" s="15"/>
      <c r="Z131" s="19" t="str">
        <f t="shared" si="22"/>
        <v/>
      </c>
      <c r="AA131" s="19" t="str">
        <f t="shared" si="23"/>
        <v/>
      </c>
      <c r="AB131" s="5"/>
      <c r="AC131" s="5"/>
      <c r="AE131" t="str">
        <f>IFERROR(INDEX(EqTag,_xlfn.AGGREGATE(15,6,(ROW(EqTag)-4)/((EqSys=$D$3)*(EqTag&lt;&gt;"")),ROWS($AE$14:AE131))),"")</f>
        <v/>
      </c>
    </row>
    <row r="132" spans="1:31" ht="30" customHeight="1" x14ac:dyDescent="0.2">
      <c r="A132" s="19" t="str">
        <f>IF(F132="","",LEFT($D$3,3)&amp;"-"&amp;TEXT(COUNTIF(F$14:F132,"?*"),"00"))</f>
        <v/>
      </c>
      <c r="B132" s="5"/>
      <c r="C132" s="6" t="str">
        <f t="shared" si="18"/>
        <v/>
      </c>
      <c r="D132" s="5"/>
      <c r="E132" s="5"/>
      <c r="F132" s="5"/>
      <c r="G132" s="5"/>
      <c r="H132" s="5"/>
      <c r="I132" s="5"/>
      <c r="J132" s="5"/>
      <c r="K132" s="15"/>
      <c r="L132" s="5"/>
      <c r="M132" s="15"/>
      <c r="N132" s="5"/>
      <c r="O132" s="15"/>
      <c r="P132" s="19" t="str">
        <f t="shared" si="19"/>
        <v/>
      </c>
      <c r="Q132" s="19" t="str">
        <f t="shared" si="20"/>
        <v/>
      </c>
      <c r="R132" s="19" t="str">
        <f t="shared" si="21"/>
        <v/>
      </c>
      <c r="S132" s="5"/>
      <c r="T132" s="5"/>
      <c r="U132" s="5"/>
      <c r="V132" s="24"/>
      <c r="W132" s="15"/>
      <c r="X132" s="15"/>
      <c r="Y132" s="15"/>
      <c r="Z132" s="19" t="str">
        <f t="shared" si="22"/>
        <v/>
      </c>
      <c r="AA132" s="19" t="str">
        <f t="shared" si="23"/>
        <v/>
      </c>
      <c r="AB132" s="5"/>
      <c r="AC132" s="5"/>
      <c r="AE132" t="str">
        <f>IFERROR(INDEX(EqTag,_xlfn.AGGREGATE(15,6,(ROW(EqTag)-4)/((EqSys=$D$3)*(EqTag&lt;&gt;"")),ROWS($AE$14:AE132))),"")</f>
        <v/>
      </c>
    </row>
    <row r="133" spans="1:31" ht="30" customHeight="1" x14ac:dyDescent="0.2">
      <c r="A133" s="19" t="str">
        <f>IF(F133="","",LEFT($D$3,3)&amp;"-"&amp;TEXT(COUNTIF(F$14:F133,"?*"),"00"))</f>
        <v/>
      </c>
      <c r="B133" s="5"/>
      <c r="C133" s="6" t="str">
        <f t="shared" si="18"/>
        <v/>
      </c>
      <c r="D133" s="5"/>
      <c r="E133" s="5"/>
      <c r="F133" s="5"/>
      <c r="G133" s="5"/>
      <c r="H133" s="5"/>
      <c r="I133" s="5"/>
      <c r="J133" s="5"/>
      <c r="K133" s="15"/>
      <c r="L133" s="5"/>
      <c r="M133" s="15"/>
      <c r="N133" s="5"/>
      <c r="O133" s="15"/>
      <c r="P133" s="19" t="str">
        <f t="shared" si="19"/>
        <v/>
      </c>
      <c r="Q133" s="19" t="str">
        <f t="shared" si="20"/>
        <v/>
      </c>
      <c r="R133" s="19" t="str">
        <f t="shared" si="21"/>
        <v/>
      </c>
      <c r="S133" s="5"/>
      <c r="T133" s="5"/>
      <c r="U133" s="5"/>
      <c r="V133" s="24"/>
      <c r="W133" s="15"/>
      <c r="X133" s="15"/>
      <c r="Y133" s="15"/>
      <c r="Z133" s="19" t="str">
        <f t="shared" si="22"/>
        <v/>
      </c>
      <c r="AA133" s="19" t="str">
        <f t="shared" si="23"/>
        <v/>
      </c>
      <c r="AB133" s="5"/>
      <c r="AC133" s="5"/>
      <c r="AE133" t="str">
        <f>IFERROR(INDEX(EqTag,_xlfn.AGGREGATE(15,6,(ROW(EqTag)-4)/((EqSys=$D$3)*(EqTag&lt;&gt;"")),ROWS($AE$14:AE133))),"")</f>
        <v/>
      </c>
    </row>
    <row r="134" spans="1:31" ht="30" customHeight="1" x14ac:dyDescent="0.2">
      <c r="A134" s="19" t="str">
        <f>IF(F134="","",LEFT($D$3,3)&amp;"-"&amp;TEXT(COUNTIF(F$14:F134,"?*"),"00"))</f>
        <v/>
      </c>
      <c r="B134" s="5"/>
      <c r="C134" s="6" t="str">
        <f t="shared" si="18"/>
        <v/>
      </c>
      <c r="D134" s="5"/>
      <c r="E134" s="5"/>
      <c r="F134" s="5"/>
      <c r="G134" s="5"/>
      <c r="H134" s="5"/>
      <c r="I134" s="5"/>
      <c r="J134" s="5"/>
      <c r="K134" s="15"/>
      <c r="L134" s="5"/>
      <c r="M134" s="15"/>
      <c r="N134" s="5"/>
      <c r="O134" s="15"/>
      <c r="P134" s="19" t="str">
        <f t="shared" si="19"/>
        <v/>
      </c>
      <c r="Q134" s="19" t="str">
        <f t="shared" si="20"/>
        <v/>
      </c>
      <c r="R134" s="19" t="str">
        <f t="shared" si="21"/>
        <v/>
      </c>
      <c r="S134" s="5"/>
      <c r="T134" s="5"/>
      <c r="U134" s="5"/>
      <c r="V134" s="24"/>
      <c r="W134" s="15"/>
      <c r="X134" s="15"/>
      <c r="Y134" s="15"/>
      <c r="Z134" s="19" t="str">
        <f t="shared" si="22"/>
        <v/>
      </c>
      <c r="AA134" s="19" t="str">
        <f t="shared" si="23"/>
        <v/>
      </c>
      <c r="AB134" s="5"/>
      <c r="AC134" s="5"/>
      <c r="AE134" t="str">
        <f>IFERROR(INDEX(EqTag,_xlfn.AGGREGATE(15,6,(ROW(EqTag)-4)/((EqSys=$D$3)*(EqTag&lt;&gt;"")),ROWS($AE$14:AE134))),"")</f>
        <v/>
      </c>
    </row>
    <row r="135" spans="1:31" ht="30" customHeight="1" x14ac:dyDescent="0.2">
      <c r="A135" s="19" t="str">
        <f>IF(F135="","",LEFT($D$3,3)&amp;"-"&amp;TEXT(COUNTIF(F$14:F135,"?*"),"00"))</f>
        <v/>
      </c>
      <c r="B135" s="5"/>
      <c r="C135" s="6" t="str">
        <f t="shared" si="18"/>
        <v/>
      </c>
      <c r="D135" s="5"/>
      <c r="E135" s="5"/>
      <c r="F135" s="5"/>
      <c r="G135" s="5"/>
      <c r="H135" s="5"/>
      <c r="I135" s="5"/>
      <c r="J135" s="5"/>
      <c r="K135" s="15"/>
      <c r="L135" s="5"/>
      <c r="M135" s="15"/>
      <c r="N135" s="5"/>
      <c r="O135" s="15"/>
      <c r="P135" s="19" t="str">
        <f t="shared" si="19"/>
        <v/>
      </c>
      <c r="Q135" s="19" t="str">
        <f t="shared" si="20"/>
        <v/>
      </c>
      <c r="R135" s="19" t="str">
        <f t="shared" si="21"/>
        <v/>
      </c>
      <c r="S135" s="5"/>
      <c r="T135" s="5"/>
      <c r="U135" s="5"/>
      <c r="V135" s="24"/>
      <c r="W135" s="15"/>
      <c r="X135" s="15"/>
      <c r="Y135" s="15"/>
      <c r="Z135" s="19" t="str">
        <f t="shared" si="22"/>
        <v/>
      </c>
      <c r="AA135" s="19" t="str">
        <f t="shared" si="23"/>
        <v/>
      </c>
      <c r="AB135" s="5"/>
      <c r="AC135" s="5"/>
      <c r="AE135" t="str">
        <f>IFERROR(INDEX(EqTag,_xlfn.AGGREGATE(15,6,(ROW(EqTag)-4)/((EqSys=$D$3)*(EqTag&lt;&gt;"")),ROWS($AE$14:AE135))),"")</f>
        <v/>
      </c>
    </row>
    <row r="136" spans="1:31" ht="30" customHeight="1" x14ac:dyDescent="0.2">
      <c r="A136" s="19" t="str">
        <f>IF(F136="","",LEFT($D$3,3)&amp;"-"&amp;TEXT(COUNTIF(F$14:F136,"?*"),"00"))</f>
        <v/>
      </c>
      <c r="B136" s="5"/>
      <c r="C136" s="6" t="str">
        <f t="shared" si="18"/>
        <v/>
      </c>
      <c r="D136" s="5"/>
      <c r="E136" s="5"/>
      <c r="F136" s="5"/>
      <c r="G136" s="5"/>
      <c r="H136" s="5"/>
      <c r="I136" s="5"/>
      <c r="J136" s="5"/>
      <c r="K136" s="15"/>
      <c r="L136" s="5"/>
      <c r="M136" s="15"/>
      <c r="N136" s="5"/>
      <c r="O136" s="15"/>
      <c r="P136" s="19" t="str">
        <f t="shared" si="19"/>
        <v/>
      </c>
      <c r="Q136" s="19" t="str">
        <f t="shared" si="20"/>
        <v/>
      </c>
      <c r="R136" s="19" t="str">
        <f t="shared" si="21"/>
        <v/>
      </c>
      <c r="S136" s="5"/>
      <c r="T136" s="5"/>
      <c r="U136" s="5"/>
      <c r="V136" s="24"/>
      <c r="W136" s="15"/>
      <c r="X136" s="15"/>
      <c r="Y136" s="15"/>
      <c r="Z136" s="19" t="str">
        <f t="shared" si="22"/>
        <v/>
      </c>
      <c r="AA136" s="19" t="str">
        <f t="shared" si="23"/>
        <v/>
      </c>
      <c r="AB136" s="5"/>
      <c r="AC136" s="5"/>
      <c r="AE136" t="str">
        <f>IFERROR(INDEX(EqTag,_xlfn.AGGREGATE(15,6,(ROW(EqTag)-4)/((EqSys=$D$3)*(EqTag&lt;&gt;"")),ROWS($AE$14:AE136))),"")</f>
        <v/>
      </c>
    </row>
    <row r="137" spans="1:31" ht="30" customHeight="1" x14ac:dyDescent="0.2">
      <c r="A137" s="19" t="str">
        <f>IF(F137="","",LEFT($D$3,3)&amp;"-"&amp;TEXT(COUNTIF(F$14:F137,"?*"),"00"))</f>
        <v/>
      </c>
      <c r="B137" s="5"/>
      <c r="C137" s="6" t="str">
        <f t="shared" si="18"/>
        <v/>
      </c>
      <c r="D137" s="5"/>
      <c r="E137" s="5"/>
      <c r="F137" s="5"/>
      <c r="G137" s="5"/>
      <c r="H137" s="5"/>
      <c r="I137" s="5"/>
      <c r="J137" s="5"/>
      <c r="K137" s="15"/>
      <c r="L137" s="5"/>
      <c r="M137" s="15"/>
      <c r="N137" s="5"/>
      <c r="O137" s="15"/>
      <c r="P137" s="19" t="str">
        <f t="shared" si="19"/>
        <v/>
      </c>
      <c r="Q137" s="19" t="str">
        <f t="shared" si="20"/>
        <v/>
      </c>
      <c r="R137" s="19" t="str">
        <f t="shared" si="21"/>
        <v/>
      </c>
      <c r="S137" s="5"/>
      <c r="T137" s="5"/>
      <c r="U137" s="5"/>
      <c r="V137" s="24"/>
      <c r="W137" s="15"/>
      <c r="X137" s="15"/>
      <c r="Y137" s="15"/>
      <c r="Z137" s="19" t="str">
        <f t="shared" si="22"/>
        <v/>
      </c>
      <c r="AA137" s="19" t="str">
        <f t="shared" si="23"/>
        <v/>
      </c>
      <c r="AB137" s="5"/>
      <c r="AC137" s="5"/>
      <c r="AE137" t="str">
        <f>IFERROR(INDEX(EqTag,_xlfn.AGGREGATE(15,6,(ROW(EqTag)-4)/((EqSys=$D$3)*(EqTag&lt;&gt;"")),ROWS($AE$14:AE137))),"")</f>
        <v/>
      </c>
    </row>
    <row r="138" spans="1:31" ht="30" customHeight="1" x14ac:dyDescent="0.2">
      <c r="A138" s="19" t="str">
        <f>IF(F138="","",LEFT($D$3,3)&amp;"-"&amp;TEXT(COUNTIF(F$14:F138,"?*"),"00"))</f>
        <v/>
      </c>
      <c r="B138" s="5"/>
      <c r="C138" s="6" t="str">
        <f t="shared" si="18"/>
        <v/>
      </c>
      <c r="D138" s="5"/>
      <c r="E138" s="5"/>
      <c r="F138" s="5"/>
      <c r="G138" s="5"/>
      <c r="H138" s="5"/>
      <c r="I138" s="5"/>
      <c r="J138" s="5"/>
      <c r="K138" s="15"/>
      <c r="L138" s="5"/>
      <c r="M138" s="15"/>
      <c r="N138" s="5"/>
      <c r="O138" s="15"/>
      <c r="P138" s="19" t="str">
        <f t="shared" si="19"/>
        <v/>
      </c>
      <c r="Q138" s="19" t="str">
        <f t="shared" si="20"/>
        <v/>
      </c>
      <c r="R138" s="19" t="str">
        <f t="shared" si="21"/>
        <v/>
      </c>
      <c r="S138" s="5"/>
      <c r="T138" s="5"/>
      <c r="U138" s="5"/>
      <c r="V138" s="24"/>
      <c r="W138" s="15"/>
      <c r="X138" s="15"/>
      <c r="Y138" s="15"/>
      <c r="Z138" s="19" t="str">
        <f t="shared" si="22"/>
        <v/>
      </c>
      <c r="AA138" s="19" t="str">
        <f t="shared" si="23"/>
        <v/>
      </c>
      <c r="AB138" s="5"/>
      <c r="AC138" s="5"/>
      <c r="AE138" t="str">
        <f>IFERROR(INDEX(EqTag,_xlfn.AGGREGATE(15,6,(ROW(EqTag)-4)/((EqSys=$D$3)*(EqTag&lt;&gt;"")),ROWS($AE$14:AE138))),"")</f>
        <v/>
      </c>
    </row>
    <row r="139" spans="1:31" ht="30" customHeight="1" x14ac:dyDescent="0.2">
      <c r="A139" s="19" t="str">
        <f>IF(F139="","",LEFT($D$3,3)&amp;"-"&amp;TEXT(COUNTIF(F$14:F139,"?*"),"00"))</f>
        <v/>
      </c>
      <c r="B139" s="5"/>
      <c r="C139" s="6" t="str">
        <f t="shared" si="18"/>
        <v/>
      </c>
      <c r="D139" s="5"/>
      <c r="E139" s="5"/>
      <c r="F139" s="5"/>
      <c r="G139" s="5"/>
      <c r="H139" s="5"/>
      <c r="I139" s="5"/>
      <c r="J139" s="5"/>
      <c r="K139" s="15"/>
      <c r="L139" s="5"/>
      <c r="M139" s="15"/>
      <c r="N139" s="5"/>
      <c r="O139" s="15"/>
      <c r="P139" s="19" t="str">
        <f t="shared" si="19"/>
        <v/>
      </c>
      <c r="Q139" s="19" t="str">
        <f t="shared" si="20"/>
        <v/>
      </c>
      <c r="R139" s="19" t="str">
        <f t="shared" si="21"/>
        <v/>
      </c>
      <c r="S139" s="5"/>
      <c r="T139" s="5"/>
      <c r="U139" s="5"/>
      <c r="V139" s="24"/>
      <c r="W139" s="15"/>
      <c r="X139" s="15"/>
      <c r="Y139" s="15"/>
      <c r="Z139" s="19" t="str">
        <f t="shared" si="22"/>
        <v/>
      </c>
      <c r="AA139" s="19" t="str">
        <f t="shared" si="23"/>
        <v/>
      </c>
      <c r="AB139" s="5"/>
      <c r="AC139" s="5"/>
      <c r="AE139" t="str">
        <f>IFERROR(INDEX(EqTag,_xlfn.AGGREGATE(15,6,(ROW(EqTag)-4)/((EqSys=$D$3)*(EqTag&lt;&gt;"")),ROWS($AE$14:AE139))),"")</f>
        <v/>
      </c>
    </row>
    <row r="140" spans="1:31" ht="30" customHeight="1" x14ac:dyDescent="0.2">
      <c r="A140" s="19" t="str">
        <f>IF(F140="","",LEFT($D$3,3)&amp;"-"&amp;TEXT(COUNTIF(F$14:F140,"?*"),"00"))</f>
        <v/>
      </c>
      <c r="B140" s="5"/>
      <c r="C140" s="6" t="str">
        <f t="shared" si="18"/>
        <v/>
      </c>
      <c r="D140" s="5"/>
      <c r="E140" s="5"/>
      <c r="F140" s="5"/>
      <c r="G140" s="5"/>
      <c r="H140" s="5"/>
      <c r="I140" s="5"/>
      <c r="J140" s="5"/>
      <c r="K140" s="15"/>
      <c r="L140" s="5"/>
      <c r="M140" s="15"/>
      <c r="N140" s="5"/>
      <c r="O140" s="15"/>
      <c r="P140" s="19" t="str">
        <f t="shared" si="19"/>
        <v/>
      </c>
      <c r="Q140" s="19" t="str">
        <f t="shared" si="20"/>
        <v/>
      </c>
      <c r="R140" s="19" t="str">
        <f t="shared" si="21"/>
        <v/>
      </c>
      <c r="S140" s="5"/>
      <c r="T140" s="5"/>
      <c r="U140" s="5"/>
      <c r="V140" s="24"/>
      <c r="W140" s="15"/>
      <c r="X140" s="15"/>
      <c r="Y140" s="15"/>
      <c r="Z140" s="19" t="str">
        <f t="shared" si="22"/>
        <v/>
      </c>
      <c r="AA140" s="19" t="str">
        <f t="shared" si="23"/>
        <v/>
      </c>
      <c r="AB140" s="5"/>
      <c r="AC140" s="5"/>
      <c r="AE140" t="str">
        <f>IFERROR(INDEX(EqTag,_xlfn.AGGREGATE(15,6,(ROW(EqTag)-4)/((EqSys=$D$3)*(EqTag&lt;&gt;"")),ROWS($AE$14:AE140))),"")</f>
        <v/>
      </c>
    </row>
    <row r="141" spans="1:31" ht="30" customHeight="1" x14ac:dyDescent="0.2">
      <c r="A141" s="19" t="str">
        <f>IF(F141="","",LEFT($D$3,3)&amp;"-"&amp;TEXT(COUNTIF(F$14:F141,"?*"),"00"))</f>
        <v/>
      </c>
      <c r="B141" s="5"/>
      <c r="C141" s="6" t="str">
        <f t="shared" si="18"/>
        <v/>
      </c>
      <c r="D141" s="5"/>
      <c r="E141" s="5"/>
      <c r="F141" s="5"/>
      <c r="G141" s="5"/>
      <c r="H141" s="5"/>
      <c r="I141" s="5"/>
      <c r="J141" s="5"/>
      <c r="K141" s="15"/>
      <c r="L141" s="5"/>
      <c r="M141" s="15"/>
      <c r="N141" s="5"/>
      <c r="O141" s="15"/>
      <c r="P141" s="19" t="str">
        <f t="shared" si="19"/>
        <v/>
      </c>
      <c r="Q141" s="19" t="str">
        <f t="shared" si="20"/>
        <v/>
      </c>
      <c r="R141" s="19" t="str">
        <f t="shared" si="21"/>
        <v/>
      </c>
      <c r="S141" s="5"/>
      <c r="T141" s="5"/>
      <c r="U141" s="5"/>
      <c r="V141" s="24"/>
      <c r="W141" s="15"/>
      <c r="X141" s="15"/>
      <c r="Y141" s="15"/>
      <c r="Z141" s="19" t="str">
        <f t="shared" si="22"/>
        <v/>
      </c>
      <c r="AA141" s="19" t="str">
        <f t="shared" si="23"/>
        <v/>
      </c>
      <c r="AB141" s="5"/>
      <c r="AC141" s="5"/>
      <c r="AE141" t="str">
        <f>IFERROR(INDEX(EqTag,_xlfn.AGGREGATE(15,6,(ROW(EqTag)-4)/((EqSys=$D$3)*(EqTag&lt;&gt;"")),ROWS($AE$14:AE141))),"")</f>
        <v/>
      </c>
    </row>
    <row r="142" spans="1:31" ht="30" customHeight="1" x14ac:dyDescent="0.2">
      <c r="A142" s="19" t="str">
        <f>IF(F142="","",LEFT($D$3,3)&amp;"-"&amp;TEXT(COUNTIF(F$14:F142,"?*"),"00"))</f>
        <v/>
      </c>
      <c r="B142" s="5"/>
      <c r="C142" s="6" t="str">
        <f t="shared" ref="C142:C163" si="24">IF(B142="","",IFERROR(INDEX(EqTypeCol,MATCH(B142,EqTag,0)),"Tag not in register"))</f>
        <v/>
      </c>
      <c r="D142" s="5"/>
      <c r="E142" s="5"/>
      <c r="F142" s="5"/>
      <c r="G142" s="5"/>
      <c r="H142" s="5"/>
      <c r="I142" s="5"/>
      <c r="J142" s="5"/>
      <c r="K142" s="15"/>
      <c r="L142" s="5"/>
      <c r="M142" s="15"/>
      <c r="N142" s="5"/>
      <c r="O142" s="15"/>
      <c r="P142" s="19" t="str">
        <f t="shared" ref="P142:P163" si="25">IF(OR(K142="",M142="",O142=""),"",(--TRIM(LEFT(K142,2)))*(--TRIM(LEFT(M142,2)))*(--TRIM(LEFT(O142,2))))</f>
        <v/>
      </c>
      <c r="Q142" s="19" t="str">
        <f t="shared" ref="Q142:Q163" si="26">IF(OR(K142="",M142="",O142=""),"",INDEX(APGrid,COUNTIF(APS,"&gt;"&amp;(--TRIM(LEFT(K142,2))))*5+COUNTIF(APO,"&gt;"&amp;(--TRIM(LEFT(M142,2))))+1,COUNTIF(APD,"&gt;"&amp;(--TRIM(LEFT(O142,2))))+1))</f>
        <v/>
      </c>
      <c r="R142" s="19" t="str">
        <f t="shared" ref="R142:R163" si="27">IF(P142="","",IF(OR((--TRIM(LEFT(K142,2)))&gt;=SThr,P142&gt;=RPNThr,Q142="H"),"Yes","No"))</f>
        <v/>
      </c>
      <c r="S142" s="5"/>
      <c r="T142" s="5"/>
      <c r="U142" s="5"/>
      <c r="V142" s="24"/>
      <c r="W142" s="15"/>
      <c r="X142" s="15"/>
      <c r="Y142" s="15"/>
      <c r="Z142" s="19" t="str">
        <f t="shared" ref="Z142:Z163" si="28">IF(OR(W142="",X142="",Y142=""),"",(--TRIM(LEFT(W142,2)))*(--TRIM(LEFT(X142,2)))*(--TRIM(LEFT(Y142,2))))</f>
        <v/>
      </c>
      <c r="AA142" s="19" t="str">
        <f t="shared" ref="AA142:AA163" si="29">IF(OR(W142="",X142="",Y142=""),"",INDEX(APGrid,COUNTIF(APS,"&gt;"&amp;(--TRIM(LEFT(W142,2))))*5+COUNTIF(APO,"&gt;"&amp;(--TRIM(LEFT(X142,2))))+1,COUNTIF(APD,"&gt;"&amp;(--TRIM(LEFT(Y142,2))))+1))</f>
        <v/>
      </c>
      <c r="AB142" s="5"/>
      <c r="AC142" s="5"/>
      <c r="AE142" t="str">
        <f>IFERROR(INDEX(EqTag,_xlfn.AGGREGATE(15,6,(ROW(EqTag)-4)/((EqSys=$D$3)*(EqTag&lt;&gt;"")),ROWS($AE$14:AE142))),"")</f>
        <v/>
      </c>
    </row>
    <row r="143" spans="1:31" ht="30" customHeight="1" x14ac:dyDescent="0.2">
      <c r="A143" s="19" t="str">
        <f>IF(F143="","",LEFT($D$3,3)&amp;"-"&amp;TEXT(COUNTIF(F$14:F143,"?*"),"00"))</f>
        <v/>
      </c>
      <c r="B143" s="5"/>
      <c r="C143" s="6" t="str">
        <f t="shared" si="24"/>
        <v/>
      </c>
      <c r="D143" s="5"/>
      <c r="E143" s="5"/>
      <c r="F143" s="5"/>
      <c r="G143" s="5"/>
      <c r="H143" s="5"/>
      <c r="I143" s="5"/>
      <c r="J143" s="5"/>
      <c r="K143" s="15"/>
      <c r="L143" s="5"/>
      <c r="M143" s="15"/>
      <c r="N143" s="5"/>
      <c r="O143" s="15"/>
      <c r="P143" s="19" t="str">
        <f t="shared" si="25"/>
        <v/>
      </c>
      <c r="Q143" s="19" t="str">
        <f t="shared" si="26"/>
        <v/>
      </c>
      <c r="R143" s="19" t="str">
        <f t="shared" si="27"/>
        <v/>
      </c>
      <c r="S143" s="5"/>
      <c r="T143" s="5"/>
      <c r="U143" s="5"/>
      <c r="V143" s="24"/>
      <c r="W143" s="15"/>
      <c r="X143" s="15"/>
      <c r="Y143" s="15"/>
      <c r="Z143" s="19" t="str">
        <f t="shared" si="28"/>
        <v/>
      </c>
      <c r="AA143" s="19" t="str">
        <f t="shared" si="29"/>
        <v/>
      </c>
      <c r="AB143" s="5"/>
      <c r="AC143" s="5"/>
      <c r="AE143" t="str">
        <f>IFERROR(INDEX(EqTag,_xlfn.AGGREGATE(15,6,(ROW(EqTag)-4)/((EqSys=$D$3)*(EqTag&lt;&gt;"")),ROWS($AE$14:AE143))),"")</f>
        <v/>
      </c>
    </row>
    <row r="144" spans="1:31" ht="30" customHeight="1" x14ac:dyDescent="0.2">
      <c r="A144" s="19" t="str">
        <f>IF(F144="","",LEFT($D$3,3)&amp;"-"&amp;TEXT(COUNTIF(F$14:F144,"?*"),"00"))</f>
        <v/>
      </c>
      <c r="B144" s="5"/>
      <c r="C144" s="6" t="str">
        <f t="shared" si="24"/>
        <v/>
      </c>
      <c r="D144" s="5"/>
      <c r="E144" s="5"/>
      <c r="F144" s="5"/>
      <c r="G144" s="5"/>
      <c r="H144" s="5"/>
      <c r="I144" s="5"/>
      <c r="J144" s="5"/>
      <c r="K144" s="15"/>
      <c r="L144" s="5"/>
      <c r="M144" s="15"/>
      <c r="N144" s="5"/>
      <c r="O144" s="15"/>
      <c r="P144" s="19" t="str">
        <f t="shared" si="25"/>
        <v/>
      </c>
      <c r="Q144" s="19" t="str">
        <f t="shared" si="26"/>
        <v/>
      </c>
      <c r="R144" s="19" t="str">
        <f t="shared" si="27"/>
        <v/>
      </c>
      <c r="S144" s="5"/>
      <c r="T144" s="5"/>
      <c r="U144" s="5"/>
      <c r="V144" s="24"/>
      <c r="W144" s="15"/>
      <c r="X144" s="15"/>
      <c r="Y144" s="15"/>
      <c r="Z144" s="19" t="str">
        <f t="shared" si="28"/>
        <v/>
      </c>
      <c r="AA144" s="19" t="str">
        <f t="shared" si="29"/>
        <v/>
      </c>
      <c r="AB144" s="5"/>
      <c r="AC144" s="5"/>
      <c r="AE144" t="str">
        <f>IFERROR(INDEX(EqTag,_xlfn.AGGREGATE(15,6,(ROW(EqTag)-4)/((EqSys=$D$3)*(EqTag&lt;&gt;"")),ROWS($AE$14:AE144))),"")</f>
        <v/>
      </c>
    </row>
    <row r="145" spans="1:31" ht="30" customHeight="1" x14ac:dyDescent="0.2">
      <c r="A145" s="19" t="str">
        <f>IF(F145="","",LEFT($D$3,3)&amp;"-"&amp;TEXT(COUNTIF(F$14:F145,"?*"),"00"))</f>
        <v/>
      </c>
      <c r="B145" s="5"/>
      <c r="C145" s="6" t="str">
        <f t="shared" si="24"/>
        <v/>
      </c>
      <c r="D145" s="5"/>
      <c r="E145" s="5"/>
      <c r="F145" s="5"/>
      <c r="G145" s="5"/>
      <c r="H145" s="5"/>
      <c r="I145" s="5"/>
      <c r="J145" s="5"/>
      <c r="K145" s="15"/>
      <c r="L145" s="5"/>
      <c r="M145" s="15"/>
      <c r="N145" s="5"/>
      <c r="O145" s="15"/>
      <c r="P145" s="19" t="str">
        <f t="shared" si="25"/>
        <v/>
      </c>
      <c r="Q145" s="19" t="str">
        <f t="shared" si="26"/>
        <v/>
      </c>
      <c r="R145" s="19" t="str">
        <f t="shared" si="27"/>
        <v/>
      </c>
      <c r="S145" s="5"/>
      <c r="T145" s="5"/>
      <c r="U145" s="5"/>
      <c r="V145" s="24"/>
      <c r="W145" s="15"/>
      <c r="X145" s="15"/>
      <c r="Y145" s="15"/>
      <c r="Z145" s="19" t="str">
        <f t="shared" si="28"/>
        <v/>
      </c>
      <c r="AA145" s="19" t="str">
        <f t="shared" si="29"/>
        <v/>
      </c>
      <c r="AB145" s="5"/>
      <c r="AC145" s="5"/>
      <c r="AE145" t="str">
        <f>IFERROR(INDEX(EqTag,_xlfn.AGGREGATE(15,6,(ROW(EqTag)-4)/((EqSys=$D$3)*(EqTag&lt;&gt;"")),ROWS($AE$14:AE145))),"")</f>
        <v/>
      </c>
    </row>
    <row r="146" spans="1:31" ht="30" customHeight="1" x14ac:dyDescent="0.2">
      <c r="A146" s="19" t="str">
        <f>IF(F146="","",LEFT($D$3,3)&amp;"-"&amp;TEXT(COUNTIF(F$14:F146,"?*"),"00"))</f>
        <v/>
      </c>
      <c r="B146" s="5"/>
      <c r="C146" s="6" t="str">
        <f t="shared" si="24"/>
        <v/>
      </c>
      <c r="D146" s="5"/>
      <c r="E146" s="5"/>
      <c r="F146" s="5"/>
      <c r="G146" s="5"/>
      <c r="H146" s="5"/>
      <c r="I146" s="5"/>
      <c r="J146" s="5"/>
      <c r="K146" s="15"/>
      <c r="L146" s="5"/>
      <c r="M146" s="15"/>
      <c r="N146" s="5"/>
      <c r="O146" s="15"/>
      <c r="P146" s="19" t="str">
        <f t="shared" si="25"/>
        <v/>
      </c>
      <c r="Q146" s="19" t="str">
        <f t="shared" si="26"/>
        <v/>
      </c>
      <c r="R146" s="19" t="str">
        <f t="shared" si="27"/>
        <v/>
      </c>
      <c r="S146" s="5"/>
      <c r="T146" s="5"/>
      <c r="U146" s="5"/>
      <c r="V146" s="24"/>
      <c r="W146" s="15"/>
      <c r="X146" s="15"/>
      <c r="Y146" s="15"/>
      <c r="Z146" s="19" t="str">
        <f t="shared" si="28"/>
        <v/>
      </c>
      <c r="AA146" s="19" t="str">
        <f t="shared" si="29"/>
        <v/>
      </c>
      <c r="AB146" s="5"/>
      <c r="AC146" s="5"/>
      <c r="AE146" t="str">
        <f>IFERROR(INDEX(EqTag,_xlfn.AGGREGATE(15,6,(ROW(EqTag)-4)/((EqSys=$D$3)*(EqTag&lt;&gt;"")),ROWS($AE$14:AE146))),"")</f>
        <v/>
      </c>
    </row>
    <row r="147" spans="1:31" ht="30" customHeight="1" x14ac:dyDescent="0.2">
      <c r="A147" s="19" t="str">
        <f>IF(F147="","",LEFT($D$3,3)&amp;"-"&amp;TEXT(COUNTIF(F$14:F147,"?*"),"00"))</f>
        <v/>
      </c>
      <c r="B147" s="5"/>
      <c r="C147" s="6" t="str">
        <f t="shared" si="24"/>
        <v/>
      </c>
      <c r="D147" s="5"/>
      <c r="E147" s="5"/>
      <c r="F147" s="5"/>
      <c r="G147" s="5"/>
      <c r="H147" s="5"/>
      <c r="I147" s="5"/>
      <c r="J147" s="5"/>
      <c r="K147" s="15"/>
      <c r="L147" s="5"/>
      <c r="M147" s="15"/>
      <c r="N147" s="5"/>
      <c r="O147" s="15"/>
      <c r="P147" s="19" t="str">
        <f t="shared" si="25"/>
        <v/>
      </c>
      <c r="Q147" s="19" t="str">
        <f t="shared" si="26"/>
        <v/>
      </c>
      <c r="R147" s="19" t="str">
        <f t="shared" si="27"/>
        <v/>
      </c>
      <c r="S147" s="5"/>
      <c r="T147" s="5"/>
      <c r="U147" s="5"/>
      <c r="V147" s="24"/>
      <c r="W147" s="15"/>
      <c r="X147" s="15"/>
      <c r="Y147" s="15"/>
      <c r="Z147" s="19" t="str">
        <f t="shared" si="28"/>
        <v/>
      </c>
      <c r="AA147" s="19" t="str">
        <f t="shared" si="29"/>
        <v/>
      </c>
      <c r="AB147" s="5"/>
      <c r="AC147" s="5"/>
      <c r="AE147" t="str">
        <f>IFERROR(INDEX(EqTag,_xlfn.AGGREGATE(15,6,(ROW(EqTag)-4)/((EqSys=$D$3)*(EqTag&lt;&gt;"")),ROWS($AE$14:AE147))),"")</f>
        <v/>
      </c>
    </row>
    <row r="148" spans="1:31" ht="30" customHeight="1" x14ac:dyDescent="0.2">
      <c r="A148" s="19" t="str">
        <f>IF(F148="","",LEFT($D$3,3)&amp;"-"&amp;TEXT(COUNTIF(F$14:F148,"?*"),"00"))</f>
        <v/>
      </c>
      <c r="B148" s="5"/>
      <c r="C148" s="6" t="str">
        <f t="shared" si="24"/>
        <v/>
      </c>
      <c r="D148" s="5"/>
      <c r="E148" s="5"/>
      <c r="F148" s="5"/>
      <c r="G148" s="5"/>
      <c r="H148" s="5"/>
      <c r="I148" s="5"/>
      <c r="J148" s="5"/>
      <c r="K148" s="15"/>
      <c r="L148" s="5"/>
      <c r="M148" s="15"/>
      <c r="N148" s="5"/>
      <c r="O148" s="15"/>
      <c r="P148" s="19" t="str">
        <f t="shared" si="25"/>
        <v/>
      </c>
      <c r="Q148" s="19" t="str">
        <f t="shared" si="26"/>
        <v/>
      </c>
      <c r="R148" s="19" t="str">
        <f t="shared" si="27"/>
        <v/>
      </c>
      <c r="S148" s="5"/>
      <c r="T148" s="5"/>
      <c r="U148" s="5"/>
      <c r="V148" s="24"/>
      <c r="W148" s="15"/>
      <c r="X148" s="15"/>
      <c r="Y148" s="15"/>
      <c r="Z148" s="19" t="str">
        <f t="shared" si="28"/>
        <v/>
      </c>
      <c r="AA148" s="19" t="str">
        <f t="shared" si="29"/>
        <v/>
      </c>
      <c r="AB148" s="5"/>
      <c r="AC148" s="5"/>
      <c r="AE148" t="str">
        <f>IFERROR(INDEX(EqTag,_xlfn.AGGREGATE(15,6,(ROW(EqTag)-4)/((EqSys=$D$3)*(EqTag&lt;&gt;"")),ROWS($AE$14:AE148))),"")</f>
        <v/>
      </c>
    </row>
    <row r="149" spans="1:31" ht="30" customHeight="1" x14ac:dyDescent="0.2">
      <c r="A149" s="19" t="str">
        <f>IF(F149="","",LEFT($D$3,3)&amp;"-"&amp;TEXT(COUNTIF(F$14:F149,"?*"),"00"))</f>
        <v/>
      </c>
      <c r="B149" s="5"/>
      <c r="C149" s="6" t="str">
        <f t="shared" si="24"/>
        <v/>
      </c>
      <c r="D149" s="5"/>
      <c r="E149" s="5"/>
      <c r="F149" s="5"/>
      <c r="G149" s="5"/>
      <c r="H149" s="5"/>
      <c r="I149" s="5"/>
      <c r="J149" s="5"/>
      <c r="K149" s="15"/>
      <c r="L149" s="5"/>
      <c r="M149" s="15"/>
      <c r="N149" s="5"/>
      <c r="O149" s="15"/>
      <c r="P149" s="19" t="str">
        <f t="shared" si="25"/>
        <v/>
      </c>
      <c r="Q149" s="19" t="str">
        <f t="shared" si="26"/>
        <v/>
      </c>
      <c r="R149" s="19" t="str">
        <f t="shared" si="27"/>
        <v/>
      </c>
      <c r="S149" s="5"/>
      <c r="T149" s="5"/>
      <c r="U149" s="5"/>
      <c r="V149" s="24"/>
      <c r="W149" s="15"/>
      <c r="X149" s="15"/>
      <c r="Y149" s="15"/>
      <c r="Z149" s="19" t="str">
        <f t="shared" si="28"/>
        <v/>
      </c>
      <c r="AA149" s="19" t="str">
        <f t="shared" si="29"/>
        <v/>
      </c>
      <c r="AB149" s="5"/>
      <c r="AC149" s="5"/>
      <c r="AE149" t="str">
        <f>IFERROR(INDEX(EqTag,_xlfn.AGGREGATE(15,6,(ROW(EqTag)-4)/((EqSys=$D$3)*(EqTag&lt;&gt;"")),ROWS($AE$14:AE149))),"")</f>
        <v/>
      </c>
    </row>
    <row r="150" spans="1:31" ht="30" customHeight="1" x14ac:dyDescent="0.2">
      <c r="A150" s="19" t="str">
        <f>IF(F150="","",LEFT($D$3,3)&amp;"-"&amp;TEXT(COUNTIF(F$14:F150,"?*"),"00"))</f>
        <v/>
      </c>
      <c r="B150" s="5"/>
      <c r="C150" s="6" t="str">
        <f t="shared" si="24"/>
        <v/>
      </c>
      <c r="D150" s="5"/>
      <c r="E150" s="5"/>
      <c r="F150" s="5"/>
      <c r="G150" s="5"/>
      <c r="H150" s="5"/>
      <c r="I150" s="5"/>
      <c r="J150" s="5"/>
      <c r="K150" s="15"/>
      <c r="L150" s="5"/>
      <c r="M150" s="15"/>
      <c r="N150" s="5"/>
      <c r="O150" s="15"/>
      <c r="P150" s="19" t="str">
        <f t="shared" si="25"/>
        <v/>
      </c>
      <c r="Q150" s="19" t="str">
        <f t="shared" si="26"/>
        <v/>
      </c>
      <c r="R150" s="19" t="str">
        <f t="shared" si="27"/>
        <v/>
      </c>
      <c r="S150" s="5"/>
      <c r="T150" s="5"/>
      <c r="U150" s="5"/>
      <c r="V150" s="24"/>
      <c r="W150" s="15"/>
      <c r="X150" s="15"/>
      <c r="Y150" s="15"/>
      <c r="Z150" s="19" t="str">
        <f t="shared" si="28"/>
        <v/>
      </c>
      <c r="AA150" s="19" t="str">
        <f t="shared" si="29"/>
        <v/>
      </c>
      <c r="AB150" s="5"/>
      <c r="AC150" s="5"/>
      <c r="AE150" t="str">
        <f>IFERROR(INDEX(EqTag,_xlfn.AGGREGATE(15,6,(ROW(EqTag)-4)/((EqSys=$D$3)*(EqTag&lt;&gt;"")),ROWS($AE$14:AE150))),"")</f>
        <v/>
      </c>
    </row>
    <row r="151" spans="1:31" ht="30" customHeight="1" x14ac:dyDescent="0.2">
      <c r="A151" s="19" t="str">
        <f>IF(F151="","",LEFT($D$3,3)&amp;"-"&amp;TEXT(COUNTIF(F$14:F151,"?*"),"00"))</f>
        <v/>
      </c>
      <c r="B151" s="5"/>
      <c r="C151" s="6" t="str">
        <f t="shared" si="24"/>
        <v/>
      </c>
      <c r="D151" s="5"/>
      <c r="E151" s="5"/>
      <c r="F151" s="5"/>
      <c r="G151" s="5"/>
      <c r="H151" s="5"/>
      <c r="I151" s="5"/>
      <c r="J151" s="5"/>
      <c r="K151" s="15"/>
      <c r="L151" s="5"/>
      <c r="M151" s="15"/>
      <c r="N151" s="5"/>
      <c r="O151" s="15"/>
      <c r="P151" s="19" t="str">
        <f t="shared" si="25"/>
        <v/>
      </c>
      <c r="Q151" s="19" t="str">
        <f t="shared" si="26"/>
        <v/>
      </c>
      <c r="R151" s="19" t="str">
        <f t="shared" si="27"/>
        <v/>
      </c>
      <c r="S151" s="5"/>
      <c r="T151" s="5"/>
      <c r="U151" s="5"/>
      <c r="V151" s="24"/>
      <c r="W151" s="15"/>
      <c r="X151" s="15"/>
      <c r="Y151" s="15"/>
      <c r="Z151" s="19" t="str">
        <f t="shared" si="28"/>
        <v/>
      </c>
      <c r="AA151" s="19" t="str">
        <f t="shared" si="29"/>
        <v/>
      </c>
      <c r="AB151" s="5"/>
      <c r="AC151" s="5"/>
      <c r="AE151" t="str">
        <f>IFERROR(INDEX(EqTag,_xlfn.AGGREGATE(15,6,(ROW(EqTag)-4)/((EqSys=$D$3)*(EqTag&lt;&gt;"")),ROWS($AE$14:AE151))),"")</f>
        <v/>
      </c>
    </row>
    <row r="152" spans="1:31" ht="30" customHeight="1" x14ac:dyDescent="0.2">
      <c r="A152" s="19" t="str">
        <f>IF(F152="","",LEFT($D$3,3)&amp;"-"&amp;TEXT(COUNTIF(F$14:F152,"?*"),"00"))</f>
        <v/>
      </c>
      <c r="B152" s="5"/>
      <c r="C152" s="6" t="str">
        <f t="shared" si="24"/>
        <v/>
      </c>
      <c r="D152" s="5"/>
      <c r="E152" s="5"/>
      <c r="F152" s="5"/>
      <c r="G152" s="5"/>
      <c r="H152" s="5"/>
      <c r="I152" s="5"/>
      <c r="J152" s="5"/>
      <c r="K152" s="15"/>
      <c r="L152" s="5"/>
      <c r="M152" s="15"/>
      <c r="N152" s="5"/>
      <c r="O152" s="15"/>
      <c r="P152" s="19" t="str">
        <f t="shared" si="25"/>
        <v/>
      </c>
      <c r="Q152" s="19" t="str">
        <f t="shared" si="26"/>
        <v/>
      </c>
      <c r="R152" s="19" t="str">
        <f t="shared" si="27"/>
        <v/>
      </c>
      <c r="S152" s="5"/>
      <c r="T152" s="5"/>
      <c r="U152" s="5"/>
      <c r="V152" s="24"/>
      <c r="W152" s="15"/>
      <c r="X152" s="15"/>
      <c r="Y152" s="15"/>
      <c r="Z152" s="19" t="str">
        <f t="shared" si="28"/>
        <v/>
      </c>
      <c r="AA152" s="19" t="str">
        <f t="shared" si="29"/>
        <v/>
      </c>
      <c r="AB152" s="5"/>
      <c r="AC152" s="5"/>
      <c r="AE152" t="str">
        <f>IFERROR(INDEX(EqTag,_xlfn.AGGREGATE(15,6,(ROW(EqTag)-4)/((EqSys=$D$3)*(EqTag&lt;&gt;"")),ROWS($AE$14:AE152))),"")</f>
        <v/>
      </c>
    </row>
    <row r="153" spans="1:31" ht="30" customHeight="1" x14ac:dyDescent="0.2">
      <c r="A153" s="19" t="str">
        <f>IF(F153="","",LEFT($D$3,3)&amp;"-"&amp;TEXT(COUNTIF(F$14:F153,"?*"),"00"))</f>
        <v/>
      </c>
      <c r="B153" s="5"/>
      <c r="C153" s="6" t="str">
        <f t="shared" si="24"/>
        <v/>
      </c>
      <c r="D153" s="5"/>
      <c r="E153" s="5"/>
      <c r="F153" s="5"/>
      <c r="G153" s="5"/>
      <c r="H153" s="5"/>
      <c r="I153" s="5"/>
      <c r="J153" s="5"/>
      <c r="K153" s="15"/>
      <c r="L153" s="5"/>
      <c r="M153" s="15"/>
      <c r="N153" s="5"/>
      <c r="O153" s="15"/>
      <c r="P153" s="19" t="str">
        <f t="shared" si="25"/>
        <v/>
      </c>
      <c r="Q153" s="19" t="str">
        <f t="shared" si="26"/>
        <v/>
      </c>
      <c r="R153" s="19" t="str">
        <f t="shared" si="27"/>
        <v/>
      </c>
      <c r="S153" s="5"/>
      <c r="T153" s="5"/>
      <c r="U153" s="5"/>
      <c r="V153" s="24"/>
      <c r="W153" s="15"/>
      <c r="X153" s="15"/>
      <c r="Y153" s="15"/>
      <c r="Z153" s="19" t="str">
        <f t="shared" si="28"/>
        <v/>
      </c>
      <c r="AA153" s="19" t="str">
        <f t="shared" si="29"/>
        <v/>
      </c>
      <c r="AB153" s="5"/>
      <c r="AC153" s="5"/>
      <c r="AE153" t="str">
        <f>IFERROR(INDEX(EqTag,_xlfn.AGGREGATE(15,6,(ROW(EqTag)-4)/((EqSys=$D$3)*(EqTag&lt;&gt;"")),ROWS($AE$14:AE153))),"")</f>
        <v/>
      </c>
    </row>
    <row r="154" spans="1:31" ht="30" customHeight="1" x14ac:dyDescent="0.2">
      <c r="A154" s="19" t="str">
        <f>IF(F154="","",LEFT($D$3,3)&amp;"-"&amp;TEXT(COUNTIF(F$14:F154,"?*"),"00"))</f>
        <v/>
      </c>
      <c r="B154" s="5"/>
      <c r="C154" s="6" t="str">
        <f t="shared" si="24"/>
        <v/>
      </c>
      <c r="D154" s="5"/>
      <c r="E154" s="5"/>
      <c r="F154" s="5"/>
      <c r="G154" s="5"/>
      <c r="H154" s="5"/>
      <c r="I154" s="5"/>
      <c r="J154" s="5"/>
      <c r="K154" s="15"/>
      <c r="L154" s="5"/>
      <c r="M154" s="15"/>
      <c r="N154" s="5"/>
      <c r="O154" s="15"/>
      <c r="P154" s="19" t="str">
        <f t="shared" si="25"/>
        <v/>
      </c>
      <c r="Q154" s="19" t="str">
        <f t="shared" si="26"/>
        <v/>
      </c>
      <c r="R154" s="19" t="str">
        <f t="shared" si="27"/>
        <v/>
      </c>
      <c r="S154" s="5"/>
      <c r="T154" s="5"/>
      <c r="U154" s="5"/>
      <c r="V154" s="24"/>
      <c r="W154" s="15"/>
      <c r="X154" s="15"/>
      <c r="Y154" s="15"/>
      <c r="Z154" s="19" t="str">
        <f t="shared" si="28"/>
        <v/>
      </c>
      <c r="AA154" s="19" t="str">
        <f t="shared" si="29"/>
        <v/>
      </c>
      <c r="AB154" s="5"/>
      <c r="AC154" s="5"/>
      <c r="AE154" t="str">
        <f>IFERROR(INDEX(EqTag,_xlfn.AGGREGATE(15,6,(ROW(EqTag)-4)/((EqSys=$D$3)*(EqTag&lt;&gt;"")),ROWS($AE$14:AE154))),"")</f>
        <v/>
      </c>
    </row>
    <row r="155" spans="1:31" ht="30" customHeight="1" x14ac:dyDescent="0.2">
      <c r="A155" s="19" t="str">
        <f>IF(F155="","",LEFT($D$3,3)&amp;"-"&amp;TEXT(COUNTIF(F$14:F155,"?*"),"00"))</f>
        <v/>
      </c>
      <c r="B155" s="5"/>
      <c r="C155" s="6" t="str">
        <f t="shared" si="24"/>
        <v/>
      </c>
      <c r="D155" s="5"/>
      <c r="E155" s="5"/>
      <c r="F155" s="5"/>
      <c r="G155" s="5"/>
      <c r="H155" s="5"/>
      <c r="I155" s="5"/>
      <c r="J155" s="5"/>
      <c r="K155" s="15"/>
      <c r="L155" s="5"/>
      <c r="M155" s="15"/>
      <c r="N155" s="5"/>
      <c r="O155" s="15"/>
      <c r="P155" s="19" t="str">
        <f t="shared" si="25"/>
        <v/>
      </c>
      <c r="Q155" s="19" t="str">
        <f t="shared" si="26"/>
        <v/>
      </c>
      <c r="R155" s="19" t="str">
        <f t="shared" si="27"/>
        <v/>
      </c>
      <c r="S155" s="5"/>
      <c r="T155" s="5"/>
      <c r="U155" s="5"/>
      <c r="V155" s="24"/>
      <c r="W155" s="15"/>
      <c r="X155" s="15"/>
      <c r="Y155" s="15"/>
      <c r="Z155" s="19" t="str">
        <f t="shared" si="28"/>
        <v/>
      </c>
      <c r="AA155" s="19" t="str">
        <f t="shared" si="29"/>
        <v/>
      </c>
      <c r="AB155" s="5"/>
      <c r="AC155" s="5"/>
      <c r="AE155" t="str">
        <f>IFERROR(INDEX(EqTag,_xlfn.AGGREGATE(15,6,(ROW(EqTag)-4)/((EqSys=$D$3)*(EqTag&lt;&gt;"")),ROWS($AE$14:AE155))),"")</f>
        <v/>
      </c>
    </row>
    <row r="156" spans="1:31" ht="30" customHeight="1" x14ac:dyDescent="0.2">
      <c r="A156" s="19" t="str">
        <f>IF(F156="","",LEFT($D$3,3)&amp;"-"&amp;TEXT(COUNTIF(F$14:F156,"?*"),"00"))</f>
        <v/>
      </c>
      <c r="B156" s="5"/>
      <c r="C156" s="6" t="str">
        <f t="shared" si="24"/>
        <v/>
      </c>
      <c r="D156" s="5"/>
      <c r="E156" s="5"/>
      <c r="F156" s="5"/>
      <c r="G156" s="5"/>
      <c r="H156" s="5"/>
      <c r="I156" s="5"/>
      <c r="J156" s="5"/>
      <c r="K156" s="15"/>
      <c r="L156" s="5"/>
      <c r="M156" s="15"/>
      <c r="N156" s="5"/>
      <c r="O156" s="15"/>
      <c r="P156" s="19" t="str">
        <f t="shared" si="25"/>
        <v/>
      </c>
      <c r="Q156" s="19" t="str">
        <f t="shared" si="26"/>
        <v/>
      </c>
      <c r="R156" s="19" t="str">
        <f t="shared" si="27"/>
        <v/>
      </c>
      <c r="S156" s="5"/>
      <c r="T156" s="5"/>
      <c r="U156" s="5"/>
      <c r="V156" s="24"/>
      <c r="W156" s="15"/>
      <c r="X156" s="15"/>
      <c r="Y156" s="15"/>
      <c r="Z156" s="19" t="str">
        <f t="shared" si="28"/>
        <v/>
      </c>
      <c r="AA156" s="19" t="str">
        <f t="shared" si="29"/>
        <v/>
      </c>
      <c r="AB156" s="5"/>
      <c r="AC156" s="5"/>
      <c r="AE156" t="str">
        <f>IFERROR(INDEX(EqTag,_xlfn.AGGREGATE(15,6,(ROW(EqTag)-4)/((EqSys=$D$3)*(EqTag&lt;&gt;"")),ROWS($AE$14:AE156))),"")</f>
        <v/>
      </c>
    </row>
    <row r="157" spans="1:31" ht="30" customHeight="1" x14ac:dyDescent="0.2">
      <c r="A157" s="19" t="str">
        <f>IF(F157="","",LEFT($D$3,3)&amp;"-"&amp;TEXT(COUNTIF(F$14:F157,"?*"),"00"))</f>
        <v/>
      </c>
      <c r="B157" s="5"/>
      <c r="C157" s="6" t="str">
        <f t="shared" si="24"/>
        <v/>
      </c>
      <c r="D157" s="5"/>
      <c r="E157" s="5"/>
      <c r="F157" s="5"/>
      <c r="G157" s="5"/>
      <c r="H157" s="5"/>
      <c r="I157" s="5"/>
      <c r="J157" s="5"/>
      <c r="K157" s="15"/>
      <c r="L157" s="5"/>
      <c r="M157" s="15"/>
      <c r="N157" s="5"/>
      <c r="O157" s="15"/>
      <c r="P157" s="19" t="str">
        <f t="shared" si="25"/>
        <v/>
      </c>
      <c r="Q157" s="19" t="str">
        <f t="shared" si="26"/>
        <v/>
      </c>
      <c r="R157" s="19" t="str">
        <f t="shared" si="27"/>
        <v/>
      </c>
      <c r="S157" s="5"/>
      <c r="T157" s="5"/>
      <c r="U157" s="5"/>
      <c r="V157" s="24"/>
      <c r="W157" s="15"/>
      <c r="X157" s="15"/>
      <c r="Y157" s="15"/>
      <c r="Z157" s="19" t="str">
        <f t="shared" si="28"/>
        <v/>
      </c>
      <c r="AA157" s="19" t="str">
        <f t="shared" si="29"/>
        <v/>
      </c>
      <c r="AB157" s="5"/>
      <c r="AC157" s="5"/>
      <c r="AE157" t="str">
        <f>IFERROR(INDEX(EqTag,_xlfn.AGGREGATE(15,6,(ROW(EqTag)-4)/((EqSys=$D$3)*(EqTag&lt;&gt;"")),ROWS($AE$14:AE157))),"")</f>
        <v/>
      </c>
    </row>
    <row r="158" spans="1:31" ht="30" customHeight="1" x14ac:dyDescent="0.2">
      <c r="A158" s="19" t="str">
        <f>IF(F158="","",LEFT($D$3,3)&amp;"-"&amp;TEXT(COUNTIF(F$14:F158,"?*"),"00"))</f>
        <v/>
      </c>
      <c r="B158" s="5"/>
      <c r="C158" s="6" t="str">
        <f t="shared" si="24"/>
        <v/>
      </c>
      <c r="D158" s="5"/>
      <c r="E158" s="5"/>
      <c r="F158" s="5"/>
      <c r="G158" s="5"/>
      <c r="H158" s="5"/>
      <c r="I158" s="5"/>
      <c r="J158" s="5"/>
      <c r="K158" s="15"/>
      <c r="L158" s="5"/>
      <c r="M158" s="15"/>
      <c r="N158" s="5"/>
      <c r="O158" s="15"/>
      <c r="P158" s="19" t="str">
        <f t="shared" si="25"/>
        <v/>
      </c>
      <c r="Q158" s="19" t="str">
        <f t="shared" si="26"/>
        <v/>
      </c>
      <c r="R158" s="19" t="str">
        <f t="shared" si="27"/>
        <v/>
      </c>
      <c r="S158" s="5"/>
      <c r="T158" s="5"/>
      <c r="U158" s="5"/>
      <c r="V158" s="24"/>
      <c r="W158" s="15"/>
      <c r="X158" s="15"/>
      <c r="Y158" s="15"/>
      <c r="Z158" s="19" t="str">
        <f t="shared" si="28"/>
        <v/>
      </c>
      <c r="AA158" s="19" t="str">
        <f t="shared" si="29"/>
        <v/>
      </c>
      <c r="AB158" s="5"/>
      <c r="AC158" s="5"/>
      <c r="AE158" t="str">
        <f>IFERROR(INDEX(EqTag,_xlfn.AGGREGATE(15,6,(ROW(EqTag)-4)/((EqSys=$D$3)*(EqTag&lt;&gt;"")),ROWS($AE$14:AE158))),"")</f>
        <v/>
      </c>
    </row>
    <row r="159" spans="1:31" ht="30" customHeight="1" x14ac:dyDescent="0.2">
      <c r="A159" s="19" t="str">
        <f>IF(F159="","",LEFT($D$3,3)&amp;"-"&amp;TEXT(COUNTIF(F$14:F159,"?*"),"00"))</f>
        <v/>
      </c>
      <c r="B159" s="5"/>
      <c r="C159" s="6" t="str">
        <f t="shared" si="24"/>
        <v/>
      </c>
      <c r="D159" s="5"/>
      <c r="E159" s="5"/>
      <c r="F159" s="5"/>
      <c r="G159" s="5"/>
      <c r="H159" s="5"/>
      <c r="I159" s="5"/>
      <c r="J159" s="5"/>
      <c r="K159" s="15"/>
      <c r="L159" s="5"/>
      <c r="M159" s="15"/>
      <c r="N159" s="5"/>
      <c r="O159" s="15"/>
      <c r="P159" s="19" t="str">
        <f t="shared" si="25"/>
        <v/>
      </c>
      <c r="Q159" s="19" t="str">
        <f t="shared" si="26"/>
        <v/>
      </c>
      <c r="R159" s="19" t="str">
        <f t="shared" si="27"/>
        <v/>
      </c>
      <c r="S159" s="5"/>
      <c r="T159" s="5"/>
      <c r="U159" s="5"/>
      <c r="V159" s="24"/>
      <c r="W159" s="15"/>
      <c r="X159" s="15"/>
      <c r="Y159" s="15"/>
      <c r="Z159" s="19" t="str">
        <f t="shared" si="28"/>
        <v/>
      </c>
      <c r="AA159" s="19" t="str">
        <f t="shared" si="29"/>
        <v/>
      </c>
      <c r="AB159" s="5"/>
      <c r="AC159" s="5"/>
      <c r="AE159" t="str">
        <f>IFERROR(INDEX(EqTag,_xlfn.AGGREGATE(15,6,(ROW(EqTag)-4)/((EqSys=$D$3)*(EqTag&lt;&gt;"")),ROWS($AE$14:AE159))),"")</f>
        <v/>
      </c>
    </row>
    <row r="160" spans="1:31" ht="30" customHeight="1" x14ac:dyDescent="0.2">
      <c r="A160" s="19" t="str">
        <f>IF(F160="","",LEFT($D$3,3)&amp;"-"&amp;TEXT(COUNTIF(F$14:F160,"?*"),"00"))</f>
        <v/>
      </c>
      <c r="B160" s="5"/>
      <c r="C160" s="6" t="str">
        <f t="shared" si="24"/>
        <v/>
      </c>
      <c r="D160" s="5"/>
      <c r="E160" s="5"/>
      <c r="F160" s="5"/>
      <c r="G160" s="5"/>
      <c r="H160" s="5"/>
      <c r="I160" s="5"/>
      <c r="J160" s="5"/>
      <c r="K160" s="15"/>
      <c r="L160" s="5"/>
      <c r="M160" s="15"/>
      <c r="N160" s="5"/>
      <c r="O160" s="15"/>
      <c r="P160" s="19" t="str">
        <f t="shared" si="25"/>
        <v/>
      </c>
      <c r="Q160" s="19" t="str">
        <f t="shared" si="26"/>
        <v/>
      </c>
      <c r="R160" s="19" t="str">
        <f t="shared" si="27"/>
        <v/>
      </c>
      <c r="S160" s="5"/>
      <c r="T160" s="5"/>
      <c r="U160" s="5"/>
      <c r="V160" s="24"/>
      <c r="W160" s="15"/>
      <c r="X160" s="15"/>
      <c r="Y160" s="15"/>
      <c r="Z160" s="19" t="str">
        <f t="shared" si="28"/>
        <v/>
      </c>
      <c r="AA160" s="19" t="str">
        <f t="shared" si="29"/>
        <v/>
      </c>
      <c r="AB160" s="5"/>
      <c r="AC160" s="5"/>
      <c r="AE160" t="str">
        <f>IFERROR(INDEX(EqTag,_xlfn.AGGREGATE(15,6,(ROW(EqTag)-4)/((EqSys=$D$3)*(EqTag&lt;&gt;"")),ROWS($AE$14:AE160))),"")</f>
        <v/>
      </c>
    </row>
    <row r="161" spans="1:31" ht="30" customHeight="1" x14ac:dyDescent="0.2">
      <c r="A161" s="19" t="str">
        <f>IF(F161="","",LEFT($D$3,3)&amp;"-"&amp;TEXT(COUNTIF(F$14:F161,"?*"),"00"))</f>
        <v/>
      </c>
      <c r="B161" s="5"/>
      <c r="C161" s="6" t="str">
        <f t="shared" si="24"/>
        <v/>
      </c>
      <c r="D161" s="5"/>
      <c r="E161" s="5"/>
      <c r="F161" s="5"/>
      <c r="G161" s="5"/>
      <c r="H161" s="5"/>
      <c r="I161" s="5"/>
      <c r="J161" s="5"/>
      <c r="K161" s="15"/>
      <c r="L161" s="5"/>
      <c r="M161" s="15"/>
      <c r="N161" s="5"/>
      <c r="O161" s="15"/>
      <c r="P161" s="19" t="str">
        <f t="shared" si="25"/>
        <v/>
      </c>
      <c r="Q161" s="19" t="str">
        <f t="shared" si="26"/>
        <v/>
      </c>
      <c r="R161" s="19" t="str">
        <f t="shared" si="27"/>
        <v/>
      </c>
      <c r="S161" s="5"/>
      <c r="T161" s="5"/>
      <c r="U161" s="5"/>
      <c r="V161" s="24"/>
      <c r="W161" s="15"/>
      <c r="X161" s="15"/>
      <c r="Y161" s="15"/>
      <c r="Z161" s="19" t="str">
        <f t="shared" si="28"/>
        <v/>
      </c>
      <c r="AA161" s="19" t="str">
        <f t="shared" si="29"/>
        <v/>
      </c>
      <c r="AB161" s="5"/>
      <c r="AC161" s="5"/>
      <c r="AE161" t="str">
        <f>IFERROR(INDEX(EqTag,_xlfn.AGGREGATE(15,6,(ROW(EqTag)-4)/((EqSys=$D$3)*(EqTag&lt;&gt;"")),ROWS($AE$14:AE161))),"")</f>
        <v/>
      </c>
    </row>
    <row r="162" spans="1:31" ht="30" customHeight="1" x14ac:dyDescent="0.2">
      <c r="A162" s="19" t="str">
        <f>IF(F162="","",LEFT($D$3,3)&amp;"-"&amp;TEXT(COUNTIF(F$14:F162,"?*"),"00"))</f>
        <v/>
      </c>
      <c r="B162" s="5"/>
      <c r="C162" s="6" t="str">
        <f t="shared" si="24"/>
        <v/>
      </c>
      <c r="D162" s="5"/>
      <c r="E162" s="5"/>
      <c r="F162" s="5"/>
      <c r="G162" s="5"/>
      <c r="H162" s="5"/>
      <c r="I162" s="5"/>
      <c r="J162" s="5"/>
      <c r="K162" s="15"/>
      <c r="L162" s="5"/>
      <c r="M162" s="15"/>
      <c r="N162" s="5"/>
      <c r="O162" s="15"/>
      <c r="P162" s="19" t="str">
        <f t="shared" si="25"/>
        <v/>
      </c>
      <c r="Q162" s="19" t="str">
        <f t="shared" si="26"/>
        <v/>
      </c>
      <c r="R162" s="19" t="str">
        <f t="shared" si="27"/>
        <v/>
      </c>
      <c r="S162" s="5"/>
      <c r="T162" s="5"/>
      <c r="U162" s="5"/>
      <c r="V162" s="24"/>
      <c r="W162" s="15"/>
      <c r="X162" s="15"/>
      <c r="Y162" s="15"/>
      <c r="Z162" s="19" t="str">
        <f t="shared" si="28"/>
        <v/>
      </c>
      <c r="AA162" s="19" t="str">
        <f t="shared" si="29"/>
        <v/>
      </c>
      <c r="AB162" s="5"/>
      <c r="AC162" s="5"/>
      <c r="AE162" t="str">
        <f>IFERROR(INDEX(EqTag,_xlfn.AGGREGATE(15,6,(ROW(EqTag)-4)/((EqSys=$D$3)*(EqTag&lt;&gt;"")),ROWS($AE$14:AE162))),"")</f>
        <v/>
      </c>
    </row>
    <row r="163" spans="1:31" ht="30" customHeight="1" x14ac:dyDescent="0.2">
      <c r="A163" s="19" t="str">
        <f>IF(F163="","",LEFT($D$3,3)&amp;"-"&amp;TEXT(COUNTIF(F$14:F163,"?*"),"00"))</f>
        <v/>
      </c>
      <c r="B163" s="5"/>
      <c r="C163" s="6" t="str">
        <f t="shared" si="24"/>
        <v/>
      </c>
      <c r="D163" s="5"/>
      <c r="E163" s="5"/>
      <c r="F163" s="5"/>
      <c r="G163" s="5"/>
      <c r="H163" s="5"/>
      <c r="I163" s="5"/>
      <c r="J163" s="5"/>
      <c r="K163" s="15"/>
      <c r="L163" s="5"/>
      <c r="M163" s="15"/>
      <c r="N163" s="5"/>
      <c r="O163" s="15"/>
      <c r="P163" s="19" t="str">
        <f t="shared" si="25"/>
        <v/>
      </c>
      <c r="Q163" s="19" t="str">
        <f t="shared" si="26"/>
        <v/>
      </c>
      <c r="R163" s="19" t="str">
        <f t="shared" si="27"/>
        <v/>
      </c>
      <c r="S163" s="5"/>
      <c r="T163" s="5"/>
      <c r="U163" s="5"/>
      <c r="V163" s="24"/>
      <c r="W163" s="15"/>
      <c r="X163" s="15"/>
      <c r="Y163" s="15"/>
      <c r="Z163" s="19" t="str">
        <f t="shared" si="28"/>
        <v/>
      </c>
      <c r="AA163" s="19" t="str">
        <f t="shared" si="29"/>
        <v/>
      </c>
      <c r="AB163" s="5"/>
      <c r="AC163" s="5"/>
      <c r="AE163" t="str">
        <f>IFERROR(INDEX(EqTag,_xlfn.AGGREGATE(15,6,(ROW(EqTag)-4)/((EqSys=$D$3)*(EqTag&lt;&gt;"")),ROWS($AE$14:AE163))),"")</f>
        <v/>
      </c>
    </row>
  </sheetData>
  <mergeCells count="22">
    <mergeCell ref="S12:V12"/>
    <mergeCell ref="D8:O8"/>
    <mergeCell ref="AB12:AC12"/>
    <mergeCell ref="K12:R12"/>
    <mergeCell ref="D5:O5"/>
    <mergeCell ref="W12:AA12"/>
    <mergeCell ref="A11:O11"/>
    <mergeCell ref="A7:C7"/>
    <mergeCell ref="D6:O6"/>
    <mergeCell ref="D3:J3"/>
    <mergeCell ref="A3:C3"/>
    <mergeCell ref="A12:F12"/>
    <mergeCell ref="D7:O7"/>
    <mergeCell ref="L3:M3"/>
    <mergeCell ref="A5:C5"/>
    <mergeCell ref="A8:C8"/>
    <mergeCell ref="G12:J12"/>
    <mergeCell ref="D4:O4"/>
    <mergeCell ref="D9:O9"/>
    <mergeCell ref="A4:C4"/>
    <mergeCell ref="A9:C9"/>
    <mergeCell ref="A6:C6"/>
  </mergeCells>
  <conditionalFormatting sqref="Q14:Q163">
    <cfRule type="expression" dxfId="17" priority="1">
      <formula>Q14="H"</formula>
    </cfRule>
    <cfRule type="expression" dxfId="16" priority="3">
      <formula>Q14="M"</formula>
    </cfRule>
    <cfRule type="expression" dxfId="15" priority="5">
      <formula>Q14="L"</formula>
    </cfRule>
  </conditionalFormatting>
  <conditionalFormatting sqref="AA14:AA163">
    <cfRule type="expression" dxfId="14" priority="2">
      <formula>AA14="H"</formula>
    </cfRule>
    <cfRule type="expression" dxfId="13" priority="4">
      <formula>AA14="M"</formula>
    </cfRule>
    <cfRule type="expression" dxfId="12" priority="6">
      <formula>AA14="L"</formula>
    </cfRule>
  </conditionalFormatting>
  <conditionalFormatting sqref="R14:R163">
    <cfRule type="expression" dxfId="11" priority="7">
      <formula>R14="Yes"</formula>
    </cfRule>
  </conditionalFormatting>
  <conditionalFormatting sqref="P14:P163">
    <cfRule type="expression" dxfId="10" priority="8">
      <formula>AND(ISNUMBER(P14),P14&gt;=RPNThr)</formula>
    </cfRule>
  </conditionalFormatting>
  <conditionalFormatting sqref="Z14:Z163">
    <cfRule type="expression" dxfId="9" priority="9">
      <formula>AND(ISNUMBER(Z14),Z14&gt;=RPNThr)</formula>
    </cfRule>
  </conditionalFormatting>
  <dataValidations count="10">
    <dataValidation type="list" allowBlank="1" showInputMessage="1" showErrorMessage="1" promptTitle="Select" prompt="Choose the system analysed on this sheet" sqref="D3" xr:uid="{00000000-0002-0000-0F00-000000000000}">
      <formula1>SystemList</formula1>
    </dataValidation>
    <dataValidation type="list" errorStyle="information" allowBlank="1" showInputMessage="1" showErrorMessage="1" errorTitle="Not in list" error="Entry is not in the list – it will be accepted as free text." promptTitle="Select" prompt="Equipment tags of the selected system (from the Equipment Register)" sqref="B14:B163" xr:uid="{00000000-0002-0000-0F00-000001000000}">
      <formula1>OFFSET($AE$14,0,0,MAX(1,COUNTIFS(EqSys,$D$3,EqTag,"?*")),1)</formula1>
    </dataValidation>
    <dataValidation type="list" errorStyle="information" allowBlank="1" showInputMessage="1" showErrorMessage="1" errorTitle="Not in list" error="Entry is not in the list – it will be accepted as free text." promptTitle="Select" prompt="Components for this equipment type – or type your own" sqref="D14:D163" xr:uid="{00000000-0002-0000-0F00-000002000000}">
      <formula1>OFFSET(CompStart,MATCH($C14,CompType,0)-1,0,MAX(1,COUNTIF(CompType,$C14)),1)</formula1>
    </dataValidation>
    <dataValidation type="list" errorStyle="information" allowBlank="1" showInputMessage="1" showErrorMessage="1" errorTitle="Not in list" error="Entry is not in the list – it will be accepted as free text." promptTitle="Select" prompt="Failure modes for this equipment type – or type your own" sqref="F14:F163" xr:uid="{00000000-0002-0000-0F00-000003000000}">
      <formula1>OFFSET(FMStart,MATCH($C14,FMType,0)-1,0,MAX(1,COUNTIF(FMType,$C14)),1)</formula1>
    </dataValidation>
    <dataValidation type="list" allowBlank="1" showInputMessage="1" promptTitle="Multi-select" prompt="Pick a cause – each pick is added as a new line; pick again to remove." sqref="G14:G163" xr:uid="{00000000-0002-0000-0F00-000004000000}">
      <formula1>MechList</formula1>
    </dataValidation>
    <dataValidation type="list" allowBlank="1" showInputMessage="1" promptTitle="Multi-select" prompt="Pick a detection method – each pick is added as a new line; pick again to remove." sqref="N14:N163" xr:uid="{00000000-0002-0000-0F00-000005000000}">
      <formula1>DetList</formula1>
    </dataValidation>
    <dataValidation type="list" errorStyle="information" allowBlank="1" showErrorMessage="1" errorTitle="Not in list" error="Entry is not in the list – it will be accepted as free text." sqref="T14:T163" xr:uid="{00000000-0002-0000-0F00-000006000000}">
      <formula1>TaskList</formula1>
    </dataValidation>
    <dataValidation type="list" allowBlank="1" showErrorMessage="1" sqref="K14:K163 W14:W163" xr:uid="{00000000-0002-0000-0F00-000007000000}">
      <formula1>SevList</formula1>
    </dataValidation>
    <dataValidation type="list" allowBlank="1" showErrorMessage="1" sqref="M14:M163 X14:X163" xr:uid="{00000000-0002-0000-0F00-000008000000}">
      <formula1>OccList</formula1>
    </dataValidation>
    <dataValidation type="list" allowBlank="1" showErrorMessage="1" sqref="O14:O163 Y14:Y163" xr:uid="{00000000-0002-0000-0F00-000009000000}">
      <formula1>DetScaleList</formula1>
    </dataValidation>
  </dataValidations>
  <pageMargins left="0.75" right="0.75" top="1" bottom="1" header="0.5" footer="0.5"/>
  <pageSetup paperSize="8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pageSetUpPr fitToPage="1"/>
  </sheetPr>
  <dimension ref="A1:AE163"/>
  <sheetViews>
    <sheetView workbookViewId="0">
      <pane xSplit="2" ySplit="13" topLeftCell="C14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7" customWidth="1"/>
    <col min="2" max="2" width="14" customWidth="1"/>
    <col min="3" max="4" width="22" customWidth="1"/>
    <col min="5" max="5" width="26" customWidth="1"/>
    <col min="6" max="6" width="28" customWidth="1"/>
    <col min="7" max="7" width="44" customWidth="1"/>
    <col min="8" max="9" width="28" customWidth="1"/>
    <col min="10" max="10" width="32" customWidth="1"/>
    <col min="11" max="11" width="18" customWidth="1"/>
    <col min="12" max="12" width="30" customWidth="1"/>
    <col min="13" max="13" width="18" customWidth="1"/>
    <col min="14" max="14" width="38" customWidth="1"/>
    <col min="15" max="15" width="18" customWidth="1"/>
    <col min="16" max="16" width="7" customWidth="1"/>
    <col min="17" max="17" width="6" customWidth="1"/>
    <col min="18" max="18" width="9" customWidth="1"/>
    <col min="19" max="19" width="34" customWidth="1"/>
    <col min="20" max="20" width="22" customWidth="1"/>
    <col min="21" max="21" width="14" customWidth="1"/>
    <col min="22" max="22" width="12" customWidth="1"/>
    <col min="23" max="25" width="18" customWidth="1"/>
    <col min="26" max="26" width="7" customWidth="1"/>
    <col min="27" max="27" width="6" customWidth="1"/>
    <col min="28" max="28" width="12" customWidth="1"/>
    <col min="29" max="29" width="24" customWidth="1"/>
    <col min="31" max="31" width="13" hidden="1" customWidth="1"/>
  </cols>
  <sheetData>
    <row r="1" spans="1:31" ht="18" x14ac:dyDescent="0.2">
      <c r="A1" s="21" t="s">
        <v>820</v>
      </c>
      <c r="F1" s="22" t="str">
        <f>Cover!B7</f>
        <v>FMECA – [Plant / Unit name]</v>
      </c>
    </row>
    <row r="3" spans="1:31" ht="16" x14ac:dyDescent="0.2">
      <c r="A3" s="28" t="s">
        <v>821</v>
      </c>
      <c r="B3" s="29"/>
      <c r="C3" s="30"/>
      <c r="D3" s="26"/>
      <c r="E3" s="27"/>
      <c r="F3" s="27"/>
      <c r="G3" s="27"/>
      <c r="H3" s="27"/>
      <c r="I3" s="27"/>
      <c r="J3" s="27"/>
      <c r="K3" s="23" t="s">
        <v>822</v>
      </c>
      <c r="L3" s="34"/>
      <c r="M3" s="27"/>
      <c r="N3" s="23" t="s">
        <v>823</v>
      </c>
      <c r="O3" s="19" t="str">
        <f>IF($D$3="","",COUNTIFS(EqSys,$D$3,EqTag,"?*"))</f>
        <v/>
      </c>
    </row>
    <row r="4" spans="1:31" ht="16" customHeight="1" x14ac:dyDescent="0.2">
      <c r="A4" s="35" t="s">
        <v>824</v>
      </c>
      <c r="B4" s="27"/>
      <c r="C4" s="27"/>
      <c r="D4" s="33" t="str">
        <f>IF($D$3="","",IFERROR(INDEX(Systems!$B$5:$B$34,MATCH($D$3,Systems!$C$5:$C$34,0))&amp;"",""))</f>
        <v/>
      </c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</row>
    <row r="5" spans="1:31" ht="30" customHeight="1" x14ac:dyDescent="0.2">
      <c r="A5" s="35" t="s">
        <v>140</v>
      </c>
      <c r="B5" s="27"/>
      <c r="C5" s="27"/>
      <c r="D5" s="33" t="str">
        <f>IF($D$3="","",IFERROR(INDEX(Systems!$D$5:$D$34,MATCH($D$3,Systems!$C$5:$C$34,0))&amp;"",""))</f>
        <v/>
      </c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</row>
    <row r="6" spans="1:31" ht="30" customHeight="1" x14ac:dyDescent="0.2">
      <c r="A6" s="35" t="s">
        <v>24</v>
      </c>
      <c r="B6" s="27"/>
      <c r="C6" s="27"/>
      <c r="D6" s="33" t="str">
        <f>IF($D$3="","",IFERROR(INDEX(Systems!$E$5:$E$34,MATCH($D$3,Systems!$C$5:$C$34,0))&amp;"",""))</f>
        <v/>
      </c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</row>
    <row r="7" spans="1:31" ht="30" customHeight="1" x14ac:dyDescent="0.2">
      <c r="A7" s="35" t="s">
        <v>142</v>
      </c>
      <c r="B7" s="27"/>
      <c r="C7" s="27"/>
      <c r="D7" s="33" t="str">
        <f>IF($D$3="","",IFERROR(INDEX(Systems!$F$5:$F$34,MATCH($D$3,Systems!$C$5:$C$34,0))&amp;"",""))</f>
        <v/>
      </c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</row>
    <row r="8" spans="1:31" ht="16" customHeight="1" x14ac:dyDescent="0.2">
      <c r="A8" s="35" t="s">
        <v>143</v>
      </c>
      <c r="B8" s="27"/>
      <c r="C8" s="27"/>
      <c r="D8" s="33" t="str">
        <f>IF($D$3="","",IFERROR(INDEX(Systems!$G$5:$G$34,MATCH($D$3,Systems!$C$5:$C$34,0))&amp;"",""))</f>
        <v/>
      </c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</row>
    <row r="9" spans="1:31" ht="16" customHeight="1" x14ac:dyDescent="0.2">
      <c r="A9" s="35" t="s">
        <v>144</v>
      </c>
      <c r="B9" s="27"/>
      <c r="C9" s="27"/>
      <c r="D9" s="33" t="str">
        <f>IF($D$3="","",IFERROR(INDEX(Systems!$H$5:$H$34,MATCH($D$3,Systems!$C$5:$C$34,0))&amp;"",""))</f>
        <v/>
      </c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</row>
    <row r="11" spans="1:31" ht="26" customHeight="1" x14ac:dyDescent="0.2">
      <c r="A11" s="36" t="s">
        <v>825</v>
      </c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</row>
    <row r="12" spans="1:31" x14ac:dyDescent="0.2">
      <c r="A12" s="31" t="s">
        <v>826</v>
      </c>
      <c r="B12" s="32"/>
      <c r="C12" s="32"/>
      <c r="D12" s="32"/>
      <c r="E12" s="32"/>
      <c r="F12" s="32"/>
      <c r="G12" s="31" t="s">
        <v>827</v>
      </c>
      <c r="H12" s="32"/>
      <c r="I12" s="32"/>
      <c r="J12" s="32"/>
      <c r="K12" s="31" t="s">
        <v>828</v>
      </c>
      <c r="L12" s="32"/>
      <c r="M12" s="32"/>
      <c r="N12" s="32"/>
      <c r="O12" s="32"/>
      <c r="P12" s="32"/>
      <c r="Q12" s="32"/>
      <c r="R12" s="32"/>
      <c r="S12" s="31" t="s">
        <v>829</v>
      </c>
      <c r="T12" s="32"/>
      <c r="U12" s="32"/>
      <c r="V12" s="32"/>
      <c r="W12" s="31" t="s">
        <v>830</v>
      </c>
      <c r="X12" s="32"/>
      <c r="Y12" s="32"/>
      <c r="Z12" s="32"/>
      <c r="AA12" s="32"/>
      <c r="AB12" s="31" t="s">
        <v>831</v>
      </c>
      <c r="AC12" s="32"/>
    </row>
    <row r="13" spans="1:31" ht="54" customHeight="1" x14ac:dyDescent="0.2">
      <c r="A13" s="8" t="s">
        <v>62</v>
      </c>
      <c r="B13" s="8" t="s">
        <v>192</v>
      </c>
      <c r="C13" s="8" t="s">
        <v>832</v>
      </c>
      <c r="D13" s="8" t="s">
        <v>260</v>
      </c>
      <c r="E13" s="8" t="s">
        <v>833</v>
      </c>
      <c r="F13" s="8" t="s">
        <v>261</v>
      </c>
      <c r="G13" s="8" t="s">
        <v>834</v>
      </c>
      <c r="H13" s="8" t="s">
        <v>835</v>
      </c>
      <c r="I13" s="8" t="s">
        <v>836</v>
      </c>
      <c r="J13" s="8" t="s">
        <v>837</v>
      </c>
      <c r="K13" s="8" t="s">
        <v>685</v>
      </c>
      <c r="L13" s="8" t="s">
        <v>838</v>
      </c>
      <c r="M13" s="8" t="s">
        <v>718</v>
      </c>
      <c r="N13" s="8" t="s">
        <v>839</v>
      </c>
      <c r="O13" s="8" t="s">
        <v>739</v>
      </c>
      <c r="P13" s="8" t="s">
        <v>840</v>
      </c>
      <c r="Q13" s="8" t="s">
        <v>841</v>
      </c>
      <c r="R13" s="8" t="s">
        <v>842</v>
      </c>
      <c r="S13" s="8" t="s">
        <v>843</v>
      </c>
      <c r="T13" s="8" t="s">
        <v>264</v>
      </c>
      <c r="U13" s="8" t="s">
        <v>844</v>
      </c>
      <c r="V13" s="8" t="s">
        <v>845</v>
      </c>
      <c r="W13" s="8" t="s">
        <v>685</v>
      </c>
      <c r="X13" s="8" t="s">
        <v>718</v>
      </c>
      <c r="Y13" s="8" t="s">
        <v>739</v>
      </c>
      <c r="Z13" s="8" t="s">
        <v>846</v>
      </c>
      <c r="AA13" s="8" t="s">
        <v>847</v>
      </c>
      <c r="AB13" s="8" t="s">
        <v>848</v>
      </c>
      <c r="AC13" s="8" t="s">
        <v>68</v>
      </c>
    </row>
    <row r="14" spans="1:31" ht="30" customHeight="1" x14ac:dyDescent="0.2">
      <c r="A14" s="19" t="str">
        <f>IF(F14="","",LEFT($D$3,3)&amp;"-"&amp;TEXT(COUNTIF(F$14:F14,"?*"),"00"))</f>
        <v/>
      </c>
      <c r="B14" s="5"/>
      <c r="C14" s="6" t="str">
        <f t="shared" ref="C14:C45" si="0">IF(B14="","",IFERROR(INDEX(EqTypeCol,MATCH(B14,EqTag,0)),"Tag not in register"))</f>
        <v/>
      </c>
      <c r="D14" s="5"/>
      <c r="E14" s="5"/>
      <c r="F14" s="5"/>
      <c r="G14" s="5"/>
      <c r="H14" s="5"/>
      <c r="I14" s="5"/>
      <c r="J14" s="5"/>
      <c r="K14" s="15"/>
      <c r="L14" s="5"/>
      <c r="M14" s="15"/>
      <c r="N14" s="5"/>
      <c r="O14" s="15"/>
      <c r="P14" s="19" t="str">
        <f t="shared" ref="P14:P45" si="1">IF(OR(K14="",M14="",O14=""),"",(--TRIM(LEFT(K14,2)))*(--TRIM(LEFT(M14,2)))*(--TRIM(LEFT(O14,2))))</f>
        <v/>
      </c>
      <c r="Q14" s="19" t="str">
        <f t="shared" ref="Q14:Q45" si="2">IF(OR(K14="",M14="",O14=""),"",INDEX(APGrid,COUNTIF(APS,"&gt;"&amp;(--TRIM(LEFT(K14,2))))*5+COUNTIF(APO,"&gt;"&amp;(--TRIM(LEFT(M14,2))))+1,COUNTIF(APD,"&gt;"&amp;(--TRIM(LEFT(O14,2))))+1))</f>
        <v/>
      </c>
      <c r="R14" s="19" t="str">
        <f t="shared" ref="R14:R45" si="3">IF(P14="","",IF(OR((--TRIM(LEFT(K14,2)))&gt;=SThr,P14&gt;=RPNThr,Q14="H"),"Yes","No"))</f>
        <v/>
      </c>
      <c r="S14" s="5"/>
      <c r="T14" s="5"/>
      <c r="U14" s="5"/>
      <c r="V14" s="24"/>
      <c r="W14" s="15"/>
      <c r="X14" s="15"/>
      <c r="Y14" s="15"/>
      <c r="Z14" s="19" t="str">
        <f t="shared" ref="Z14:Z45" si="4">IF(OR(W14="",X14="",Y14=""),"",(--TRIM(LEFT(W14,2)))*(--TRIM(LEFT(X14,2)))*(--TRIM(LEFT(Y14,2))))</f>
        <v/>
      </c>
      <c r="AA14" s="19" t="str">
        <f t="shared" ref="AA14:AA45" si="5">IF(OR(W14="",X14="",Y14=""),"",INDEX(APGrid,COUNTIF(APS,"&gt;"&amp;(--TRIM(LEFT(W14,2))))*5+COUNTIF(APO,"&gt;"&amp;(--TRIM(LEFT(X14,2))))+1,COUNTIF(APD,"&gt;"&amp;(--TRIM(LEFT(Y14,2))))+1))</f>
        <v/>
      </c>
      <c r="AB14" s="5"/>
      <c r="AC14" s="5"/>
      <c r="AE14" t="str">
        <f>IFERROR(INDEX(EqTag,_xlfn.AGGREGATE(15,6,(ROW(EqTag)-4)/((EqSys=$D$3)*(EqTag&lt;&gt;"")),ROWS($AE$14:AE14))),"")</f>
        <v/>
      </c>
    </row>
    <row r="15" spans="1:31" ht="30" customHeight="1" x14ac:dyDescent="0.2">
      <c r="A15" s="19" t="str">
        <f>IF(F15="","",LEFT($D$3,3)&amp;"-"&amp;TEXT(COUNTIF(F$14:F15,"?*"),"00"))</f>
        <v/>
      </c>
      <c r="B15" s="5"/>
      <c r="C15" s="6" t="str">
        <f t="shared" si="0"/>
        <v/>
      </c>
      <c r="D15" s="5"/>
      <c r="E15" s="5"/>
      <c r="F15" s="5"/>
      <c r="G15" s="5"/>
      <c r="H15" s="5"/>
      <c r="I15" s="5"/>
      <c r="J15" s="5"/>
      <c r="K15" s="15"/>
      <c r="L15" s="5"/>
      <c r="M15" s="15"/>
      <c r="N15" s="5"/>
      <c r="O15" s="15"/>
      <c r="P15" s="19" t="str">
        <f t="shared" si="1"/>
        <v/>
      </c>
      <c r="Q15" s="19" t="str">
        <f t="shared" si="2"/>
        <v/>
      </c>
      <c r="R15" s="19" t="str">
        <f t="shared" si="3"/>
        <v/>
      </c>
      <c r="S15" s="5"/>
      <c r="T15" s="5"/>
      <c r="U15" s="5"/>
      <c r="V15" s="24"/>
      <c r="W15" s="15"/>
      <c r="X15" s="15"/>
      <c r="Y15" s="15"/>
      <c r="Z15" s="19" t="str">
        <f t="shared" si="4"/>
        <v/>
      </c>
      <c r="AA15" s="19" t="str">
        <f t="shared" si="5"/>
        <v/>
      </c>
      <c r="AB15" s="5"/>
      <c r="AC15" s="5"/>
      <c r="AE15" t="str">
        <f>IFERROR(INDEX(EqTag,_xlfn.AGGREGATE(15,6,(ROW(EqTag)-4)/((EqSys=$D$3)*(EqTag&lt;&gt;"")),ROWS($AE$14:AE15))),"")</f>
        <v/>
      </c>
    </row>
    <row r="16" spans="1:31" ht="30" customHeight="1" x14ac:dyDescent="0.2">
      <c r="A16" s="19" t="str">
        <f>IF(F16="","",LEFT($D$3,3)&amp;"-"&amp;TEXT(COUNTIF(F$14:F16,"?*"),"00"))</f>
        <v/>
      </c>
      <c r="B16" s="5"/>
      <c r="C16" s="6" t="str">
        <f t="shared" si="0"/>
        <v/>
      </c>
      <c r="D16" s="5"/>
      <c r="E16" s="5"/>
      <c r="F16" s="5"/>
      <c r="G16" s="5"/>
      <c r="H16" s="5"/>
      <c r="I16" s="5"/>
      <c r="J16" s="5"/>
      <c r="K16" s="15"/>
      <c r="L16" s="5"/>
      <c r="M16" s="15"/>
      <c r="N16" s="5"/>
      <c r="O16" s="15"/>
      <c r="P16" s="19" t="str">
        <f t="shared" si="1"/>
        <v/>
      </c>
      <c r="Q16" s="19" t="str">
        <f t="shared" si="2"/>
        <v/>
      </c>
      <c r="R16" s="19" t="str">
        <f t="shared" si="3"/>
        <v/>
      </c>
      <c r="S16" s="5"/>
      <c r="T16" s="5"/>
      <c r="U16" s="5"/>
      <c r="V16" s="24"/>
      <c r="W16" s="15"/>
      <c r="X16" s="15"/>
      <c r="Y16" s="15"/>
      <c r="Z16" s="19" t="str">
        <f t="shared" si="4"/>
        <v/>
      </c>
      <c r="AA16" s="19" t="str">
        <f t="shared" si="5"/>
        <v/>
      </c>
      <c r="AB16" s="5"/>
      <c r="AC16" s="5"/>
      <c r="AE16" t="str">
        <f>IFERROR(INDEX(EqTag,_xlfn.AGGREGATE(15,6,(ROW(EqTag)-4)/((EqSys=$D$3)*(EqTag&lt;&gt;"")),ROWS($AE$14:AE16))),"")</f>
        <v/>
      </c>
    </row>
    <row r="17" spans="1:31" ht="30" customHeight="1" x14ac:dyDescent="0.2">
      <c r="A17" s="19" t="str">
        <f>IF(F17="","",LEFT($D$3,3)&amp;"-"&amp;TEXT(COUNTIF(F$14:F17,"?*"),"00"))</f>
        <v/>
      </c>
      <c r="B17" s="5"/>
      <c r="C17" s="6" t="str">
        <f t="shared" si="0"/>
        <v/>
      </c>
      <c r="D17" s="5"/>
      <c r="E17" s="5"/>
      <c r="F17" s="5"/>
      <c r="G17" s="5"/>
      <c r="H17" s="5"/>
      <c r="I17" s="5"/>
      <c r="J17" s="5"/>
      <c r="K17" s="15"/>
      <c r="L17" s="5"/>
      <c r="M17" s="15"/>
      <c r="N17" s="5"/>
      <c r="O17" s="15"/>
      <c r="P17" s="19" t="str">
        <f t="shared" si="1"/>
        <v/>
      </c>
      <c r="Q17" s="19" t="str">
        <f t="shared" si="2"/>
        <v/>
      </c>
      <c r="R17" s="19" t="str">
        <f t="shared" si="3"/>
        <v/>
      </c>
      <c r="S17" s="5"/>
      <c r="T17" s="5"/>
      <c r="U17" s="5"/>
      <c r="V17" s="24"/>
      <c r="W17" s="15"/>
      <c r="X17" s="15"/>
      <c r="Y17" s="15"/>
      <c r="Z17" s="19" t="str">
        <f t="shared" si="4"/>
        <v/>
      </c>
      <c r="AA17" s="19" t="str">
        <f t="shared" si="5"/>
        <v/>
      </c>
      <c r="AB17" s="5"/>
      <c r="AC17" s="5"/>
      <c r="AE17" t="str">
        <f>IFERROR(INDEX(EqTag,_xlfn.AGGREGATE(15,6,(ROW(EqTag)-4)/((EqSys=$D$3)*(EqTag&lt;&gt;"")),ROWS($AE$14:AE17))),"")</f>
        <v/>
      </c>
    </row>
    <row r="18" spans="1:31" ht="30" customHeight="1" x14ac:dyDescent="0.2">
      <c r="A18" s="19" t="str">
        <f>IF(F18="","",LEFT($D$3,3)&amp;"-"&amp;TEXT(COUNTIF(F$14:F18,"?*"),"00"))</f>
        <v/>
      </c>
      <c r="B18" s="5"/>
      <c r="C18" s="6" t="str">
        <f t="shared" si="0"/>
        <v/>
      </c>
      <c r="D18" s="5"/>
      <c r="E18" s="5"/>
      <c r="F18" s="5"/>
      <c r="G18" s="5"/>
      <c r="H18" s="5"/>
      <c r="I18" s="5"/>
      <c r="J18" s="5"/>
      <c r="K18" s="15"/>
      <c r="L18" s="5"/>
      <c r="M18" s="15"/>
      <c r="N18" s="5"/>
      <c r="O18" s="15"/>
      <c r="P18" s="19" t="str">
        <f t="shared" si="1"/>
        <v/>
      </c>
      <c r="Q18" s="19" t="str">
        <f t="shared" si="2"/>
        <v/>
      </c>
      <c r="R18" s="19" t="str">
        <f t="shared" si="3"/>
        <v/>
      </c>
      <c r="S18" s="5"/>
      <c r="T18" s="5"/>
      <c r="U18" s="5"/>
      <c r="V18" s="24"/>
      <c r="W18" s="15"/>
      <c r="X18" s="15"/>
      <c r="Y18" s="15"/>
      <c r="Z18" s="19" t="str">
        <f t="shared" si="4"/>
        <v/>
      </c>
      <c r="AA18" s="19" t="str">
        <f t="shared" si="5"/>
        <v/>
      </c>
      <c r="AB18" s="5"/>
      <c r="AC18" s="5"/>
      <c r="AE18" t="str">
        <f>IFERROR(INDEX(EqTag,_xlfn.AGGREGATE(15,6,(ROW(EqTag)-4)/((EqSys=$D$3)*(EqTag&lt;&gt;"")),ROWS($AE$14:AE18))),"")</f>
        <v/>
      </c>
    </row>
    <row r="19" spans="1:31" ht="30" customHeight="1" x14ac:dyDescent="0.2">
      <c r="A19" s="19" t="str">
        <f>IF(F19="","",LEFT($D$3,3)&amp;"-"&amp;TEXT(COUNTIF(F$14:F19,"?*"),"00"))</f>
        <v/>
      </c>
      <c r="B19" s="5"/>
      <c r="C19" s="6" t="str">
        <f t="shared" si="0"/>
        <v/>
      </c>
      <c r="D19" s="5"/>
      <c r="E19" s="5"/>
      <c r="F19" s="5"/>
      <c r="G19" s="5"/>
      <c r="H19" s="5"/>
      <c r="I19" s="5"/>
      <c r="J19" s="5"/>
      <c r="K19" s="15"/>
      <c r="L19" s="5"/>
      <c r="M19" s="15"/>
      <c r="N19" s="5"/>
      <c r="O19" s="15"/>
      <c r="P19" s="19" t="str">
        <f t="shared" si="1"/>
        <v/>
      </c>
      <c r="Q19" s="19" t="str">
        <f t="shared" si="2"/>
        <v/>
      </c>
      <c r="R19" s="19" t="str">
        <f t="shared" si="3"/>
        <v/>
      </c>
      <c r="S19" s="5"/>
      <c r="T19" s="5"/>
      <c r="U19" s="5"/>
      <c r="V19" s="24"/>
      <c r="W19" s="15"/>
      <c r="X19" s="15"/>
      <c r="Y19" s="15"/>
      <c r="Z19" s="19" t="str">
        <f t="shared" si="4"/>
        <v/>
      </c>
      <c r="AA19" s="19" t="str">
        <f t="shared" si="5"/>
        <v/>
      </c>
      <c r="AB19" s="5"/>
      <c r="AC19" s="5"/>
      <c r="AE19" t="str">
        <f>IFERROR(INDEX(EqTag,_xlfn.AGGREGATE(15,6,(ROW(EqTag)-4)/((EqSys=$D$3)*(EqTag&lt;&gt;"")),ROWS($AE$14:AE19))),"")</f>
        <v/>
      </c>
    </row>
    <row r="20" spans="1:31" ht="30" customHeight="1" x14ac:dyDescent="0.2">
      <c r="A20" s="19" t="str">
        <f>IF(F20="","",LEFT($D$3,3)&amp;"-"&amp;TEXT(COUNTIF(F$14:F20,"?*"),"00"))</f>
        <v/>
      </c>
      <c r="B20" s="5"/>
      <c r="C20" s="6" t="str">
        <f t="shared" si="0"/>
        <v/>
      </c>
      <c r="D20" s="5"/>
      <c r="E20" s="5"/>
      <c r="F20" s="5"/>
      <c r="G20" s="5"/>
      <c r="H20" s="5"/>
      <c r="I20" s="5"/>
      <c r="J20" s="5"/>
      <c r="K20" s="15"/>
      <c r="L20" s="5"/>
      <c r="M20" s="15"/>
      <c r="N20" s="5"/>
      <c r="O20" s="15"/>
      <c r="P20" s="19" t="str">
        <f t="shared" si="1"/>
        <v/>
      </c>
      <c r="Q20" s="19" t="str">
        <f t="shared" si="2"/>
        <v/>
      </c>
      <c r="R20" s="19" t="str">
        <f t="shared" si="3"/>
        <v/>
      </c>
      <c r="S20" s="5"/>
      <c r="T20" s="5"/>
      <c r="U20" s="5"/>
      <c r="V20" s="24"/>
      <c r="W20" s="15"/>
      <c r="X20" s="15"/>
      <c r="Y20" s="15"/>
      <c r="Z20" s="19" t="str">
        <f t="shared" si="4"/>
        <v/>
      </c>
      <c r="AA20" s="19" t="str">
        <f t="shared" si="5"/>
        <v/>
      </c>
      <c r="AB20" s="5"/>
      <c r="AC20" s="5"/>
      <c r="AE20" t="str">
        <f>IFERROR(INDEX(EqTag,_xlfn.AGGREGATE(15,6,(ROW(EqTag)-4)/((EqSys=$D$3)*(EqTag&lt;&gt;"")),ROWS($AE$14:AE20))),"")</f>
        <v/>
      </c>
    </row>
    <row r="21" spans="1:31" ht="30" customHeight="1" x14ac:dyDescent="0.2">
      <c r="A21" s="19" t="str">
        <f>IF(F21="","",LEFT($D$3,3)&amp;"-"&amp;TEXT(COUNTIF(F$14:F21,"?*"),"00"))</f>
        <v/>
      </c>
      <c r="B21" s="5"/>
      <c r="C21" s="6" t="str">
        <f t="shared" si="0"/>
        <v/>
      </c>
      <c r="D21" s="5"/>
      <c r="E21" s="5"/>
      <c r="F21" s="5"/>
      <c r="G21" s="5"/>
      <c r="H21" s="5"/>
      <c r="I21" s="5"/>
      <c r="J21" s="5"/>
      <c r="K21" s="15"/>
      <c r="L21" s="5"/>
      <c r="M21" s="15"/>
      <c r="N21" s="5"/>
      <c r="O21" s="15"/>
      <c r="P21" s="19" t="str">
        <f t="shared" si="1"/>
        <v/>
      </c>
      <c r="Q21" s="19" t="str">
        <f t="shared" si="2"/>
        <v/>
      </c>
      <c r="R21" s="19" t="str">
        <f t="shared" si="3"/>
        <v/>
      </c>
      <c r="S21" s="5"/>
      <c r="T21" s="5"/>
      <c r="U21" s="5"/>
      <c r="V21" s="24"/>
      <c r="W21" s="15"/>
      <c r="X21" s="15"/>
      <c r="Y21" s="15"/>
      <c r="Z21" s="19" t="str">
        <f t="shared" si="4"/>
        <v/>
      </c>
      <c r="AA21" s="19" t="str">
        <f t="shared" si="5"/>
        <v/>
      </c>
      <c r="AB21" s="5"/>
      <c r="AC21" s="5"/>
      <c r="AE21" t="str">
        <f>IFERROR(INDEX(EqTag,_xlfn.AGGREGATE(15,6,(ROW(EqTag)-4)/((EqSys=$D$3)*(EqTag&lt;&gt;"")),ROWS($AE$14:AE21))),"")</f>
        <v/>
      </c>
    </row>
    <row r="22" spans="1:31" ht="30" customHeight="1" x14ac:dyDescent="0.2">
      <c r="A22" s="19" t="str">
        <f>IF(F22="","",LEFT($D$3,3)&amp;"-"&amp;TEXT(COUNTIF(F$14:F22,"?*"),"00"))</f>
        <v/>
      </c>
      <c r="B22" s="5"/>
      <c r="C22" s="6" t="str">
        <f t="shared" si="0"/>
        <v/>
      </c>
      <c r="D22" s="5"/>
      <c r="E22" s="5"/>
      <c r="F22" s="5"/>
      <c r="G22" s="5"/>
      <c r="H22" s="5"/>
      <c r="I22" s="5"/>
      <c r="J22" s="5"/>
      <c r="K22" s="15"/>
      <c r="L22" s="5"/>
      <c r="M22" s="15"/>
      <c r="N22" s="5"/>
      <c r="O22" s="15"/>
      <c r="P22" s="19" t="str">
        <f t="shared" si="1"/>
        <v/>
      </c>
      <c r="Q22" s="19" t="str">
        <f t="shared" si="2"/>
        <v/>
      </c>
      <c r="R22" s="19" t="str">
        <f t="shared" si="3"/>
        <v/>
      </c>
      <c r="S22" s="5"/>
      <c r="T22" s="5"/>
      <c r="U22" s="5"/>
      <c r="V22" s="24"/>
      <c r="W22" s="15"/>
      <c r="X22" s="15"/>
      <c r="Y22" s="15"/>
      <c r="Z22" s="19" t="str">
        <f t="shared" si="4"/>
        <v/>
      </c>
      <c r="AA22" s="19" t="str">
        <f t="shared" si="5"/>
        <v/>
      </c>
      <c r="AB22" s="5"/>
      <c r="AC22" s="5"/>
      <c r="AE22" t="str">
        <f>IFERROR(INDEX(EqTag,_xlfn.AGGREGATE(15,6,(ROW(EqTag)-4)/((EqSys=$D$3)*(EqTag&lt;&gt;"")),ROWS($AE$14:AE22))),"")</f>
        <v/>
      </c>
    </row>
    <row r="23" spans="1:31" ht="30" customHeight="1" x14ac:dyDescent="0.2">
      <c r="A23" s="19" t="str">
        <f>IF(F23="","",LEFT($D$3,3)&amp;"-"&amp;TEXT(COUNTIF(F$14:F23,"?*"),"00"))</f>
        <v/>
      </c>
      <c r="B23" s="5"/>
      <c r="C23" s="6" t="str">
        <f t="shared" si="0"/>
        <v/>
      </c>
      <c r="D23" s="5"/>
      <c r="E23" s="5"/>
      <c r="F23" s="5"/>
      <c r="G23" s="5"/>
      <c r="H23" s="5"/>
      <c r="I23" s="5"/>
      <c r="J23" s="5"/>
      <c r="K23" s="15"/>
      <c r="L23" s="5"/>
      <c r="M23" s="15"/>
      <c r="N23" s="5"/>
      <c r="O23" s="15"/>
      <c r="P23" s="19" t="str">
        <f t="shared" si="1"/>
        <v/>
      </c>
      <c r="Q23" s="19" t="str">
        <f t="shared" si="2"/>
        <v/>
      </c>
      <c r="R23" s="19" t="str">
        <f t="shared" si="3"/>
        <v/>
      </c>
      <c r="S23" s="5"/>
      <c r="T23" s="5"/>
      <c r="U23" s="5"/>
      <c r="V23" s="24"/>
      <c r="W23" s="15"/>
      <c r="X23" s="15"/>
      <c r="Y23" s="15"/>
      <c r="Z23" s="19" t="str">
        <f t="shared" si="4"/>
        <v/>
      </c>
      <c r="AA23" s="19" t="str">
        <f t="shared" si="5"/>
        <v/>
      </c>
      <c r="AB23" s="5"/>
      <c r="AC23" s="5"/>
      <c r="AE23" t="str">
        <f>IFERROR(INDEX(EqTag,_xlfn.AGGREGATE(15,6,(ROW(EqTag)-4)/((EqSys=$D$3)*(EqTag&lt;&gt;"")),ROWS($AE$14:AE23))),"")</f>
        <v/>
      </c>
    </row>
    <row r="24" spans="1:31" ht="30" customHeight="1" x14ac:dyDescent="0.2">
      <c r="A24" s="19" t="str">
        <f>IF(F24="","",LEFT($D$3,3)&amp;"-"&amp;TEXT(COUNTIF(F$14:F24,"?*"),"00"))</f>
        <v/>
      </c>
      <c r="B24" s="5"/>
      <c r="C24" s="6" t="str">
        <f t="shared" si="0"/>
        <v/>
      </c>
      <c r="D24" s="5"/>
      <c r="E24" s="5"/>
      <c r="F24" s="5"/>
      <c r="G24" s="5"/>
      <c r="H24" s="5"/>
      <c r="I24" s="5"/>
      <c r="J24" s="5"/>
      <c r="K24" s="15"/>
      <c r="L24" s="5"/>
      <c r="M24" s="15"/>
      <c r="N24" s="5"/>
      <c r="O24" s="15"/>
      <c r="P24" s="19" t="str">
        <f t="shared" si="1"/>
        <v/>
      </c>
      <c r="Q24" s="19" t="str">
        <f t="shared" si="2"/>
        <v/>
      </c>
      <c r="R24" s="19" t="str">
        <f t="shared" si="3"/>
        <v/>
      </c>
      <c r="S24" s="5"/>
      <c r="T24" s="5"/>
      <c r="U24" s="5"/>
      <c r="V24" s="24"/>
      <c r="W24" s="15"/>
      <c r="X24" s="15"/>
      <c r="Y24" s="15"/>
      <c r="Z24" s="19" t="str">
        <f t="shared" si="4"/>
        <v/>
      </c>
      <c r="AA24" s="19" t="str">
        <f t="shared" si="5"/>
        <v/>
      </c>
      <c r="AB24" s="5"/>
      <c r="AC24" s="5"/>
      <c r="AE24" t="str">
        <f>IFERROR(INDEX(EqTag,_xlfn.AGGREGATE(15,6,(ROW(EqTag)-4)/((EqSys=$D$3)*(EqTag&lt;&gt;"")),ROWS($AE$14:AE24))),"")</f>
        <v/>
      </c>
    </row>
    <row r="25" spans="1:31" ht="30" customHeight="1" x14ac:dyDescent="0.2">
      <c r="A25" s="19" t="str">
        <f>IF(F25="","",LEFT($D$3,3)&amp;"-"&amp;TEXT(COUNTIF(F$14:F25,"?*"),"00"))</f>
        <v/>
      </c>
      <c r="B25" s="5"/>
      <c r="C25" s="6" t="str">
        <f t="shared" si="0"/>
        <v/>
      </c>
      <c r="D25" s="5"/>
      <c r="E25" s="5"/>
      <c r="F25" s="5"/>
      <c r="G25" s="5"/>
      <c r="H25" s="5"/>
      <c r="I25" s="5"/>
      <c r="J25" s="5"/>
      <c r="K25" s="15"/>
      <c r="L25" s="5"/>
      <c r="M25" s="15"/>
      <c r="N25" s="5"/>
      <c r="O25" s="15"/>
      <c r="P25" s="19" t="str">
        <f t="shared" si="1"/>
        <v/>
      </c>
      <c r="Q25" s="19" t="str">
        <f t="shared" si="2"/>
        <v/>
      </c>
      <c r="R25" s="19" t="str">
        <f t="shared" si="3"/>
        <v/>
      </c>
      <c r="S25" s="5"/>
      <c r="T25" s="5"/>
      <c r="U25" s="5"/>
      <c r="V25" s="24"/>
      <c r="W25" s="15"/>
      <c r="X25" s="15"/>
      <c r="Y25" s="15"/>
      <c r="Z25" s="19" t="str">
        <f t="shared" si="4"/>
        <v/>
      </c>
      <c r="AA25" s="19" t="str">
        <f t="shared" si="5"/>
        <v/>
      </c>
      <c r="AB25" s="5"/>
      <c r="AC25" s="5"/>
      <c r="AE25" t="str">
        <f>IFERROR(INDEX(EqTag,_xlfn.AGGREGATE(15,6,(ROW(EqTag)-4)/((EqSys=$D$3)*(EqTag&lt;&gt;"")),ROWS($AE$14:AE25))),"")</f>
        <v/>
      </c>
    </row>
    <row r="26" spans="1:31" ht="30" customHeight="1" x14ac:dyDescent="0.2">
      <c r="A26" s="19" t="str">
        <f>IF(F26="","",LEFT($D$3,3)&amp;"-"&amp;TEXT(COUNTIF(F$14:F26,"?*"),"00"))</f>
        <v/>
      </c>
      <c r="B26" s="5"/>
      <c r="C26" s="6" t="str">
        <f t="shared" si="0"/>
        <v/>
      </c>
      <c r="D26" s="5"/>
      <c r="E26" s="5"/>
      <c r="F26" s="5"/>
      <c r="G26" s="5"/>
      <c r="H26" s="5"/>
      <c r="I26" s="5"/>
      <c r="J26" s="5"/>
      <c r="K26" s="15"/>
      <c r="L26" s="5"/>
      <c r="M26" s="15"/>
      <c r="N26" s="5"/>
      <c r="O26" s="15"/>
      <c r="P26" s="19" t="str">
        <f t="shared" si="1"/>
        <v/>
      </c>
      <c r="Q26" s="19" t="str">
        <f t="shared" si="2"/>
        <v/>
      </c>
      <c r="R26" s="19" t="str">
        <f t="shared" si="3"/>
        <v/>
      </c>
      <c r="S26" s="5"/>
      <c r="T26" s="5"/>
      <c r="U26" s="5"/>
      <c r="V26" s="24"/>
      <c r="W26" s="15"/>
      <c r="X26" s="15"/>
      <c r="Y26" s="15"/>
      <c r="Z26" s="19" t="str">
        <f t="shared" si="4"/>
        <v/>
      </c>
      <c r="AA26" s="19" t="str">
        <f t="shared" si="5"/>
        <v/>
      </c>
      <c r="AB26" s="5"/>
      <c r="AC26" s="5"/>
      <c r="AE26" t="str">
        <f>IFERROR(INDEX(EqTag,_xlfn.AGGREGATE(15,6,(ROW(EqTag)-4)/((EqSys=$D$3)*(EqTag&lt;&gt;"")),ROWS($AE$14:AE26))),"")</f>
        <v/>
      </c>
    </row>
    <row r="27" spans="1:31" ht="30" customHeight="1" x14ac:dyDescent="0.2">
      <c r="A27" s="19" t="str">
        <f>IF(F27="","",LEFT($D$3,3)&amp;"-"&amp;TEXT(COUNTIF(F$14:F27,"?*"),"00"))</f>
        <v/>
      </c>
      <c r="B27" s="5"/>
      <c r="C27" s="6" t="str">
        <f t="shared" si="0"/>
        <v/>
      </c>
      <c r="D27" s="5"/>
      <c r="E27" s="5"/>
      <c r="F27" s="5"/>
      <c r="G27" s="5"/>
      <c r="H27" s="5"/>
      <c r="I27" s="5"/>
      <c r="J27" s="5"/>
      <c r="K27" s="15"/>
      <c r="L27" s="5"/>
      <c r="M27" s="15"/>
      <c r="N27" s="5"/>
      <c r="O27" s="15"/>
      <c r="P27" s="19" t="str">
        <f t="shared" si="1"/>
        <v/>
      </c>
      <c r="Q27" s="19" t="str">
        <f t="shared" si="2"/>
        <v/>
      </c>
      <c r="R27" s="19" t="str">
        <f t="shared" si="3"/>
        <v/>
      </c>
      <c r="S27" s="5"/>
      <c r="T27" s="5"/>
      <c r="U27" s="5"/>
      <c r="V27" s="24"/>
      <c r="W27" s="15"/>
      <c r="X27" s="15"/>
      <c r="Y27" s="15"/>
      <c r="Z27" s="19" t="str">
        <f t="shared" si="4"/>
        <v/>
      </c>
      <c r="AA27" s="19" t="str">
        <f t="shared" si="5"/>
        <v/>
      </c>
      <c r="AB27" s="5"/>
      <c r="AC27" s="5"/>
      <c r="AE27" t="str">
        <f>IFERROR(INDEX(EqTag,_xlfn.AGGREGATE(15,6,(ROW(EqTag)-4)/((EqSys=$D$3)*(EqTag&lt;&gt;"")),ROWS($AE$14:AE27))),"")</f>
        <v/>
      </c>
    </row>
    <row r="28" spans="1:31" ht="30" customHeight="1" x14ac:dyDescent="0.2">
      <c r="A28" s="19" t="str">
        <f>IF(F28="","",LEFT($D$3,3)&amp;"-"&amp;TEXT(COUNTIF(F$14:F28,"?*"),"00"))</f>
        <v/>
      </c>
      <c r="B28" s="5"/>
      <c r="C28" s="6" t="str">
        <f t="shared" si="0"/>
        <v/>
      </c>
      <c r="D28" s="5"/>
      <c r="E28" s="5"/>
      <c r="F28" s="5"/>
      <c r="G28" s="5"/>
      <c r="H28" s="5"/>
      <c r="I28" s="5"/>
      <c r="J28" s="5"/>
      <c r="K28" s="15"/>
      <c r="L28" s="5"/>
      <c r="M28" s="15"/>
      <c r="N28" s="5"/>
      <c r="O28" s="15"/>
      <c r="P28" s="19" t="str">
        <f t="shared" si="1"/>
        <v/>
      </c>
      <c r="Q28" s="19" t="str">
        <f t="shared" si="2"/>
        <v/>
      </c>
      <c r="R28" s="19" t="str">
        <f t="shared" si="3"/>
        <v/>
      </c>
      <c r="S28" s="5"/>
      <c r="T28" s="5"/>
      <c r="U28" s="5"/>
      <c r="V28" s="24"/>
      <c r="W28" s="15"/>
      <c r="X28" s="15"/>
      <c r="Y28" s="15"/>
      <c r="Z28" s="19" t="str">
        <f t="shared" si="4"/>
        <v/>
      </c>
      <c r="AA28" s="19" t="str">
        <f t="shared" si="5"/>
        <v/>
      </c>
      <c r="AB28" s="5"/>
      <c r="AC28" s="5"/>
      <c r="AE28" t="str">
        <f>IFERROR(INDEX(EqTag,_xlfn.AGGREGATE(15,6,(ROW(EqTag)-4)/((EqSys=$D$3)*(EqTag&lt;&gt;"")),ROWS($AE$14:AE28))),"")</f>
        <v/>
      </c>
    </row>
    <row r="29" spans="1:31" ht="30" customHeight="1" x14ac:dyDescent="0.2">
      <c r="A29" s="19" t="str">
        <f>IF(F29="","",LEFT($D$3,3)&amp;"-"&amp;TEXT(COUNTIF(F$14:F29,"?*"),"00"))</f>
        <v/>
      </c>
      <c r="B29" s="5"/>
      <c r="C29" s="6" t="str">
        <f t="shared" si="0"/>
        <v/>
      </c>
      <c r="D29" s="5"/>
      <c r="E29" s="5"/>
      <c r="F29" s="5"/>
      <c r="G29" s="5"/>
      <c r="H29" s="5"/>
      <c r="I29" s="5"/>
      <c r="J29" s="5"/>
      <c r="K29" s="15"/>
      <c r="L29" s="5"/>
      <c r="M29" s="15"/>
      <c r="N29" s="5"/>
      <c r="O29" s="15"/>
      <c r="P29" s="19" t="str">
        <f t="shared" si="1"/>
        <v/>
      </c>
      <c r="Q29" s="19" t="str">
        <f t="shared" si="2"/>
        <v/>
      </c>
      <c r="R29" s="19" t="str">
        <f t="shared" si="3"/>
        <v/>
      </c>
      <c r="S29" s="5"/>
      <c r="T29" s="5"/>
      <c r="U29" s="5"/>
      <c r="V29" s="24"/>
      <c r="W29" s="15"/>
      <c r="X29" s="15"/>
      <c r="Y29" s="15"/>
      <c r="Z29" s="19" t="str">
        <f t="shared" si="4"/>
        <v/>
      </c>
      <c r="AA29" s="19" t="str">
        <f t="shared" si="5"/>
        <v/>
      </c>
      <c r="AB29" s="5"/>
      <c r="AC29" s="5"/>
      <c r="AE29" t="str">
        <f>IFERROR(INDEX(EqTag,_xlfn.AGGREGATE(15,6,(ROW(EqTag)-4)/((EqSys=$D$3)*(EqTag&lt;&gt;"")),ROWS($AE$14:AE29))),"")</f>
        <v/>
      </c>
    </row>
    <row r="30" spans="1:31" ht="30" customHeight="1" x14ac:dyDescent="0.2">
      <c r="A30" s="19" t="str">
        <f>IF(F30="","",LEFT($D$3,3)&amp;"-"&amp;TEXT(COUNTIF(F$14:F30,"?*"),"00"))</f>
        <v/>
      </c>
      <c r="B30" s="5"/>
      <c r="C30" s="6" t="str">
        <f t="shared" si="0"/>
        <v/>
      </c>
      <c r="D30" s="5"/>
      <c r="E30" s="5"/>
      <c r="F30" s="5"/>
      <c r="G30" s="5"/>
      <c r="H30" s="5"/>
      <c r="I30" s="5"/>
      <c r="J30" s="5"/>
      <c r="K30" s="15"/>
      <c r="L30" s="5"/>
      <c r="M30" s="15"/>
      <c r="N30" s="5"/>
      <c r="O30" s="15"/>
      <c r="P30" s="19" t="str">
        <f t="shared" si="1"/>
        <v/>
      </c>
      <c r="Q30" s="19" t="str">
        <f t="shared" si="2"/>
        <v/>
      </c>
      <c r="R30" s="19" t="str">
        <f t="shared" si="3"/>
        <v/>
      </c>
      <c r="S30" s="5"/>
      <c r="T30" s="5"/>
      <c r="U30" s="5"/>
      <c r="V30" s="24"/>
      <c r="W30" s="15"/>
      <c r="X30" s="15"/>
      <c r="Y30" s="15"/>
      <c r="Z30" s="19" t="str">
        <f t="shared" si="4"/>
        <v/>
      </c>
      <c r="AA30" s="19" t="str">
        <f t="shared" si="5"/>
        <v/>
      </c>
      <c r="AB30" s="5"/>
      <c r="AC30" s="5"/>
      <c r="AE30" t="str">
        <f>IFERROR(INDEX(EqTag,_xlfn.AGGREGATE(15,6,(ROW(EqTag)-4)/((EqSys=$D$3)*(EqTag&lt;&gt;"")),ROWS($AE$14:AE30))),"")</f>
        <v/>
      </c>
    </row>
    <row r="31" spans="1:31" ht="30" customHeight="1" x14ac:dyDescent="0.2">
      <c r="A31" s="19" t="str">
        <f>IF(F31="","",LEFT($D$3,3)&amp;"-"&amp;TEXT(COUNTIF(F$14:F31,"?*"),"00"))</f>
        <v/>
      </c>
      <c r="B31" s="5"/>
      <c r="C31" s="6" t="str">
        <f t="shared" si="0"/>
        <v/>
      </c>
      <c r="D31" s="5"/>
      <c r="E31" s="5"/>
      <c r="F31" s="5"/>
      <c r="G31" s="5"/>
      <c r="H31" s="5"/>
      <c r="I31" s="5"/>
      <c r="J31" s="5"/>
      <c r="K31" s="15"/>
      <c r="L31" s="5"/>
      <c r="M31" s="15"/>
      <c r="N31" s="5"/>
      <c r="O31" s="15"/>
      <c r="P31" s="19" t="str">
        <f t="shared" si="1"/>
        <v/>
      </c>
      <c r="Q31" s="19" t="str">
        <f t="shared" si="2"/>
        <v/>
      </c>
      <c r="R31" s="19" t="str">
        <f t="shared" si="3"/>
        <v/>
      </c>
      <c r="S31" s="5"/>
      <c r="T31" s="5"/>
      <c r="U31" s="5"/>
      <c r="V31" s="24"/>
      <c r="W31" s="15"/>
      <c r="X31" s="15"/>
      <c r="Y31" s="15"/>
      <c r="Z31" s="19" t="str">
        <f t="shared" si="4"/>
        <v/>
      </c>
      <c r="AA31" s="19" t="str">
        <f t="shared" si="5"/>
        <v/>
      </c>
      <c r="AB31" s="5"/>
      <c r="AC31" s="5"/>
      <c r="AE31" t="str">
        <f>IFERROR(INDEX(EqTag,_xlfn.AGGREGATE(15,6,(ROW(EqTag)-4)/((EqSys=$D$3)*(EqTag&lt;&gt;"")),ROWS($AE$14:AE31))),"")</f>
        <v/>
      </c>
    </row>
    <row r="32" spans="1:31" ht="30" customHeight="1" x14ac:dyDescent="0.2">
      <c r="A32" s="19" t="str">
        <f>IF(F32="","",LEFT($D$3,3)&amp;"-"&amp;TEXT(COUNTIF(F$14:F32,"?*"),"00"))</f>
        <v/>
      </c>
      <c r="B32" s="5"/>
      <c r="C32" s="6" t="str">
        <f t="shared" si="0"/>
        <v/>
      </c>
      <c r="D32" s="5"/>
      <c r="E32" s="5"/>
      <c r="F32" s="5"/>
      <c r="G32" s="5"/>
      <c r="H32" s="5"/>
      <c r="I32" s="5"/>
      <c r="J32" s="5"/>
      <c r="K32" s="15"/>
      <c r="L32" s="5"/>
      <c r="M32" s="15"/>
      <c r="N32" s="5"/>
      <c r="O32" s="15"/>
      <c r="P32" s="19" t="str">
        <f t="shared" si="1"/>
        <v/>
      </c>
      <c r="Q32" s="19" t="str">
        <f t="shared" si="2"/>
        <v/>
      </c>
      <c r="R32" s="19" t="str">
        <f t="shared" si="3"/>
        <v/>
      </c>
      <c r="S32" s="5"/>
      <c r="T32" s="5"/>
      <c r="U32" s="5"/>
      <c r="V32" s="24"/>
      <c r="W32" s="15"/>
      <c r="X32" s="15"/>
      <c r="Y32" s="15"/>
      <c r="Z32" s="19" t="str">
        <f t="shared" si="4"/>
        <v/>
      </c>
      <c r="AA32" s="19" t="str">
        <f t="shared" si="5"/>
        <v/>
      </c>
      <c r="AB32" s="5"/>
      <c r="AC32" s="5"/>
      <c r="AE32" t="str">
        <f>IFERROR(INDEX(EqTag,_xlfn.AGGREGATE(15,6,(ROW(EqTag)-4)/((EqSys=$D$3)*(EqTag&lt;&gt;"")),ROWS($AE$14:AE32))),"")</f>
        <v/>
      </c>
    </row>
    <row r="33" spans="1:31" ht="30" customHeight="1" x14ac:dyDescent="0.2">
      <c r="A33" s="19" t="str">
        <f>IF(F33="","",LEFT($D$3,3)&amp;"-"&amp;TEXT(COUNTIF(F$14:F33,"?*"),"00"))</f>
        <v/>
      </c>
      <c r="B33" s="5"/>
      <c r="C33" s="6" t="str">
        <f t="shared" si="0"/>
        <v/>
      </c>
      <c r="D33" s="5"/>
      <c r="E33" s="5"/>
      <c r="F33" s="5"/>
      <c r="G33" s="5"/>
      <c r="H33" s="5"/>
      <c r="I33" s="5"/>
      <c r="J33" s="5"/>
      <c r="K33" s="15"/>
      <c r="L33" s="5"/>
      <c r="M33" s="15"/>
      <c r="N33" s="5"/>
      <c r="O33" s="15"/>
      <c r="P33" s="19" t="str">
        <f t="shared" si="1"/>
        <v/>
      </c>
      <c r="Q33" s="19" t="str">
        <f t="shared" si="2"/>
        <v/>
      </c>
      <c r="R33" s="19" t="str">
        <f t="shared" si="3"/>
        <v/>
      </c>
      <c r="S33" s="5"/>
      <c r="T33" s="5"/>
      <c r="U33" s="5"/>
      <c r="V33" s="24"/>
      <c r="W33" s="15"/>
      <c r="X33" s="15"/>
      <c r="Y33" s="15"/>
      <c r="Z33" s="19" t="str">
        <f t="shared" si="4"/>
        <v/>
      </c>
      <c r="AA33" s="19" t="str">
        <f t="shared" si="5"/>
        <v/>
      </c>
      <c r="AB33" s="5"/>
      <c r="AC33" s="5"/>
      <c r="AE33" t="str">
        <f>IFERROR(INDEX(EqTag,_xlfn.AGGREGATE(15,6,(ROW(EqTag)-4)/((EqSys=$D$3)*(EqTag&lt;&gt;"")),ROWS($AE$14:AE33))),"")</f>
        <v/>
      </c>
    </row>
    <row r="34" spans="1:31" ht="30" customHeight="1" x14ac:dyDescent="0.2">
      <c r="A34" s="19" t="str">
        <f>IF(F34="","",LEFT($D$3,3)&amp;"-"&amp;TEXT(COUNTIF(F$14:F34,"?*"),"00"))</f>
        <v/>
      </c>
      <c r="B34" s="5"/>
      <c r="C34" s="6" t="str">
        <f t="shared" si="0"/>
        <v/>
      </c>
      <c r="D34" s="5"/>
      <c r="E34" s="5"/>
      <c r="F34" s="5"/>
      <c r="G34" s="5"/>
      <c r="H34" s="5"/>
      <c r="I34" s="5"/>
      <c r="J34" s="5"/>
      <c r="K34" s="15"/>
      <c r="L34" s="5"/>
      <c r="M34" s="15"/>
      <c r="N34" s="5"/>
      <c r="O34" s="15"/>
      <c r="P34" s="19" t="str">
        <f t="shared" si="1"/>
        <v/>
      </c>
      <c r="Q34" s="19" t="str">
        <f t="shared" si="2"/>
        <v/>
      </c>
      <c r="R34" s="19" t="str">
        <f t="shared" si="3"/>
        <v/>
      </c>
      <c r="S34" s="5"/>
      <c r="T34" s="5"/>
      <c r="U34" s="5"/>
      <c r="V34" s="24"/>
      <c r="W34" s="15"/>
      <c r="X34" s="15"/>
      <c r="Y34" s="15"/>
      <c r="Z34" s="19" t="str">
        <f t="shared" si="4"/>
        <v/>
      </c>
      <c r="AA34" s="19" t="str">
        <f t="shared" si="5"/>
        <v/>
      </c>
      <c r="AB34" s="5"/>
      <c r="AC34" s="5"/>
      <c r="AE34" t="str">
        <f>IFERROR(INDEX(EqTag,_xlfn.AGGREGATE(15,6,(ROW(EqTag)-4)/((EqSys=$D$3)*(EqTag&lt;&gt;"")),ROWS($AE$14:AE34))),"")</f>
        <v/>
      </c>
    </row>
    <row r="35" spans="1:31" ht="30" customHeight="1" x14ac:dyDescent="0.2">
      <c r="A35" s="19" t="str">
        <f>IF(F35="","",LEFT($D$3,3)&amp;"-"&amp;TEXT(COUNTIF(F$14:F35,"?*"),"00"))</f>
        <v/>
      </c>
      <c r="B35" s="5"/>
      <c r="C35" s="6" t="str">
        <f t="shared" si="0"/>
        <v/>
      </c>
      <c r="D35" s="5"/>
      <c r="E35" s="5"/>
      <c r="F35" s="5"/>
      <c r="G35" s="5"/>
      <c r="H35" s="5"/>
      <c r="I35" s="5"/>
      <c r="J35" s="5"/>
      <c r="K35" s="15"/>
      <c r="L35" s="5"/>
      <c r="M35" s="15"/>
      <c r="N35" s="5"/>
      <c r="O35" s="15"/>
      <c r="P35" s="19" t="str">
        <f t="shared" si="1"/>
        <v/>
      </c>
      <c r="Q35" s="19" t="str">
        <f t="shared" si="2"/>
        <v/>
      </c>
      <c r="R35" s="19" t="str">
        <f t="shared" si="3"/>
        <v/>
      </c>
      <c r="S35" s="5"/>
      <c r="T35" s="5"/>
      <c r="U35" s="5"/>
      <c r="V35" s="24"/>
      <c r="W35" s="15"/>
      <c r="X35" s="15"/>
      <c r="Y35" s="15"/>
      <c r="Z35" s="19" t="str">
        <f t="shared" si="4"/>
        <v/>
      </c>
      <c r="AA35" s="19" t="str">
        <f t="shared" si="5"/>
        <v/>
      </c>
      <c r="AB35" s="5"/>
      <c r="AC35" s="5"/>
      <c r="AE35" t="str">
        <f>IFERROR(INDEX(EqTag,_xlfn.AGGREGATE(15,6,(ROW(EqTag)-4)/((EqSys=$D$3)*(EqTag&lt;&gt;"")),ROWS($AE$14:AE35))),"")</f>
        <v/>
      </c>
    </row>
    <row r="36" spans="1:31" ht="30" customHeight="1" x14ac:dyDescent="0.2">
      <c r="A36" s="19" t="str">
        <f>IF(F36="","",LEFT($D$3,3)&amp;"-"&amp;TEXT(COUNTIF(F$14:F36,"?*"),"00"))</f>
        <v/>
      </c>
      <c r="B36" s="5"/>
      <c r="C36" s="6" t="str">
        <f t="shared" si="0"/>
        <v/>
      </c>
      <c r="D36" s="5"/>
      <c r="E36" s="5"/>
      <c r="F36" s="5"/>
      <c r="G36" s="5"/>
      <c r="H36" s="5"/>
      <c r="I36" s="5"/>
      <c r="J36" s="5"/>
      <c r="K36" s="15"/>
      <c r="L36" s="5"/>
      <c r="M36" s="15"/>
      <c r="N36" s="5"/>
      <c r="O36" s="15"/>
      <c r="P36" s="19" t="str">
        <f t="shared" si="1"/>
        <v/>
      </c>
      <c r="Q36" s="19" t="str">
        <f t="shared" si="2"/>
        <v/>
      </c>
      <c r="R36" s="19" t="str">
        <f t="shared" si="3"/>
        <v/>
      </c>
      <c r="S36" s="5"/>
      <c r="T36" s="5"/>
      <c r="U36" s="5"/>
      <c r="V36" s="24"/>
      <c r="W36" s="15"/>
      <c r="X36" s="15"/>
      <c r="Y36" s="15"/>
      <c r="Z36" s="19" t="str">
        <f t="shared" si="4"/>
        <v/>
      </c>
      <c r="AA36" s="19" t="str">
        <f t="shared" si="5"/>
        <v/>
      </c>
      <c r="AB36" s="5"/>
      <c r="AC36" s="5"/>
      <c r="AE36" t="str">
        <f>IFERROR(INDEX(EqTag,_xlfn.AGGREGATE(15,6,(ROW(EqTag)-4)/((EqSys=$D$3)*(EqTag&lt;&gt;"")),ROWS($AE$14:AE36))),"")</f>
        <v/>
      </c>
    </row>
    <row r="37" spans="1:31" ht="30" customHeight="1" x14ac:dyDescent="0.2">
      <c r="A37" s="19" t="str">
        <f>IF(F37="","",LEFT($D$3,3)&amp;"-"&amp;TEXT(COUNTIF(F$14:F37,"?*"),"00"))</f>
        <v/>
      </c>
      <c r="B37" s="5"/>
      <c r="C37" s="6" t="str">
        <f t="shared" si="0"/>
        <v/>
      </c>
      <c r="D37" s="5"/>
      <c r="E37" s="5"/>
      <c r="F37" s="5"/>
      <c r="G37" s="5"/>
      <c r="H37" s="5"/>
      <c r="I37" s="5"/>
      <c r="J37" s="5"/>
      <c r="K37" s="15"/>
      <c r="L37" s="5"/>
      <c r="M37" s="15"/>
      <c r="N37" s="5"/>
      <c r="O37" s="15"/>
      <c r="P37" s="19" t="str">
        <f t="shared" si="1"/>
        <v/>
      </c>
      <c r="Q37" s="19" t="str">
        <f t="shared" si="2"/>
        <v/>
      </c>
      <c r="R37" s="19" t="str">
        <f t="shared" si="3"/>
        <v/>
      </c>
      <c r="S37" s="5"/>
      <c r="T37" s="5"/>
      <c r="U37" s="5"/>
      <c r="V37" s="24"/>
      <c r="W37" s="15"/>
      <c r="X37" s="15"/>
      <c r="Y37" s="15"/>
      <c r="Z37" s="19" t="str">
        <f t="shared" si="4"/>
        <v/>
      </c>
      <c r="AA37" s="19" t="str">
        <f t="shared" si="5"/>
        <v/>
      </c>
      <c r="AB37" s="5"/>
      <c r="AC37" s="5"/>
      <c r="AE37" t="str">
        <f>IFERROR(INDEX(EqTag,_xlfn.AGGREGATE(15,6,(ROW(EqTag)-4)/((EqSys=$D$3)*(EqTag&lt;&gt;"")),ROWS($AE$14:AE37))),"")</f>
        <v/>
      </c>
    </row>
    <row r="38" spans="1:31" ht="30" customHeight="1" x14ac:dyDescent="0.2">
      <c r="A38" s="19" t="str">
        <f>IF(F38="","",LEFT($D$3,3)&amp;"-"&amp;TEXT(COUNTIF(F$14:F38,"?*"),"00"))</f>
        <v/>
      </c>
      <c r="B38" s="5"/>
      <c r="C38" s="6" t="str">
        <f t="shared" si="0"/>
        <v/>
      </c>
      <c r="D38" s="5"/>
      <c r="E38" s="5"/>
      <c r="F38" s="5"/>
      <c r="G38" s="5"/>
      <c r="H38" s="5"/>
      <c r="I38" s="5"/>
      <c r="J38" s="5"/>
      <c r="K38" s="15"/>
      <c r="L38" s="5"/>
      <c r="M38" s="15"/>
      <c r="N38" s="5"/>
      <c r="O38" s="15"/>
      <c r="P38" s="19" t="str">
        <f t="shared" si="1"/>
        <v/>
      </c>
      <c r="Q38" s="19" t="str">
        <f t="shared" si="2"/>
        <v/>
      </c>
      <c r="R38" s="19" t="str">
        <f t="shared" si="3"/>
        <v/>
      </c>
      <c r="S38" s="5"/>
      <c r="T38" s="5"/>
      <c r="U38" s="5"/>
      <c r="V38" s="24"/>
      <c r="W38" s="15"/>
      <c r="X38" s="15"/>
      <c r="Y38" s="15"/>
      <c r="Z38" s="19" t="str">
        <f t="shared" si="4"/>
        <v/>
      </c>
      <c r="AA38" s="19" t="str">
        <f t="shared" si="5"/>
        <v/>
      </c>
      <c r="AB38" s="5"/>
      <c r="AC38" s="5"/>
      <c r="AE38" t="str">
        <f>IFERROR(INDEX(EqTag,_xlfn.AGGREGATE(15,6,(ROW(EqTag)-4)/((EqSys=$D$3)*(EqTag&lt;&gt;"")),ROWS($AE$14:AE38))),"")</f>
        <v/>
      </c>
    </row>
    <row r="39" spans="1:31" ht="30" customHeight="1" x14ac:dyDescent="0.2">
      <c r="A39" s="19" t="str">
        <f>IF(F39="","",LEFT($D$3,3)&amp;"-"&amp;TEXT(COUNTIF(F$14:F39,"?*"),"00"))</f>
        <v/>
      </c>
      <c r="B39" s="5"/>
      <c r="C39" s="6" t="str">
        <f t="shared" si="0"/>
        <v/>
      </c>
      <c r="D39" s="5"/>
      <c r="E39" s="5"/>
      <c r="F39" s="5"/>
      <c r="G39" s="5"/>
      <c r="H39" s="5"/>
      <c r="I39" s="5"/>
      <c r="J39" s="5"/>
      <c r="K39" s="15"/>
      <c r="L39" s="5"/>
      <c r="M39" s="15"/>
      <c r="N39" s="5"/>
      <c r="O39" s="15"/>
      <c r="P39" s="19" t="str">
        <f t="shared" si="1"/>
        <v/>
      </c>
      <c r="Q39" s="19" t="str">
        <f t="shared" si="2"/>
        <v/>
      </c>
      <c r="R39" s="19" t="str">
        <f t="shared" si="3"/>
        <v/>
      </c>
      <c r="S39" s="5"/>
      <c r="T39" s="5"/>
      <c r="U39" s="5"/>
      <c r="V39" s="24"/>
      <c r="W39" s="15"/>
      <c r="X39" s="15"/>
      <c r="Y39" s="15"/>
      <c r="Z39" s="19" t="str">
        <f t="shared" si="4"/>
        <v/>
      </c>
      <c r="AA39" s="19" t="str">
        <f t="shared" si="5"/>
        <v/>
      </c>
      <c r="AB39" s="5"/>
      <c r="AC39" s="5"/>
      <c r="AE39" t="str">
        <f>IFERROR(INDEX(EqTag,_xlfn.AGGREGATE(15,6,(ROW(EqTag)-4)/((EqSys=$D$3)*(EqTag&lt;&gt;"")),ROWS($AE$14:AE39))),"")</f>
        <v/>
      </c>
    </row>
    <row r="40" spans="1:31" ht="30" customHeight="1" x14ac:dyDescent="0.2">
      <c r="A40" s="19" t="str">
        <f>IF(F40="","",LEFT($D$3,3)&amp;"-"&amp;TEXT(COUNTIF(F$14:F40,"?*"),"00"))</f>
        <v/>
      </c>
      <c r="B40" s="5"/>
      <c r="C40" s="6" t="str">
        <f t="shared" si="0"/>
        <v/>
      </c>
      <c r="D40" s="5"/>
      <c r="E40" s="5"/>
      <c r="F40" s="5"/>
      <c r="G40" s="5"/>
      <c r="H40" s="5"/>
      <c r="I40" s="5"/>
      <c r="J40" s="5"/>
      <c r="K40" s="15"/>
      <c r="L40" s="5"/>
      <c r="M40" s="15"/>
      <c r="N40" s="5"/>
      <c r="O40" s="15"/>
      <c r="P40" s="19" t="str">
        <f t="shared" si="1"/>
        <v/>
      </c>
      <c r="Q40" s="19" t="str">
        <f t="shared" si="2"/>
        <v/>
      </c>
      <c r="R40" s="19" t="str">
        <f t="shared" si="3"/>
        <v/>
      </c>
      <c r="S40" s="5"/>
      <c r="T40" s="5"/>
      <c r="U40" s="5"/>
      <c r="V40" s="24"/>
      <c r="W40" s="15"/>
      <c r="X40" s="15"/>
      <c r="Y40" s="15"/>
      <c r="Z40" s="19" t="str">
        <f t="shared" si="4"/>
        <v/>
      </c>
      <c r="AA40" s="19" t="str">
        <f t="shared" si="5"/>
        <v/>
      </c>
      <c r="AB40" s="5"/>
      <c r="AC40" s="5"/>
      <c r="AE40" t="str">
        <f>IFERROR(INDEX(EqTag,_xlfn.AGGREGATE(15,6,(ROW(EqTag)-4)/((EqSys=$D$3)*(EqTag&lt;&gt;"")),ROWS($AE$14:AE40))),"")</f>
        <v/>
      </c>
    </row>
    <row r="41" spans="1:31" ht="30" customHeight="1" x14ac:dyDescent="0.2">
      <c r="A41" s="19" t="str">
        <f>IF(F41="","",LEFT($D$3,3)&amp;"-"&amp;TEXT(COUNTIF(F$14:F41,"?*"),"00"))</f>
        <v/>
      </c>
      <c r="B41" s="5"/>
      <c r="C41" s="6" t="str">
        <f t="shared" si="0"/>
        <v/>
      </c>
      <c r="D41" s="5"/>
      <c r="E41" s="5"/>
      <c r="F41" s="5"/>
      <c r="G41" s="5"/>
      <c r="H41" s="5"/>
      <c r="I41" s="5"/>
      <c r="J41" s="5"/>
      <c r="K41" s="15"/>
      <c r="L41" s="5"/>
      <c r="M41" s="15"/>
      <c r="N41" s="5"/>
      <c r="O41" s="15"/>
      <c r="P41" s="19" t="str">
        <f t="shared" si="1"/>
        <v/>
      </c>
      <c r="Q41" s="19" t="str">
        <f t="shared" si="2"/>
        <v/>
      </c>
      <c r="R41" s="19" t="str">
        <f t="shared" si="3"/>
        <v/>
      </c>
      <c r="S41" s="5"/>
      <c r="T41" s="5"/>
      <c r="U41" s="5"/>
      <c r="V41" s="24"/>
      <c r="W41" s="15"/>
      <c r="X41" s="15"/>
      <c r="Y41" s="15"/>
      <c r="Z41" s="19" t="str">
        <f t="shared" si="4"/>
        <v/>
      </c>
      <c r="AA41" s="19" t="str">
        <f t="shared" si="5"/>
        <v/>
      </c>
      <c r="AB41" s="5"/>
      <c r="AC41" s="5"/>
      <c r="AE41" t="str">
        <f>IFERROR(INDEX(EqTag,_xlfn.AGGREGATE(15,6,(ROW(EqTag)-4)/((EqSys=$D$3)*(EqTag&lt;&gt;"")),ROWS($AE$14:AE41))),"")</f>
        <v/>
      </c>
    </row>
    <row r="42" spans="1:31" ht="30" customHeight="1" x14ac:dyDescent="0.2">
      <c r="A42" s="19" t="str">
        <f>IF(F42="","",LEFT($D$3,3)&amp;"-"&amp;TEXT(COUNTIF(F$14:F42,"?*"),"00"))</f>
        <v/>
      </c>
      <c r="B42" s="5"/>
      <c r="C42" s="6" t="str">
        <f t="shared" si="0"/>
        <v/>
      </c>
      <c r="D42" s="5"/>
      <c r="E42" s="5"/>
      <c r="F42" s="5"/>
      <c r="G42" s="5"/>
      <c r="H42" s="5"/>
      <c r="I42" s="5"/>
      <c r="J42" s="5"/>
      <c r="K42" s="15"/>
      <c r="L42" s="5"/>
      <c r="M42" s="15"/>
      <c r="N42" s="5"/>
      <c r="O42" s="15"/>
      <c r="P42" s="19" t="str">
        <f t="shared" si="1"/>
        <v/>
      </c>
      <c r="Q42" s="19" t="str">
        <f t="shared" si="2"/>
        <v/>
      </c>
      <c r="R42" s="19" t="str">
        <f t="shared" si="3"/>
        <v/>
      </c>
      <c r="S42" s="5"/>
      <c r="T42" s="5"/>
      <c r="U42" s="5"/>
      <c r="V42" s="24"/>
      <c r="W42" s="15"/>
      <c r="X42" s="15"/>
      <c r="Y42" s="15"/>
      <c r="Z42" s="19" t="str">
        <f t="shared" si="4"/>
        <v/>
      </c>
      <c r="AA42" s="19" t="str">
        <f t="shared" si="5"/>
        <v/>
      </c>
      <c r="AB42" s="5"/>
      <c r="AC42" s="5"/>
      <c r="AE42" t="str">
        <f>IFERROR(INDEX(EqTag,_xlfn.AGGREGATE(15,6,(ROW(EqTag)-4)/((EqSys=$D$3)*(EqTag&lt;&gt;"")),ROWS($AE$14:AE42))),"")</f>
        <v/>
      </c>
    </row>
    <row r="43" spans="1:31" ht="30" customHeight="1" x14ac:dyDescent="0.2">
      <c r="A43" s="19" t="str">
        <f>IF(F43="","",LEFT($D$3,3)&amp;"-"&amp;TEXT(COUNTIF(F$14:F43,"?*"),"00"))</f>
        <v/>
      </c>
      <c r="B43" s="5"/>
      <c r="C43" s="6" t="str">
        <f t="shared" si="0"/>
        <v/>
      </c>
      <c r="D43" s="5"/>
      <c r="E43" s="5"/>
      <c r="F43" s="5"/>
      <c r="G43" s="5"/>
      <c r="H43" s="5"/>
      <c r="I43" s="5"/>
      <c r="J43" s="5"/>
      <c r="K43" s="15"/>
      <c r="L43" s="5"/>
      <c r="M43" s="15"/>
      <c r="N43" s="5"/>
      <c r="O43" s="15"/>
      <c r="P43" s="19" t="str">
        <f t="shared" si="1"/>
        <v/>
      </c>
      <c r="Q43" s="19" t="str">
        <f t="shared" si="2"/>
        <v/>
      </c>
      <c r="R43" s="19" t="str">
        <f t="shared" si="3"/>
        <v/>
      </c>
      <c r="S43" s="5"/>
      <c r="T43" s="5"/>
      <c r="U43" s="5"/>
      <c r="V43" s="24"/>
      <c r="W43" s="15"/>
      <c r="X43" s="15"/>
      <c r="Y43" s="15"/>
      <c r="Z43" s="19" t="str">
        <f t="shared" si="4"/>
        <v/>
      </c>
      <c r="AA43" s="19" t="str">
        <f t="shared" si="5"/>
        <v/>
      </c>
      <c r="AB43" s="5"/>
      <c r="AC43" s="5"/>
      <c r="AE43" t="str">
        <f>IFERROR(INDEX(EqTag,_xlfn.AGGREGATE(15,6,(ROW(EqTag)-4)/((EqSys=$D$3)*(EqTag&lt;&gt;"")),ROWS($AE$14:AE43))),"")</f>
        <v/>
      </c>
    </row>
    <row r="44" spans="1:31" ht="30" customHeight="1" x14ac:dyDescent="0.2">
      <c r="A44" s="19" t="str">
        <f>IF(F44="","",LEFT($D$3,3)&amp;"-"&amp;TEXT(COUNTIF(F$14:F44,"?*"),"00"))</f>
        <v/>
      </c>
      <c r="B44" s="5"/>
      <c r="C44" s="6" t="str">
        <f t="shared" si="0"/>
        <v/>
      </c>
      <c r="D44" s="5"/>
      <c r="E44" s="5"/>
      <c r="F44" s="5"/>
      <c r="G44" s="5"/>
      <c r="H44" s="5"/>
      <c r="I44" s="5"/>
      <c r="J44" s="5"/>
      <c r="K44" s="15"/>
      <c r="L44" s="5"/>
      <c r="M44" s="15"/>
      <c r="N44" s="5"/>
      <c r="O44" s="15"/>
      <c r="P44" s="19" t="str">
        <f t="shared" si="1"/>
        <v/>
      </c>
      <c r="Q44" s="19" t="str">
        <f t="shared" si="2"/>
        <v/>
      </c>
      <c r="R44" s="19" t="str">
        <f t="shared" si="3"/>
        <v/>
      </c>
      <c r="S44" s="5"/>
      <c r="T44" s="5"/>
      <c r="U44" s="5"/>
      <c r="V44" s="24"/>
      <c r="W44" s="15"/>
      <c r="X44" s="15"/>
      <c r="Y44" s="15"/>
      <c r="Z44" s="19" t="str">
        <f t="shared" si="4"/>
        <v/>
      </c>
      <c r="AA44" s="19" t="str">
        <f t="shared" si="5"/>
        <v/>
      </c>
      <c r="AB44" s="5"/>
      <c r="AC44" s="5"/>
      <c r="AE44" t="str">
        <f>IFERROR(INDEX(EqTag,_xlfn.AGGREGATE(15,6,(ROW(EqTag)-4)/((EqSys=$D$3)*(EqTag&lt;&gt;"")),ROWS($AE$14:AE44))),"")</f>
        <v/>
      </c>
    </row>
    <row r="45" spans="1:31" ht="30" customHeight="1" x14ac:dyDescent="0.2">
      <c r="A45" s="19" t="str">
        <f>IF(F45="","",LEFT($D$3,3)&amp;"-"&amp;TEXT(COUNTIF(F$14:F45,"?*"),"00"))</f>
        <v/>
      </c>
      <c r="B45" s="5"/>
      <c r="C45" s="6" t="str">
        <f t="shared" si="0"/>
        <v/>
      </c>
      <c r="D45" s="5"/>
      <c r="E45" s="5"/>
      <c r="F45" s="5"/>
      <c r="G45" s="5"/>
      <c r="H45" s="5"/>
      <c r="I45" s="5"/>
      <c r="J45" s="5"/>
      <c r="K45" s="15"/>
      <c r="L45" s="5"/>
      <c r="M45" s="15"/>
      <c r="N45" s="5"/>
      <c r="O45" s="15"/>
      <c r="P45" s="19" t="str">
        <f t="shared" si="1"/>
        <v/>
      </c>
      <c r="Q45" s="19" t="str">
        <f t="shared" si="2"/>
        <v/>
      </c>
      <c r="R45" s="19" t="str">
        <f t="shared" si="3"/>
        <v/>
      </c>
      <c r="S45" s="5"/>
      <c r="T45" s="5"/>
      <c r="U45" s="5"/>
      <c r="V45" s="24"/>
      <c r="W45" s="15"/>
      <c r="X45" s="15"/>
      <c r="Y45" s="15"/>
      <c r="Z45" s="19" t="str">
        <f t="shared" si="4"/>
        <v/>
      </c>
      <c r="AA45" s="19" t="str">
        <f t="shared" si="5"/>
        <v/>
      </c>
      <c r="AB45" s="5"/>
      <c r="AC45" s="5"/>
      <c r="AE45" t="str">
        <f>IFERROR(INDEX(EqTag,_xlfn.AGGREGATE(15,6,(ROW(EqTag)-4)/((EqSys=$D$3)*(EqTag&lt;&gt;"")),ROWS($AE$14:AE45))),"")</f>
        <v/>
      </c>
    </row>
    <row r="46" spans="1:31" ht="30" customHeight="1" x14ac:dyDescent="0.2">
      <c r="A46" s="19" t="str">
        <f>IF(F46="","",LEFT($D$3,3)&amp;"-"&amp;TEXT(COUNTIF(F$14:F46,"?*"),"00"))</f>
        <v/>
      </c>
      <c r="B46" s="5"/>
      <c r="C46" s="6" t="str">
        <f t="shared" ref="C46:C77" si="6">IF(B46="","",IFERROR(INDEX(EqTypeCol,MATCH(B46,EqTag,0)),"Tag not in register"))</f>
        <v/>
      </c>
      <c r="D46" s="5"/>
      <c r="E46" s="5"/>
      <c r="F46" s="5"/>
      <c r="G46" s="5"/>
      <c r="H46" s="5"/>
      <c r="I46" s="5"/>
      <c r="J46" s="5"/>
      <c r="K46" s="15"/>
      <c r="L46" s="5"/>
      <c r="M46" s="15"/>
      <c r="N46" s="5"/>
      <c r="O46" s="15"/>
      <c r="P46" s="19" t="str">
        <f t="shared" ref="P46:P77" si="7">IF(OR(K46="",M46="",O46=""),"",(--TRIM(LEFT(K46,2)))*(--TRIM(LEFT(M46,2)))*(--TRIM(LEFT(O46,2))))</f>
        <v/>
      </c>
      <c r="Q46" s="19" t="str">
        <f t="shared" ref="Q46:Q77" si="8">IF(OR(K46="",M46="",O46=""),"",INDEX(APGrid,COUNTIF(APS,"&gt;"&amp;(--TRIM(LEFT(K46,2))))*5+COUNTIF(APO,"&gt;"&amp;(--TRIM(LEFT(M46,2))))+1,COUNTIF(APD,"&gt;"&amp;(--TRIM(LEFT(O46,2))))+1))</f>
        <v/>
      </c>
      <c r="R46" s="19" t="str">
        <f t="shared" ref="R46:R77" si="9">IF(P46="","",IF(OR((--TRIM(LEFT(K46,2)))&gt;=SThr,P46&gt;=RPNThr,Q46="H"),"Yes","No"))</f>
        <v/>
      </c>
      <c r="S46" s="5"/>
      <c r="T46" s="5"/>
      <c r="U46" s="5"/>
      <c r="V46" s="24"/>
      <c r="W46" s="15"/>
      <c r="X46" s="15"/>
      <c r="Y46" s="15"/>
      <c r="Z46" s="19" t="str">
        <f t="shared" ref="Z46:Z77" si="10">IF(OR(W46="",X46="",Y46=""),"",(--TRIM(LEFT(W46,2)))*(--TRIM(LEFT(X46,2)))*(--TRIM(LEFT(Y46,2))))</f>
        <v/>
      </c>
      <c r="AA46" s="19" t="str">
        <f t="shared" ref="AA46:AA77" si="11">IF(OR(W46="",X46="",Y46=""),"",INDEX(APGrid,COUNTIF(APS,"&gt;"&amp;(--TRIM(LEFT(W46,2))))*5+COUNTIF(APO,"&gt;"&amp;(--TRIM(LEFT(X46,2))))+1,COUNTIF(APD,"&gt;"&amp;(--TRIM(LEFT(Y46,2))))+1))</f>
        <v/>
      </c>
      <c r="AB46" s="5"/>
      <c r="AC46" s="5"/>
      <c r="AE46" t="str">
        <f>IFERROR(INDEX(EqTag,_xlfn.AGGREGATE(15,6,(ROW(EqTag)-4)/((EqSys=$D$3)*(EqTag&lt;&gt;"")),ROWS($AE$14:AE46))),"")</f>
        <v/>
      </c>
    </row>
    <row r="47" spans="1:31" ht="30" customHeight="1" x14ac:dyDescent="0.2">
      <c r="A47" s="19" t="str">
        <f>IF(F47="","",LEFT($D$3,3)&amp;"-"&amp;TEXT(COUNTIF(F$14:F47,"?*"),"00"))</f>
        <v/>
      </c>
      <c r="B47" s="5"/>
      <c r="C47" s="6" t="str">
        <f t="shared" si="6"/>
        <v/>
      </c>
      <c r="D47" s="5"/>
      <c r="E47" s="5"/>
      <c r="F47" s="5"/>
      <c r="G47" s="5"/>
      <c r="H47" s="5"/>
      <c r="I47" s="5"/>
      <c r="J47" s="5"/>
      <c r="K47" s="15"/>
      <c r="L47" s="5"/>
      <c r="M47" s="15"/>
      <c r="N47" s="5"/>
      <c r="O47" s="15"/>
      <c r="P47" s="19" t="str">
        <f t="shared" si="7"/>
        <v/>
      </c>
      <c r="Q47" s="19" t="str">
        <f t="shared" si="8"/>
        <v/>
      </c>
      <c r="R47" s="19" t="str">
        <f t="shared" si="9"/>
        <v/>
      </c>
      <c r="S47" s="5"/>
      <c r="T47" s="5"/>
      <c r="U47" s="5"/>
      <c r="V47" s="24"/>
      <c r="W47" s="15"/>
      <c r="X47" s="15"/>
      <c r="Y47" s="15"/>
      <c r="Z47" s="19" t="str">
        <f t="shared" si="10"/>
        <v/>
      </c>
      <c r="AA47" s="19" t="str">
        <f t="shared" si="11"/>
        <v/>
      </c>
      <c r="AB47" s="5"/>
      <c r="AC47" s="5"/>
      <c r="AE47" t="str">
        <f>IFERROR(INDEX(EqTag,_xlfn.AGGREGATE(15,6,(ROW(EqTag)-4)/((EqSys=$D$3)*(EqTag&lt;&gt;"")),ROWS($AE$14:AE47))),"")</f>
        <v/>
      </c>
    </row>
    <row r="48" spans="1:31" ht="30" customHeight="1" x14ac:dyDescent="0.2">
      <c r="A48" s="19" t="str">
        <f>IF(F48="","",LEFT($D$3,3)&amp;"-"&amp;TEXT(COUNTIF(F$14:F48,"?*"),"00"))</f>
        <v/>
      </c>
      <c r="B48" s="5"/>
      <c r="C48" s="6" t="str">
        <f t="shared" si="6"/>
        <v/>
      </c>
      <c r="D48" s="5"/>
      <c r="E48" s="5"/>
      <c r="F48" s="5"/>
      <c r="G48" s="5"/>
      <c r="H48" s="5"/>
      <c r="I48" s="5"/>
      <c r="J48" s="5"/>
      <c r="K48" s="15"/>
      <c r="L48" s="5"/>
      <c r="M48" s="15"/>
      <c r="N48" s="5"/>
      <c r="O48" s="15"/>
      <c r="P48" s="19" t="str">
        <f t="shared" si="7"/>
        <v/>
      </c>
      <c r="Q48" s="19" t="str">
        <f t="shared" si="8"/>
        <v/>
      </c>
      <c r="R48" s="19" t="str">
        <f t="shared" si="9"/>
        <v/>
      </c>
      <c r="S48" s="5"/>
      <c r="T48" s="5"/>
      <c r="U48" s="5"/>
      <c r="V48" s="24"/>
      <c r="W48" s="15"/>
      <c r="X48" s="15"/>
      <c r="Y48" s="15"/>
      <c r="Z48" s="19" t="str">
        <f t="shared" si="10"/>
        <v/>
      </c>
      <c r="AA48" s="19" t="str">
        <f t="shared" si="11"/>
        <v/>
      </c>
      <c r="AB48" s="5"/>
      <c r="AC48" s="5"/>
      <c r="AE48" t="str">
        <f>IFERROR(INDEX(EqTag,_xlfn.AGGREGATE(15,6,(ROW(EqTag)-4)/((EqSys=$D$3)*(EqTag&lt;&gt;"")),ROWS($AE$14:AE48))),"")</f>
        <v/>
      </c>
    </row>
    <row r="49" spans="1:31" ht="30" customHeight="1" x14ac:dyDescent="0.2">
      <c r="A49" s="19" t="str">
        <f>IF(F49="","",LEFT($D$3,3)&amp;"-"&amp;TEXT(COUNTIF(F$14:F49,"?*"),"00"))</f>
        <v/>
      </c>
      <c r="B49" s="5"/>
      <c r="C49" s="6" t="str">
        <f t="shared" si="6"/>
        <v/>
      </c>
      <c r="D49" s="5"/>
      <c r="E49" s="5"/>
      <c r="F49" s="5"/>
      <c r="G49" s="5"/>
      <c r="H49" s="5"/>
      <c r="I49" s="5"/>
      <c r="J49" s="5"/>
      <c r="K49" s="15"/>
      <c r="L49" s="5"/>
      <c r="M49" s="15"/>
      <c r="N49" s="5"/>
      <c r="O49" s="15"/>
      <c r="P49" s="19" t="str">
        <f t="shared" si="7"/>
        <v/>
      </c>
      <c r="Q49" s="19" t="str">
        <f t="shared" si="8"/>
        <v/>
      </c>
      <c r="R49" s="19" t="str">
        <f t="shared" si="9"/>
        <v/>
      </c>
      <c r="S49" s="5"/>
      <c r="T49" s="5"/>
      <c r="U49" s="5"/>
      <c r="V49" s="24"/>
      <c r="W49" s="15"/>
      <c r="X49" s="15"/>
      <c r="Y49" s="15"/>
      <c r="Z49" s="19" t="str">
        <f t="shared" si="10"/>
        <v/>
      </c>
      <c r="AA49" s="19" t="str">
        <f t="shared" si="11"/>
        <v/>
      </c>
      <c r="AB49" s="5"/>
      <c r="AC49" s="5"/>
      <c r="AE49" t="str">
        <f>IFERROR(INDEX(EqTag,_xlfn.AGGREGATE(15,6,(ROW(EqTag)-4)/((EqSys=$D$3)*(EqTag&lt;&gt;"")),ROWS($AE$14:AE49))),"")</f>
        <v/>
      </c>
    </row>
    <row r="50" spans="1:31" ht="30" customHeight="1" x14ac:dyDescent="0.2">
      <c r="A50" s="19" t="str">
        <f>IF(F50="","",LEFT($D$3,3)&amp;"-"&amp;TEXT(COUNTIF(F$14:F50,"?*"),"00"))</f>
        <v/>
      </c>
      <c r="B50" s="5"/>
      <c r="C50" s="6" t="str">
        <f t="shared" si="6"/>
        <v/>
      </c>
      <c r="D50" s="5"/>
      <c r="E50" s="5"/>
      <c r="F50" s="5"/>
      <c r="G50" s="5"/>
      <c r="H50" s="5"/>
      <c r="I50" s="5"/>
      <c r="J50" s="5"/>
      <c r="K50" s="15"/>
      <c r="L50" s="5"/>
      <c r="M50" s="15"/>
      <c r="N50" s="5"/>
      <c r="O50" s="15"/>
      <c r="P50" s="19" t="str">
        <f t="shared" si="7"/>
        <v/>
      </c>
      <c r="Q50" s="19" t="str">
        <f t="shared" si="8"/>
        <v/>
      </c>
      <c r="R50" s="19" t="str">
        <f t="shared" si="9"/>
        <v/>
      </c>
      <c r="S50" s="5"/>
      <c r="T50" s="5"/>
      <c r="U50" s="5"/>
      <c r="V50" s="24"/>
      <c r="W50" s="15"/>
      <c r="X50" s="15"/>
      <c r="Y50" s="15"/>
      <c r="Z50" s="19" t="str">
        <f t="shared" si="10"/>
        <v/>
      </c>
      <c r="AA50" s="19" t="str">
        <f t="shared" si="11"/>
        <v/>
      </c>
      <c r="AB50" s="5"/>
      <c r="AC50" s="5"/>
      <c r="AE50" t="str">
        <f>IFERROR(INDEX(EqTag,_xlfn.AGGREGATE(15,6,(ROW(EqTag)-4)/((EqSys=$D$3)*(EqTag&lt;&gt;"")),ROWS($AE$14:AE50))),"")</f>
        <v/>
      </c>
    </row>
    <row r="51" spans="1:31" ht="30" customHeight="1" x14ac:dyDescent="0.2">
      <c r="A51" s="19" t="str">
        <f>IF(F51="","",LEFT($D$3,3)&amp;"-"&amp;TEXT(COUNTIF(F$14:F51,"?*"),"00"))</f>
        <v/>
      </c>
      <c r="B51" s="5"/>
      <c r="C51" s="6" t="str">
        <f t="shared" si="6"/>
        <v/>
      </c>
      <c r="D51" s="5"/>
      <c r="E51" s="5"/>
      <c r="F51" s="5"/>
      <c r="G51" s="5"/>
      <c r="H51" s="5"/>
      <c r="I51" s="5"/>
      <c r="J51" s="5"/>
      <c r="K51" s="15"/>
      <c r="L51" s="5"/>
      <c r="M51" s="15"/>
      <c r="N51" s="5"/>
      <c r="O51" s="15"/>
      <c r="P51" s="19" t="str">
        <f t="shared" si="7"/>
        <v/>
      </c>
      <c r="Q51" s="19" t="str">
        <f t="shared" si="8"/>
        <v/>
      </c>
      <c r="R51" s="19" t="str">
        <f t="shared" si="9"/>
        <v/>
      </c>
      <c r="S51" s="5"/>
      <c r="T51" s="5"/>
      <c r="U51" s="5"/>
      <c r="V51" s="24"/>
      <c r="W51" s="15"/>
      <c r="X51" s="15"/>
      <c r="Y51" s="15"/>
      <c r="Z51" s="19" t="str">
        <f t="shared" si="10"/>
        <v/>
      </c>
      <c r="AA51" s="19" t="str">
        <f t="shared" si="11"/>
        <v/>
      </c>
      <c r="AB51" s="5"/>
      <c r="AC51" s="5"/>
      <c r="AE51" t="str">
        <f>IFERROR(INDEX(EqTag,_xlfn.AGGREGATE(15,6,(ROW(EqTag)-4)/((EqSys=$D$3)*(EqTag&lt;&gt;"")),ROWS($AE$14:AE51))),"")</f>
        <v/>
      </c>
    </row>
    <row r="52" spans="1:31" ht="30" customHeight="1" x14ac:dyDescent="0.2">
      <c r="A52" s="19" t="str">
        <f>IF(F52="","",LEFT($D$3,3)&amp;"-"&amp;TEXT(COUNTIF(F$14:F52,"?*"),"00"))</f>
        <v/>
      </c>
      <c r="B52" s="5"/>
      <c r="C52" s="6" t="str">
        <f t="shared" si="6"/>
        <v/>
      </c>
      <c r="D52" s="5"/>
      <c r="E52" s="5"/>
      <c r="F52" s="5"/>
      <c r="G52" s="5"/>
      <c r="H52" s="5"/>
      <c r="I52" s="5"/>
      <c r="J52" s="5"/>
      <c r="K52" s="15"/>
      <c r="L52" s="5"/>
      <c r="M52" s="15"/>
      <c r="N52" s="5"/>
      <c r="O52" s="15"/>
      <c r="P52" s="19" t="str">
        <f t="shared" si="7"/>
        <v/>
      </c>
      <c r="Q52" s="19" t="str">
        <f t="shared" si="8"/>
        <v/>
      </c>
      <c r="R52" s="19" t="str">
        <f t="shared" si="9"/>
        <v/>
      </c>
      <c r="S52" s="5"/>
      <c r="T52" s="5"/>
      <c r="U52" s="5"/>
      <c r="V52" s="24"/>
      <c r="W52" s="15"/>
      <c r="X52" s="15"/>
      <c r="Y52" s="15"/>
      <c r="Z52" s="19" t="str">
        <f t="shared" si="10"/>
        <v/>
      </c>
      <c r="AA52" s="19" t="str">
        <f t="shared" si="11"/>
        <v/>
      </c>
      <c r="AB52" s="5"/>
      <c r="AC52" s="5"/>
      <c r="AE52" t="str">
        <f>IFERROR(INDEX(EqTag,_xlfn.AGGREGATE(15,6,(ROW(EqTag)-4)/((EqSys=$D$3)*(EqTag&lt;&gt;"")),ROWS($AE$14:AE52))),"")</f>
        <v/>
      </c>
    </row>
    <row r="53" spans="1:31" ht="30" customHeight="1" x14ac:dyDescent="0.2">
      <c r="A53" s="19" t="str">
        <f>IF(F53="","",LEFT($D$3,3)&amp;"-"&amp;TEXT(COUNTIF(F$14:F53,"?*"),"00"))</f>
        <v/>
      </c>
      <c r="B53" s="5"/>
      <c r="C53" s="6" t="str">
        <f t="shared" si="6"/>
        <v/>
      </c>
      <c r="D53" s="5"/>
      <c r="E53" s="5"/>
      <c r="F53" s="5"/>
      <c r="G53" s="5"/>
      <c r="H53" s="5"/>
      <c r="I53" s="5"/>
      <c r="J53" s="5"/>
      <c r="K53" s="15"/>
      <c r="L53" s="5"/>
      <c r="M53" s="15"/>
      <c r="N53" s="5"/>
      <c r="O53" s="15"/>
      <c r="P53" s="19" t="str">
        <f t="shared" si="7"/>
        <v/>
      </c>
      <c r="Q53" s="19" t="str">
        <f t="shared" si="8"/>
        <v/>
      </c>
      <c r="R53" s="19" t="str">
        <f t="shared" si="9"/>
        <v/>
      </c>
      <c r="S53" s="5"/>
      <c r="T53" s="5"/>
      <c r="U53" s="5"/>
      <c r="V53" s="24"/>
      <c r="W53" s="15"/>
      <c r="X53" s="15"/>
      <c r="Y53" s="15"/>
      <c r="Z53" s="19" t="str">
        <f t="shared" si="10"/>
        <v/>
      </c>
      <c r="AA53" s="19" t="str">
        <f t="shared" si="11"/>
        <v/>
      </c>
      <c r="AB53" s="5"/>
      <c r="AC53" s="5"/>
      <c r="AE53" t="str">
        <f>IFERROR(INDEX(EqTag,_xlfn.AGGREGATE(15,6,(ROW(EqTag)-4)/((EqSys=$D$3)*(EqTag&lt;&gt;"")),ROWS($AE$14:AE53))),"")</f>
        <v/>
      </c>
    </row>
    <row r="54" spans="1:31" ht="30" customHeight="1" x14ac:dyDescent="0.2">
      <c r="A54" s="19" t="str">
        <f>IF(F54="","",LEFT($D$3,3)&amp;"-"&amp;TEXT(COUNTIF(F$14:F54,"?*"),"00"))</f>
        <v/>
      </c>
      <c r="B54" s="5"/>
      <c r="C54" s="6" t="str">
        <f t="shared" si="6"/>
        <v/>
      </c>
      <c r="D54" s="5"/>
      <c r="E54" s="5"/>
      <c r="F54" s="5"/>
      <c r="G54" s="5"/>
      <c r="H54" s="5"/>
      <c r="I54" s="5"/>
      <c r="J54" s="5"/>
      <c r="K54" s="15"/>
      <c r="L54" s="5"/>
      <c r="M54" s="15"/>
      <c r="N54" s="5"/>
      <c r="O54" s="15"/>
      <c r="P54" s="19" t="str">
        <f t="shared" si="7"/>
        <v/>
      </c>
      <c r="Q54" s="19" t="str">
        <f t="shared" si="8"/>
        <v/>
      </c>
      <c r="R54" s="19" t="str">
        <f t="shared" si="9"/>
        <v/>
      </c>
      <c r="S54" s="5"/>
      <c r="T54" s="5"/>
      <c r="U54" s="5"/>
      <c r="V54" s="24"/>
      <c r="W54" s="15"/>
      <c r="X54" s="15"/>
      <c r="Y54" s="15"/>
      <c r="Z54" s="19" t="str">
        <f t="shared" si="10"/>
        <v/>
      </c>
      <c r="AA54" s="19" t="str">
        <f t="shared" si="11"/>
        <v/>
      </c>
      <c r="AB54" s="5"/>
      <c r="AC54" s="5"/>
      <c r="AE54" t="str">
        <f>IFERROR(INDEX(EqTag,_xlfn.AGGREGATE(15,6,(ROW(EqTag)-4)/((EqSys=$D$3)*(EqTag&lt;&gt;"")),ROWS($AE$14:AE54))),"")</f>
        <v/>
      </c>
    </row>
    <row r="55" spans="1:31" ht="30" customHeight="1" x14ac:dyDescent="0.2">
      <c r="A55" s="19" t="str">
        <f>IF(F55="","",LEFT($D$3,3)&amp;"-"&amp;TEXT(COUNTIF(F$14:F55,"?*"),"00"))</f>
        <v/>
      </c>
      <c r="B55" s="5"/>
      <c r="C55" s="6" t="str">
        <f t="shared" si="6"/>
        <v/>
      </c>
      <c r="D55" s="5"/>
      <c r="E55" s="5"/>
      <c r="F55" s="5"/>
      <c r="G55" s="5"/>
      <c r="H55" s="5"/>
      <c r="I55" s="5"/>
      <c r="J55" s="5"/>
      <c r="K55" s="15"/>
      <c r="L55" s="5"/>
      <c r="M55" s="15"/>
      <c r="N55" s="5"/>
      <c r="O55" s="15"/>
      <c r="P55" s="19" t="str">
        <f t="shared" si="7"/>
        <v/>
      </c>
      <c r="Q55" s="19" t="str">
        <f t="shared" si="8"/>
        <v/>
      </c>
      <c r="R55" s="19" t="str">
        <f t="shared" si="9"/>
        <v/>
      </c>
      <c r="S55" s="5"/>
      <c r="T55" s="5"/>
      <c r="U55" s="5"/>
      <c r="V55" s="24"/>
      <c r="W55" s="15"/>
      <c r="X55" s="15"/>
      <c r="Y55" s="15"/>
      <c r="Z55" s="19" t="str">
        <f t="shared" si="10"/>
        <v/>
      </c>
      <c r="AA55" s="19" t="str">
        <f t="shared" si="11"/>
        <v/>
      </c>
      <c r="AB55" s="5"/>
      <c r="AC55" s="5"/>
      <c r="AE55" t="str">
        <f>IFERROR(INDEX(EqTag,_xlfn.AGGREGATE(15,6,(ROW(EqTag)-4)/((EqSys=$D$3)*(EqTag&lt;&gt;"")),ROWS($AE$14:AE55))),"")</f>
        <v/>
      </c>
    </row>
    <row r="56" spans="1:31" ht="30" customHeight="1" x14ac:dyDescent="0.2">
      <c r="A56" s="19" t="str">
        <f>IF(F56="","",LEFT($D$3,3)&amp;"-"&amp;TEXT(COUNTIF(F$14:F56,"?*"),"00"))</f>
        <v/>
      </c>
      <c r="B56" s="5"/>
      <c r="C56" s="6" t="str">
        <f t="shared" si="6"/>
        <v/>
      </c>
      <c r="D56" s="5"/>
      <c r="E56" s="5"/>
      <c r="F56" s="5"/>
      <c r="G56" s="5"/>
      <c r="H56" s="5"/>
      <c r="I56" s="5"/>
      <c r="J56" s="5"/>
      <c r="K56" s="15"/>
      <c r="L56" s="5"/>
      <c r="M56" s="15"/>
      <c r="N56" s="5"/>
      <c r="O56" s="15"/>
      <c r="P56" s="19" t="str">
        <f t="shared" si="7"/>
        <v/>
      </c>
      <c r="Q56" s="19" t="str">
        <f t="shared" si="8"/>
        <v/>
      </c>
      <c r="R56" s="19" t="str">
        <f t="shared" si="9"/>
        <v/>
      </c>
      <c r="S56" s="5"/>
      <c r="T56" s="5"/>
      <c r="U56" s="5"/>
      <c r="V56" s="24"/>
      <c r="W56" s="15"/>
      <c r="X56" s="15"/>
      <c r="Y56" s="15"/>
      <c r="Z56" s="19" t="str">
        <f t="shared" si="10"/>
        <v/>
      </c>
      <c r="AA56" s="19" t="str">
        <f t="shared" si="11"/>
        <v/>
      </c>
      <c r="AB56" s="5"/>
      <c r="AC56" s="5"/>
      <c r="AE56" t="str">
        <f>IFERROR(INDEX(EqTag,_xlfn.AGGREGATE(15,6,(ROW(EqTag)-4)/((EqSys=$D$3)*(EqTag&lt;&gt;"")),ROWS($AE$14:AE56))),"")</f>
        <v/>
      </c>
    </row>
    <row r="57" spans="1:31" ht="30" customHeight="1" x14ac:dyDescent="0.2">
      <c r="A57" s="19" t="str">
        <f>IF(F57="","",LEFT($D$3,3)&amp;"-"&amp;TEXT(COUNTIF(F$14:F57,"?*"),"00"))</f>
        <v/>
      </c>
      <c r="B57" s="5"/>
      <c r="C57" s="6" t="str">
        <f t="shared" si="6"/>
        <v/>
      </c>
      <c r="D57" s="5"/>
      <c r="E57" s="5"/>
      <c r="F57" s="5"/>
      <c r="G57" s="5"/>
      <c r="H57" s="5"/>
      <c r="I57" s="5"/>
      <c r="J57" s="5"/>
      <c r="K57" s="15"/>
      <c r="L57" s="5"/>
      <c r="M57" s="15"/>
      <c r="N57" s="5"/>
      <c r="O57" s="15"/>
      <c r="P57" s="19" t="str">
        <f t="shared" si="7"/>
        <v/>
      </c>
      <c r="Q57" s="19" t="str">
        <f t="shared" si="8"/>
        <v/>
      </c>
      <c r="R57" s="19" t="str">
        <f t="shared" si="9"/>
        <v/>
      </c>
      <c r="S57" s="5"/>
      <c r="T57" s="5"/>
      <c r="U57" s="5"/>
      <c r="V57" s="24"/>
      <c r="W57" s="15"/>
      <c r="X57" s="15"/>
      <c r="Y57" s="15"/>
      <c r="Z57" s="19" t="str">
        <f t="shared" si="10"/>
        <v/>
      </c>
      <c r="AA57" s="19" t="str">
        <f t="shared" si="11"/>
        <v/>
      </c>
      <c r="AB57" s="5"/>
      <c r="AC57" s="5"/>
      <c r="AE57" t="str">
        <f>IFERROR(INDEX(EqTag,_xlfn.AGGREGATE(15,6,(ROW(EqTag)-4)/((EqSys=$D$3)*(EqTag&lt;&gt;"")),ROWS($AE$14:AE57))),"")</f>
        <v/>
      </c>
    </row>
    <row r="58" spans="1:31" ht="30" customHeight="1" x14ac:dyDescent="0.2">
      <c r="A58" s="19" t="str">
        <f>IF(F58="","",LEFT($D$3,3)&amp;"-"&amp;TEXT(COUNTIF(F$14:F58,"?*"),"00"))</f>
        <v/>
      </c>
      <c r="B58" s="5"/>
      <c r="C58" s="6" t="str">
        <f t="shared" si="6"/>
        <v/>
      </c>
      <c r="D58" s="5"/>
      <c r="E58" s="5"/>
      <c r="F58" s="5"/>
      <c r="G58" s="5"/>
      <c r="H58" s="5"/>
      <c r="I58" s="5"/>
      <c r="J58" s="5"/>
      <c r="K58" s="15"/>
      <c r="L58" s="5"/>
      <c r="M58" s="15"/>
      <c r="N58" s="5"/>
      <c r="O58" s="15"/>
      <c r="P58" s="19" t="str">
        <f t="shared" si="7"/>
        <v/>
      </c>
      <c r="Q58" s="19" t="str">
        <f t="shared" si="8"/>
        <v/>
      </c>
      <c r="R58" s="19" t="str">
        <f t="shared" si="9"/>
        <v/>
      </c>
      <c r="S58" s="5"/>
      <c r="T58" s="5"/>
      <c r="U58" s="5"/>
      <c r="V58" s="24"/>
      <c r="W58" s="15"/>
      <c r="X58" s="15"/>
      <c r="Y58" s="15"/>
      <c r="Z58" s="19" t="str">
        <f t="shared" si="10"/>
        <v/>
      </c>
      <c r="AA58" s="19" t="str">
        <f t="shared" si="11"/>
        <v/>
      </c>
      <c r="AB58" s="5"/>
      <c r="AC58" s="5"/>
      <c r="AE58" t="str">
        <f>IFERROR(INDEX(EqTag,_xlfn.AGGREGATE(15,6,(ROW(EqTag)-4)/((EqSys=$D$3)*(EqTag&lt;&gt;"")),ROWS($AE$14:AE58))),"")</f>
        <v/>
      </c>
    </row>
    <row r="59" spans="1:31" ht="30" customHeight="1" x14ac:dyDescent="0.2">
      <c r="A59" s="19" t="str">
        <f>IF(F59="","",LEFT($D$3,3)&amp;"-"&amp;TEXT(COUNTIF(F$14:F59,"?*"),"00"))</f>
        <v/>
      </c>
      <c r="B59" s="5"/>
      <c r="C59" s="6" t="str">
        <f t="shared" si="6"/>
        <v/>
      </c>
      <c r="D59" s="5"/>
      <c r="E59" s="5"/>
      <c r="F59" s="5"/>
      <c r="G59" s="5"/>
      <c r="H59" s="5"/>
      <c r="I59" s="5"/>
      <c r="J59" s="5"/>
      <c r="K59" s="15"/>
      <c r="L59" s="5"/>
      <c r="M59" s="15"/>
      <c r="N59" s="5"/>
      <c r="O59" s="15"/>
      <c r="P59" s="19" t="str">
        <f t="shared" si="7"/>
        <v/>
      </c>
      <c r="Q59" s="19" t="str">
        <f t="shared" si="8"/>
        <v/>
      </c>
      <c r="R59" s="19" t="str">
        <f t="shared" si="9"/>
        <v/>
      </c>
      <c r="S59" s="5"/>
      <c r="T59" s="5"/>
      <c r="U59" s="5"/>
      <c r="V59" s="24"/>
      <c r="W59" s="15"/>
      <c r="X59" s="15"/>
      <c r="Y59" s="15"/>
      <c r="Z59" s="19" t="str">
        <f t="shared" si="10"/>
        <v/>
      </c>
      <c r="AA59" s="19" t="str">
        <f t="shared" si="11"/>
        <v/>
      </c>
      <c r="AB59" s="5"/>
      <c r="AC59" s="5"/>
      <c r="AE59" t="str">
        <f>IFERROR(INDEX(EqTag,_xlfn.AGGREGATE(15,6,(ROW(EqTag)-4)/((EqSys=$D$3)*(EqTag&lt;&gt;"")),ROWS($AE$14:AE59))),"")</f>
        <v/>
      </c>
    </row>
    <row r="60" spans="1:31" ht="30" customHeight="1" x14ac:dyDescent="0.2">
      <c r="A60" s="19" t="str">
        <f>IF(F60="","",LEFT($D$3,3)&amp;"-"&amp;TEXT(COUNTIF(F$14:F60,"?*"),"00"))</f>
        <v/>
      </c>
      <c r="B60" s="5"/>
      <c r="C60" s="6" t="str">
        <f t="shared" si="6"/>
        <v/>
      </c>
      <c r="D60" s="5"/>
      <c r="E60" s="5"/>
      <c r="F60" s="5"/>
      <c r="G60" s="5"/>
      <c r="H60" s="5"/>
      <c r="I60" s="5"/>
      <c r="J60" s="5"/>
      <c r="K60" s="15"/>
      <c r="L60" s="5"/>
      <c r="M60" s="15"/>
      <c r="N60" s="5"/>
      <c r="O60" s="15"/>
      <c r="P60" s="19" t="str">
        <f t="shared" si="7"/>
        <v/>
      </c>
      <c r="Q60" s="19" t="str">
        <f t="shared" si="8"/>
        <v/>
      </c>
      <c r="R60" s="19" t="str">
        <f t="shared" si="9"/>
        <v/>
      </c>
      <c r="S60" s="5"/>
      <c r="T60" s="5"/>
      <c r="U60" s="5"/>
      <c r="V60" s="24"/>
      <c r="W60" s="15"/>
      <c r="X60" s="15"/>
      <c r="Y60" s="15"/>
      <c r="Z60" s="19" t="str">
        <f t="shared" si="10"/>
        <v/>
      </c>
      <c r="AA60" s="19" t="str">
        <f t="shared" si="11"/>
        <v/>
      </c>
      <c r="AB60" s="5"/>
      <c r="AC60" s="5"/>
      <c r="AE60" t="str">
        <f>IFERROR(INDEX(EqTag,_xlfn.AGGREGATE(15,6,(ROW(EqTag)-4)/((EqSys=$D$3)*(EqTag&lt;&gt;"")),ROWS($AE$14:AE60))),"")</f>
        <v/>
      </c>
    </row>
    <row r="61" spans="1:31" ht="30" customHeight="1" x14ac:dyDescent="0.2">
      <c r="A61" s="19" t="str">
        <f>IF(F61="","",LEFT($D$3,3)&amp;"-"&amp;TEXT(COUNTIF(F$14:F61,"?*"),"00"))</f>
        <v/>
      </c>
      <c r="B61" s="5"/>
      <c r="C61" s="6" t="str">
        <f t="shared" si="6"/>
        <v/>
      </c>
      <c r="D61" s="5"/>
      <c r="E61" s="5"/>
      <c r="F61" s="5"/>
      <c r="G61" s="5"/>
      <c r="H61" s="5"/>
      <c r="I61" s="5"/>
      <c r="J61" s="5"/>
      <c r="K61" s="15"/>
      <c r="L61" s="5"/>
      <c r="M61" s="15"/>
      <c r="N61" s="5"/>
      <c r="O61" s="15"/>
      <c r="P61" s="19" t="str">
        <f t="shared" si="7"/>
        <v/>
      </c>
      <c r="Q61" s="19" t="str">
        <f t="shared" si="8"/>
        <v/>
      </c>
      <c r="R61" s="19" t="str">
        <f t="shared" si="9"/>
        <v/>
      </c>
      <c r="S61" s="5"/>
      <c r="T61" s="5"/>
      <c r="U61" s="5"/>
      <c r="V61" s="24"/>
      <c r="W61" s="15"/>
      <c r="X61" s="15"/>
      <c r="Y61" s="15"/>
      <c r="Z61" s="19" t="str">
        <f t="shared" si="10"/>
        <v/>
      </c>
      <c r="AA61" s="19" t="str">
        <f t="shared" si="11"/>
        <v/>
      </c>
      <c r="AB61" s="5"/>
      <c r="AC61" s="5"/>
      <c r="AE61" t="str">
        <f>IFERROR(INDEX(EqTag,_xlfn.AGGREGATE(15,6,(ROW(EqTag)-4)/((EqSys=$D$3)*(EqTag&lt;&gt;"")),ROWS($AE$14:AE61))),"")</f>
        <v/>
      </c>
    </row>
    <row r="62" spans="1:31" ht="30" customHeight="1" x14ac:dyDescent="0.2">
      <c r="A62" s="19" t="str">
        <f>IF(F62="","",LEFT($D$3,3)&amp;"-"&amp;TEXT(COUNTIF(F$14:F62,"?*"),"00"))</f>
        <v/>
      </c>
      <c r="B62" s="5"/>
      <c r="C62" s="6" t="str">
        <f t="shared" si="6"/>
        <v/>
      </c>
      <c r="D62" s="5"/>
      <c r="E62" s="5"/>
      <c r="F62" s="5"/>
      <c r="G62" s="5"/>
      <c r="H62" s="5"/>
      <c r="I62" s="5"/>
      <c r="J62" s="5"/>
      <c r="K62" s="15"/>
      <c r="L62" s="5"/>
      <c r="M62" s="15"/>
      <c r="N62" s="5"/>
      <c r="O62" s="15"/>
      <c r="P62" s="19" t="str">
        <f t="shared" si="7"/>
        <v/>
      </c>
      <c r="Q62" s="19" t="str">
        <f t="shared" si="8"/>
        <v/>
      </c>
      <c r="R62" s="19" t="str">
        <f t="shared" si="9"/>
        <v/>
      </c>
      <c r="S62" s="5"/>
      <c r="T62" s="5"/>
      <c r="U62" s="5"/>
      <c r="V62" s="24"/>
      <c r="W62" s="15"/>
      <c r="X62" s="15"/>
      <c r="Y62" s="15"/>
      <c r="Z62" s="19" t="str">
        <f t="shared" si="10"/>
        <v/>
      </c>
      <c r="AA62" s="19" t="str">
        <f t="shared" si="11"/>
        <v/>
      </c>
      <c r="AB62" s="5"/>
      <c r="AC62" s="5"/>
      <c r="AE62" t="str">
        <f>IFERROR(INDEX(EqTag,_xlfn.AGGREGATE(15,6,(ROW(EqTag)-4)/((EqSys=$D$3)*(EqTag&lt;&gt;"")),ROWS($AE$14:AE62))),"")</f>
        <v/>
      </c>
    </row>
    <row r="63" spans="1:31" ht="30" customHeight="1" x14ac:dyDescent="0.2">
      <c r="A63" s="19" t="str">
        <f>IF(F63="","",LEFT($D$3,3)&amp;"-"&amp;TEXT(COUNTIF(F$14:F63,"?*"),"00"))</f>
        <v/>
      </c>
      <c r="B63" s="5"/>
      <c r="C63" s="6" t="str">
        <f t="shared" si="6"/>
        <v/>
      </c>
      <c r="D63" s="5"/>
      <c r="E63" s="5"/>
      <c r="F63" s="5"/>
      <c r="G63" s="5"/>
      <c r="H63" s="5"/>
      <c r="I63" s="5"/>
      <c r="J63" s="5"/>
      <c r="K63" s="15"/>
      <c r="L63" s="5"/>
      <c r="M63" s="15"/>
      <c r="N63" s="5"/>
      <c r="O63" s="15"/>
      <c r="P63" s="19" t="str">
        <f t="shared" si="7"/>
        <v/>
      </c>
      <c r="Q63" s="19" t="str">
        <f t="shared" si="8"/>
        <v/>
      </c>
      <c r="R63" s="19" t="str">
        <f t="shared" si="9"/>
        <v/>
      </c>
      <c r="S63" s="5"/>
      <c r="T63" s="5"/>
      <c r="U63" s="5"/>
      <c r="V63" s="24"/>
      <c r="W63" s="15"/>
      <c r="X63" s="15"/>
      <c r="Y63" s="15"/>
      <c r="Z63" s="19" t="str">
        <f t="shared" si="10"/>
        <v/>
      </c>
      <c r="AA63" s="19" t="str">
        <f t="shared" si="11"/>
        <v/>
      </c>
      <c r="AB63" s="5"/>
      <c r="AC63" s="5"/>
      <c r="AE63" t="str">
        <f>IFERROR(INDEX(EqTag,_xlfn.AGGREGATE(15,6,(ROW(EqTag)-4)/((EqSys=$D$3)*(EqTag&lt;&gt;"")),ROWS($AE$14:AE63))),"")</f>
        <v/>
      </c>
    </row>
    <row r="64" spans="1:31" ht="30" customHeight="1" x14ac:dyDescent="0.2">
      <c r="A64" s="19" t="str">
        <f>IF(F64="","",LEFT($D$3,3)&amp;"-"&amp;TEXT(COUNTIF(F$14:F64,"?*"),"00"))</f>
        <v/>
      </c>
      <c r="B64" s="5"/>
      <c r="C64" s="6" t="str">
        <f t="shared" si="6"/>
        <v/>
      </c>
      <c r="D64" s="5"/>
      <c r="E64" s="5"/>
      <c r="F64" s="5"/>
      <c r="G64" s="5"/>
      <c r="H64" s="5"/>
      <c r="I64" s="5"/>
      <c r="J64" s="5"/>
      <c r="K64" s="15"/>
      <c r="L64" s="5"/>
      <c r="M64" s="15"/>
      <c r="N64" s="5"/>
      <c r="O64" s="15"/>
      <c r="P64" s="19" t="str">
        <f t="shared" si="7"/>
        <v/>
      </c>
      <c r="Q64" s="19" t="str">
        <f t="shared" si="8"/>
        <v/>
      </c>
      <c r="R64" s="19" t="str">
        <f t="shared" si="9"/>
        <v/>
      </c>
      <c r="S64" s="5"/>
      <c r="T64" s="5"/>
      <c r="U64" s="5"/>
      <c r="V64" s="24"/>
      <c r="W64" s="15"/>
      <c r="X64" s="15"/>
      <c r="Y64" s="15"/>
      <c r="Z64" s="19" t="str">
        <f t="shared" si="10"/>
        <v/>
      </c>
      <c r="AA64" s="19" t="str">
        <f t="shared" si="11"/>
        <v/>
      </c>
      <c r="AB64" s="5"/>
      <c r="AC64" s="5"/>
      <c r="AE64" t="str">
        <f>IFERROR(INDEX(EqTag,_xlfn.AGGREGATE(15,6,(ROW(EqTag)-4)/((EqSys=$D$3)*(EqTag&lt;&gt;"")),ROWS($AE$14:AE64))),"")</f>
        <v/>
      </c>
    </row>
    <row r="65" spans="1:31" ht="30" customHeight="1" x14ac:dyDescent="0.2">
      <c r="A65" s="19" t="str">
        <f>IF(F65="","",LEFT($D$3,3)&amp;"-"&amp;TEXT(COUNTIF(F$14:F65,"?*"),"00"))</f>
        <v/>
      </c>
      <c r="B65" s="5"/>
      <c r="C65" s="6" t="str">
        <f t="shared" si="6"/>
        <v/>
      </c>
      <c r="D65" s="5"/>
      <c r="E65" s="5"/>
      <c r="F65" s="5"/>
      <c r="G65" s="5"/>
      <c r="H65" s="5"/>
      <c r="I65" s="5"/>
      <c r="J65" s="5"/>
      <c r="K65" s="15"/>
      <c r="L65" s="5"/>
      <c r="M65" s="15"/>
      <c r="N65" s="5"/>
      <c r="O65" s="15"/>
      <c r="P65" s="19" t="str">
        <f t="shared" si="7"/>
        <v/>
      </c>
      <c r="Q65" s="19" t="str">
        <f t="shared" si="8"/>
        <v/>
      </c>
      <c r="R65" s="19" t="str">
        <f t="shared" si="9"/>
        <v/>
      </c>
      <c r="S65" s="5"/>
      <c r="T65" s="5"/>
      <c r="U65" s="5"/>
      <c r="V65" s="24"/>
      <c r="W65" s="15"/>
      <c r="X65" s="15"/>
      <c r="Y65" s="15"/>
      <c r="Z65" s="19" t="str">
        <f t="shared" si="10"/>
        <v/>
      </c>
      <c r="AA65" s="19" t="str">
        <f t="shared" si="11"/>
        <v/>
      </c>
      <c r="AB65" s="5"/>
      <c r="AC65" s="5"/>
      <c r="AE65" t="str">
        <f>IFERROR(INDEX(EqTag,_xlfn.AGGREGATE(15,6,(ROW(EqTag)-4)/((EqSys=$D$3)*(EqTag&lt;&gt;"")),ROWS($AE$14:AE65))),"")</f>
        <v/>
      </c>
    </row>
    <row r="66" spans="1:31" ht="30" customHeight="1" x14ac:dyDescent="0.2">
      <c r="A66" s="19" t="str">
        <f>IF(F66="","",LEFT($D$3,3)&amp;"-"&amp;TEXT(COUNTIF(F$14:F66,"?*"),"00"))</f>
        <v/>
      </c>
      <c r="B66" s="5"/>
      <c r="C66" s="6" t="str">
        <f t="shared" si="6"/>
        <v/>
      </c>
      <c r="D66" s="5"/>
      <c r="E66" s="5"/>
      <c r="F66" s="5"/>
      <c r="G66" s="5"/>
      <c r="H66" s="5"/>
      <c r="I66" s="5"/>
      <c r="J66" s="5"/>
      <c r="K66" s="15"/>
      <c r="L66" s="5"/>
      <c r="M66" s="15"/>
      <c r="N66" s="5"/>
      <c r="O66" s="15"/>
      <c r="P66" s="19" t="str">
        <f t="shared" si="7"/>
        <v/>
      </c>
      <c r="Q66" s="19" t="str">
        <f t="shared" si="8"/>
        <v/>
      </c>
      <c r="R66" s="19" t="str">
        <f t="shared" si="9"/>
        <v/>
      </c>
      <c r="S66" s="5"/>
      <c r="T66" s="5"/>
      <c r="U66" s="5"/>
      <c r="V66" s="24"/>
      <c r="W66" s="15"/>
      <c r="X66" s="15"/>
      <c r="Y66" s="15"/>
      <c r="Z66" s="19" t="str">
        <f t="shared" si="10"/>
        <v/>
      </c>
      <c r="AA66" s="19" t="str">
        <f t="shared" si="11"/>
        <v/>
      </c>
      <c r="AB66" s="5"/>
      <c r="AC66" s="5"/>
      <c r="AE66" t="str">
        <f>IFERROR(INDEX(EqTag,_xlfn.AGGREGATE(15,6,(ROW(EqTag)-4)/((EqSys=$D$3)*(EqTag&lt;&gt;"")),ROWS($AE$14:AE66))),"")</f>
        <v/>
      </c>
    </row>
    <row r="67" spans="1:31" ht="30" customHeight="1" x14ac:dyDescent="0.2">
      <c r="A67" s="19" t="str">
        <f>IF(F67="","",LEFT($D$3,3)&amp;"-"&amp;TEXT(COUNTIF(F$14:F67,"?*"),"00"))</f>
        <v/>
      </c>
      <c r="B67" s="5"/>
      <c r="C67" s="6" t="str">
        <f t="shared" si="6"/>
        <v/>
      </c>
      <c r="D67" s="5"/>
      <c r="E67" s="5"/>
      <c r="F67" s="5"/>
      <c r="G67" s="5"/>
      <c r="H67" s="5"/>
      <c r="I67" s="5"/>
      <c r="J67" s="5"/>
      <c r="K67" s="15"/>
      <c r="L67" s="5"/>
      <c r="M67" s="15"/>
      <c r="N67" s="5"/>
      <c r="O67" s="15"/>
      <c r="P67" s="19" t="str">
        <f t="shared" si="7"/>
        <v/>
      </c>
      <c r="Q67" s="19" t="str">
        <f t="shared" si="8"/>
        <v/>
      </c>
      <c r="R67" s="19" t="str">
        <f t="shared" si="9"/>
        <v/>
      </c>
      <c r="S67" s="5"/>
      <c r="T67" s="5"/>
      <c r="U67" s="5"/>
      <c r="V67" s="24"/>
      <c r="W67" s="15"/>
      <c r="X67" s="15"/>
      <c r="Y67" s="15"/>
      <c r="Z67" s="19" t="str">
        <f t="shared" si="10"/>
        <v/>
      </c>
      <c r="AA67" s="19" t="str">
        <f t="shared" si="11"/>
        <v/>
      </c>
      <c r="AB67" s="5"/>
      <c r="AC67" s="5"/>
      <c r="AE67" t="str">
        <f>IFERROR(INDEX(EqTag,_xlfn.AGGREGATE(15,6,(ROW(EqTag)-4)/((EqSys=$D$3)*(EqTag&lt;&gt;"")),ROWS($AE$14:AE67))),"")</f>
        <v/>
      </c>
    </row>
    <row r="68" spans="1:31" ht="30" customHeight="1" x14ac:dyDescent="0.2">
      <c r="A68" s="19" t="str">
        <f>IF(F68="","",LEFT($D$3,3)&amp;"-"&amp;TEXT(COUNTIF(F$14:F68,"?*"),"00"))</f>
        <v/>
      </c>
      <c r="B68" s="5"/>
      <c r="C68" s="6" t="str">
        <f t="shared" si="6"/>
        <v/>
      </c>
      <c r="D68" s="5"/>
      <c r="E68" s="5"/>
      <c r="F68" s="5"/>
      <c r="G68" s="5"/>
      <c r="H68" s="5"/>
      <c r="I68" s="5"/>
      <c r="J68" s="5"/>
      <c r="K68" s="15"/>
      <c r="L68" s="5"/>
      <c r="M68" s="15"/>
      <c r="N68" s="5"/>
      <c r="O68" s="15"/>
      <c r="P68" s="19" t="str">
        <f t="shared" si="7"/>
        <v/>
      </c>
      <c r="Q68" s="19" t="str">
        <f t="shared" si="8"/>
        <v/>
      </c>
      <c r="R68" s="19" t="str">
        <f t="shared" si="9"/>
        <v/>
      </c>
      <c r="S68" s="5"/>
      <c r="T68" s="5"/>
      <c r="U68" s="5"/>
      <c r="V68" s="24"/>
      <c r="W68" s="15"/>
      <c r="X68" s="15"/>
      <c r="Y68" s="15"/>
      <c r="Z68" s="19" t="str">
        <f t="shared" si="10"/>
        <v/>
      </c>
      <c r="AA68" s="19" t="str">
        <f t="shared" si="11"/>
        <v/>
      </c>
      <c r="AB68" s="5"/>
      <c r="AC68" s="5"/>
      <c r="AE68" t="str">
        <f>IFERROR(INDEX(EqTag,_xlfn.AGGREGATE(15,6,(ROW(EqTag)-4)/((EqSys=$D$3)*(EqTag&lt;&gt;"")),ROWS($AE$14:AE68))),"")</f>
        <v/>
      </c>
    </row>
    <row r="69" spans="1:31" ht="30" customHeight="1" x14ac:dyDescent="0.2">
      <c r="A69" s="19" t="str">
        <f>IF(F69="","",LEFT($D$3,3)&amp;"-"&amp;TEXT(COUNTIF(F$14:F69,"?*"),"00"))</f>
        <v/>
      </c>
      <c r="B69" s="5"/>
      <c r="C69" s="6" t="str">
        <f t="shared" si="6"/>
        <v/>
      </c>
      <c r="D69" s="5"/>
      <c r="E69" s="5"/>
      <c r="F69" s="5"/>
      <c r="G69" s="5"/>
      <c r="H69" s="5"/>
      <c r="I69" s="5"/>
      <c r="J69" s="5"/>
      <c r="K69" s="15"/>
      <c r="L69" s="5"/>
      <c r="M69" s="15"/>
      <c r="N69" s="5"/>
      <c r="O69" s="15"/>
      <c r="P69" s="19" t="str">
        <f t="shared" si="7"/>
        <v/>
      </c>
      <c r="Q69" s="19" t="str">
        <f t="shared" si="8"/>
        <v/>
      </c>
      <c r="R69" s="19" t="str">
        <f t="shared" si="9"/>
        <v/>
      </c>
      <c r="S69" s="5"/>
      <c r="T69" s="5"/>
      <c r="U69" s="5"/>
      <c r="V69" s="24"/>
      <c r="W69" s="15"/>
      <c r="X69" s="15"/>
      <c r="Y69" s="15"/>
      <c r="Z69" s="19" t="str">
        <f t="shared" si="10"/>
        <v/>
      </c>
      <c r="AA69" s="19" t="str">
        <f t="shared" si="11"/>
        <v/>
      </c>
      <c r="AB69" s="5"/>
      <c r="AC69" s="5"/>
      <c r="AE69" t="str">
        <f>IFERROR(INDEX(EqTag,_xlfn.AGGREGATE(15,6,(ROW(EqTag)-4)/((EqSys=$D$3)*(EqTag&lt;&gt;"")),ROWS($AE$14:AE69))),"")</f>
        <v/>
      </c>
    </row>
    <row r="70" spans="1:31" ht="30" customHeight="1" x14ac:dyDescent="0.2">
      <c r="A70" s="19" t="str">
        <f>IF(F70="","",LEFT($D$3,3)&amp;"-"&amp;TEXT(COUNTIF(F$14:F70,"?*"),"00"))</f>
        <v/>
      </c>
      <c r="B70" s="5"/>
      <c r="C70" s="6" t="str">
        <f t="shared" si="6"/>
        <v/>
      </c>
      <c r="D70" s="5"/>
      <c r="E70" s="5"/>
      <c r="F70" s="5"/>
      <c r="G70" s="5"/>
      <c r="H70" s="5"/>
      <c r="I70" s="5"/>
      <c r="J70" s="5"/>
      <c r="K70" s="15"/>
      <c r="L70" s="5"/>
      <c r="M70" s="15"/>
      <c r="N70" s="5"/>
      <c r="O70" s="15"/>
      <c r="P70" s="19" t="str">
        <f t="shared" si="7"/>
        <v/>
      </c>
      <c r="Q70" s="19" t="str">
        <f t="shared" si="8"/>
        <v/>
      </c>
      <c r="R70" s="19" t="str">
        <f t="shared" si="9"/>
        <v/>
      </c>
      <c r="S70" s="5"/>
      <c r="T70" s="5"/>
      <c r="U70" s="5"/>
      <c r="V70" s="24"/>
      <c r="W70" s="15"/>
      <c r="X70" s="15"/>
      <c r="Y70" s="15"/>
      <c r="Z70" s="19" t="str">
        <f t="shared" si="10"/>
        <v/>
      </c>
      <c r="AA70" s="19" t="str">
        <f t="shared" si="11"/>
        <v/>
      </c>
      <c r="AB70" s="5"/>
      <c r="AC70" s="5"/>
      <c r="AE70" t="str">
        <f>IFERROR(INDEX(EqTag,_xlfn.AGGREGATE(15,6,(ROW(EqTag)-4)/((EqSys=$D$3)*(EqTag&lt;&gt;"")),ROWS($AE$14:AE70))),"")</f>
        <v/>
      </c>
    </row>
    <row r="71" spans="1:31" ht="30" customHeight="1" x14ac:dyDescent="0.2">
      <c r="A71" s="19" t="str">
        <f>IF(F71="","",LEFT($D$3,3)&amp;"-"&amp;TEXT(COUNTIF(F$14:F71,"?*"),"00"))</f>
        <v/>
      </c>
      <c r="B71" s="5"/>
      <c r="C71" s="6" t="str">
        <f t="shared" si="6"/>
        <v/>
      </c>
      <c r="D71" s="5"/>
      <c r="E71" s="5"/>
      <c r="F71" s="5"/>
      <c r="G71" s="5"/>
      <c r="H71" s="5"/>
      <c r="I71" s="5"/>
      <c r="J71" s="5"/>
      <c r="K71" s="15"/>
      <c r="L71" s="5"/>
      <c r="M71" s="15"/>
      <c r="N71" s="5"/>
      <c r="O71" s="15"/>
      <c r="P71" s="19" t="str">
        <f t="shared" si="7"/>
        <v/>
      </c>
      <c r="Q71" s="19" t="str">
        <f t="shared" si="8"/>
        <v/>
      </c>
      <c r="R71" s="19" t="str">
        <f t="shared" si="9"/>
        <v/>
      </c>
      <c r="S71" s="5"/>
      <c r="T71" s="5"/>
      <c r="U71" s="5"/>
      <c r="V71" s="24"/>
      <c r="W71" s="15"/>
      <c r="X71" s="15"/>
      <c r="Y71" s="15"/>
      <c r="Z71" s="19" t="str">
        <f t="shared" si="10"/>
        <v/>
      </c>
      <c r="AA71" s="19" t="str">
        <f t="shared" si="11"/>
        <v/>
      </c>
      <c r="AB71" s="5"/>
      <c r="AC71" s="5"/>
      <c r="AE71" t="str">
        <f>IFERROR(INDEX(EqTag,_xlfn.AGGREGATE(15,6,(ROW(EqTag)-4)/((EqSys=$D$3)*(EqTag&lt;&gt;"")),ROWS($AE$14:AE71))),"")</f>
        <v/>
      </c>
    </row>
    <row r="72" spans="1:31" ht="30" customHeight="1" x14ac:dyDescent="0.2">
      <c r="A72" s="19" t="str">
        <f>IF(F72="","",LEFT($D$3,3)&amp;"-"&amp;TEXT(COUNTIF(F$14:F72,"?*"),"00"))</f>
        <v/>
      </c>
      <c r="B72" s="5"/>
      <c r="C72" s="6" t="str">
        <f t="shared" si="6"/>
        <v/>
      </c>
      <c r="D72" s="5"/>
      <c r="E72" s="5"/>
      <c r="F72" s="5"/>
      <c r="G72" s="5"/>
      <c r="H72" s="5"/>
      <c r="I72" s="5"/>
      <c r="J72" s="5"/>
      <c r="K72" s="15"/>
      <c r="L72" s="5"/>
      <c r="M72" s="15"/>
      <c r="N72" s="5"/>
      <c r="O72" s="15"/>
      <c r="P72" s="19" t="str">
        <f t="shared" si="7"/>
        <v/>
      </c>
      <c r="Q72" s="19" t="str">
        <f t="shared" si="8"/>
        <v/>
      </c>
      <c r="R72" s="19" t="str">
        <f t="shared" si="9"/>
        <v/>
      </c>
      <c r="S72" s="5"/>
      <c r="T72" s="5"/>
      <c r="U72" s="5"/>
      <c r="V72" s="24"/>
      <c r="W72" s="15"/>
      <c r="X72" s="15"/>
      <c r="Y72" s="15"/>
      <c r="Z72" s="19" t="str">
        <f t="shared" si="10"/>
        <v/>
      </c>
      <c r="AA72" s="19" t="str">
        <f t="shared" si="11"/>
        <v/>
      </c>
      <c r="AB72" s="5"/>
      <c r="AC72" s="5"/>
      <c r="AE72" t="str">
        <f>IFERROR(INDEX(EqTag,_xlfn.AGGREGATE(15,6,(ROW(EqTag)-4)/((EqSys=$D$3)*(EqTag&lt;&gt;"")),ROWS($AE$14:AE72))),"")</f>
        <v/>
      </c>
    </row>
    <row r="73" spans="1:31" ht="30" customHeight="1" x14ac:dyDescent="0.2">
      <c r="A73" s="19" t="str">
        <f>IF(F73="","",LEFT($D$3,3)&amp;"-"&amp;TEXT(COUNTIF(F$14:F73,"?*"),"00"))</f>
        <v/>
      </c>
      <c r="B73" s="5"/>
      <c r="C73" s="6" t="str">
        <f t="shared" si="6"/>
        <v/>
      </c>
      <c r="D73" s="5"/>
      <c r="E73" s="5"/>
      <c r="F73" s="5"/>
      <c r="G73" s="5"/>
      <c r="H73" s="5"/>
      <c r="I73" s="5"/>
      <c r="J73" s="5"/>
      <c r="K73" s="15"/>
      <c r="L73" s="5"/>
      <c r="M73" s="15"/>
      <c r="N73" s="5"/>
      <c r="O73" s="15"/>
      <c r="P73" s="19" t="str">
        <f t="shared" si="7"/>
        <v/>
      </c>
      <c r="Q73" s="19" t="str">
        <f t="shared" si="8"/>
        <v/>
      </c>
      <c r="R73" s="19" t="str">
        <f t="shared" si="9"/>
        <v/>
      </c>
      <c r="S73" s="5"/>
      <c r="T73" s="5"/>
      <c r="U73" s="5"/>
      <c r="V73" s="24"/>
      <c r="W73" s="15"/>
      <c r="X73" s="15"/>
      <c r="Y73" s="15"/>
      <c r="Z73" s="19" t="str">
        <f t="shared" si="10"/>
        <v/>
      </c>
      <c r="AA73" s="19" t="str">
        <f t="shared" si="11"/>
        <v/>
      </c>
      <c r="AB73" s="5"/>
      <c r="AC73" s="5"/>
      <c r="AE73" t="str">
        <f>IFERROR(INDEX(EqTag,_xlfn.AGGREGATE(15,6,(ROW(EqTag)-4)/((EqSys=$D$3)*(EqTag&lt;&gt;"")),ROWS($AE$14:AE73))),"")</f>
        <v/>
      </c>
    </row>
    <row r="74" spans="1:31" ht="30" customHeight="1" x14ac:dyDescent="0.2">
      <c r="A74" s="19" t="str">
        <f>IF(F74="","",LEFT($D$3,3)&amp;"-"&amp;TEXT(COUNTIF(F$14:F74,"?*"),"00"))</f>
        <v/>
      </c>
      <c r="B74" s="5"/>
      <c r="C74" s="6" t="str">
        <f t="shared" si="6"/>
        <v/>
      </c>
      <c r="D74" s="5"/>
      <c r="E74" s="5"/>
      <c r="F74" s="5"/>
      <c r="G74" s="5"/>
      <c r="H74" s="5"/>
      <c r="I74" s="5"/>
      <c r="J74" s="5"/>
      <c r="K74" s="15"/>
      <c r="L74" s="5"/>
      <c r="M74" s="15"/>
      <c r="N74" s="5"/>
      <c r="O74" s="15"/>
      <c r="P74" s="19" t="str">
        <f t="shared" si="7"/>
        <v/>
      </c>
      <c r="Q74" s="19" t="str">
        <f t="shared" si="8"/>
        <v/>
      </c>
      <c r="R74" s="19" t="str">
        <f t="shared" si="9"/>
        <v/>
      </c>
      <c r="S74" s="5"/>
      <c r="T74" s="5"/>
      <c r="U74" s="5"/>
      <c r="V74" s="24"/>
      <c r="W74" s="15"/>
      <c r="X74" s="15"/>
      <c r="Y74" s="15"/>
      <c r="Z74" s="19" t="str">
        <f t="shared" si="10"/>
        <v/>
      </c>
      <c r="AA74" s="19" t="str">
        <f t="shared" si="11"/>
        <v/>
      </c>
      <c r="AB74" s="5"/>
      <c r="AC74" s="5"/>
      <c r="AE74" t="str">
        <f>IFERROR(INDEX(EqTag,_xlfn.AGGREGATE(15,6,(ROW(EqTag)-4)/((EqSys=$D$3)*(EqTag&lt;&gt;"")),ROWS($AE$14:AE74))),"")</f>
        <v/>
      </c>
    </row>
    <row r="75" spans="1:31" ht="30" customHeight="1" x14ac:dyDescent="0.2">
      <c r="A75" s="19" t="str">
        <f>IF(F75="","",LEFT($D$3,3)&amp;"-"&amp;TEXT(COUNTIF(F$14:F75,"?*"),"00"))</f>
        <v/>
      </c>
      <c r="B75" s="5"/>
      <c r="C75" s="6" t="str">
        <f t="shared" si="6"/>
        <v/>
      </c>
      <c r="D75" s="5"/>
      <c r="E75" s="5"/>
      <c r="F75" s="5"/>
      <c r="G75" s="5"/>
      <c r="H75" s="5"/>
      <c r="I75" s="5"/>
      <c r="J75" s="5"/>
      <c r="K75" s="15"/>
      <c r="L75" s="5"/>
      <c r="M75" s="15"/>
      <c r="N75" s="5"/>
      <c r="O75" s="15"/>
      <c r="P75" s="19" t="str">
        <f t="shared" si="7"/>
        <v/>
      </c>
      <c r="Q75" s="19" t="str">
        <f t="shared" si="8"/>
        <v/>
      </c>
      <c r="R75" s="19" t="str">
        <f t="shared" si="9"/>
        <v/>
      </c>
      <c r="S75" s="5"/>
      <c r="T75" s="5"/>
      <c r="U75" s="5"/>
      <c r="V75" s="24"/>
      <c r="W75" s="15"/>
      <c r="X75" s="15"/>
      <c r="Y75" s="15"/>
      <c r="Z75" s="19" t="str">
        <f t="shared" si="10"/>
        <v/>
      </c>
      <c r="AA75" s="19" t="str">
        <f t="shared" si="11"/>
        <v/>
      </c>
      <c r="AB75" s="5"/>
      <c r="AC75" s="5"/>
      <c r="AE75" t="str">
        <f>IFERROR(INDEX(EqTag,_xlfn.AGGREGATE(15,6,(ROW(EqTag)-4)/((EqSys=$D$3)*(EqTag&lt;&gt;"")),ROWS($AE$14:AE75))),"")</f>
        <v/>
      </c>
    </row>
    <row r="76" spans="1:31" ht="30" customHeight="1" x14ac:dyDescent="0.2">
      <c r="A76" s="19" t="str">
        <f>IF(F76="","",LEFT($D$3,3)&amp;"-"&amp;TEXT(COUNTIF(F$14:F76,"?*"),"00"))</f>
        <v/>
      </c>
      <c r="B76" s="5"/>
      <c r="C76" s="6" t="str">
        <f t="shared" si="6"/>
        <v/>
      </c>
      <c r="D76" s="5"/>
      <c r="E76" s="5"/>
      <c r="F76" s="5"/>
      <c r="G76" s="5"/>
      <c r="H76" s="5"/>
      <c r="I76" s="5"/>
      <c r="J76" s="5"/>
      <c r="K76" s="15"/>
      <c r="L76" s="5"/>
      <c r="M76" s="15"/>
      <c r="N76" s="5"/>
      <c r="O76" s="15"/>
      <c r="P76" s="19" t="str">
        <f t="shared" si="7"/>
        <v/>
      </c>
      <c r="Q76" s="19" t="str">
        <f t="shared" si="8"/>
        <v/>
      </c>
      <c r="R76" s="19" t="str">
        <f t="shared" si="9"/>
        <v/>
      </c>
      <c r="S76" s="5"/>
      <c r="T76" s="5"/>
      <c r="U76" s="5"/>
      <c r="V76" s="24"/>
      <c r="W76" s="15"/>
      <c r="X76" s="15"/>
      <c r="Y76" s="15"/>
      <c r="Z76" s="19" t="str">
        <f t="shared" si="10"/>
        <v/>
      </c>
      <c r="AA76" s="19" t="str">
        <f t="shared" si="11"/>
        <v/>
      </c>
      <c r="AB76" s="5"/>
      <c r="AC76" s="5"/>
      <c r="AE76" t="str">
        <f>IFERROR(INDEX(EqTag,_xlfn.AGGREGATE(15,6,(ROW(EqTag)-4)/((EqSys=$D$3)*(EqTag&lt;&gt;"")),ROWS($AE$14:AE76))),"")</f>
        <v/>
      </c>
    </row>
    <row r="77" spans="1:31" ht="30" customHeight="1" x14ac:dyDescent="0.2">
      <c r="A77" s="19" t="str">
        <f>IF(F77="","",LEFT($D$3,3)&amp;"-"&amp;TEXT(COUNTIF(F$14:F77,"?*"),"00"))</f>
        <v/>
      </c>
      <c r="B77" s="5"/>
      <c r="C77" s="6" t="str">
        <f t="shared" si="6"/>
        <v/>
      </c>
      <c r="D77" s="5"/>
      <c r="E77" s="5"/>
      <c r="F77" s="5"/>
      <c r="G77" s="5"/>
      <c r="H77" s="5"/>
      <c r="I77" s="5"/>
      <c r="J77" s="5"/>
      <c r="K77" s="15"/>
      <c r="L77" s="5"/>
      <c r="M77" s="15"/>
      <c r="N77" s="5"/>
      <c r="O77" s="15"/>
      <c r="P77" s="19" t="str">
        <f t="shared" si="7"/>
        <v/>
      </c>
      <c r="Q77" s="19" t="str">
        <f t="shared" si="8"/>
        <v/>
      </c>
      <c r="R77" s="19" t="str">
        <f t="shared" si="9"/>
        <v/>
      </c>
      <c r="S77" s="5"/>
      <c r="T77" s="5"/>
      <c r="U77" s="5"/>
      <c r="V77" s="24"/>
      <c r="W77" s="15"/>
      <c r="X77" s="15"/>
      <c r="Y77" s="15"/>
      <c r="Z77" s="19" t="str">
        <f t="shared" si="10"/>
        <v/>
      </c>
      <c r="AA77" s="19" t="str">
        <f t="shared" si="11"/>
        <v/>
      </c>
      <c r="AB77" s="5"/>
      <c r="AC77" s="5"/>
      <c r="AE77" t="str">
        <f>IFERROR(INDEX(EqTag,_xlfn.AGGREGATE(15,6,(ROW(EqTag)-4)/((EqSys=$D$3)*(EqTag&lt;&gt;"")),ROWS($AE$14:AE77))),"")</f>
        <v/>
      </c>
    </row>
    <row r="78" spans="1:31" ht="30" customHeight="1" x14ac:dyDescent="0.2">
      <c r="A78" s="19" t="str">
        <f>IF(F78="","",LEFT($D$3,3)&amp;"-"&amp;TEXT(COUNTIF(F$14:F78,"?*"),"00"))</f>
        <v/>
      </c>
      <c r="B78" s="5"/>
      <c r="C78" s="6" t="str">
        <f t="shared" ref="C78:C109" si="12">IF(B78="","",IFERROR(INDEX(EqTypeCol,MATCH(B78,EqTag,0)),"Tag not in register"))</f>
        <v/>
      </c>
      <c r="D78" s="5"/>
      <c r="E78" s="5"/>
      <c r="F78" s="5"/>
      <c r="G78" s="5"/>
      <c r="H78" s="5"/>
      <c r="I78" s="5"/>
      <c r="J78" s="5"/>
      <c r="K78" s="15"/>
      <c r="L78" s="5"/>
      <c r="M78" s="15"/>
      <c r="N78" s="5"/>
      <c r="O78" s="15"/>
      <c r="P78" s="19" t="str">
        <f t="shared" ref="P78:P109" si="13">IF(OR(K78="",M78="",O78=""),"",(--TRIM(LEFT(K78,2)))*(--TRIM(LEFT(M78,2)))*(--TRIM(LEFT(O78,2))))</f>
        <v/>
      </c>
      <c r="Q78" s="19" t="str">
        <f t="shared" ref="Q78:Q109" si="14">IF(OR(K78="",M78="",O78=""),"",INDEX(APGrid,COUNTIF(APS,"&gt;"&amp;(--TRIM(LEFT(K78,2))))*5+COUNTIF(APO,"&gt;"&amp;(--TRIM(LEFT(M78,2))))+1,COUNTIF(APD,"&gt;"&amp;(--TRIM(LEFT(O78,2))))+1))</f>
        <v/>
      </c>
      <c r="R78" s="19" t="str">
        <f t="shared" ref="R78:R109" si="15">IF(P78="","",IF(OR((--TRIM(LEFT(K78,2)))&gt;=SThr,P78&gt;=RPNThr,Q78="H"),"Yes","No"))</f>
        <v/>
      </c>
      <c r="S78" s="5"/>
      <c r="T78" s="5"/>
      <c r="U78" s="5"/>
      <c r="V78" s="24"/>
      <c r="W78" s="15"/>
      <c r="X78" s="15"/>
      <c r="Y78" s="15"/>
      <c r="Z78" s="19" t="str">
        <f t="shared" ref="Z78:Z109" si="16">IF(OR(W78="",X78="",Y78=""),"",(--TRIM(LEFT(W78,2)))*(--TRIM(LEFT(X78,2)))*(--TRIM(LEFT(Y78,2))))</f>
        <v/>
      </c>
      <c r="AA78" s="19" t="str">
        <f t="shared" ref="AA78:AA109" si="17">IF(OR(W78="",X78="",Y78=""),"",INDEX(APGrid,COUNTIF(APS,"&gt;"&amp;(--TRIM(LEFT(W78,2))))*5+COUNTIF(APO,"&gt;"&amp;(--TRIM(LEFT(X78,2))))+1,COUNTIF(APD,"&gt;"&amp;(--TRIM(LEFT(Y78,2))))+1))</f>
        <v/>
      </c>
      <c r="AB78" s="5"/>
      <c r="AC78" s="5"/>
      <c r="AE78" t="str">
        <f>IFERROR(INDEX(EqTag,_xlfn.AGGREGATE(15,6,(ROW(EqTag)-4)/((EqSys=$D$3)*(EqTag&lt;&gt;"")),ROWS($AE$14:AE78))),"")</f>
        <v/>
      </c>
    </row>
    <row r="79" spans="1:31" ht="30" customHeight="1" x14ac:dyDescent="0.2">
      <c r="A79" s="19" t="str">
        <f>IF(F79="","",LEFT($D$3,3)&amp;"-"&amp;TEXT(COUNTIF(F$14:F79,"?*"),"00"))</f>
        <v/>
      </c>
      <c r="B79" s="5"/>
      <c r="C79" s="6" t="str">
        <f t="shared" si="12"/>
        <v/>
      </c>
      <c r="D79" s="5"/>
      <c r="E79" s="5"/>
      <c r="F79" s="5"/>
      <c r="G79" s="5"/>
      <c r="H79" s="5"/>
      <c r="I79" s="5"/>
      <c r="J79" s="5"/>
      <c r="K79" s="15"/>
      <c r="L79" s="5"/>
      <c r="M79" s="15"/>
      <c r="N79" s="5"/>
      <c r="O79" s="15"/>
      <c r="P79" s="19" t="str">
        <f t="shared" si="13"/>
        <v/>
      </c>
      <c r="Q79" s="19" t="str">
        <f t="shared" si="14"/>
        <v/>
      </c>
      <c r="R79" s="19" t="str">
        <f t="shared" si="15"/>
        <v/>
      </c>
      <c r="S79" s="5"/>
      <c r="T79" s="5"/>
      <c r="U79" s="5"/>
      <c r="V79" s="24"/>
      <c r="W79" s="15"/>
      <c r="X79" s="15"/>
      <c r="Y79" s="15"/>
      <c r="Z79" s="19" t="str">
        <f t="shared" si="16"/>
        <v/>
      </c>
      <c r="AA79" s="19" t="str">
        <f t="shared" si="17"/>
        <v/>
      </c>
      <c r="AB79" s="5"/>
      <c r="AC79" s="5"/>
      <c r="AE79" t="str">
        <f>IFERROR(INDEX(EqTag,_xlfn.AGGREGATE(15,6,(ROW(EqTag)-4)/((EqSys=$D$3)*(EqTag&lt;&gt;"")),ROWS($AE$14:AE79))),"")</f>
        <v/>
      </c>
    </row>
    <row r="80" spans="1:31" ht="30" customHeight="1" x14ac:dyDescent="0.2">
      <c r="A80" s="19" t="str">
        <f>IF(F80="","",LEFT($D$3,3)&amp;"-"&amp;TEXT(COUNTIF(F$14:F80,"?*"),"00"))</f>
        <v/>
      </c>
      <c r="B80" s="5"/>
      <c r="C80" s="6" t="str">
        <f t="shared" si="12"/>
        <v/>
      </c>
      <c r="D80" s="5"/>
      <c r="E80" s="5"/>
      <c r="F80" s="5"/>
      <c r="G80" s="5"/>
      <c r="H80" s="5"/>
      <c r="I80" s="5"/>
      <c r="J80" s="5"/>
      <c r="K80" s="15"/>
      <c r="L80" s="5"/>
      <c r="M80" s="15"/>
      <c r="N80" s="5"/>
      <c r="O80" s="15"/>
      <c r="P80" s="19" t="str">
        <f t="shared" si="13"/>
        <v/>
      </c>
      <c r="Q80" s="19" t="str">
        <f t="shared" si="14"/>
        <v/>
      </c>
      <c r="R80" s="19" t="str">
        <f t="shared" si="15"/>
        <v/>
      </c>
      <c r="S80" s="5"/>
      <c r="T80" s="5"/>
      <c r="U80" s="5"/>
      <c r="V80" s="24"/>
      <c r="W80" s="15"/>
      <c r="X80" s="15"/>
      <c r="Y80" s="15"/>
      <c r="Z80" s="19" t="str">
        <f t="shared" si="16"/>
        <v/>
      </c>
      <c r="AA80" s="19" t="str">
        <f t="shared" si="17"/>
        <v/>
      </c>
      <c r="AB80" s="5"/>
      <c r="AC80" s="5"/>
      <c r="AE80" t="str">
        <f>IFERROR(INDEX(EqTag,_xlfn.AGGREGATE(15,6,(ROW(EqTag)-4)/((EqSys=$D$3)*(EqTag&lt;&gt;"")),ROWS($AE$14:AE80))),"")</f>
        <v/>
      </c>
    </row>
    <row r="81" spans="1:31" ht="30" customHeight="1" x14ac:dyDescent="0.2">
      <c r="A81" s="19" t="str">
        <f>IF(F81="","",LEFT($D$3,3)&amp;"-"&amp;TEXT(COUNTIF(F$14:F81,"?*"),"00"))</f>
        <v/>
      </c>
      <c r="B81" s="5"/>
      <c r="C81" s="6" t="str">
        <f t="shared" si="12"/>
        <v/>
      </c>
      <c r="D81" s="5"/>
      <c r="E81" s="5"/>
      <c r="F81" s="5"/>
      <c r="G81" s="5"/>
      <c r="H81" s="5"/>
      <c r="I81" s="5"/>
      <c r="J81" s="5"/>
      <c r="K81" s="15"/>
      <c r="L81" s="5"/>
      <c r="M81" s="15"/>
      <c r="N81" s="5"/>
      <c r="O81" s="15"/>
      <c r="P81" s="19" t="str">
        <f t="shared" si="13"/>
        <v/>
      </c>
      <c r="Q81" s="19" t="str">
        <f t="shared" si="14"/>
        <v/>
      </c>
      <c r="R81" s="19" t="str">
        <f t="shared" si="15"/>
        <v/>
      </c>
      <c r="S81" s="5"/>
      <c r="T81" s="5"/>
      <c r="U81" s="5"/>
      <c r="V81" s="24"/>
      <c r="W81" s="15"/>
      <c r="X81" s="15"/>
      <c r="Y81" s="15"/>
      <c r="Z81" s="19" t="str">
        <f t="shared" si="16"/>
        <v/>
      </c>
      <c r="AA81" s="19" t="str">
        <f t="shared" si="17"/>
        <v/>
      </c>
      <c r="AB81" s="5"/>
      <c r="AC81" s="5"/>
      <c r="AE81" t="str">
        <f>IFERROR(INDEX(EqTag,_xlfn.AGGREGATE(15,6,(ROW(EqTag)-4)/((EqSys=$D$3)*(EqTag&lt;&gt;"")),ROWS($AE$14:AE81))),"")</f>
        <v/>
      </c>
    </row>
    <row r="82" spans="1:31" ht="30" customHeight="1" x14ac:dyDescent="0.2">
      <c r="A82" s="19" t="str">
        <f>IF(F82="","",LEFT($D$3,3)&amp;"-"&amp;TEXT(COUNTIF(F$14:F82,"?*"),"00"))</f>
        <v/>
      </c>
      <c r="B82" s="5"/>
      <c r="C82" s="6" t="str">
        <f t="shared" si="12"/>
        <v/>
      </c>
      <c r="D82" s="5"/>
      <c r="E82" s="5"/>
      <c r="F82" s="5"/>
      <c r="G82" s="5"/>
      <c r="H82" s="5"/>
      <c r="I82" s="5"/>
      <c r="J82" s="5"/>
      <c r="K82" s="15"/>
      <c r="L82" s="5"/>
      <c r="M82" s="15"/>
      <c r="N82" s="5"/>
      <c r="O82" s="15"/>
      <c r="P82" s="19" t="str">
        <f t="shared" si="13"/>
        <v/>
      </c>
      <c r="Q82" s="19" t="str">
        <f t="shared" si="14"/>
        <v/>
      </c>
      <c r="R82" s="19" t="str">
        <f t="shared" si="15"/>
        <v/>
      </c>
      <c r="S82" s="5"/>
      <c r="T82" s="5"/>
      <c r="U82" s="5"/>
      <c r="V82" s="24"/>
      <c r="W82" s="15"/>
      <c r="X82" s="15"/>
      <c r="Y82" s="15"/>
      <c r="Z82" s="19" t="str">
        <f t="shared" si="16"/>
        <v/>
      </c>
      <c r="AA82" s="19" t="str">
        <f t="shared" si="17"/>
        <v/>
      </c>
      <c r="AB82" s="5"/>
      <c r="AC82" s="5"/>
      <c r="AE82" t="str">
        <f>IFERROR(INDEX(EqTag,_xlfn.AGGREGATE(15,6,(ROW(EqTag)-4)/((EqSys=$D$3)*(EqTag&lt;&gt;"")),ROWS($AE$14:AE82))),"")</f>
        <v/>
      </c>
    </row>
    <row r="83" spans="1:31" ht="30" customHeight="1" x14ac:dyDescent="0.2">
      <c r="A83" s="19" t="str">
        <f>IF(F83="","",LEFT($D$3,3)&amp;"-"&amp;TEXT(COUNTIF(F$14:F83,"?*"),"00"))</f>
        <v/>
      </c>
      <c r="B83" s="5"/>
      <c r="C83" s="6" t="str">
        <f t="shared" si="12"/>
        <v/>
      </c>
      <c r="D83" s="5"/>
      <c r="E83" s="5"/>
      <c r="F83" s="5"/>
      <c r="G83" s="5"/>
      <c r="H83" s="5"/>
      <c r="I83" s="5"/>
      <c r="J83" s="5"/>
      <c r="K83" s="15"/>
      <c r="L83" s="5"/>
      <c r="M83" s="15"/>
      <c r="N83" s="5"/>
      <c r="O83" s="15"/>
      <c r="P83" s="19" t="str">
        <f t="shared" si="13"/>
        <v/>
      </c>
      <c r="Q83" s="19" t="str">
        <f t="shared" si="14"/>
        <v/>
      </c>
      <c r="R83" s="19" t="str">
        <f t="shared" si="15"/>
        <v/>
      </c>
      <c r="S83" s="5"/>
      <c r="T83" s="5"/>
      <c r="U83" s="5"/>
      <c r="V83" s="24"/>
      <c r="W83" s="15"/>
      <c r="X83" s="15"/>
      <c r="Y83" s="15"/>
      <c r="Z83" s="19" t="str">
        <f t="shared" si="16"/>
        <v/>
      </c>
      <c r="AA83" s="19" t="str">
        <f t="shared" si="17"/>
        <v/>
      </c>
      <c r="AB83" s="5"/>
      <c r="AC83" s="5"/>
      <c r="AE83" t="str">
        <f>IFERROR(INDEX(EqTag,_xlfn.AGGREGATE(15,6,(ROW(EqTag)-4)/((EqSys=$D$3)*(EqTag&lt;&gt;"")),ROWS($AE$14:AE83))),"")</f>
        <v/>
      </c>
    </row>
    <row r="84" spans="1:31" ht="30" customHeight="1" x14ac:dyDescent="0.2">
      <c r="A84" s="19" t="str">
        <f>IF(F84="","",LEFT($D$3,3)&amp;"-"&amp;TEXT(COUNTIF(F$14:F84,"?*"),"00"))</f>
        <v/>
      </c>
      <c r="B84" s="5"/>
      <c r="C84" s="6" t="str">
        <f t="shared" si="12"/>
        <v/>
      </c>
      <c r="D84" s="5"/>
      <c r="E84" s="5"/>
      <c r="F84" s="5"/>
      <c r="G84" s="5"/>
      <c r="H84" s="5"/>
      <c r="I84" s="5"/>
      <c r="J84" s="5"/>
      <c r="K84" s="15"/>
      <c r="L84" s="5"/>
      <c r="M84" s="15"/>
      <c r="N84" s="5"/>
      <c r="O84" s="15"/>
      <c r="P84" s="19" t="str">
        <f t="shared" si="13"/>
        <v/>
      </c>
      <c r="Q84" s="19" t="str">
        <f t="shared" si="14"/>
        <v/>
      </c>
      <c r="R84" s="19" t="str">
        <f t="shared" si="15"/>
        <v/>
      </c>
      <c r="S84" s="5"/>
      <c r="T84" s="5"/>
      <c r="U84" s="5"/>
      <c r="V84" s="24"/>
      <c r="W84" s="15"/>
      <c r="X84" s="15"/>
      <c r="Y84" s="15"/>
      <c r="Z84" s="19" t="str">
        <f t="shared" si="16"/>
        <v/>
      </c>
      <c r="AA84" s="19" t="str">
        <f t="shared" si="17"/>
        <v/>
      </c>
      <c r="AB84" s="5"/>
      <c r="AC84" s="5"/>
      <c r="AE84" t="str">
        <f>IFERROR(INDEX(EqTag,_xlfn.AGGREGATE(15,6,(ROW(EqTag)-4)/((EqSys=$D$3)*(EqTag&lt;&gt;"")),ROWS($AE$14:AE84))),"")</f>
        <v/>
      </c>
    </row>
    <row r="85" spans="1:31" ht="30" customHeight="1" x14ac:dyDescent="0.2">
      <c r="A85" s="19" t="str">
        <f>IF(F85="","",LEFT($D$3,3)&amp;"-"&amp;TEXT(COUNTIF(F$14:F85,"?*"),"00"))</f>
        <v/>
      </c>
      <c r="B85" s="5"/>
      <c r="C85" s="6" t="str">
        <f t="shared" si="12"/>
        <v/>
      </c>
      <c r="D85" s="5"/>
      <c r="E85" s="5"/>
      <c r="F85" s="5"/>
      <c r="G85" s="5"/>
      <c r="H85" s="5"/>
      <c r="I85" s="5"/>
      <c r="J85" s="5"/>
      <c r="K85" s="15"/>
      <c r="L85" s="5"/>
      <c r="M85" s="15"/>
      <c r="N85" s="5"/>
      <c r="O85" s="15"/>
      <c r="P85" s="19" t="str">
        <f t="shared" si="13"/>
        <v/>
      </c>
      <c r="Q85" s="19" t="str">
        <f t="shared" si="14"/>
        <v/>
      </c>
      <c r="R85" s="19" t="str">
        <f t="shared" si="15"/>
        <v/>
      </c>
      <c r="S85" s="5"/>
      <c r="T85" s="5"/>
      <c r="U85" s="5"/>
      <c r="V85" s="24"/>
      <c r="W85" s="15"/>
      <c r="X85" s="15"/>
      <c r="Y85" s="15"/>
      <c r="Z85" s="19" t="str">
        <f t="shared" si="16"/>
        <v/>
      </c>
      <c r="AA85" s="19" t="str">
        <f t="shared" si="17"/>
        <v/>
      </c>
      <c r="AB85" s="5"/>
      <c r="AC85" s="5"/>
      <c r="AE85" t="str">
        <f>IFERROR(INDEX(EqTag,_xlfn.AGGREGATE(15,6,(ROW(EqTag)-4)/((EqSys=$D$3)*(EqTag&lt;&gt;"")),ROWS($AE$14:AE85))),"")</f>
        <v/>
      </c>
    </row>
    <row r="86" spans="1:31" ht="30" customHeight="1" x14ac:dyDescent="0.2">
      <c r="A86" s="19" t="str">
        <f>IF(F86="","",LEFT($D$3,3)&amp;"-"&amp;TEXT(COUNTIF(F$14:F86,"?*"),"00"))</f>
        <v/>
      </c>
      <c r="B86" s="5"/>
      <c r="C86" s="6" t="str">
        <f t="shared" si="12"/>
        <v/>
      </c>
      <c r="D86" s="5"/>
      <c r="E86" s="5"/>
      <c r="F86" s="5"/>
      <c r="G86" s="5"/>
      <c r="H86" s="5"/>
      <c r="I86" s="5"/>
      <c r="J86" s="5"/>
      <c r="K86" s="15"/>
      <c r="L86" s="5"/>
      <c r="M86" s="15"/>
      <c r="N86" s="5"/>
      <c r="O86" s="15"/>
      <c r="P86" s="19" t="str">
        <f t="shared" si="13"/>
        <v/>
      </c>
      <c r="Q86" s="19" t="str">
        <f t="shared" si="14"/>
        <v/>
      </c>
      <c r="R86" s="19" t="str">
        <f t="shared" si="15"/>
        <v/>
      </c>
      <c r="S86" s="5"/>
      <c r="T86" s="5"/>
      <c r="U86" s="5"/>
      <c r="V86" s="24"/>
      <c r="W86" s="15"/>
      <c r="X86" s="15"/>
      <c r="Y86" s="15"/>
      <c r="Z86" s="19" t="str">
        <f t="shared" si="16"/>
        <v/>
      </c>
      <c r="AA86" s="19" t="str">
        <f t="shared" si="17"/>
        <v/>
      </c>
      <c r="AB86" s="5"/>
      <c r="AC86" s="5"/>
      <c r="AE86" t="str">
        <f>IFERROR(INDEX(EqTag,_xlfn.AGGREGATE(15,6,(ROW(EqTag)-4)/((EqSys=$D$3)*(EqTag&lt;&gt;"")),ROWS($AE$14:AE86))),"")</f>
        <v/>
      </c>
    </row>
    <row r="87" spans="1:31" ht="30" customHeight="1" x14ac:dyDescent="0.2">
      <c r="A87" s="19" t="str">
        <f>IF(F87="","",LEFT($D$3,3)&amp;"-"&amp;TEXT(COUNTIF(F$14:F87,"?*"),"00"))</f>
        <v/>
      </c>
      <c r="B87" s="5"/>
      <c r="C87" s="6" t="str">
        <f t="shared" si="12"/>
        <v/>
      </c>
      <c r="D87" s="5"/>
      <c r="E87" s="5"/>
      <c r="F87" s="5"/>
      <c r="G87" s="5"/>
      <c r="H87" s="5"/>
      <c r="I87" s="5"/>
      <c r="J87" s="5"/>
      <c r="K87" s="15"/>
      <c r="L87" s="5"/>
      <c r="M87" s="15"/>
      <c r="N87" s="5"/>
      <c r="O87" s="15"/>
      <c r="P87" s="19" t="str">
        <f t="shared" si="13"/>
        <v/>
      </c>
      <c r="Q87" s="19" t="str">
        <f t="shared" si="14"/>
        <v/>
      </c>
      <c r="R87" s="19" t="str">
        <f t="shared" si="15"/>
        <v/>
      </c>
      <c r="S87" s="5"/>
      <c r="T87" s="5"/>
      <c r="U87" s="5"/>
      <c r="V87" s="24"/>
      <c r="W87" s="15"/>
      <c r="X87" s="15"/>
      <c r="Y87" s="15"/>
      <c r="Z87" s="19" t="str">
        <f t="shared" si="16"/>
        <v/>
      </c>
      <c r="AA87" s="19" t="str">
        <f t="shared" si="17"/>
        <v/>
      </c>
      <c r="AB87" s="5"/>
      <c r="AC87" s="5"/>
      <c r="AE87" t="str">
        <f>IFERROR(INDEX(EqTag,_xlfn.AGGREGATE(15,6,(ROW(EqTag)-4)/((EqSys=$D$3)*(EqTag&lt;&gt;"")),ROWS($AE$14:AE87))),"")</f>
        <v/>
      </c>
    </row>
    <row r="88" spans="1:31" ht="30" customHeight="1" x14ac:dyDescent="0.2">
      <c r="A88" s="19" t="str">
        <f>IF(F88="","",LEFT($D$3,3)&amp;"-"&amp;TEXT(COUNTIF(F$14:F88,"?*"),"00"))</f>
        <v/>
      </c>
      <c r="B88" s="5"/>
      <c r="C88" s="6" t="str">
        <f t="shared" si="12"/>
        <v/>
      </c>
      <c r="D88" s="5"/>
      <c r="E88" s="5"/>
      <c r="F88" s="5"/>
      <c r="G88" s="5"/>
      <c r="H88" s="5"/>
      <c r="I88" s="5"/>
      <c r="J88" s="5"/>
      <c r="K88" s="15"/>
      <c r="L88" s="5"/>
      <c r="M88" s="15"/>
      <c r="N88" s="5"/>
      <c r="O88" s="15"/>
      <c r="P88" s="19" t="str">
        <f t="shared" si="13"/>
        <v/>
      </c>
      <c r="Q88" s="19" t="str">
        <f t="shared" si="14"/>
        <v/>
      </c>
      <c r="R88" s="19" t="str">
        <f t="shared" si="15"/>
        <v/>
      </c>
      <c r="S88" s="5"/>
      <c r="T88" s="5"/>
      <c r="U88" s="5"/>
      <c r="V88" s="24"/>
      <c r="W88" s="15"/>
      <c r="X88" s="15"/>
      <c r="Y88" s="15"/>
      <c r="Z88" s="19" t="str">
        <f t="shared" si="16"/>
        <v/>
      </c>
      <c r="AA88" s="19" t="str">
        <f t="shared" si="17"/>
        <v/>
      </c>
      <c r="AB88" s="5"/>
      <c r="AC88" s="5"/>
      <c r="AE88" t="str">
        <f>IFERROR(INDEX(EqTag,_xlfn.AGGREGATE(15,6,(ROW(EqTag)-4)/((EqSys=$D$3)*(EqTag&lt;&gt;"")),ROWS($AE$14:AE88))),"")</f>
        <v/>
      </c>
    </row>
    <row r="89" spans="1:31" ht="30" customHeight="1" x14ac:dyDescent="0.2">
      <c r="A89" s="19" t="str">
        <f>IF(F89="","",LEFT($D$3,3)&amp;"-"&amp;TEXT(COUNTIF(F$14:F89,"?*"),"00"))</f>
        <v/>
      </c>
      <c r="B89" s="5"/>
      <c r="C89" s="6" t="str">
        <f t="shared" si="12"/>
        <v/>
      </c>
      <c r="D89" s="5"/>
      <c r="E89" s="5"/>
      <c r="F89" s="5"/>
      <c r="G89" s="5"/>
      <c r="H89" s="5"/>
      <c r="I89" s="5"/>
      <c r="J89" s="5"/>
      <c r="K89" s="15"/>
      <c r="L89" s="5"/>
      <c r="M89" s="15"/>
      <c r="N89" s="5"/>
      <c r="O89" s="15"/>
      <c r="P89" s="19" t="str">
        <f t="shared" si="13"/>
        <v/>
      </c>
      <c r="Q89" s="19" t="str">
        <f t="shared" si="14"/>
        <v/>
      </c>
      <c r="R89" s="19" t="str">
        <f t="shared" si="15"/>
        <v/>
      </c>
      <c r="S89" s="5"/>
      <c r="T89" s="5"/>
      <c r="U89" s="5"/>
      <c r="V89" s="24"/>
      <c r="W89" s="15"/>
      <c r="X89" s="15"/>
      <c r="Y89" s="15"/>
      <c r="Z89" s="19" t="str">
        <f t="shared" si="16"/>
        <v/>
      </c>
      <c r="AA89" s="19" t="str">
        <f t="shared" si="17"/>
        <v/>
      </c>
      <c r="AB89" s="5"/>
      <c r="AC89" s="5"/>
      <c r="AE89" t="str">
        <f>IFERROR(INDEX(EqTag,_xlfn.AGGREGATE(15,6,(ROW(EqTag)-4)/((EqSys=$D$3)*(EqTag&lt;&gt;"")),ROWS($AE$14:AE89))),"")</f>
        <v/>
      </c>
    </row>
    <row r="90" spans="1:31" ht="30" customHeight="1" x14ac:dyDescent="0.2">
      <c r="A90" s="19" t="str">
        <f>IF(F90="","",LEFT($D$3,3)&amp;"-"&amp;TEXT(COUNTIF(F$14:F90,"?*"),"00"))</f>
        <v/>
      </c>
      <c r="B90" s="5"/>
      <c r="C90" s="6" t="str">
        <f t="shared" si="12"/>
        <v/>
      </c>
      <c r="D90" s="5"/>
      <c r="E90" s="5"/>
      <c r="F90" s="5"/>
      <c r="G90" s="5"/>
      <c r="H90" s="5"/>
      <c r="I90" s="5"/>
      <c r="J90" s="5"/>
      <c r="K90" s="15"/>
      <c r="L90" s="5"/>
      <c r="M90" s="15"/>
      <c r="N90" s="5"/>
      <c r="O90" s="15"/>
      <c r="P90" s="19" t="str">
        <f t="shared" si="13"/>
        <v/>
      </c>
      <c r="Q90" s="19" t="str">
        <f t="shared" si="14"/>
        <v/>
      </c>
      <c r="R90" s="19" t="str">
        <f t="shared" si="15"/>
        <v/>
      </c>
      <c r="S90" s="5"/>
      <c r="T90" s="5"/>
      <c r="U90" s="5"/>
      <c r="V90" s="24"/>
      <c r="W90" s="15"/>
      <c r="X90" s="15"/>
      <c r="Y90" s="15"/>
      <c r="Z90" s="19" t="str">
        <f t="shared" si="16"/>
        <v/>
      </c>
      <c r="AA90" s="19" t="str">
        <f t="shared" si="17"/>
        <v/>
      </c>
      <c r="AB90" s="5"/>
      <c r="AC90" s="5"/>
      <c r="AE90" t="str">
        <f>IFERROR(INDEX(EqTag,_xlfn.AGGREGATE(15,6,(ROW(EqTag)-4)/((EqSys=$D$3)*(EqTag&lt;&gt;"")),ROWS($AE$14:AE90))),"")</f>
        <v/>
      </c>
    </row>
    <row r="91" spans="1:31" ht="30" customHeight="1" x14ac:dyDescent="0.2">
      <c r="A91" s="19" t="str">
        <f>IF(F91="","",LEFT($D$3,3)&amp;"-"&amp;TEXT(COUNTIF(F$14:F91,"?*"),"00"))</f>
        <v/>
      </c>
      <c r="B91" s="5"/>
      <c r="C91" s="6" t="str">
        <f t="shared" si="12"/>
        <v/>
      </c>
      <c r="D91" s="5"/>
      <c r="E91" s="5"/>
      <c r="F91" s="5"/>
      <c r="G91" s="5"/>
      <c r="H91" s="5"/>
      <c r="I91" s="5"/>
      <c r="J91" s="5"/>
      <c r="K91" s="15"/>
      <c r="L91" s="5"/>
      <c r="M91" s="15"/>
      <c r="N91" s="5"/>
      <c r="O91" s="15"/>
      <c r="P91" s="19" t="str">
        <f t="shared" si="13"/>
        <v/>
      </c>
      <c r="Q91" s="19" t="str">
        <f t="shared" si="14"/>
        <v/>
      </c>
      <c r="R91" s="19" t="str">
        <f t="shared" si="15"/>
        <v/>
      </c>
      <c r="S91" s="5"/>
      <c r="T91" s="5"/>
      <c r="U91" s="5"/>
      <c r="V91" s="24"/>
      <c r="W91" s="15"/>
      <c r="X91" s="15"/>
      <c r="Y91" s="15"/>
      <c r="Z91" s="19" t="str">
        <f t="shared" si="16"/>
        <v/>
      </c>
      <c r="AA91" s="19" t="str">
        <f t="shared" si="17"/>
        <v/>
      </c>
      <c r="AB91" s="5"/>
      <c r="AC91" s="5"/>
      <c r="AE91" t="str">
        <f>IFERROR(INDEX(EqTag,_xlfn.AGGREGATE(15,6,(ROW(EqTag)-4)/((EqSys=$D$3)*(EqTag&lt;&gt;"")),ROWS($AE$14:AE91))),"")</f>
        <v/>
      </c>
    </row>
    <row r="92" spans="1:31" ht="30" customHeight="1" x14ac:dyDescent="0.2">
      <c r="A92" s="19" t="str">
        <f>IF(F92="","",LEFT($D$3,3)&amp;"-"&amp;TEXT(COUNTIF(F$14:F92,"?*"),"00"))</f>
        <v/>
      </c>
      <c r="B92" s="5"/>
      <c r="C92" s="6" t="str">
        <f t="shared" si="12"/>
        <v/>
      </c>
      <c r="D92" s="5"/>
      <c r="E92" s="5"/>
      <c r="F92" s="5"/>
      <c r="G92" s="5"/>
      <c r="H92" s="5"/>
      <c r="I92" s="5"/>
      <c r="J92" s="5"/>
      <c r="K92" s="15"/>
      <c r="L92" s="5"/>
      <c r="M92" s="15"/>
      <c r="N92" s="5"/>
      <c r="O92" s="15"/>
      <c r="P92" s="19" t="str">
        <f t="shared" si="13"/>
        <v/>
      </c>
      <c r="Q92" s="19" t="str">
        <f t="shared" si="14"/>
        <v/>
      </c>
      <c r="R92" s="19" t="str">
        <f t="shared" si="15"/>
        <v/>
      </c>
      <c r="S92" s="5"/>
      <c r="T92" s="5"/>
      <c r="U92" s="5"/>
      <c r="V92" s="24"/>
      <c r="W92" s="15"/>
      <c r="X92" s="15"/>
      <c r="Y92" s="15"/>
      <c r="Z92" s="19" t="str">
        <f t="shared" si="16"/>
        <v/>
      </c>
      <c r="AA92" s="19" t="str">
        <f t="shared" si="17"/>
        <v/>
      </c>
      <c r="AB92" s="5"/>
      <c r="AC92" s="5"/>
      <c r="AE92" t="str">
        <f>IFERROR(INDEX(EqTag,_xlfn.AGGREGATE(15,6,(ROW(EqTag)-4)/((EqSys=$D$3)*(EqTag&lt;&gt;"")),ROWS($AE$14:AE92))),"")</f>
        <v/>
      </c>
    </row>
    <row r="93" spans="1:31" ht="30" customHeight="1" x14ac:dyDescent="0.2">
      <c r="A93" s="19" t="str">
        <f>IF(F93="","",LEFT($D$3,3)&amp;"-"&amp;TEXT(COUNTIF(F$14:F93,"?*"),"00"))</f>
        <v/>
      </c>
      <c r="B93" s="5"/>
      <c r="C93" s="6" t="str">
        <f t="shared" si="12"/>
        <v/>
      </c>
      <c r="D93" s="5"/>
      <c r="E93" s="5"/>
      <c r="F93" s="5"/>
      <c r="G93" s="5"/>
      <c r="H93" s="5"/>
      <c r="I93" s="5"/>
      <c r="J93" s="5"/>
      <c r="K93" s="15"/>
      <c r="L93" s="5"/>
      <c r="M93" s="15"/>
      <c r="N93" s="5"/>
      <c r="O93" s="15"/>
      <c r="P93" s="19" t="str">
        <f t="shared" si="13"/>
        <v/>
      </c>
      <c r="Q93" s="19" t="str">
        <f t="shared" si="14"/>
        <v/>
      </c>
      <c r="R93" s="19" t="str">
        <f t="shared" si="15"/>
        <v/>
      </c>
      <c r="S93" s="5"/>
      <c r="T93" s="5"/>
      <c r="U93" s="5"/>
      <c r="V93" s="24"/>
      <c r="W93" s="15"/>
      <c r="X93" s="15"/>
      <c r="Y93" s="15"/>
      <c r="Z93" s="19" t="str">
        <f t="shared" si="16"/>
        <v/>
      </c>
      <c r="AA93" s="19" t="str">
        <f t="shared" si="17"/>
        <v/>
      </c>
      <c r="AB93" s="5"/>
      <c r="AC93" s="5"/>
      <c r="AE93" t="str">
        <f>IFERROR(INDEX(EqTag,_xlfn.AGGREGATE(15,6,(ROW(EqTag)-4)/((EqSys=$D$3)*(EqTag&lt;&gt;"")),ROWS($AE$14:AE93))),"")</f>
        <v/>
      </c>
    </row>
    <row r="94" spans="1:31" ht="30" customHeight="1" x14ac:dyDescent="0.2">
      <c r="A94" s="19" t="str">
        <f>IF(F94="","",LEFT($D$3,3)&amp;"-"&amp;TEXT(COUNTIF(F$14:F94,"?*"),"00"))</f>
        <v/>
      </c>
      <c r="B94" s="5"/>
      <c r="C94" s="6" t="str">
        <f t="shared" si="12"/>
        <v/>
      </c>
      <c r="D94" s="5"/>
      <c r="E94" s="5"/>
      <c r="F94" s="5"/>
      <c r="G94" s="5"/>
      <c r="H94" s="5"/>
      <c r="I94" s="5"/>
      <c r="J94" s="5"/>
      <c r="K94" s="15"/>
      <c r="L94" s="5"/>
      <c r="M94" s="15"/>
      <c r="N94" s="5"/>
      <c r="O94" s="15"/>
      <c r="P94" s="19" t="str">
        <f t="shared" si="13"/>
        <v/>
      </c>
      <c r="Q94" s="19" t="str">
        <f t="shared" si="14"/>
        <v/>
      </c>
      <c r="R94" s="19" t="str">
        <f t="shared" si="15"/>
        <v/>
      </c>
      <c r="S94" s="5"/>
      <c r="T94" s="5"/>
      <c r="U94" s="5"/>
      <c r="V94" s="24"/>
      <c r="W94" s="15"/>
      <c r="X94" s="15"/>
      <c r="Y94" s="15"/>
      <c r="Z94" s="19" t="str">
        <f t="shared" si="16"/>
        <v/>
      </c>
      <c r="AA94" s="19" t="str">
        <f t="shared" si="17"/>
        <v/>
      </c>
      <c r="AB94" s="5"/>
      <c r="AC94" s="5"/>
      <c r="AE94" t="str">
        <f>IFERROR(INDEX(EqTag,_xlfn.AGGREGATE(15,6,(ROW(EqTag)-4)/((EqSys=$D$3)*(EqTag&lt;&gt;"")),ROWS($AE$14:AE94))),"")</f>
        <v/>
      </c>
    </row>
    <row r="95" spans="1:31" ht="30" customHeight="1" x14ac:dyDescent="0.2">
      <c r="A95" s="19" t="str">
        <f>IF(F95="","",LEFT($D$3,3)&amp;"-"&amp;TEXT(COUNTIF(F$14:F95,"?*"),"00"))</f>
        <v/>
      </c>
      <c r="B95" s="5"/>
      <c r="C95" s="6" t="str">
        <f t="shared" si="12"/>
        <v/>
      </c>
      <c r="D95" s="5"/>
      <c r="E95" s="5"/>
      <c r="F95" s="5"/>
      <c r="G95" s="5"/>
      <c r="H95" s="5"/>
      <c r="I95" s="5"/>
      <c r="J95" s="5"/>
      <c r="K95" s="15"/>
      <c r="L95" s="5"/>
      <c r="M95" s="15"/>
      <c r="N95" s="5"/>
      <c r="O95" s="15"/>
      <c r="P95" s="19" t="str">
        <f t="shared" si="13"/>
        <v/>
      </c>
      <c r="Q95" s="19" t="str">
        <f t="shared" si="14"/>
        <v/>
      </c>
      <c r="R95" s="19" t="str">
        <f t="shared" si="15"/>
        <v/>
      </c>
      <c r="S95" s="5"/>
      <c r="T95" s="5"/>
      <c r="U95" s="5"/>
      <c r="V95" s="24"/>
      <c r="W95" s="15"/>
      <c r="X95" s="15"/>
      <c r="Y95" s="15"/>
      <c r="Z95" s="19" t="str">
        <f t="shared" si="16"/>
        <v/>
      </c>
      <c r="AA95" s="19" t="str">
        <f t="shared" si="17"/>
        <v/>
      </c>
      <c r="AB95" s="5"/>
      <c r="AC95" s="5"/>
      <c r="AE95" t="str">
        <f>IFERROR(INDEX(EqTag,_xlfn.AGGREGATE(15,6,(ROW(EqTag)-4)/((EqSys=$D$3)*(EqTag&lt;&gt;"")),ROWS($AE$14:AE95))),"")</f>
        <v/>
      </c>
    </row>
    <row r="96" spans="1:31" ht="30" customHeight="1" x14ac:dyDescent="0.2">
      <c r="A96" s="19" t="str">
        <f>IF(F96="","",LEFT($D$3,3)&amp;"-"&amp;TEXT(COUNTIF(F$14:F96,"?*"),"00"))</f>
        <v/>
      </c>
      <c r="B96" s="5"/>
      <c r="C96" s="6" t="str">
        <f t="shared" si="12"/>
        <v/>
      </c>
      <c r="D96" s="5"/>
      <c r="E96" s="5"/>
      <c r="F96" s="5"/>
      <c r="G96" s="5"/>
      <c r="H96" s="5"/>
      <c r="I96" s="5"/>
      <c r="J96" s="5"/>
      <c r="K96" s="15"/>
      <c r="L96" s="5"/>
      <c r="M96" s="15"/>
      <c r="N96" s="5"/>
      <c r="O96" s="15"/>
      <c r="P96" s="19" t="str">
        <f t="shared" si="13"/>
        <v/>
      </c>
      <c r="Q96" s="19" t="str">
        <f t="shared" si="14"/>
        <v/>
      </c>
      <c r="R96" s="19" t="str">
        <f t="shared" si="15"/>
        <v/>
      </c>
      <c r="S96" s="5"/>
      <c r="T96" s="5"/>
      <c r="U96" s="5"/>
      <c r="V96" s="24"/>
      <c r="W96" s="15"/>
      <c r="X96" s="15"/>
      <c r="Y96" s="15"/>
      <c r="Z96" s="19" t="str">
        <f t="shared" si="16"/>
        <v/>
      </c>
      <c r="AA96" s="19" t="str">
        <f t="shared" si="17"/>
        <v/>
      </c>
      <c r="AB96" s="5"/>
      <c r="AC96" s="5"/>
      <c r="AE96" t="str">
        <f>IFERROR(INDEX(EqTag,_xlfn.AGGREGATE(15,6,(ROW(EqTag)-4)/((EqSys=$D$3)*(EqTag&lt;&gt;"")),ROWS($AE$14:AE96))),"")</f>
        <v/>
      </c>
    </row>
    <row r="97" spans="1:31" ht="30" customHeight="1" x14ac:dyDescent="0.2">
      <c r="A97" s="19" t="str">
        <f>IF(F97="","",LEFT($D$3,3)&amp;"-"&amp;TEXT(COUNTIF(F$14:F97,"?*"),"00"))</f>
        <v/>
      </c>
      <c r="B97" s="5"/>
      <c r="C97" s="6" t="str">
        <f t="shared" si="12"/>
        <v/>
      </c>
      <c r="D97" s="5"/>
      <c r="E97" s="5"/>
      <c r="F97" s="5"/>
      <c r="G97" s="5"/>
      <c r="H97" s="5"/>
      <c r="I97" s="5"/>
      <c r="J97" s="5"/>
      <c r="K97" s="15"/>
      <c r="L97" s="5"/>
      <c r="M97" s="15"/>
      <c r="N97" s="5"/>
      <c r="O97" s="15"/>
      <c r="P97" s="19" t="str">
        <f t="shared" si="13"/>
        <v/>
      </c>
      <c r="Q97" s="19" t="str">
        <f t="shared" si="14"/>
        <v/>
      </c>
      <c r="R97" s="19" t="str">
        <f t="shared" si="15"/>
        <v/>
      </c>
      <c r="S97" s="5"/>
      <c r="T97" s="5"/>
      <c r="U97" s="5"/>
      <c r="V97" s="24"/>
      <c r="W97" s="15"/>
      <c r="X97" s="15"/>
      <c r="Y97" s="15"/>
      <c r="Z97" s="19" t="str">
        <f t="shared" si="16"/>
        <v/>
      </c>
      <c r="AA97" s="19" t="str">
        <f t="shared" si="17"/>
        <v/>
      </c>
      <c r="AB97" s="5"/>
      <c r="AC97" s="5"/>
      <c r="AE97" t="str">
        <f>IFERROR(INDEX(EqTag,_xlfn.AGGREGATE(15,6,(ROW(EqTag)-4)/((EqSys=$D$3)*(EqTag&lt;&gt;"")),ROWS($AE$14:AE97))),"")</f>
        <v/>
      </c>
    </row>
    <row r="98" spans="1:31" ht="30" customHeight="1" x14ac:dyDescent="0.2">
      <c r="A98" s="19" t="str">
        <f>IF(F98="","",LEFT($D$3,3)&amp;"-"&amp;TEXT(COUNTIF(F$14:F98,"?*"),"00"))</f>
        <v/>
      </c>
      <c r="B98" s="5"/>
      <c r="C98" s="6" t="str">
        <f t="shared" si="12"/>
        <v/>
      </c>
      <c r="D98" s="5"/>
      <c r="E98" s="5"/>
      <c r="F98" s="5"/>
      <c r="G98" s="5"/>
      <c r="H98" s="5"/>
      <c r="I98" s="5"/>
      <c r="J98" s="5"/>
      <c r="K98" s="15"/>
      <c r="L98" s="5"/>
      <c r="M98" s="15"/>
      <c r="N98" s="5"/>
      <c r="O98" s="15"/>
      <c r="P98" s="19" t="str">
        <f t="shared" si="13"/>
        <v/>
      </c>
      <c r="Q98" s="19" t="str">
        <f t="shared" si="14"/>
        <v/>
      </c>
      <c r="R98" s="19" t="str">
        <f t="shared" si="15"/>
        <v/>
      </c>
      <c r="S98" s="5"/>
      <c r="T98" s="5"/>
      <c r="U98" s="5"/>
      <c r="V98" s="24"/>
      <c r="W98" s="15"/>
      <c r="X98" s="15"/>
      <c r="Y98" s="15"/>
      <c r="Z98" s="19" t="str">
        <f t="shared" si="16"/>
        <v/>
      </c>
      <c r="AA98" s="19" t="str">
        <f t="shared" si="17"/>
        <v/>
      </c>
      <c r="AB98" s="5"/>
      <c r="AC98" s="5"/>
      <c r="AE98" t="str">
        <f>IFERROR(INDEX(EqTag,_xlfn.AGGREGATE(15,6,(ROW(EqTag)-4)/((EqSys=$D$3)*(EqTag&lt;&gt;"")),ROWS($AE$14:AE98))),"")</f>
        <v/>
      </c>
    </row>
    <row r="99" spans="1:31" ht="30" customHeight="1" x14ac:dyDescent="0.2">
      <c r="A99" s="19" t="str">
        <f>IF(F99="","",LEFT($D$3,3)&amp;"-"&amp;TEXT(COUNTIF(F$14:F99,"?*"),"00"))</f>
        <v/>
      </c>
      <c r="B99" s="5"/>
      <c r="C99" s="6" t="str">
        <f t="shared" si="12"/>
        <v/>
      </c>
      <c r="D99" s="5"/>
      <c r="E99" s="5"/>
      <c r="F99" s="5"/>
      <c r="G99" s="5"/>
      <c r="H99" s="5"/>
      <c r="I99" s="5"/>
      <c r="J99" s="5"/>
      <c r="K99" s="15"/>
      <c r="L99" s="5"/>
      <c r="M99" s="15"/>
      <c r="N99" s="5"/>
      <c r="O99" s="15"/>
      <c r="P99" s="19" t="str">
        <f t="shared" si="13"/>
        <v/>
      </c>
      <c r="Q99" s="19" t="str">
        <f t="shared" si="14"/>
        <v/>
      </c>
      <c r="R99" s="19" t="str">
        <f t="shared" si="15"/>
        <v/>
      </c>
      <c r="S99" s="5"/>
      <c r="T99" s="5"/>
      <c r="U99" s="5"/>
      <c r="V99" s="24"/>
      <c r="W99" s="15"/>
      <c r="X99" s="15"/>
      <c r="Y99" s="15"/>
      <c r="Z99" s="19" t="str">
        <f t="shared" si="16"/>
        <v/>
      </c>
      <c r="AA99" s="19" t="str">
        <f t="shared" si="17"/>
        <v/>
      </c>
      <c r="AB99" s="5"/>
      <c r="AC99" s="5"/>
      <c r="AE99" t="str">
        <f>IFERROR(INDEX(EqTag,_xlfn.AGGREGATE(15,6,(ROW(EqTag)-4)/((EqSys=$D$3)*(EqTag&lt;&gt;"")),ROWS($AE$14:AE99))),"")</f>
        <v/>
      </c>
    </row>
    <row r="100" spans="1:31" ht="30" customHeight="1" x14ac:dyDescent="0.2">
      <c r="A100" s="19" t="str">
        <f>IF(F100="","",LEFT($D$3,3)&amp;"-"&amp;TEXT(COUNTIF(F$14:F100,"?*"),"00"))</f>
        <v/>
      </c>
      <c r="B100" s="5"/>
      <c r="C100" s="6" t="str">
        <f t="shared" si="12"/>
        <v/>
      </c>
      <c r="D100" s="5"/>
      <c r="E100" s="5"/>
      <c r="F100" s="5"/>
      <c r="G100" s="5"/>
      <c r="H100" s="5"/>
      <c r="I100" s="5"/>
      <c r="J100" s="5"/>
      <c r="K100" s="15"/>
      <c r="L100" s="5"/>
      <c r="M100" s="15"/>
      <c r="N100" s="5"/>
      <c r="O100" s="15"/>
      <c r="P100" s="19" t="str">
        <f t="shared" si="13"/>
        <v/>
      </c>
      <c r="Q100" s="19" t="str">
        <f t="shared" si="14"/>
        <v/>
      </c>
      <c r="R100" s="19" t="str">
        <f t="shared" si="15"/>
        <v/>
      </c>
      <c r="S100" s="5"/>
      <c r="T100" s="5"/>
      <c r="U100" s="5"/>
      <c r="V100" s="24"/>
      <c r="W100" s="15"/>
      <c r="X100" s="15"/>
      <c r="Y100" s="15"/>
      <c r="Z100" s="19" t="str">
        <f t="shared" si="16"/>
        <v/>
      </c>
      <c r="AA100" s="19" t="str">
        <f t="shared" si="17"/>
        <v/>
      </c>
      <c r="AB100" s="5"/>
      <c r="AC100" s="5"/>
      <c r="AE100" t="str">
        <f>IFERROR(INDEX(EqTag,_xlfn.AGGREGATE(15,6,(ROW(EqTag)-4)/((EqSys=$D$3)*(EqTag&lt;&gt;"")),ROWS($AE$14:AE100))),"")</f>
        <v/>
      </c>
    </row>
    <row r="101" spans="1:31" ht="30" customHeight="1" x14ac:dyDescent="0.2">
      <c r="A101" s="19" t="str">
        <f>IF(F101="","",LEFT($D$3,3)&amp;"-"&amp;TEXT(COUNTIF(F$14:F101,"?*"),"00"))</f>
        <v/>
      </c>
      <c r="B101" s="5"/>
      <c r="C101" s="6" t="str">
        <f t="shared" si="12"/>
        <v/>
      </c>
      <c r="D101" s="5"/>
      <c r="E101" s="5"/>
      <c r="F101" s="5"/>
      <c r="G101" s="5"/>
      <c r="H101" s="5"/>
      <c r="I101" s="5"/>
      <c r="J101" s="5"/>
      <c r="K101" s="15"/>
      <c r="L101" s="5"/>
      <c r="M101" s="15"/>
      <c r="N101" s="5"/>
      <c r="O101" s="15"/>
      <c r="P101" s="19" t="str">
        <f t="shared" si="13"/>
        <v/>
      </c>
      <c r="Q101" s="19" t="str">
        <f t="shared" si="14"/>
        <v/>
      </c>
      <c r="R101" s="19" t="str">
        <f t="shared" si="15"/>
        <v/>
      </c>
      <c r="S101" s="5"/>
      <c r="T101" s="5"/>
      <c r="U101" s="5"/>
      <c r="V101" s="24"/>
      <c r="W101" s="15"/>
      <c r="X101" s="15"/>
      <c r="Y101" s="15"/>
      <c r="Z101" s="19" t="str">
        <f t="shared" si="16"/>
        <v/>
      </c>
      <c r="AA101" s="19" t="str">
        <f t="shared" si="17"/>
        <v/>
      </c>
      <c r="AB101" s="5"/>
      <c r="AC101" s="5"/>
      <c r="AE101" t="str">
        <f>IFERROR(INDEX(EqTag,_xlfn.AGGREGATE(15,6,(ROW(EqTag)-4)/((EqSys=$D$3)*(EqTag&lt;&gt;"")),ROWS($AE$14:AE101))),"")</f>
        <v/>
      </c>
    </row>
    <row r="102" spans="1:31" ht="30" customHeight="1" x14ac:dyDescent="0.2">
      <c r="A102" s="19" t="str">
        <f>IF(F102="","",LEFT($D$3,3)&amp;"-"&amp;TEXT(COUNTIF(F$14:F102,"?*"),"00"))</f>
        <v/>
      </c>
      <c r="B102" s="5"/>
      <c r="C102" s="6" t="str">
        <f t="shared" si="12"/>
        <v/>
      </c>
      <c r="D102" s="5"/>
      <c r="E102" s="5"/>
      <c r="F102" s="5"/>
      <c r="G102" s="5"/>
      <c r="H102" s="5"/>
      <c r="I102" s="5"/>
      <c r="J102" s="5"/>
      <c r="K102" s="15"/>
      <c r="L102" s="5"/>
      <c r="M102" s="15"/>
      <c r="N102" s="5"/>
      <c r="O102" s="15"/>
      <c r="P102" s="19" t="str">
        <f t="shared" si="13"/>
        <v/>
      </c>
      <c r="Q102" s="19" t="str">
        <f t="shared" si="14"/>
        <v/>
      </c>
      <c r="R102" s="19" t="str">
        <f t="shared" si="15"/>
        <v/>
      </c>
      <c r="S102" s="5"/>
      <c r="T102" s="5"/>
      <c r="U102" s="5"/>
      <c r="V102" s="24"/>
      <c r="W102" s="15"/>
      <c r="X102" s="15"/>
      <c r="Y102" s="15"/>
      <c r="Z102" s="19" t="str">
        <f t="shared" si="16"/>
        <v/>
      </c>
      <c r="AA102" s="19" t="str">
        <f t="shared" si="17"/>
        <v/>
      </c>
      <c r="AB102" s="5"/>
      <c r="AC102" s="5"/>
      <c r="AE102" t="str">
        <f>IFERROR(INDEX(EqTag,_xlfn.AGGREGATE(15,6,(ROW(EqTag)-4)/((EqSys=$D$3)*(EqTag&lt;&gt;"")),ROWS($AE$14:AE102))),"")</f>
        <v/>
      </c>
    </row>
    <row r="103" spans="1:31" ht="30" customHeight="1" x14ac:dyDescent="0.2">
      <c r="A103" s="19" t="str">
        <f>IF(F103="","",LEFT($D$3,3)&amp;"-"&amp;TEXT(COUNTIF(F$14:F103,"?*"),"00"))</f>
        <v/>
      </c>
      <c r="B103" s="5"/>
      <c r="C103" s="6" t="str">
        <f t="shared" si="12"/>
        <v/>
      </c>
      <c r="D103" s="5"/>
      <c r="E103" s="5"/>
      <c r="F103" s="5"/>
      <c r="G103" s="5"/>
      <c r="H103" s="5"/>
      <c r="I103" s="5"/>
      <c r="J103" s="5"/>
      <c r="K103" s="15"/>
      <c r="L103" s="5"/>
      <c r="M103" s="15"/>
      <c r="N103" s="5"/>
      <c r="O103" s="15"/>
      <c r="P103" s="19" t="str">
        <f t="shared" si="13"/>
        <v/>
      </c>
      <c r="Q103" s="19" t="str">
        <f t="shared" si="14"/>
        <v/>
      </c>
      <c r="R103" s="19" t="str">
        <f t="shared" si="15"/>
        <v/>
      </c>
      <c r="S103" s="5"/>
      <c r="T103" s="5"/>
      <c r="U103" s="5"/>
      <c r="V103" s="24"/>
      <c r="W103" s="15"/>
      <c r="X103" s="15"/>
      <c r="Y103" s="15"/>
      <c r="Z103" s="19" t="str">
        <f t="shared" si="16"/>
        <v/>
      </c>
      <c r="AA103" s="19" t="str">
        <f t="shared" si="17"/>
        <v/>
      </c>
      <c r="AB103" s="5"/>
      <c r="AC103" s="5"/>
      <c r="AE103" t="str">
        <f>IFERROR(INDEX(EqTag,_xlfn.AGGREGATE(15,6,(ROW(EqTag)-4)/((EqSys=$D$3)*(EqTag&lt;&gt;"")),ROWS($AE$14:AE103))),"")</f>
        <v/>
      </c>
    </row>
    <row r="104" spans="1:31" ht="30" customHeight="1" x14ac:dyDescent="0.2">
      <c r="A104" s="19" t="str">
        <f>IF(F104="","",LEFT($D$3,3)&amp;"-"&amp;TEXT(COUNTIF(F$14:F104,"?*"),"00"))</f>
        <v/>
      </c>
      <c r="B104" s="5"/>
      <c r="C104" s="6" t="str">
        <f t="shared" si="12"/>
        <v/>
      </c>
      <c r="D104" s="5"/>
      <c r="E104" s="5"/>
      <c r="F104" s="5"/>
      <c r="G104" s="5"/>
      <c r="H104" s="5"/>
      <c r="I104" s="5"/>
      <c r="J104" s="5"/>
      <c r="K104" s="15"/>
      <c r="L104" s="5"/>
      <c r="M104" s="15"/>
      <c r="N104" s="5"/>
      <c r="O104" s="15"/>
      <c r="P104" s="19" t="str">
        <f t="shared" si="13"/>
        <v/>
      </c>
      <c r="Q104" s="19" t="str">
        <f t="shared" si="14"/>
        <v/>
      </c>
      <c r="R104" s="19" t="str">
        <f t="shared" si="15"/>
        <v/>
      </c>
      <c r="S104" s="5"/>
      <c r="T104" s="5"/>
      <c r="U104" s="5"/>
      <c r="V104" s="24"/>
      <c r="W104" s="15"/>
      <c r="X104" s="15"/>
      <c r="Y104" s="15"/>
      <c r="Z104" s="19" t="str">
        <f t="shared" si="16"/>
        <v/>
      </c>
      <c r="AA104" s="19" t="str">
        <f t="shared" si="17"/>
        <v/>
      </c>
      <c r="AB104" s="5"/>
      <c r="AC104" s="5"/>
      <c r="AE104" t="str">
        <f>IFERROR(INDEX(EqTag,_xlfn.AGGREGATE(15,6,(ROW(EqTag)-4)/((EqSys=$D$3)*(EqTag&lt;&gt;"")),ROWS($AE$14:AE104))),"")</f>
        <v/>
      </c>
    </row>
    <row r="105" spans="1:31" ht="30" customHeight="1" x14ac:dyDescent="0.2">
      <c r="A105" s="19" t="str">
        <f>IF(F105="","",LEFT($D$3,3)&amp;"-"&amp;TEXT(COUNTIF(F$14:F105,"?*"),"00"))</f>
        <v/>
      </c>
      <c r="B105" s="5"/>
      <c r="C105" s="6" t="str">
        <f t="shared" si="12"/>
        <v/>
      </c>
      <c r="D105" s="5"/>
      <c r="E105" s="5"/>
      <c r="F105" s="5"/>
      <c r="G105" s="5"/>
      <c r="H105" s="5"/>
      <c r="I105" s="5"/>
      <c r="J105" s="5"/>
      <c r="K105" s="15"/>
      <c r="L105" s="5"/>
      <c r="M105" s="15"/>
      <c r="N105" s="5"/>
      <c r="O105" s="15"/>
      <c r="P105" s="19" t="str">
        <f t="shared" si="13"/>
        <v/>
      </c>
      <c r="Q105" s="19" t="str">
        <f t="shared" si="14"/>
        <v/>
      </c>
      <c r="R105" s="19" t="str">
        <f t="shared" si="15"/>
        <v/>
      </c>
      <c r="S105" s="5"/>
      <c r="T105" s="5"/>
      <c r="U105" s="5"/>
      <c r="V105" s="24"/>
      <c r="W105" s="15"/>
      <c r="X105" s="15"/>
      <c r="Y105" s="15"/>
      <c r="Z105" s="19" t="str">
        <f t="shared" si="16"/>
        <v/>
      </c>
      <c r="AA105" s="19" t="str">
        <f t="shared" si="17"/>
        <v/>
      </c>
      <c r="AB105" s="5"/>
      <c r="AC105" s="5"/>
      <c r="AE105" t="str">
        <f>IFERROR(INDEX(EqTag,_xlfn.AGGREGATE(15,6,(ROW(EqTag)-4)/((EqSys=$D$3)*(EqTag&lt;&gt;"")),ROWS($AE$14:AE105))),"")</f>
        <v/>
      </c>
    </row>
    <row r="106" spans="1:31" ht="30" customHeight="1" x14ac:dyDescent="0.2">
      <c r="A106" s="19" t="str">
        <f>IF(F106="","",LEFT($D$3,3)&amp;"-"&amp;TEXT(COUNTIF(F$14:F106,"?*"),"00"))</f>
        <v/>
      </c>
      <c r="B106" s="5"/>
      <c r="C106" s="6" t="str">
        <f t="shared" si="12"/>
        <v/>
      </c>
      <c r="D106" s="5"/>
      <c r="E106" s="5"/>
      <c r="F106" s="5"/>
      <c r="G106" s="5"/>
      <c r="H106" s="5"/>
      <c r="I106" s="5"/>
      <c r="J106" s="5"/>
      <c r="K106" s="15"/>
      <c r="L106" s="5"/>
      <c r="M106" s="15"/>
      <c r="N106" s="5"/>
      <c r="O106" s="15"/>
      <c r="P106" s="19" t="str">
        <f t="shared" si="13"/>
        <v/>
      </c>
      <c r="Q106" s="19" t="str">
        <f t="shared" si="14"/>
        <v/>
      </c>
      <c r="R106" s="19" t="str">
        <f t="shared" si="15"/>
        <v/>
      </c>
      <c r="S106" s="5"/>
      <c r="T106" s="5"/>
      <c r="U106" s="5"/>
      <c r="V106" s="24"/>
      <c r="W106" s="15"/>
      <c r="X106" s="15"/>
      <c r="Y106" s="15"/>
      <c r="Z106" s="19" t="str">
        <f t="shared" si="16"/>
        <v/>
      </c>
      <c r="AA106" s="19" t="str">
        <f t="shared" si="17"/>
        <v/>
      </c>
      <c r="AB106" s="5"/>
      <c r="AC106" s="5"/>
      <c r="AE106" t="str">
        <f>IFERROR(INDEX(EqTag,_xlfn.AGGREGATE(15,6,(ROW(EqTag)-4)/((EqSys=$D$3)*(EqTag&lt;&gt;"")),ROWS($AE$14:AE106))),"")</f>
        <v/>
      </c>
    </row>
    <row r="107" spans="1:31" ht="30" customHeight="1" x14ac:dyDescent="0.2">
      <c r="A107" s="19" t="str">
        <f>IF(F107="","",LEFT($D$3,3)&amp;"-"&amp;TEXT(COUNTIF(F$14:F107,"?*"),"00"))</f>
        <v/>
      </c>
      <c r="B107" s="5"/>
      <c r="C107" s="6" t="str">
        <f t="shared" si="12"/>
        <v/>
      </c>
      <c r="D107" s="5"/>
      <c r="E107" s="5"/>
      <c r="F107" s="5"/>
      <c r="G107" s="5"/>
      <c r="H107" s="5"/>
      <c r="I107" s="5"/>
      <c r="J107" s="5"/>
      <c r="K107" s="15"/>
      <c r="L107" s="5"/>
      <c r="M107" s="15"/>
      <c r="N107" s="5"/>
      <c r="O107" s="15"/>
      <c r="P107" s="19" t="str">
        <f t="shared" si="13"/>
        <v/>
      </c>
      <c r="Q107" s="19" t="str">
        <f t="shared" si="14"/>
        <v/>
      </c>
      <c r="R107" s="19" t="str">
        <f t="shared" si="15"/>
        <v/>
      </c>
      <c r="S107" s="5"/>
      <c r="T107" s="5"/>
      <c r="U107" s="5"/>
      <c r="V107" s="24"/>
      <c r="W107" s="15"/>
      <c r="X107" s="15"/>
      <c r="Y107" s="15"/>
      <c r="Z107" s="19" t="str">
        <f t="shared" si="16"/>
        <v/>
      </c>
      <c r="AA107" s="19" t="str">
        <f t="shared" si="17"/>
        <v/>
      </c>
      <c r="AB107" s="5"/>
      <c r="AC107" s="5"/>
      <c r="AE107" t="str">
        <f>IFERROR(INDEX(EqTag,_xlfn.AGGREGATE(15,6,(ROW(EqTag)-4)/((EqSys=$D$3)*(EqTag&lt;&gt;"")),ROWS($AE$14:AE107))),"")</f>
        <v/>
      </c>
    </row>
    <row r="108" spans="1:31" ht="30" customHeight="1" x14ac:dyDescent="0.2">
      <c r="A108" s="19" t="str">
        <f>IF(F108="","",LEFT($D$3,3)&amp;"-"&amp;TEXT(COUNTIF(F$14:F108,"?*"),"00"))</f>
        <v/>
      </c>
      <c r="B108" s="5"/>
      <c r="C108" s="6" t="str">
        <f t="shared" si="12"/>
        <v/>
      </c>
      <c r="D108" s="5"/>
      <c r="E108" s="5"/>
      <c r="F108" s="5"/>
      <c r="G108" s="5"/>
      <c r="H108" s="5"/>
      <c r="I108" s="5"/>
      <c r="J108" s="5"/>
      <c r="K108" s="15"/>
      <c r="L108" s="5"/>
      <c r="M108" s="15"/>
      <c r="N108" s="5"/>
      <c r="O108" s="15"/>
      <c r="P108" s="19" t="str">
        <f t="shared" si="13"/>
        <v/>
      </c>
      <c r="Q108" s="19" t="str">
        <f t="shared" si="14"/>
        <v/>
      </c>
      <c r="R108" s="19" t="str">
        <f t="shared" si="15"/>
        <v/>
      </c>
      <c r="S108" s="5"/>
      <c r="T108" s="5"/>
      <c r="U108" s="5"/>
      <c r="V108" s="24"/>
      <c r="W108" s="15"/>
      <c r="X108" s="15"/>
      <c r="Y108" s="15"/>
      <c r="Z108" s="19" t="str">
        <f t="shared" si="16"/>
        <v/>
      </c>
      <c r="AA108" s="19" t="str">
        <f t="shared" si="17"/>
        <v/>
      </c>
      <c r="AB108" s="5"/>
      <c r="AC108" s="5"/>
      <c r="AE108" t="str">
        <f>IFERROR(INDEX(EqTag,_xlfn.AGGREGATE(15,6,(ROW(EqTag)-4)/((EqSys=$D$3)*(EqTag&lt;&gt;"")),ROWS($AE$14:AE108))),"")</f>
        <v/>
      </c>
    </row>
    <row r="109" spans="1:31" ht="30" customHeight="1" x14ac:dyDescent="0.2">
      <c r="A109" s="19" t="str">
        <f>IF(F109="","",LEFT($D$3,3)&amp;"-"&amp;TEXT(COUNTIF(F$14:F109,"?*"),"00"))</f>
        <v/>
      </c>
      <c r="B109" s="5"/>
      <c r="C109" s="6" t="str">
        <f t="shared" si="12"/>
        <v/>
      </c>
      <c r="D109" s="5"/>
      <c r="E109" s="5"/>
      <c r="F109" s="5"/>
      <c r="G109" s="5"/>
      <c r="H109" s="5"/>
      <c r="I109" s="5"/>
      <c r="J109" s="5"/>
      <c r="K109" s="15"/>
      <c r="L109" s="5"/>
      <c r="M109" s="15"/>
      <c r="N109" s="5"/>
      <c r="O109" s="15"/>
      <c r="P109" s="19" t="str">
        <f t="shared" si="13"/>
        <v/>
      </c>
      <c r="Q109" s="19" t="str">
        <f t="shared" si="14"/>
        <v/>
      </c>
      <c r="R109" s="19" t="str">
        <f t="shared" si="15"/>
        <v/>
      </c>
      <c r="S109" s="5"/>
      <c r="T109" s="5"/>
      <c r="U109" s="5"/>
      <c r="V109" s="24"/>
      <c r="W109" s="15"/>
      <c r="X109" s="15"/>
      <c r="Y109" s="15"/>
      <c r="Z109" s="19" t="str">
        <f t="shared" si="16"/>
        <v/>
      </c>
      <c r="AA109" s="19" t="str">
        <f t="shared" si="17"/>
        <v/>
      </c>
      <c r="AB109" s="5"/>
      <c r="AC109" s="5"/>
      <c r="AE109" t="str">
        <f>IFERROR(INDEX(EqTag,_xlfn.AGGREGATE(15,6,(ROW(EqTag)-4)/((EqSys=$D$3)*(EqTag&lt;&gt;"")),ROWS($AE$14:AE109))),"")</f>
        <v/>
      </c>
    </row>
    <row r="110" spans="1:31" ht="30" customHeight="1" x14ac:dyDescent="0.2">
      <c r="A110" s="19" t="str">
        <f>IF(F110="","",LEFT($D$3,3)&amp;"-"&amp;TEXT(COUNTIF(F$14:F110,"?*"),"00"))</f>
        <v/>
      </c>
      <c r="B110" s="5"/>
      <c r="C110" s="6" t="str">
        <f t="shared" ref="C110:C141" si="18">IF(B110="","",IFERROR(INDEX(EqTypeCol,MATCH(B110,EqTag,0)),"Tag not in register"))</f>
        <v/>
      </c>
      <c r="D110" s="5"/>
      <c r="E110" s="5"/>
      <c r="F110" s="5"/>
      <c r="G110" s="5"/>
      <c r="H110" s="5"/>
      <c r="I110" s="5"/>
      <c r="J110" s="5"/>
      <c r="K110" s="15"/>
      <c r="L110" s="5"/>
      <c r="M110" s="15"/>
      <c r="N110" s="5"/>
      <c r="O110" s="15"/>
      <c r="P110" s="19" t="str">
        <f t="shared" ref="P110:P141" si="19">IF(OR(K110="",M110="",O110=""),"",(--TRIM(LEFT(K110,2)))*(--TRIM(LEFT(M110,2)))*(--TRIM(LEFT(O110,2))))</f>
        <v/>
      </c>
      <c r="Q110" s="19" t="str">
        <f t="shared" ref="Q110:Q141" si="20">IF(OR(K110="",M110="",O110=""),"",INDEX(APGrid,COUNTIF(APS,"&gt;"&amp;(--TRIM(LEFT(K110,2))))*5+COUNTIF(APO,"&gt;"&amp;(--TRIM(LEFT(M110,2))))+1,COUNTIF(APD,"&gt;"&amp;(--TRIM(LEFT(O110,2))))+1))</f>
        <v/>
      </c>
      <c r="R110" s="19" t="str">
        <f t="shared" ref="R110:R141" si="21">IF(P110="","",IF(OR((--TRIM(LEFT(K110,2)))&gt;=SThr,P110&gt;=RPNThr,Q110="H"),"Yes","No"))</f>
        <v/>
      </c>
      <c r="S110" s="5"/>
      <c r="T110" s="5"/>
      <c r="U110" s="5"/>
      <c r="V110" s="24"/>
      <c r="W110" s="15"/>
      <c r="X110" s="15"/>
      <c r="Y110" s="15"/>
      <c r="Z110" s="19" t="str">
        <f t="shared" ref="Z110:Z141" si="22">IF(OR(W110="",X110="",Y110=""),"",(--TRIM(LEFT(W110,2)))*(--TRIM(LEFT(X110,2)))*(--TRIM(LEFT(Y110,2))))</f>
        <v/>
      </c>
      <c r="AA110" s="19" t="str">
        <f t="shared" ref="AA110:AA141" si="23">IF(OR(W110="",X110="",Y110=""),"",INDEX(APGrid,COUNTIF(APS,"&gt;"&amp;(--TRIM(LEFT(W110,2))))*5+COUNTIF(APO,"&gt;"&amp;(--TRIM(LEFT(X110,2))))+1,COUNTIF(APD,"&gt;"&amp;(--TRIM(LEFT(Y110,2))))+1))</f>
        <v/>
      </c>
      <c r="AB110" s="5"/>
      <c r="AC110" s="5"/>
      <c r="AE110" t="str">
        <f>IFERROR(INDEX(EqTag,_xlfn.AGGREGATE(15,6,(ROW(EqTag)-4)/((EqSys=$D$3)*(EqTag&lt;&gt;"")),ROWS($AE$14:AE110))),"")</f>
        <v/>
      </c>
    </row>
    <row r="111" spans="1:31" ht="30" customHeight="1" x14ac:dyDescent="0.2">
      <c r="A111" s="19" t="str">
        <f>IF(F111="","",LEFT($D$3,3)&amp;"-"&amp;TEXT(COUNTIF(F$14:F111,"?*"),"00"))</f>
        <v/>
      </c>
      <c r="B111" s="5"/>
      <c r="C111" s="6" t="str">
        <f t="shared" si="18"/>
        <v/>
      </c>
      <c r="D111" s="5"/>
      <c r="E111" s="5"/>
      <c r="F111" s="5"/>
      <c r="G111" s="5"/>
      <c r="H111" s="5"/>
      <c r="I111" s="5"/>
      <c r="J111" s="5"/>
      <c r="K111" s="15"/>
      <c r="L111" s="5"/>
      <c r="M111" s="15"/>
      <c r="N111" s="5"/>
      <c r="O111" s="15"/>
      <c r="P111" s="19" t="str">
        <f t="shared" si="19"/>
        <v/>
      </c>
      <c r="Q111" s="19" t="str">
        <f t="shared" si="20"/>
        <v/>
      </c>
      <c r="R111" s="19" t="str">
        <f t="shared" si="21"/>
        <v/>
      </c>
      <c r="S111" s="5"/>
      <c r="T111" s="5"/>
      <c r="U111" s="5"/>
      <c r="V111" s="24"/>
      <c r="W111" s="15"/>
      <c r="X111" s="15"/>
      <c r="Y111" s="15"/>
      <c r="Z111" s="19" t="str">
        <f t="shared" si="22"/>
        <v/>
      </c>
      <c r="AA111" s="19" t="str">
        <f t="shared" si="23"/>
        <v/>
      </c>
      <c r="AB111" s="5"/>
      <c r="AC111" s="5"/>
      <c r="AE111" t="str">
        <f>IFERROR(INDEX(EqTag,_xlfn.AGGREGATE(15,6,(ROW(EqTag)-4)/((EqSys=$D$3)*(EqTag&lt;&gt;"")),ROWS($AE$14:AE111))),"")</f>
        <v/>
      </c>
    </row>
    <row r="112" spans="1:31" ht="30" customHeight="1" x14ac:dyDescent="0.2">
      <c r="A112" s="19" t="str">
        <f>IF(F112="","",LEFT($D$3,3)&amp;"-"&amp;TEXT(COUNTIF(F$14:F112,"?*"),"00"))</f>
        <v/>
      </c>
      <c r="B112" s="5"/>
      <c r="C112" s="6" t="str">
        <f t="shared" si="18"/>
        <v/>
      </c>
      <c r="D112" s="5"/>
      <c r="E112" s="5"/>
      <c r="F112" s="5"/>
      <c r="G112" s="5"/>
      <c r="H112" s="5"/>
      <c r="I112" s="5"/>
      <c r="J112" s="5"/>
      <c r="K112" s="15"/>
      <c r="L112" s="5"/>
      <c r="M112" s="15"/>
      <c r="N112" s="5"/>
      <c r="O112" s="15"/>
      <c r="P112" s="19" t="str">
        <f t="shared" si="19"/>
        <v/>
      </c>
      <c r="Q112" s="19" t="str">
        <f t="shared" si="20"/>
        <v/>
      </c>
      <c r="R112" s="19" t="str">
        <f t="shared" si="21"/>
        <v/>
      </c>
      <c r="S112" s="5"/>
      <c r="T112" s="5"/>
      <c r="U112" s="5"/>
      <c r="V112" s="24"/>
      <c r="W112" s="15"/>
      <c r="X112" s="15"/>
      <c r="Y112" s="15"/>
      <c r="Z112" s="19" t="str">
        <f t="shared" si="22"/>
        <v/>
      </c>
      <c r="AA112" s="19" t="str">
        <f t="shared" si="23"/>
        <v/>
      </c>
      <c r="AB112" s="5"/>
      <c r="AC112" s="5"/>
      <c r="AE112" t="str">
        <f>IFERROR(INDEX(EqTag,_xlfn.AGGREGATE(15,6,(ROW(EqTag)-4)/((EqSys=$D$3)*(EqTag&lt;&gt;"")),ROWS($AE$14:AE112))),"")</f>
        <v/>
      </c>
    </row>
    <row r="113" spans="1:31" ht="30" customHeight="1" x14ac:dyDescent="0.2">
      <c r="A113" s="19" t="str">
        <f>IF(F113="","",LEFT($D$3,3)&amp;"-"&amp;TEXT(COUNTIF(F$14:F113,"?*"),"00"))</f>
        <v/>
      </c>
      <c r="B113" s="5"/>
      <c r="C113" s="6" t="str">
        <f t="shared" si="18"/>
        <v/>
      </c>
      <c r="D113" s="5"/>
      <c r="E113" s="5"/>
      <c r="F113" s="5"/>
      <c r="G113" s="5"/>
      <c r="H113" s="5"/>
      <c r="I113" s="5"/>
      <c r="J113" s="5"/>
      <c r="K113" s="15"/>
      <c r="L113" s="5"/>
      <c r="M113" s="15"/>
      <c r="N113" s="5"/>
      <c r="O113" s="15"/>
      <c r="P113" s="19" t="str">
        <f t="shared" si="19"/>
        <v/>
      </c>
      <c r="Q113" s="19" t="str">
        <f t="shared" si="20"/>
        <v/>
      </c>
      <c r="R113" s="19" t="str">
        <f t="shared" si="21"/>
        <v/>
      </c>
      <c r="S113" s="5"/>
      <c r="T113" s="5"/>
      <c r="U113" s="5"/>
      <c r="V113" s="24"/>
      <c r="W113" s="15"/>
      <c r="X113" s="15"/>
      <c r="Y113" s="15"/>
      <c r="Z113" s="19" t="str">
        <f t="shared" si="22"/>
        <v/>
      </c>
      <c r="AA113" s="19" t="str">
        <f t="shared" si="23"/>
        <v/>
      </c>
      <c r="AB113" s="5"/>
      <c r="AC113" s="5"/>
      <c r="AE113" t="str">
        <f>IFERROR(INDEX(EqTag,_xlfn.AGGREGATE(15,6,(ROW(EqTag)-4)/((EqSys=$D$3)*(EqTag&lt;&gt;"")),ROWS($AE$14:AE113))),"")</f>
        <v/>
      </c>
    </row>
    <row r="114" spans="1:31" ht="30" customHeight="1" x14ac:dyDescent="0.2">
      <c r="A114" s="19" t="str">
        <f>IF(F114="","",LEFT($D$3,3)&amp;"-"&amp;TEXT(COUNTIF(F$14:F114,"?*"),"00"))</f>
        <v/>
      </c>
      <c r="B114" s="5"/>
      <c r="C114" s="6" t="str">
        <f t="shared" si="18"/>
        <v/>
      </c>
      <c r="D114" s="5"/>
      <c r="E114" s="5"/>
      <c r="F114" s="5"/>
      <c r="G114" s="5"/>
      <c r="H114" s="5"/>
      <c r="I114" s="5"/>
      <c r="J114" s="5"/>
      <c r="K114" s="15"/>
      <c r="L114" s="5"/>
      <c r="M114" s="15"/>
      <c r="N114" s="5"/>
      <c r="O114" s="15"/>
      <c r="P114" s="19" t="str">
        <f t="shared" si="19"/>
        <v/>
      </c>
      <c r="Q114" s="19" t="str">
        <f t="shared" si="20"/>
        <v/>
      </c>
      <c r="R114" s="19" t="str">
        <f t="shared" si="21"/>
        <v/>
      </c>
      <c r="S114" s="5"/>
      <c r="T114" s="5"/>
      <c r="U114" s="5"/>
      <c r="V114" s="24"/>
      <c r="W114" s="15"/>
      <c r="X114" s="15"/>
      <c r="Y114" s="15"/>
      <c r="Z114" s="19" t="str">
        <f t="shared" si="22"/>
        <v/>
      </c>
      <c r="AA114" s="19" t="str">
        <f t="shared" si="23"/>
        <v/>
      </c>
      <c r="AB114" s="5"/>
      <c r="AC114" s="5"/>
      <c r="AE114" t="str">
        <f>IFERROR(INDEX(EqTag,_xlfn.AGGREGATE(15,6,(ROW(EqTag)-4)/((EqSys=$D$3)*(EqTag&lt;&gt;"")),ROWS($AE$14:AE114))),"")</f>
        <v/>
      </c>
    </row>
    <row r="115" spans="1:31" ht="30" customHeight="1" x14ac:dyDescent="0.2">
      <c r="A115" s="19" t="str">
        <f>IF(F115="","",LEFT($D$3,3)&amp;"-"&amp;TEXT(COUNTIF(F$14:F115,"?*"),"00"))</f>
        <v/>
      </c>
      <c r="B115" s="5"/>
      <c r="C115" s="6" t="str">
        <f t="shared" si="18"/>
        <v/>
      </c>
      <c r="D115" s="5"/>
      <c r="E115" s="5"/>
      <c r="F115" s="5"/>
      <c r="G115" s="5"/>
      <c r="H115" s="5"/>
      <c r="I115" s="5"/>
      <c r="J115" s="5"/>
      <c r="K115" s="15"/>
      <c r="L115" s="5"/>
      <c r="M115" s="15"/>
      <c r="N115" s="5"/>
      <c r="O115" s="15"/>
      <c r="P115" s="19" t="str">
        <f t="shared" si="19"/>
        <v/>
      </c>
      <c r="Q115" s="19" t="str">
        <f t="shared" si="20"/>
        <v/>
      </c>
      <c r="R115" s="19" t="str">
        <f t="shared" si="21"/>
        <v/>
      </c>
      <c r="S115" s="5"/>
      <c r="T115" s="5"/>
      <c r="U115" s="5"/>
      <c r="V115" s="24"/>
      <c r="W115" s="15"/>
      <c r="X115" s="15"/>
      <c r="Y115" s="15"/>
      <c r="Z115" s="19" t="str">
        <f t="shared" si="22"/>
        <v/>
      </c>
      <c r="AA115" s="19" t="str">
        <f t="shared" si="23"/>
        <v/>
      </c>
      <c r="AB115" s="5"/>
      <c r="AC115" s="5"/>
      <c r="AE115" t="str">
        <f>IFERROR(INDEX(EqTag,_xlfn.AGGREGATE(15,6,(ROW(EqTag)-4)/((EqSys=$D$3)*(EqTag&lt;&gt;"")),ROWS($AE$14:AE115))),"")</f>
        <v/>
      </c>
    </row>
    <row r="116" spans="1:31" ht="30" customHeight="1" x14ac:dyDescent="0.2">
      <c r="A116" s="19" t="str">
        <f>IF(F116="","",LEFT($D$3,3)&amp;"-"&amp;TEXT(COUNTIF(F$14:F116,"?*"),"00"))</f>
        <v/>
      </c>
      <c r="B116" s="5"/>
      <c r="C116" s="6" t="str">
        <f t="shared" si="18"/>
        <v/>
      </c>
      <c r="D116" s="5"/>
      <c r="E116" s="5"/>
      <c r="F116" s="5"/>
      <c r="G116" s="5"/>
      <c r="H116" s="5"/>
      <c r="I116" s="5"/>
      <c r="J116" s="5"/>
      <c r="K116" s="15"/>
      <c r="L116" s="5"/>
      <c r="M116" s="15"/>
      <c r="N116" s="5"/>
      <c r="O116" s="15"/>
      <c r="P116" s="19" t="str">
        <f t="shared" si="19"/>
        <v/>
      </c>
      <c r="Q116" s="19" t="str">
        <f t="shared" si="20"/>
        <v/>
      </c>
      <c r="R116" s="19" t="str">
        <f t="shared" si="21"/>
        <v/>
      </c>
      <c r="S116" s="5"/>
      <c r="T116" s="5"/>
      <c r="U116" s="5"/>
      <c r="V116" s="24"/>
      <c r="W116" s="15"/>
      <c r="X116" s="15"/>
      <c r="Y116" s="15"/>
      <c r="Z116" s="19" t="str">
        <f t="shared" si="22"/>
        <v/>
      </c>
      <c r="AA116" s="19" t="str">
        <f t="shared" si="23"/>
        <v/>
      </c>
      <c r="AB116" s="5"/>
      <c r="AC116" s="5"/>
      <c r="AE116" t="str">
        <f>IFERROR(INDEX(EqTag,_xlfn.AGGREGATE(15,6,(ROW(EqTag)-4)/((EqSys=$D$3)*(EqTag&lt;&gt;"")),ROWS($AE$14:AE116))),"")</f>
        <v/>
      </c>
    </row>
    <row r="117" spans="1:31" ht="30" customHeight="1" x14ac:dyDescent="0.2">
      <c r="A117" s="19" t="str">
        <f>IF(F117="","",LEFT($D$3,3)&amp;"-"&amp;TEXT(COUNTIF(F$14:F117,"?*"),"00"))</f>
        <v/>
      </c>
      <c r="B117" s="5"/>
      <c r="C117" s="6" t="str">
        <f t="shared" si="18"/>
        <v/>
      </c>
      <c r="D117" s="5"/>
      <c r="E117" s="5"/>
      <c r="F117" s="5"/>
      <c r="G117" s="5"/>
      <c r="H117" s="5"/>
      <c r="I117" s="5"/>
      <c r="J117" s="5"/>
      <c r="K117" s="15"/>
      <c r="L117" s="5"/>
      <c r="M117" s="15"/>
      <c r="N117" s="5"/>
      <c r="O117" s="15"/>
      <c r="P117" s="19" t="str">
        <f t="shared" si="19"/>
        <v/>
      </c>
      <c r="Q117" s="19" t="str">
        <f t="shared" si="20"/>
        <v/>
      </c>
      <c r="R117" s="19" t="str">
        <f t="shared" si="21"/>
        <v/>
      </c>
      <c r="S117" s="5"/>
      <c r="T117" s="5"/>
      <c r="U117" s="5"/>
      <c r="V117" s="24"/>
      <c r="W117" s="15"/>
      <c r="X117" s="15"/>
      <c r="Y117" s="15"/>
      <c r="Z117" s="19" t="str">
        <f t="shared" si="22"/>
        <v/>
      </c>
      <c r="AA117" s="19" t="str">
        <f t="shared" si="23"/>
        <v/>
      </c>
      <c r="AB117" s="5"/>
      <c r="AC117" s="5"/>
      <c r="AE117" t="str">
        <f>IFERROR(INDEX(EqTag,_xlfn.AGGREGATE(15,6,(ROW(EqTag)-4)/((EqSys=$D$3)*(EqTag&lt;&gt;"")),ROWS($AE$14:AE117))),"")</f>
        <v/>
      </c>
    </row>
    <row r="118" spans="1:31" ht="30" customHeight="1" x14ac:dyDescent="0.2">
      <c r="A118" s="19" t="str">
        <f>IF(F118="","",LEFT($D$3,3)&amp;"-"&amp;TEXT(COUNTIF(F$14:F118,"?*"),"00"))</f>
        <v/>
      </c>
      <c r="B118" s="5"/>
      <c r="C118" s="6" t="str">
        <f t="shared" si="18"/>
        <v/>
      </c>
      <c r="D118" s="5"/>
      <c r="E118" s="5"/>
      <c r="F118" s="5"/>
      <c r="G118" s="5"/>
      <c r="H118" s="5"/>
      <c r="I118" s="5"/>
      <c r="J118" s="5"/>
      <c r="K118" s="15"/>
      <c r="L118" s="5"/>
      <c r="M118" s="15"/>
      <c r="N118" s="5"/>
      <c r="O118" s="15"/>
      <c r="P118" s="19" t="str">
        <f t="shared" si="19"/>
        <v/>
      </c>
      <c r="Q118" s="19" t="str">
        <f t="shared" si="20"/>
        <v/>
      </c>
      <c r="R118" s="19" t="str">
        <f t="shared" si="21"/>
        <v/>
      </c>
      <c r="S118" s="5"/>
      <c r="T118" s="5"/>
      <c r="U118" s="5"/>
      <c r="V118" s="24"/>
      <c r="W118" s="15"/>
      <c r="X118" s="15"/>
      <c r="Y118" s="15"/>
      <c r="Z118" s="19" t="str">
        <f t="shared" si="22"/>
        <v/>
      </c>
      <c r="AA118" s="19" t="str">
        <f t="shared" si="23"/>
        <v/>
      </c>
      <c r="AB118" s="5"/>
      <c r="AC118" s="5"/>
      <c r="AE118" t="str">
        <f>IFERROR(INDEX(EqTag,_xlfn.AGGREGATE(15,6,(ROW(EqTag)-4)/((EqSys=$D$3)*(EqTag&lt;&gt;"")),ROWS($AE$14:AE118))),"")</f>
        <v/>
      </c>
    </row>
    <row r="119" spans="1:31" ht="30" customHeight="1" x14ac:dyDescent="0.2">
      <c r="A119" s="19" t="str">
        <f>IF(F119="","",LEFT($D$3,3)&amp;"-"&amp;TEXT(COUNTIF(F$14:F119,"?*"),"00"))</f>
        <v/>
      </c>
      <c r="B119" s="5"/>
      <c r="C119" s="6" t="str">
        <f t="shared" si="18"/>
        <v/>
      </c>
      <c r="D119" s="5"/>
      <c r="E119" s="5"/>
      <c r="F119" s="5"/>
      <c r="G119" s="5"/>
      <c r="H119" s="5"/>
      <c r="I119" s="5"/>
      <c r="J119" s="5"/>
      <c r="K119" s="15"/>
      <c r="L119" s="5"/>
      <c r="M119" s="15"/>
      <c r="N119" s="5"/>
      <c r="O119" s="15"/>
      <c r="P119" s="19" t="str">
        <f t="shared" si="19"/>
        <v/>
      </c>
      <c r="Q119" s="19" t="str">
        <f t="shared" si="20"/>
        <v/>
      </c>
      <c r="R119" s="19" t="str">
        <f t="shared" si="21"/>
        <v/>
      </c>
      <c r="S119" s="5"/>
      <c r="T119" s="5"/>
      <c r="U119" s="5"/>
      <c r="V119" s="24"/>
      <c r="W119" s="15"/>
      <c r="X119" s="15"/>
      <c r="Y119" s="15"/>
      <c r="Z119" s="19" t="str">
        <f t="shared" si="22"/>
        <v/>
      </c>
      <c r="AA119" s="19" t="str">
        <f t="shared" si="23"/>
        <v/>
      </c>
      <c r="AB119" s="5"/>
      <c r="AC119" s="5"/>
      <c r="AE119" t="str">
        <f>IFERROR(INDEX(EqTag,_xlfn.AGGREGATE(15,6,(ROW(EqTag)-4)/((EqSys=$D$3)*(EqTag&lt;&gt;"")),ROWS($AE$14:AE119))),"")</f>
        <v/>
      </c>
    </row>
    <row r="120" spans="1:31" ht="30" customHeight="1" x14ac:dyDescent="0.2">
      <c r="A120" s="19" t="str">
        <f>IF(F120="","",LEFT($D$3,3)&amp;"-"&amp;TEXT(COUNTIF(F$14:F120,"?*"),"00"))</f>
        <v/>
      </c>
      <c r="B120" s="5"/>
      <c r="C120" s="6" t="str">
        <f t="shared" si="18"/>
        <v/>
      </c>
      <c r="D120" s="5"/>
      <c r="E120" s="5"/>
      <c r="F120" s="5"/>
      <c r="G120" s="5"/>
      <c r="H120" s="5"/>
      <c r="I120" s="5"/>
      <c r="J120" s="5"/>
      <c r="K120" s="15"/>
      <c r="L120" s="5"/>
      <c r="M120" s="15"/>
      <c r="N120" s="5"/>
      <c r="O120" s="15"/>
      <c r="P120" s="19" t="str">
        <f t="shared" si="19"/>
        <v/>
      </c>
      <c r="Q120" s="19" t="str">
        <f t="shared" si="20"/>
        <v/>
      </c>
      <c r="R120" s="19" t="str">
        <f t="shared" si="21"/>
        <v/>
      </c>
      <c r="S120" s="5"/>
      <c r="T120" s="5"/>
      <c r="U120" s="5"/>
      <c r="V120" s="24"/>
      <c r="W120" s="15"/>
      <c r="X120" s="15"/>
      <c r="Y120" s="15"/>
      <c r="Z120" s="19" t="str">
        <f t="shared" si="22"/>
        <v/>
      </c>
      <c r="AA120" s="19" t="str">
        <f t="shared" si="23"/>
        <v/>
      </c>
      <c r="AB120" s="5"/>
      <c r="AC120" s="5"/>
      <c r="AE120" t="str">
        <f>IFERROR(INDEX(EqTag,_xlfn.AGGREGATE(15,6,(ROW(EqTag)-4)/((EqSys=$D$3)*(EqTag&lt;&gt;"")),ROWS($AE$14:AE120))),"")</f>
        <v/>
      </c>
    </row>
    <row r="121" spans="1:31" ht="30" customHeight="1" x14ac:dyDescent="0.2">
      <c r="A121" s="19" t="str">
        <f>IF(F121="","",LEFT($D$3,3)&amp;"-"&amp;TEXT(COUNTIF(F$14:F121,"?*"),"00"))</f>
        <v/>
      </c>
      <c r="B121" s="5"/>
      <c r="C121" s="6" t="str">
        <f t="shared" si="18"/>
        <v/>
      </c>
      <c r="D121" s="5"/>
      <c r="E121" s="5"/>
      <c r="F121" s="5"/>
      <c r="G121" s="5"/>
      <c r="H121" s="5"/>
      <c r="I121" s="5"/>
      <c r="J121" s="5"/>
      <c r="K121" s="15"/>
      <c r="L121" s="5"/>
      <c r="M121" s="15"/>
      <c r="N121" s="5"/>
      <c r="O121" s="15"/>
      <c r="P121" s="19" t="str">
        <f t="shared" si="19"/>
        <v/>
      </c>
      <c r="Q121" s="19" t="str">
        <f t="shared" si="20"/>
        <v/>
      </c>
      <c r="R121" s="19" t="str">
        <f t="shared" si="21"/>
        <v/>
      </c>
      <c r="S121" s="5"/>
      <c r="T121" s="5"/>
      <c r="U121" s="5"/>
      <c r="V121" s="24"/>
      <c r="W121" s="15"/>
      <c r="X121" s="15"/>
      <c r="Y121" s="15"/>
      <c r="Z121" s="19" t="str">
        <f t="shared" si="22"/>
        <v/>
      </c>
      <c r="AA121" s="19" t="str">
        <f t="shared" si="23"/>
        <v/>
      </c>
      <c r="AB121" s="5"/>
      <c r="AC121" s="5"/>
      <c r="AE121" t="str">
        <f>IFERROR(INDEX(EqTag,_xlfn.AGGREGATE(15,6,(ROW(EqTag)-4)/((EqSys=$D$3)*(EqTag&lt;&gt;"")),ROWS($AE$14:AE121))),"")</f>
        <v/>
      </c>
    </row>
    <row r="122" spans="1:31" ht="30" customHeight="1" x14ac:dyDescent="0.2">
      <c r="A122" s="19" t="str">
        <f>IF(F122="","",LEFT($D$3,3)&amp;"-"&amp;TEXT(COUNTIF(F$14:F122,"?*"),"00"))</f>
        <v/>
      </c>
      <c r="B122" s="5"/>
      <c r="C122" s="6" t="str">
        <f t="shared" si="18"/>
        <v/>
      </c>
      <c r="D122" s="5"/>
      <c r="E122" s="5"/>
      <c r="F122" s="5"/>
      <c r="G122" s="5"/>
      <c r="H122" s="5"/>
      <c r="I122" s="5"/>
      <c r="J122" s="5"/>
      <c r="K122" s="15"/>
      <c r="L122" s="5"/>
      <c r="M122" s="15"/>
      <c r="N122" s="5"/>
      <c r="O122" s="15"/>
      <c r="P122" s="19" t="str">
        <f t="shared" si="19"/>
        <v/>
      </c>
      <c r="Q122" s="19" t="str">
        <f t="shared" si="20"/>
        <v/>
      </c>
      <c r="R122" s="19" t="str">
        <f t="shared" si="21"/>
        <v/>
      </c>
      <c r="S122" s="5"/>
      <c r="T122" s="5"/>
      <c r="U122" s="5"/>
      <c r="V122" s="24"/>
      <c r="W122" s="15"/>
      <c r="X122" s="15"/>
      <c r="Y122" s="15"/>
      <c r="Z122" s="19" t="str">
        <f t="shared" si="22"/>
        <v/>
      </c>
      <c r="AA122" s="19" t="str">
        <f t="shared" si="23"/>
        <v/>
      </c>
      <c r="AB122" s="5"/>
      <c r="AC122" s="5"/>
      <c r="AE122" t="str">
        <f>IFERROR(INDEX(EqTag,_xlfn.AGGREGATE(15,6,(ROW(EqTag)-4)/((EqSys=$D$3)*(EqTag&lt;&gt;"")),ROWS($AE$14:AE122))),"")</f>
        <v/>
      </c>
    </row>
    <row r="123" spans="1:31" ht="30" customHeight="1" x14ac:dyDescent="0.2">
      <c r="A123" s="19" t="str">
        <f>IF(F123="","",LEFT($D$3,3)&amp;"-"&amp;TEXT(COUNTIF(F$14:F123,"?*"),"00"))</f>
        <v/>
      </c>
      <c r="B123" s="5"/>
      <c r="C123" s="6" t="str">
        <f t="shared" si="18"/>
        <v/>
      </c>
      <c r="D123" s="5"/>
      <c r="E123" s="5"/>
      <c r="F123" s="5"/>
      <c r="G123" s="5"/>
      <c r="H123" s="5"/>
      <c r="I123" s="5"/>
      <c r="J123" s="5"/>
      <c r="K123" s="15"/>
      <c r="L123" s="5"/>
      <c r="M123" s="15"/>
      <c r="N123" s="5"/>
      <c r="O123" s="15"/>
      <c r="P123" s="19" t="str">
        <f t="shared" si="19"/>
        <v/>
      </c>
      <c r="Q123" s="19" t="str">
        <f t="shared" si="20"/>
        <v/>
      </c>
      <c r="R123" s="19" t="str">
        <f t="shared" si="21"/>
        <v/>
      </c>
      <c r="S123" s="5"/>
      <c r="T123" s="5"/>
      <c r="U123" s="5"/>
      <c r="V123" s="24"/>
      <c r="W123" s="15"/>
      <c r="X123" s="15"/>
      <c r="Y123" s="15"/>
      <c r="Z123" s="19" t="str">
        <f t="shared" si="22"/>
        <v/>
      </c>
      <c r="AA123" s="19" t="str">
        <f t="shared" si="23"/>
        <v/>
      </c>
      <c r="AB123" s="5"/>
      <c r="AC123" s="5"/>
      <c r="AE123" t="str">
        <f>IFERROR(INDEX(EqTag,_xlfn.AGGREGATE(15,6,(ROW(EqTag)-4)/((EqSys=$D$3)*(EqTag&lt;&gt;"")),ROWS($AE$14:AE123))),"")</f>
        <v/>
      </c>
    </row>
    <row r="124" spans="1:31" ht="30" customHeight="1" x14ac:dyDescent="0.2">
      <c r="A124" s="19" t="str">
        <f>IF(F124="","",LEFT($D$3,3)&amp;"-"&amp;TEXT(COUNTIF(F$14:F124,"?*"),"00"))</f>
        <v/>
      </c>
      <c r="B124" s="5"/>
      <c r="C124" s="6" t="str">
        <f t="shared" si="18"/>
        <v/>
      </c>
      <c r="D124" s="5"/>
      <c r="E124" s="5"/>
      <c r="F124" s="5"/>
      <c r="G124" s="5"/>
      <c r="H124" s="5"/>
      <c r="I124" s="5"/>
      <c r="J124" s="5"/>
      <c r="K124" s="15"/>
      <c r="L124" s="5"/>
      <c r="M124" s="15"/>
      <c r="N124" s="5"/>
      <c r="O124" s="15"/>
      <c r="P124" s="19" t="str">
        <f t="shared" si="19"/>
        <v/>
      </c>
      <c r="Q124" s="19" t="str">
        <f t="shared" si="20"/>
        <v/>
      </c>
      <c r="R124" s="19" t="str">
        <f t="shared" si="21"/>
        <v/>
      </c>
      <c r="S124" s="5"/>
      <c r="T124" s="5"/>
      <c r="U124" s="5"/>
      <c r="V124" s="24"/>
      <c r="W124" s="15"/>
      <c r="X124" s="15"/>
      <c r="Y124" s="15"/>
      <c r="Z124" s="19" t="str">
        <f t="shared" si="22"/>
        <v/>
      </c>
      <c r="AA124" s="19" t="str">
        <f t="shared" si="23"/>
        <v/>
      </c>
      <c r="AB124" s="5"/>
      <c r="AC124" s="5"/>
      <c r="AE124" t="str">
        <f>IFERROR(INDEX(EqTag,_xlfn.AGGREGATE(15,6,(ROW(EqTag)-4)/((EqSys=$D$3)*(EqTag&lt;&gt;"")),ROWS($AE$14:AE124))),"")</f>
        <v/>
      </c>
    </row>
    <row r="125" spans="1:31" ht="30" customHeight="1" x14ac:dyDescent="0.2">
      <c r="A125" s="19" t="str">
        <f>IF(F125="","",LEFT($D$3,3)&amp;"-"&amp;TEXT(COUNTIF(F$14:F125,"?*"),"00"))</f>
        <v/>
      </c>
      <c r="B125" s="5"/>
      <c r="C125" s="6" t="str">
        <f t="shared" si="18"/>
        <v/>
      </c>
      <c r="D125" s="5"/>
      <c r="E125" s="5"/>
      <c r="F125" s="5"/>
      <c r="G125" s="5"/>
      <c r="H125" s="5"/>
      <c r="I125" s="5"/>
      <c r="J125" s="5"/>
      <c r="K125" s="15"/>
      <c r="L125" s="5"/>
      <c r="M125" s="15"/>
      <c r="N125" s="5"/>
      <c r="O125" s="15"/>
      <c r="P125" s="19" t="str">
        <f t="shared" si="19"/>
        <v/>
      </c>
      <c r="Q125" s="19" t="str">
        <f t="shared" si="20"/>
        <v/>
      </c>
      <c r="R125" s="19" t="str">
        <f t="shared" si="21"/>
        <v/>
      </c>
      <c r="S125" s="5"/>
      <c r="T125" s="5"/>
      <c r="U125" s="5"/>
      <c r="V125" s="24"/>
      <c r="W125" s="15"/>
      <c r="X125" s="15"/>
      <c r="Y125" s="15"/>
      <c r="Z125" s="19" t="str">
        <f t="shared" si="22"/>
        <v/>
      </c>
      <c r="AA125" s="19" t="str">
        <f t="shared" si="23"/>
        <v/>
      </c>
      <c r="AB125" s="5"/>
      <c r="AC125" s="5"/>
      <c r="AE125" t="str">
        <f>IFERROR(INDEX(EqTag,_xlfn.AGGREGATE(15,6,(ROW(EqTag)-4)/((EqSys=$D$3)*(EqTag&lt;&gt;"")),ROWS($AE$14:AE125))),"")</f>
        <v/>
      </c>
    </row>
    <row r="126" spans="1:31" ht="30" customHeight="1" x14ac:dyDescent="0.2">
      <c r="A126" s="19" t="str">
        <f>IF(F126="","",LEFT($D$3,3)&amp;"-"&amp;TEXT(COUNTIF(F$14:F126,"?*"),"00"))</f>
        <v/>
      </c>
      <c r="B126" s="5"/>
      <c r="C126" s="6" t="str">
        <f t="shared" si="18"/>
        <v/>
      </c>
      <c r="D126" s="5"/>
      <c r="E126" s="5"/>
      <c r="F126" s="5"/>
      <c r="G126" s="5"/>
      <c r="H126" s="5"/>
      <c r="I126" s="5"/>
      <c r="J126" s="5"/>
      <c r="K126" s="15"/>
      <c r="L126" s="5"/>
      <c r="M126" s="15"/>
      <c r="N126" s="5"/>
      <c r="O126" s="15"/>
      <c r="P126" s="19" t="str">
        <f t="shared" si="19"/>
        <v/>
      </c>
      <c r="Q126" s="19" t="str">
        <f t="shared" si="20"/>
        <v/>
      </c>
      <c r="R126" s="19" t="str">
        <f t="shared" si="21"/>
        <v/>
      </c>
      <c r="S126" s="5"/>
      <c r="T126" s="5"/>
      <c r="U126" s="5"/>
      <c r="V126" s="24"/>
      <c r="W126" s="15"/>
      <c r="X126" s="15"/>
      <c r="Y126" s="15"/>
      <c r="Z126" s="19" t="str">
        <f t="shared" si="22"/>
        <v/>
      </c>
      <c r="AA126" s="19" t="str">
        <f t="shared" si="23"/>
        <v/>
      </c>
      <c r="AB126" s="5"/>
      <c r="AC126" s="5"/>
      <c r="AE126" t="str">
        <f>IFERROR(INDEX(EqTag,_xlfn.AGGREGATE(15,6,(ROW(EqTag)-4)/((EqSys=$D$3)*(EqTag&lt;&gt;"")),ROWS($AE$14:AE126))),"")</f>
        <v/>
      </c>
    </row>
    <row r="127" spans="1:31" ht="30" customHeight="1" x14ac:dyDescent="0.2">
      <c r="A127" s="19" t="str">
        <f>IF(F127="","",LEFT($D$3,3)&amp;"-"&amp;TEXT(COUNTIF(F$14:F127,"?*"),"00"))</f>
        <v/>
      </c>
      <c r="B127" s="5"/>
      <c r="C127" s="6" t="str">
        <f t="shared" si="18"/>
        <v/>
      </c>
      <c r="D127" s="5"/>
      <c r="E127" s="5"/>
      <c r="F127" s="5"/>
      <c r="G127" s="5"/>
      <c r="H127" s="5"/>
      <c r="I127" s="5"/>
      <c r="J127" s="5"/>
      <c r="K127" s="15"/>
      <c r="L127" s="5"/>
      <c r="M127" s="15"/>
      <c r="N127" s="5"/>
      <c r="O127" s="15"/>
      <c r="P127" s="19" t="str">
        <f t="shared" si="19"/>
        <v/>
      </c>
      <c r="Q127" s="19" t="str">
        <f t="shared" si="20"/>
        <v/>
      </c>
      <c r="R127" s="19" t="str">
        <f t="shared" si="21"/>
        <v/>
      </c>
      <c r="S127" s="5"/>
      <c r="T127" s="5"/>
      <c r="U127" s="5"/>
      <c r="V127" s="24"/>
      <c r="W127" s="15"/>
      <c r="X127" s="15"/>
      <c r="Y127" s="15"/>
      <c r="Z127" s="19" t="str">
        <f t="shared" si="22"/>
        <v/>
      </c>
      <c r="AA127" s="19" t="str">
        <f t="shared" si="23"/>
        <v/>
      </c>
      <c r="AB127" s="5"/>
      <c r="AC127" s="5"/>
      <c r="AE127" t="str">
        <f>IFERROR(INDEX(EqTag,_xlfn.AGGREGATE(15,6,(ROW(EqTag)-4)/((EqSys=$D$3)*(EqTag&lt;&gt;"")),ROWS($AE$14:AE127))),"")</f>
        <v/>
      </c>
    </row>
    <row r="128" spans="1:31" ht="30" customHeight="1" x14ac:dyDescent="0.2">
      <c r="A128" s="19" t="str">
        <f>IF(F128="","",LEFT($D$3,3)&amp;"-"&amp;TEXT(COUNTIF(F$14:F128,"?*"),"00"))</f>
        <v/>
      </c>
      <c r="B128" s="5"/>
      <c r="C128" s="6" t="str">
        <f t="shared" si="18"/>
        <v/>
      </c>
      <c r="D128" s="5"/>
      <c r="E128" s="5"/>
      <c r="F128" s="5"/>
      <c r="G128" s="5"/>
      <c r="H128" s="5"/>
      <c r="I128" s="5"/>
      <c r="J128" s="5"/>
      <c r="K128" s="15"/>
      <c r="L128" s="5"/>
      <c r="M128" s="15"/>
      <c r="N128" s="5"/>
      <c r="O128" s="15"/>
      <c r="P128" s="19" t="str">
        <f t="shared" si="19"/>
        <v/>
      </c>
      <c r="Q128" s="19" t="str">
        <f t="shared" si="20"/>
        <v/>
      </c>
      <c r="R128" s="19" t="str">
        <f t="shared" si="21"/>
        <v/>
      </c>
      <c r="S128" s="5"/>
      <c r="T128" s="5"/>
      <c r="U128" s="5"/>
      <c r="V128" s="24"/>
      <c r="W128" s="15"/>
      <c r="X128" s="15"/>
      <c r="Y128" s="15"/>
      <c r="Z128" s="19" t="str">
        <f t="shared" si="22"/>
        <v/>
      </c>
      <c r="AA128" s="19" t="str">
        <f t="shared" si="23"/>
        <v/>
      </c>
      <c r="AB128" s="5"/>
      <c r="AC128" s="5"/>
      <c r="AE128" t="str">
        <f>IFERROR(INDEX(EqTag,_xlfn.AGGREGATE(15,6,(ROW(EqTag)-4)/((EqSys=$D$3)*(EqTag&lt;&gt;"")),ROWS($AE$14:AE128))),"")</f>
        <v/>
      </c>
    </row>
    <row r="129" spans="1:31" ht="30" customHeight="1" x14ac:dyDescent="0.2">
      <c r="A129" s="19" t="str">
        <f>IF(F129="","",LEFT($D$3,3)&amp;"-"&amp;TEXT(COUNTIF(F$14:F129,"?*"),"00"))</f>
        <v/>
      </c>
      <c r="B129" s="5"/>
      <c r="C129" s="6" t="str">
        <f t="shared" si="18"/>
        <v/>
      </c>
      <c r="D129" s="5"/>
      <c r="E129" s="5"/>
      <c r="F129" s="5"/>
      <c r="G129" s="5"/>
      <c r="H129" s="5"/>
      <c r="I129" s="5"/>
      <c r="J129" s="5"/>
      <c r="K129" s="15"/>
      <c r="L129" s="5"/>
      <c r="M129" s="15"/>
      <c r="N129" s="5"/>
      <c r="O129" s="15"/>
      <c r="P129" s="19" t="str">
        <f t="shared" si="19"/>
        <v/>
      </c>
      <c r="Q129" s="19" t="str">
        <f t="shared" si="20"/>
        <v/>
      </c>
      <c r="R129" s="19" t="str">
        <f t="shared" si="21"/>
        <v/>
      </c>
      <c r="S129" s="5"/>
      <c r="T129" s="5"/>
      <c r="U129" s="5"/>
      <c r="V129" s="24"/>
      <c r="W129" s="15"/>
      <c r="X129" s="15"/>
      <c r="Y129" s="15"/>
      <c r="Z129" s="19" t="str">
        <f t="shared" si="22"/>
        <v/>
      </c>
      <c r="AA129" s="19" t="str">
        <f t="shared" si="23"/>
        <v/>
      </c>
      <c r="AB129" s="5"/>
      <c r="AC129" s="5"/>
      <c r="AE129" t="str">
        <f>IFERROR(INDEX(EqTag,_xlfn.AGGREGATE(15,6,(ROW(EqTag)-4)/((EqSys=$D$3)*(EqTag&lt;&gt;"")),ROWS($AE$14:AE129))),"")</f>
        <v/>
      </c>
    </row>
    <row r="130" spans="1:31" ht="30" customHeight="1" x14ac:dyDescent="0.2">
      <c r="A130" s="19" t="str">
        <f>IF(F130="","",LEFT($D$3,3)&amp;"-"&amp;TEXT(COUNTIF(F$14:F130,"?*"),"00"))</f>
        <v/>
      </c>
      <c r="B130" s="5"/>
      <c r="C130" s="6" t="str">
        <f t="shared" si="18"/>
        <v/>
      </c>
      <c r="D130" s="5"/>
      <c r="E130" s="5"/>
      <c r="F130" s="5"/>
      <c r="G130" s="5"/>
      <c r="H130" s="5"/>
      <c r="I130" s="5"/>
      <c r="J130" s="5"/>
      <c r="K130" s="15"/>
      <c r="L130" s="5"/>
      <c r="M130" s="15"/>
      <c r="N130" s="5"/>
      <c r="O130" s="15"/>
      <c r="P130" s="19" t="str">
        <f t="shared" si="19"/>
        <v/>
      </c>
      <c r="Q130" s="19" t="str">
        <f t="shared" si="20"/>
        <v/>
      </c>
      <c r="R130" s="19" t="str">
        <f t="shared" si="21"/>
        <v/>
      </c>
      <c r="S130" s="5"/>
      <c r="T130" s="5"/>
      <c r="U130" s="5"/>
      <c r="V130" s="24"/>
      <c r="W130" s="15"/>
      <c r="X130" s="15"/>
      <c r="Y130" s="15"/>
      <c r="Z130" s="19" t="str">
        <f t="shared" si="22"/>
        <v/>
      </c>
      <c r="AA130" s="19" t="str">
        <f t="shared" si="23"/>
        <v/>
      </c>
      <c r="AB130" s="5"/>
      <c r="AC130" s="5"/>
      <c r="AE130" t="str">
        <f>IFERROR(INDEX(EqTag,_xlfn.AGGREGATE(15,6,(ROW(EqTag)-4)/((EqSys=$D$3)*(EqTag&lt;&gt;"")),ROWS($AE$14:AE130))),"")</f>
        <v/>
      </c>
    </row>
    <row r="131" spans="1:31" ht="30" customHeight="1" x14ac:dyDescent="0.2">
      <c r="A131" s="19" t="str">
        <f>IF(F131="","",LEFT($D$3,3)&amp;"-"&amp;TEXT(COUNTIF(F$14:F131,"?*"),"00"))</f>
        <v/>
      </c>
      <c r="B131" s="5"/>
      <c r="C131" s="6" t="str">
        <f t="shared" si="18"/>
        <v/>
      </c>
      <c r="D131" s="5"/>
      <c r="E131" s="5"/>
      <c r="F131" s="5"/>
      <c r="G131" s="5"/>
      <c r="H131" s="5"/>
      <c r="I131" s="5"/>
      <c r="J131" s="5"/>
      <c r="K131" s="15"/>
      <c r="L131" s="5"/>
      <c r="M131" s="15"/>
      <c r="N131" s="5"/>
      <c r="O131" s="15"/>
      <c r="P131" s="19" t="str">
        <f t="shared" si="19"/>
        <v/>
      </c>
      <c r="Q131" s="19" t="str">
        <f t="shared" si="20"/>
        <v/>
      </c>
      <c r="R131" s="19" t="str">
        <f t="shared" si="21"/>
        <v/>
      </c>
      <c r="S131" s="5"/>
      <c r="T131" s="5"/>
      <c r="U131" s="5"/>
      <c r="V131" s="24"/>
      <c r="W131" s="15"/>
      <c r="X131" s="15"/>
      <c r="Y131" s="15"/>
      <c r="Z131" s="19" t="str">
        <f t="shared" si="22"/>
        <v/>
      </c>
      <c r="AA131" s="19" t="str">
        <f t="shared" si="23"/>
        <v/>
      </c>
      <c r="AB131" s="5"/>
      <c r="AC131" s="5"/>
      <c r="AE131" t="str">
        <f>IFERROR(INDEX(EqTag,_xlfn.AGGREGATE(15,6,(ROW(EqTag)-4)/((EqSys=$D$3)*(EqTag&lt;&gt;"")),ROWS($AE$14:AE131))),"")</f>
        <v/>
      </c>
    </row>
    <row r="132" spans="1:31" ht="30" customHeight="1" x14ac:dyDescent="0.2">
      <c r="A132" s="19" t="str">
        <f>IF(F132="","",LEFT($D$3,3)&amp;"-"&amp;TEXT(COUNTIF(F$14:F132,"?*"),"00"))</f>
        <v/>
      </c>
      <c r="B132" s="5"/>
      <c r="C132" s="6" t="str">
        <f t="shared" si="18"/>
        <v/>
      </c>
      <c r="D132" s="5"/>
      <c r="E132" s="5"/>
      <c r="F132" s="5"/>
      <c r="G132" s="5"/>
      <c r="H132" s="5"/>
      <c r="I132" s="5"/>
      <c r="J132" s="5"/>
      <c r="K132" s="15"/>
      <c r="L132" s="5"/>
      <c r="M132" s="15"/>
      <c r="N132" s="5"/>
      <c r="O132" s="15"/>
      <c r="P132" s="19" t="str">
        <f t="shared" si="19"/>
        <v/>
      </c>
      <c r="Q132" s="19" t="str">
        <f t="shared" si="20"/>
        <v/>
      </c>
      <c r="R132" s="19" t="str">
        <f t="shared" si="21"/>
        <v/>
      </c>
      <c r="S132" s="5"/>
      <c r="T132" s="5"/>
      <c r="U132" s="5"/>
      <c r="V132" s="24"/>
      <c r="W132" s="15"/>
      <c r="X132" s="15"/>
      <c r="Y132" s="15"/>
      <c r="Z132" s="19" t="str">
        <f t="shared" si="22"/>
        <v/>
      </c>
      <c r="AA132" s="19" t="str">
        <f t="shared" si="23"/>
        <v/>
      </c>
      <c r="AB132" s="5"/>
      <c r="AC132" s="5"/>
      <c r="AE132" t="str">
        <f>IFERROR(INDEX(EqTag,_xlfn.AGGREGATE(15,6,(ROW(EqTag)-4)/((EqSys=$D$3)*(EqTag&lt;&gt;"")),ROWS($AE$14:AE132))),"")</f>
        <v/>
      </c>
    </row>
    <row r="133" spans="1:31" ht="30" customHeight="1" x14ac:dyDescent="0.2">
      <c r="A133" s="19" t="str">
        <f>IF(F133="","",LEFT($D$3,3)&amp;"-"&amp;TEXT(COUNTIF(F$14:F133,"?*"),"00"))</f>
        <v/>
      </c>
      <c r="B133" s="5"/>
      <c r="C133" s="6" t="str">
        <f t="shared" si="18"/>
        <v/>
      </c>
      <c r="D133" s="5"/>
      <c r="E133" s="5"/>
      <c r="F133" s="5"/>
      <c r="G133" s="5"/>
      <c r="H133" s="5"/>
      <c r="I133" s="5"/>
      <c r="J133" s="5"/>
      <c r="K133" s="15"/>
      <c r="L133" s="5"/>
      <c r="M133" s="15"/>
      <c r="N133" s="5"/>
      <c r="O133" s="15"/>
      <c r="P133" s="19" t="str">
        <f t="shared" si="19"/>
        <v/>
      </c>
      <c r="Q133" s="19" t="str">
        <f t="shared" si="20"/>
        <v/>
      </c>
      <c r="R133" s="19" t="str">
        <f t="shared" si="21"/>
        <v/>
      </c>
      <c r="S133" s="5"/>
      <c r="T133" s="5"/>
      <c r="U133" s="5"/>
      <c r="V133" s="24"/>
      <c r="W133" s="15"/>
      <c r="X133" s="15"/>
      <c r="Y133" s="15"/>
      <c r="Z133" s="19" t="str">
        <f t="shared" si="22"/>
        <v/>
      </c>
      <c r="AA133" s="19" t="str">
        <f t="shared" si="23"/>
        <v/>
      </c>
      <c r="AB133" s="5"/>
      <c r="AC133" s="5"/>
      <c r="AE133" t="str">
        <f>IFERROR(INDEX(EqTag,_xlfn.AGGREGATE(15,6,(ROW(EqTag)-4)/((EqSys=$D$3)*(EqTag&lt;&gt;"")),ROWS($AE$14:AE133))),"")</f>
        <v/>
      </c>
    </row>
    <row r="134" spans="1:31" ht="30" customHeight="1" x14ac:dyDescent="0.2">
      <c r="A134" s="19" t="str">
        <f>IF(F134="","",LEFT($D$3,3)&amp;"-"&amp;TEXT(COUNTIF(F$14:F134,"?*"),"00"))</f>
        <v/>
      </c>
      <c r="B134" s="5"/>
      <c r="C134" s="6" t="str">
        <f t="shared" si="18"/>
        <v/>
      </c>
      <c r="D134" s="5"/>
      <c r="E134" s="5"/>
      <c r="F134" s="5"/>
      <c r="G134" s="5"/>
      <c r="H134" s="5"/>
      <c r="I134" s="5"/>
      <c r="J134" s="5"/>
      <c r="K134" s="15"/>
      <c r="L134" s="5"/>
      <c r="M134" s="15"/>
      <c r="N134" s="5"/>
      <c r="O134" s="15"/>
      <c r="P134" s="19" t="str">
        <f t="shared" si="19"/>
        <v/>
      </c>
      <c r="Q134" s="19" t="str">
        <f t="shared" si="20"/>
        <v/>
      </c>
      <c r="R134" s="19" t="str">
        <f t="shared" si="21"/>
        <v/>
      </c>
      <c r="S134" s="5"/>
      <c r="T134" s="5"/>
      <c r="U134" s="5"/>
      <c r="V134" s="24"/>
      <c r="W134" s="15"/>
      <c r="X134" s="15"/>
      <c r="Y134" s="15"/>
      <c r="Z134" s="19" t="str">
        <f t="shared" si="22"/>
        <v/>
      </c>
      <c r="AA134" s="19" t="str">
        <f t="shared" si="23"/>
        <v/>
      </c>
      <c r="AB134" s="5"/>
      <c r="AC134" s="5"/>
      <c r="AE134" t="str">
        <f>IFERROR(INDEX(EqTag,_xlfn.AGGREGATE(15,6,(ROW(EqTag)-4)/((EqSys=$D$3)*(EqTag&lt;&gt;"")),ROWS($AE$14:AE134))),"")</f>
        <v/>
      </c>
    </row>
    <row r="135" spans="1:31" ht="30" customHeight="1" x14ac:dyDescent="0.2">
      <c r="A135" s="19" t="str">
        <f>IF(F135="","",LEFT($D$3,3)&amp;"-"&amp;TEXT(COUNTIF(F$14:F135,"?*"),"00"))</f>
        <v/>
      </c>
      <c r="B135" s="5"/>
      <c r="C135" s="6" t="str">
        <f t="shared" si="18"/>
        <v/>
      </c>
      <c r="D135" s="5"/>
      <c r="E135" s="5"/>
      <c r="F135" s="5"/>
      <c r="G135" s="5"/>
      <c r="H135" s="5"/>
      <c r="I135" s="5"/>
      <c r="J135" s="5"/>
      <c r="K135" s="15"/>
      <c r="L135" s="5"/>
      <c r="M135" s="15"/>
      <c r="N135" s="5"/>
      <c r="O135" s="15"/>
      <c r="P135" s="19" t="str">
        <f t="shared" si="19"/>
        <v/>
      </c>
      <c r="Q135" s="19" t="str">
        <f t="shared" si="20"/>
        <v/>
      </c>
      <c r="R135" s="19" t="str">
        <f t="shared" si="21"/>
        <v/>
      </c>
      <c r="S135" s="5"/>
      <c r="T135" s="5"/>
      <c r="U135" s="5"/>
      <c r="V135" s="24"/>
      <c r="W135" s="15"/>
      <c r="X135" s="15"/>
      <c r="Y135" s="15"/>
      <c r="Z135" s="19" t="str">
        <f t="shared" si="22"/>
        <v/>
      </c>
      <c r="AA135" s="19" t="str">
        <f t="shared" si="23"/>
        <v/>
      </c>
      <c r="AB135" s="5"/>
      <c r="AC135" s="5"/>
      <c r="AE135" t="str">
        <f>IFERROR(INDEX(EqTag,_xlfn.AGGREGATE(15,6,(ROW(EqTag)-4)/((EqSys=$D$3)*(EqTag&lt;&gt;"")),ROWS($AE$14:AE135))),"")</f>
        <v/>
      </c>
    </row>
    <row r="136" spans="1:31" ht="30" customHeight="1" x14ac:dyDescent="0.2">
      <c r="A136" s="19" t="str">
        <f>IF(F136="","",LEFT($D$3,3)&amp;"-"&amp;TEXT(COUNTIF(F$14:F136,"?*"),"00"))</f>
        <v/>
      </c>
      <c r="B136" s="5"/>
      <c r="C136" s="6" t="str">
        <f t="shared" si="18"/>
        <v/>
      </c>
      <c r="D136" s="5"/>
      <c r="E136" s="5"/>
      <c r="F136" s="5"/>
      <c r="G136" s="5"/>
      <c r="H136" s="5"/>
      <c r="I136" s="5"/>
      <c r="J136" s="5"/>
      <c r="K136" s="15"/>
      <c r="L136" s="5"/>
      <c r="M136" s="15"/>
      <c r="N136" s="5"/>
      <c r="O136" s="15"/>
      <c r="P136" s="19" t="str">
        <f t="shared" si="19"/>
        <v/>
      </c>
      <c r="Q136" s="19" t="str">
        <f t="shared" si="20"/>
        <v/>
      </c>
      <c r="R136" s="19" t="str">
        <f t="shared" si="21"/>
        <v/>
      </c>
      <c r="S136" s="5"/>
      <c r="T136" s="5"/>
      <c r="U136" s="5"/>
      <c r="V136" s="24"/>
      <c r="W136" s="15"/>
      <c r="X136" s="15"/>
      <c r="Y136" s="15"/>
      <c r="Z136" s="19" t="str">
        <f t="shared" si="22"/>
        <v/>
      </c>
      <c r="AA136" s="19" t="str">
        <f t="shared" si="23"/>
        <v/>
      </c>
      <c r="AB136" s="5"/>
      <c r="AC136" s="5"/>
      <c r="AE136" t="str">
        <f>IFERROR(INDEX(EqTag,_xlfn.AGGREGATE(15,6,(ROW(EqTag)-4)/((EqSys=$D$3)*(EqTag&lt;&gt;"")),ROWS($AE$14:AE136))),"")</f>
        <v/>
      </c>
    </row>
    <row r="137" spans="1:31" ht="30" customHeight="1" x14ac:dyDescent="0.2">
      <c r="A137" s="19" t="str">
        <f>IF(F137="","",LEFT($D$3,3)&amp;"-"&amp;TEXT(COUNTIF(F$14:F137,"?*"),"00"))</f>
        <v/>
      </c>
      <c r="B137" s="5"/>
      <c r="C137" s="6" t="str">
        <f t="shared" si="18"/>
        <v/>
      </c>
      <c r="D137" s="5"/>
      <c r="E137" s="5"/>
      <c r="F137" s="5"/>
      <c r="G137" s="5"/>
      <c r="H137" s="5"/>
      <c r="I137" s="5"/>
      <c r="J137" s="5"/>
      <c r="K137" s="15"/>
      <c r="L137" s="5"/>
      <c r="M137" s="15"/>
      <c r="N137" s="5"/>
      <c r="O137" s="15"/>
      <c r="P137" s="19" t="str">
        <f t="shared" si="19"/>
        <v/>
      </c>
      <c r="Q137" s="19" t="str">
        <f t="shared" si="20"/>
        <v/>
      </c>
      <c r="R137" s="19" t="str">
        <f t="shared" si="21"/>
        <v/>
      </c>
      <c r="S137" s="5"/>
      <c r="T137" s="5"/>
      <c r="U137" s="5"/>
      <c r="V137" s="24"/>
      <c r="W137" s="15"/>
      <c r="X137" s="15"/>
      <c r="Y137" s="15"/>
      <c r="Z137" s="19" t="str">
        <f t="shared" si="22"/>
        <v/>
      </c>
      <c r="AA137" s="19" t="str">
        <f t="shared" si="23"/>
        <v/>
      </c>
      <c r="AB137" s="5"/>
      <c r="AC137" s="5"/>
      <c r="AE137" t="str">
        <f>IFERROR(INDEX(EqTag,_xlfn.AGGREGATE(15,6,(ROW(EqTag)-4)/((EqSys=$D$3)*(EqTag&lt;&gt;"")),ROWS($AE$14:AE137))),"")</f>
        <v/>
      </c>
    </row>
    <row r="138" spans="1:31" ht="30" customHeight="1" x14ac:dyDescent="0.2">
      <c r="A138" s="19" t="str">
        <f>IF(F138="","",LEFT($D$3,3)&amp;"-"&amp;TEXT(COUNTIF(F$14:F138,"?*"),"00"))</f>
        <v/>
      </c>
      <c r="B138" s="5"/>
      <c r="C138" s="6" t="str">
        <f t="shared" si="18"/>
        <v/>
      </c>
      <c r="D138" s="5"/>
      <c r="E138" s="5"/>
      <c r="F138" s="5"/>
      <c r="G138" s="5"/>
      <c r="H138" s="5"/>
      <c r="I138" s="5"/>
      <c r="J138" s="5"/>
      <c r="K138" s="15"/>
      <c r="L138" s="5"/>
      <c r="M138" s="15"/>
      <c r="N138" s="5"/>
      <c r="O138" s="15"/>
      <c r="P138" s="19" t="str">
        <f t="shared" si="19"/>
        <v/>
      </c>
      <c r="Q138" s="19" t="str">
        <f t="shared" si="20"/>
        <v/>
      </c>
      <c r="R138" s="19" t="str">
        <f t="shared" si="21"/>
        <v/>
      </c>
      <c r="S138" s="5"/>
      <c r="T138" s="5"/>
      <c r="U138" s="5"/>
      <c r="V138" s="24"/>
      <c r="W138" s="15"/>
      <c r="X138" s="15"/>
      <c r="Y138" s="15"/>
      <c r="Z138" s="19" t="str">
        <f t="shared" si="22"/>
        <v/>
      </c>
      <c r="AA138" s="19" t="str">
        <f t="shared" si="23"/>
        <v/>
      </c>
      <c r="AB138" s="5"/>
      <c r="AC138" s="5"/>
      <c r="AE138" t="str">
        <f>IFERROR(INDEX(EqTag,_xlfn.AGGREGATE(15,6,(ROW(EqTag)-4)/((EqSys=$D$3)*(EqTag&lt;&gt;"")),ROWS($AE$14:AE138))),"")</f>
        <v/>
      </c>
    </row>
    <row r="139" spans="1:31" ht="30" customHeight="1" x14ac:dyDescent="0.2">
      <c r="A139" s="19" t="str">
        <f>IF(F139="","",LEFT($D$3,3)&amp;"-"&amp;TEXT(COUNTIF(F$14:F139,"?*"),"00"))</f>
        <v/>
      </c>
      <c r="B139" s="5"/>
      <c r="C139" s="6" t="str">
        <f t="shared" si="18"/>
        <v/>
      </c>
      <c r="D139" s="5"/>
      <c r="E139" s="5"/>
      <c r="F139" s="5"/>
      <c r="G139" s="5"/>
      <c r="H139" s="5"/>
      <c r="I139" s="5"/>
      <c r="J139" s="5"/>
      <c r="K139" s="15"/>
      <c r="L139" s="5"/>
      <c r="M139" s="15"/>
      <c r="N139" s="5"/>
      <c r="O139" s="15"/>
      <c r="P139" s="19" t="str">
        <f t="shared" si="19"/>
        <v/>
      </c>
      <c r="Q139" s="19" t="str">
        <f t="shared" si="20"/>
        <v/>
      </c>
      <c r="R139" s="19" t="str">
        <f t="shared" si="21"/>
        <v/>
      </c>
      <c r="S139" s="5"/>
      <c r="T139" s="5"/>
      <c r="U139" s="5"/>
      <c r="V139" s="24"/>
      <c r="W139" s="15"/>
      <c r="X139" s="15"/>
      <c r="Y139" s="15"/>
      <c r="Z139" s="19" t="str">
        <f t="shared" si="22"/>
        <v/>
      </c>
      <c r="AA139" s="19" t="str">
        <f t="shared" si="23"/>
        <v/>
      </c>
      <c r="AB139" s="5"/>
      <c r="AC139" s="5"/>
      <c r="AE139" t="str">
        <f>IFERROR(INDEX(EqTag,_xlfn.AGGREGATE(15,6,(ROW(EqTag)-4)/((EqSys=$D$3)*(EqTag&lt;&gt;"")),ROWS($AE$14:AE139))),"")</f>
        <v/>
      </c>
    </row>
    <row r="140" spans="1:31" ht="30" customHeight="1" x14ac:dyDescent="0.2">
      <c r="A140" s="19" t="str">
        <f>IF(F140="","",LEFT($D$3,3)&amp;"-"&amp;TEXT(COUNTIF(F$14:F140,"?*"),"00"))</f>
        <v/>
      </c>
      <c r="B140" s="5"/>
      <c r="C140" s="6" t="str">
        <f t="shared" si="18"/>
        <v/>
      </c>
      <c r="D140" s="5"/>
      <c r="E140" s="5"/>
      <c r="F140" s="5"/>
      <c r="G140" s="5"/>
      <c r="H140" s="5"/>
      <c r="I140" s="5"/>
      <c r="J140" s="5"/>
      <c r="K140" s="15"/>
      <c r="L140" s="5"/>
      <c r="M140" s="15"/>
      <c r="N140" s="5"/>
      <c r="O140" s="15"/>
      <c r="P140" s="19" t="str">
        <f t="shared" si="19"/>
        <v/>
      </c>
      <c r="Q140" s="19" t="str">
        <f t="shared" si="20"/>
        <v/>
      </c>
      <c r="R140" s="19" t="str">
        <f t="shared" si="21"/>
        <v/>
      </c>
      <c r="S140" s="5"/>
      <c r="T140" s="5"/>
      <c r="U140" s="5"/>
      <c r="V140" s="24"/>
      <c r="W140" s="15"/>
      <c r="X140" s="15"/>
      <c r="Y140" s="15"/>
      <c r="Z140" s="19" t="str">
        <f t="shared" si="22"/>
        <v/>
      </c>
      <c r="AA140" s="19" t="str">
        <f t="shared" si="23"/>
        <v/>
      </c>
      <c r="AB140" s="5"/>
      <c r="AC140" s="5"/>
      <c r="AE140" t="str">
        <f>IFERROR(INDEX(EqTag,_xlfn.AGGREGATE(15,6,(ROW(EqTag)-4)/((EqSys=$D$3)*(EqTag&lt;&gt;"")),ROWS($AE$14:AE140))),"")</f>
        <v/>
      </c>
    </row>
    <row r="141" spans="1:31" ht="30" customHeight="1" x14ac:dyDescent="0.2">
      <c r="A141" s="19" t="str">
        <f>IF(F141="","",LEFT($D$3,3)&amp;"-"&amp;TEXT(COUNTIF(F$14:F141,"?*"),"00"))</f>
        <v/>
      </c>
      <c r="B141" s="5"/>
      <c r="C141" s="6" t="str">
        <f t="shared" si="18"/>
        <v/>
      </c>
      <c r="D141" s="5"/>
      <c r="E141" s="5"/>
      <c r="F141" s="5"/>
      <c r="G141" s="5"/>
      <c r="H141" s="5"/>
      <c r="I141" s="5"/>
      <c r="J141" s="5"/>
      <c r="K141" s="15"/>
      <c r="L141" s="5"/>
      <c r="M141" s="15"/>
      <c r="N141" s="5"/>
      <c r="O141" s="15"/>
      <c r="P141" s="19" t="str">
        <f t="shared" si="19"/>
        <v/>
      </c>
      <c r="Q141" s="19" t="str">
        <f t="shared" si="20"/>
        <v/>
      </c>
      <c r="R141" s="19" t="str">
        <f t="shared" si="21"/>
        <v/>
      </c>
      <c r="S141" s="5"/>
      <c r="T141" s="5"/>
      <c r="U141" s="5"/>
      <c r="V141" s="24"/>
      <c r="W141" s="15"/>
      <c r="X141" s="15"/>
      <c r="Y141" s="15"/>
      <c r="Z141" s="19" t="str">
        <f t="shared" si="22"/>
        <v/>
      </c>
      <c r="AA141" s="19" t="str">
        <f t="shared" si="23"/>
        <v/>
      </c>
      <c r="AB141" s="5"/>
      <c r="AC141" s="5"/>
      <c r="AE141" t="str">
        <f>IFERROR(INDEX(EqTag,_xlfn.AGGREGATE(15,6,(ROW(EqTag)-4)/((EqSys=$D$3)*(EqTag&lt;&gt;"")),ROWS($AE$14:AE141))),"")</f>
        <v/>
      </c>
    </row>
    <row r="142" spans="1:31" ht="30" customHeight="1" x14ac:dyDescent="0.2">
      <c r="A142" s="19" t="str">
        <f>IF(F142="","",LEFT($D$3,3)&amp;"-"&amp;TEXT(COUNTIF(F$14:F142,"?*"),"00"))</f>
        <v/>
      </c>
      <c r="B142" s="5"/>
      <c r="C142" s="6" t="str">
        <f t="shared" ref="C142:C163" si="24">IF(B142="","",IFERROR(INDEX(EqTypeCol,MATCH(B142,EqTag,0)),"Tag not in register"))</f>
        <v/>
      </c>
      <c r="D142" s="5"/>
      <c r="E142" s="5"/>
      <c r="F142" s="5"/>
      <c r="G142" s="5"/>
      <c r="H142" s="5"/>
      <c r="I142" s="5"/>
      <c r="J142" s="5"/>
      <c r="K142" s="15"/>
      <c r="L142" s="5"/>
      <c r="M142" s="15"/>
      <c r="N142" s="5"/>
      <c r="O142" s="15"/>
      <c r="P142" s="19" t="str">
        <f t="shared" ref="P142:P163" si="25">IF(OR(K142="",M142="",O142=""),"",(--TRIM(LEFT(K142,2)))*(--TRIM(LEFT(M142,2)))*(--TRIM(LEFT(O142,2))))</f>
        <v/>
      </c>
      <c r="Q142" s="19" t="str">
        <f t="shared" ref="Q142:Q163" si="26">IF(OR(K142="",M142="",O142=""),"",INDEX(APGrid,COUNTIF(APS,"&gt;"&amp;(--TRIM(LEFT(K142,2))))*5+COUNTIF(APO,"&gt;"&amp;(--TRIM(LEFT(M142,2))))+1,COUNTIF(APD,"&gt;"&amp;(--TRIM(LEFT(O142,2))))+1))</f>
        <v/>
      </c>
      <c r="R142" s="19" t="str">
        <f t="shared" ref="R142:R163" si="27">IF(P142="","",IF(OR((--TRIM(LEFT(K142,2)))&gt;=SThr,P142&gt;=RPNThr,Q142="H"),"Yes","No"))</f>
        <v/>
      </c>
      <c r="S142" s="5"/>
      <c r="T142" s="5"/>
      <c r="U142" s="5"/>
      <c r="V142" s="24"/>
      <c r="W142" s="15"/>
      <c r="X142" s="15"/>
      <c r="Y142" s="15"/>
      <c r="Z142" s="19" t="str">
        <f t="shared" ref="Z142:Z163" si="28">IF(OR(W142="",X142="",Y142=""),"",(--TRIM(LEFT(W142,2)))*(--TRIM(LEFT(X142,2)))*(--TRIM(LEFT(Y142,2))))</f>
        <v/>
      </c>
      <c r="AA142" s="19" t="str">
        <f t="shared" ref="AA142:AA163" si="29">IF(OR(W142="",X142="",Y142=""),"",INDEX(APGrid,COUNTIF(APS,"&gt;"&amp;(--TRIM(LEFT(W142,2))))*5+COUNTIF(APO,"&gt;"&amp;(--TRIM(LEFT(X142,2))))+1,COUNTIF(APD,"&gt;"&amp;(--TRIM(LEFT(Y142,2))))+1))</f>
        <v/>
      </c>
      <c r="AB142" s="5"/>
      <c r="AC142" s="5"/>
      <c r="AE142" t="str">
        <f>IFERROR(INDEX(EqTag,_xlfn.AGGREGATE(15,6,(ROW(EqTag)-4)/((EqSys=$D$3)*(EqTag&lt;&gt;"")),ROWS($AE$14:AE142))),"")</f>
        <v/>
      </c>
    </row>
    <row r="143" spans="1:31" ht="30" customHeight="1" x14ac:dyDescent="0.2">
      <c r="A143" s="19" t="str">
        <f>IF(F143="","",LEFT($D$3,3)&amp;"-"&amp;TEXT(COUNTIF(F$14:F143,"?*"),"00"))</f>
        <v/>
      </c>
      <c r="B143" s="5"/>
      <c r="C143" s="6" t="str">
        <f t="shared" si="24"/>
        <v/>
      </c>
      <c r="D143" s="5"/>
      <c r="E143" s="5"/>
      <c r="F143" s="5"/>
      <c r="G143" s="5"/>
      <c r="H143" s="5"/>
      <c r="I143" s="5"/>
      <c r="J143" s="5"/>
      <c r="K143" s="15"/>
      <c r="L143" s="5"/>
      <c r="M143" s="15"/>
      <c r="N143" s="5"/>
      <c r="O143" s="15"/>
      <c r="P143" s="19" t="str">
        <f t="shared" si="25"/>
        <v/>
      </c>
      <c r="Q143" s="19" t="str">
        <f t="shared" si="26"/>
        <v/>
      </c>
      <c r="R143" s="19" t="str">
        <f t="shared" si="27"/>
        <v/>
      </c>
      <c r="S143" s="5"/>
      <c r="T143" s="5"/>
      <c r="U143" s="5"/>
      <c r="V143" s="24"/>
      <c r="W143" s="15"/>
      <c r="X143" s="15"/>
      <c r="Y143" s="15"/>
      <c r="Z143" s="19" t="str">
        <f t="shared" si="28"/>
        <v/>
      </c>
      <c r="AA143" s="19" t="str">
        <f t="shared" si="29"/>
        <v/>
      </c>
      <c r="AB143" s="5"/>
      <c r="AC143" s="5"/>
      <c r="AE143" t="str">
        <f>IFERROR(INDEX(EqTag,_xlfn.AGGREGATE(15,6,(ROW(EqTag)-4)/((EqSys=$D$3)*(EqTag&lt;&gt;"")),ROWS($AE$14:AE143))),"")</f>
        <v/>
      </c>
    </row>
    <row r="144" spans="1:31" ht="30" customHeight="1" x14ac:dyDescent="0.2">
      <c r="A144" s="19" t="str">
        <f>IF(F144="","",LEFT($D$3,3)&amp;"-"&amp;TEXT(COUNTIF(F$14:F144,"?*"),"00"))</f>
        <v/>
      </c>
      <c r="B144" s="5"/>
      <c r="C144" s="6" t="str">
        <f t="shared" si="24"/>
        <v/>
      </c>
      <c r="D144" s="5"/>
      <c r="E144" s="5"/>
      <c r="F144" s="5"/>
      <c r="G144" s="5"/>
      <c r="H144" s="5"/>
      <c r="I144" s="5"/>
      <c r="J144" s="5"/>
      <c r="K144" s="15"/>
      <c r="L144" s="5"/>
      <c r="M144" s="15"/>
      <c r="N144" s="5"/>
      <c r="O144" s="15"/>
      <c r="P144" s="19" t="str">
        <f t="shared" si="25"/>
        <v/>
      </c>
      <c r="Q144" s="19" t="str">
        <f t="shared" si="26"/>
        <v/>
      </c>
      <c r="R144" s="19" t="str">
        <f t="shared" si="27"/>
        <v/>
      </c>
      <c r="S144" s="5"/>
      <c r="T144" s="5"/>
      <c r="U144" s="5"/>
      <c r="V144" s="24"/>
      <c r="W144" s="15"/>
      <c r="X144" s="15"/>
      <c r="Y144" s="15"/>
      <c r="Z144" s="19" t="str">
        <f t="shared" si="28"/>
        <v/>
      </c>
      <c r="AA144" s="19" t="str">
        <f t="shared" si="29"/>
        <v/>
      </c>
      <c r="AB144" s="5"/>
      <c r="AC144" s="5"/>
      <c r="AE144" t="str">
        <f>IFERROR(INDEX(EqTag,_xlfn.AGGREGATE(15,6,(ROW(EqTag)-4)/((EqSys=$D$3)*(EqTag&lt;&gt;"")),ROWS($AE$14:AE144))),"")</f>
        <v/>
      </c>
    </row>
    <row r="145" spans="1:31" ht="30" customHeight="1" x14ac:dyDescent="0.2">
      <c r="A145" s="19" t="str">
        <f>IF(F145="","",LEFT($D$3,3)&amp;"-"&amp;TEXT(COUNTIF(F$14:F145,"?*"),"00"))</f>
        <v/>
      </c>
      <c r="B145" s="5"/>
      <c r="C145" s="6" t="str">
        <f t="shared" si="24"/>
        <v/>
      </c>
      <c r="D145" s="5"/>
      <c r="E145" s="5"/>
      <c r="F145" s="5"/>
      <c r="G145" s="5"/>
      <c r="H145" s="5"/>
      <c r="I145" s="5"/>
      <c r="J145" s="5"/>
      <c r="K145" s="15"/>
      <c r="L145" s="5"/>
      <c r="M145" s="15"/>
      <c r="N145" s="5"/>
      <c r="O145" s="15"/>
      <c r="P145" s="19" t="str">
        <f t="shared" si="25"/>
        <v/>
      </c>
      <c r="Q145" s="19" t="str">
        <f t="shared" si="26"/>
        <v/>
      </c>
      <c r="R145" s="19" t="str">
        <f t="shared" si="27"/>
        <v/>
      </c>
      <c r="S145" s="5"/>
      <c r="T145" s="5"/>
      <c r="U145" s="5"/>
      <c r="V145" s="24"/>
      <c r="W145" s="15"/>
      <c r="X145" s="15"/>
      <c r="Y145" s="15"/>
      <c r="Z145" s="19" t="str">
        <f t="shared" si="28"/>
        <v/>
      </c>
      <c r="AA145" s="19" t="str">
        <f t="shared" si="29"/>
        <v/>
      </c>
      <c r="AB145" s="5"/>
      <c r="AC145" s="5"/>
      <c r="AE145" t="str">
        <f>IFERROR(INDEX(EqTag,_xlfn.AGGREGATE(15,6,(ROW(EqTag)-4)/((EqSys=$D$3)*(EqTag&lt;&gt;"")),ROWS($AE$14:AE145))),"")</f>
        <v/>
      </c>
    </row>
    <row r="146" spans="1:31" ht="30" customHeight="1" x14ac:dyDescent="0.2">
      <c r="A146" s="19" t="str">
        <f>IF(F146="","",LEFT($D$3,3)&amp;"-"&amp;TEXT(COUNTIF(F$14:F146,"?*"),"00"))</f>
        <v/>
      </c>
      <c r="B146" s="5"/>
      <c r="C146" s="6" t="str">
        <f t="shared" si="24"/>
        <v/>
      </c>
      <c r="D146" s="5"/>
      <c r="E146" s="5"/>
      <c r="F146" s="5"/>
      <c r="G146" s="5"/>
      <c r="H146" s="5"/>
      <c r="I146" s="5"/>
      <c r="J146" s="5"/>
      <c r="K146" s="15"/>
      <c r="L146" s="5"/>
      <c r="M146" s="15"/>
      <c r="N146" s="5"/>
      <c r="O146" s="15"/>
      <c r="P146" s="19" t="str">
        <f t="shared" si="25"/>
        <v/>
      </c>
      <c r="Q146" s="19" t="str">
        <f t="shared" si="26"/>
        <v/>
      </c>
      <c r="R146" s="19" t="str">
        <f t="shared" si="27"/>
        <v/>
      </c>
      <c r="S146" s="5"/>
      <c r="T146" s="5"/>
      <c r="U146" s="5"/>
      <c r="V146" s="24"/>
      <c r="W146" s="15"/>
      <c r="X146" s="15"/>
      <c r="Y146" s="15"/>
      <c r="Z146" s="19" t="str">
        <f t="shared" si="28"/>
        <v/>
      </c>
      <c r="AA146" s="19" t="str">
        <f t="shared" si="29"/>
        <v/>
      </c>
      <c r="AB146" s="5"/>
      <c r="AC146" s="5"/>
      <c r="AE146" t="str">
        <f>IFERROR(INDEX(EqTag,_xlfn.AGGREGATE(15,6,(ROW(EqTag)-4)/((EqSys=$D$3)*(EqTag&lt;&gt;"")),ROWS($AE$14:AE146))),"")</f>
        <v/>
      </c>
    </row>
    <row r="147" spans="1:31" ht="30" customHeight="1" x14ac:dyDescent="0.2">
      <c r="A147" s="19" t="str">
        <f>IF(F147="","",LEFT($D$3,3)&amp;"-"&amp;TEXT(COUNTIF(F$14:F147,"?*"),"00"))</f>
        <v/>
      </c>
      <c r="B147" s="5"/>
      <c r="C147" s="6" t="str">
        <f t="shared" si="24"/>
        <v/>
      </c>
      <c r="D147" s="5"/>
      <c r="E147" s="5"/>
      <c r="F147" s="5"/>
      <c r="G147" s="5"/>
      <c r="H147" s="5"/>
      <c r="I147" s="5"/>
      <c r="J147" s="5"/>
      <c r="K147" s="15"/>
      <c r="L147" s="5"/>
      <c r="M147" s="15"/>
      <c r="N147" s="5"/>
      <c r="O147" s="15"/>
      <c r="P147" s="19" t="str">
        <f t="shared" si="25"/>
        <v/>
      </c>
      <c r="Q147" s="19" t="str">
        <f t="shared" si="26"/>
        <v/>
      </c>
      <c r="R147" s="19" t="str">
        <f t="shared" si="27"/>
        <v/>
      </c>
      <c r="S147" s="5"/>
      <c r="T147" s="5"/>
      <c r="U147" s="5"/>
      <c r="V147" s="24"/>
      <c r="W147" s="15"/>
      <c r="X147" s="15"/>
      <c r="Y147" s="15"/>
      <c r="Z147" s="19" t="str">
        <f t="shared" si="28"/>
        <v/>
      </c>
      <c r="AA147" s="19" t="str">
        <f t="shared" si="29"/>
        <v/>
      </c>
      <c r="AB147" s="5"/>
      <c r="AC147" s="5"/>
      <c r="AE147" t="str">
        <f>IFERROR(INDEX(EqTag,_xlfn.AGGREGATE(15,6,(ROW(EqTag)-4)/((EqSys=$D$3)*(EqTag&lt;&gt;"")),ROWS($AE$14:AE147))),"")</f>
        <v/>
      </c>
    </row>
    <row r="148" spans="1:31" ht="30" customHeight="1" x14ac:dyDescent="0.2">
      <c r="A148" s="19" t="str">
        <f>IF(F148="","",LEFT($D$3,3)&amp;"-"&amp;TEXT(COUNTIF(F$14:F148,"?*"),"00"))</f>
        <v/>
      </c>
      <c r="B148" s="5"/>
      <c r="C148" s="6" t="str">
        <f t="shared" si="24"/>
        <v/>
      </c>
      <c r="D148" s="5"/>
      <c r="E148" s="5"/>
      <c r="F148" s="5"/>
      <c r="G148" s="5"/>
      <c r="H148" s="5"/>
      <c r="I148" s="5"/>
      <c r="J148" s="5"/>
      <c r="K148" s="15"/>
      <c r="L148" s="5"/>
      <c r="M148" s="15"/>
      <c r="N148" s="5"/>
      <c r="O148" s="15"/>
      <c r="P148" s="19" t="str">
        <f t="shared" si="25"/>
        <v/>
      </c>
      <c r="Q148" s="19" t="str">
        <f t="shared" si="26"/>
        <v/>
      </c>
      <c r="R148" s="19" t="str">
        <f t="shared" si="27"/>
        <v/>
      </c>
      <c r="S148" s="5"/>
      <c r="T148" s="5"/>
      <c r="U148" s="5"/>
      <c r="V148" s="24"/>
      <c r="W148" s="15"/>
      <c r="X148" s="15"/>
      <c r="Y148" s="15"/>
      <c r="Z148" s="19" t="str">
        <f t="shared" si="28"/>
        <v/>
      </c>
      <c r="AA148" s="19" t="str">
        <f t="shared" si="29"/>
        <v/>
      </c>
      <c r="AB148" s="5"/>
      <c r="AC148" s="5"/>
      <c r="AE148" t="str">
        <f>IFERROR(INDEX(EqTag,_xlfn.AGGREGATE(15,6,(ROW(EqTag)-4)/((EqSys=$D$3)*(EqTag&lt;&gt;"")),ROWS($AE$14:AE148))),"")</f>
        <v/>
      </c>
    </row>
    <row r="149" spans="1:31" ht="30" customHeight="1" x14ac:dyDescent="0.2">
      <c r="A149" s="19" t="str">
        <f>IF(F149="","",LEFT($D$3,3)&amp;"-"&amp;TEXT(COUNTIF(F$14:F149,"?*"),"00"))</f>
        <v/>
      </c>
      <c r="B149" s="5"/>
      <c r="C149" s="6" t="str">
        <f t="shared" si="24"/>
        <v/>
      </c>
      <c r="D149" s="5"/>
      <c r="E149" s="5"/>
      <c r="F149" s="5"/>
      <c r="G149" s="5"/>
      <c r="H149" s="5"/>
      <c r="I149" s="5"/>
      <c r="J149" s="5"/>
      <c r="K149" s="15"/>
      <c r="L149" s="5"/>
      <c r="M149" s="15"/>
      <c r="N149" s="5"/>
      <c r="O149" s="15"/>
      <c r="P149" s="19" t="str">
        <f t="shared" si="25"/>
        <v/>
      </c>
      <c r="Q149" s="19" t="str">
        <f t="shared" si="26"/>
        <v/>
      </c>
      <c r="R149" s="19" t="str">
        <f t="shared" si="27"/>
        <v/>
      </c>
      <c r="S149" s="5"/>
      <c r="T149" s="5"/>
      <c r="U149" s="5"/>
      <c r="V149" s="24"/>
      <c r="W149" s="15"/>
      <c r="X149" s="15"/>
      <c r="Y149" s="15"/>
      <c r="Z149" s="19" t="str">
        <f t="shared" si="28"/>
        <v/>
      </c>
      <c r="AA149" s="19" t="str">
        <f t="shared" si="29"/>
        <v/>
      </c>
      <c r="AB149" s="5"/>
      <c r="AC149" s="5"/>
      <c r="AE149" t="str">
        <f>IFERROR(INDEX(EqTag,_xlfn.AGGREGATE(15,6,(ROW(EqTag)-4)/((EqSys=$D$3)*(EqTag&lt;&gt;"")),ROWS($AE$14:AE149))),"")</f>
        <v/>
      </c>
    </row>
    <row r="150" spans="1:31" ht="30" customHeight="1" x14ac:dyDescent="0.2">
      <c r="A150" s="19" t="str">
        <f>IF(F150="","",LEFT($D$3,3)&amp;"-"&amp;TEXT(COUNTIF(F$14:F150,"?*"),"00"))</f>
        <v/>
      </c>
      <c r="B150" s="5"/>
      <c r="C150" s="6" t="str">
        <f t="shared" si="24"/>
        <v/>
      </c>
      <c r="D150" s="5"/>
      <c r="E150" s="5"/>
      <c r="F150" s="5"/>
      <c r="G150" s="5"/>
      <c r="H150" s="5"/>
      <c r="I150" s="5"/>
      <c r="J150" s="5"/>
      <c r="K150" s="15"/>
      <c r="L150" s="5"/>
      <c r="M150" s="15"/>
      <c r="N150" s="5"/>
      <c r="O150" s="15"/>
      <c r="P150" s="19" t="str">
        <f t="shared" si="25"/>
        <v/>
      </c>
      <c r="Q150" s="19" t="str">
        <f t="shared" si="26"/>
        <v/>
      </c>
      <c r="R150" s="19" t="str">
        <f t="shared" si="27"/>
        <v/>
      </c>
      <c r="S150" s="5"/>
      <c r="T150" s="5"/>
      <c r="U150" s="5"/>
      <c r="V150" s="24"/>
      <c r="W150" s="15"/>
      <c r="X150" s="15"/>
      <c r="Y150" s="15"/>
      <c r="Z150" s="19" t="str">
        <f t="shared" si="28"/>
        <v/>
      </c>
      <c r="AA150" s="19" t="str">
        <f t="shared" si="29"/>
        <v/>
      </c>
      <c r="AB150" s="5"/>
      <c r="AC150" s="5"/>
      <c r="AE150" t="str">
        <f>IFERROR(INDEX(EqTag,_xlfn.AGGREGATE(15,6,(ROW(EqTag)-4)/((EqSys=$D$3)*(EqTag&lt;&gt;"")),ROWS($AE$14:AE150))),"")</f>
        <v/>
      </c>
    </row>
    <row r="151" spans="1:31" ht="30" customHeight="1" x14ac:dyDescent="0.2">
      <c r="A151" s="19" t="str">
        <f>IF(F151="","",LEFT($D$3,3)&amp;"-"&amp;TEXT(COUNTIF(F$14:F151,"?*"),"00"))</f>
        <v/>
      </c>
      <c r="B151" s="5"/>
      <c r="C151" s="6" t="str">
        <f t="shared" si="24"/>
        <v/>
      </c>
      <c r="D151" s="5"/>
      <c r="E151" s="5"/>
      <c r="F151" s="5"/>
      <c r="G151" s="5"/>
      <c r="H151" s="5"/>
      <c r="I151" s="5"/>
      <c r="J151" s="5"/>
      <c r="K151" s="15"/>
      <c r="L151" s="5"/>
      <c r="M151" s="15"/>
      <c r="N151" s="5"/>
      <c r="O151" s="15"/>
      <c r="P151" s="19" t="str">
        <f t="shared" si="25"/>
        <v/>
      </c>
      <c r="Q151" s="19" t="str">
        <f t="shared" si="26"/>
        <v/>
      </c>
      <c r="R151" s="19" t="str">
        <f t="shared" si="27"/>
        <v/>
      </c>
      <c r="S151" s="5"/>
      <c r="T151" s="5"/>
      <c r="U151" s="5"/>
      <c r="V151" s="24"/>
      <c r="W151" s="15"/>
      <c r="X151" s="15"/>
      <c r="Y151" s="15"/>
      <c r="Z151" s="19" t="str">
        <f t="shared" si="28"/>
        <v/>
      </c>
      <c r="AA151" s="19" t="str">
        <f t="shared" si="29"/>
        <v/>
      </c>
      <c r="AB151" s="5"/>
      <c r="AC151" s="5"/>
      <c r="AE151" t="str">
        <f>IFERROR(INDEX(EqTag,_xlfn.AGGREGATE(15,6,(ROW(EqTag)-4)/((EqSys=$D$3)*(EqTag&lt;&gt;"")),ROWS($AE$14:AE151))),"")</f>
        <v/>
      </c>
    </row>
    <row r="152" spans="1:31" ht="30" customHeight="1" x14ac:dyDescent="0.2">
      <c r="A152" s="19" t="str">
        <f>IF(F152="","",LEFT($D$3,3)&amp;"-"&amp;TEXT(COUNTIF(F$14:F152,"?*"),"00"))</f>
        <v/>
      </c>
      <c r="B152" s="5"/>
      <c r="C152" s="6" t="str">
        <f t="shared" si="24"/>
        <v/>
      </c>
      <c r="D152" s="5"/>
      <c r="E152" s="5"/>
      <c r="F152" s="5"/>
      <c r="G152" s="5"/>
      <c r="H152" s="5"/>
      <c r="I152" s="5"/>
      <c r="J152" s="5"/>
      <c r="K152" s="15"/>
      <c r="L152" s="5"/>
      <c r="M152" s="15"/>
      <c r="N152" s="5"/>
      <c r="O152" s="15"/>
      <c r="P152" s="19" t="str">
        <f t="shared" si="25"/>
        <v/>
      </c>
      <c r="Q152" s="19" t="str">
        <f t="shared" si="26"/>
        <v/>
      </c>
      <c r="R152" s="19" t="str">
        <f t="shared" si="27"/>
        <v/>
      </c>
      <c r="S152" s="5"/>
      <c r="T152" s="5"/>
      <c r="U152" s="5"/>
      <c r="V152" s="24"/>
      <c r="W152" s="15"/>
      <c r="X152" s="15"/>
      <c r="Y152" s="15"/>
      <c r="Z152" s="19" t="str">
        <f t="shared" si="28"/>
        <v/>
      </c>
      <c r="AA152" s="19" t="str">
        <f t="shared" si="29"/>
        <v/>
      </c>
      <c r="AB152" s="5"/>
      <c r="AC152" s="5"/>
      <c r="AE152" t="str">
        <f>IFERROR(INDEX(EqTag,_xlfn.AGGREGATE(15,6,(ROW(EqTag)-4)/((EqSys=$D$3)*(EqTag&lt;&gt;"")),ROWS($AE$14:AE152))),"")</f>
        <v/>
      </c>
    </row>
    <row r="153" spans="1:31" ht="30" customHeight="1" x14ac:dyDescent="0.2">
      <c r="A153" s="19" t="str">
        <f>IF(F153="","",LEFT($D$3,3)&amp;"-"&amp;TEXT(COUNTIF(F$14:F153,"?*"),"00"))</f>
        <v/>
      </c>
      <c r="B153" s="5"/>
      <c r="C153" s="6" t="str">
        <f t="shared" si="24"/>
        <v/>
      </c>
      <c r="D153" s="5"/>
      <c r="E153" s="5"/>
      <c r="F153" s="5"/>
      <c r="G153" s="5"/>
      <c r="H153" s="5"/>
      <c r="I153" s="5"/>
      <c r="J153" s="5"/>
      <c r="K153" s="15"/>
      <c r="L153" s="5"/>
      <c r="M153" s="15"/>
      <c r="N153" s="5"/>
      <c r="O153" s="15"/>
      <c r="P153" s="19" t="str">
        <f t="shared" si="25"/>
        <v/>
      </c>
      <c r="Q153" s="19" t="str">
        <f t="shared" si="26"/>
        <v/>
      </c>
      <c r="R153" s="19" t="str">
        <f t="shared" si="27"/>
        <v/>
      </c>
      <c r="S153" s="5"/>
      <c r="T153" s="5"/>
      <c r="U153" s="5"/>
      <c r="V153" s="24"/>
      <c r="W153" s="15"/>
      <c r="X153" s="15"/>
      <c r="Y153" s="15"/>
      <c r="Z153" s="19" t="str">
        <f t="shared" si="28"/>
        <v/>
      </c>
      <c r="AA153" s="19" t="str">
        <f t="shared" si="29"/>
        <v/>
      </c>
      <c r="AB153" s="5"/>
      <c r="AC153" s="5"/>
      <c r="AE153" t="str">
        <f>IFERROR(INDEX(EqTag,_xlfn.AGGREGATE(15,6,(ROW(EqTag)-4)/((EqSys=$D$3)*(EqTag&lt;&gt;"")),ROWS($AE$14:AE153))),"")</f>
        <v/>
      </c>
    </row>
    <row r="154" spans="1:31" ht="30" customHeight="1" x14ac:dyDescent="0.2">
      <c r="A154" s="19" t="str">
        <f>IF(F154="","",LEFT($D$3,3)&amp;"-"&amp;TEXT(COUNTIF(F$14:F154,"?*"),"00"))</f>
        <v/>
      </c>
      <c r="B154" s="5"/>
      <c r="C154" s="6" t="str">
        <f t="shared" si="24"/>
        <v/>
      </c>
      <c r="D154" s="5"/>
      <c r="E154" s="5"/>
      <c r="F154" s="5"/>
      <c r="G154" s="5"/>
      <c r="H154" s="5"/>
      <c r="I154" s="5"/>
      <c r="J154" s="5"/>
      <c r="K154" s="15"/>
      <c r="L154" s="5"/>
      <c r="M154" s="15"/>
      <c r="N154" s="5"/>
      <c r="O154" s="15"/>
      <c r="P154" s="19" t="str">
        <f t="shared" si="25"/>
        <v/>
      </c>
      <c r="Q154" s="19" t="str">
        <f t="shared" si="26"/>
        <v/>
      </c>
      <c r="R154" s="19" t="str">
        <f t="shared" si="27"/>
        <v/>
      </c>
      <c r="S154" s="5"/>
      <c r="T154" s="5"/>
      <c r="U154" s="5"/>
      <c r="V154" s="24"/>
      <c r="W154" s="15"/>
      <c r="X154" s="15"/>
      <c r="Y154" s="15"/>
      <c r="Z154" s="19" t="str">
        <f t="shared" si="28"/>
        <v/>
      </c>
      <c r="AA154" s="19" t="str">
        <f t="shared" si="29"/>
        <v/>
      </c>
      <c r="AB154" s="5"/>
      <c r="AC154" s="5"/>
      <c r="AE154" t="str">
        <f>IFERROR(INDEX(EqTag,_xlfn.AGGREGATE(15,6,(ROW(EqTag)-4)/((EqSys=$D$3)*(EqTag&lt;&gt;"")),ROWS($AE$14:AE154))),"")</f>
        <v/>
      </c>
    </row>
    <row r="155" spans="1:31" ht="30" customHeight="1" x14ac:dyDescent="0.2">
      <c r="A155" s="19" t="str">
        <f>IF(F155="","",LEFT($D$3,3)&amp;"-"&amp;TEXT(COUNTIF(F$14:F155,"?*"),"00"))</f>
        <v/>
      </c>
      <c r="B155" s="5"/>
      <c r="C155" s="6" t="str">
        <f t="shared" si="24"/>
        <v/>
      </c>
      <c r="D155" s="5"/>
      <c r="E155" s="5"/>
      <c r="F155" s="5"/>
      <c r="G155" s="5"/>
      <c r="H155" s="5"/>
      <c r="I155" s="5"/>
      <c r="J155" s="5"/>
      <c r="K155" s="15"/>
      <c r="L155" s="5"/>
      <c r="M155" s="15"/>
      <c r="N155" s="5"/>
      <c r="O155" s="15"/>
      <c r="P155" s="19" t="str">
        <f t="shared" si="25"/>
        <v/>
      </c>
      <c r="Q155" s="19" t="str">
        <f t="shared" si="26"/>
        <v/>
      </c>
      <c r="R155" s="19" t="str">
        <f t="shared" si="27"/>
        <v/>
      </c>
      <c r="S155" s="5"/>
      <c r="T155" s="5"/>
      <c r="U155" s="5"/>
      <c r="V155" s="24"/>
      <c r="W155" s="15"/>
      <c r="X155" s="15"/>
      <c r="Y155" s="15"/>
      <c r="Z155" s="19" t="str">
        <f t="shared" si="28"/>
        <v/>
      </c>
      <c r="AA155" s="19" t="str">
        <f t="shared" si="29"/>
        <v/>
      </c>
      <c r="AB155" s="5"/>
      <c r="AC155" s="5"/>
      <c r="AE155" t="str">
        <f>IFERROR(INDEX(EqTag,_xlfn.AGGREGATE(15,6,(ROW(EqTag)-4)/((EqSys=$D$3)*(EqTag&lt;&gt;"")),ROWS($AE$14:AE155))),"")</f>
        <v/>
      </c>
    </row>
    <row r="156" spans="1:31" ht="30" customHeight="1" x14ac:dyDescent="0.2">
      <c r="A156" s="19" t="str">
        <f>IF(F156="","",LEFT($D$3,3)&amp;"-"&amp;TEXT(COUNTIF(F$14:F156,"?*"),"00"))</f>
        <v/>
      </c>
      <c r="B156" s="5"/>
      <c r="C156" s="6" t="str">
        <f t="shared" si="24"/>
        <v/>
      </c>
      <c r="D156" s="5"/>
      <c r="E156" s="5"/>
      <c r="F156" s="5"/>
      <c r="G156" s="5"/>
      <c r="H156" s="5"/>
      <c r="I156" s="5"/>
      <c r="J156" s="5"/>
      <c r="K156" s="15"/>
      <c r="L156" s="5"/>
      <c r="M156" s="15"/>
      <c r="N156" s="5"/>
      <c r="O156" s="15"/>
      <c r="P156" s="19" t="str">
        <f t="shared" si="25"/>
        <v/>
      </c>
      <c r="Q156" s="19" t="str">
        <f t="shared" si="26"/>
        <v/>
      </c>
      <c r="R156" s="19" t="str">
        <f t="shared" si="27"/>
        <v/>
      </c>
      <c r="S156" s="5"/>
      <c r="T156" s="5"/>
      <c r="U156" s="5"/>
      <c r="V156" s="24"/>
      <c r="W156" s="15"/>
      <c r="X156" s="15"/>
      <c r="Y156" s="15"/>
      <c r="Z156" s="19" t="str">
        <f t="shared" si="28"/>
        <v/>
      </c>
      <c r="AA156" s="19" t="str">
        <f t="shared" si="29"/>
        <v/>
      </c>
      <c r="AB156" s="5"/>
      <c r="AC156" s="5"/>
      <c r="AE156" t="str">
        <f>IFERROR(INDEX(EqTag,_xlfn.AGGREGATE(15,6,(ROW(EqTag)-4)/((EqSys=$D$3)*(EqTag&lt;&gt;"")),ROWS($AE$14:AE156))),"")</f>
        <v/>
      </c>
    </row>
    <row r="157" spans="1:31" ht="30" customHeight="1" x14ac:dyDescent="0.2">
      <c r="A157" s="19" t="str">
        <f>IF(F157="","",LEFT($D$3,3)&amp;"-"&amp;TEXT(COUNTIF(F$14:F157,"?*"),"00"))</f>
        <v/>
      </c>
      <c r="B157" s="5"/>
      <c r="C157" s="6" t="str">
        <f t="shared" si="24"/>
        <v/>
      </c>
      <c r="D157" s="5"/>
      <c r="E157" s="5"/>
      <c r="F157" s="5"/>
      <c r="G157" s="5"/>
      <c r="H157" s="5"/>
      <c r="I157" s="5"/>
      <c r="J157" s="5"/>
      <c r="K157" s="15"/>
      <c r="L157" s="5"/>
      <c r="M157" s="15"/>
      <c r="N157" s="5"/>
      <c r="O157" s="15"/>
      <c r="P157" s="19" t="str">
        <f t="shared" si="25"/>
        <v/>
      </c>
      <c r="Q157" s="19" t="str">
        <f t="shared" si="26"/>
        <v/>
      </c>
      <c r="R157" s="19" t="str">
        <f t="shared" si="27"/>
        <v/>
      </c>
      <c r="S157" s="5"/>
      <c r="T157" s="5"/>
      <c r="U157" s="5"/>
      <c r="V157" s="24"/>
      <c r="W157" s="15"/>
      <c r="X157" s="15"/>
      <c r="Y157" s="15"/>
      <c r="Z157" s="19" t="str">
        <f t="shared" si="28"/>
        <v/>
      </c>
      <c r="AA157" s="19" t="str">
        <f t="shared" si="29"/>
        <v/>
      </c>
      <c r="AB157" s="5"/>
      <c r="AC157" s="5"/>
      <c r="AE157" t="str">
        <f>IFERROR(INDEX(EqTag,_xlfn.AGGREGATE(15,6,(ROW(EqTag)-4)/((EqSys=$D$3)*(EqTag&lt;&gt;"")),ROWS($AE$14:AE157))),"")</f>
        <v/>
      </c>
    </row>
    <row r="158" spans="1:31" ht="30" customHeight="1" x14ac:dyDescent="0.2">
      <c r="A158" s="19" t="str">
        <f>IF(F158="","",LEFT($D$3,3)&amp;"-"&amp;TEXT(COUNTIF(F$14:F158,"?*"),"00"))</f>
        <v/>
      </c>
      <c r="B158" s="5"/>
      <c r="C158" s="6" t="str">
        <f t="shared" si="24"/>
        <v/>
      </c>
      <c r="D158" s="5"/>
      <c r="E158" s="5"/>
      <c r="F158" s="5"/>
      <c r="G158" s="5"/>
      <c r="H158" s="5"/>
      <c r="I158" s="5"/>
      <c r="J158" s="5"/>
      <c r="K158" s="15"/>
      <c r="L158" s="5"/>
      <c r="M158" s="15"/>
      <c r="N158" s="5"/>
      <c r="O158" s="15"/>
      <c r="P158" s="19" t="str">
        <f t="shared" si="25"/>
        <v/>
      </c>
      <c r="Q158" s="19" t="str">
        <f t="shared" si="26"/>
        <v/>
      </c>
      <c r="R158" s="19" t="str">
        <f t="shared" si="27"/>
        <v/>
      </c>
      <c r="S158" s="5"/>
      <c r="T158" s="5"/>
      <c r="U158" s="5"/>
      <c r="V158" s="24"/>
      <c r="W158" s="15"/>
      <c r="X158" s="15"/>
      <c r="Y158" s="15"/>
      <c r="Z158" s="19" t="str">
        <f t="shared" si="28"/>
        <v/>
      </c>
      <c r="AA158" s="19" t="str">
        <f t="shared" si="29"/>
        <v/>
      </c>
      <c r="AB158" s="5"/>
      <c r="AC158" s="5"/>
      <c r="AE158" t="str">
        <f>IFERROR(INDEX(EqTag,_xlfn.AGGREGATE(15,6,(ROW(EqTag)-4)/((EqSys=$D$3)*(EqTag&lt;&gt;"")),ROWS($AE$14:AE158))),"")</f>
        <v/>
      </c>
    </row>
    <row r="159" spans="1:31" ht="30" customHeight="1" x14ac:dyDescent="0.2">
      <c r="A159" s="19" t="str">
        <f>IF(F159="","",LEFT($D$3,3)&amp;"-"&amp;TEXT(COUNTIF(F$14:F159,"?*"),"00"))</f>
        <v/>
      </c>
      <c r="B159" s="5"/>
      <c r="C159" s="6" t="str">
        <f t="shared" si="24"/>
        <v/>
      </c>
      <c r="D159" s="5"/>
      <c r="E159" s="5"/>
      <c r="F159" s="5"/>
      <c r="G159" s="5"/>
      <c r="H159" s="5"/>
      <c r="I159" s="5"/>
      <c r="J159" s="5"/>
      <c r="K159" s="15"/>
      <c r="L159" s="5"/>
      <c r="M159" s="15"/>
      <c r="N159" s="5"/>
      <c r="O159" s="15"/>
      <c r="P159" s="19" t="str">
        <f t="shared" si="25"/>
        <v/>
      </c>
      <c r="Q159" s="19" t="str">
        <f t="shared" si="26"/>
        <v/>
      </c>
      <c r="R159" s="19" t="str">
        <f t="shared" si="27"/>
        <v/>
      </c>
      <c r="S159" s="5"/>
      <c r="T159" s="5"/>
      <c r="U159" s="5"/>
      <c r="V159" s="24"/>
      <c r="W159" s="15"/>
      <c r="X159" s="15"/>
      <c r="Y159" s="15"/>
      <c r="Z159" s="19" t="str">
        <f t="shared" si="28"/>
        <v/>
      </c>
      <c r="AA159" s="19" t="str">
        <f t="shared" si="29"/>
        <v/>
      </c>
      <c r="AB159" s="5"/>
      <c r="AC159" s="5"/>
      <c r="AE159" t="str">
        <f>IFERROR(INDEX(EqTag,_xlfn.AGGREGATE(15,6,(ROW(EqTag)-4)/((EqSys=$D$3)*(EqTag&lt;&gt;"")),ROWS($AE$14:AE159))),"")</f>
        <v/>
      </c>
    </row>
    <row r="160" spans="1:31" ht="30" customHeight="1" x14ac:dyDescent="0.2">
      <c r="A160" s="19" t="str">
        <f>IF(F160="","",LEFT($D$3,3)&amp;"-"&amp;TEXT(COUNTIF(F$14:F160,"?*"),"00"))</f>
        <v/>
      </c>
      <c r="B160" s="5"/>
      <c r="C160" s="6" t="str">
        <f t="shared" si="24"/>
        <v/>
      </c>
      <c r="D160" s="5"/>
      <c r="E160" s="5"/>
      <c r="F160" s="5"/>
      <c r="G160" s="5"/>
      <c r="H160" s="5"/>
      <c r="I160" s="5"/>
      <c r="J160" s="5"/>
      <c r="K160" s="15"/>
      <c r="L160" s="5"/>
      <c r="M160" s="15"/>
      <c r="N160" s="5"/>
      <c r="O160" s="15"/>
      <c r="P160" s="19" t="str">
        <f t="shared" si="25"/>
        <v/>
      </c>
      <c r="Q160" s="19" t="str">
        <f t="shared" si="26"/>
        <v/>
      </c>
      <c r="R160" s="19" t="str">
        <f t="shared" si="27"/>
        <v/>
      </c>
      <c r="S160" s="5"/>
      <c r="T160" s="5"/>
      <c r="U160" s="5"/>
      <c r="V160" s="24"/>
      <c r="W160" s="15"/>
      <c r="X160" s="15"/>
      <c r="Y160" s="15"/>
      <c r="Z160" s="19" t="str">
        <f t="shared" si="28"/>
        <v/>
      </c>
      <c r="AA160" s="19" t="str">
        <f t="shared" si="29"/>
        <v/>
      </c>
      <c r="AB160" s="5"/>
      <c r="AC160" s="5"/>
      <c r="AE160" t="str">
        <f>IFERROR(INDEX(EqTag,_xlfn.AGGREGATE(15,6,(ROW(EqTag)-4)/((EqSys=$D$3)*(EqTag&lt;&gt;"")),ROWS($AE$14:AE160))),"")</f>
        <v/>
      </c>
    </row>
    <row r="161" spans="1:31" ht="30" customHeight="1" x14ac:dyDescent="0.2">
      <c r="A161" s="19" t="str">
        <f>IF(F161="","",LEFT($D$3,3)&amp;"-"&amp;TEXT(COUNTIF(F$14:F161,"?*"),"00"))</f>
        <v/>
      </c>
      <c r="B161" s="5"/>
      <c r="C161" s="6" t="str">
        <f t="shared" si="24"/>
        <v/>
      </c>
      <c r="D161" s="5"/>
      <c r="E161" s="5"/>
      <c r="F161" s="5"/>
      <c r="G161" s="5"/>
      <c r="H161" s="5"/>
      <c r="I161" s="5"/>
      <c r="J161" s="5"/>
      <c r="K161" s="15"/>
      <c r="L161" s="5"/>
      <c r="M161" s="15"/>
      <c r="N161" s="5"/>
      <c r="O161" s="15"/>
      <c r="P161" s="19" t="str">
        <f t="shared" si="25"/>
        <v/>
      </c>
      <c r="Q161" s="19" t="str">
        <f t="shared" si="26"/>
        <v/>
      </c>
      <c r="R161" s="19" t="str">
        <f t="shared" si="27"/>
        <v/>
      </c>
      <c r="S161" s="5"/>
      <c r="T161" s="5"/>
      <c r="U161" s="5"/>
      <c r="V161" s="24"/>
      <c r="W161" s="15"/>
      <c r="X161" s="15"/>
      <c r="Y161" s="15"/>
      <c r="Z161" s="19" t="str">
        <f t="shared" si="28"/>
        <v/>
      </c>
      <c r="AA161" s="19" t="str">
        <f t="shared" si="29"/>
        <v/>
      </c>
      <c r="AB161" s="5"/>
      <c r="AC161" s="5"/>
      <c r="AE161" t="str">
        <f>IFERROR(INDEX(EqTag,_xlfn.AGGREGATE(15,6,(ROW(EqTag)-4)/((EqSys=$D$3)*(EqTag&lt;&gt;"")),ROWS($AE$14:AE161))),"")</f>
        <v/>
      </c>
    </row>
    <row r="162" spans="1:31" ht="30" customHeight="1" x14ac:dyDescent="0.2">
      <c r="A162" s="19" t="str">
        <f>IF(F162="","",LEFT($D$3,3)&amp;"-"&amp;TEXT(COUNTIF(F$14:F162,"?*"),"00"))</f>
        <v/>
      </c>
      <c r="B162" s="5"/>
      <c r="C162" s="6" t="str">
        <f t="shared" si="24"/>
        <v/>
      </c>
      <c r="D162" s="5"/>
      <c r="E162" s="5"/>
      <c r="F162" s="5"/>
      <c r="G162" s="5"/>
      <c r="H162" s="5"/>
      <c r="I162" s="5"/>
      <c r="J162" s="5"/>
      <c r="K162" s="15"/>
      <c r="L162" s="5"/>
      <c r="M162" s="15"/>
      <c r="N162" s="5"/>
      <c r="O162" s="15"/>
      <c r="P162" s="19" t="str">
        <f t="shared" si="25"/>
        <v/>
      </c>
      <c r="Q162" s="19" t="str">
        <f t="shared" si="26"/>
        <v/>
      </c>
      <c r="R162" s="19" t="str">
        <f t="shared" si="27"/>
        <v/>
      </c>
      <c r="S162" s="5"/>
      <c r="T162" s="5"/>
      <c r="U162" s="5"/>
      <c r="V162" s="24"/>
      <c r="W162" s="15"/>
      <c r="X162" s="15"/>
      <c r="Y162" s="15"/>
      <c r="Z162" s="19" t="str">
        <f t="shared" si="28"/>
        <v/>
      </c>
      <c r="AA162" s="19" t="str">
        <f t="shared" si="29"/>
        <v/>
      </c>
      <c r="AB162" s="5"/>
      <c r="AC162" s="5"/>
      <c r="AE162" t="str">
        <f>IFERROR(INDEX(EqTag,_xlfn.AGGREGATE(15,6,(ROW(EqTag)-4)/((EqSys=$D$3)*(EqTag&lt;&gt;"")),ROWS($AE$14:AE162))),"")</f>
        <v/>
      </c>
    </row>
    <row r="163" spans="1:31" ht="30" customHeight="1" x14ac:dyDescent="0.2">
      <c r="A163" s="19" t="str">
        <f>IF(F163="","",LEFT($D$3,3)&amp;"-"&amp;TEXT(COUNTIF(F$14:F163,"?*"),"00"))</f>
        <v/>
      </c>
      <c r="B163" s="5"/>
      <c r="C163" s="6" t="str">
        <f t="shared" si="24"/>
        <v/>
      </c>
      <c r="D163" s="5"/>
      <c r="E163" s="5"/>
      <c r="F163" s="5"/>
      <c r="G163" s="5"/>
      <c r="H163" s="5"/>
      <c r="I163" s="5"/>
      <c r="J163" s="5"/>
      <c r="K163" s="15"/>
      <c r="L163" s="5"/>
      <c r="M163" s="15"/>
      <c r="N163" s="5"/>
      <c r="O163" s="15"/>
      <c r="P163" s="19" t="str">
        <f t="shared" si="25"/>
        <v/>
      </c>
      <c r="Q163" s="19" t="str">
        <f t="shared" si="26"/>
        <v/>
      </c>
      <c r="R163" s="19" t="str">
        <f t="shared" si="27"/>
        <v/>
      </c>
      <c r="S163" s="5"/>
      <c r="T163" s="5"/>
      <c r="U163" s="5"/>
      <c r="V163" s="24"/>
      <c r="W163" s="15"/>
      <c r="X163" s="15"/>
      <c r="Y163" s="15"/>
      <c r="Z163" s="19" t="str">
        <f t="shared" si="28"/>
        <v/>
      </c>
      <c r="AA163" s="19" t="str">
        <f t="shared" si="29"/>
        <v/>
      </c>
      <c r="AB163" s="5"/>
      <c r="AC163" s="5"/>
      <c r="AE163" t="str">
        <f>IFERROR(INDEX(EqTag,_xlfn.AGGREGATE(15,6,(ROW(EqTag)-4)/((EqSys=$D$3)*(EqTag&lt;&gt;"")),ROWS($AE$14:AE163))),"")</f>
        <v/>
      </c>
    </row>
  </sheetData>
  <mergeCells count="22">
    <mergeCell ref="S12:V12"/>
    <mergeCell ref="D8:O8"/>
    <mergeCell ref="AB12:AC12"/>
    <mergeCell ref="K12:R12"/>
    <mergeCell ref="D5:O5"/>
    <mergeCell ref="W12:AA12"/>
    <mergeCell ref="A11:O11"/>
    <mergeCell ref="A7:C7"/>
    <mergeCell ref="D6:O6"/>
    <mergeCell ref="D3:J3"/>
    <mergeCell ref="A3:C3"/>
    <mergeCell ref="A12:F12"/>
    <mergeCell ref="D7:O7"/>
    <mergeCell ref="L3:M3"/>
    <mergeCell ref="A5:C5"/>
    <mergeCell ref="A8:C8"/>
    <mergeCell ref="G12:J12"/>
    <mergeCell ref="D4:O4"/>
    <mergeCell ref="D9:O9"/>
    <mergeCell ref="A4:C4"/>
    <mergeCell ref="A9:C9"/>
    <mergeCell ref="A6:C6"/>
  </mergeCells>
  <conditionalFormatting sqref="Q14:Q163">
    <cfRule type="expression" dxfId="8" priority="1">
      <formula>Q14="H"</formula>
    </cfRule>
    <cfRule type="expression" dxfId="7" priority="3">
      <formula>Q14="M"</formula>
    </cfRule>
    <cfRule type="expression" dxfId="6" priority="5">
      <formula>Q14="L"</formula>
    </cfRule>
  </conditionalFormatting>
  <conditionalFormatting sqref="AA14:AA163">
    <cfRule type="expression" dxfId="5" priority="2">
      <formula>AA14="H"</formula>
    </cfRule>
    <cfRule type="expression" dxfId="4" priority="4">
      <formula>AA14="M"</formula>
    </cfRule>
    <cfRule type="expression" dxfId="3" priority="6">
      <formula>AA14="L"</formula>
    </cfRule>
  </conditionalFormatting>
  <conditionalFormatting sqref="R14:R163">
    <cfRule type="expression" dxfId="2" priority="7">
      <formula>R14="Yes"</formula>
    </cfRule>
  </conditionalFormatting>
  <conditionalFormatting sqref="P14:P163">
    <cfRule type="expression" dxfId="1" priority="8">
      <formula>AND(ISNUMBER(P14),P14&gt;=RPNThr)</formula>
    </cfRule>
  </conditionalFormatting>
  <conditionalFormatting sqref="Z14:Z163">
    <cfRule type="expression" dxfId="0" priority="9">
      <formula>AND(ISNUMBER(Z14),Z14&gt;=RPNThr)</formula>
    </cfRule>
  </conditionalFormatting>
  <dataValidations count="10">
    <dataValidation type="list" allowBlank="1" showInputMessage="1" showErrorMessage="1" promptTitle="Select" prompt="Choose the system analysed on this sheet" sqref="D3" xr:uid="{00000000-0002-0000-1000-000000000000}">
      <formula1>SystemList</formula1>
    </dataValidation>
    <dataValidation type="list" errorStyle="information" allowBlank="1" showInputMessage="1" showErrorMessage="1" errorTitle="Not in list" error="Entry is not in the list – it will be accepted as free text." promptTitle="Select" prompt="Equipment tags of the selected system (from the Equipment Register)" sqref="B14:B163" xr:uid="{00000000-0002-0000-1000-000001000000}">
      <formula1>OFFSET($AE$14,0,0,MAX(1,COUNTIFS(EqSys,$D$3,EqTag,"?*")),1)</formula1>
    </dataValidation>
    <dataValidation type="list" errorStyle="information" allowBlank="1" showInputMessage="1" showErrorMessage="1" errorTitle="Not in list" error="Entry is not in the list – it will be accepted as free text." promptTitle="Select" prompt="Components for this equipment type – or type your own" sqref="D14:D163" xr:uid="{00000000-0002-0000-1000-000002000000}">
      <formula1>OFFSET(CompStart,MATCH($C14,CompType,0)-1,0,MAX(1,COUNTIF(CompType,$C14)),1)</formula1>
    </dataValidation>
    <dataValidation type="list" errorStyle="information" allowBlank="1" showInputMessage="1" showErrorMessage="1" errorTitle="Not in list" error="Entry is not in the list – it will be accepted as free text." promptTitle="Select" prompt="Failure modes for this equipment type – or type your own" sqref="F14:F163" xr:uid="{00000000-0002-0000-1000-000003000000}">
      <formula1>OFFSET(FMStart,MATCH($C14,FMType,0)-1,0,MAX(1,COUNTIF(FMType,$C14)),1)</formula1>
    </dataValidation>
    <dataValidation type="list" allowBlank="1" showInputMessage="1" promptTitle="Multi-select" prompt="Pick a cause – each pick is added as a new line; pick again to remove." sqref="G14:G163" xr:uid="{00000000-0002-0000-1000-000004000000}">
      <formula1>MechList</formula1>
    </dataValidation>
    <dataValidation type="list" allowBlank="1" showInputMessage="1" promptTitle="Multi-select" prompt="Pick a detection method – each pick is added as a new line; pick again to remove." sqref="N14:N163" xr:uid="{00000000-0002-0000-1000-000005000000}">
      <formula1>DetList</formula1>
    </dataValidation>
    <dataValidation type="list" errorStyle="information" allowBlank="1" showErrorMessage="1" errorTitle="Not in list" error="Entry is not in the list – it will be accepted as free text." sqref="T14:T163" xr:uid="{00000000-0002-0000-1000-000006000000}">
      <formula1>TaskList</formula1>
    </dataValidation>
    <dataValidation type="list" allowBlank="1" showErrorMessage="1" sqref="K14:K163 W14:W163" xr:uid="{00000000-0002-0000-1000-000007000000}">
      <formula1>SevList</formula1>
    </dataValidation>
    <dataValidation type="list" allowBlank="1" showErrorMessage="1" sqref="M14:M163 X14:X163" xr:uid="{00000000-0002-0000-1000-000008000000}">
      <formula1>OccList</formula1>
    </dataValidation>
    <dataValidation type="list" allowBlank="1" showErrorMessage="1" sqref="O14:O163 Y14:Y163" xr:uid="{00000000-0002-0000-1000-000009000000}">
      <formula1>DetScaleList</formula1>
    </dataValidation>
  </dataValidations>
  <pageMargins left="0.75" right="0.75" top="1" bottom="1" header="0.5" footer="0.5"/>
  <pageSetup paperSize="8"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42</vt:i4>
      </vt:variant>
    </vt:vector>
  </HeadingPairs>
  <TitlesOfParts>
    <vt:vector size="59" baseType="lpstr">
      <vt:lpstr>Cover</vt:lpstr>
      <vt:lpstr>Reference Docs</vt:lpstr>
      <vt:lpstr>Systems</vt:lpstr>
      <vt:lpstr>Equipment Register</vt:lpstr>
      <vt:lpstr>Lists</vt:lpstr>
      <vt:lpstr>Rating Scales</vt:lpstr>
      <vt:lpstr>Summary</vt:lpstr>
      <vt:lpstr>System 01</vt:lpstr>
      <vt:lpstr>System 02</vt:lpstr>
      <vt:lpstr>System 03</vt:lpstr>
      <vt:lpstr>System 04</vt:lpstr>
      <vt:lpstr>System 05</vt:lpstr>
      <vt:lpstr>System 06</vt:lpstr>
      <vt:lpstr>System 07</vt:lpstr>
      <vt:lpstr>System 08</vt:lpstr>
      <vt:lpstr>System 09</vt:lpstr>
      <vt:lpstr>System 10</vt:lpstr>
      <vt:lpstr>APD</vt:lpstr>
      <vt:lpstr>APGrid</vt:lpstr>
      <vt:lpstr>APO</vt:lpstr>
      <vt:lpstr>APS</vt:lpstr>
      <vt:lpstr>CompStart</vt:lpstr>
      <vt:lpstr>CompType</vt:lpstr>
      <vt:lpstr>DetList</vt:lpstr>
      <vt:lpstr>DetScaleList</vt:lpstr>
      <vt:lpstr>DocCategories</vt:lpstr>
      <vt:lpstr>EqSys</vt:lpstr>
      <vt:lpstr>EqTag</vt:lpstr>
      <vt:lpstr>EqTypeCol</vt:lpstr>
      <vt:lpstr>EqTypeList</vt:lpstr>
      <vt:lpstr>FMStart</vt:lpstr>
      <vt:lpstr>FMType</vt:lpstr>
      <vt:lpstr>MechList</vt:lpstr>
      <vt:lpstr>OccList</vt:lpstr>
      <vt:lpstr>'System 01'!Print_Area</vt:lpstr>
      <vt:lpstr>'System 02'!Print_Area</vt:lpstr>
      <vt:lpstr>'System 03'!Print_Area</vt:lpstr>
      <vt:lpstr>'System 04'!Print_Area</vt:lpstr>
      <vt:lpstr>'System 05'!Print_Area</vt:lpstr>
      <vt:lpstr>'System 06'!Print_Area</vt:lpstr>
      <vt:lpstr>'System 07'!Print_Area</vt:lpstr>
      <vt:lpstr>'System 08'!Print_Area</vt:lpstr>
      <vt:lpstr>'System 09'!Print_Area</vt:lpstr>
      <vt:lpstr>'System 10'!Print_Area</vt:lpstr>
      <vt:lpstr>'System 01'!Print_Titles</vt:lpstr>
      <vt:lpstr>'System 02'!Print_Titles</vt:lpstr>
      <vt:lpstr>'System 03'!Print_Titles</vt:lpstr>
      <vt:lpstr>'System 04'!Print_Titles</vt:lpstr>
      <vt:lpstr>'System 05'!Print_Titles</vt:lpstr>
      <vt:lpstr>'System 06'!Print_Titles</vt:lpstr>
      <vt:lpstr>'System 07'!Print_Titles</vt:lpstr>
      <vt:lpstr>'System 08'!Print_Titles</vt:lpstr>
      <vt:lpstr>'System 09'!Print_Titles</vt:lpstr>
      <vt:lpstr>'System 10'!Print_Titles</vt:lpstr>
      <vt:lpstr>RPNThr</vt:lpstr>
      <vt:lpstr>SevList</vt:lpstr>
      <vt:lpstr>SThr</vt:lpstr>
      <vt:lpstr>SystemList</vt:lpstr>
      <vt:lpstr>TaskList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Chris Pienaar</cp:lastModifiedBy>
  <dcterms:created xsi:type="dcterms:W3CDTF">2026-10-05T19:26:17Z</dcterms:created>
  <dcterms:modified xsi:type="dcterms:W3CDTF">2026-10-14T07:52:05Z</dcterms:modified>
</cp:coreProperties>
</file>