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1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Cover" sheetId="1" state="visible" r:id="rId1"/>
    <sheet name="PSI" sheetId="2" state="visible" r:id="rId2"/>
    <sheet name="Nodes" sheetId="3" state="visible" r:id="rId3"/>
    <sheet name="Lists" sheetId="4" state="visible" r:id="rId4"/>
    <sheet name="Risk Matrix" sheetId="5" state="visible" r:id="rId5"/>
    <sheet name="Node 01" sheetId="6" state="visible" r:id="rId6"/>
    <sheet name="Node 02" sheetId="7" state="visible" r:id="rId7"/>
    <sheet name="Node 03" sheetId="8" state="visible" r:id="rId8"/>
    <sheet name="Node 04" sheetId="9" state="visible" r:id="rId9"/>
    <sheet name="Node 05" sheetId="10" state="visible" r:id="rId10"/>
    <sheet name="Node 06" sheetId="11" state="visible" r:id="rId11"/>
    <sheet name="Node 07" sheetId="12" state="visible" r:id="rId12"/>
    <sheet name="Node 08" sheetId="13" state="visible" r:id="rId13"/>
    <sheet name="Node 09" sheetId="14" state="visible" r:id="rId14"/>
    <sheet name="Node 10" sheetId="15" state="visible" r:id="rId15"/>
  </sheets>
  <definedNames>
    <definedName name="ParamList">Lists!$A$5:$A$61</definedName>
    <definedName name="GWParam">Lists!$C$5:$C$96</definedName>
    <definedName name="GWStart">Lists!$D$5</definedName>
    <definedName name="CauseKey">Lists!$H$5:$H$833</definedName>
    <definedName name="CauseStart">Lists!$I$5</definedName>
    <definedName name="PSICategories">Lists!$N$5:$N$11</definedName>
    <definedName name="IPLList">Lists!$P$5:$P$6</definedName>
    <definedName name="NodeList">Nodes!$C$5:$C$34</definedName>
    <definedName name="RiskGrid">'Risk Matrix'!$C$5:$G$9</definedName>
    <definedName name="BandMed">'Risk Matrix'!$C$13</definedName>
    <definedName name="BandHigh">'Risk Matrix'!$C$14</definedName>
    <definedName name="BandVH">'Risk Matrix'!$C$15</definedName>
    <definedName name="SevList">'Risk Matrix'!$B$19:$B$23</definedName>
    <definedName name="LikList">'Risk Matrix'!$B$26:$B$30</definedName>
    <definedName name="_xlnm._FilterDatabase" localSheetId="1" hidden="1">'PSI'!$A$4:$J$54</definedName>
    <definedName name="_xlnm.Print_Titles" localSheetId="5">'Node 01'!$12:$13</definedName>
    <definedName name="_xlnm.Print_Titles" localSheetId="6">'Node 02'!$12:$13</definedName>
    <definedName name="_xlnm.Print_Titles" localSheetId="7">'Node 03'!$12:$13</definedName>
    <definedName name="_xlnm.Print_Titles" localSheetId="8">'Node 04'!$12:$13</definedName>
    <definedName name="_xlnm.Print_Titles" localSheetId="9">'Node 05'!$12:$13</definedName>
    <definedName name="_xlnm.Print_Titles" localSheetId="10">'Node 06'!$12:$13</definedName>
    <definedName name="_xlnm.Print_Titles" localSheetId="11">'Node 07'!$12:$13</definedName>
    <definedName name="_xlnm.Print_Titles" localSheetId="12">'Node 08'!$12:$13</definedName>
    <definedName name="_xlnm.Print_Titles" localSheetId="13">'Node 09'!$12:$13</definedName>
    <definedName name="_xlnm.Print_Titles" localSheetId="14">'Node 10'!$12:$13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-mmm-yyyy"/>
  </numFmts>
  <fonts count="13">
    <font>
      <name val="Calibri"/>
      <family val="2"/>
      <color theme="1"/>
      <sz val="11"/>
      <scheme val="minor"/>
    </font>
    <font>
      <name val="Arial"/>
      <b val="1"/>
      <color rgb="001F3864"/>
      <sz val="16"/>
    </font>
    <font>
      <name val="Arial"/>
      <i val="1"/>
      <color rgb="00595959"/>
      <sz val="9"/>
    </font>
    <font>
      <name val="Arial"/>
      <b val="1"/>
      <color rgb="00000000"/>
      <sz val="10"/>
    </font>
    <font>
      <name val="Arial"/>
      <color rgb="00000000"/>
      <sz val="10"/>
    </font>
    <font>
      <name val="Arial"/>
      <b val="1"/>
      <color rgb="00FFFFFF"/>
      <sz val="10"/>
    </font>
    <font>
      <name val="Arial"/>
      <i val="1"/>
      <color rgb="00808080"/>
      <sz val="10"/>
    </font>
    <font>
      <name val="Arial"/>
      <b val="1"/>
      <color rgb="001F3864"/>
      <sz val="10"/>
    </font>
    <font>
      <name val="Arial"/>
      <b val="1"/>
      <color rgb="00000000"/>
      <sz val="12"/>
    </font>
    <font>
      <name val="Arial"/>
      <b val="1"/>
      <color rgb="00C00000"/>
      <sz val="10"/>
    </font>
    <font>
      <name val="Arial"/>
      <b val="1"/>
      <color rgb="001F3864"/>
      <sz val="14"/>
    </font>
    <font>
      <name val="Arial"/>
      <b val="1"/>
      <color rgb="001F3864"/>
      <sz val="11"/>
    </font>
    <font>
      <name val="Arial"/>
      <i val="1"/>
      <color rgb="00C00000"/>
      <sz val="10"/>
    </font>
  </fonts>
  <fills count="10">
    <fill>
      <patternFill/>
    </fill>
    <fill>
      <patternFill patternType="gray125"/>
    </fill>
    <fill>
      <patternFill patternType="solid">
        <fgColor rgb="00FFF2CC"/>
        <bgColor rgb="00FFF2CC"/>
      </patternFill>
    </fill>
    <fill>
      <patternFill patternType="solid">
        <fgColor rgb="00F2F2F2"/>
        <bgColor rgb="00F2F2F2"/>
      </patternFill>
    </fill>
    <fill>
      <patternFill patternType="solid">
        <fgColor rgb="00D9E2F3"/>
        <bgColor rgb="00D9E2F3"/>
      </patternFill>
    </fill>
    <fill>
      <patternFill patternType="solid">
        <fgColor rgb="001F3864"/>
        <bgColor rgb="001F3864"/>
      </patternFill>
    </fill>
    <fill>
      <patternFill patternType="solid">
        <fgColor rgb="00C6EFCE"/>
        <bgColor rgb="00C6EFCE"/>
      </patternFill>
    </fill>
    <fill>
      <patternFill patternType="solid">
        <fgColor rgb="00FFEB9C"/>
        <bgColor rgb="00FFEB9C"/>
      </patternFill>
    </fill>
    <fill>
      <patternFill patternType="solid">
        <fgColor rgb="00F8CBAD"/>
        <bgColor rgb="00F8CBAD"/>
      </patternFill>
    </fill>
    <fill>
      <patternFill patternType="solid">
        <fgColor rgb="00FF7C80"/>
        <bgColor rgb="00FF7C80"/>
      </patternFill>
    </fill>
  </fills>
  <borders count="6">
    <border>
      <left/>
      <right/>
      <top/>
      <bottom/>
      <diagonal/>
    </border>
    <border>
      <left style="thin">
        <color rgb="008EA9DB"/>
      </left>
      <right style="thin">
        <color rgb="008EA9DB"/>
      </right>
      <top style="thin">
        <color rgb="008EA9DB"/>
      </top>
      <bottom style="thin">
        <color rgb="008EA9DB"/>
      </bottom>
    </border>
    <border>
      <left/>
      <right/>
      <top style="thin">
        <color rgb="008EA9DB"/>
      </top>
      <bottom/>
      <diagonal/>
    </border>
    <border>
      <left/>
      <right style="thin">
        <color rgb="008EA9DB"/>
      </right>
      <top style="thin">
        <color rgb="008EA9DB"/>
      </top>
      <bottom/>
      <diagonal/>
    </border>
    <border>
      <left/>
      <right/>
      <top style="thin">
        <color rgb="008EA9DB"/>
      </top>
      <bottom style="thin">
        <color rgb="008EA9DB"/>
      </bottom>
      <diagonal/>
    </border>
    <border>
      <left/>
      <right style="thin">
        <color rgb="008EA9DB"/>
      </right>
      <top style="thin">
        <color rgb="008EA9DB"/>
      </top>
      <bottom style="thin">
        <color rgb="008EA9DB"/>
      </bottom>
      <diagonal/>
    </border>
  </borders>
  <cellStyleXfs count="1">
    <xf numFmtId="0" fontId="0" fillId="0" borderId="0"/>
  </cellStyleXfs>
  <cellXfs count="33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vertical="top" wrapText="1"/>
    </xf>
    <xf numFmtId="0" fontId="4" fillId="3" borderId="1" applyAlignment="1" pivotButton="0" quotePrefix="0" xfId="0">
      <alignment vertical="top" wrapText="1"/>
    </xf>
    <xf numFmtId="0" fontId="4" fillId="4" borderId="1" applyAlignment="1" pivotButton="0" quotePrefix="0" xfId="0">
      <alignment vertical="top" wrapText="1"/>
    </xf>
    <xf numFmtId="0" fontId="5" fillId="5" borderId="1" applyAlignment="1" pivotButton="0" quotePrefix="0" xfId="0">
      <alignment horizontal="center" vertical="center" wrapText="1"/>
    </xf>
    <xf numFmtId="0" fontId="0" fillId="0" borderId="4" pivotButton="0" quotePrefix="0" xfId="0"/>
    <xf numFmtId="0" fontId="0" fillId="0" borderId="5" pivotButton="0" quotePrefix="0" xfId="0"/>
    <xf numFmtId="0" fontId="3" fillId="4" borderId="1" applyAlignment="1" pivotButton="0" quotePrefix="0" xfId="0">
      <alignment vertical="top" wrapText="1"/>
    </xf>
    <xf numFmtId="0" fontId="3" fillId="0" borderId="1" applyAlignment="1" pivotButton="0" quotePrefix="0" xfId="0">
      <alignment vertical="top" wrapText="1"/>
    </xf>
    <xf numFmtId="0" fontId="4" fillId="0" borderId="1" applyAlignment="1" pivotButton="0" quotePrefix="0" xfId="0">
      <alignment vertical="top" wrapText="1"/>
    </xf>
    <xf numFmtId="164" fontId="4" fillId="2" borderId="1" applyAlignment="1" pivotButton="0" quotePrefix="0" xfId="0">
      <alignment vertical="top" wrapText="1"/>
    </xf>
    <xf numFmtId="0" fontId="6" fillId="2" borderId="1" applyAlignment="1" pivotButton="0" quotePrefix="0" xfId="0">
      <alignment vertical="top" wrapText="1"/>
    </xf>
    <xf numFmtId="0" fontId="4" fillId="0" borderId="0" pivotButton="0" quotePrefix="0" xfId="0"/>
    <xf numFmtId="0" fontId="7" fillId="0" borderId="0" applyAlignment="1" pivotButton="0" quotePrefix="0" xfId="0">
      <alignment horizontal="center" vertical="center" wrapText="1"/>
    </xf>
    <xf numFmtId="0" fontId="8" fillId="0" borderId="1" applyAlignment="1" pivotButton="0" quotePrefix="0" xfId="0">
      <alignment horizontal="center" vertical="center" wrapText="1"/>
    </xf>
    <xf numFmtId="0" fontId="3" fillId="6" borderId="1" applyAlignment="1" pivotButton="0" quotePrefix="0" xfId="0">
      <alignment vertical="top" wrapText="1"/>
    </xf>
    <xf numFmtId="0" fontId="4" fillId="2" borderId="1" applyAlignment="1" pivotButton="0" quotePrefix="0" xfId="0">
      <alignment horizontal="center" vertical="center" wrapText="1"/>
    </xf>
    <xf numFmtId="0" fontId="3" fillId="7" borderId="1" applyAlignment="1" pivotButton="0" quotePrefix="0" xfId="0">
      <alignment vertical="top" wrapText="1"/>
    </xf>
    <xf numFmtId="0" fontId="3" fillId="8" borderId="1" applyAlignment="1" pivotButton="0" quotePrefix="0" xfId="0">
      <alignment vertical="top" wrapText="1"/>
    </xf>
    <xf numFmtId="0" fontId="3" fillId="9" borderId="1" applyAlignment="1" pivotButton="0" quotePrefix="0" xfId="0">
      <alignment vertical="top" wrapText="1"/>
    </xf>
    <xf numFmtId="0" fontId="6" fillId="0" borderId="0" pivotButton="0" quotePrefix="0" xfId="0"/>
    <xf numFmtId="0" fontId="10" fillId="0" borderId="0" pivotButton="0" quotePrefix="0" xfId="0"/>
    <xf numFmtId="0" fontId="11" fillId="0" borderId="0" pivotButton="0" quotePrefix="0" xfId="0"/>
    <xf numFmtId="0" fontId="5" fillId="5" borderId="1" applyAlignment="1" pivotButton="0" quotePrefix="0" xfId="0">
      <alignment vertical="top" wrapText="1"/>
    </xf>
    <xf numFmtId="0" fontId="8" fillId="2" borderId="1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0" fontId="0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0" fontId="12" fillId="0" borderId="0" pivotButton="0" quotePrefix="0" xfId="0"/>
  </cellXfs>
  <cellStyles count="1">
    <cellStyle name="Normal" xfId="0" builtinId="0" hidden="0"/>
  </cellStyles>
  <dxfs count="4">
    <dxf>
      <fill>
        <patternFill patternType="solid">
          <fgColor rgb="00FF7C80"/>
          <bgColor rgb="00FF7C80"/>
        </patternFill>
      </fill>
    </dxf>
    <dxf>
      <fill>
        <patternFill patternType="solid">
          <fgColor rgb="00F8CBAD"/>
          <bgColor rgb="00F8CBAD"/>
        </patternFill>
      </fill>
    </dxf>
    <dxf>
      <fill>
        <patternFill patternType="solid">
          <fgColor rgb="00FFEB9C"/>
          <bgColor rgb="00FFEB9C"/>
        </patternFill>
      </fill>
    </dxf>
    <dxf>
      <fill>
        <patternFill patternType="solid">
          <fgColor rgb="00C6EFCE"/>
          <b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Relationship Id="rIdVBA1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HAZOP</author>
  </authors>
  <commentList>
    <comment ref="C12" authorId="0" shapeId="0">
      <text>
        <t>Band thresholds are editable inputs (default for S x L matrix). Align with your company risk standard.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54"/>
  <sheetViews>
    <sheetView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30" customWidth="1" min="1" max="1"/>
    <col width="34" customWidth="1" min="2" max="2"/>
    <col width="26" customWidth="1" min="3" max="3"/>
    <col width="26" customWidth="1" min="4" max="4"/>
    <col width="18" customWidth="1" min="5" max="5"/>
  </cols>
  <sheetData>
    <row r="1">
      <c r="A1" s="1" t="inlineStr">
        <is>
          <t>HAZOP STUDY WORKBOOK</t>
        </is>
      </c>
    </row>
    <row r="2">
      <c r="A2" s="2" t="inlineStr">
        <is>
          <t>Hazard and Operability Study – chemical, steel &amp; metals processes</t>
        </is>
      </c>
    </row>
    <row r="3">
      <c r="A3" s="3" t="inlineStr">
        <is>
          <t>MACRO-ENABLED VERSION – click 'Enable Content' / 'Enable Macros' when opening, otherwise multi-select causes and the safeguard dialog will not work.</t>
        </is>
      </c>
    </row>
    <row r="4">
      <c r="A4" s="4" t="inlineStr">
        <is>
          <t>Legend:</t>
        </is>
      </c>
      <c r="B4" s="5" t="inlineStr">
        <is>
          <t>Yellow = enter / select data</t>
        </is>
      </c>
      <c r="C4" s="6" t="inlineStr">
        <is>
          <t>Grey = formula (do not overwrite)</t>
        </is>
      </c>
      <c r="D4" s="7" t="inlineStr">
        <is>
          <t>Blue = returned from another sheet</t>
        </is>
      </c>
    </row>
    <row r="5"/>
    <row r="6">
      <c r="A6" s="8" t="inlineStr">
        <is>
          <t>STUDY DETAILS</t>
        </is>
      </c>
      <c r="B6" s="9" t="n"/>
      <c r="C6" s="9" t="n"/>
      <c r="D6" s="9" t="n"/>
      <c r="E6" s="10" t="n"/>
    </row>
    <row r="7">
      <c r="A7" s="11" t="inlineStr">
        <is>
          <t>Study title</t>
        </is>
      </c>
      <c r="B7" s="5" t="inlineStr">
        <is>
          <t>HAZOP – [Plant / Unit name]</t>
        </is>
      </c>
    </row>
    <row r="8">
      <c r="A8" s="11" t="inlineStr">
        <is>
          <t>Company / site</t>
        </is>
      </c>
      <c r="B8" s="5" t="inlineStr"/>
    </row>
    <row r="9">
      <c r="A9" s="11" t="inlineStr">
        <is>
          <t>Plant / unit / area</t>
        </is>
      </c>
      <c r="B9" s="5" t="inlineStr"/>
    </row>
    <row r="10">
      <c r="A10" s="11" t="inlineStr">
        <is>
          <t>Project / MOC reference</t>
        </is>
      </c>
      <c r="B10" s="5" t="inlineStr"/>
    </row>
    <row r="11">
      <c r="A11" s="11" t="inlineStr">
        <is>
          <t>Study type</t>
        </is>
      </c>
      <c r="B11" s="5" t="inlineStr">
        <is>
          <t>HAZOP – new design</t>
        </is>
      </c>
    </row>
    <row r="12">
      <c r="A12" s="11" t="inlineStr">
        <is>
          <t>Document number</t>
        </is>
      </c>
      <c r="B12" s="5" t="inlineStr"/>
    </row>
    <row r="13">
      <c r="A13" s="11" t="inlineStr">
        <is>
          <t>Revision</t>
        </is>
      </c>
      <c r="B13" s="5" t="inlineStr">
        <is>
          <t>0</t>
        </is>
      </c>
    </row>
    <row r="14">
      <c r="A14" s="11" t="inlineStr">
        <is>
          <t>Study start date</t>
        </is>
      </c>
      <c r="B14" s="5" t="inlineStr"/>
    </row>
    <row r="15">
      <c r="A15" s="11" t="inlineStr">
        <is>
          <t>Study end date</t>
        </is>
      </c>
      <c r="B15" s="5" t="inlineStr"/>
    </row>
    <row r="16">
      <c r="A16" s="11" t="inlineStr">
        <is>
          <t>Venue / platform</t>
        </is>
      </c>
      <c r="B16" s="5" t="inlineStr"/>
    </row>
    <row r="17" ht="45" customHeight="1">
      <c r="A17" s="11" t="inlineStr">
        <is>
          <t>Scope of study</t>
        </is>
      </c>
      <c r="B17" s="5" t="inlineStr"/>
    </row>
    <row r="18" ht="45" customHeight="1">
      <c r="A18" s="11" t="inlineStr">
        <is>
          <t>Exclusions</t>
        </is>
      </c>
      <c r="B18" s="5" t="inlineStr"/>
    </row>
    <row r="19" ht="45" customHeight="1">
      <c r="A19" s="11" t="inlineStr">
        <is>
          <t>Design basis / design intent summary</t>
        </is>
      </c>
      <c r="B19" s="5" t="inlineStr"/>
    </row>
    <row r="20">
      <c r="A20" s="11" t="inlineStr">
        <is>
          <t>Operating modes covered</t>
        </is>
      </c>
      <c r="B20" s="5" t="inlineStr">
        <is>
          <t>Normal operation, start-up, shutdown, emergency shutdown, maintenance</t>
        </is>
      </c>
    </row>
    <row r="21">
      <c r="A21" s="11" t="inlineStr">
        <is>
          <t>Facilitator</t>
        </is>
      </c>
      <c r="B21" s="5" t="inlineStr"/>
    </row>
    <row r="22">
      <c r="A22" s="11" t="inlineStr">
        <is>
          <t>Scribe</t>
        </is>
      </c>
      <c r="B22" s="5" t="inlineStr"/>
    </row>
    <row r="23">
      <c r="A23" s="11" t="inlineStr">
        <is>
          <t>Risk matrix used</t>
        </is>
      </c>
      <c r="B23" s="5" t="inlineStr">
        <is>
          <t>5 x 5 matrix – see 'Risk Matrix' sheet</t>
        </is>
      </c>
    </row>
    <row r="24">
      <c r="A24" s="11" t="inlineStr">
        <is>
          <t>Guideword set</t>
        </is>
      </c>
      <c r="B24" s="5" t="inlineStr">
        <is>
          <t>HAZOP Guidewords – Chemical, Steel &amp; Metals (see 'Lists' sheet)</t>
        </is>
      </c>
    </row>
    <row r="25">
      <c r="A25" s="11" t="inlineStr">
        <is>
          <t>Number of nodes</t>
        </is>
      </c>
      <c r="B25" s="6">
        <f>COUNTA(Nodes!B5:B34)</f>
        <v/>
      </c>
    </row>
    <row r="26"/>
    <row r="27">
      <c r="A27" s="8" t="inlineStr">
        <is>
          <t>STUDY TEAM</t>
        </is>
      </c>
      <c r="B27" s="9" t="n"/>
      <c r="C27" s="9" t="n"/>
      <c r="D27" s="9" t="n"/>
      <c r="E27" s="10" t="n"/>
    </row>
    <row r="28">
      <c r="A28" s="8" t="inlineStr">
        <is>
          <t>Name</t>
        </is>
      </c>
      <c r="B28" s="8" t="inlineStr">
        <is>
          <t>Company</t>
        </is>
      </c>
      <c r="C28" s="8" t="inlineStr">
        <is>
          <t>Discipline / role</t>
        </is>
      </c>
      <c r="D28" s="8" t="inlineStr">
        <is>
          <t>Sessions / days attended</t>
        </is>
      </c>
      <c r="E28" s="8" t="inlineStr">
        <is>
          <t>Signature</t>
        </is>
      </c>
    </row>
    <row r="29">
      <c r="A29" s="5" t="n"/>
      <c r="B29" s="5" t="n"/>
      <c r="C29" s="5" t="n"/>
      <c r="D29" s="5" t="n"/>
      <c r="E29" s="5" t="n"/>
    </row>
    <row r="30">
      <c r="A30" s="5" t="n"/>
      <c r="B30" s="5" t="n"/>
      <c r="C30" s="5" t="n"/>
      <c r="D30" s="5" t="n"/>
      <c r="E30" s="5" t="n"/>
    </row>
    <row r="31">
      <c r="A31" s="5" t="n"/>
      <c r="B31" s="5" t="n"/>
      <c r="C31" s="5" t="n"/>
      <c r="D31" s="5" t="n"/>
      <c r="E31" s="5" t="n"/>
    </row>
    <row r="32">
      <c r="A32" s="5" t="n"/>
      <c r="B32" s="5" t="n"/>
      <c r="C32" s="5" t="n"/>
      <c r="D32" s="5" t="n"/>
      <c r="E32" s="5" t="n"/>
    </row>
    <row r="33">
      <c r="A33" s="5" t="n"/>
      <c r="B33" s="5" t="n"/>
      <c r="C33" s="5" t="n"/>
      <c r="D33" s="5" t="n"/>
      <c r="E33" s="5" t="n"/>
    </row>
    <row r="34">
      <c r="A34" s="5" t="n"/>
      <c r="B34" s="5" t="n"/>
      <c r="C34" s="5" t="n"/>
      <c r="D34" s="5" t="n"/>
      <c r="E34" s="5" t="n"/>
    </row>
    <row r="35">
      <c r="A35" s="5" t="n"/>
      <c r="B35" s="5" t="n"/>
      <c r="C35" s="5" t="n"/>
      <c r="D35" s="5" t="n"/>
      <c r="E35" s="5" t="n"/>
    </row>
    <row r="36">
      <c r="A36" s="5" t="n"/>
      <c r="B36" s="5" t="n"/>
      <c r="C36" s="5" t="n"/>
      <c r="D36" s="5" t="n"/>
      <c r="E36" s="5" t="n"/>
    </row>
    <row r="37">
      <c r="A37" s="5" t="n"/>
      <c r="B37" s="5" t="n"/>
      <c r="C37" s="5" t="n"/>
      <c r="D37" s="5" t="n"/>
      <c r="E37" s="5" t="n"/>
    </row>
    <row r="38">
      <c r="A38" s="5" t="n"/>
      <c r="B38" s="5" t="n"/>
      <c r="C38" s="5" t="n"/>
      <c r="D38" s="5" t="n"/>
      <c r="E38" s="5" t="n"/>
    </row>
    <row r="39">
      <c r="A39" s="5" t="n"/>
      <c r="B39" s="5" t="n"/>
      <c r="C39" s="5" t="n"/>
      <c r="D39" s="5" t="n"/>
      <c r="E39" s="5" t="n"/>
    </row>
    <row r="40">
      <c r="A40" s="5" t="n"/>
      <c r="B40" s="5" t="n"/>
      <c r="C40" s="5" t="n"/>
      <c r="D40" s="5" t="n"/>
      <c r="E40" s="5" t="n"/>
    </row>
    <row r="41"/>
    <row r="42">
      <c r="A42" s="8" t="inlineStr">
        <is>
          <t>APPROVAL</t>
        </is>
      </c>
      <c r="B42" s="9" t="n"/>
      <c r="C42" s="9" t="n"/>
      <c r="D42" s="9" t="n"/>
      <c r="E42" s="10" t="n"/>
    </row>
    <row r="43">
      <c r="A43" s="8" t="inlineStr"/>
      <c r="B43" s="8" t="inlineStr">
        <is>
          <t>Name</t>
        </is>
      </c>
      <c r="C43" s="8" t="inlineStr">
        <is>
          <t>Position</t>
        </is>
      </c>
      <c r="D43" s="8" t="inlineStr">
        <is>
          <t>Signature</t>
        </is>
      </c>
      <c r="E43" s="8" t="inlineStr">
        <is>
          <t>Date</t>
        </is>
      </c>
    </row>
    <row r="44">
      <c r="A44" s="11" t="inlineStr">
        <is>
          <t>Prepared by</t>
        </is>
      </c>
      <c r="B44" s="5" t="n"/>
      <c r="C44" s="5" t="n"/>
      <c r="D44" s="5" t="n"/>
      <c r="E44" s="5" t="n"/>
    </row>
    <row r="45">
      <c r="A45" s="11" t="inlineStr">
        <is>
          <t>Reviewed by</t>
        </is>
      </c>
      <c r="B45" s="5" t="n"/>
      <c r="C45" s="5" t="n"/>
      <c r="D45" s="5" t="n"/>
      <c r="E45" s="5" t="n"/>
    </row>
    <row r="46">
      <c r="A46" s="11" t="inlineStr">
        <is>
          <t>Approved by</t>
        </is>
      </c>
      <c r="B46" s="5" t="n"/>
      <c r="C46" s="5" t="n"/>
      <c r="D46" s="5" t="n"/>
      <c r="E46" s="5" t="n"/>
    </row>
    <row r="47"/>
    <row r="48">
      <c r="A48" s="8" t="inlineStr">
        <is>
          <t>WORKBOOK CONTENTS</t>
        </is>
      </c>
      <c r="B48" s="9" t="n"/>
      <c r="C48" s="9" t="n"/>
      <c r="D48" s="9" t="n"/>
      <c r="E48" s="10" t="n"/>
    </row>
    <row r="49">
      <c r="A49" s="12" t="inlineStr">
        <is>
          <t>Cover</t>
        </is>
      </c>
      <c r="B49" s="13" t="inlineStr">
        <is>
          <t>Study details, team, approval</t>
        </is>
      </c>
    </row>
    <row r="50">
      <c r="A50" s="12" t="inlineStr">
        <is>
          <t>PSI</t>
        </is>
      </c>
      <c r="B50" s="13" t="inlineStr">
        <is>
          <t>Process safety information register – drawings, procedures, data used in the study</t>
        </is>
      </c>
    </row>
    <row r="51">
      <c r="A51" s="12" t="inlineStr">
        <is>
          <t>Nodes</t>
        </is>
      </c>
      <c r="B51" s="13" t="inlineStr">
        <is>
          <t>Node list: name, drawings, battery limits, functional description, design and operating parameters</t>
        </is>
      </c>
    </row>
    <row r="52">
      <c r="A52" s="12" t="inlineStr">
        <is>
          <t>Lists</t>
        </is>
      </c>
      <c r="B52" s="13" t="inlineStr">
        <is>
          <t>Drop-down sources: parameters, guidewords, potential causes, PSI categories (editable)</t>
        </is>
      </c>
    </row>
    <row r="53">
      <c r="A53" s="12" t="inlineStr">
        <is>
          <t>Risk Matrix</t>
        </is>
      </c>
      <c r="B53" s="13" t="inlineStr">
        <is>
          <t>5 x 5 severity x likelihood matrix (scores 1–25), descriptors and risk bands (editable)</t>
        </is>
      </c>
    </row>
    <row r="54">
      <c r="A54" s="12" t="inlineStr">
        <is>
          <t>Node 01 … Node 10</t>
        </is>
      </c>
      <c r="B54" s="13" t="inlineStr">
        <is>
          <t>One worksheet per node – one row per deviation. Macros: AddNodeSheet (new node sheet), AddSafeguard (or double-click a Safeguards cell).</t>
        </is>
      </c>
    </row>
  </sheetData>
  <mergeCells count="29">
    <mergeCell ref="B9:E9"/>
    <mergeCell ref="A48:E48"/>
    <mergeCell ref="B49:E49"/>
    <mergeCell ref="B15:E15"/>
    <mergeCell ref="B24:E24"/>
    <mergeCell ref="B51:E51"/>
    <mergeCell ref="B20:E20"/>
    <mergeCell ref="A6:E6"/>
    <mergeCell ref="B50:E50"/>
    <mergeCell ref="B16:E16"/>
    <mergeCell ref="B54:E54"/>
    <mergeCell ref="B7:E7"/>
    <mergeCell ref="B25:E25"/>
    <mergeCell ref="B22:E22"/>
    <mergeCell ref="A27:E27"/>
    <mergeCell ref="B18:E18"/>
    <mergeCell ref="B12:E12"/>
    <mergeCell ref="A42:E42"/>
    <mergeCell ref="B52:E52"/>
    <mergeCell ref="B21:E21"/>
    <mergeCell ref="B11:E11"/>
    <mergeCell ref="B14:E14"/>
    <mergeCell ref="B17:E17"/>
    <mergeCell ref="B23:E23"/>
    <mergeCell ref="B8:E8"/>
    <mergeCell ref="B53:E53"/>
    <mergeCell ref="B13:E13"/>
    <mergeCell ref="B19:E19"/>
    <mergeCell ref="B10:E10"/>
  </mergeCells>
  <dataValidations count="2">
    <dataValidation sqref="B11" showDropDown="0" showInputMessage="0" showErrorMessage="1" allowBlank="1" errorTitle="Not in list" error="Entry is not in the list – it will be accepted as free text." type="list" errorStyle="information">
      <formula1>"HAZOP – new design,HAZOP – modification / MOC,HAZOP – revalidation,HAZOP – procedural / batch"</formula1>
    </dataValidation>
    <dataValidation sqref="C29:C40" showDropDown="0" showInputMessage="0" showErrorMessage="1" allowBlank="1" errorTitle="Not in list" error="Entry is not in the list – it will be accepted as free text." type="list" errorStyle="information">
      <formula1>"Facilitator,Scribe,Process engineer,Operations representative,Instrument / control engineer,Mechanical engineer,Electrical engineer,Maintenance,HSE / process safety,Vendor specialist,Metallurgist,Other"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J54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24" customWidth="1" min="2" max="2"/>
    <col width="20" customWidth="1" min="3" max="3"/>
    <col width="46" customWidth="1" min="4" max="4"/>
    <col width="9" customWidth="1" min="5" max="5"/>
    <col width="12" customWidth="1" min="6" max="6"/>
    <col width="18" customWidth="1" min="7" max="7"/>
    <col width="14" customWidth="1" min="8" max="8"/>
    <col width="16" customWidth="1" min="9" max="9"/>
    <col width="34" customWidth="1" min="10" max="10"/>
  </cols>
  <sheetData>
    <row r="1">
      <c r="A1" s="1" t="inlineStr">
        <is>
          <t>PROCESS SAFETY INFORMATION REGISTER</t>
        </is>
      </c>
    </row>
    <row r="2">
      <c r="A2" s="2" t="inlineStr">
        <is>
          <t>List every drawing, procedure and data source used by the team. Pre-filled with a typical checklist – delete or add rows as required.</t>
        </is>
      </c>
    </row>
    <row r="4">
      <c r="A4" s="8" t="inlineStr">
        <is>
          <t>Ref</t>
        </is>
      </c>
      <c r="B4" s="8" t="inlineStr">
        <is>
          <t>Category</t>
        </is>
      </c>
      <c r="C4" s="8" t="inlineStr">
        <is>
          <t>Document number</t>
        </is>
      </c>
      <c r="D4" s="8" t="inlineStr">
        <is>
          <t>Title / description</t>
        </is>
      </c>
      <c r="E4" s="8" t="inlineStr">
        <is>
          <t>Revision</t>
        </is>
      </c>
      <c r="F4" s="8" t="inlineStr">
        <is>
          <t>Date</t>
        </is>
      </c>
      <c r="G4" s="8" t="inlineStr">
        <is>
          <t>Owner / custodian</t>
        </is>
      </c>
      <c r="H4" s="8" t="inlineStr">
        <is>
          <t>Status</t>
        </is>
      </c>
      <c r="I4" s="8" t="inlineStr">
        <is>
          <t>Applicable nodes</t>
        </is>
      </c>
      <c r="J4" s="8" t="inlineStr">
        <is>
          <t>Comments</t>
        </is>
      </c>
    </row>
    <row r="5">
      <c r="A5" s="13" t="inlineStr">
        <is>
          <t>PSI-01</t>
        </is>
      </c>
      <c r="B5" s="5" t="inlineStr">
        <is>
          <t>Drawings</t>
        </is>
      </c>
      <c r="C5" s="5" t="inlineStr"/>
      <c r="D5" s="5" t="inlineStr">
        <is>
          <t>Piping &amp; instrumentation diagrams (P&amp;IDs) – latest issue for all nodes</t>
        </is>
      </c>
      <c r="E5" s="5" t="inlineStr"/>
      <c r="F5" s="14" t="inlineStr"/>
      <c r="G5" s="5" t="inlineStr"/>
      <c r="H5" s="5" t="inlineStr"/>
      <c r="I5" s="5" t="inlineStr"/>
      <c r="J5" s="5" t="inlineStr"/>
    </row>
    <row r="6">
      <c r="A6" s="13" t="inlineStr">
        <is>
          <t>PSI-02</t>
        </is>
      </c>
      <c r="B6" s="5" t="inlineStr">
        <is>
          <t>Drawings</t>
        </is>
      </c>
      <c r="C6" s="5" t="inlineStr"/>
      <c r="D6" s="5" t="inlineStr">
        <is>
          <t>Process flow diagrams (PFDs)</t>
        </is>
      </c>
      <c r="E6" s="5" t="inlineStr"/>
      <c r="F6" s="14" t="inlineStr"/>
      <c r="G6" s="5" t="inlineStr"/>
      <c r="H6" s="5" t="inlineStr"/>
      <c r="I6" s="5" t="inlineStr"/>
      <c r="J6" s="5" t="inlineStr"/>
    </row>
    <row r="7">
      <c r="A7" s="13" t="inlineStr">
        <is>
          <t>PSI-03</t>
        </is>
      </c>
      <c r="B7" s="5" t="inlineStr">
        <is>
          <t>Drawings</t>
        </is>
      </c>
      <c r="C7" s="5" t="inlineStr"/>
      <c r="D7" s="5" t="inlineStr">
        <is>
          <t>Plot plan / equipment layout</t>
        </is>
      </c>
      <c r="E7" s="5" t="inlineStr"/>
      <c r="F7" s="14" t="inlineStr"/>
      <c r="G7" s="5" t="inlineStr"/>
      <c r="H7" s="5" t="inlineStr"/>
      <c r="I7" s="5" t="inlineStr"/>
      <c r="J7" s="5" t="inlineStr"/>
    </row>
    <row r="8">
      <c r="A8" s="13" t="inlineStr">
        <is>
          <t>PSI-04</t>
        </is>
      </c>
      <c r="B8" s="5" t="inlineStr">
        <is>
          <t>Drawings</t>
        </is>
      </c>
      <c r="C8" s="5" t="inlineStr"/>
      <c r="D8" s="5" t="inlineStr">
        <is>
          <t>Hazardous area classification drawings</t>
        </is>
      </c>
      <c r="E8" s="5" t="inlineStr"/>
      <c r="F8" s="14" t="inlineStr"/>
      <c r="G8" s="5" t="inlineStr"/>
      <c r="H8" s="5" t="inlineStr"/>
      <c r="I8" s="5" t="inlineStr"/>
      <c r="J8" s="5" t="inlineStr"/>
    </row>
    <row r="9">
      <c r="A9" s="13" t="inlineStr">
        <is>
          <t>PSI-05</t>
        </is>
      </c>
      <c r="B9" s="5" t="inlineStr">
        <is>
          <t>Drawings</t>
        </is>
      </c>
      <c r="C9" s="5" t="inlineStr"/>
      <c r="D9" s="5" t="inlineStr">
        <is>
          <t>Fire &amp; gas detection layout</t>
        </is>
      </c>
      <c r="E9" s="5" t="inlineStr"/>
      <c r="F9" s="14" t="inlineStr"/>
      <c r="G9" s="5" t="inlineStr"/>
      <c r="H9" s="5" t="inlineStr"/>
      <c r="I9" s="5" t="inlineStr"/>
      <c r="J9" s="5" t="inlineStr"/>
    </row>
    <row r="10">
      <c r="A10" s="13" t="inlineStr">
        <is>
          <t>PSI-06</t>
        </is>
      </c>
      <c r="B10" s="5" t="inlineStr">
        <is>
          <t>Drawings</t>
        </is>
      </c>
      <c r="C10" s="5" t="inlineStr"/>
      <c r="D10" s="5" t="inlineStr">
        <is>
          <t>Cause &amp; effect diagrams / interlock logic</t>
        </is>
      </c>
      <c r="E10" s="5" t="inlineStr"/>
      <c r="F10" s="14" t="inlineStr"/>
      <c r="G10" s="5" t="inlineStr"/>
      <c r="H10" s="5" t="inlineStr"/>
      <c r="I10" s="5" t="inlineStr"/>
      <c r="J10" s="5" t="inlineStr"/>
    </row>
    <row r="11">
      <c r="A11" s="13" t="inlineStr">
        <is>
          <t>PSI-07</t>
        </is>
      </c>
      <c r="B11" s="5" t="inlineStr">
        <is>
          <t>Drawings</t>
        </is>
      </c>
      <c r="C11" s="5" t="inlineStr"/>
      <c r="D11" s="5" t="inlineStr">
        <is>
          <t>Single-line diagrams (electrical)</t>
        </is>
      </c>
      <c r="E11" s="5" t="inlineStr"/>
      <c r="F11" s="14" t="inlineStr"/>
      <c r="G11" s="5" t="inlineStr"/>
      <c r="H11" s="5" t="inlineStr"/>
      <c r="I11" s="5" t="inlineStr"/>
      <c r="J11" s="5" t="inlineStr"/>
    </row>
    <row r="12">
      <c r="A12" s="13" t="inlineStr">
        <is>
          <t>PSI-08</t>
        </is>
      </c>
      <c r="B12" s="5" t="inlineStr">
        <is>
          <t>Process technology</t>
        </is>
      </c>
      <c r="C12" s="5" t="inlineStr"/>
      <c r="D12" s="5" t="inlineStr">
        <is>
          <t>Process description / design basis</t>
        </is>
      </c>
      <c r="E12" s="5" t="inlineStr"/>
      <c r="F12" s="14" t="inlineStr"/>
      <c r="G12" s="5" t="inlineStr"/>
      <c r="H12" s="5" t="inlineStr"/>
      <c r="I12" s="5" t="inlineStr"/>
      <c r="J12" s="5" t="inlineStr"/>
    </row>
    <row r="13">
      <c r="A13" s="13" t="inlineStr">
        <is>
          <t>PSI-09</t>
        </is>
      </c>
      <c r="B13" s="5" t="inlineStr">
        <is>
          <t>Process technology</t>
        </is>
      </c>
      <c r="C13" s="5" t="inlineStr"/>
      <c r="D13" s="5" t="inlineStr">
        <is>
          <t>Heat &amp; material balance</t>
        </is>
      </c>
      <c r="E13" s="5" t="inlineStr"/>
      <c r="F13" s="14" t="inlineStr"/>
      <c r="G13" s="5" t="inlineStr"/>
      <c r="H13" s="5" t="inlineStr"/>
      <c r="I13" s="5" t="inlineStr"/>
      <c r="J13" s="5" t="inlineStr"/>
    </row>
    <row r="14">
      <c r="A14" s="13" t="inlineStr">
        <is>
          <t>PSI-10</t>
        </is>
      </c>
      <c r="B14" s="5" t="inlineStr">
        <is>
          <t>Process technology</t>
        </is>
      </c>
      <c r="C14" s="5" t="inlineStr"/>
      <c r="D14" s="5" t="inlineStr">
        <is>
          <t>Safe operating limits / operating envelope</t>
        </is>
      </c>
      <c r="E14" s="5" t="inlineStr"/>
      <c r="F14" s="14" t="inlineStr"/>
      <c r="G14" s="5" t="inlineStr"/>
      <c r="H14" s="5" t="inlineStr"/>
      <c r="I14" s="5" t="inlineStr"/>
      <c r="J14" s="5" t="inlineStr"/>
    </row>
    <row r="15">
      <c r="A15" s="13" t="inlineStr">
        <is>
          <t>PSI-11</t>
        </is>
      </c>
      <c r="B15" s="5" t="inlineStr">
        <is>
          <t>Process technology</t>
        </is>
      </c>
      <c r="C15" s="5" t="inlineStr"/>
      <c r="D15" s="5" t="inlineStr">
        <is>
          <t>Chemical reactivity / interaction matrix</t>
        </is>
      </c>
      <c r="E15" s="5" t="inlineStr"/>
      <c r="F15" s="14" t="inlineStr"/>
      <c r="G15" s="5" t="inlineStr"/>
      <c r="H15" s="5" t="inlineStr"/>
      <c r="I15" s="5" t="inlineStr"/>
      <c r="J15" s="5" t="inlineStr"/>
    </row>
    <row r="16">
      <c r="A16" s="13" t="inlineStr">
        <is>
          <t>PSI-12</t>
        </is>
      </c>
      <c r="B16" s="5" t="inlineStr">
        <is>
          <t>Process technology</t>
        </is>
      </c>
      <c r="C16" s="5" t="inlineStr"/>
      <c r="D16" s="5" t="inlineStr">
        <is>
          <t>Control philosophy / control narratives</t>
        </is>
      </c>
      <c r="E16" s="5" t="inlineStr"/>
      <c r="F16" s="14" t="inlineStr"/>
      <c r="G16" s="5" t="inlineStr"/>
      <c r="H16" s="5" t="inlineStr"/>
      <c r="I16" s="5" t="inlineStr"/>
      <c r="J16" s="5" t="inlineStr"/>
    </row>
    <row r="17">
      <c r="A17" s="13" t="inlineStr">
        <is>
          <t>PSI-13</t>
        </is>
      </c>
      <c r="B17" s="5" t="inlineStr">
        <is>
          <t>Process technology</t>
        </is>
      </c>
      <c r="C17" s="5" t="inlineStr"/>
      <c r="D17" s="5" t="inlineStr">
        <is>
          <t>Alarm &amp; trip list with set points</t>
        </is>
      </c>
      <c r="E17" s="5" t="inlineStr"/>
      <c r="F17" s="14" t="inlineStr"/>
      <c r="G17" s="5" t="inlineStr"/>
      <c r="H17" s="5" t="inlineStr"/>
      <c r="I17" s="5" t="inlineStr"/>
      <c r="J17" s="5" t="inlineStr"/>
    </row>
    <row r="18">
      <c r="A18" s="13" t="inlineStr">
        <is>
          <t>PSI-14</t>
        </is>
      </c>
      <c r="B18" s="5" t="inlineStr">
        <is>
          <t>Hazardous materials</t>
        </is>
      </c>
      <c r="C18" s="5" t="inlineStr"/>
      <c r="D18" s="5" t="inlineStr">
        <is>
          <t>Safety data sheets (SDS) for all process materials, gases and additives</t>
        </is>
      </c>
      <c r="E18" s="5" t="inlineStr"/>
      <c r="F18" s="14" t="inlineStr"/>
      <c r="G18" s="5" t="inlineStr"/>
      <c r="H18" s="5" t="inlineStr"/>
      <c r="I18" s="5" t="inlineStr"/>
      <c r="J18" s="5" t="inlineStr"/>
    </row>
    <row r="19">
      <c r="A19" s="13" t="inlineStr">
        <is>
          <t>PSI-15</t>
        </is>
      </c>
      <c r="B19" s="5" t="inlineStr">
        <is>
          <t>Hazardous materials</t>
        </is>
      </c>
      <c r="C19" s="5" t="inlineStr"/>
      <c r="D19" s="5" t="inlineStr">
        <is>
          <t>Exposure limits and toxicity data (CO, H2S, metal fume, acids, etc.)</t>
        </is>
      </c>
      <c r="E19" s="5" t="inlineStr"/>
      <c r="F19" s="14" t="inlineStr"/>
      <c r="G19" s="5" t="inlineStr"/>
      <c r="H19" s="5" t="inlineStr"/>
      <c r="I19" s="5" t="inlineStr"/>
      <c r="J19" s="5" t="inlineStr"/>
    </row>
    <row r="20">
      <c r="A20" s="13" t="inlineStr">
        <is>
          <t>PSI-16</t>
        </is>
      </c>
      <c r="B20" s="5" t="inlineStr">
        <is>
          <t>Equipment</t>
        </is>
      </c>
      <c r="C20" s="5" t="inlineStr"/>
      <c r="D20" s="5" t="inlineStr">
        <is>
          <t>Equipment data sheets and design codes</t>
        </is>
      </c>
      <c r="E20" s="5" t="inlineStr"/>
      <c r="F20" s="14" t="inlineStr"/>
      <c r="G20" s="5" t="inlineStr"/>
      <c r="H20" s="5" t="inlineStr"/>
      <c r="I20" s="5" t="inlineStr"/>
      <c r="J20" s="5" t="inlineStr"/>
    </row>
    <row r="21">
      <c r="A21" s="13" t="inlineStr">
        <is>
          <t>PSI-17</t>
        </is>
      </c>
      <c r="B21" s="5" t="inlineStr">
        <is>
          <t>Equipment</t>
        </is>
      </c>
      <c r="C21" s="5" t="inlineStr"/>
      <c r="D21" s="5" t="inlineStr">
        <is>
          <t>Line list / piping specifications / materials of construction</t>
        </is>
      </c>
      <c r="E21" s="5" t="inlineStr"/>
      <c r="F21" s="14" t="inlineStr"/>
      <c r="G21" s="5" t="inlineStr"/>
      <c r="H21" s="5" t="inlineStr"/>
      <c r="I21" s="5" t="inlineStr"/>
      <c r="J21" s="5" t="inlineStr"/>
    </row>
    <row r="22">
      <c r="A22" s="13" t="inlineStr">
        <is>
          <t>PSI-18</t>
        </is>
      </c>
      <c r="B22" s="5" t="inlineStr">
        <is>
          <t>Equipment</t>
        </is>
      </c>
      <c r="C22" s="5" t="inlineStr"/>
      <c r="D22" s="5" t="inlineStr">
        <is>
          <t>Relief &amp; blowdown study; relief valve data sheets</t>
        </is>
      </c>
      <c r="E22" s="5" t="inlineStr"/>
      <c r="F22" s="14" t="inlineStr"/>
      <c r="G22" s="5" t="inlineStr"/>
      <c r="H22" s="5" t="inlineStr"/>
      <c r="I22" s="5" t="inlineStr"/>
      <c r="J22" s="5" t="inlineStr"/>
    </row>
    <row r="23">
      <c r="A23" s="13" t="inlineStr">
        <is>
          <t>PSI-19</t>
        </is>
      </c>
      <c r="B23" s="5" t="inlineStr">
        <is>
          <t>Equipment</t>
        </is>
      </c>
      <c r="C23" s="5" t="inlineStr"/>
      <c r="D23" s="5" t="inlineStr">
        <is>
          <t>Safety instrumented systems – SRS / SIL assessment</t>
        </is>
      </c>
      <c r="E23" s="5" t="inlineStr"/>
      <c r="F23" s="14" t="inlineStr"/>
      <c r="G23" s="5" t="inlineStr"/>
      <c r="H23" s="5" t="inlineStr"/>
      <c r="I23" s="5" t="inlineStr"/>
      <c r="J23" s="5" t="inlineStr"/>
    </row>
    <row r="24">
      <c r="A24" s="13" t="inlineStr">
        <is>
          <t>PSI-20</t>
        </is>
      </c>
      <c r="B24" s="5" t="inlineStr">
        <is>
          <t>Equipment</t>
        </is>
      </c>
      <c r="C24" s="5" t="inlineStr"/>
      <c r="D24" s="5" t="inlineStr">
        <is>
          <t>Vendor manuals (furnace, cooling water, gas systems, cranes)</t>
        </is>
      </c>
      <c r="E24" s="5" t="inlineStr"/>
      <c r="F24" s="14" t="inlineStr"/>
      <c r="G24" s="5" t="inlineStr"/>
      <c r="H24" s="5" t="inlineStr"/>
      <c r="I24" s="5" t="inlineStr"/>
      <c r="J24" s="5" t="inlineStr"/>
    </row>
    <row r="25">
      <c r="A25" s="13" t="inlineStr">
        <is>
          <t>PSI-21</t>
        </is>
      </c>
      <c r="B25" s="5" t="inlineStr">
        <is>
          <t>Equipment</t>
        </is>
      </c>
      <c r="C25" s="5" t="inlineStr"/>
      <c r="D25" s="5" t="inlineStr">
        <is>
          <t>Inspection, test &amp; maintenance records (incl. refractory, water-cooled elements)</t>
        </is>
      </c>
      <c r="E25" s="5" t="inlineStr"/>
      <c r="F25" s="14" t="inlineStr"/>
      <c r="G25" s="5" t="inlineStr"/>
      <c r="H25" s="5" t="inlineStr"/>
      <c r="I25" s="5" t="inlineStr"/>
      <c r="J25" s="5" t="inlineStr"/>
    </row>
    <row r="26">
      <c r="A26" s="13" t="inlineStr">
        <is>
          <t>PSI-22</t>
        </is>
      </c>
      <c r="B26" s="5" t="inlineStr">
        <is>
          <t>Procedures</t>
        </is>
      </c>
      <c r="C26" s="5" t="inlineStr"/>
      <c r="D26" s="5" t="inlineStr">
        <is>
          <t>Normal operating procedures</t>
        </is>
      </c>
      <c r="E26" s="5" t="inlineStr"/>
      <c r="F26" s="14" t="inlineStr"/>
      <c r="G26" s="5" t="inlineStr"/>
      <c r="H26" s="5" t="inlineStr"/>
      <c r="I26" s="5" t="inlineStr"/>
      <c r="J26" s="5" t="inlineStr"/>
    </row>
    <row r="27">
      <c r="A27" s="13" t="inlineStr">
        <is>
          <t>PSI-23</t>
        </is>
      </c>
      <c r="B27" s="5" t="inlineStr">
        <is>
          <t>Procedures</t>
        </is>
      </c>
      <c r="C27" s="5" t="inlineStr"/>
      <c r="D27" s="5" t="inlineStr">
        <is>
          <t>Start-up and shutdown procedures</t>
        </is>
      </c>
      <c r="E27" s="5" t="inlineStr"/>
      <c r="F27" s="14" t="inlineStr"/>
      <c r="G27" s="5" t="inlineStr"/>
      <c r="H27" s="5" t="inlineStr"/>
      <c r="I27" s="5" t="inlineStr"/>
      <c r="J27" s="5" t="inlineStr"/>
    </row>
    <row r="28">
      <c r="A28" s="13" t="inlineStr">
        <is>
          <t>PSI-24</t>
        </is>
      </c>
      <c r="B28" s="5" t="inlineStr">
        <is>
          <t>Procedures</t>
        </is>
      </c>
      <c r="C28" s="5" t="inlineStr"/>
      <c r="D28" s="5" t="inlineStr">
        <is>
          <t>Emergency procedures / emergency response plan</t>
        </is>
      </c>
      <c r="E28" s="5" t="inlineStr"/>
      <c r="F28" s="14" t="inlineStr"/>
      <c r="G28" s="5" t="inlineStr"/>
      <c r="H28" s="5" t="inlineStr"/>
      <c r="I28" s="5" t="inlineStr"/>
      <c r="J28" s="5" t="inlineStr"/>
    </row>
    <row r="29">
      <c r="A29" s="13" t="inlineStr">
        <is>
          <t>PSI-25</t>
        </is>
      </c>
      <c r="B29" s="5" t="inlineStr">
        <is>
          <t>Procedures</t>
        </is>
      </c>
      <c r="C29" s="5" t="inlineStr"/>
      <c r="D29" s="5" t="inlineStr">
        <is>
          <t>Isolation / lockout-tagout and permit-to-work procedures</t>
        </is>
      </c>
      <c r="E29" s="5" t="inlineStr"/>
      <c r="F29" s="14" t="inlineStr"/>
      <c r="G29" s="5" t="inlineStr"/>
      <c r="H29" s="5" t="inlineStr"/>
      <c r="I29" s="5" t="inlineStr"/>
      <c r="J29" s="5" t="inlineStr"/>
    </row>
    <row r="30">
      <c r="A30" s="13" t="inlineStr">
        <is>
          <t>PSI-26</t>
        </is>
      </c>
      <c r="B30" s="5" t="inlineStr">
        <is>
          <t>Procedures</t>
        </is>
      </c>
      <c r="C30" s="5" t="inlineStr"/>
      <c r="D30" s="5" t="inlineStr">
        <is>
          <t>Molten metal handling and crane operating procedures</t>
        </is>
      </c>
      <c r="E30" s="5" t="inlineStr"/>
      <c r="F30" s="14" t="inlineStr"/>
      <c r="G30" s="5" t="inlineStr"/>
      <c r="H30" s="5" t="inlineStr"/>
      <c r="I30" s="5" t="inlineStr"/>
      <c r="J30" s="5" t="inlineStr"/>
    </row>
    <row r="31">
      <c r="A31" s="13" t="inlineStr">
        <is>
          <t>PSI-27</t>
        </is>
      </c>
      <c r="B31" s="5" t="inlineStr">
        <is>
          <t>Procedures</t>
        </is>
      </c>
      <c r="C31" s="5" t="inlineStr"/>
      <c r="D31" s="5" t="inlineStr">
        <is>
          <t>Maintenance procedures</t>
        </is>
      </c>
      <c r="E31" s="5" t="inlineStr"/>
      <c r="F31" s="14" t="inlineStr"/>
      <c r="G31" s="5" t="inlineStr"/>
      <c r="H31" s="5" t="inlineStr"/>
      <c r="I31" s="5" t="inlineStr"/>
      <c r="J31" s="5" t="inlineStr"/>
    </row>
    <row r="32">
      <c r="A32" s="13" t="inlineStr">
        <is>
          <t>PSI-28</t>
        </is>
      </c>
      <c r="B32" s="5" t="inlineStr">
        <is>
          <t>Previous studies</t>
        </is>
      </c>
      <c r="C32" s="5" t="inlineStr"/>
      <c r="D32" s="5" t="inlineStr">
        <is>
          <t>Previous HAZOP / PHA reports and recommendation close-out status</t>
        </is>
      </c>
      <c r="E32" s="5" t="inlineStr"/>
      <c r="F32" s="14" t="inlineStr"/>
      <c r="G32" s="5" t="inlineStr"/>
      <c r="H32" s="5" t="inlineStr"/>
      <c r="I32" s="5" t="inlineStr"/>
      <c r="J32" s="5" t="inlineStr"/>
    </row>
    <row r="33">
      <c r="A33" s="13" t="inlineStr">
        <is>
          <t>PSI-29</t>
        </is>
      </c>
      <c r="B33" s="5" t="inlineStr">
        <is>
          <t>Previous studies</t>
        </is>
      </c>
      <c r="C33" s="5" t="inlineStr"/>
      <c r="D33" s="5" t="inlineStr">
        <is>
          <t>Incident and near-miss reports for this or similar units</t>
        </is>
      </c>
      <c r="E33" s="5" t="inlineStr"/>
      <c r="F33" s="14" t="inlineStr"/>
      <c r="G33" s="5" t="inlineStr"/>
      <c r="H33" s="5" t="inlineStr"/>
      <c r="I33" s="5" t="inlineStr"/>
      <c r="J33" s="5" t="inlineStr"/>
    </row>
    <row r="34">
      <c r="A34" s="13" t="inlineStr">
        <is>
          <t>PSI-30</t>
        </is>
      </c>
      <c r="B34" s="5" t="inlineStr">
        <is>
          <t>Previous studies</t>
        </is>
      </c>
      <c r="C34" s="5" t="inlineStr"/>
      <c r="D34" s="5" t="inlineStr">
        <is>
          <t>Management of change (MOC) records since the last study</t>
        </is>
      </c>
      <c r="E34" s="5" t="inlineStr"/>
      <c r="F34" s="14" t="inlineStr"/>
      <c r="G34" s="5" t="inlineStr"/>
      <c r="H34" s="5" t="inlineStr"/>
      <c r="I34" s="5" t="inlineStr"/>
      <c r="J34" s="5" t="inlineStr"/>
    </row>
    <row r="35">
      <c r="A35" s="13" t="inlineStr">
        <is>
          <t>PSI-31</t>
        </is>
      </c>
      <c r="B35" s="5" t="n"/>
      <c r="C35" s="5" t="n"/>
      <c r="D35" s="5" t="n"/>
      <c r="E35" s="5" t="n"/>
      <c r="F35" s="14" t="n"/>
      <c r="G35" s="5" t="n"/>
      <c r="H35" s="5" t="n"/>
      <c r="I35" s="5" t="n"/>
      <c r="J35" s="5" t="n"/>
    </row>
    <row r="36">
      <c r="A36" s="13" t="inlineStr">
        <is>
          <t>PSI-32</t>
        </is>
      </c>
      <c r="B36" s="5" t="n"/>
      <c r="C36" s="5" t="n"/>
      <c r="D36" s="5" t="n"/>
      <c r="E36" s="5" t="n"/>
      <c r="F36" s="14" t="n"/>
      <c r="G36" s="5" t="n"/>
      <c r="H36" s="5" t="n"/>
      <c r="I36" s="5" t="n"/>
      <c r="J36" s="5" t="n"/>
    </row>
    <row r="37">
      <c r="A37" s="13" t="inlineStr">
        <is>
          <t>PSI-33</t>
        </is>
      </c>
      <c r="B37" s="5" t="n"/>
      <c r="C37" s="5" t="n"/>
      <c r="D37" s="5" t="n"/>
      <c r="E37" s="5" t="n"/>
      <c r="F37" s="14" t="n"/>
      <c r="G37" s="5" t="n"/>
      <c r="H37" s="5" t="n"/>
      <c r="I37" s="5" t="n"/>
      <c r="J37" s="5" t="n"/>
    </row>
    <row r="38">
      <c r="A38" s="13" t="inlineStr">
        <is>
          <t>PSI-34</t>
        </is>
      </c>
      <c r="B38" s="5" t="n"/>
      <c r="C38" s="5" t="n"/>
      <c r="D38" s="5" t="n"/>
      <c r="E38" s="5" t="n"/>
      <c r="F38" s="14" t="n"/>
      <c r="G38" s="5" t="n"/>
      <c r="H38" s="5" t="n"/>
      <c r="I38" s="5" t="n"/>
      <c r="J38" s="5" t="n"/>
    </row>
    <row r="39">
      <c r="A39" s="13" t="inlineStr">
        <is>
          <t>PSI-35</t>
        </is>
      </c>
      <c r="B39" s="5" t="n"/>
      <c r="C39" s="5" t="n"/>
      <c r="D39" s="5" t="n"/>
      <c r="E39" s="5" t="n"/>
      <c r="F39" s="14" t="n"/>
      <c r="G39" s="5" t="n"/>
      <c r="H39" s="5" t="n"/>
      <c r="I39" s="5" t="n"/>
      <c r="J39" s="5" t="n"/>
    </row>
    <row r="40">
      <c r="A40" s="13" t="inlineStr">
        <is>
          <t>PSI-36</t>
        </is>
      </c>
      <c r="B40" s="5" t="n"/>
      <c r="C40" s="5" t="n"/>
      <c r="D40" s="5" t="n"/>
      <c r="E40" s="5" t="n"/>
      <c r="F40" s="14" t="n"/>
      <c r="G40" s="5" t="n"/>
      <c r="H40" s="5" t="n"/>
      <c r="I40" s="5" t="n"/>
      <c r="J40" s="5" t="n"/>
    </row>
    <row r="41">
      <c r="A41" s="13" t="inlineStr">
        <is>
          <t>PSI-37</t>
        </is>
      </c>
      <c r="B41" s="5" t="n"/>
      <c r="C41" s="5" t="n"/>
      <c r="D41" s="5" t="n"/>
      <c r="E41" s="5" t="n"/>
      <c r="F41" s="14" t="n"/>
      <c r="G41" s="5" t="n"/>
      <c r="H41" s="5" t="n"/>
      <c r="I41" s="5" t="n"/>
      <c r="J41" s="5" t="n"/>
    </row>
    <row r="42">
      <c r="A42" s="13" t="inlineStr">
        <is>
          <t>PSI-38</t>
        </is>
      </c>
      <c r="B42" s="5" t="n"/>
      <c r="C42" s="5" t="n"/>
      <c r="D42" s="5" t="n"/>
      <c r="E42" s="5" t="n"/>
      <c r="F42" s="14" t="n"/>
      <c r="G42" s="5" t="n"/>
      <c r="H42" s="5" t="n"/>
      <c r="I42" s="5" t="n"/>
      <c r="J42" s="5" t="n"/>
    </row>
    <row r="43">
      <c r="A43" s="13" t="inlineStr">
        <is>
          <t>PSI-39</t>
        </is>
      </c>
      <c r="B43" s="5" t="n"/>
      <c r="C43" s="5" t="n"/>
      <c r="D43" s="5" t="n"/>
      <c r="E43" s="5" t="n"/>
      <c r="F43" s="14" t="n"/>
      <c r="G43" s="5" t="n"/>
      <c r="H43" s="5" t="n"/>
      <c r="I43" s="5" t="n"/>
      <c r="J43" s="5" t="n"/>
    </row>
    <row r="44">
      <c r="A44" s="13" t="inlineStr">
        <is>
          <t>PSI-40</t>
        </is>
      </c>
      <c r="B44" s="5" t="n"/>
      <c r="C44" s="5" t="n"/>
      <c r="D44" s="5" t="n"/>
      <c r="E44" s="5" t="n"/>
      <c r="F44" s="14" t="n"/>
      <c r="G44" s="5" t="n"/>
      <c r="H44" s="5" t="n"/>
      <c r="I44" s="5" t="n"/>
      <c r="J44" s="5" t="n"/>
    </row>
    <row r="45">
      <c r="A45" s="13" t="inlineStr">
        <is>
          <t>PSI-41</t>
        </is>
      </c>
      <c r="B45" s="5" t="n"/>
      <c r="C45" s="5" t="n"/>
      <c r="D45" s="5" t="n"/>
      <c r="E45" s="5" t="n"/>
      <c r="F45" s="14" t="n"/>
      <c r="G45" s="5" t="n"/>
      <c r="H45" s="5" t="n"/>
      <c r="I45" s="5" t="n"/>
      <c r="J45" s="5" t="n"/>
    </row>
    <row r="46">
      <c r="A46" s="13" t="inlineStr">
        <is>
          <t>PSI-42</t>
        </is>
      </c>
      <c r="B46" s="5" t="n"/>
      <c r="C46" s="5" t="n"/>
      <c r="D46" s="5" t="n"/>
      <c r="E46" s="5" t="n"/>
      <c r="F46" s="14" t="n"/>
      <c r="G46" s="5" t="n"/>
      <c r="H46" s="5" t="n"/>
      <c r="I46" s="5" t="n"/>
      <c r="J46" s="5" t="n"/>
    </row>
    <row r="47">
      <c r="A47" s="13" t="inlineStr">
        <is>
          <t>PSI-43</t>
        </is>
      </c>
      <c r="B47" s="5" t="n"/>
      <c r="C47" s="5" t="n"/>
      <c r="D47" s="5" t="n"/>
      <c r="E47" s="5" t="n"/>
      <c r="F47" s="14" t="n"/>
      <c r="G47" s="5" t="n"/>
      <c r="H47" s="5" t="n"/>
      <c r="I47" s="5" t="n"/>
      <c r="J47" s="5" t="n"/>
    </row>
    <row r="48">
      <c r="A48" s="13" t="inlineStr">
        <is>
          <t>PSI-44</t>
        </is>
      </c>
      <c r="B48" s="5" t="n"/>
      <c r="C48" s="5" t="n"/>
      <c r="D48" s="5" t="n"/>
      <c r="E48" s="5" t="n"/>
      <c r="F48" s="14" t="n"/>
      <c r="G48" s="5" t="n"/>
      <c r="H48" s="5" t="n"/>
      <c r="I48" s="5" t="n"/>
      <c r="J48" s="5" t="n"/>
    </row>
    <row r="49">
      <c r="A49" s="13" t="inlineStr">
        <is>
          <t>PSI-45</t>
        </is>
      </c>
      <c r="B49" s="5" t="n"/>
      <c r="C49" s="5" t="n"/>
      <c r="D49" s="5" t="n"/>
      <c r="E49" s="5" t="n"/>
      <c r="F49" s="14" t="n"/>
      <c r="G49" s="5" t="n"/>
      <c r="H49" s="5" t="n"/>
      <c r="I49" s="5" t="n"/>
      <c r="J49" s="5" t="n"/>
    </row>
    <row r="50">
      <c r="A50" s="13" t="inlineStr">
        <is>
          <t>PSI-46</t>
        </is>
      </c>
      <c r="B50" s="5" t="n"/>
      <c r="C50" s="5" t="n"/>
      <c r="D50" s="5" t="n"/>
      <c r="E50" s="5" t="n"/>
      <c r="F50" s="14" t="n"/>
      <c r="G50" s="5" t="n"/>
      <c r="H50" s="5" t="n"/>
      <c r="I50" s="5" t="n"/>
      <c r="J50" s="5" t="n"/>
    </row>
    <row r="51">
      <c r="A51" s="13" t="inlineStr">
        <is>
          <t>PSI-47</t>
        </is>
      </c>
      <c r="B51" s="5" t="n"/>
      <c r="C51" s="5" t="n"/>
      <c r="D51" s="5" t="n"/>
      <c r="E51" s="5" t="n"/>
      <c r="F51" s="14" t="n"/>
      <c r="G51" s="5" t="n"/>
      <c r="H51" s="5" t="n"/>
      <c r="I51" s="5" t="n"/>
      <c r="J51" s="5" t="n"/>
    </row>
    <row r="52">
      <c r="A52" s="13" t="inlineStr">
        <is>
          <t>PSI-48</t>
        </is>
      </c>
      <c r="B52" s="5" t="n"/>
      <c r="C52" s="5" t="n"/>
      <c r="D52" s="5" t="n"/>
      <c r="E52" s="5" t="n"/>
      <c r="F52" s="14" t="n"/>
      <c r="G52" s="5" t="n"/>
      <c r="H52" s="5" t="n"/>
      <c r="I52" s="5" t="n"/>
      <c r="J52" s="5" t="n"/>
    </row>
    <row r="53">
      <c r="A53" s="13" t="inlineStr">
        <is>
          <t>PSI-49</t>
        </is>
      </c>
      <c r="B53" s="5" t="n"/>
      <c r="C53" s="5" t="n"/>
      <c r="D53" s="5" t="n"/>
      <c r="E53" s="5" t="n"/>
      <c r="F53" s="14" t="n"/>
      <c r="G53" s="5" t="n"/>
      <c r="H53" s="5" t="n"/>
      <c r="I53" s="5" t="n"/>
      <c r="J53" s="5" t="n"/>
    </row>
    <row r="54">
      <c r="A54" s="13" t="inlineStr">
        <is>
          <t>PSI-50</t>
        </is>
      </c>
      <c r="B54" s="5" t="n"/>
      <c r="C54" s="5" t="n"/>
      <c r="D54" s="5" t="n"/>
      <c r="E54" s="5" t="n"/>
      <c r="F54" s="14" t="n"/>
      <c r="G54" s="5" t="n"/>
      <c r="H54" s="5" t="n"/>
      <c r="I54" s="5" t="n"/>
      <c r="J54" s="5" t="n"/>
    </row>
  </sheetData>
  <autoFilter ref="A4:J54"/>
  <dataValidations count="2">
    <dataValidation sqref="B5:B54" showDropDown="0" showInputMessage="0" showErrorMessage="1" allowBlank="1" errorTitle="Not in list" error="Entry is not in the list – it will be accepted as free text." type="list" errorStyle="information">
      <formula1>=PSICategories</formula1>
    </dataValidation>
    <dataValidation sqref="H5:H54" showDropDown="0" showInputMessage="0" showErrorMessage="1" allowBlank="1" type="list">
      <formula1>"Available,Outstanding,Superseded,Not applicable"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I34"/>
  <sheetViews>
    <sheetView workbookViewId="0">
      <pane xSplit="2" ySplit="4" topLeftCell="C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9" customWidth="1" min="1" max="1"/>
    <col width="28" customWidth="1" min="2" max="2"/>
    <col width="34" customWidth="1" min="3" max="3"/>
    <col width="20" customWidth="1" min="4" max="4"/>
    <col width="34" customWidth="1" min="5" max="5"/>
    <col width="48" customWidth="1" min="6" max="6"/>
    <col width="34" customWidth="1" min="7" max="7"/>
    <col width="34" customWidth="1" min="8" max="8"/>
    <col width="24" customWidth="1" min="9" max="9"/>
  </cols>
  <sheetData>
    <row r="1">
      <c r="A1" s="1" t="inlineStr">
        <is>
          <t>NODE LIST</t>
        </is>
      </c>
    </row>
    <row r="2">
      <c r="A2" s="2" t="inlineStr">
        <is>
          <t>One row per node. Node title (column C) feeds the drop-down at the top of each node worksheet.</t>
        </is>
      </c>
    </row>
    <row r="4">
      <c r="A4" s="8" t="inlineStr">
        <is>
          <t>Node No.</t>
        </is>
      </c>
      <c r="B4" s="8" t="inlineStr">
        <is>
          <t>Node name</t>
        </is>
      </c>
      <c r="C4" s="8" t="inlineStr">
        <is>
          <t>Node title (auto)</t>
        </is>
      </c>
      <c r="D4" s="8" t="inlineStr">
        <is>
          <t>P&amp;IDs / drawings</t>
        </is>
      </c>
      <c r="E4" s="8" t="inlineStr">
        <is>
          <t>Battery limits (from – to)</t>
        </is>
      </c>
      <c r="F4" s="8" t="inlineStr">
        <is>
          <t>Functional description / design intent</t>
        </is>
      </c>
      <c r="G4" s="8" t="inlineStr">
        <is>
          <t>Design parameters</t>
        </is>
      </c>
      <c r="H4" s="8" t="inlineStr">
        <is>
          <t>Operating parameters</t>
        </is>
      </c>
      <c r="I4" s="8" t="inlineStr">
        <is>
          <t>Comments</t>
        </is>
      </c>
    </row>
    <row r="5" ht="45" customHeight="1">
      <c r="A5" s="12" t="inlineStr">
        <is>
          <t>N01</t>
        </is>
      </c>
      <c r="B5" s="5" t="inlineStr">
        <is>
          <t>Hot DRI transfer conveyor – shaft discharge to EAF charging bin</t>
        </is>
      </c>
      <c r="C5" s="6">
        <f>IF(B5="","",A5&amp;" – "&amp;B5)</f>
        <v/>
      </c>
      <c r="D5" s="5" t="inlineStr">
        <is>
          <t>P&amp;ID-DRI-301, 302</t>
        </is>
      </c>
      <c r="E5" s="5" t="inlineStr">
        <is>
          <t>From the reduction shaft hot DRI discharge chute to the inlet of the EAF hot-charging bin, incl. belt conveyor, drive, hood enclosure, gallery, dust extraction and emergency discharge chute</t>
        </is>
      </c>
      <c r="F5" s="5" t="inlineStr">
        <is>
          <t>Transfer hot DRI continuously from the reduction shaft to the EAF charging bin in an enclosed conveyor, preserving its heat and preventing re-oxidation, self-heating and fire</t>
        </is>
      </c>
      <c r="G5" s="5" t="inlineStr">
        <is>
          <t>Example: belt capacity 250 t/h; belt speed 2 m/s; enclosed hood with N2 inerting connection; DRI discharge temperature and belt temperature rating – to be confirmed from the design basis</t>
        </is>
      </c>
      <c r="H5" s="5" t="inlineStr">
        <is>
          <t>Example: 150–200 t/h hot DRI; continuous operation; hood under slight negative pressure (dust extraction)</t>
        </is>
      </c>
      <c r="I5" s="15" t="inlineStr">
        <is>
          <t>Example rows – overwrite with your study nodes.</t>
        </is>
      </c>
    </row>
    <row r="6" ht="45" customHeight="1">
      <c r="A6" s="12" t="inlineStr">
        <is>
          <t>N02</t>
        </is>
      </c>
      <c r="B6" s="5" t="inlineStr">
        <is>
          <t>N2 fire detection, inerting &amp; extinguishing system for the conveyor</t>
        </is>
      </c>
      <c r="C6" s="6">
        <f>IF(B6="","",A6&amp;" – "&amp;B6)</f>
        <v/>
      </c>
      <c r="D6" s="5" t="inlineStr">
        <is>
          <t>P&amp;ID-N2-305</t>
        </is>
      </c>
      <c r="E6" s="5" t="inlineStr">
        <is>
          <t>From the plant N2 header isolation valve via buffer vessel V-212, regulator PCV-211 and release valves XV-210A/B to the distribution header and nozzles in the hood; detection SS-201, WT-201, LHD-201, GD-201A/B and control panel UCP-210</t>
        </is>
      </c>
      <c r="F6" s="5" t="inlineStr">
        <is>
          <t>Detect a stoppage under load or a fire and flood the conveyor enclosure with N2 to prevent or extinguish a fire</t>
        </is>
      </c>
      <c r="G6" s="5" t="inlineStr">
        <is>
          <t>Example: buffer vessel 10 barg; delivery at regulated pressure; discharge time per fire-protection design basis</t>
        </is>
      </c>
      <c r="H6" s="5" t="inlineStr">
        <is>
          <t>Example: buffer vessel 6–8 barg; system on automatic; manual release from control room and local station</t>
        </is>
      </c>
      <c r="I6" s="5" t="n"/>
    </row>
    <row r="7" ht="45" customHeight="1">
      <c r="A7" s="12" t="inlineStr">
        <is>
          <t>N03</t>
        </is>
      </c>
      <c r="B7" s="5" t="inlineStr"/>
      <c r="C7" s="6">
        <f>IF(B7="","",A7&amp;" – "&amp;B7)</f>
        <v/>
      </c>
      <c r="D7" s="5" t="inlineStr"/>
      <c r="E7" s="5" t="inlineStr"/>
      <c r="F7" s="5" t="inlineStr"/>
      <c r="G7" s="5" t="inlineStr"/>
      <c r="H7" s="5" t="inlineStr"/>
      <c r="I7" s="5" t="n"/>
    </row>
    <row r="8" ht="45" customHeight="1">
      <c r="A8" s="12" t="inlineStr">
        <is>
          <t>N04</t>
        </is>
      </c>
      <c r="B8" s="5" t="inlineStr"/>
      <c r="C8" s="6">
        <f>IF(B8="","",A8&amp;" – "&amp;B8)</f>
        <v/>
      </c>
      <c r="D8" s="5" t="inlineStr"/>
      <c r="E8" s="5" t="inlineStr"/>
      <c r="F8" s="5" t="inlineStr"/>
      <c r="G8" s="5" t="inlineStr"/>
      <c r="H8" s="5" t="inlineStr"/>
      <c r="I8" s="5" t="n"/>
    </row>
    <row r="9" ht="45" customHeight="1">
      <c r="A9" s="12" t="inlineStr">
        <is>
          <t>N05</t>
        </is>
      </c>
      <c r="B9" s="5" t="inlineStr"/>
      <c r="C9" s="6">
        <f>IF(B9="","",A9&amp;" – "&amp;B9)</f>
        <v/>
      </c>
      <c r="D9" s="5" t="inlineStr"/>
      <c r="E9" s="5" t="inlineStr"/>
      <c r="F9" s="5" t="inlineStr"/>
      <c r="G9" s="5" t="inlineStr"/>
      <c r="H9" s="5" t="inlineStr"/>
      <c r="I9" s="5" t="n"/>
    </row>
    <row r="10" ht="45" customHeight="1">
      <c r="A10" s="12" t="inlineStr">
        <is>
          <t>N06</t>
        </is>
      </c>
      <c r="B10" s="5" t="inlineStr"/>
      <c r="C10" s="6">
        <f>IF(B10="","",A10&amp;" – "&amp;B10)</f>
        <v/>
      </c>
      <c r="D10" s="5" t="inlineStr"/>
      <c r="E10" s="5" t="inlineStr"/>
      <c r="F10" s="5" t="inlineStr"/>
      <c r="G10" s="5" t="inlineStr"/>
      <c r="H10" s="5" t="inlineStr"/>
      <c r="I10" s="5" t="n"/>
    </row>
    <row r="11" ht="45" customHeight="1">
      <c r="A11" s="12" t="inlineStr">
        <is>
          <t>N07</t>
        </is>
      </c>
      <c r="B11" s="5" t="inlineStr"/>
      <c r="C11" s="6">
        <f>IF(B11="","",A11&amp;" – "&amp;B11)</f>
        <v/>
      </c>
      <c r="D11" s="5" t="inlineStr"/>
      <c r="E11" s="5" t="inlineStr"/>
      <c r="F11" s="5" t="inlineStr"/>
      <c r="G11" s="5" t="inlineStr"/>
      <c r="H11" s="5" t="inlineStr"/>
      <c r="I11" s="5" t="n"/>
    </row>
    <row r="12" ht="45" customHeight="1">
      <c r="A12" s="12" t="inlineStr">
        <is>
          <t>N08</t>
        </is>
      </c>
      <c r="B12" s="5" t="inlineStr"/>
      <c r="C12" s="6">
        <f>IF(B12="","",A12&amp;" – "&amp;B12)</f>
        <v/>
      </c>
      <c r="D12" s="5" t="inlineStr"/>
      <c r="E12" s="5" t="inlineStr"/>
      <c r="F12" s="5" t="inlineStr"/>
      <c r="G12" s="5" t="inlineStr"/>
      <c r="H12" s="5" t="inlineStr"/>
      <c r="I12" s="5" t="n"/>
    </row>
    <row r="13" ht="45" customHeight="1">
      <c r="A13" s="12" t="inlineStr">
        <is>
          <t>N09</t>
        </is>
      </c>
      <c r="B13" s="5" t="inlineStr"/>
      <c r="C13" s="6">
        <f>IF(B13="","",A13&amp;" – "&amp;B13)</f>
        <v/>
      </c>
      <c r="D13" s="5" t="inlineStr"/>
      <c r="E13" s="5" t="inlineStr"/>
      <c r="F13" s="5" t="inlineStr"/>
      <c r="G13" s="5" t="inlineStr"/>
      <c r="H13" s="5" t="inlineStr"/>
      <c r="I13" s="5" t="n"/>
    </row>
    <row r="14" ht="45" customHeight="1">
      <c r="A14" s="12" t="inlineStr">
        <is>
          <t>N10</t>
        </is>
      </c>
      <c r="B14" s="5" t="inlineStr"/>
      <c r="C14" s="6">
        <f>IF(B14="","",A14&amp;" – "&amp;B14)</f>
        <v/>
      </c>
      <c r="D14" s="5" t="inlineStr"/>
      <c r="E14" s="5" t="inlineStr"/>
      <c r="F14" s="5" t="inlineStr"/>
      <c r="G14" s="5" t="inlineStr"/>
      <c r="H14" s="5" t="inlineStr"/>
      <c r="I14" s="5" t="n"/>
    </row>
    <row r="15" ht="45" customHeight="1">
      <c r="A15" s="12" t="inlineStr">
        <is>
          <t>N11</t>
        </is>
      </c>
      <c r="B15" s="5" t="inlineStr"/>
      <c r="C15" s="6">
        <f>IF(B15="","",A15&amp;" – "&amp;B15)</f>
        <v/>
      </c>
      <c r="D15" s="5" t="inlineStr"/>
      <c r="E15" s="5" t="inlineStr"/>
      <c r="F15" s="5" t="inlineStr"/>
      <c r="G15" s="5" t="inlineStr"/>
      <c r="H15" s="5" t="inlineStr"/>
      <c r="I15" s="5" t="n"/>
    </row>
    <row r="16" ht="45" customHeight="1">
      <c r="A16" s="12" t="inlineStr">
        <is>
          <t>N12</t>
        </is>
      </c>
      <c r="B16" s="5" t="inlineStr"/>
      <c r="C16" s="6">
        <f>IF(B16="","",A16&amp;" – "&amp;B16)</f>
        <v/>
      </c>
      <c r="D16" s="5" t="inlineStr"/>
      <c r="E16" s="5" t="inlineStr"/>
      <c r="F16" s="5" t="inlineStr"/>
      <c r="G16" s="5" t="inlineStr"/>
      <c r="H16" s="5" t="inlineStr"/>
      <c r="I16" s="5" t="n"/>
    </row>
    <row r="17" ht="45" customHeight="1">
      <c r="A17" s="12" t="inlineStr">
        <is>
          <t>N13</t>
        </is>
      </c>
      <c r="B17" s="5" t="inlineStr"/>
      <c r="C17" s="6">
        <f>IF(B17="","",A17&amp;" – "&amp;B17)</f>
        <v/>
      </c>
      <c r="D17" s="5" t="inlineStr"/>
      <c r="E17" s="5" t="inlineStr"/>
      <c r="F17" s="5" t="inlineStr"/>
      <c r="G17" s="5" t="inlineStr"/>
      <c r="H17" s="5" t="inlineStr"/>
      <c r="I17" s="5" t="n"/>
    </row>
    <row r="18" ht="45" customHeight="1">
      <c r="A18" s="12" t="inlineStr">
        <is>
          <t>N14</t>
        </is>
      </c>
      <c r="B18" s="5" t="inlineStr"/>
      <c r="C18" s="6">
        <f>IF(B18="","",A18&amp;" – "&amp;B18)</f>
        <v/>
      </c>
      <c r="D18" s="5" t="inlineStr"/>
      <c r="E18" s="5" t="inlineStr"/>
      <c r="F18" s="5" t="inlineStr"/>
      <c r="G18" s="5" t="inlineStr"/>
      <c r="H18" s="5" t="inlineStr"/>
      <c r="I18" s="5" t="n"/>
    </row>
    <row r="19" ht="45" customHeight="1">
      <c r="A19" s="12" t="inlineStr">
        <is>
          <t>N15</t>
        </is>
      </c>
      <c r="B19" s="5" t="inlineStr"/>
      <c r="C19" s="6">
        <f>IF(B19="","",A19&amp;" – "&amp;B19)</f>
        <v/>
      </c>
      <c r="D19" s="5" t="inlineStr"/>
      <c r="E19" s="5" t="inlineStr"/>
      <c r="F19" s="5" t="inlineStr"/>
      <c r="G19" s="5" t="inlineStr"/>
      <c r="H19" s="5" t="inlineStr"/>
      <c r="I19" s="5" t="n"/>
    </row>
    <row r="20" ht="45" customHeight="1">
      <c r="A20" s="12" t="inlineStr">
        <is>
          <t>N16</t>
        </is>
      </c>
      <c r="B20" s="5" t="inlineStr"/>
      <c r="C20" s="6">
        <f>IF(B20="","",A20&amp;" – "&amp;B20)</f>
        <v/>
      </c>
      <c r="D20" s="5" t="inlineStr"/>
      <c r="E20" s="5" t="inlineStr"/>
      <c r="F20" s="5" t="inlineStr"/>
      <c r="G20" s="5" t="inlineStr"/>
      <c r="H20" s="5" t="inlineStr"/>
      <c r="I20" s="5" t="n"/>
    </row>
    <row r="21" ht="45" customHeight="1">
      <c r="A21" s="12" t="inlineStr">
        <is>
          <t>N17</t>
        </is>
      </c>
      <c r="B21" s="5" t="inlineStr"/>
      <c r="C21" s="6">
        <f>IF(B21="","",A21&amp;" – "&amp;B21)</f>
        <v/>
      </c>
      <c r="D21" s="5" t="inlineStr"/>
      <c r="E21" s="5" t="inlineStr"/>
      <c r="F21" s="5" t="inlineStr"/>
      <c r="G21" s="5" t="inlineStr"/>
      <c r="H21" s="5" t="inlineStr"/>
      <c r="I21" s="5" t="n"/>
    </row>
    <row r="22" ht="45" customHeight="1">
      <c r="A22" s="12" t="inlineStr">
        <is>
          <t>N18</t>
        </is>
      </c>
      <c r="B22" s="5" t="inlineStr"/>
      <c r="C22" s="6">
        <f>IF(B22="","",A22&amp;" – "&amp;B22)</f>
        <v/>
      </c>
      <c r="D22" s="5" t="inlineStr"/>
      <c r="E22" s="5" t="inlineStr"/>
      <c r="F22" s="5" t="inlineStr"/>
      <c r="G22" s="5" t="inlineStr"/>
      <c r="H22" s="5" t="inlineStr"/>
      <c r="I22" s="5" t="n"/>
    </row>
    <row r="23" ht="45" customHeight="1">
      <c r="A23" s="12" t="inlineStr">
        <is>
          <t>N19</t>
        </is>
      </c>
      <c r="B23" s="5" t="inlineStr"/>
      <c r="C23" s="6">
        <f>IF(B23="","",A23&amp;" – "&amp;B23)</f>
        <v/>
      </c>
      <c r="D23" s="5" t="inlineStr"/>
      <c r="E23" s="5" t="inlineStr"/>
      <c r="F23" s="5" t="inlineStr"/>
      <c r="G23" s="5" t="inlineStr"/>
      <c r="H23" s="5" t="inlineStr"/>
      <c r="I23" s="5" t="n"/>
    </row>
    <row r="24" ht="45" customHeight="1">
      <c r="A24" s="12" t="inlineStr">
        <is>
          <t>N20</t>
        </is>
      </c>
      <c r="B24" s="5" t="inlineStr"/>
      <c r="C24" s="6">
        <f>IF(B24="","",A24&amp;" – "&amp;B24)</f>
        <v/>
      </c>
      <c r="D24" s="5" t="inlineStr"/>
      <c r="E24" s="5" t="inlineStr"/>
      <c r="F24" s="5" t="inlineStr"/>
      <c r="G24" s="5" t="inlineStr"/>
      <c r="H24" s="5" t="inlineStr"/>
      <c r="I24" s="5" t="n"/>
    </row>
    <row r="25" ht="45" customHeight="1">
      <c r="A25" s="12" t="inlineStr">
        <is>
          <t>N21</t>
        </is>
      </c>
      <c r="B25" s="5" t="inlineStr"/>
      <c r="C25" s="6">
        <f>IF(B25="","",A25&amp;" – "&amp;B25)</f>
        <v/>
      </c>
      <c r="D25" s="5" t="inlineStr"/>
      <c r="E25" s="5" t="inlineStr"/>
      <c r="F25" s="5" t="inlineStr"/>
      <c r="G25" s="5" t="inlineStr"/>
      <c r="H25" s="5" t="inlineStr"/>
      <c r="I25" s="5" t="n"/>
    </row>
    <row r="26" ht="45" customHeight="1">
      <c r="A26" s="12" t="inlineStr">
        <is>
          <t>N22</t>
        </is>
      </c>
      <c r="B26" s="5" t="inlineStr"/>
      <c r="C26" s="6">
        <f>IF(B26="","",A26&amp;" – "&amp;B26)</f>
        <v/>
      </c>
      <c r="D26" s="5" t="inlineStr"/>
      <c r="E26" s="5" t="inlineStr"/>
      <c r="F26" s="5" t="inlineStr"/>
      <c r="G26" s="5" t="inlineStr"/>
      <c r="H26" s="5" t="inlineStr"/>
      <c r="I26" s="5" t="n"/>
    </row>
    <row r="27" ht="45" customHeight="1">
      <c r="A27" s="12" t="inlineStr">
        <is>
          <t>N23</t>
        </is>
      </c>
      <c r="B27" s="5" t="inlineStr"/>
      <c r="C27" s="6">
        <f>IF(B27="","",A27&amp;" – "&amp;B27)</f>
        <v/>
      </c>
      <c r="D27" s="5" t="inlineStr"/>
      <c r="E27" s="5" t="inlineStr"/>
      <c r="F27" s="5" t="inlineStr"/>
      <c r="G27" s="5" t="inlineStr"/>
      <c r="H27" s="5" t="inlineStr"/>
      <c r="I27" s="5" t="n"/>
    </row>
    <row r="28" ht="45" customHeight="1">
      <c r="A28" s="12" t="inlineStr">
        <is>
          <t>N24</t>
        </is>
      </c>
      <c r="B28" s="5" t="inlineStr"/>
      <c r="C28" s="6">
        <f>IF(B28="","",A28&amp;" – "&amp;B28)</f>
        <v/>
      </c>
      <c r="D28" s="5" t="inlineStr"/>
      <c r="E28" s="5" t="inlineStr"/>
      <c r="F28" s="5" t="inlineStr"/>
      <c r="G28" s="5" t="inlineStr"/>
      <c r="H28" s="5" t="inlineStr"/>
      <c r="I28" s="5" t="n"/>
    </row>
    <row r="29" ht="45" customHeight="1">
      <c r="A29" s="12" t="inlineStr">
        <is>
          <t>N25</t>
        </is>
      </c>
      <c r="B29" s="5" t="inlineStr"/>
      <c r="C29" s="6">
        <f>IF(B29="","",A29&amp;" – "&amp;B29)</f>
        <v/>
      </c>
      <c r="D29" s="5" t="inlineStr"/>
      <c r="E29" s="5" t="inlineStr"/>
      <c r="F29" s="5" t="inlineStr"/>
      <c r="G29" s="5" t="inlineStr"/>
      <c r="H29" s="5" t="inlineStr"/>
      <c r="I29" s="5" t="n"/>
    </row>
    <row r="30" ht="45" customHeight="1">
      <c r="A30" s="12" t="inlineStr">
        <is>
          <t>N26</t>
        </is>
      </c>
      <c r="B30" s="5" t="inlineStr"/>
      <c r="C30" s="6">
        <f>IF(B30="","",A30&amp;" – "&amp;B30)</f>
        <v/>
      </c>
      <c r="D30" s="5" t="inlineStr"/>
      <c r="E30" s="5" t="inlineStr"/>
      <c r="F30" s="5" t="inlineStr"/>
      <c r="G30" s="5" t="inlineStr"/>
      <c r="H30" s="5" t="inlineStr"/>
      <c r="I30" s="5" t="n"/>
    </row>
    <row r="31" ht="45" customHeight="1">
      <c r="A31" s="12" t="inlineStr">
        <is>
          <t>N27</t>
        </is>
      </c>
      <c r="B31" s="5" t="inlineStr"/>
      <c r="C31" s="6">
        <f>IF(B31="","",A31&amp;" – "&amp;B31)</f>
        <v/>
      </c>
      <c r="D31" s="5" t="inlineStr"/>
      <c r="E31" s="5" t="inlineStr"/>
      <c r="F31" s="5" t="inlineStr"/>
      <c r="G31" s="5" t="inlineStr"/>
      <c r="H31" s="5" t="inlineStr"/>
      <c r="I31" s="5" t="n"/>
    </row>
    <row r="32" ht="45" customHeight="1">
      <c r="A32" s="12" t="inlineStr">
        <is>
          <t>N28</t>
        </is>
      </c>
      <c r="B32" s="5" t="inlineStr"/>
      <c r="C32" s="6">
        <f>IF(B32="","",A32&amp;" – "&amp;B32)</f>
        <v/>
      </c>
      <c r="D32" s="5" t="inlineStr"/>
      <c r="E32" s="5" t="inlineStr"/>
      <c r="F32" s="5" t="inlineStr"/>
      <c r="G32" s="5" t="inlineStr"/>
      <c r="H32" s="5" t="inlineStr"/>
      <c r="I32" s="5" t="n"/>
    </row>
    <row r="33" ht="45" customHeight="1">
      <c r="A33" s="12" t="inlineStr">
        <is>
          <t>N29</t>
        </is>
      </c>
      <c r="B33" s="5" t="inlineStr"/>
      <c r="C33" s="6">
        <f>IF(B33="","",A33&amp;" – "&amp;B33)</f>
        <v/>
      </c>
      <c r="D33" s="5" t="inlineStr"/>
      <c r="E33" s="5" t="inlineStr"/>
      <c r="F33" s="5" t="inlineStr"/>
      <c r="G33" s="5" t="inlineStr"/>
      <c r="H33" s="5" t="inlineStr"/>
      <c r="I33" s="5" t="n"/>
    </row>
    <row r="34" ht="45" customHeight="1">
      <c r="A34" s="12" t="inlineStr">
        <is>
          <t>N30</t>
        </is>
      </c>
      <c r="B34" s="5" t="inlineStr"/>
      <c r="C34" s="6">
        <f>IF(B34="","",A34&amp;" – "&amp;B34)</f>
        <v/>
      </c>
      <c r="D34" s="5" t="inlineStr"/>
      <c r="E34" s="5" t="inlineStr"/>
      <c r="F34" s="5" t="inlineStr"/>
      <c r="G34" s="5" t="inlineStr"/>
      <c r="H34" s="5" t="inlineStr"/>
      <c r="I34" s="5" t="n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P633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40" customWidth="1" min="1" max="1"/>
    <col width="40" customWidth="1" min="3" max="3"/>
    <col width="14" customWidth="1" min="4" max="4"/>
    <col width="30" customWidth="1" min="5" max="5"/>
    <col width="40" customWidth="1" min="6" max="6"/>
    <col width="30" customWidth="1" min="8" max="8"/>
    <col width="80" customWidth="1" min="9" max="9"/>
    <col width="14" customWidth="1" min="11" max="11"/>
    <col width="34" customWidth="1" min="12" max="12"/>
    <col width="22" customWidth="1" min="14" max="14"/>
    <col width="8" customWidth="1" min="16" max="16"/>
  </cols>
  <sheetData>
    <row r="1">
      <c r="A1" s="1" t="inlineStr">
        <is>
          <t>DROP-DOWN LISTS</t>
        </is>
      </c>
    </row>
    <row r="2">
      <c r="A2" s="2" t="inlineStr">
        <is>
          <t>Source: HAZOP Guidewords – Chemical, Steel &amp; Metals. To add a cause, INSERT a row inside its key block (keys must stay grouped). [C] = mainly chemical, [S] = mainly steel &amp; metals.</t>
        </is>
      </c>
    </row>
    <row r="4">
      <c r="A4" s="8" t="inlineStr">
        <is>
          <t>Parameters</t>
        </is>
      </c>
      <c r="C4" s="8" t="inlineStr">
        <is>
          <t>Parameter</t>
        </is>
      </c>
      <c r="D4" s="8" t="inlineStr">
        <is>
          <t>Guideword</t>
        </is>
      </c>
      <c r="E4" s="8" t="inlineStr">
        <is>
          <t>Key</t>
        </is>
      </c>
      <c r="F4" s="8" t="inlineStr">
        <is>
          <t>Typical deviation (from guideword guide)</t>
        </is>
      </c>
      <c r="H4" s="8" t="inlineStr">
        <is>
          <t>Key (parameter|guideword)</t>
        </is>
      </c>
      <c r="I4" s="8" t="inlineStr">
        <is>
          <t>Potential cause</t>
        </is>
      </c>
      <c r="K4" s="8" t="inlineStr">
        <is>
          <t>Guideword</t>
        </is>
      </c>
      <c r="L4" s="8" t="inlineStr">
        <is>
          <t>Meaning</t>
        </is>
      </c>
      <c r="N4" s="8" t="inlineStr">
        <is>
          <t>PSI category</t>
        </is>
      </c>
      <c r="P4" s="8" t="inlineStr">
        <is>
          <t>IPL?</t>
        </is>
      </c>
    </row>
    <row r="5">
      <c r="A5" s="16" t="inlineStr">
        <is>
          <t>Flow</t>
        </is>
      </c>
      <c r="C5" s="16" t="inlineStr">
        <is>
          <t>Flow</t>
        </is>
      </c>
      <c r="D5" s="16" t="inlineStr">
        <is>
          <t>NO</t>
        </is>
      </c>
      <c r="E5" s="16" t="inlineStr">
        <is>
          <t>Flow|NO</t>
        </is>
      </c>
      <c r="F5" s="16" t="inlineStr">
        <is>
          <t>No flow</t>
        </is>
      </c>
      <c r="H5" s="16" t="inlineStr">
        <is>
          <t>Flow|NO</t>
        </is>
      </c>
      <c r="I5" s="16" t="inlineStr">
        <is>
          <t>Empty source vessel, feed tank, bin or gas holder</t>
        </is>
      </c>
      <c r="K5" s="16" t="inlineStr">
        <is>
          <t>NO</t>
        </is>
      </c>
      <c r="L5" s="16" t="inlineStr">
        <is>
          <t>Complete negation of intent</t>
        </is>
      </c>
      <c r="N5" s="16" t="inlineStr">
        <is>
          <t>Drawings</t>
        </is>
      </c>
      <c r="P5" s="16" t="inlineStr">
        <is>
          <t>Yes</t>
        </is>
      </c>
    </row>
    <row r="6">
      <c r="A6" s="16" t="inlineStr">
        <is>
          <t>Pressure</t>
        </is>
      </c>
      <c r="C6" s="16" t="inlineStr">
        <is>
          <t>Flow</t>
        </is>
      </c>
      <c r="D6" s="16" t="inlineStr">
        <is>
          <t>REVERSE</t>
        </is>
      </c>
      <c r="E6" s="16" t="inlineStr">
        <is>
          <t>Flow|REVERSE</t>
        </is>
      </c>
      <c r="F6" s="16" t="inlineStr">
        <is>
          <t>Reverse flow</t>
        </is>
      </c>
      <c r="H6" s="16" t="inlineStr">
        <is>
          <t>Flow|NO</t>
        </is>
      </c>
      <c r="I6" s="16" t="inlineStr">
        <is>
          <t>Wrong routing / incorrect valve line-up</t>
        </is>
      </c>
      <c r="K6" s="16" t="inlineStr">
        <is>
          <t>MORE</t>
        </is>
      </c>
      <c r="L6" s="16" t="inlineStr">
        <is>
          <t>Quantitative increase</t>
        </is>
      </c>
      <c r="N6" s="16" t="inlineStr">
        <is>
          <t>Process technology</t>
        </is>
      </c>
      <c r="P6" s="16" t="inlineStr">
        <is>
          <t>No</t>
        </is>
      </c>
    </row>
    <row r="7">
      <c r="A7" s="16" t="inlineStr">
        <is>
          <t>Temperature</t>
        </is>
      </c>
      <c r="C7" s="16" t="inlineStr">
        <is>
          <t>Flow</t>
        </is>
      </c>
      <c r="D7" s="16" t="inlineStr">
        <is>
          <t>MORE</t>
        </is>
      </c>
      <c r="E7" s="16" t="inlineStr">
        <is>
          <t>Flow|MORE</t>
        </is>
      </c>
      <c r="F7" s="16" t="inlineStr">
        <is>
          <t>More flow</t>
        </is>
      </c>
      <c r="H7" s="16" t="inlineStr">
        <is>
          <t>Flow|NO</t>
        </is>
      </c>
      <c r="I7" s="16" t="inlineStr">
        <is>
          <t>Blockage, gas lock or vapour lock</t>
        </is>
      </c>
      <c r="K7" s="16" t="inlineStr">
        <is>
          <t>LESS</t>
        </is>
      </c>
      <c r="L7" s="16" t="inlineStr">
        <is>
          <t>Quantitative decrease</t>
        </is>
      </c>
      <c r="N7" s="16" t="inlineStr">
        <is>
          <t>Hazardous materials</t>
        </is>
      </c>
    </row>
    <row r="8">
      <c r="A8" s="16" t="inlineStr">
        <is>
          <t>Level</t>
        </is>
      </c>
      <c r="C8" s="16" t="inlineStr">
        <is>
          <t>Flow</t>
        </is>
      </c>
      <c r="D8" s="16" t="inlineStr">
        <is>
          <t>LESS</t>
        </is>
      </c>
      <c r="E8" s="16" t="inlineStr">
        <is>
          <t>Flow|LESS</t>
        </is>
      </c>
      <c r="F8" s="16" t="inlineStr">
        <is>
          <t>Less flow</t>
        </is>
      </c>
      <c r="H8" s="16" t="inlineStr">
        <is>
          <t>Flow|NO</t>
        </is>
      </c>
      <c r="I8" s="16" t="inlineStr">
        <is>
          <t>Slip plate / spectacle blind left in or incorrectly installed</t>
        </is>
      </c>
      <c r="K8" s="16" t="inlineStr">
        <is>
          <t>AS WELL AS</t>
        </is>
      </c>
      <c r="L8" s="16" t="inlineStr">
        <is>
          <t>Something additional present</t>
        </is>
      </c>
      <c r="N8" s="16" t="inlineStr">
        <is>
          <t>Equipment</t>
        </is>
      </c>
    </row>
    <row r="9">
      <c r="A9" s="16" t="inlineStr">
        <is>
          <t>Composition</t>
        </is>
      </c>
      <c r="C9" s="16" t="inlineStr">
        <is>
          <t>Flow</t>
        </is>
      </c>
      <c r="D9" s="16" t="inlineStr">
        <is>
          <t>OTHER THAN</t>
        </is>
      </c>
      <c r="E9" s="16" t="inlineStr">
        <is>
          <t>Flow|OTHER THAN</t>
        </is>
      </c>
      <c r="F9" s="16" t="inlineStr">
        <is>
          <t>Misdirected flow (Other than – wrong destination)</t>
        </is>
      </c>
      <c r="H9" s="16" t="inlineStr">
        <is>
          <t>Flow|NO</t>
        </is>
      </c>
      <c r="I9" s="16" t="inlineStr">
        <is>
          <t>Non-return valve fitted the wrong way round</t>
        </is>
      </c>
      <c r="K9" s="16" t="inlineStr">
        <is>
          <t>PART OF</t>
        </is>
      </c>
      <c r="L9" s="16" t="inlineStr">
        <is>
          <t>Only part of intent achieved</t>
        </is>
      </c>
      <c r="N9" s="16" t="inlineStr">
        <is>
          <t>Procedures</t>
        </is>
      </c>
    </row>
    <row r="10">
      <c r="A10" s="16" t="inlineStr">
        <is>
          <t>Phase</t>
        </is>
      </c>
      <c r="C10" s="16" t="inlineStr">
        <is>
          <t>Flow</t>
        </is>
      </c>
      <c r="D10" s="16" t="inlineStr">
        <is>
          <t>AS WELL AS</t>
        </is>
      </c>
      <c r="E10" s="16" t="inlineStr">
        <is>
          <t>Flow|AS WELL AS</t>
        </is>
      </c>
      <c r="F10" s="16" t="inlineStr">
        <is>
          <t>As well as (additional material or phase in the flow)</t>
        </is>
      </c>
      <c r="H10" s="16" t="inlineStr">
        <is>
          <t>Flow|NO</t>
        </is>
      </c>
      <c r="I10" s="16" t="inlineStr">
        <is>
          <t>Burst pipe or large leak upstream</t>
        </is>
      </c>
      <c r="K10" s="16" t="inlineStr">
        <is>
          <t>REVERSE</t>
        </is>
      </c>
      <c r="L10" s="16" t="inlineStr">
        <is>
          <t>Logical opposite</t>
        </is>
      </c>
      <c r="N10" s="16" t="inlineStr">
        <is>
          <t>Previous studies</t>
        </is>
      </c>
    </row>
    <row r="11">
      <c r="A11" s="16" t="inlineStr">
        <is>
          <t>Reaction</t>
        </is>
      </c>
      <c r="C11" s="16" t="inlineStr">
        <is>
          <t>Pressure</t>
        </is>
      </c>
      <c r="D11" s="16" t="inlineStr">
        <is>
          <t>MORE</t>
        </is>
      </c>
      <c r="E11" s="16" t="inlineStr">
        <is>
          <t>Pressure|MORE</t>
        </is>
      </c>
      <c r="F11" s="16" t="inlineStr">
        <is>
          <t>More pressure</t>
        </is>
      </c>
      <c r="H11" s="16" t="inlineStr">
        <is>
          <t>Flow|NO</t>
        </is>
      </c>
      <c r="I11" s="16" t="inlineStr">
        <is>
          <t>Equipment failure – control valve fails closed, isolation valve, pump or compressor trip, vessel failure</t>
        </is>
      </c>
      <c r="K11" s="16" t="inlineStr">
        <is>
          <t>OTHER THAN</t>
        </is>
      </c>
      <c r="L11" s="16" t="inlineStr">
        <is>
          <t>Complete substitution</t>
        </is>
      </c>
      <c r="N11" s="16" t="inlineStr">
        <is>
          <t>Other</t>
        </is>
      </c>
    </row>
    <row r="12">
      <c r="A12" s="16" t="inlineStr">
        <is>
          <t>Mixing / agitation</t>
        </is>
      </c>
      <c r="C12" s="16" t="inlineStr">
        <is>
          <t>Pressure</t>
        </is>
      </c>
      <c r="D12" s="16" t="inlineStr">
        <is>
          <t>LESS</t>
        </is>
      </c>
      <c r="E12" s="16" t="inlineStr">
        <is>
          <t>Pressure|LESS</t>
        </is>
      </c>
      <c r="F12" s="16" t="inlineStr">
        <is>
          <t>Less pressure (vacuum)</t>
        </is>
      </c>
      <c r="H12" s="16" t="inlineStr">
        <is>
          <t>Flow|NO</t>
        </is>
      </c>
      <c r="I12" s="16" t="inlineStr">
        <is>
          <t>Incorrect pressure differential (downstream pressure higher than upstream)</t>
        </is>
      </c>
      <c r="K12" s="16" t="inlineStr">
        <is>
          <t>EARLY</t>
        </is>
      </c>
      <c r="L12" s="16" t="inlineStr">
        <is>
          <t>Relative to clock time</t>
        </is>
      </c>
    </row>
    <row r="13">
      <c r="A13" s="16" t="inlineStr">
        <is>
          <t>Timing / sequence</t>
        </is>
      </c>
      <c r="C13" s="16" t="inlineStr">
        <is>
          <t>Pressure</t>
        </is>
      </c>
      <c r="D13" s="16" t="inlineStr">
        <is>
          <t>FLUCTUATING</t>
        </is>
      </c>
      <c r="E13" s="16" t="inlineStr">
        <is>
          <t>Pressure|FLUCTUATING</t>
        </is>
      </c>
      <c r="F13" s="16" t="inlineStr">
        <is>
          <t>Pressure fluctuation / surge</t>
        </is>
      </c>
      <c r="H13" s="16" t="inlineStr">
        <is>
          <t>Flow|NO</t>
        </is>
      </c>
      <c r="I13" s="16" t="inlineStr">
        <is>
          <t>Isolation in error (wrong valve closed, LOTO on wrong equipment)</t>
        </is>
      </c>
      <c r="K13" s="16" t="inlineStr">
        <is>
          <t>LATE</t>
        </is>
      </c>
      <c r="L13" s="16" t="inlineStr">
        <is>
          <t>Relative to clock time</t>
        </is>
      </c>
    </row>
    <row r="14">
      <c r="A14" s="16" t="inlineStr">
        <is>
          <t>Rate of change</t>
        </is>
      </c>
      <c r="C14" s="16" t="inlineStr">
        <is>
          <t>Temperature</t>
        </is>
      </c>
      <c r="D14" s="16" t="inlineStr">
        <is>
          <t>MORE</t>
        </is>
      </c>
      <c r="E14" s="16" t="inlineStr">
        <is>
          <t>Temperature|MORE</t>
        </is>
      </c>
      <c r="F14" s="16" t="inlineStr">
        <is>
          <t>More temperature</t>
        </is>
      </c>
      <c r="H14" s="16" t="inlineStr">
        <is>
          <t>Flow|NO</t>
        </is>
      </c>
      <c r="I14" s="16" t="inlineStr">
        <is>
          <t>Power failure; instrument air failure (valves go to fail position)</t>
        </is>
      </c>
      <c r="K14" s="16" t="inlineStr">
        <is>
          <t>BEFORE</t>
        </is>
      </c>
      <c r="L14" s="16" t="inlineStr">
        <is>
          <t>Relative to sequence</t>
        </is>
      </c>
    </row>
    <row r="15">
      <c r="A15" s="16" t="inlineStr">
        <is>
          <t>Viscosity / density</t>
        </is>
      </c>
      <c r="C15" s="16" t="inlineStr">
        <is>
          <t>Temperature</t>
        </is>
      </c>
      <c r="D15" s="16" t="inlineStr">
        <is>
          <t>LESS</t>
        </is>
      </c>
      <c r="E15" s="16" t="inlineStr">
        <is>
          <t>Temperature|LESS</t>
        </is>
      </c>
      <c r="F15" s="16" t="inlineStr">
        <is>
          <t>Less temperature</t>
        </is>
      </c>
      <c r="H15" s="16" t="inlineStr">
        <is>
          <t>Flow|NO</t>
        </is>
      </c>
      <c r="I15" s="16" t="inlineStr">
        <is>
          <t>Control system / DCS / PLC failure; spurious trip</t>
        </is>
      </c>
      <c r="K15" s="16" t="inlineStr">
        <is>
          <t>AFTER</t>
        </is>
      </c>
      <c r="L15" s="16" t="inlineStr">
        <is>
          <t>Relative to sequence</t>
        </is>
      </c>
    </row>
    <row r="16">
      <c r="A16" s="16" t="inlineStr">
        <is>
          <t>Molten metal / slag containment</t>
        </is>
      </c>
      <c r="C16" s="16" t="inlineStr">
        <is>
          <t>Level</t>
        </is>
      </c>
      <c r="D16" s="16" t="inlineStr">
        <is>
          <t>MORE</t>
        </is>
      </c>
      <c r="E16" s="16" t="inlineStr">
        <is>
          <t>Level|MORE</t>
        </is>
      </c>
      <c r="F16" s="16" t="inlineStr">
        <is>
          <t>High level</t>
        </is>
      </c>
      <c r="H16" s="16" t="inlineStr">
        <is>
          <t>Flow|NO</t>
        </is>
      </c>
      <c r="I16" s="16" t="inlineStr">
        <is>
          <t>Line frozen or solidified (loss of heat tracing or jacket heating)</t>
        </is>
      </c>
      <c r="K16" s="16" t="inlineStr">
        <is>
          <t>FASTER</t>
        </is>
      </c>
      <c r="L16" s="16" t="inlineStr">
        <is>
          <t>Rate of step / change</t>
        </is>
      </c>
    </row>
    <row r="17">
      <c r="A17" s="16" t="inlineStr">
        <is>
          <t>Water contact with molten metal / slag</t>
        </is>
      </c>
      <c r="C17" s="16" t="inlineStr">
        <is>
          <t>Level</t>
        </is>
      </c>
      <c r="D17" s="16" t="inlineStr">
        <is>
          <t>LESS</t>
        </is>
      </c>
      <c r="E17" s="16" t="inlineStr">
        <is>
          <t>Level|LESS</t>
        </is>
      </c>
      <c r="F17" s="16" t="inlineStr">
        <is>
          <t>Low level / no level</t>
        </is>
      </c>
      <c r="H17" s="16" t="inlineStr">
        <is>
          <t>Flow|NO</t>
        </is>
      </c>
      <c r="I17" s="16" t="inlineStr">
        <is>
          <t>[C] Polymerisation, crystallisation or hydrate formation in the line</t>
        </is>
      </c>
      <c r="K17" s="16" t="inlineStr">
        <is>
          <t>SLOWER</t>
        </is>
      </c>
      <c r="L17" s="16" t="inlineStr">
        <is>
          <t>Rate of step / change</t>
        </is>
      </c>
    </row>
    <row r="18">
      <c r="A18" s="16" t="inlineStr">
        <is>
          <t>Cooling water flow (water-cooled elements)</t>
        </is>
      </c>
      <c r="C18" s="16" t="inlineStr">
        <is>
          <t>Level</t>
        </is>
      </c>
      <c r="D18" s="16" t="inlineStr">
        <is>
          <t>NO</t>
        </is>
      </c>
      <c r="E18" s="16" t="inlineStr">
        <is>
          <t>Level|NO</t>
        </is>
      </c>
      <c r="F18" s="16" t="inlineStr">
        <is>
          <t>Low level / no level</t>
        </is>
      </c>
      <c r="H18" s="16" t="inlineStr">
        <is>
          <t>Flow|NO</t>
        </is>
      </c>
      <c r="I18" s="16" t="inlineStr">
        <is>
          <t>[S] Molten metal or slag frozen in launder, runner, tap hole or nozzle (skull formation)</t>
        </is>
      </c>
      <c r="K18" s="16" t="inlineStr">
        <is>
          <t>FLUCTUATING</t>
        </is>
      </c>
      <c r="L18" s="16" t="inlineStr">
        <is>
          <t>Unstable / surging</t>
        </is>
      </c>
    </row>
    <row r="19">
      <c r="A19" s="16" t="inlineStr">
        <is>
          <t>Water-cooled element integrity</t>
        </is>
      </c>
      <c r="C19" s="16" t="inlineStr">
        <is>
          <t>Composition</t>
        </is>
      </c>
      <c r="D19" s="16" t="inlineStr">
        <is>
          <t>AS WELL AS</t>
        </is>
      </c>
      <c r="E19" s="16" t="inlineStr">
        <is>
          <t>Composition|AS WELL AS</t>
        </is>
      </c>
      <c r="F19" s="16" t="inlineStr">
        <is>
          <t>Contamination / composition change (As well as)</t>
        </is>
      </c>
      <c r="H19" s="16" t="inlineStr">
        <is>
          <t>Flow|NO</t>
        </is>
      </c>
      <c r="I19" s="16" t="inlineStr">
        <is>
          <t>[S] Blocked tuyere, lance tip, burner or porous plug</t>
        </is>
      </c>
      <c r="K19" s="16" t="inlineStr">
        <is>
          <t>LOSS OF</t>
        </is>
      </c>
      <c r="L19" s="16" t="inlineStr">
        <is>
          <t>Loss of function or containment</t>
        </is>
      </c>
    </row>
    <row r="20">
      <c r="A20" s="16" t="inlineStr">
        <is>
          <t>Process gas (CO, H2 – BFG, COG, LD gas, reducing gas)</t>
        </is>
      </c>
      <c r="C20" s="16" t="inlineStr">
        <is>
          <t>Composition</t>
        </is>
      </c>
      <c r="D20" s="16" t="inlineStr">
        <is>
          <t>PART OF</t>
        </is>
      </c>
      <c r="E20" s="16" t="inlineStr">
        <is>
          <t>Composition|PART OF</t>
        </is>
      </c>
      <c r="F20" s="16" t="inlineStr">
        <is>
          <t>Part of (wrong ratio / concentration)</t>
        </is>
      </c>
      <c r="H20" s="16" t="inlineStr">
        <is>
          <t>Flow|NO</t>
        </is>
      </c>
      <c r="I20" s="16" t="inlineStr">
        <is>
          <t>[S] Bridging / hang-up of burden, DRI, pellets or scrap in bins, chutes or shaft furnace</t>
        </is>
      </c>
      <c r="K20" s="16" t="inlineStr">
        <is>
          <t>LEAK OF</t>
        </is>
      </c>
      <c r="L20" s="16" t="inlineStr">
        <is>
          <t>Release from containment</t>
        </is>
      </c>
    </row>
    <row r="21">
      <c r="A21" s="16" t="inlineStr">
        <is>
          <t>Air / oxygen in process gas</t>
        </is>
      </c>
      <c r="C21" s="16" t="inlineStr">
        <is>
          <t>Composition</t>
        </is>
      </c>
      <c r="D21" s="16" t="inlineStr">
        <is>
          <t>OTHER THAN</t>
        </is>
      </c>
      <c r="E21" s="16" t="inlineStr">
        <is>
          <t>Composition|OTHER THAN</t>
        </is>
      </c>
      <c r="F21" s="16" t="inlineStr">
        <is>
          <t>Other than (wrong material)</t>
        </is>
      </c>
      <c r="H21" s="16" t="inlineStr">
        <is>
          <t>Flow|NO</t>
        </is>
      </c>
      <c r="I21" s="16" t="inlineStr">
        <is>
          <t>[S] Conveyor, feeder or vibratory feeder stopped (belt tear, drive trip, chute blockage)</t>
        </is>
      </c>
      <c r="K21" s="16" t="inlineStr">
        <is>
          <t>INADEQUATE</t>
        </is>
      </c>
      <c r="L21" s="16" t="inlineStr">
        <is>
          <t>Auxiliary topic not adequately provided</t>
        </is>
      </c>
    </row>
    <row r="22">
      <c r="A22" s="16" t="inlineStr">
        <is>
          <t>Oxygen (lances, burners, pipelines)</t>
        </is>
      </c>
      <c r="C22" s="16" t="inlineStr">
        <is>
          <t>Phase</t>
        </is>
      </c>
      <c r="D22" s="16" t="inlineStr">
        <is>
          <t>OTHER THAN</t>
        </is>
      </c>
      <c r="E22" s="16" t="inlineStr">
        <is>
          <t>Phase|OTHER THAN</t>
        </is>
      </c>
      <c r="F22" s="16" t="inlineStr">
        <is>
          <t>Unintended phase change</t>
        </is>
      </c>
      <c r="H22" s="16" t="inlineStr">
        <is>
          <t>Flow|REVERSE</t>
        </is>
      </c>
      <c r="I22" s="16" t="inlineStr">
        <is>
          <t>Defective or passing non-return valve</t>
        </is>
      </c>
      <c r="K22" s="16" t="inlineStr">
        <is>
          <t>REVIEW</t>
        </is>
      </c>
      <c r="L22" s="16" t="inlineStr">
        <is>
          <t>Overview topic (whole-study review)</t>
        </is>
      </c>
    </row>
    <row r="23">
      <c r="A23" s="16" t="inlineStr">
        <is>
          <t>Inert gas (N2, Ar)</t>
        </is>
      </c>
      <c r="C23" s="16" t="inlineStr">
        <is>
          <t>Reaction</t>
        </is>
      </c>
      <c r="D23" s="16" t="inlineStr">
        <is>
          <t>MORE</t>
        </is>
      </c>
      <c r="E23" s="16" t="inlineStr">
        <is>
          <t>Reaction|MORE</t>
        </is>
      </c>
      <c r="F23" s="16" t="inlineStr">
        <is>
          <t>More reaction / runaway</t>
        </is>
      </c>
      <c r="H23" s="16" t="inlineStr">
        <is>
          <t>Flow|REVERSE</t>
        </is>
      </c>
      <c r="I23" s="16" t="inlineStr">
        <is>
          <t>Siphon effect</t>
        </is>
      </c>
    </row>
    <row r="24">
      <c r="A24" s="16" t="inlineStr">
        <is>
          <t>Electrical energy (furnace / electrolysis)</t>
        </is>
      </c>
      <c r="C24" s="16" t="inlineStr">
        <is>
          <t>Reaction</t>
        </is>
      </c>
      <c r="D24" s="16" t="inlineStr">
        <is>
          <t>LESS</t>
        </is>
      </c>
      <c r="E24" s="16" t="inlineStr">
        <is>
          <t>Reaction|LESS</t>
        </is>
      </c>
      <c r="F24" s="16" t="inlineStr">
        <is>
          <t>Less / no reaction</t>
        </is>
      </c>
      <c r="H24" s="16" t="inlineStr">
        <is>
          <t>Flow|REVERSE</t>
        </is>
      </c>
      <c r="I24" s="16" t="inlineStr">
        <is>
          <t>Incorrect differential pressure</t>
        </is>
      </c>
    </row>
    <row r="25">
      <c r="A25" s="16" t="inlineStr">
        <is>
          <t>Solid charge materials</t>
        </is>
      </c>
      <c r="C25" s="16" t="inlineStr">
        <is>
          <t>Reaction</t>
        </is>
      </c>
      <c r="D25" s="16" t="inlineStr">
        <is>
          <t>NO</t>
        </is>
      </c>
      <c r="E25" s="16" t="inlineStr">
        <is>
          <t>Reaction|NO</t>
        </is>
      </c>
      <c r="F25" s="16" t="inlineStr">
        <is>
          <t>Less / no reaction</t>
        </is>
      </c>
      <c r="H25" s="16" t="inlineStr">
        <is>
          <t>Flow|REVERSE</t>
        </is>
      </c>
      <c r="I25" s="16" t="inlineStr">
        <is>
          <t>Two-way flow in common headers</t>
        </is>
      </c>
    </row>
    <row r="26">
      <c r="A26" s="16" t="inlineStr">
        <is>
          <t>Hot DRI / HBI temperature</t>
        </is>
      </c>
      <c r="C26" s="16" t="inlineStr">
        <is>
          <t>Reaction</t>
        </is>
      </c>
      <c r="D26" s="16" t="inlineStr">
        <is>
          <t>OTHER THAN</t>
        </is>
      </c>
      <c r="E26" s="16" t="inlineStr">
        <is>
          <t>Reaction|OTHER THAN</t>
        </is>
      </c>
      <c r="F26" s="16" t="inlineStr">
        <is>
          <t>Unwanted side reaction (Other than)</t>
        </is>
      </c>
      <c r="H26" s="16" t="inlineStr">
        <is>
          <t>Flow|REVERSE</t>
        </is>
      </c>
      <c r="I26" s="16" t="inlineStr">
        <is>
          <t>Poor isolation / passing valves</t>
        </is>
      </c>
    </row>
    <row r="27">
      <c r="A27" s="16" t="inlineStr">
        <is>
          <t>Combustible dust</t>
        </is>
      </c>
      <c r="C27" s="16" t="inlineStr">
        <is>
          <t>Mixing / agitation</t>
        </is>
      </c>
      <c r="D27" s="16" t="inlineStr">
        <is>
          <t>NO</t>
        </is>
      </c>
      <c r="E27" s="16" t="inlineStr">
        <is>
          <t>Mixing / agitation|NO</t>
        </is>
      </c>
      <c r="F27" s="16" t="inlineStr">
        <is>
          <t>No / less / more mixing</t>
        </is>
      </c>
      <c r="H27" s="16" t="inlineStr">
        <is>
          <t>Flow|REVERSE</t>
        </is>
      </c>
      <c r="I27" s="16" t="inlineStr">
        <is>
          <t>Emergency venting or depressurisation</t>
        </is>
      </c>
    </row>
    <row r="28">
      <c r="A28" s="16" t="inlineStr">
        <is>
          <t>Hydraulic / lube oil</t>
        </is>
      </c>
      <c r="C28" s="16" t="inlineStr">
        <is>
          <t>Mixing / agitation</t>
        </is>
      </c>
      <c r="D28" s="16" t="inlineStr">
        <is>
          <t>LESS</t>
        </is>
      </c>
      <c r="E28" s="16" t="inlineStr">
        <is>
          <t>Mixing / agitation|LESS</t>
        </is>
      </c>
      <c r="F28" s="16" t="inlineStr">
        <is>
          <t>No / less / more mixing</t>
        </is>
      </c>
      <c r="H28" s="16" t="inlineStr">
        <is>
          <t>Flow|REVERSE</t>
        </is>
      </c>
      <c r="I28" s="16" t="inlineStr">
        <is>
          <t>Incorrect operation (valve opened out of sequence)</t>
        </is>
      </c>
    </row>
    <row r="29">
      <c r="A29" s="16" t="inlineStr">
        <is>
          <t>Load control (cranes, ladle / transfer cars)</t>
        </is>
      </c>
      <c r="C29" s="16" t="inlineStr">
        <is>
          <t>Mixing / agitation</t>
        </is>
      </c>
      <c r="D29" s="16" t="inlineStr">
        <is>
          <t>MORE</t>
        </is>
      </c>
      <c r="E29" s="16" t="inlineStr">
        <is>
          <t>Mixing / agitation|MORE</t>
        </is>
      </c>
      <c r="F29" s="16" t="inlineStr">
        <is>
          <t>No / less / more mixing</t>
        </is>
      </c>
      <c r="H29" s="16" t="inlineStr">
        <is>
          <t>Flow|REVERSE</t>
        </is>
      </c>
      <c r="I29" s="16" t="inlineStr">
        <is>
          <t>Pump failure or pump running in reverse (wrong rotation after motor rewiring)</t>
        </is>
      </c>
    </row>
    <row r="30">
      <c r="A30" s="16" t="inlineStr">
        <is>
          <t>Casting speed / mould level</t>
        </is>
      </c>
      <c r="C30" s="16" t="inlineStr">
        <is>
          <t>Timing / sequence</t>
        </is>
      </c>
      <c r="D30" s="16" t="inlineStr">
        <is>
          <t>EARLY</t>
        </is>
      </c>
      <c r="E30" s="16" t="inlineStr">
        <is>
          <t>Timing / sequence|EARLY</t>
        </is>
      </c>
      <c r="F30" s="16" t="inlineStr">
        <is>
          <t>Early / late / before / after / step omitted</t>
        </is>
      </c>
      <c r="H30" s="16" t="inlineStr">
        <is>
          <t>Flow|REVERSE</t>
        </is>
      </c>
      <c r="I30" s="16" t="inlineStr">
        <is>
          <t>[C] Process fluid backflow into utility lines (nitrogen, steam, cooling water, potable water) when utility pressure is lower than process</t>
        </is>
      </c>
    </row>
    <row r="31">
      <c r="A31" s="16" t="inlineStr">
        <is>
          <t>Refractory</t>
        </is>
      </c>
      <c r="C31" s="16" t="inlineStr">
        <is>
          <t>Timing / sequence</t>
        </is>
      </c>
      <c r="D31" s="16" t="inlineStr">
        <is>
          <t>LATE</t>
        </is>
      </c>
      <c r="E31" s="16" t="inlineStr">
        <is>
          <t>Timing / sequence|LATE</t>
        </is>
      </c>
      <c r="F31" s="16" t="inlineStr">
        <is>
          <t>Early / late / before / after / step omitted</t>
        </is>
      </c>
      <c r="H31" s="16" t="inlineStr">
        <is>
          <t>Flow|REVERSE</t>
        </is>
      </c>
      <c r="I31" s="16" t="inlineStr">
        <is>
          <t>[S] CO-rich process gas (BFG, COG, BOF/LD gas, DRI top gas) backflowing into nitrogen, air or steam headers</t>
        </is>
      </c>
    </row>
    <row r="32">
      <c r="A32" s="16" t="inlineStr">
        <is>
          <t>Pickling acid / zinc bath</t>
        </is>
      </c>
      <c r="C32" s="16" t="inlineStr">
        <is>
          <t>Timing / sequence</t>
        </is>
      </c>
      <c r="D32" s="16" t="inlineStr">
        <is>
          <t>BEFORE</t>
        </is>
      </c>
      <c r="E32" s="16" t="inlineStr">
        <is>
          <t>Timing / sequence|BEFORE</t>
        </is>
      </c>
      <c r="F32" s="16" t="inlineStr">
        <is>
          <t>Early / late / before / after / step omitted</t>
        </is>
      </c>
      <c r="H32" s="16" t="inlineStr">
        <is>
          <t>Flow|REVERSE</t>
        </is>
      </c>
      <c r="I32" s="16" t="inlineStr">
        <is>
          <t>[S] Flashback in fuel-gas, oxygen or oxy-fuel lines (flame arrestor missing or failed)</t>
        </is>
      </c>
    </row>
    <row r="33">
      <c r="A33" s="16" t="inlineStr">
        <is>
          <t>Relief</t>
        </is>
      </c>
      <c r="C33" s="16" t="inlineStr">
        <is>
          <t>Timing / sequence</t>
        </is>
      </c>
      <c r="D33" s="16" t="inlineStr">
        <is>
          <t>AFTER</t>
        </is>
      </c>
      <c r="E33" s="16" t="inlineStr">
        <is>
          <t>Timing / sequence|AFTER</t>
        </is>
      </c>
      <c r="F33" s="16" t="inlineStr">
        <is>
          <t>Early / late / before / after / step omitted</t>
        </is>
      </c>
      <c r="H33" s="16" t="inlineStr">
        <is>
          <t>Flow|REVERSE</t>
        </is>
      </c>
      <c r="I33" s="16" t="inlineStr">
        <is>
          <t>[S] Loss of water seal / seal pot allowing gas back-flow into the plant or atmosphere</t>
        </is>
      </c>
    </row>
    <row r="34">
      <c r="A34" s="16" t="inlineStr">
        <is>
          <t>Process control / instrumentation</t>
        </is>
      </c>
      <c r="C34" s="16" t="inlineStr">
        <is>
          <t>Timing / sequence</t>
        </is>
      </c>
      <c r="D34" s="16" t="inlineStr">
        <is>
          <t>NO</t>
        </is>
      </c>
      <c r="E34" s="16" t="inlineStr">
        <is>
          <t>Timing / sequence|NO</t>
        </is>
      </c>
      <c r="F34" s="16" t="inlineStr">
        <is>
          <t>Early / late / before / after / step omitted</t>
        </is>
      </c>
      <c r="H34" s="16" t="inlineStr">
        <is>
          <t>Flow|REVERSE</t>
        </is>
      </c>
      <c r="I34" s="16" t="inlineStr">
        <is>
          <t>[S] Reverse flow of cooling water due to loss of pump with elevated header (draining of cooling circuits)</t>
        </is>
      </c>
    </row>
    <row r="35">
      <c r="A35" s="16" t="inlineStr">
        <is>
          <t>Sampling</t>
        </is>
      </c>
      <c r="C35" s="16" t="inlineStr">
        <is>
          <t>Rate of change</t>
        </is>
      </c>
      <c r="D35" s="16" t="inlineStr">
        <is>
          <t>FASTER</t>
        </is>
      </c>
      <c r="E35" s="16" t="inlineStr">
        <is>
          <t>Rate of change|FASTER</t>
        </is>
      </c>
      <c r="F35" s="16" t="inlineStr">
        <is>
          <t>Faster / slower</t>
        </is>
      </c>
      <c r="H35" s="16" t="inlineStr">
        <is>
          <t>Flow|MORE</t>
        </is>
      </c>
      <c r="I35" s="16" t="inlineStr">
        <is>
          <t>High level in upstream vessel (higher static head)</t>
        </is>
      </c>
    </row>
    <row r="36">
      <c r="A36" s="16" t="inlineStr">
        <is>
          <t>Corrosion / erosion</t>
        </is>
      </c>
      <c r="C36" s="16" t="inlineStr">
        <is>
          <t>Rate of change</t>
        </is>
      </c>
      <c r="D36" s="16" t="inlineStr">
        <is>
          <t>SLOWER</t>
        </is>
      </c>
      <c r="E36" s="16" t="inlineStr">
        <is>
          <t>Rate of change|SLOWER</t>
        </is>
      </c>
      <c r="F36" s="16" t="inlineStr">
        <is>
          <t>Faster / slower</t>
        </is>
      </c>
      <c r="H36" s="16" t="inlineStr">
        <is>
          <t>Flow|MORE</t>
        </is>
      </c>
      <c r="I36" s="16" t="inlineStr">
        <is>
          <t>Increased pumping capacity (parallel pumps started, larger impeller fitted)</t>
        </is>
      </c>
    </row>
    <row r="37">
      <c r="A37" s="16" t="inlineStr">
        <is>
          <t>Utilities / services</t>
        </is>
      </c>
      <c r="C37" s="16" t="inlineStr">
        <is>
          <t>Viscosity / density</t>
        </is>
      </c>
      <c r="D37" s="16" t="inlineStr">
        <is>
          <t>MORE</t>
        </is>
      </c>
      <c r="E37" s="16" t="inlineStr">
        <is>
          <t>Viscosity / density|MORE</t>
        </is>
      </c>
      <c r="F37" s="16" t="inlineStr">
        <is>
          <t>More / less viscosity or density</t>
        </is>
      </c>
      <c r="H37" s="16" t="inlineStr">
        <is>
          <t>Flow|MORE</t>
        </is>
      </c>
      <c r="I37" s="16" t="inlineStr">
        <is>
          <t>Increased suction pressure / reduced delivery head</t>
        </is>
      </c>
    </row>
    <row r="38">
      <c r="A38" s="16" t="inlineStr">
        <is>
          <t>Maintenance</t>
        </is>
      </c>
      <c r="C38" s="16" t="inlineStr">
        <is>
          <t>Viscosity / density</t>
        </is>
      </c>
      <c r="D38" s="16" t="inlineStr">
        <is>
          <t>LESS</t>
        </is>
      </c>
      <c r="E38" s="16" t="inlineStr">
        <is>
          <t>Viscosity / density|LESS</t>
        </is>
      </c>
      <c r="F38" s="16" t="inlineStr">
        <is>
          <t>More / less viscosity or density</t>
        </is>
      </c>
      <c r="H38" s="16" t="inlineStr">
        <is>
          <t>Flow|MORE</t>
        </is>
      </c>
      <c r="I38" s="16" t="inlineStr">
        <is>
          <t>Greater fluid density</t>
        </is>
      </c>
    </row>
    <row r="39">
      <c r="A39" s="16" t="inlineStr">
        <is>
          <t>Spare equipment</t>
        </is>
      </c>
      <c r="C39" s="16" t="inlineStr">
        <is>
          <t>Molten metal / slag containment</t>
        </is>
      </c>
      <c r="D39" s="16" t="inlineStr">
        <is>
          <t>LOSS OF</t>
        </is>
      </c>
      <c r="E39" s="16" t="inlineStr">
        <is>
          <t>Molten metal / slag containment|LOSS OF</t>
        </is>
      </c>
      <c r="F39" s="16" t="inlineStr">
        <is>
          <t>Loss of containment (breakout, spill, splash)</t>
        </is>
      </c>
      <c r="H39" s="16" t="inlineStr">
        <is>
          <t>Flow|MORE</t>
        </is>
      </c>
      <c r="I39" s="16" t="inlineStr">
        <is>
          <t>Exchanger tube leaks (high-pressure side into low-pressure side)</t>
        </is>
      </c>
    </row>
    <row r="40">
      <c r="A40" s="16" t="inlineStr">
        <is>
          <t>Electrical safety / static</t>
        </is>
      </c>
      <c r="C40" s="16" t="inlineStr">
        <is>
          <t>Water contact with molten metal / slag</t>
        </is>
      </c>
      <c r="D40" s="16" t="inlineStr">
        <is>
          <t>AS WELL AS</t>
        </is>
      </c>
      <c r="E40" s="16" t="inlineStr">
        <is>
          <t>Water contact with molten metal / slag|AS WELL AS</t>
        </is>
      </c>
      <c r="F40" s="16" t="inlineStr">
        <is>
          <t>Molten metal / slag contact with water (As well as)</t>
        </is>
      </c>
      <c r="H40" s="16" t="inlineStr">
        <is>
          <t>Flow|MORE</t>
        </is>
      </c>
      <c r="I40" s="16" t="inlineStr">
        <is>
          <t>Restriction orifice plates deleted or scale dislodged</t>
        </is>
      </c>
    </row>
    <row r="41">
      <c r="A41" s="16" t="inlineStr">
        <is>
          <t>Operator action</t>
        </is>
      </c>
      <c r="C41" s="16" t="inlineStr">
        <is>
          <t>Cooling water flow (water-cooled elements)</t>
        </is>
      </c>
      <c r="D41" s="16" t="inlineStr">
        <is>
          <t>NO</t>
        </is>
      </c>
      <c r="E41" s="16" t="inlineStr">
        <is>
          <t>Cooling water flow (water-cooled elements)|NO</t>
        </is>
      </c>
      <c r="F41" s="16" t="inlineStr">
        <is>
          <t>No / less cooling water</t>
        </is>
      </c>
      <c r="H41" s="16" t="inlineStr">
        <is>
          <t>Flow|MORE</t>
        </is>
      </c>
      <c r="I41" s="16" t="inlineStr">
        <is>
          <t>Cross-connection of systems</t>
        </is>
      </c>
    </row>
    <row r="42">
      <c r="A42" s="16" t="inlineStr">
        <is>
          <t>Simplicity</t>
        </is>
      </c>
      <c r="C42" s="16" t="inlineStr">
        <is>
          <t>Cooling water flow (water-cooled elements)</t>
        </is>
      </c>
      <c r="D42" s="16" t="inlineStr">
        <is>
          <t>LESS</t>
        </is>
      </c>
      <c r="E42" s="16" t="inlineStr">
        <is>
          <t>Cooling water flow (water-cooled elements)|LESS</t>
        </is>
      </c>
      <c r="F42" s="16" t="inlineStr">
        <is>
          <t>No / less cooling water</t>
        </is>
      </c>
      <c r="H42" s="16" t="inlineStr">
        <is>
          <t>Flow|MORE</t>
        </is>
      </c>
      <c r="I42" s="16" t="inlineStr">
        <is>
          <t>Control faults – control valve fails open, bypass left open, wrong set point</t>
        </is>
      </c>
    </row>
    <row r="43">
      <c r="A43" s="16" t="inlineStr">
        <is>
          <t>Output – reliability and bottlenecks</t>
        </is>
      </c>
      <c r="C43" s="16" t="inlineStr">
        <is>
          <t>Water-cooled element integrity</t>
        </is>
      </c>
      <c r="D43" s="16" t="inlineStr">
        <is>
          <t>LOSS OF</t>
        </is>
      </c>
      <c r="E43" s="16" t="inlineStr">
        <is>
          <t>Water-cooled element integrity|LOSS OF</t>
        </is>
      </c>
      <c r="F43" s="16" t="inlineStr">
        <is>
          <t>Water leak into furnace / vessel</t>
        </is>
      </c>
      <c r="H43" s="16" t="inlineStr">
        <is>
          <t>Flow|MORE</t>
        </is>
      </c>
      <c r="I43" s="16" t="inlineStr">
        <is>
          <t>Two-phase flow</t>
        </is>
      </c>
    </row>
    <row r="44">
      <c r="A44" s="16" t="inlineStr">
        <is>
          <t>Efficiency – losses</t>
        </is>
      </c>
      <c r="C44" s="16" t="inlineStr">
        <is>
          <t>Process gas (CO, H2 – BFG, COG, LD gas, reducing gas)</t>
        </is>
      </c>
      <c r="D44" s="16" t="inlineStr">
        <is>
          <t>LEAK OF</t>
        </is>
      </c>
      <c r="E44" s="16" t="inlineStr">
        <is>
          <t>Process gas (CO, H2 – BFG, COG, LD gas, reducing gas)|LEAK OF</t>
        </is>
      </c>
      <c r="F44" s="16" t="inlineStr">
        <is>
          <t>Toxic release (Other than / As well as)</t>
        </is>
      </c>
      <c r="H44" s="16" t="inlineStr">
        <is>
          <t>Flow|MORE</t>
        </is>
      </c>
      <c r="I44" s="16" t="inlineStr">
        <is>
          <t>Power failure (valves failing open)</t>
        </is>
      </c>
    </row>
    <row r="45">
      <c r="A45" s="16" t="inlineStr">
        <is>
          <t>Construction</t>
        </is>
      </c>
      <c r="C45" s="16" t="inlineStr">
        <is>
          <t>Air / oxygen in process gas</t>
        </is>
      </c>
      <c r="D45" s="16" t="inlineStr">
        <is>
          <t>AS WELL AS</t>
        </is>
      </c>
      <c r="E45" s="16" t="inlineStr">
        <is>
          <t>Air / oxygen in process gas|AS WELL AS</t>
        </is>
      </c>
      <c r="F45" s="16" t="inlineStr">
        <is>
          <t>Explosive mixture (air or oxygen in gas)</t>
        </is>
      </c>
      <c r="H45" s="16" t="inlineStr">
        <is>
          <t>Flow|MORE</t>
        </is>
      </c>
      <c r="I45" s="16" t="inlineStr">
        <is>
          <t>[C] Reagent dosing pump over-delivery (wrong stroke setting)</t>
        </is>
      </c>
    </row>
    <row r="46">
      <c r="A46" s="16" t="inlineStr">
        <is>
          <t>Commissioning</t>
        </is>
      </c>
      <c r="C46" s="16" t="inlineStr">
        <is>
          <t>Oxygen (lances, burners, pipelines)</t>
        </is>
      </c>
      <c r="D46" s="16" t="inlineStr">
        <is>
          <t>LEAK OF</t>
        </is>
      </c>
      <c r="E46" s="16" t="inlineStr">
        <is>
          <t>Oxygen (lances, burners, pipelines)|LEAK OF</t>
        </is>
      </c>
      <c r="F46" s="16" t="inlineStr">
        <is>
          <t>Oxygen fire / oxygen enrichment</t>
        </is>
      </c>
      <c r="H46" s="16" t="inlineStr">
        <is>
          <t>Flow|MORE</t>
        </is>
      </c>
      <c r="I46" s="16" t="inlineStr">
        <is>
          <t>[S] Excessive oxygen flow to lance, burners or tuyeres (flow controller fault, wrong recipe)</t>
        </is>
      </c>
    </row>
    <row r="47">
      <c r="A47" s="16" t="inlineStr">
        <is>
          <t>Start-up</t>
        </is>
      </c>
      <c r="C47" s="16" t="inlineStr">
        <is>
          <t>Oxygen (lances, burners, pipelines)</t>
        </is>
      </c>
      <c r="D47" s="16" t="inlineStr">
        <is>
          <t>AS WELL AS</t>
        </is>
      </c>
      <c r="E47" s="16" t="inlineStr">
        <is>
          <t>Oxygen (lances, burners, pipelines)|AS WELL AS</t>
        </is>
      </c>
      <c r="F47" s="16" t="inlineStr">
        <is>
          <t>Oxygen fire / oxygen enrichment</t>
        </is>
      </c>
      <c r="H47" s="16" t="inlineStr">
        <is>
          <t>Flow|MORE</t>
        </is>
      </c>
      <c r="I47" s="16" t="inlineStr">
        <is>
          <t>[S] Over-feeding of DRI, scrap, fluxes or alloys (feeder speed, weigh-hopper failure)</t>
        </is>
      </c>
    </row>
    <row r="48">
      <c r="A48" s="16" t="inlineStr">
        <is>
          <t>Shutdown (isolation, purging)</t>
        </is>
      </c>
      <c r="C48" s="16" t="inlineStr">
        <is>
          <t>Inert gas (N2, Ar)</t>
        </is>
      </c>
      <c r="D48" s="16" t="inlineStr">
        <is>
          <t>LEAK OF</t>
        </is>
      </c>
      <c r="E48" s="16" t="inlineStr">
        <is>
          <t>Inert gas (N2, Ar)|LEAK OF</t>
        </is>
      </c>
      <c r="F48" s="16" t="inlineStr">
        <is>
          <t>Asphyxiation / loss of inerting</t>
        </is>
      </c>
      <c r="H48" s="16" t="inlineStr">
        <is>
          <t>Flow|MORE</t>
        </is>
      </c>
      <c r="I48" s="16" t="inlineStr">
        <is>
          <t>[S] Excess fuel gas to reheat furnace, ladle pre-heater or stove burners</t>
        </is>
      </c>
    </row>
    <row r="49">
      <c r="A49" s="16" t="inlineStr">
        <is>
          <t>Breakdown (including service failure)</t>
        </is>
      </c>
      <c r="C49" s="16" t="inlineStr">
        <is>
          <t>Inert gas (N2, Ar)</t>
        </is>
      </c>
      <c r="D49" s="16" t="inlineStr">
        <is>
          <t>LOSS OF</t>
        </is>
      </c>
      <c r="E49" s="16" t="inlineStr">
        <is>
          <t>Inert gas (N2, Ar)|LOSS OF</t>
        </is>
      </c>
      <c r="F49" s="16" t="inlineStr">
        <is>
          <t>Asphyxiation / loss of inerting</t>
        </is>
      </c>
      <c r="H49" s="16" t="inlineStr">
        <is>
          <t>Flow|LESS</t>
        </is>
      </c>
      <c r="I49" s="16" t="inlineStr">
        <is>
          <t>Low level in upstream vessel</t>
        </is>
      </c>
    </row>
    <row r="50">
      <c r="A50" s="16" t="inlineStr">
        <is>
          <t>Materials</t>
        </is>
      </c>
      <c r="C50" s="16" t="inlineStr">
        <is>
          <t>Electrical energy (furnace / electrolysis)</t>
        </is>
      </c>
      <c r="D50" s="16" t="inlineStr">
        <is>
          <t>MORE</t>
        </is>
      </c>
      <c r="E50" s="16" t="inlineStr">
        <is>
          <t>Electrical energy (furnace / electrolysis)|MORE</t>
        </is>
      </c>
      <c r="F50" s="16" t="inlineStr">
        <is>
          <t>More / less / other than intended</t>
        </is>
      </c>
      <c r="H50" s="16" t="inlineStr">
        <is>
          <t>Flow|LESS</t>
        </is>
      </c>
      <c r="I50" s="16" t="inlineStr">
        <is>
          <t>Line restriction; valve partly closed</t>
        </is>
      </c>
    </row>
    <row r="51">
      <c r="A51" s="16" t="inlineStr">
        <is>
          <t>Utilities and services</t>
        </is>
      </c>
      <c r="C51" s="16" t="inlineStr">
        <is>
          <t>Electrical energy (furnace / electrolysis)</t>
        </is>
      </c>
      <c r="D51" s="16" t="inlineStr">
        <is>
          <t>LESS</t>
        </is>
      </c>
      <c r="E51" s="16" t="inlineStr">
        <is>
          <t>Electrical energy (furnace / electrolysis)|LESS</t>
        </is>
      </c>
      <c r="F51" s="16" t="inlineStr">
        <is>
          <t>More / less / other than intended</t>
        </is>
      </c>
      <c r="H51" s="16" t="inlineStr">
        <is>
          <t>Flow|LESS</t>
        </is>
      </c>
      <c r="I51" s="16" t="inlineStr">
        <is>
          <t>Filter or strainer blockage</t>
        </is>
      </c>
    </row>
    <row r="52">
      <c r="A52" s="16" t="inlineStr">
        <is>
          <t>Toxicity</t>
        </is>
      </c>
      <c r="C52" s="16" t="inlineStr">
        <is>
          <t>Electrical energy (furnace / electrolysis)</t>
        </is>
      </c>
      <c r="D52" s="16" t="inlineStr">
        <is>
          <t>OTHER THAN</t>
        </is>
      </c>
      <c r="E52" s="16" t="inlineStr">
        <is>
          <t>Electrical energy (furnace / electrolysis)|OTHER THAN</t>
        </is>
      </c>
      <c r="F52" s="16" t="inlineStr">
        <is>
          <t>More / less / other than intended</t>
        </is>
      </c>
      <c r="H52" s="16" t="inlineStr">
        <is>
          <t>Flow|LESS</t>
        </is>
      </c>
      <c r="I52" s="16" t="inlineStr">
        <is>
          <t>Pipe or vessel leakage</t>
        </is>
      </c>
    </row>
    <row r="53">
      <c r="A53" s="16" t="inlineStr">
        <is>
          <t>Fire and explosion</t>
        </is>
      </c>
      <c r="C53" s="16" t="inlineStr">
        <is>
          <t>Solid charge materials</t>
        </is>
      </c>
      <c r="D53" s="16" t="inlineStr">
        <is>
          <t>OTHER THAN</t>
        </is>
      </c>
      <c r="E53" s="16" t="inlineStr">
        <is>
          <t>Solid charge materials|OTHER THAN</t>
        </is>
      </c>
      <c r="F53" s="16" t="inlineStr">
        <is>
          <t>Wrong / contaminated / excess charge</t>
        </is>
      </c>
      <c r="H53" s="16" t="inlineStr">
        <is>
          <t>Flow|LESS</t>
        </is>
      </c>
      <c r="I53" s="16" t="inlineStr">
        <is>
          <t>Defective pumps (worn impeller, cavitation, air ingress, seal failure)</t>
        </is>
      </c>
    </row>
    <row r="54">
      <c r="A54" s="16" t="inlineStr">
        <is>
          <t>Environmental impact</t>
        </is>
      </c>
      <c r="C54" s="16" t="inlineStr">
        <is>
          <t>Solid charge materials</t>
        </is>
      </c>
      <c r="D54" s="16" t="inlineStr">
        <is>
          <t>AS WELL AS</t>
        </is>
      </c>
      <c r="E54" s="16" t="inlineStr">
        <is>
          <t>Solid charge materials|AS WELL AS</t>
        </is>
      </c>
      <c r="F54" s="16" t="inlineStr">
        <is>
          <t>Wrong / contaminated / excess charge</t>
        </is>
      </c>
      <c r="H54" s="16" t="inlineStr">
        <is>
          <t>Flow|LESS</t>
        </is>
      </c>
      <c r="I54" s="16" t="inlineStr">
        <is>
          <t>Fouling of vessels, valves, restrictors or orifice plates</t>
        </is>
      </c>
    </row>
    <row r="55">
      <c r="A55" s="16" t="inlineStr">
        <is>
          <t>Natural hazards</t>
        </is>
      </c>
      <c r="C55" s="16" t="inlineStr">
        <is>
          <t>Solid charge materials</t>
        </is>
      </c>
      <c r="D55" s="16" t="inlineStr">
        <is>
          <t>MORE</t>
        </is>
      </c>
      <c r="E55" s="16" t="inlineStr">
        <is>
          <t>Solid charge materials|MORE</t>
        </is>
      </c>
      <c r="F55" s="16" t="inlineStr">
        <is>
          <t>Wrong / contaminated / excess charge</t>
        </is>
      </c>
      <c r="H55" s="16" t="inlineStr">
        <is>
          <t>Flow|LESS</t>
        </is>
      </c>
      <c r="I55" s="16" t="inlineStr">
        <is>
          <t>Density or viscosity problems</t>
        </is>
      </c>
    </row>
    <row r="56">
      <c r="A56" s="16" t="inlineStr">
        <is>
          <t>Quality and consistency</t>
        </is>
      </c>
      <c r="C56" s="16" t="inlineStr">
        <is>
          <t>Hot DRI / HBI temperature</t>
        </is>
      </c>
      <c r="D56" s="16" t="inlineStr">
        <is>
          <t>MORE</t>
        </is>
      </c>
      <c r="E56" s="16" t="inlineStr">
        <is>
          <t>Hot DRI / HBI temperature|MORE</t>
        </is>
      </c>
      <c r="F56" s="16" t="inlineStr">
        <is>
          <t>Self-heating / fire / gas generation</t>
        </is>
      </c>
      <c r="H56" s="16" t="inlineStr">
        <is>
          <t>Flow|LESS</t>
        </is>
      </c>
      <c r="I56" s="16" t="inlineStr">
        <is>
          <t>Incorrect specification of process fluid</t>
        </is>
      </c>
    </row>
    <row r="57">
      <c r="A57" s="16" t="inlineStr">
        <is>
          <t>Procedures – development and documentation</t>
        </is>
      </c>
      <c r="C57" s="16" t="inlineStr">
        <is>
          <t>Combustible dust</t>
        </is>
      </c>
      <c r="D57" s="16" t="inlineStr">
        <is>
          <t>MORE</t>
        </is>
      </c>
      <c r="E57" s="16" t="inlineStr">
        <is>
          <t>Combustible dust|MORE</t>
        </is>
      </c>
      <c r="F57" s="16" t="inlineStr">
        <is>
          <t>Dust cloud / ignition</t>
        </is>
      </c>
      <c r="H57" s="16" t="inlineStr">
        <is>
          <t>Flow|LESS</t>
        </is>
      </c>
      <c r="I57" s="16" t="inlineStr">
        <is>
          <t>Two-phase flow</t>
        </is>
      </c>
    </row>
    <row r="58">
      <c r="A58" s="16" t="inlineStr">
        <is>
          <t>Safety equipment</t>
        </is>
      </c>
      <c r="C58" s="16" t="inlineStr">
        <is>
          <t>Hydraulic / lube oil</t>
        </is>
      </c>
      <c r="D58" s="16" t="inlineStr">
        <is>
          <t>LEAK OF</t>
        </is>
      </c>
      <c r="E58" s="16" t="inlineStr">
        <is>
          <t>Hydraulic / lube oil|LEAK OF</t>
        </is>
      </c>
      <c r="F58" s="16" t="inlineStr">
        <is>
          <t>Leak / fire / loss of pressure</t>
        </is>
      </c>
      <c r="H58" s="16" t="inlineStr">
        <is>
          <t>Flow|LESS</t>
        </is>
      </c>
      <c r="I58" s="16" t="inlineStr">
        <is>
          <t>[C] Catalyst bed plugging or high pressure drop</t>
        </is>
      </c>
    </row>
    <row r="59">
      <c r="A59" s="16" t="inlineStr">
        <is>
          <t>Egress / access</t>
        </is>
      </c>
      <c r="C59" s="16" t="inlineStr">
        <is>
          <t>Hydraulic / lube oil</t>
        </is>
      </c>
      <c r="D59" s="16" t="inlineStr">
        <is>
          <t>LESS</t>
        </is>
      </c>
      <c r="E59" s="16" t="inlineStr">
        <is>
          <t>Hydraulic / lube oil|LESS</t>
        </is>
      </c>
      <c r="F59" s="16" t="inlineStr">
        <is>
          <t>Leak / fire / loss of pressure</t>
        </is>
      </c>
      <c r="H59" s="16" t="inlineStr">
        <is>
          <t>Flow|LESS</t>
        </is>
      </c>
      <c r="I59" s="16" t="inlineStr">
        <is>
          <t>[S] Scale, silt or biological fouling in cooling passages of panels, roof, tuyeres, staves, lances or copper moulds</t>
        </is>
      </c>
    </row>
    <row r="60">
      <c r="A60" s="16" t="inlineStr">
        <is>
          <t>Entry / exit points</t>
        </is>
      </c>
      <c r="C60" s="16" t="inlineStr">
        <is>
          <t>Load control (cranes, ladle / transfer cars)</t>
        </is>
      </c>
      <c r="D60" s="16" t="inlineStr">
        <is>
          <t>LOSS OF</t>
        </is>
      </c>
      <c r="E60" s="16" t="inlineStr">
        <is>
          <t>Load control (cranes, ladle / transfer cars)|LOSS OF</t>
        </is>
      </c>
      <c r="F60" s="16" t="inlineStr">
        <is>
          <t>Failure / collision / dropped load</t>
        </is>
      </c>
      <c r="H60" s="16" t="inlineStr">
        <is>
          <t>Flow|LESS</t>
        </is>
      </c>
      <c r="I60" s="16" t="inlineStr">
        <is>
          <t>[S] Partly blocked tap hole or nozzle (low tapping rate)</t>
        </is>
      </c>
    </row>
    <row r="61">
      <c r="A61" s="16" t="inlineStr">
        <is>
          <t>Layout and facility siting</t>
        </is>
      </c>
      <c r="C61" s="16" t="inlineStr">
        <is>
          <t>Casting speed / mould level</t>
        </is>
      </c>
      <c r="D61" s="16" t="inlineStr">
        <is>
          <t>MORE</t>
        </is>
      </c>
      <c r="E61" s="16" t="inlineStr">
        <is>
          <t>Casting speed / mould level|MORE</t>
        </is>
      </c>
      <c r="F61" s="16" t="inlineStr">
        <is>
          <t>Casting speed / mould level / product handling deviations</t>
        </is>
      </c>
      <c r="H61" s="16" t="inlineStr">
        <is>
          <t>Flow|LESS</t>
        </is>
      </c>
      <c r="I61" s="16" t="inlineStr">
        <is>
          <t>[S] Dust build-up in off-gas ducts, fans, baghouses or venturi scrubbers</t>
        </is>
      </c>
    </row>
    <row r="62">
      <c r="C62" s="16" t="inlineStr">
        <is>
          <t>Casting speed / mould level</t>
        </is>
      </c>
      <c r="D62" s="16" t="inlineStr">
        <is>
          <t>LESS</t>
        </is>
      </c>
      <c r="E62" s="16" t="inlineStr">
        <is>
          <t>Casting speed / mould level|LESS</t>
        </is>
      </c>
      <c r="F62" s="16" t="inlineStr">
        <is>
          <t>Casting speed / mould level / product handling deviations</t>
        </is>
      </c>
      <c r="H62" s="16" t="inlineStr">
        <is>
          <t>Flow|OTHER THAN</t>
        </is>
      </c>
      <c r="I62" s="16" t="inlineStr">
        <is>
          <t>Cross-connection between systems; wrong hose connected</t>
        </is>
      </c>
    </row>
    <row r="63">
      <c r="C63" s="16" t="inlineStr">
        <is>
          <t>Refractory</t>
        </is>
      </c>
      <c r="D63" s="16" t="inlineStr">
        <is>
          <t>LESS</t>
        </is>
      </c>
      <c r="E63" s="16" t="inlineStr">
        <is>
          <t>Refractory|LESS</t>
        </is>
      </c>
      <c r="F63" s="16" t="inlineStr">
        <is>
          <t>Less / failed refractory</t>
        </is>
      </c>
      <c r="H63" s="16" t="inlineStr">
        <is>
          <t>Flow|OTHER THAN</t>
        </is>
      </c>
      <c r="I63" s="16" t="inlineStr">
        <is>
          <t>Road / rail tanker discharged into wrong storage tank</t>
        </is>
      </c>
    </row>
    <row r="64">
      <c r="C64" s="16" t="inlineStr">
        <is>
          <t>Pickling acid / zinc bath</t>
        </is>
      </c>
      <c r="D64" s="16" t="inlineStr">
        <is>
          <t>MORE</t>
        </is>
      </c>
      <c r="E64" s="16" t="inlineStr">
        <is>
          <t>Pickling acid / zinc bath|MORE</t>
        </is>
      </c>
      <c r="F64" s="16" t="inlineStr">
        <is>
          <t>Concentration / temperature / contamination deviations</t>
        </is>
      </c>
      <c r="H64" s="16" t="inlineStr">
        <is>
          <t>Flow|OTHER THAN</t>
        </is>
      </c>
      <c r="I64" s="16" t="inlineStr">
        <is>
          <t>Drain or vent valves left open</t>
        </is>
      </c>
    </row>
    <row r="65">
      <c r="C65" s="16" t="inlineStr">
        <is>
          <t>Pickling acid / zinc bath</t>
        </is>
      </c>
      <c r="D65" s="16" t="inlineStr">
        <is>
          <t>LESS</t>
        </is>
      </c>
      <c r="E65" s="16" t="inlineStr">
        <is>
          <t>Pickling acid / zinc bath|LESS</t>
        </is>
      </c>
      <c r="F65" s="16" t="inlineStr">
        <is>
          <t>Concentration / temperature / contamination deviations</t>
        </is>
      </c>
      <c r="H65" s="16" t="inlineStr">
        <is>
          <t>Flow|OTHER THAN</t>
        </is>
      </c>
      <c r="I65" s="16" t="inlineStr">
        <is>
          <t>Utility station connected to process (nitrogen hose left connected)</t>
        </is>
      </c>
    </row>
    <row r="66">
      <c r="C66" s="16" t="inlineStr">
        <is>
          <t>Pickling acid / zinc bath</t>
        </is>
      </c>
      <c r="D66" s="16" t="inlineStr">
        <is>
          <t>AS WELL AS</t>
        </is>
      </c>
      <c r="E66" s="16" t="inlineStr">
        <is>
          <t>Pickling acid / zinc bath|AS WELL AS</t>
        </is>
      </c>
      <c r="F66" s="16" t="inlineStr">
        <is>
          <t>Concentration / temperature / contamination deviations</t>
        </is>
      </c>
      <c r="H66" s="16" t="inlineStr">
        <is>
          <t>Flow|OTHER THAN</t>
        </is>
      </c>
      <c r="I66" s="16" t="inlineStr">
        <is>
          <t>[S] Molten metal or slag spilled outside ladle, pot or mould (ladle misaligned, crane positioning error, tilting over-travel)</t>
        </is>
      </c>
    </row>
    <row r="67">
      <c r="C67" s="16" t="inlineStr">
        <is>
          <t>Relief</t>
        </is>
      </c>
      <c r="D67" s="16" t="inlineStr">
        <is>
          <t>INADEQUATE</t>
        </is>
      </c>
      <c r="E67" s="16" t="inlineStr">
        <is>
          <t>Relief|INADEQUATE</t>
        </is>
      </c>
      <c r="F67" s="16" t="inlineStr">
        <is>
          <t>Inadequate / inappropriate relief</t>
        </is>
      </c>
      <c r="H67" s="16" t="inlineStr">
        <is>
          <t>Flow|OTHER THAN</t>
        </is>
      </c>
      <c r="I67" s="16" t="inlineStr">
        <is>
          <t>[S] Slag carry-over into ladle or tundish</t>
        </is>
      </c>
    </row>
    <row r="68">
      <c r="C68" s="16" t="inlineStr">
        <is>
          <t>Process control / instrumentation</t>
        </is>
      </c>
      <c r="D68" s="16" t="inlineStr">
        <is>
          <t>LOSS OF</t>
        </is>
      </c>
      <c r="E68" s="16" t="inlineStr">
        <is>
          <t>Process control / instrumentation|LOSS OF</t>
        </is>
      </c>
      <c r="F68" s="16" t="inlineStr">
        <is>
          <t>Control or safety instrumented function failure</t>
        </is>
      </c>
      <c r="H68" s="16" t="inlineStr">
        <is>
          <t>Flow|OTHER THAN</t>
        </is>
      </c>
      <c r="I68" s="16" t="inlineStr">
        <is>
          <t>[S] Off-gas diverted to the wrong system (flare / stack / gas holder change-over error)</t>
        </is>
      </c>
    </row>
    <row r="69">
      <c r="C69" s="16" t="inlineStr">
        <is>
          <t>Sampling</t>
        </is>
      </c>
      <c r="D69" s="16" t="inlineStr">
        <is>
          <t>INADEQUATE</t>
        </is>
      </c>
      <c r="E69" s="16" t="inlineStr">
        <is>
          <t>Sampling|INADEQUATE</t>
        </is>
      </c>
      <c r="F69" s="16" t="inlineStr">
        <is>
          <t>Sampling error / exposure</t>
        </is>
      </c>
      <c r="H69" s="16" t="inlineStr">
        <is>
          <t>Flow|AS WELL AS</t>
        </is>
      </c>
      <c r="I69" s="16" t="inlineStr">
        <is>
          <t>Gas or air entrainment in liquid; liquid carry-over in gas</t>
        </is>
      </c>
    </row>
    <row r="70">
      <c r="C70" s="16" t="inlineStr">
        <is>
          <t>Corrosion / erosion</t>
        </is>
      </c>
      <c r="D70" s="16" t="inlineStr">
        <is>
          <t>MORE</t>
        </is>
      </c>
      <c r="E70" s="16" t="inlineStr">
        <is>
          <t>Corrosion / erosion|MORE</t>
        </is>
      </c>
      <c r="F70" s="16" t="inlineStr">
        <is>
          <t>More corrosion / erosion</t>
        </is>
      </c>
      <c r="H70" s="16" t="inlineStr">
        <is>
          <t>Flow|AS WELL AS</t>
        </is>
      </c>
      <c r="I70" s="16" t="inlineStr">
        <is>
          <t>Water in hydrocarbon or solvent</t>
        </is>
      </c>
    </row>
    <row r="71">
      <c r="C71" s="16" t="inlineStr">
        <is>
          <t>Utilities / services</t>
        </is>
      </c>
      <c r="D71" s="16" t="inlineStr">
        <is>
          <t>LOSS OF</t>
        </is>
      </c>
      <c r="E71" s="16" t="inlineStr">
        <is>
          <t>Utilities / services|LOSS OF</t>
        </is>
      </c>
      <c r="F71" s="16" t="inlineStr">
        <is>
          <t>Loss of utility / service</t>
        </is>
      </c>
      <c r="H71" s="16" t="inlineStr">
        <is>
          <t>Flow|AS WELL AS</t>
        </is>
      </c>
      <c r="I71" s="16" t="inlineStr">
        <is>
          <t>[C] Unreacted material carried forward to next stage</t>
        </is>
      </c>
    </row>
    <row r="72">
      <c r="C72" s="16" t="inlineStr">
        <is>
          <t>Maintenance</t>
        </is>
      </c>
      <c r="D72" s="16" t="inlineStr">
        <is>
          <t>INADEQUATE</t>
        </is>
      </c>
      <c r="E72" s="16" t="inlineStr">
        <is>
          <t>Maintenance|INADEQUATE</t>
        </is>
      </c>
      <c r="F72" s="16" t="inlineStr">
        <is>
          <t>Unsafe maintenance conditions</t>
        </is>
      </c>
      <c r="H72" s="16" t="inlineStr">
        <is>
          <t>Flow|AS WELL AS</t>
        </is>
      </c>
      <c r="I72" s="16" t="inlineStr">
        <is>
          <t>[S] Water, ice or snow carried into the furnace with wet scrap, DRI or fluxes</t>
        </is>
      </c>
    </row>
    <row r="73">
      <c r="C73" s="16" t="inlineStr">
        <is>
          <t>Spare equipment</t>
        </is>
      </c>
      <c r="D73" s="16" t="inlineStr">
        <is>
          <t>NO</t>
        </is>
      </c>
      <c r="E73" s="16" t="inlineStr">
        <is>
          <t>Spare equipment|NO</t>
        </is>
      </c>
      <c r="F73" s="16" t="inlineStr">
        <is>
          <t>Unavailability / wrong spares</t>
        </is>
      </c>
      <c r="H73" s="16" t="inlineStr">
        <is>
          <t>Flow|AS WELL AS</t>
        </is>
      </c>
      <c r="I73" s="16" t="inlineStr">
        <is>
          <t>[S] Entrained dust or fines in process gas (cyclone or scrubber failure)</t>
        </is>
      </c>
    </row>
    <row r="74">
      <c r="C74" s="16" t="inlineStr">
        <is>
          <t>Electrical safety / static</t>
        </is>
      </c>
      <c r="D74" s="16" t="inlineStr">
        <is>
          <t>INADEQUATE</t>
        </is>
      </c>
      <c r="E74" s="16" t="inlineStr">
        <is>
          <t>Electrical safety / static|INADEQUATE</t>
        </is>
      </c>
      <c r="F74" s="16" t="inlineStr">
        <is>
          <t>Ignition source / electrical hazard</t>
        </is>
      </c>
      <c r="H74" s="16" t="inlineStr">
        <is>
          <t>Flow|AS WELL AS</t>
        </is>
      </c>
      <c r="I74" s="16" t="inlineStr">
        <is>
          <t>[S] Oil, grease or paint on scrap generating fume and fire</t>
        </is>
      </c>
    </row>
    <row r="75">
      <c r="C75" s="16" t="inlineStr">
        <is>
          <t>Operator action</t>
        </is>
      </c>
      <c r="D75" s="16" t="inlineStr">
        <is>
          <t>OTHER THAN</t>
        </is>
      </c>
      <c r="E75" s="16" t="inlineStr">
        <is>
          <t>Operator action|OTHER THAN</t>
        </is>
      </c>
      <c r="F75" s="16" t="inlineStr">
        <is>
          <t>Operator error / omission</t>
        </is>
      </c>
      <c r="H75" s="16" t="inlineStr">
        <is>
          <t>Pressure|MORE</t>
        </is>
      </c>
      <c r="I75" s="16" t="inlineStr">
        <is>
          <t>Surge problems (water hammer, fast-closing valves)</t>
        </is>
      </c>
    </row>
    <row r="76">
      <c r="C76" s="16" t="inlineStr">
        <is>
          <t>Operator action</t>
        </is>
      </c>
      <c r="D76" s="16" t="inlineStr">
        <is>
          <t>NO</t>
        </is>
      </c>
      <c r="E76" s="16" t="inlineStr">
        <is>
          <t>Operator action|NO</t>
        </is>
      </c>
      <c r="F76" s="16" t="inlineStr">
        <is>
          <t>Operator error / omission</t>
        </is>
      </c>
      <c r="H76" s="16" t="inlineStr">
        <is>
          <t>Pressure|MORE</t>
        </is>
      </c>
      <c r="I76" s="16" t="inlineStr">
        <is>
          <t>Leakage from interconnected high-pressure system</t>
        </is>
      </c>
    </row>
    <row r="77">
      <c r="C77" s="16" t="inlineStr">
        <is>
          <t>Simplicity</t>
        </is>
      </c>
      <c r="D77" s="16" t="inlineStr">
        <is>
          <t>REVIEW</t>
        </is>
      </c>
      <c r="E77" s="16" t="inlineStr">
        <is>
          <t>Simplicity|REVIEW</t>
        </is>
      </c>
      <c r="F77" s="16" t="inlineStr">
        <is>
          <t>Unnecessary complexity</t>
        </is>
      </c>
      <c r="H77" s="16" t="inlineStr">
        <is>
          <t>Pressure|MORE</t>
        </is>
      </c>
      <c r="I77" s="16" t="inlineStr">
        <is>
          <t>Gas breakthrough (inadequate venting / pressure relief)</t>
        </is>
      </c>
    </row>
    <row r="78">
      <c r="C78" s="16" t="inlineStr">
        <is>
          <t>Output – reliability and bottlenecks</t>
        </is>
      </c>
      <c r="D78" s="16" t="inlineStr">
        <is>
          <t>REVIEW</t>
        </is>
      </c>
      <c r="E78" s="16" t="inlineStr">
        <is>
          <t>Output – reliability and bottlenecks|REVIEW</t>
        </is>
      </c>
      <c r="F78" s="16" t="inlineStr">
        <is>
          <t>Less output / unreliability</t>
        </is>
      </c>
      <c r="H78" s="16" t="inlineStr">
        <is>
          <t>Pressure|MORE</t>
        </is>
      </c>
      <c r="I78" s="16" t="inlineStr">
        <is>
          <t>Isolation procedures for relief valves defective (relief valve isolated)</t>
        </is>
      </c>
    </row>
    <row r="79">
      <c r="C79" s="16" t="inlineStr">
        <is>
          <t>Efficiency – losses</t>
        </is>
      </c>
      <c r="D79" s="16" t="inlineStr">
        <is>
          <t>REVIEW</t>
        </is>
      </c>
      <c r="E79" s="16" t="inlineStr">
        <is>
          <t>Efficiency – losses|REVIEW</t>
        </is>
      </c>
      <c r="F79" s="16" t="inlineStr">
        <is>
          <t>Loss of material, energy or conversion</t>
        </is>
      </c>
      <c r="H79" s="16" t="inlineStr">
        <is>
          <t>Pressure|MORE</t>
        </is>
      </c>
      <c r="I79" s="16" t="inlineStr">
        <is>
          <t>Thermal overpressure / flashing / boiling / external fire</t>
        </is>
      </c>
    </row>
    <row r="80">
      <c r="C80" s="16" t="inlineStr">
        <is>
          <t>Construction</t>
        </is>
      </c>
      <c r="D80" s="16" t="inlineStr">
        <is>
          <t>REVIEW</t>
        </is>
      </c>
      <c r="E80" s="16" t="inlineStr">
        <is>
          <t>Construction|REVIEW</t>
        </is>
      </c>
      <c r="F80" s="16" t="inlineStr">
        <is>
          <t>Construction hazards and impacts</t>
        </is>
      </c>
      <c r="H80" s="16" t="inlineStr">
        <is>
          <t>Pressure|MORE</t>
        </is>
      </c>
      <c r="I80" s="16" t="inlineStr">
        <is>
          <t>Decomposition / gas evolution</t>
        </is>
      </c>
    </row>
    <row r="81">
      <c r="C81" s="16" t="inlineStr">
        <is>
          <t>Commissioning</t>
        </is>
      </c>
      <c r="D81" s="16" t="inlineStr">
        <is>
          <t>REVIEW</t>
        </is>
      </c>
      <c r="E81" s="16" t="inlineStr">
        <is>
          <t>Commissioning|REVIEW</t>
        </is>
      </c>
      <c r="F81" s="16" t="inlineStr">
        <is>
          <t>Commissioning not controlled</t>
        </is>
      </c>
      <c r="H81" s="16" t="inlineStr">
        <is>
          <t>Pressure|MORE</t>
        </is>
      </c>
      <c r="I81" s="16" t="inlineStr">
        <is>
          <t>Runaway reaction</t>
        </is>
      </c>
    </row>
    <row r="82">
      <c r="C82" s="16" t="inlineStr">
        <is>
          <t>Start-up</t>
        </is>
      </c>
      <c r="D82" s="16" t="inlineStr">
        <is>
          <t>REVIEW</t>
        </is>
      </c>
      <c r="E82" s="16" t="inlineStr">
        <is>
          <t>Start-up|REVIEW</t>
        </is>
      </c>
      <c r="F82" s="16" t="inlineStr">
        <is>
          <t>Unsafe start-up</t>
        </is>
      </c>
      <c r="H82" s="16" t="inlineStr">
        <is>
          <t>Pressure|MORE</t>
        </is>
      </c>
      <c r="I82" s="16" t="inlineStr">
        <is>
          <t>Positive displacement pumps or compressors against closed outlet</t>
        </is>
      </c>
    </row>
    <row r="83">
      <c r="C83" s="16" t="inlineStr">
        <is>
          <t>Shutdown (isolation, purging)</t>
        </is>
      </c>
      <c r="D83" s="16" t="inlineStr">
        <is>
          <t>REVIEW</t>
        </is>
      </c>
      <c r="E83" s="16" t="inlineStr">
        <is>
          <t>Shutdown (isolation, purging)|REVIEW</t>
        </is>
      </c>
      <c r="F83" s="16" t="inlineStr">
        <is>
          <t>Unsafe shutdown</t>
        </is>
      </c>
      <c r="H83" s="16" t="inlineStr">
        <is>
          <t>Pressure|MORE</t>
        </is>
      </c>
      <c r="I83" s="16" t="inlineStr">
        <is>
          <t>Failed-open pressure control valves (PCVs)</t>
        </is>
      </c>
    </row>
    <row r="84">
      <c r="C84" s="16" t="inlineStr">
        <is>
          <t>Breakdown (including service failure)</t>
        </is>
      </c>
      <c r="D84" s="16" t="inlineStr">
        <is>
          <t>REVIEW</t>
        </is>
      </c>
      <c r="E84" s="16" t="inlineStr">
        <is>
          <t>Breakdown (including service failure)|REVIEW</t>
        </is>
      </c>
      <c r="F84" s="16" t="inlineStr">
        <is>
          <t>Breakdown / loss of services</t>
        </is>
      </c>
      <c r="H84" s="16" t="inlineStr">
        <is>
          <t>Pressure|MORE</t>
        </is>
      </c>
      <c r="I84" s="16" t="inlineStr">
        <is>
          <t>Incorrect operation</t>
        </is>
      </c>
    </row>
    <row r="85">
      <c r="C85" s="16" t="inlineStr">
        <is>
          <t>Materials</t>
        </is>
      </c>
      <c r="D85" s="16" t="inlineStr">
        <is>
          <t>REVIEW</t>
        </is>
      </c>
      <c r="E85" s="16" t="inlineStr">
        <is>
          <t>Materials|REVIEW</t>
        </is>
      </c>
      <c r="F85" s="16" t="inlineStr">
        <is>
          <t>Wrong / inadequate materials of construction</t>
        </is>
      </c>
      <c r="H85" s="16" t="inlineStr">
        <is>
          <t>Pressure|MORE</t>
        </is>
      </c>
      <c r="I85" s="16" t="inlineStr">
        <is>
          <t>Blocked outlet, blocked vent or blocked flare / stack</t>
        </is>
      </c>
    </row>
    <row r="86">
      <c r="C86" s="16" t="inlineStr">
        <is>
          <t>Utilities and services</t>
        </is>
      </c>
      <c r="D86" s="16" t="inlineStr">
        <is>
          <t>REVIEW</t>
        </is>
      </c>
      <c r="E86" s="16" t="inlineStr">
        <is>
          <t>Utilities and services|REVIEW</t>
        </is>
      </c>
      <c r="F86" s="16" t="inlineStr">
        <is>
          <t>Inadequate utilities</t>
        </is>
      </c>
      <c r="H86" s="16" t="inlineStr">
        <is>
          <t>Pressure|MORE</t>
        </is>
      </c>
      <c r="I86" s="16" t="inlineStr">
        <is>
          <t>Thermal expansion of trapped (blocked-in) liquid</t>
        </is>
      </c>
    </row>
    <row r="87">
      <c r="C87" s="16" t="inlineStr">
        <is>
          <t>Toxicity</t>
        </is>
      </c>
      <c r="D87" s="16" t="inlineStr">
        <is>
          <t>REVIEW</t>
        </is>
      </c>
      <c r="E87" s="16" t="inlineStr">
        <is>
          <t>Toxicity|REVIEW</t>
        </is>
      </c>
      <c r="F87" s="16" t="inlineStr">
        <is>
          <t>Toxic exposure</t>
        </is>
      </c>
      <c r="H87" s="16" t="inlineStr">
        <is>
          <t>Pressure|MORE</t>
        </is>
      </c>
      <c r="I87" s="16" t="inlineStr">
        <is>
          <t>[S] Steam generation from water contacting molten metal or slag (water-cooled element leak, wet charge)</t>
        </is>
      </c>
    </row>
    <row r="88">
      <c r="C88" s="16" t="inlineStr">
        <is>
          <t>Fire and explosion</t>
        </is>
      </c>
      <c r="D88" s="16" t="inlineStr">
        <is>
          <t>REVIEW</t>
        </is>
      </c>
      <c r="E88" s="16" t="inlineStr">
        <is>
          <t>Fire and explosion|REVIEW</t>
        </is>
      </c>
      <c r="F88" s="16" t="inlineStr">
        <is>
          <t>Fire / explosion</t>
        </is>
      </c>
      <c r="H88" s="16" t="inlineStr">
        <is>
          <t>Pressure|MORE</t>
        </is>
      </c>
      <c r="I88" s="16" t="inlineStr">
        <is>
          <t>[S] Furnace or converter off-gas pressure excursion (loss of draft fan, damper closed, slopping)</t>
        </is>
      </c>
    </row>
    <row r="89">
      <c r="C89" s="16" t="inlineStr">
        <is>
          <t>Environmental impact</t>
        </is>
      </c>
      <c r="D89" s="16" t="inlineStr">
        <is>
          <t>REVIEW</t>
        </is>
      </c>
      <c r="E89" s="16" t="inlineStr">
        <is>
          <t>Environmental impact|REVIEW</t>
        </is>
      </c>
      <c r="F89" s="16" t="inlineStr">
        <is>
          <t>Release to environment</t>
        </is>
      </c>
      <c r="H89" s="16" t="inlineStr">
        <is>
          <t>Pressure|MORE</t>
        </is>
      </c>
      <c r="I89" s="16" t="inlineStr">
        <is>
          <t>[S] Blast-furnace top-pressure surge from burden slip / hanging; hot-blast stove valve fault</t>
        </is>
      </c>
    </row>
    <row r="90">
      <c r="C90" s="16" t="inlineStr">
        <is>
          <t>Natural hazards</t>
        </is>
      </c>
      <c r="D90" s="16" t="inlineStr">
        <is>
          <t>REVIEW</t>
        </is>
      </c>
      <c r="E90" s="16" t="inlineStr">
        <is>
          <t>Natural hazards|REVIEW</t>
        </is>
      </c>
      <c r="F90" s="16" t="inlineStr">
        <is>
          <t>External natural event</t>
        </is>
      </c>
      <c r="H90" s="16" t="inlineStr">
        <is>
          <t>Pressure|MORE</t>
        </is>
      </c>
      <c r="I90" s="16" t="inlineStr">
        <is>
          <t>[S] Gas holder over-fill or seal failure (BFG, COG, LD gas)</t>
        </is>
      </c>
    </row>
    <row r="91">
      <c r="C91" s="16" t="inlineStr">
        <is>
          <t>Quality and consistency</t>
        </is>
      </c>
      <c r="D91" s="16" t="inlineStr">
        <is>
          <t>REVIEW</t>
        </is>
      </c>
      <c r="E91" s="16" t="inlineStr">
        <is>
          <t>Quality and consistency|REVIEW</t>
        </is>
      </c>
      <c r="F91" s="16" t="inlineStr">
        <is>
          <t>Off-spec product / variability</t>
        </is>
      </c>
      <c r="H91" s="16" t="inlineStr">
        <is>
          <t>Pressure|MORE</t>
        </is>
      </c>
      <c r="I91" s="16" t="inlineStr">
        <is>
          <t>[S] Hydraulic system overpressure (relief valve set wrongly, accumulator)</t>
        </is>
      </c>
    </row>
    <row r="92">
      <c r="C92" s="16" t="inlineStr">
        <is>
          <t>Procedures – development and documentation</t>
        </is>
      </c>
      <c r="D92" s="16" t="inlineStr">
        <is>
          <t>REVIEW</t>
        </is>
      </c>
      <c r="E92" s="16" t="inlineStr">
        <is>
          <t>Procedures – development and documentation|REVIEW</t>
        </is>
      </c>
      <c r="F92" s="16" t="inlineStr">
        <is>
          <t>Missing / inadequate procedures</t>
        </is>
      </c>
      <c r="H92" s="16" t="inlineStr">
        <is>
          <t>Pressure|LESS</t>
        </is>
      </c>
      <c r="I92" s="16" t="inlineStr">
        <is>
          <t>Generation of vacuum condition (pumping out with vent closed, steam-out then cooling)</t>
        </is>
      </c>
    </row>
    <row r="93">
      <c r="C93" s="16" t="inlineStr">
        <is>
          <t>Safety equipment</t>
        </is>
      </c>
      <c r="D93" s="16" t="inlineStr">
        <is>
          <t>REVIEW</t>
        </is>
      </c>
      <c r="E93" s="16" t="inlineStr">
        <is>
          <t>Safety equipment|REVIEW</t>
        </is>
      </c>
      <c r="F93" s="16" t="inlineStr">
        <is>
          <t>Missing / inadequate safety equipment</t>
        </is>
      </c>
      <c r="H93" s="16" t="inlineStr">
        <is>
          <t>Pressure|LESS</t>
        </is>
      </c>
      <c r="I93" s="16" t="inlineStr">
        <is>
          <t>Condensation</t>
        </is>
      </c>
    </row>
    <row r="94">
      <c r="C94" s="16" t="inlineStr">
        <is>
          <t>Egress / access</t>
        </is>
      </c>
      <c r="D94" s="16" t="inlineStr">
        <is>
          <t>REVIEW</t>
        </is>
      </c>
      <c r="E94" s="16" t="inlineStr">
        <is>
          <t>Egress / access|REVIEW</t>
        </is>
      </c>
      <c r="F94" s="16" t="inlineStr">
        <is>
          <t>Inadequate egress or access</t>
        </is>
      </c>
      <c r="H94" s="16" t="inlineStr">
        <is>
          <t>Pressure|LESS</t>
        </is>
      </c>
      <c r="I94" s="16" t="inlineStr">
        <is>
          <t>Gas dissolving in liquid</t>
        </is>
      </c>
    </row>
    <row r="95">
      <c r="C95" s="16" t="inlineStr">
        <is>
          <t>Entry / exit points</t>
        </is>
      </c>
      <c r="D95" s="16" t="inlineStr">
        <is>
          <t>REVIEW</t>
        </is>
      </c>
      <c r="E95" s="16" t="inlineStr">
        <is>
          <t>Entry / exit points|REVIEW</t>
        </is>
      </c>
      <c r="F95" s="16" t="inlineStr">
        <is>
          <t>Unsafe entry / exit arrangement</t>
        </is>
      </c>
      <c r="H95" s="16" t="inlineStr">
        <is>
          <t>Pressure|LESS</t>
        </is>
      </c>
      <c r="I95" s="16" t="inlineStr">
        <is>
          <t>Restricted pump / compressor suction line</t>
        </is>
      </c>
    </row>
    <row r="96">
      <c r="C96" s="16" t="inlineStr">
        <is>
          <t>Layout and facility siting</t>
        </is>
      </c>
      <c r="D96" s="16" t="inlineStr">
        <is>
          <t>REVIEW</t>
        </is>
      </c>
      <c r="E96" s="16" t="inlineStr">
        <is>
          <t>Layout and facility siting|REVIEW</t>
        </is>
      </c>
      <c r="F96" s="16" t="inlineStr">
        <is>
          <t>Domino / escalation effects</t>
        </is>
      </c>
      <c r="H96" s="16" t="inlineStr">
        <is>
          <t>Pressure|LESS</t>
        </is>
      </c>
      <c r="I96" s="16" t="inlineStr">
        <is>
          <t>Undetected leakage</t>
        </is>
      </c>
    </row>
    <row r="97">
      <c r="H97" s="16" t="inlineStr">
        <is>
          <t>Pressure|LESS</t>
        </is>
      </c>
      <c r="I97" s="16" t="inlineStr">
        <is>
          <t>Vessel drainage</t>
        </is>
      </c>
    </row>
    <row r="98">
      <c r="H98" s="16" t="inlineStr">
        <is>
          <t>Pressure|LESS</t>
        </is>
      </c>
      <c r="I98" s="16" t="inlineStr">
        <is>
          <t>Power failure</t>
        </is>
      </c>
    </row>
    <row r="99">
      <c r="H99" s="16" t="inlineStr">
        <is>
          <t>Pressure|LESS</t>
        </is>
      </c>
      <c r="I99" s="16" t="inlineStr">
        <is>
          <t>Incorrect operation</t>
        </is>
      </c>
    </row>
    <row r="100">
      <c r="H100" s="16" t="inlineStr">
        <is>
          <t>Pressure|LESS</t>
        </is>
      </c>
      <c r="I100" s="16" t="inlineStr">
        <is>
          <t>Vacuum breaker or vent blocked or frozen</t>
        </is>
      </c>
    </row>
    <row r="101">
      <c r="H101" s="16" t="inlineStr">
        <is>
          <t>Pressure|LESS</t>
        </is>
      </c>
      <c r="I101" s="16" t="inlineStr">
        <is>
          <t>[S] Loss of furnace pressure control – air drawn into CO-rich or H2-rich system forming a flammable mixture</t>
        </is>
      </c>
    </row>
    <row r="102">
      <c r="H102" s="16" t="inlineStr">
        <is>
          <t>Pressure|LESS</t>
        </is>
      </c>
      <c r="I102" s="16" t="inlineStr">
        <is>
          <t>[S] Vacuum degassing (RH / VD / VOD) – vacuum pump or steam ejector failure, vessel seal leak</t>
        </is>
      </c>
    </row>
    <row r="103">
      <c r="H103" s="16" t="inlineStr">
        <is>
          <t>Pressure|LESS</t>
        </is>
      </c>
      <c r="I103" s="16" t="inlineStr">
        <is>
          <t>[S] Low fuel-gas pressure at burners (flame-out followed by re-ignition of accumulated gas)</t>
        </is>
      </c>
    </row>
    <row r="104">
      <c r="H104" s="16" t="inlineStr">
        <is>
          <t>Pressure|LESS</t>
        </is>
      </c>
      <c r="I104" s="16" t="inlineStr">
        <is>
          <t>[S] Low cooling-water pressure to water-cooled elements (pump trip, header leak)</t>
        </is>
      </c>
    </row>
    <row r="105">
      <c r="H105" s="16" t="inlineStr">
        <is>
          <t>Pressure|FLUCTUATING</t>
        </is>
      </c>
      <c r="I105" s="16" t="inlineStr">
        <is>
          <t>Water hammer; rapid valve closure; pump start/stop</t>
        </is>
      </c>
    </row>
    <row r="106">
      <c r="H106" s="16" t="inlineStr">
        <is>
          <t>Pressure|FLUCTUATING</t>
        </is>
      </c>
      <c r="I106" s="16" t="inlineStr">
        <is>
          <t>Compressor or fan surge</t>
        </is>
      </c>
    </row>
    <row r="107">
      <c r="H107" s="16" t="inlineStr">
        <is>
          <t>Pressure|FLUCTUATING</t>
        </is>
      </c>
      <c r="I107" s="16" t="inlineStr">
        <is>
          <t>Slug flow / two-phase flow</t>
        </is>
      </c>
    </row>
    <row r="108">
      <c r="H108" s="16" t="inlineStr">
        <is>
          <t>Pressure|FLUCTUATING</t>
        </is>
      </c>
      <c r="I108" s="16" t="inlineStr">
        <is>
          <t>Control loop instability</t>
        </is>
      </c>
    </row>
    <row r="109">
      <c r="H109" s="16" t="inlineStr">
        <is>
          <t>Pressure|FLUCTUATING</t>
        </is>
      </c>
      <c r="I109" s="16" t="inlineStr">
        <is>
          <t>[S] Converter slopping or foaming slag eruption</t>
        </is>
      </c>
    </row>
    <row r="110">
      <c r="H110" s="16" t="inlineStr">
        <is>
          <t>Pressure|FLUCTUATING</t>
        </is>
      </c>
      <c r="I110" s="16" t="inlineStr">
        <is>
          <t>[S] Explosive spalling of wet refractory</t>
        </is>
      </c>
    </row>
    <row r="111">
      <c r="H111" s="16" t="inlineStr">
        <is>
          <t>Temperature|MORE</t>
        </is>
      </c>
      <c r="I111" s="16" t="inlineStr">
        <is>
          <t>Ambient conditions (hot weather, solar gain)</t>
        </is>
      </c>
    </row>
    <row r="112">
      <c r="H112" s="16" t="inlineStr">
        <is>
          <t>Temperature|MORE</t>
        </is>
      </c>
      <c r="I112" s="16" t="inlineStr">
        <is>
          <t>Fouled or failed exchanger tubes</t>
        </is>
      </c>
    </row>
    <row r="113">
      <c r="H113" s="16" t="inlineStr">
        <is>
          <t>Temperature|MORE</t>
        </is>
      </c>
      <c r="I113" s="16" t="inlineStr">
        <is>
          <t>Fire situation</t>
        </is>
      </c>
    </row>
    <row r="114">
      <c r="H114" s="16" t="inlineStr">
        <is>
          <t>Temperature|MORE</t>
        </is>
      </c>
      <c r="I114" s="16" t="inlineStr">
        <is>
          <t>Cooling water failure</t>
        </is>
      </c>
    </row>
    <row r="115">
      <c r="H115" s="16" t="inlineStr">
        <is>
          <t>Temperature|MORE</t>
        </is>
      </c>
      <c r="I115" s="16" t="inlineStr">
        <is>
          <t>Defective control (TIC fault, heater fails on)</t>
        </is>
      </c>
    </row>
    <row r="116">
      <c r="H116" s="16" t="inlineStr">
        <is>
          <t>Temperature|MORE</t>
        </is>
      </c>
      <c r="I116" s="16" t="inlineStr">
        <is>
          <t>Reaction control failures</t>
        </is>
      </c>
    </row>
    <row r="117">
      <c r="H117" s="16" t="inlineStr">
        <is>
          <t>Temperature|MORE</t>
        </is>
      </c>
      <c r="I117" s="16" t="inlineStr">
        <is>
          <t>Power failure (loss of cooling fans or pumps)</t>
        </is>
      </c>
    </row>
    <row r="118">
      <c r="H118" s="16" t="inlineStr">
        <is>
          <t>Temperature|MORE</t>
        </is>
      </c>
      <c r="I118" s="16" t="inlineStr">
        <is>
          <t>Heat tracing or jacket heating fails on</t>
        </is>
      </c>
    </row>
    <row r="119">
      <c r="H119" s="16" t="inlineStr">
        <is>
          <t>Temperature|MORE</t>
        </is>
      </c>
      <c r="I119" s="16" t="inlineStr">
        <is>
          <t>[C] Exothermic reaction / catalyst hot-spot; loss of quench</t>
        </is>
      </c>
    </row>
    <row r="120">
      <c r="H120" s="16" t="inlineStr">
        <is>
          <t>Temperature|MORE</t>
        </is>
      </c>
      <c r="I120" s="16" t="inlineStr">
        <is>
          <t>[S] Loss of cooling water to panels, roof, tuyeres, staves, lances or moulds – burn-through</t>
        </is>
      </c>
    </row>
    <row r="121">
      <c r="H121" s="16" t="inlineStr">
        <is>
          <t>Temperature|MORE</t>
        </is>
      </c>
      <c r="I121" s="16" t="inlineStr">
        <is>
          <t>[S] Refractory wear or loss – shell hot-spot, breakout</t>
        </is>
      </c>
    </row>
    <row r="122">
      <c r="H122" s="16" t="inlineStr">
        <is>
          <t>Temperature|MORE</t>
        </is>
      </c>
      <c r="I122" s="16" t="inlineStr">
        <is>
          <t>[S] Excessive metal superheat (power-on time too long, temperature measurement error)</t>
        </is>
      </c>
    </row>
    <row r="123">
      <c r="H123" s="16" t="inlineStr">
        <is>
          <t>Temperature|MORE</t>
        </is>
      </c>
      <c r="I123" s="16" t="inlineStr">
        <is>
          <t>[S] Hot DRI / HBI self-heating and re-oxidation in bins, silos or conveyors</t>
        </is>
      </c>
    </row>
    <row r="124">
      <c r="H124" s="16" t="inlineStr">
        <is>
          <t>Temperature|MORE</t>
        </is>
      </c>
      <c r="I124" s="16" t="inlineStr">
        <is>
          <t>[S] Reheat furnace over-firing; burner management failure</t>
        </is>
      </c>
    </row>
    <row r="125">
      <c r="H125" s="16" t="inlineStr">
        <is>
          <t>Temperature|MORE</t>
        </is>
      </c>
      <c r="I125" s="16" t="inlineStr">
        <is>
          <t>[S] Hot material on conveyors not rated for the temperature (belt fire)</t>
        </is>
      </c>
    </row>
    <row r="126">
      <c r="H126" s="16" t="inlineStr">
        <is>
          <t>Temperature|LESS</t>
        </is>
      </c>
      <c r="I126" s="16" t="inlineStr">
        <is>
          <t>Ambient conditions (cold weather, freezing)</t>
        </is>
      </c>
    </row>
    <row r="127">
      <c r="H127" s="16" t="inlineStr">
        <is>
          <t>Temperature|LESS</t>
        </is>
      </c>
      <c r="I127" s="16" t="inlineStr">
        <is>
          <t>Reducing pressure (auto-refrigeration of LPG, CO2, ammonia)</t>
        </is>
      </c>
    </row>
    <row r="128">
      <c r="H128" s="16" t="inlineStr">
        <is>
          <t>Temperature|LESS</t>
        </is>
      </c>
      <c r="I128" s="16" t="inlineStr">
        <is>
          <t>Fouled or failed exchanger tubes</t>
        </is>
      </c>
    </row>
    <row r="129">
      <c r="H129" s="16" t="inlineStr">
        <is>
          <t>Temperature|LESS</t>
        </is>
      </c>
      <c r="I129" s="16" t="inlineStr">
        <is>
          <t>Loss of heating (steam, hot oil, electric tracing)</t>
        </is>
      </c>
    </row>
    <row r="130">
      <c r="H130" s="16" t="inlineStr">
        <is>
          <t>Temperature|LESS</t>
        </is>
      </c>
      <c r="I130" s="16" t="inlineStr">
        <is>
          <t>Power failure</t>
        </is>
      </c>
    </row>
    <row r="131">
      <c r="H131" s="16" t="inlineStr">
        <is>
          <t>Temperature|LESS</t>
        </is>
      </c>
      <c r="I131" s="16" t="inlineStr">
        <is>
          <t>Brittle fracture of carbon steel below its minimum design metal temperature</t>
        </is>
      </c>
    </row>
    <row r="132">
      <c r="H132" s="16" t="inlineStr">
        <is>
          <t>Temperature|LESS</t>
        </is>
      </c>
      <c r="I132" s="16" t="inlineStr">
        <is>
          <t>[C] Crystallisation, hydrate formation or high viscosity</t>
        </is>
      </c>
    </row>
    <row r="133">
      <c r="H133" s="16" t="inlineStr">
        <is>
          <t>Temperature|LESS</t>
        </is>
      </c>
      <c r="I133" s="16" t="inlineStr">
        <is>
          <t>[S] Metal freeze in ladle, tundish, launder or nozzle (low tap temperature, delays)</t>
        </is>
      </c>
    </row>
    <row r="134">
      <c r="H134" s="16" t="inlineStr">
        <is>
          <t>Temperature|LESS</t>
        </is>
      </c>
      <c r="I134" s="16" t="inlineStr">
        <is>
          <t>[S] Insufficient pre-heat of ladles, tundishes, moulds or tools – moisture and thermal shock</t>
        </is>
      </c>
    </row>
    <row r="135">
      <c r="H135" s="16" t="inlineStr">
        <is>
          <t>Temperature|LESS</t>
        </is>
      </c>
      <c r="I135" s="16" t="inlineStr">
        <is>
          <t>[S] Low reducing-gas temperature – incomplete reduction / carbon deposition</t>
        </is>
      </c>
    </row>
    <row r="136">
      <c r="H136" s="16" t="inlineStr">
        <is>
          <t>Level|MORE</t>
        </is>
      </c>
      <c r="I136" s="16" t="inlineStr">
        <is>
          <t>Inlet flow greater than outlet; outlet blocked or valve closed</t>
        </is>
      </c>
    </row>
    <row r="137">
      <c r="H137" s="16" t="inlineStr">
        <is>
          <t>Level|MORE</t>
        </is>
      </c>
      <c r="I137" s="16" t="inlineStr">
        <is>
          <t>Level controller or level transmitter failure</t>
        </is>
      </c>
    </row>
    <row r="138">
      <c r="H138" s="16" t="inlineStr">
        <is>
          <t>Level|MORE</t>
        </is>
      </c>
      <c r="I138" s="16" t="inlineStr">
        <is>
          <t>Wrong vessel being filled</t>
        </is>
      </c>
    </row>
    <row r="139">
      <c r="H139" s="16" t="inlineStr">
        <is>
          <t>Level|MORE</t>
        </is>
      </c>
      <c r="I139" s="16" t="inlineStr">
        <is>
          <t>Overfill during transfer or tanker offloading</t>
        </is>
      </c>
    </row>
    <row r="140">
      <c r="H140" s="16" t="inlineStr">
        <is>
          <t>Level|MORE</t>
        </is>
      </c>
      <c r="I140" s="16" t="inlineStr">
        <is>
          <t>[C] Foaming</t>
        </is>
      </c>
    </row>
    <row r="141">
      <c r="H141" s="16" t="inlineStr">
        <is>
          <t>Level|MORE</t>
        </is>
      </c>
      <c r="I141" s="16" t="inlineStr">
        <is>
          <t>[S] Over-filling of ladle at tap (molten metal / slag spill)</t>
        </is>
      </c>
    </row>
    <row r="142">
      <c r="H142" s="16" t="inlineStr">
        <is>
          <t>Level|MORE</t>
        </is>
      </c>
      <c r="I142" s="16" t="inlineStr">
        <is>
          <t>[S] High mould level in continuous caster (overflow)</t>
        </is>
      </c>
    </row>
    <row r="143">
      <c r="H143" s="16" t="inlineStr">
        <is>
          <t>Level|MORE</t>
        </is>
      </c>
      <c r="I143" s="16" t="inlineStr">
        <is>
          <t>[S] Foaming slag over the sill / door</t>
        </is>
      </c>
    </row>
    <row r="144">
      <c r="H144" s="16" t="inlineStr">
        <is>
          <t>Level|MORE</t>
        </is>
      </c>
      <c r="I144" s="16" t="inlineStr">
        <is>
          <t>[S] Bin, silo or hopper over-fill (DRI, pellets, coal, lime) – spillage, structural overload</t>
        </is>
      </c>
    </row>
    <row r="145">
      <c r="H145" s="16" t="inlineStr">
        <is>
          <t>Level|LESS</t>
        </is>
      </c>
      <c r="I145" s="16" t="inlineStr">
        <is>
          <t>Loss of feed; drain left open; leak</t>
        </is>
      </c>
    </row>
    <row r="146">
      <c r="H146" s="16" t="inlineStr">
        <is>
          <t>Level|LESS</t>
        </is>
      </c>
      <c r="I146" s="16" t="inlineStr">
        <is>
          <t>Level indication fails high (false reading)</t>
        </is>
      </c>
    </row>
    <row r="147">
      <c r="H147" s="16" t="inlineStr">
        <is>
          <t>Level|LESS</t>
        </is>
      </c>
      <c r="I147" s="16" t="inlineStr">
        <is>
          <t>Pump cavitation or loss of suction</t>
        </is>
      </c>
    </row>
    <row r="148">
      <c r="H148" s="16" t="inlineStr">
        <is>
          <t>Level|LESS</t>
        </is>
      </c>
      <c r="I148" s="16" t="inlineStr">
        <is>
          <t>Gas blow-by to downstream low-pressure vessel</t>
        </is>
      </c>
    </row>
    <row r="149">
      <c r="H149" s="16" t="inlineStr">
        <is>
          <t>Level|LESS</t>
        </is>
      </c>
      <c r="I149" s="16" t="inlineStr">
        <is>
          <t>[S] Low tundish level – slag entrainment, vortexing</t>
        </is>
      </c>
    </row>
    <row r="150">
      <c r="H150" s="16" t="inlineStr">
        <is>
          <t>Level|LESS</t>
        </is>
      </c>
      <c r="I150" s="16" t="inlineStr">
        <is>
          <t>[S] Low water level in seal pots or water seals – gas escape</t>
        </is>
      </c>
    </row>
    <row r="151">
      <c r="H151" s="16" t="inlineStr">
        <is>
          <t>Level|LESS</t>
        </is>
      </c>
      <c r="I151" s="16" t="inlineStr">
        <is>
          <t>[S] Low level in boiler drum or evaporative cooling system – overheating</t>
        </is>
      </c>
    </row>
    <row r="152">
      <c r="H152" s="16" t="inlineStr">
        <is>
          <t>Level|LESS</t>
        </is>
      </c>
      <c r="I152" s="16" t="inlineStr">
        <is>
          <t>[S] Empty bin or hopper allowing gas to pass back through feed system (loss of material seal)</t>
        </is>
      </c>
    </row>
    <row r="153">
      <c r="H153" s="16" t="inlineStr">
        <is>
          <t>Level|NO</t>
        </is>
      </c>
      <c r="I153" s="16" t="inlineStr">
        <is>
          <t>Loss of feed; drain left open; leak</t>
        </is>
      </c>
    </row>
    <row r="154">
      <c r="H154" s="16" t="inlineStr">
        <is>
          <t>Level|NO</t>
        </is>
      </c>
      <c r="I154" s="16" t="inlineStr">
        <is>
          <t>Level indication fails high (false reading)</t>
        </is>
      </c>
    </row>
    <row r="155">
      <c r="H155" s="16" t="inlineStr">
        <is>
          <t>Level|NO</t>
        </is>
      </c>
      <c r="I155" s="16" t="inlineStr">
        <is>
          <t>Pump cavitation or loss of suction</t>
        </is>
      </c>
    </row>
    <row r="156">
      <c r="H156" s="16" t="inlineStr">
        <is>
          <t>Level|NO</t>
        </is>
      </c>
      <c r="I156" s="16" t="inlineStr">
        <is>
          <t>Gas blow-by to downstream low-pressure vessel</t>
        </is>
      </c>
    </row>
    <row r="157">
      <c r="H157" s="16" t="inlineStr">
        <is>
          <t>Level|NO</t>
        </is>
      </c>
      <c r="I157" s="16" t="inlineStr">
        <is>
          <t>[S] Low tundish level – slag entrainment, vortexing</t>
        </is>
      </c>
    </row>
    <row r="158">
      <c r="H158" s="16" t="inlineStr">
        <is>
          <t>Level|NO</t>
        </is>
      </c>
      <c r="I158" s="16" t="inlineStr">
        <is>
          <t>[S] Low water level in seal pots or water seals – gas escape</t>
        </is>
      </c>
    </row>
    <row r="159">
      <c r="H159" s="16" t="inlineStr">
        <is>
          <t>Level|NO</t>
        </is>
      </c>
      <c r="I159" s="16" t="inlineStr">
        <is>
          <t>[S] Low level in boiler drum or evaporative cooling system – overheating</t>
        </is>
      </c>
    </row>
    <row r="160">
      <c r="H160" s="16" t="inlineStr">
        <is>
          <t>Level|NO</t>
        </is>
      </c>
      <c r="I160" s="16" t="inlineStr">
        <is>
          <t>[S] Empty bin or hopper allowing gas to pass back through feed system (loss of material seal)</t>
        </is>
      </c>
    </row>
    <row r="161">
      <c r="H161" s="16" t="inlineStr">
        <is>
          <t>Composition|AS WELL AS</t>
        </is>
      </c>
      <c r="I161" s="16" t="inlineStr">
        <is>
          <t>Leaking exchanger tubes or isolation valves</t>
        </is>
      </c>
    </row>
    <row r="162">
      <c r="H162" s="16" t="inlineStr">
        <is>
          <t>Composition|AS WELL AS</t>
        </is>
      </c>
      <c r="I162" s="16" t="inlineStr">
        <is>
          <t>Incorrect operation of system</t>
        </is>
      </c>
    </row>
    <row r="163">
      <c r="H163" s="16" t="inlineStr">
        <is>
          <t>Composition|AS WELL AS</t>
        </is>
      </c>
      <c r="I163" s="16" t="inlineStr">
        <is>
          <t>Interconnected systems</t>
        </is>
      </c>
    </row>
    <row r="164">
      <c r="H164" s="16" t="inlineStr">
        <is>
          <t>Composition|AS WELL AS</t>
        </is>
      </c>
      <c r="I164" s="16" t="inlineStr">
        <is>
          <t>Effect of corrosion</t>
        </is>
      </c>
    </row>
    <row r="165">
      <c r="H165" s="16" t="inlineStr">
        <is>
          <t>Composition|AS WELL AS</t>
        </is>
      </c>
      <c r="I165" s="16" t="inlineStr">
        <is>
          <t>Wrong additives</t>
        </is>
      </c>
    </row>
    <row r="166">
      <c r="H166" s="16" t="inlineStr">
        <is>
          <t>Composition|AS WELL AS</t>
        </is>
      </c>
      <c r="I166" s="16" t="inlineStr">
        <is>
          <t>Ingress of air, water or lubricant</t>
        </is>
      </c>
    </row>
    <row r="167">
      <c r="H167" s="16" t="inlineStr">
        <is>
          <t>Composition|AS WELL AS</t>
        </is>
      </c>
      <c r="I167" s="16" t="inlineStr">
        <is>
          <t>Shutdown and start-up conditions</t>
        </is>
      </c>
    </row>
    <row r="168">
      <c r="H168" s="16" t="inlineStr">
        <is>
          <t>Composition|AS WELL AS</t>
        </is>
      </c>
      <c r="I168" s="16" t="inlineStr">
        <is>
          <t>Phase change</t>
        </is>
      </c>
    </row>
    <row r="169">
      <c r="H169" s="16" t="inlineStr">
        <is>
          <t>Composition|AS WELL AS</t>
        </is>
      </c>
      <c r="I169" s="16" t="inlineStr">
        <is>
          <t>Sediments / scale</t>
        </is>
      </c>
    </row>
    <row r="170">
      <c r="H170" s="16" t="inlineStr">
        <is>
          <t>Composition|AS WELL AS</t>
        </is>
      </c>
      <c r="I170" s="16" t="inlineStr">
        <is>
          <t>Biological activity</t>
        </is>
      </c>
    </row>
    <row r="171">
      <c r="H171" s="16" t="inlineStr">
        <is>
          <t>Composition|AS WELL AS</t>
        </is>
      </c>
      <c r="I171" s="16" t="inlineStr">
        <is>
          <t>Reaction by-products / breakdown products</t>
        </is>
      </c>
    </row>
    <row r="172">
      <c r="H172" s="16" t="inlineStr">
        <is>
          <t>Composition|AS WELL AS</t>
        </is>
      </c>
      <c r="I172" s="16" t="inlineStr">
        <is>
          <t>[C] Catalyst poisons in feed</t>
        </is>
      </c>
    </row>
    <row r="173">
      <c r="H173" s="16" t="inlineStr">
        <is>
          <t>Composition|AS WELL AS</t>
        </is>
      </c>
      <c r="I173" s="16" t="inlineStr">
        <is>
          <t>[S] Wet or contaminated scrap – sealed containers, explosives, oil, paint, plastics, radioactive sources</t>
        </is>
      </c>
    </row>
    <row r="174">
      <c r="H174" s="16" t="inlineStr">
        <is>
          <t>Composition|AS WELL AS</t>
        </is>
      </c>
      <c r="I174" s="16" t="inlineStr">
        <is>
          <t>[S] Moisture in ferro-alloys, fluxes, ladle additions or tundish powders</t>
        </is>
      </c>
    </row>
    <row r="175">
      <c r="H175" s="16" t="inlineStr">
        <is>
          <t>Composition|AS WELL AS</t>
        </is>
      </c>
      <c r="I175" s="16" t="inlineStr">
        <is>
          <t>[S] Oxygen or air ingress into reducing gas or inerted systems</t>
        </is>
      </c>
    </row>
    <row r="176">
      <c r="H176" s="16" t="inlineStr">
        <is>
          <t>Composition|AS WELL AS</t>
        </is>
      </c>
      <c r="I176" s="16" t="inlineStr">
        <is>
          <t>[S] Hydrogen, CO or H2S in process gas above design values</t>
        </is>
      </c>
    </row>
    <row r="177">
      <c r="H177" s="16" t="inlineStr">
        <is>
          <t>Composition|PART OF</t>
        </is>
      </c>
      <c r="I177" s="16" t="inlineStr">
        <is>
          <t>Feed ratio controller failure; one feed lost</t>
        </is>
      </c>
    </row>
    <row r="178">
      <c r="H178" s="16" t="inlineStr">
        <is>
          <t>Composition|PART OF</t>
        </is>
      </c>
      <c r="I178" s="16" t="inlineStr">
        <is>
          <t>Dosing pump stopped or air-locked</t>
        </is>
      </c>
    </row>
    <row r="179">
      <c r="H179" s="16" t="inlineStr">
        <is>
          <t>Composition|PART OF</t>
        </is>
      </c>
      <c r="I179" s="16" t="inlineStr">
        <is>
          <t>Analyser or sample error</t>
        </is>
      </c>
    </row>
    <row r="180">
      <c r="H180" s="16" t="inlineStr">
        <is>
          <t>Composition|PART OF</t>
        </is>
      </c>
      <c r="I180" s="16" t="inlineStr">
        <is>
          <t>[C] Wrong acid or caustic concentration</t>
        </is>
      </c>
    </row>
    <row r="181">
      <c r="H181" s="16" t="inlineStr">
        <is>
          <t>Composition|PART OF</t>
        </is>
      </c>
      <c r="I181" s="16" t="inlineStr">
        <is>
          <t>[S] Carbon, sulphur or metallisation of DRI outside specification</t>
        </is>
      </c>
    </row>
    <row r="182">
      <c r="H182" s="16" t="inlineStr">
        <is>
          <t>Composition|PART OF</t>
        </is>
      </c>
      <c r="I182" s="16" t="inlineStr">
        <is>
          <t>[S] Wrong fuel / air ratio – incomplete combustion, CO formation</t>
        </is>
      </c>
    </row>
    <row r="183">
      <c r="H183" s="16" t="inlineStr">
        <is>
          <t>Composition|PART OF</t>
        </is>
      </c>
      <c r="I183" s="16" t="inlineStr">
        <is>
          <t>[S] Pickling acid strength out of range</t>
        </is>
      </c>
    </row>
    <row r="184">
      <c r="H184" s="16" t="inlineStr">
        <is>
          <t>Composition|OTHER THAN</t>
        </is>
      </c>
      <c r="I184" s="16" t="inlineStr">
        <is>
          <t>Wrong raw material delivered or unloaded</t>
        </is>
      </c>
    </row>
    <row r="185">
      <c r="H185" s="16" t="inlineStr">
        <is>
          <t>Composition|OTHER THAN</t>
        </is>
      </c>
      <c r="I185" s="16" t="inlineStr">
        <is>
          <t>Mislabelled drums, IBCs or cylinders</t>
        </is>
      </c>
    </row>
    <row r="186">
      <c r="H186" s="16" t="inlineStr">
        <is>
          <t>Composition|OTHER THAN</t>
        </is>
      </c>
      <c r="I186" s="16" t="inlineStr">
        <is>
          <t>Wrong gas connected (e.g. oxygen in place of nitrogen, nitrogen in place of breathing air)</t>
        </is>
      </c>
    </row>
    <row r="187">
      <c r="H187" s="16" t="inlineStr">
        <is>
          <t>Composition|OTHER THAN</t>
        </is>
      </c>
      <c r="I187" s="16" t="inlineStr">
        <is>
          <t>Incorrect hose / coupling standardisation</t>
        </is>
      </c>
    </row>
    <row r="188">
      <c r="H188" s="16" t="inlineStr">
        <is>
          <t>Composition|OTHER THAN</t>
        </is>
      </c>
      <c r="I188" s="16" t="inlineStr">
        <is>
          <t>[S] Wrong alloy addition or wrong grade of scrap charged</t>
        </is>
      </c>
    </row>
    <row r="189">
      <c r="H189" s="16" t="inlineStr">
        <is>
          <t>Phase|OTHER THAN</t>
        </is>
      </c>
      <c r="I189" s="16" t="inlineStr">
        <is>
          <t>Flashing, boiling or condensation</t>
        </is>
      </c>
    </row>
    <row r="190">
      <c r="H190" s="16" t="inlineStr">
        <is>
          <t>Phase|OTHER THAN</t>
        </is>
      </c>
      <c r="I190" s="16" t="inlineStr">
        <is>
          <t>Freezing or solidification</t>
        </is>
      </c>
    </row>
    <row r="191">
      <c r="H191" s="16" t="inlineStr">
        <is>
          <t>Phase|OTHER THAN</t>
        </is>
      </c>
      <c r="I191" s="16" t="inlineStr">
        <is>
          <t>Two-phase flow in single-phase design</t>
        </is>
      </c>
    </row>
    <row r="192">
      <c r="H192" s="16" t="inlineStr">
        <is>
          <t>Phase|OTHER THAN</t>
        </is>
      </c>
      <c r="I192" s="16" t="inlineStr">
        <is>
          <t>[C] Vapour lock; liquid in compressor suction</t>
        </is>
      </c>
    </row>
    <row r="193">
      <c r="H193" s="16" t="inlineStr">
        <is>
          <t>Phase|OTHER THAN</t>
        </is>
      </c>
      <c r="I193" s="16" t="inlineStr">
        <is>
          <t>[S] Molten metal–water contact – steam explosion</t>
        </is>
      </c>
    </row>
    <row r="194">
      <c r="H194" s="16" t="inlineStr">
        <is>
          <t>Phase|OTHER THAN</t>
        </is>
      </c>
      <c r="I194" s="16" t="inlineStr">
        <is>
          <t>[S] Solidification of slag or metal in transfer equipment</t>
        </is>
      </c>
    </row>
    <row r="195">
      <c r="H195" s="16" t="inlineStr">
        <is>
          <t>Reaction|MORE</t>
        </is>
      </c>
      <c r="I195" s="16" t="inlineStr">
        <is>
          <t>Loss of cooling or agitation</t>
        </is>
      </c>
    </row>
    <row r="196">
      <c r="H196" s="16" t="inlineStr">
        <is>
          <t>Reaction|MORE</t>
        </is>
      </c>
      <c r="I196" s="16" t="inlineStr">
        <is>
          <t>Excess catalyst or initiator; wrong reactant order</t>
        </is>
      </c>
    </row>
    <row r="197">
      <c r="H197" s="16" t="inlineStr">
        <is>
          <t>Reaction|MORE</t>
        </is>
      </c>
      <c r="I197" s="16" t="inlineStr">
        <is>
          <t>Higher feed concentration or temperature</t>
        </is>
      </c>
    </row>
    <row r="198">
      <c r="H198" s="16" t="inlineStr">
        <is>
          <t>Reaction|MORE</t>
        </is>
      </c>
      <c r="I198" s="16" t="inlineStr">
        <is>
          <t>Accumulation of unreacted material followed by sudden reaction</t>
        </is>
      </c>
    </row>
    <row r="199">
      <c r="H199" s="16" t="inlineStr">
        <is>
          <t>Reaction|MORE</t>
        </is>
      </c>
      <c r="I199" s="16" t="inlineStr">
        <is>
          <t>[C] Contamination promoting decomposition</t>
        </is>
      </c>
    </row>
    <row r="200">
      <c r="H200" s="16" t="inlineStr">
        <is>
          <t>Reaction|MORE</t>
        </is>
      </c>
      <c r="I200" s="16" t="inlineStr">
        <is>
          <t>[S] Excessive oxygen blowing – violent carbon boil / slopping</t>
        </is>
      </c>
    </row>
    <row r="201">
      <c r="H201" s="16" t="inlineStr">
        <is>
          <t>Reaction|MORE</t>
        </is>
      </c>
      <c r="I201" s="16" t="inlineStr">
        <is>
          <t>[S] Metal–water reaction generating hydrogen</t>
        </is>
      </c>
    </row>
    <row r="202">
      <c r="H202" s="16" t="inlineStr">
        <is>
          <t>Reaction|MORE</t>
        </is>
      </c>
      <c r="I202" s="16" t="inlineStr">
        <is>
          <t>[S] Aluminium, magnesium or other reactive metal powders in contact with water</t>
        </is>
      </c>
    </row>
    <row r="203">
      <c r="H203" s="16" t="inlineStr">
        <is>
          <t>Reaction|LESS</t>
        </is>
      </c>
      <c r="I203" s="16" t="inlineStr">
        <is>
          <t>Low temperature; catalyst deactivated</t>
        </is>
      </c>
    </row>
    <row r="204">
      <c r="H204" s="16" t="inlineStr">
        <is>
          <t>Reaction|LESS</t>
        </is>
      </c>
      <c r="I204" s="16" t="inlineStr">
        <is>
          <t>Wrong or missing reactant; inhibitor excess</t>
        </is>
      </c>
    </row>
    <row r="205">
      <c r="H205" s="16" t="inlineStr">
        <is>
          <t>Reaction|LESS</t>
        </is>
      </c>
      <c r="I205" s="16" t="inlineStr">
        <is>
          <t>[C] Accumulation of unreacted material (later runaway)</t>
        </is>
      </c>
    </row>
    <row r="206">
      <c r="H206" s="16" t="inlineStr">
        <is>
          <t>Reaction|LESS</t>
        </is>
      </c>
      <c r="I206" s="16" t="inlineStr">
        <is>
          <t>[S] Incomplete reduction in DRI shaft / kiln (low metallisation)</t>
        </is>
      </c>
    </row>
    <row r="207">
      <c r="H207" s="16" t="inlineStr">
        <is>
          <t>Reaction|LESS</t>
        </is>
      </c>
      <c r="I207" s="16" t="inlineStr">
        <is>
          <t>[S] Low reducing-gas quality or temperature</t>
        </is>
      </c>
    </row>
    <row r="208">
      <c r="H208" s="16" t="inlineStr">
        <is>
          <t>Reaction|NO</t>
        </is>
      </c>
      <c r="I208" s="16" t="inlineStr">
        <is>
          <t>Low temperature; catalyst deactivated</t>
        </is>
      </c>
    </row>
    <row r="209">
      <c r="H209" s="16" t="inlineStr">
        <is>
          <t>Reaction|NO</t>
        </is>
      </c>
      <c r="I209" s="16" t="inlineStr">
        <is>
          <t>Wrong or missing reactant; inhibitor excess</t>
        </is>
      </c>
    </row>
    <row r="210">
      <c r="H210" s="16" t="inlineStr">
        <is>
          <t>Reaction|NO</t>
        </is>
      </c>
      <c r="I210" s="16" t="inlineStr">
        <is>
          <t>[C] Accumulation of unreacted material (later runaway)</t>
        </is>
      </c>
    </row>
    <row r="211">
      <c r="H211" s="16" t="inlineStr">
        <is>
          <t>Reaction|NO</t>
        </is>
      </c>
      <c r="I211" s="16" t="inlineStr">
        <is>
          <t>[S] Incomplete reduction in DRI shaft / kiln (low metallisation)</t>
        </is>
      </c>
    </row>
    <row r="212">
      <c r="H212" s="16" t="inlineStr">
        <is>
          <t>Reaction|NO</t>
        </is>
      </c>
      <c r="I212" s="16" t="inlineStr">
        <is>
          <t>[S] Low reducing-gas quality or temperature</t>
        </is>
      </c>
    </row>
    <row r="213">
      <c r="H213" s="16" t="inlineStr">
        <is>
          <t>Reaction|OTHER THAN</t>
        </is>
      </c>
      <c r="I213" s="16" t="inlineStr">
        <is>
          <t>[C] Decomposition, polymerisation, oxidation</t>
        </is>
      </c>
    </row>
    <row r="214">
      <c r="H214" s="16" t="inlineStr">
        <is>
          <t>Reaction|OTHER THAN</t>
        </is>
      </c>
      <c r="I214" s="16" t="inlineStr">
        <is>
          <t>[S] Carbon deposition (Boudouard reaction) in reducing-gas systems</t>
        </is>
      </c>
    </row>
    <row r="215">
      <c r="H215" s="16" t="inlineStr">
        <is>
          <t>Reaction|OTHER THAN</t>
        </is>
      </c>
      <c r="I215" s="16" t="inlineStr">
        <is>
          <t>[S] Carbonyl formation where CO contacts nickel or iron surfaces at low temperature</t>
        </is>
      </c>
    </row>
    <row r="216">
      <c r="H216" s="16" t="inlineStr">
        <is>
          <t>Reaction|OTHER THAN</t>
        </is>
      </c>
      <c r="I216" s="16" t="inlineStr">
        <is>
          <t>[S] Re-oxidation of DRI / HBI (heat and hydrogen release)</t>
        </is>
      </c>
    </row>
    <row r="217">
      <c r="H217" s="16" t="inlineStr">
        <is>
          <t>Reaction|OTHER THAN</t>
        </is>
      </c>
      <c r="I217" s="16" t="inlineStr">
        <is>
          <t>Toxic gas evolution (H2S, HCN, NOx, phosphine from wetted ferro-silicon)</t>
        </is>
      </c>
    </row>
    <row r="218">
      <c r="H218" s="16" t="inlineStr">
        <is>
          <t>Mixing / agitation|NO</t>
        </is>
      </c>
      <c r="I218" s="16" t="inlineStr">
        <is>
          <t>Agitator, mixer or circulation pump trip</t>
        </is>
      </c>
    </row>
    <row r="219">
      <c r="H219" s="16" t="inlineStr">
        <is>
          <t>Mixing / agitation|NO</t>
        </is>
      </c>
      <c r="I219" s="16" t="inlineStr">
        <is>
          <t>Wrong agitator speed</t>
        </is>
      </c>
    </row>
    <row r="220">
      <c r="H220" s="16" t="inlineStr">
        <is>
          <t>Mixing / agitation|NO</t>
        </is>
      </c>
      <c r="I220" s="16" t="inlineStr">
        <is>
          <t>[C] Stratification of reactants</t>
        </is>
      </c>
    </row>
    <row r="221">
      <c r="H221" s="16" t="inlineStr">
        <is>
          <t>Mixing / agitation|NO</t>
        </is>
      </c>
      <c r="I221" s="16" t="inlineStr">
        <is>
          <t>[S] Argon / nitrogen stirring – porous plug blocked or leaking</t>
        </is>
      </c>
    </row>
    <row r="222">
      <c r="H222" s="16" t="inlineStr">
        <is>
          <t>Mixing / agitation|NO</t>
        </is>
      </c>
      <c r="I222" s="16" t="inlineStr">
        <is>
          <t>[S] Excessive stirring – metal splash, slag entrainment</t>
        </is>
      </c>
    </row>
    <row r="223">
      <c r="H223" s="16" t="inlineStr">
        <is>
          <t>Mixing / agitation|NO</t>
        </is>
      </c>
      <c r="I223" s="16" t="inlineStr">
        <is>
          <t>[S] Electromagnetic stirrer failure</t>
        </is>
      </c>
    </row>
    <row r="224">
      <c r="H224" s="16" t="inlineStr">
        <is>
          <t>Mixing / agitation|LESS</t>
        </is>
      </c>
      <c r="I224" s="16" t="inlineStr">
        <is>
          <t>Agitator, mixer or circulation pump trip</t>
        </is>
      </c>
    </row>
    <row r="225">
      <c r="H225" s="16" t="inlineStr">
        <is>
          <t>Mixing / agitation|LESS</t>
        </is>
      </c>
      <c r="I225" s="16" t="inlineStr">
        <is>
          <t>Wrong agitator speed</t>
        </is>
      </c>
    </row>
    <row r="226">
      <c r="H226" s="16" t="inlineStr">
        <is>
          <t>Mixing / agitation|LESS</t>
        </is>
      </c>
      <c r="I226" s="16" t="inlineStr">
        <is>
          <t>[C] Stratification of reactants</t>
        </is>
      </c>
    </row>
    <row r="227">
      <c r="H227" s="16" t="inlineStr">
        <is>
          <t>Mixing / agitation|LESS</t>
        </is>
      </c>
      <c r="I227" s="16" t="inlineStr">
        <is>
          <t>[S] Argon / nitrogen stirring – porous plug blocked or leaking</t>
        </is>
      </c>
    </row>
    <row r="228">
      <c r="H228" s="16" t="inlineStr">
        <is>
          <t>Mixing / agitation|LESS</t>
        </is>
      </c>
      <c r="I228" s="16" t="inlineStr">
        <is>
          <t>[S] Excessive stirring – metal splash, slag entrainment</t>
        </is>
      </c>
    </row>
    <row r="229">
      <c r="H229" s="16" t="inlineStr">
        <is>
          <t>Mixing / agitation|LESS</t>
        </is>
      </c>
      <c r="I229" s="16" t="inlineStr">
        <is>
          <t>[S] Electromagnetic stirrer failure</t>
        </is>
      </c>
    </row>
    <row r="230">
      <c r="H230" s="16" t="inlineStr">
        <is>
          <t>Mixing / agitation|MORE</t>
        </is>
      </c>
      <c r="I230" s="16" t="inlineStr">
        <is>
          <t>Agitator, mixer or circulation pump trip</t>
        </is>
      </c>
    </row>
    <row r="231">
      <c r="H231" s="16" t="inlineStr">
        <is>
          <t>Mixing / agitation|MORE</t>
        </is>
      </c>
      <c r="I231" s="16" t="inlineStr">
        <is>
          <t>Wrong agitator speed</t>
        </is>
      </c>
    </row>
    <row r="232">
      <c r="H232" s="16" t="inlineStr">
        <is>
          <t>Mixing / agitation|MORE</t>
        </is>
      </c>
      <c r="I232" s="16" t="inlineStr">
        <is>
          <t>[C] Stratification of reactants</t>
        </is>
      </c>
    </row>
    <row r="233">
      <c r="H233" s="16" t="inlineStr">
        <is>
          <t>Mixing / agitation|MORE</t>
        </is>
      </c>
      <c r="I233" s="16" t="inlineStr">
        <is>
          <t>[S] Argon / nitrogen stirring – porous plug blocked or leaking</t>
        </is>
      </c>
    </row>
    <row r="234">
      <c r="H234" s="16" t="inlineStr">
        <is>
          <t>Mixing / agitation|MORE</t>
        </is>
      </c>
      <c r="I234" s="16" t="inlineStr">
        <is>
          <t>[S] Excessive stirring – metal splash, slag entrainment</t>
        </is>
      </c>
    </row>
    <row r="235">
      <c r="H235" s="16" t="inlineStr">
        <is>
          <t>Mixing / agitation|MORE</t>
        </is>
      </c>
      <c r="I235" s="16" t="inlineStr">
        <is>
          <t>[S] Electromagnetic stirrer failure</t>
        </is>
      </c>
    </row>
    <row r="236">
      <c r="H236" s="16" t="inlineStr">
        <is>
          <t>Timing / sequence|EARLY</t>
        </is>
      </c>
      <c r="I236" s="16" t="inlineStr">
        <is>
          <t>Procedure step skipped or done out of order</t>
        </is>
      </c>
    </row>
    <row r="237">
      <c r="H237" s="16" t="inlineStr">
        <is>
          <t>Timing / sequence|EARLY</t>
        </is>
      </c>
      <c r="I237" s="16" t="inlineStr">
        <is>
          <t>Batch timer or sequence controller failure</t>
        </is>
      </c>
    </row>
    <row r="238">
      <c r="H238" s="16" t="inlineStr">
        <is>
          <t>Timing / sequence|EARLY</t>
        </is>
      </c>
      <c r="I238" s="16" t="inlineStr">
        <is>
          <t>Purge time too short before light-up (burner management)</t>
        </is>
      </c>
    </row>
    <row r="239">
      <c r="H239" s="16" t="inlineStr">
        <is>
          <t>Timing / sequence|EARLY</t>
        </is>
      </c>
      <c r="I239" s="16" t="inlineStr">
        <is>
          <t>Operator distraction or shift changeover</t>
        </is>
      </c>
    </row>
    <row r="240">
      <c r="H240" s="16" t="inlineStr">
        <is>
          <t>Timing / sequence|EARLY</t>
        </is>
      </c>
      <c r="I240" s="16" t="inlineStr">
        <is>
          <t>[C] Reagent added before reaction mass at temperature</t>
        </is>
      </c>
    </row>
    <row r="241">
      <c r="H241" s="16" t="inlineStr">
        <is>
          <t>Timing / sequence|EARLY</t>
        </is>
      </c>
      <c r="I241" s="16" t="inlineStr">
        <is>
          <t>[S] Tapping late (over-oxidation, high temperature) or early (low temperature)</t>
        </is>
      </c>
    </row>
    <row r="242">
      <c r="H242" s="16" t="inlineStr">
        <is>
          <t>Timing / sequence|EARLY</t>
        </is>
      </c>
      <c r="I242" s="16" t="inlineStr">
        <is>
          <t>[S] Oxygen on before lance in correct position; lance not withdrawn at end of blow</t>
        </is>
      </c>
    </row>
    <row r="243">
      <c r="H243" s="16" t="inlineStr">
        <is>
          <t>Timing / sequence|EARLY</t>
        </is>
      </c>
      <c r="I243" s="16" t="inlineStr">
        <is>
          <t>[S] Charging scrap into a furnace with water present or hot heel too large</t>
        </is>
      </c>
    </row>
    <row r="244">
      <c r="H244" s="16" t="inlineStr">
        <is>
          <t>Timing / sequence|EARLY</t>
        </is>
      </c>
      <c r="I244" s="16" t="inlineStr">
        <is>
          <t>[S] Ladle not dried out / pre-heated before use</t>
        </is>
      </c>
    </row>
    <row r="245">
      <c r="H245" s="16" t="inlineStr">
        <is>
          <t>Timing / sequence|LATE</t>
        </is>
      </c>
      <c r="I245" s="16" t="inlineStr">
        <is>
          <t>Procedure step skipped or done out of order</t>
        </is>
      </c>
    </row>
    <row r="246">
      <c r="H246" s="16" t="inlineStr">
        <is>
          <t>Timing / sequence|LATE</t>
        </is>
      </c>
      <c r="I246" s="16" t="inlineStr">
        <is>
          <t>Batch timer or sequence controller failure</t>
        </is>
      </c>
    </row>
    <row r="247">
      <c r="H247" s="16" t="inlineStr">
        <is>
          <t>Timing / sequence|LATE</t>
        </is>
      </c>
      <c r="I247" s="16" t="inlineStr">
        <is>
          <t>Purge time too short before light-up (burner management)</t>
        </is>
      </c>
    </row>
    <row r="248">
      <c r="H248" s="16" t="inlineStr">
        <is>
          <t>Timing / sequence|LATE</t>
        </is>
      </c>
      <c r="I248" s="16" t="inlineStr">
        <is>
          <t>Operator distraction or shift changeover</t>
        </is>
      </c>
    </row>
    <row r="249">
      <c r="H249" s="16" t="inlineStr">
        <is>
          <t>Timing / sequence|LATE</t>
        </is>
      </c>
      <c r="I249" s="16" t="inlineStr">
        <is>
          <t>[C] Reagent added before reaction mass at temperature</t>
        </is>
      </c>
    </row>
    <row r="250">
      <c r="H250" s="16" t="inlineStr">
        <is>
          <t>Timing / sequence|LATE</t>
        </is>
      </c>
      <c r="I250" s="16" t="inlineStr">
        <is>
          <t>[S] Tapping late (over-oxidation, high temperature) or early (low temperature)</t>
        </is>
      </c>
    </row>
    <row r="251">
      <c r="H251" s="16" t="inlineStr">
        <is>
          <t>Timing / sequence|LATE</t>
        </is>
      </c>
      <c r="I251" s="16" t="inlineStr">
        <is>
          <t>[S] Oxygen on before lance in correct position; lance not withdrawn at end of blow</t>
        </is>
      </c>
    </row>
    <row r="252">
      <c r="H252" s="16" t="inlineStr">
        <is>
          <t>Timing / sequence|LATE</t>
        </is>
      </c>
      <c r="I252" s="16" t="inlineStr">
        <is>
          <t>[S] Charging scrap into a furnace with water present or hot heel too large</t>
        </is>
      </c>
    </row>
    <row r="253">
      <c r="H253" s="16" t="inlineStr">
        <is>
          <t>Timing / sequence|LATE</t>
        </is>
      </c>
      <c r="I253" s="16" t="inlineStr">
        <is>
          <t>[S] Ladle not dried out / pre-heated before use</t>
        </is>
      </c>
    </row>
    <row r="254">
      <c r="H254" s="16" t="inlineStr">
        <is>
          <t>Timing / sequence|BEFORE</t>
        </is>
      </c>
      <c r="I254" s="16" t="inlineStr">
        <is>
          <t>Procedure step skipped or done out of order</t>
        </is>
      </c>
    </row>
    <row r="255">
      <c r="H255" s="16" t="inlineStr">
        <is>
          <t>Timing / sequence|BEFORE</t>
        </is>
      </c>
      <c r="I255" s="16" t="inlineStr">
        <is>
          <t>Batch timer or sequence controller failure</t>
        </is>
      </c>
    </row>
    <row r="256">
      <c r="H256" s="16" t="inlineStr">
        <is>
          <t>Timing / sequence|BEFORE</t>
        </is>
      </c>
      <c r="I256" s="16" t="inlineStr">
        <is>
          <t>Purge time too short before light-up (burner management)</t>
        </is>
      </c>
    </row>
    <row r="257">
      <c r="H257" s="16" t="inlineStr">
        <is>
          <t>Timing / sequence|BEFORE</t>
        </is>
      </c>
      <c r="I257" s="16" t="inlineStr">
        <is>
          <t>Operator distraction or shift changeover</t>
        </is>
      </c>
    </row>
    <row r="258">
      <c r="H258" s="16" t="inlineStr">
        <is>
          <t>Timing / sequence|BEFORE</t>
        </is>
      </c>
      <c r="I258" s="16" t="inlineStr">
        <is>
          <t>[C] Reagent added before reaction mass at temperature</t>
        </is>
      </c>
    </row>
    <row r="259">
      <c r="H259" s="16" t="inlineStr">
        <is>
          <t>Timing / sequence|BEFORE</t>
        </is>
      </c>
      <c r="I259" s="16" t="inlineStr">
        <is>
          <t>[S] Tapping late (over-oxidation, high temperature) or early (low temperature)</t>
        </is>
      </c>
    </row>
    <row r="260">
      <c r="H260" s="16" t="inlineStr">
        <is>
          <t>Timing / sequence|BEFORE</t>
        </is>
      </c>
      <c r="I260" s="16" t="inlineStr">
        <is>
          <t>[S] Oxygen on before lance in correct position; lance not withdrawn at end of blow</t>
        </is>
      </c>
    </row>
    <row r="261">
      <c r="H261" s="16" t="inlineStr">
        <is>
          <t>Timing / sequence|BEFORE</t>
        </is>
      </c>
      <c r="I261" s="16" t="inlineStr">
        <is>
          <t>[S] Charging scrap into a furnace with water present or hot heel too large</t>
        </is>
      </c>
    </row>
    <row r="262">
      <c r="H262" s="16" t="inlineStr">
        <is>
          <t>Timing / sequence|BEFORE</t>
        </is>
      </c>
      <c r="I262" s="16" t="inlineStr">
        <is>
          <t>[S] Ladle not dried out / pre-heated before use</t>
        </is>
      </c>
    </row>
    <row r="263">
      <c r="H263" s="16" t="inlineStr">
        <is>
          <t>Timing / sequence|AFTER</t>
        </is>
      </c>
      <c r="I263" s="16" t="inlineStr">
        <is>
          <t>Procedure step skipped or done out of order</t>
        </is>
      </c>
    </row>
    <row r="264">
      <c r="H264" s="16" t="inlineStr">
        <is>
          <t>Timing / sequence|AFTER</t>
        </is>
      </c>
      <c r="I264" s="16" t="inlineStr">
        <is>
          <t>Batch timer or sequence controller failure</t>
        </is>
      </c>
    </row>
    <row r="265">
      <c r="H265" s="16" t="inlineStr">
        <is>
          <t>Timing / sequence|AFTER</t>
        </is>
      </c>
      <c r="I265" s="16" t="inlineStr">
        <is>
          <t>Purge time too short before light-up (burner management)</t>
        </is>
      </c>
    </row>
    <row r="266">
      <c r="H266" s="16" t="inlineStr">
        <is>
          <t>Timing / sequence|AFTER</t>
        </is>
      </c>
      <c r="I266" s="16" t="inlineStr">
        <is>
          <t>Operator distraction or shift changeover</t>
        </is>
      </c>
    </row>
    <row r="267">
      <c r="H267" s="16" t="inlineStr">
        <is>
          <t>Timing / sequence|AFTER</t>
        </is>
      </c>
      <c r="I267" s="16" t="inlineStr">
        <is>
          <t>[C] Reagent added before reaction mass at temperature</t>
        </is>
      </c>
    </row>
    <row r="268">
      <c r="H268" s="16" t="inlineStr">
        <is>
          <t>Timing / sequence|AFTER</t>
        </is>
      </c>
      <c r="I268" s="16" t="inlineStr">
        <is>
          <t>[S] Tapping late (over-oxidation, high temperature) or early (low temperature)</t>
        </is>
      </c>
    </row>
    <row r="269">
      <c r="H269" s="16" t="inlineStr">
        <is>
          <t>Timing / sequence|AFTER</t>
        </is>
      </c>
      <c r="I269" s="16" t="inlineStr">
        <is>
          <t>[S] Oxygen on before lance in correct position; lance not withdrawn at end of blow</t>
        </is>
      </c>
    </row>
    <row r="270">
      <c r="H270" s="16" t="inlineStr">
        <is>
          <t>Timing / sequence|AFTER</t>
        </is>
      </c>
      <c r="I270" s="16" t="inlineStr">
        <is>
          <t>[S] Charging scrap into a furnace with water present or hot heel too large</t>
        </is>
      </c>
    </row>
    <row r="271">
      <c r="H271" s="16" t="inlineStr">
        <is>
          <t>Timing / sequence|AFTER</t>
        </is>
      </c>
      <c r="I271" s="16" t="inlineStr">
        <is>
          <t>[S] Ladle not dried out / pre-heated before use</t>
        </is>
      </c>
    </row>
    <row r="272">
      <c r="H272" s="16" t="inlineStr">
        <is>
          <t>Timing / sequence|NO</t>
        </is>
      </c>
      <c r="I272" s="16" t="inlineStr">
        <is>
          <t>Procedure step skipped or done out of order</t>
        </is>
      </c>
    </row>
    <row r="273">
      <c r="H273" s="16" t="inlineStr">
        <is>
          <t>Timing / sequence|NO</t>
        </is>
      </c>
      <c r="I273" s="16" t="inlineStr">
        <is>
          <t>Batch timer or sequence controller failure</t>
        </is>
      </c>
    </row>
    <row r="274">
      <c r="H274" s="16" t="inlineStr">
        <is>
          <t>Timing / sequence|NO</t>
        </is>
      </c>
      <c r="I274" s="16" t="inlineStr">
        <is>
          <t>Purge time too short before light-up (burner management)</t>
        </is>
      </c>
    </row>
    <row r="275">
      <c r="H275" s="16" t="inlineStr">
        <is>
          <t>Timing / sequence|NO</t>
        </is>
      </c>
      <c r="I275" s="16" t="inlineStr">
        <is>
          <t>Operator distraction or shift changeover</t>
        </is>
      </c>
    </row>
    <row r="276">
      <c r="H276" s="16" t="inlineStr">
        <is>
          <t>Timing / sequence|NO</t>
        </is>
      </c>
      <c r="I276" s="16" t="inlineStr">
        <is>
          <t>[C] Reagent added before reaction mass at temperature</t>
        </is>
      </c>
    </row>
    <row r="277">
      <c r="H277" s="16" t="inlineStr">
        <is>
          <t>Timing / sequence|NO</t>
        </is>
      </c>
      <c r="I277" s="16" t="inlineStr">
        <is>
          <t>[S] Tapping late (over-oxidation, high temperature) or early (low temperature)</t>
        </is>
      </c>
    </row>
    <row r="278">
      <c r="H278" s="16" t="inlineStr">
        <is>
          <t>Timing / sequence|NO</t>
        </is>
      </c>
      <c r="I278" s="16" t="inlineStr">
        <is>
          <t>[S] Oxygen on before lance in correct position; lance not withdrawn at end of blow</t>
        </is>
      </c>
    </row>
    <row r="279">
      <c r="H279" s="16" t="inlineStr">
        <is>
          <t>Timing / sequence|NO</t>
        </is>
      </c>
      <c r="I279" s="16" t="inlineStr">
        <is>
          <t>[S] Charging scrap into a furnace with water present or hot heel too large</t>
        </is>
      </c>
    </row>
    <row r="280">
      <c r="H280" s="16" t="inlineStr">
        <is>
          <t>Timing / sequence|NO</t>
        </is>
      </c>
      <c r="I280" s="16" t="inlineStr">
        <is>
          <t>[S] Ladle not dried out / pre-heated before use</t>
        </is>
      </c>
    </row>
    <row r="281">
      <c r="H281" s="16" t="inlineStr">
        <is>
          <t>Rate of change|FASTER</t>
        </is>
      </c>
      <c r="I281" s="16" t="inlineStr">
        <is>
          <t>Ramp rate too fast for equipment or refractory</t>
        </is>
      </c>
    </row>
    <row r="282">
      <c r="H282" s="16" t="inlineStr">
        <is>
          <t>Rate of change|FASTER</t>
        </is>
      </c>
      <c r="I282" s="16" t="inlineStr">
        <is>
          <t>[S] Casting speed too fast – breakout</t>
        </is>
      </c>
    </row>
    <row r="283">
      <c r="H283" s="16" t="inlineStr">
        <is>
          <t>Rate of change|FASTER</t>
        </is>
      </c>
      <c r="I283" s="16" t="inlineStr">
        <is>
          <t>[S] Heat-up / dry-out of new refractory too fast – spalling</t>
        </is>
      </c>
    </row>
    <row r="284">
      <c r="H284" s="16" t="inlineStr">
        <is>
          <t>Rate of change|FASTER</t>
        </is>
      </c>
      <c r="I284" s="16" t="inlineStr">
        <is>
          <t>[S] Crane travel or tilting too fast – metal splash</t>
        </is>
      </c>
    </row>
    <row r="285">
      <c r="H285" s="16" t="inlineStr">
        <is>
          <t>Rate of change|SLOWER</t>
        </is>
      </c>
      <c r="I285" s="16" t="inlineStr">
        <is>
          <t>Ramp rate too fast for equipment or refractory</t>
        </is>
      </c>
    </row>
    <row r="286">
      <c r="H286" s="16" t="inlineStr">
        <is>
          <t>Rate of change|SLOWER</t>
        </is>
      </c>
      <c r="I286" s="16" t="inlineStr">
        <is>
          <t>[S] Casting speed too fast – breakout</t>
        </is>
      </c>
    </row>
    <row r="287">
      <c r="H287" s="16" t="inlineStr">
        <is>
          <t>Rate of change|SLOWER</t>
        </is>
      </c>
      <c r="I287" s="16" t="inlineStr">
        <is>
          <t>[S] Heat-up / dry-out of new refractory too fast – spalling</t>
        </is>
      </c>
    </row>
    <row r="288">
      <c r="H288" s="16" t="inlineStr">
        <is>
          <t>Rate of change|SLOWER</t>
        </is>
      </c>
      <c r="I288" s="16" t="inlineStr">
        <is>
          <t>[S] Crane travel or tilting too fast – metal splash</t>
        </is>
      </c>
    </row>
    <row r="289">
      <c r="H289" s="16" t="inlineStr">
        <is>
          <t>Viscosity / density|MORE</t>
        </is>
      </c>
      <c r="I289" s="16" t="inlineStr">
        <is>
          <t>Temperature change</t>
        </is>
      </c>
    </row>
    <row r="290">
      <c r="H290" s="16" t="inlineStr">
        <is>
          <t>Viscosity / density|MORE</t>
        </is>
      </c>
      <c r="I290" s="16" t="inlineStr">
        <is>
          <t>Wrong material or concentration</t>
        </is>
      </c>
    </row>
    <row r="291">
      <c r="H291" s="16" t="inlineStr">
        <is>
          <t>Viscosity / density|MORE</t>
        </is>
      </c>
      <c r="I291" s="16" t="inlineStr">
        <is>
          <t>Solids content too high</t>
        </is>
      </c>
    </row>
    <row r="292">
      <c r="H292" s="16" t="inlineStr">
        <is>
          <t>Viscosity / density|MORE</t>
        </is>
      </c>
      <c r="I292" s="16" t="inlineStr">
        <is>
          <t>[S] Slag basicity or chemistry wrong – viscous slag, poor fluidity</t>
        </is>
      </c>
    </row>
    <row r="293">
      <c r="H293" s="16" t="inlineStr">
        <is>
          <t>Viscosity / density|LESS</t>
        </is>
      </c>
      <c r="I293" s="16" t="inlineStr">
        <is>
          <t>Temperature change</t>
        </is>
      </c>
    </row>
    <row r="294">
      <c r="H294" s="16" t="inlineStr">
        <is>
          <t>Viscosity / density|LESS</t>
        </is>
      </c>
      <c r="I294" s="16" t="inlineStr">
        <is>
          <t>Wrong material or concentration</t>
        </is>
      </c>
    </row>
    <row r="295">
      <c r="H295" s="16" t="inlineStr">
        <is>
          <t>Viscosity / density|LESS</t>
        </is>
      </c>
      <c r="I295" s="16" t="inlineStr">
        <is>
          <t>Solids content too high</t>
        </is>
      </c>
    </row>
    <row r="296">
      <c r="H296" s="16" t="inlineStr">
        <is>
          <t>Viscosity / density|LESS</t>
        </is>
      </c>
      <c r="I296" s="16" t="inlineStr">
        <is>
          <t>[S] Slag basicity or chemistry wrong – viscous slag, poor fluidity</t>
        </is>
      </c>
    </row>
    <row r="297">
      <c r="H297" s="16" t="inlineStr">
        <is>
          <t>Molten metal / slag containment|LOSS OF</t>
        </is>
      </c>
      <c r="I297" s="16" t="inlineStr">
        <is>
          <t>Refractory wear, erosion or spalling; missed refractory inspection</t>
        </is>
      </c>
    </row>
    <row r="298">
      <c r="H298" s="16" t="inlineStr">
        <is>
          <t>Molten metal / slag containment|LOSS OF</t>
        </is>
      </c>
      <c r="I298" s="16" t="inlineStr">
        <is>
          <t>Furnace shell or ladle shell burn-through</t>
        </is>
      </c>
    </row>
    <row r="299">
      <c r="H299" s="16" t="inlineStr">
        <is>
          <t>Molten metal / slag containment|LOSS OF</t>
        </is>
      </c>
      <c r="I299" s="16" t="inlineStr">
        <is>
          <t>Tap-hole or slide-gate failure; nozzle failure</t>
        </is>
      </c>
    </row>
    <row r="300">
      <c r="H300" s="16" t="inlineStr">
        <is>
          <t>Molten metal / slag containment|LOSS OF</t>
        </is>
      </c>
      <c r="I300" s="16" t="inlineStr">
        <is>
          <t>Ladle over-filling</t>
        </is>
      </c>
    </row>
    <row r="301">
      <c r="H301" s="16" t="inlineStr">
        <is>
          <t>Molten metal / slag containment|LOSS OF</t>
        </is>
      </c>
      <c r="I301" s="16" t="inlineStr">
        <is>
          <t>Crane failure or dropped ladle; ladle trunnion failure</t>
        </is>
      </c>
    </row>
    <row r="302">
      <c r="H302" s="16" t="inlineStr">
        <is>
          <t>Molten metal / slag containment|LOSS OF</t>
        </is>
      </c>
      <c r="I302" s="16" t="inlineStr">
        <is>
          <t>Ladle or pot not correctly seated on car or stand</t>
        </is>
      </c>
    </row>
    <row r="303">
      <c r="H303" s="16" t="inlineStr">
        <is>
          <t>Molten metal / slag containment|LOSS OF</t>
        </is>
      </c>
      <c r="I303" s="16" t="inlineStr">
        <is>
          <t>Tilting drive over-travel; loss of hydraulic or electrical control</t>
        </is>
      </c>
    </row>
    <row r="304">
      <c r="H304" s="16" t="inlineStr">
        <is>
          <t>Molten metal / slag containment|LOSS OF</t>
        </is>
      </c>
      <c r="I304" s="16" t="inlineStr">
        <is>
          <t>Breakout at caster (mould level, casting speed, lubrication, sticker)</t>
        </is>
      </c>
    </row>
    <row r="305">
      <c r="H305" s="16" t="inlineStr">
        <is>
          <t>Molten metal / slag containment|LOSS OF</t>
        </is>
      </c>
      <c r="I305" s="16" t="inlineStr">
        <is>
          <t>Vehicle or ladle-car collision; derailment</t>
        </is>
      </c>
    </row>
    <row r="306">
      <c r="H306" s="16" t="inlineStr">
        <is>
          <t>Water contact with molten metal / slag|AS WELL AS</t>
        </is>
      </c>
      <c r="I306" s="16" t="inlineStr">
        <is>
          <t>Leaking water-cooled panel, roof, tuyere, stave, lance or copper mould</t>
        </is>
      </c>
    </row>
    <row r="307">
      <c r="H307" s="16" t="inlineStr">
        <is>
          <t>Water contact with molten metal / slag|AS WELL AS</t>
        </is>
      </c>
      <c r="I307" s="16" t="inlineStr">
        <is>
          <t>Wet scrap, DRI, fluxes or ladle additions; snow or ice</t>
        </is>
      </c>
    </row>
    <row r="308">
      <c r="H308" s="16" t="inlineStr">
        <is>
          <t>Water contact with molten metal / slag|AS WELL AS</t>
        </is>
      </c>
      <c r="I308" s="16" t="inlineStr">
        <is>
          <t>Wet or damp ladles, tundishes, moulds, tools or slag pots</t>
        </is>
      </c>
    </row>
    <row r="309">
      <c r="H309" s="16" t="inlineStr">
        <is>
          <t>Water contact with molten metal / slag|AS WELL AS</t>
        </is>
      </c>
      <c r="I309" s="16" t="inlineStr">
        <is>
          <t>Water on floor or in pits under tapping areas</t>
        </is>
      </c>
    </row>
    <row r="310">
      <c r="H310" s="16" t="inlineStr">
        <is>
          <t>Water contact with molten metal / slag|AS WELL AS</t>
        </is>
      </c>
      <c r="I310" s="16" t="inlineStr">
        <is>
          <t>Rain ingress through damaged roofs; flooding</t>
        </is>
      </c>
    </row>
    <row r="311">
      <c r="H311" s="16" t="inlineStr">
        <is>
          <t>Water contact with molten metal / slag|AS WELL AS</t>
        </is>
      </c>
      <c r="I311" s="16" t="inlineStr">
        <is>
          <t>Spray cooling water impinging on spilled metal</t>
        </is>
      </c>
    </row>
    <row r="312">
      <c r="H312" s="16" t="inlineStr">
        <is>
          <t>Water contact with molten metal / slag|AS WELL AS</t>
        </is>
      </c>
      <c r="I312" s="16" t="inlineStr">
        <is>
          <t>Granulation / slag-pit water management failure</t>
        </is>
      </c>
    </row>
    <row r="313">
      <c r="H313" s="16" t="inlineStr">
        <is>
          <t>Cooling water flow (water-cooled elements)|NO</t>
        </is>
      </c>
      <c r="I313" s="16" t="inlineStr">
        <is>
          <t>Pump trip or power failure without emergency (gravity / diesel) supply</t>
        </is>
      </c>
    </row>
    <row r="314">
      <c r="H314" s="16" t="inlineStr">
        <is>
          <t>Cooling water flow (water-cooled elements)|NO</t>
        </is>
      </c>
      <c r="I314" s="16" t="inlineStr">
        <is>
          <t>Valve closed in error; header isolation</t>
        </is>
      </c>
    </row>
    <row r="315">
      <c r="H315" s="16" t="inlineStr">
        <is>
          <t>Cooling water flow (water-cooled elements)|NO</t>
        </is>
      </c>
      <c r="I315" s="16" t="inlineStr">
        <is>
          <t>Scale, silt or biological fouling</t>
        </is>
      </c>
    </row>
    <row r="316">
      <c r="H316" s="16" t="inlineStr">
        <is>
          <t>Cooling water flow (water-cooled elements)|NO</t>
        </is>
      </c>
      <c r="I316" s="16" t="inlineStr">
        <is>
          <t>Air locking of circuits</t>
        </is>
      </c>
    </row>
    <row r="317">
      <c r="H317" s="16" t="inlineStr">
        <is>
          <t>Cooling water flow (water-cooled elements)|NO</t>
        </is>
      </c>
      <c r="I317" s="16" t="inlineStr">
        <is>
          <t>Low header pressure or tank level</t>
        </is>
      </c>
    </row>
    <row r="318">
      <c r="H318" s="16" t="inlineStr">
        <is>
          <t>Cooling water flow (water-cooled elements)|NO</t>
        </is>
      </c>
      <c r="I318" s="16" t="inlineStr">
        <is>
          <t>Cooling tower failure (fans, basin level)</t>
        </is>
      </c>
    </row>
    <row r="319">
      <c r="H319" s="16" t="inlineStr">
        <is>
          <t>Cooling water flow (water-cooled elements)|LESS</t>
        </is>
      </c>
      <c r="I319" s="16" t="inlineStr">
        <is>
          <t>Pump trip or power failure without emergency (gravity / diesel) supply</t>
        </is>
      </c>
    </row>
    <row r="320">
      <c r="H320" s="16" t="inlineStr">
        <is>
          <t>Cooling water flow (water-cooled elements)|LESS</t>
        </is>
      </c>
      <c r="I320" s="16" t="inlineStr">
        <is>
          <t>Valve closed in error; header isolation</t>
        </is>
      </c>
    </row>
    <row r="321">
      <c r="H321" s="16" t="inlineStr">
        <is>
          <t>Cooling water flow (water-cooled elements)|LESS</t>
        </is>
      </c>
      <c r="I321" s="16" t="inlineStr">
        <is>
          <t>Scale, silt or biological fouling</t>
        </is>
      </c>
    </row>
    <row r="322">
      <c r="H322" s="16" t="inlineStr">
        <is>
          <t>Cooling water flow (water-cooled elements)|LESS</t>
        </is>
      </c>
      <c r="I322" s="16" t="inlineStr">
        <is>
          <t>Air locking of circuits</t>
        </is>
      </c>
    </row>
    <row r="323">
      <c r="H323" s="16" t="inlineStr">
        <is>
          <t>Cooling water flow (water-cooled elements)|LESS</t>
        </is>
      </c>
      <c r="I323" s="16" t="inlineStr">
        <is>
          <t>Low header pressure or tank level</t>
        </is>
      </c>
    </row>
    <row r="324">
      <c r="H324" s="16" t="inlineStr">
        <is>
          <t>Cooling water flow (water-cooled elements)|LESS</t>
        </is>
      </c>
      <c r="I324" s="16" t="inlineStr">
        <is>
          <t>Cooling tower failure (fans, basin level)</t>
        </is>
      </c>
    </row>
    <row r="325">
      <c r="H325" s="16" t="inlineStr">
        <is>
          <t>Water-cooled element integrity|LOSS OF</t>
        </is>
      </c>
      <c r="I325" s="16" t="inlineStr">
        <is>
          <t>Thermal fatigue cracking of panels or lance</t>
        </is>
      </c>
    </row>
    <row r="326">
      <c r="H326" s="16" t="inlineStr">
        <is>
          <t>Water-cooled element integrity|LOSS OF</t>
        </is>
      </c>
      <c r="I326" s="16" t="inlineStr">
        <is>
          <t>Arc or flame impingement damage</t>
        </is>
      </c>
    </row>
    <row r="327">
      <c r="H327" s="16" t="inlineStr">
        <is>
          <t>Water-cooled element integrity|LOSS OF</t>
        </is>
      </c>
      <c r="I327" s="16" t="inlineStr">
        <is>
          <t>Mechanical damage from scrap charging</t>
        </is>
      </c>
    </row>
    <row r="328">
      <c r="H328" s="16" t="inlineStr">
        <is>
          <t>Water-cooled element integrity|LOSS OF</t>
        </is>
      </c>
      <c r="I328" s="16" t="inlineStr">
        <is>
          <t>Erosion or corrosion (water chemistry)</t>
        </is>
      </c>
    </row>
    <row r="329">
      <c r="H329" s="16" t="inlineStr">
        <is>
          <t>Water-cooled element integrity|LOSS OF</t>
        </is>
      </c>
      <c r="I329" s="16" t="inlineStr">
        <is>
          <t>Poor weld or repair quality</t>
        </is>
      </c>
    </row>
    <row r="330">
      <c r="H330" s="16" t="inlineStr">
        <is>
          <t>Water-cooled element integrity|LOSS OF</t>
        </is>
      </c>
      <c r="I330" s="16" t="inlineStr">
        <is>
          <t>Over-pressure of closed circuit</t>
        </is>
      </c>
    </row>
    <row r="331">
      <c r="H331" s="16" t="inlineStr">
        <is>
          <t>Water-cooled element integrity|LOSS OF</t>
        </is>
      </c>
      <c r="I331" s="16" t="inlineStr">
        <is>
          <t>Leak detection (flow in/out differential) failed or not fitted</t>
        </is>
      </c>
    </row>
    <row r="332">
      <c r="H332" s="16" t="inlineStr">
        <is>
          <t>Process gas (CO, H2 – BFG, COG, LD gas, reducing gas)|LEAK OF</t>
        </is>
      </c>
      <c r="I332" s="16" t="inlineStr">
        <is>
          <t>Flange, valve or seal leak; water-seal blown</t>
        </is>
      </c>
    </row>
    <row r="333">
      <c r="H333" s="16" t="inlineStr">
        <is>
          <t>Process gas (CO, H2 – BFG, COG, LD gas, reducing gas)|LEAK OF</t>
        </is>
      </c>
      <c r="I333" s="16" t="inlineStr">
        <is>
          <t>Gas back-flow into buildings via drains or cable ducts</t>
        </is>
      </c>
    </row>
    <row r="334">
      <c r="H334" s="16" t="inlineStr">
        <is>
          <t>Process gas (CO, H2 – BFG, COG, LD gas, reducing gas)|LEAK OF</t>
        </is>
      </c>
      <c r="I334" s="16" t="inlineStr">
        <is>
          <t>Bleeder / relief opening near work areas</t>
        </is>
      </c>
    </row>
    <row r="335">
      <c r="H335" s="16" t="inlineStr">
        <is>
          <t>Process gas (CO, H2 – BFG, COG, LD gas, reducing gas)|LEAK OF</t>
        </is>
      </c>
      <c r="I335" s="16" t="inlineStr">
        <is>
          <t>Isolation failure during maintenance (no double block and bleed, no blinding)</t>
        </is>
      </c>
    </row>
    <row r="336">
      <c r="H336" s="16" t="inlineStr">
        <is>
          <t>Process gas (CO, H2 – BFG, COG, LD gas, reducing gas)|LEAK OF</t>
        </is>
      </c>
      <c r="I336" s="16" t="inlineStr">
        <is>
          <t>Gas detection inoperative or poorly located</t>
        </is>
      </c>
    </row>
    <row r="337">
      <c r="H337" s="16" t="inlineStr">
        <is>
          <t>Process gas (CO, H2 – BFG, COG, LD gas, reducing gas)|LEAK OF</t>
        </is>
      </c>
      <c r="I337" s="16" t="inlineStr">
        <is>
          <t>Confined spaces near gas mains</t>
        </is>
      </c>
    </row>
    <row r="338">
      <c r="H338" s="16" t="inlineStr">
        <is>
          <t>Air / oxygen in process gas|AS WELL AS</t>
        </is>
      </c>
      <c r="I338" s="16" t="inlineStr">
        <is>
          <t>Air ingress through leaks at negative pressure</t>
        </is>
      </c>
    </row>
    <row r="339">
      <c r="H339" s="16" t="inlineStr">
        <is>
          <t>Air / oxygen in process gas|AS WELL AS</t>
        </is>
      </c>
      <c r="I339" s="16" t="inlineStr">
        <is>
          <t>Inadequate purging at start-up / shutdown</t>
        </is>
      </c>
    </row>
    <row r="340">
      <c r="H340" s="16" t="inlineStr">
        <is>
          <t>Air / oxygen in process gas|AS WELL AS</t>
        </is>
      </c>
      <c r="I340" s="16" t="inlineStr">
        <is>
          <t>Gas holder or collector low pressure</t>
        </is>
      </c>
    </row>
    <row r="341">
      <c r="H341" s="16" t="inlineStr">
        <is>
          <t>Air / oxygen in process gas|AS WELL AS</t>
        </is>
      </c>
      <c r="I341" s="16" t="inlineStr">
        <is>
          <t>Oxygen analyser failure on LD gas recovery</t>
        </is>
      </c>
    </row>
    <row r="342">
      <c r="H342" s="16" t="inlineStr">
        <is>
          <t>Air / oxygen in process gas|AS WELL AS</t>
        </is>
      </c>
      <c r="I342" s="16" t="inlineStr">
        <is>
          <t>Burner flame-out with continued fuel supply</t>
        </is>
      </c>
    </row>
    <row r="343">
      <c r="H343" s="16" t="inlineStr">
        <is>
          <t>Oxygen (lances, burners, pipelines)|LEAK OF</t>
        </is>
      </c>
      <c r="I343" s="16" t="inlineStr">
        <is>
          <t>Oil, grease or debris contamination in oxygen service</t>
        </is>
      </c>
    </row>
    <row r="344">
      <c r="H344" s="16" t="inlineStr">
        <is>
          <t>Oxygen (lances, burners, pipelines)|LEAK OF</t>
        </is>
      </c>
      <c r="I344" s="16" t="inlineStr">
        <is>
          <t>High gas velocity / particle impingement in valves and bends</t>
        </is>
      </c>
    </row>
    <row r="345">
      <c r="H345" s="16" t="inlineStr">
        <is>
          <t>Oxygen (lances, burners, pipelines)|LEAK OF</t>
        </is>
      </c>
      <c r="I345" s="16" t="inlineStr">
        <is>
          <t>Incompatible materials of construction or gaskets</t>
        </is>
      </c>
    </row>
    <row r="346">
      <c r="H346" s="16" t="inlineStr">
        <is>
          <t>Oxygen (lances, burners, pipelines)|LEAK OF</t>
        </is>
      </c>
      <c r="I346" s="16" t="inlineStr">
        <is>
          <t>Fast-opening valves (adiabatic compression)</t>
        </is>
      </c>
    </row>
    <row r="347">
      <c r="H347" s="16" t="inlineStr">
        <is>
          <t>Oxygen (lances, burners, pipelines)|LEAK OF</t>
        </is>
      </c>
      <c r="I347" s="16" t="inlineStr">
        <is>
          <t>Leak into enclosed areas – enriched atmosphere, clothing fire</t>
        </is>
      </c>
    </row>
    <row r="348">
      <c r="H348" s="16" t="inlineStr">
        <is>
          <t>Oxygen (lances, burners, pipelines)|LEAK OF</t>
        </is>
      </c>
      <c r="I348" s="16" t="inlineStr">
        <is>
          <t>Lance blocked or burned back</t>
        </is>
      </c>
    </row>
    <row r="349">
      <c r="H349" s="16" t="inlineStr">
        <is>
          <t>Oxygen (lances, burners, pipelines)|AS WELL AS</t>
        </is>
      </c>
      <c r="I349" s="16" t="inlineStr">
        <is>
          <t>Oil, grease or debris contamination in oxygen service</t>
        </is>
      </c>
    </row>
    <row r="350">
      <c r="H350" s="16" t="inlineStr">
        <is>
          <t>Oxygen (lances, burners, pipelines)|AS WELL AS</t>
        </is>
      </c>
      <c r="I350" s="16" t="inlineStr">
        <is>
          <t>High gas velocity / particle impingement in valves and bends</t>
        </is>
      </c>
    </row>
    <row r="351">
      <c r="H351" s="16" t="inlineStr">
        <is>
          <t>Oxygen (lances, burners, pipelines)|AS WELL AS</t>
        </is>
      </c>
      <c r="I351" s="16" t="inlineStr">
        <is>
          <t>Incompatible materials of construction or gaskets</t>
        </is>
      </c>
    </row>
    <row r="352">
      <c r="H352" s="16" t="inlineStr">
        <is>
          <t>Oxygen (lances, burners, pipelines)|AS WELL AS</t>
        </is>
      </c>
      <c r="I352" s="16" t="inlineStr">
        <is>
          <t>Fast-opening valves (adiabatic compression)</t>
        </is>
      </c>
    </row>
    <row r="353">
      <c r="H353" s="16" t="inlineStr">
        <is>
          <t>Oxygen (lances, burners, pipelines)|AS WELL AS</t>
        </is>
      </c>
      <c r="I353" s="16" t="inlineStr">
        <is>
          <t>Leak into enclosed areas – enriched atmosphere, clothing fire</t>
        </is>
      </c>
    </row>
    <row r="354">
      <c r="H354" s="16" t="inlineStr">
        <is>
          <t>Oxygen (lances, burners, pipelines)|AS WELL AS</t>
        </is>
      </c>
      <c r="I354" s="16" t="inlineStr">
        <is>
          <t>Lance blocked or burned back</t>
        </is>
      </c>
    </row>
    <row r="355">
      <c r="H355" s="16" t="inlineStr">
        <is>
          <t>Inert gas (N2, Ar)|LEAK OF</t>
        </is>
      </c>
      <c r="I355" s="16" t="inlineStr">
        <is>
          <t>Leak or purge into enclosed or confined area</t>
        </is>
      </c>
    </row>
    <row r="356">
      <c r="H356" s="16" t="inlineStr">
        <is>
          <t>Inert gas (N2, Ar)|LEAK OF</t>
        </is>
      </c>
      <c r="I356" s="16" t="inlineStr">
        <is>
          <t>Inert gas used as breathing air (wrong connection)</t>
        </is>
      </c>
    </row>
    <row r="357">
      <c r="H357" s="16" t="inlineStr">
        <is>
          <t>Inert gas (N2, Ar)|LEAK OF</t>
        </is>
      </c>
      <c r="I357" s="16" t="inlineStr">
        <is>
          <t>Pit, tunnel or bin atmosphere not tested before entry</t>
        </is>
      </c>
    </row>
    <row r="358">
      <c r="H358" s="16" t="inlineStr">
        <is>
          <t>Inert gas (N2, Ar)|LEAK OF</t>
        </is>
      </c>
      <c r="I358" s="16" t="inlineStr">
        <is>
          <t>Loss of inert blanketing on DRI bins, coal mills or dust filters</t>
        </is>
      </c>
    </row>
    <row r="359">
      <c r="H359" s="16" t="inlineStr">
        <is>
          <t>Inert gas (N2, Ar)|LEAK OF</t>
        </is>
      </c>
      <c r="I359" s="16" t="inlineStr">
        <is>
          <t>Nitrogen supply failure (plant trip)</t>
        </is>
      </c>
    </row>
    <row r="360">
      <c r="H360" s="16" t="inlineStr">
        <is>
          <t>Inert gas (N2, Ar)|LOSS OF</t>
        </is>
      </c>
      <c r="I360" s="16" t="inlineStr">
        <is>
          <t>Leak or purge into enclosed or confined area</t>
        </is>
      </c>
    </row>
    <row r="361">
      <c r="H361" s="16" t="inlineStr">
        <is>
          <t>Inert gas (N2, Ar)|LOSS OF</t>
        </is>
      </c>
      <c r="I361" s="16" t="inlineStr">
        <is>
          <t>Inert gas used as breathing air (wrong connection)</t>
        </is>
      </c>
    </row>
    <row r="362">
      <c r="H362" s="16" t="inlineStr">
        <is>
          <t>Inert gas (N2, Ar)|LOSS OF</t>
        </is>
      </c>
      <c r="I362" s="16" t="inlineStr">
        <is>
          <t>Pit, tunnel or bin atmosphere not tested before entry</t>
        </is>
      </c>
    </row>
    <row r="363">
      <c r="H363" s="16" t="inlineStr">
        <is>
          <t>Inert gas (N2, Ar)|LOSS OF</t>
        </is>
      </c>
      <c r="I363" s="16" t="inlineStr">
        <is>
          <t>Loss of inert blanketing on DRI bins, coal mills or dust filters</t>
        </is>
      </c>
    </row>
    <row r="364">
      <c r="H364" s="16" t="inlineStr">
        <is>
          <t>Inert gas (N2, Ar)|LOSS OF</t>
        </is>
      </c>
      <c r="I364" s="16" t="inlineStr">
        <is>
          <t>Nitrogen supply failure (plant trip)</t>
        </is>
      </c>
    </row>
    <row r="365">
      <c r="H365" s="16" t="inlineStr">
        <is>
          <t>Electrical energy (furnace / electrolysis)|MORE</t>
        </is>
      </c>
      <c r="I365" s="16" t="inlineStr">
        <is>
          <t>Electrode breakage or slipping</t>
        </is>
      </c>
    </row>
    <row r="366">
      <c r="H366" s="16" t="inlineStr">
        <is>
          <t>Electrical energy (furnace / electrolysis)|MORE</t>
        </is>
      </c>
      <c r="I366" s="16" t="inlineStr">
        <is>
          <t>Transformer or reactor cooling failure; transformer fire</t>
        </is>
      </c>
    </row>
    <row r="367">
      <c r="H367" s="16" t="inlineStr">
        <is>
          <t>Electrical energy (furnace / electrolysis)|MORE</t>
        </is>
      </c>
      <c r="I367" s="16" t="inlineStr">
        <is>
          <t>Over-current or short circuit; regulation fault</t>
        </is>
      </c>
    </row>
    <row r="368">
      <c r="H368" s="16" t="inlineStr">
        <is>
          <t>Electrical energy (furnace / electrolysis)|MORE</t>
        </is>
      </c>
      <c r="I368" s="16" t="inlineStr">
        <is>
          <t>Arc flash on high-current bus bars</t>
        </is>
      </c>
    </row>
    <row r="369">
      <c r="H369" s="16" t="inlineStr">
        <is>
          <t>Electrical energy (furnace / electrolysis)|MORE</t>
        </is>
      </c>
      <c r="I369" s="16" t="inlineStr">
        <is>
          <t>Loss of furnace power at critical stage (metal freeze)</t>
        </is>
      </c>
    </row>
    <row r="370">
      <c r="H370" s="16" t="inlineStr">
        <is>
          <t>Electrical energy (furnace / electrolysis)|MORE</t>
        </is>
      </c>
      <c r="I370" s="16" t="inlineStr">
        <is>
          <t>[S] Electrolysis cells / potlines – DC magnetic fields, anode effect, cell tapping errors</t>
        </is>
      </c>
    </row>
    <row r="371">
      <c r="H371" s="16" t="inlineStr">
        <is>
          <t>Electrical energy (furnace / electrolysis)|LESS</t>
        </is>
      </c>
      <c r="I371" s="16" t="inlineStr">
        <is>
          <t>Electrode breakage or slipping</t>
        </is>
      </c>
    </row>
    <row r="372">
      <c r="H372" s="16" t="inlineStr">
        <is>
          <t>Electrical energy (furnace / electrolysis)|LESS</t>
        </is>
      </c>
      <c r="I372" s="16" t="inlineStr">
        <is>
          <t>Transformer or reactor cooling failure; transformer fire</t>
        </is>
      </c>
    </row>
    <row r="373">
      <c r="H373" s="16" t="inlineStr">
        <is>
          <t>Electrical energy (furnace / electrolysis)|LESS</t>
        </is>
      </c>
      <c r="I373" s="16" t="inlineStr">
        <is>
          <t>Over-current or short circuit; regulation fault</t>
        </is>
      </c>
    </row>
    <row r="374">
      <c r="H374" s="16" t="inlineStr">
        <is>
          <t>Electrical energy (furnace / electrolysis)|LESS</t>
        </is>
      </c>
      <c r="I374" s="16" t="inlineStr">
        <is>
          <t>Arc flash on high-current bus bars</t>
        </is>
      </c>
    </row>
    <row r="375">
      <c r="H375" s="16" t="inlineStr">
        <is>
          <t>Electrical energy (furnace / electrolysis)|LESS</t>
        </is>
      </c>
      <c r="I375" s="16" t="inlineStr">
        <is>
          <t>Loss of furnace power at critical stage (metal freeze)</t>
        </is>
      </c>
    </row>
    <row r="376">
      <c r="H376" s="16" t="inlineStr">
        <is>
          <t>Electrical energy (furnace / electrolysis)|LESS</t>
        </is>
      </c>
      <c r="I376" s="16" t="inlineStr">
        <is>
          <t>[S] Electrolysis cells / potlines – DC magnetic fields, anode effect, cell tapping errors</t>
        </is>
      </c>
    </row>
    <row r="377">
      <c r="H377" s="16" t="inlineStr">
        <is>
          <t>Electrical energy (furnace / electrolysis)|OTHER THAN</t>
        </is>
      </c>
      <c r="I377" s="16" t="inlineStr">
        <is>
          <t>Electrode breakage or slipping</t>
        </is>
      </c>
    </row>
    <row r="378">
      <c r="H378" s="16" t="inlineStr">
        <is>
          <t>Electrical energy (furnace / electrolysis)|OTHER THAN</t>
        </is>
      </c>
      <c r="I378" s="16" t="inlineStr">
        <is>
          <t>Transformer or reactor cooling failure; transformer fire</t>
        </is>
      </c>
    </row>
    <row r="379">
      <c r="H379" s="16" t="inlineStr">
        <is>
          <t>Electrical energy (furnace / electrolysis)|OTHER THAN</t>
        </is>
      </c>
      <c r="I379" s="16" t="inlineStr">
        <is>
          <t>Over-current or short circuit; regulation fault</t>
        </is>
      </c>
    </row>
    <row r="380">
      <c r="H380" s="16" t="inlineStr">
        <is>
          <t>Electrical energy (furnace / electrolysis)|OTHER THAN</t>
        </is>
      </c>
      <c r="I380" s="16" t="inlineStr">
        <is>
          <t>Arc flash on high-current bus bars</t>
        </is>
      </c>
    </row>
    <row r="381">
      <c r="H381" s="16" t="inlineStr">
        <is>
          <t>Electrical energy (furnace / electrolysis)|OTHER THAN</t>
        </is>
      </c>
      <c r="I381" s="16" t="inlineStr">
        <is>
          <t>Loss of furnace power at critical stage (metal freeze)</t>
        </is>
      </c>
    </row>
    <row r="382">
      <c r="H382" s="16" t="inlineStr">
        <is>
          <t>Electrical energy (furnace / electrolysis)|OTHER THAN</t>
        </is>
      </c>
      <c r="I382" s="16" t="inlineStr">
        <is>
          <t>[S] Electrolysis cells / potlines – DC magnetic fields, anode effect, cell tapping errors</t>
        </is>
      </c>
    </row>
    <row r="383">
      <c r="H383" s="16" t="inlineStr">
        <is>
          <t>Solid charge materials|OTHER THAN</t>
        </is>
      </c>
      <c r="I383" s="16" t="inlineStr">
        <is>
          <t>Sealed containers, gas cylinders, explosives in scrap</t>
        </is>
      </c>
    </row>
    <row r="384">
      <c r="H384" s="16" t="inlineStr">
        <is>
          <t>Solid charge materials|OTHER THAN</t>
        </is>
      </c>
      <c r="I384" s="16" t="inlineStr">
        <is>
          <t>Radioactive sources in scrap (portal monitor failure)</t>
        </is>
      </c>
    </row>
    <row r="385">
      <c r="H385" s="16" t="inlineStr">
        <is>
          <t>Solid charge materials|OTHER THAN</t>
        </is>
      </c>
      <c r="I385" s="16" t="inlineStr">
        <is>
          <t>Moisture in charge</t>
        </is>
      </c>
    </row>
    <row r="386">
      <c r="H386" s="16" t="inlineStr">
        <is>
          <t>Solid charge materials|OTHER THAN</t>
        </is>
      </c>
      <c r="I386" s="16" t="inlineStr">
        <is>
          <t>Oversize pieces – bridging, mechanical damage</t>
        </is>
      </c>
    </row>
    <row r="387">
      <c r="H387" s="16" t="inlineStr">
        <is>
          <t>Solid charge materials|OTHER THAN</t>
        </is>
      </c>
      <c r="I387" s="16" t="inlineStr">
        <is>
          <t>Segregation – inconsistent chemistry</t>
        </is>
      </c>
    </row>
    <row r="388">
      <c r="H388" s="16" t="inlineStr">
        <is>
          <t>Solid charge materials|OTHER THAN</t>
        </is>
      </c>
      <c r="I388" s="16" t="inlineStr">
        <is>
          <t>Fines – dust generation</t>
        </is>
      </c>
    </row>
    <row r="389">
      <c r="H389" s="16" t="inlineStr">
        <is>
          <t>Solid charge materials|AS WELL AS</t>
        </is>
      </c>
      <c r="I389" s="16" t="inlineStr">
        <is>
          <t>Sealed containers, gas cylinders, explosives in scrap</t>
        </is>
      </c>
    </row>
    <row r="390">
      <c r="H390" s="16" t="inlineStr">
        <is>
          <t>Solid charge materials|AS WELL AS</t>
        </is>
      </c>
      <c r="I390" s="16" t="inlineStr">
        <is>
          <t>Radioactive sources in scrap (portal monitor failure)</t>
        </is>
      </c>
    </row>
    <row r="391">
      <c r="H391" s="16" t="inlineStr">
        <is>
          <t>Solid charge materials|AS WELL AS</t>
        </is>
      </c>
      <c r="I391" s="16" t="inlineStr">
        <is>
          <t>Moisture in charge</t>
        </is>
      </c>
    </row>
    <row r="392">
      <c r="H392" s="16" t="inlineStr">
        <is>
          <t>Solid charge materials|AS WELL AS</t>
        </is>
      </c>
      <c r="I392" s="16" t="inlineStr">
        <is>
          <t>Oversize pieces – bridging, mechanical damage</t>
        </is>
      </c>
    </row>
    <row r="393">
      <c r="H393" s="16" t="inlineStr">
        <is>
          <t>Solid charge materials|AS WELL AS</t>
        </is>
      </c>
      <c r="I393" s="16" t="inlineStr">
        <is>
          <t>Segregation – inconsistent chemistry</t>
        </is>
      </c>
    </row>
    <row r="394">
      <c r="H394" s="16" t="inlineStr">
        <is>
          <t>Solid charge materials|AS WELL AS</t>
        </is>
      </c>
      <c r="I394" s="16" t="inlineStr">
        <is>
          <t>Fines – dust generation</t>
        </is>
      </c>
    </row>
    <row r="395">
      <c r="H395" s="16" t="inlineStr">
        <is>
          <t>Solid charge materials|MORE</t>
        </is>
      </c>
      <c r="I395" s="16" t="inlineStr">
        <is>
          <t>Sealed containers, gas cylinders, explosives in scrap</t>
        </is>
      </c>
    </row>
    <row r="396">
      <c r="H396" s="16" t="inlineStr">
        <is>
          <t>Solid charge materials|MORE</t>
        </is>
      </c>
      <c r="I396" s="16" t="inlineStr">
        <is>
          <t>Radioactive sources in scrap (portal monitor failure)</t>
        </is>
      </c>
    </row>
    <row r="397">
      <c r="H397" s="16" t="inlineStr">
        <is>
          <t>Solid charge materials|MORE</t>
        </is>
      </c>
      <c r="I397" s="16" t="inlineStr">
        <is>
          <t>Moisture in charge</t>
        </is>
      </c>
    </row>
    <row r="398">
      <c r="H398" s="16" t="inlineStr">
        <is>
          <t>Solid charge materials|MORE</t>
        </is>
      </c>
      <c r="I398" s="16" t="inlineStr">
        <is>
          <t>Oversize pieces – bridging, mechanical damage</t>
        </is>
      </c>
    </row>
    <row r="399">
      <c r="H399" s="16" t="inlineStr">
        <is>
          <t>Solid charge materials|MORE</t>
        </is>
      </c>
      <c r="I399" s="16" t="inlineStr">
        <is>
          <t>Segregation – inconsistent chemistry</t>
        </is>
      </c>
    </row>
    <row r="400">
      <c r="H400" s="16" t="inlineStr">
        <is>
          <t>Solid charge materials|MORE</t>
        </is>
      </c>
      <c r="I400" s="16" t="inlineStr">
        <is>
          <t>Fines – dust generation</t>
        </is>
      </c>
    </row>
    <row r="401">
      <c r="H401" s="16" t="inlineStr">
        <is>
          <t>Hot DRI / HBI temperature|MORE</t>
        </is>
      </c>
      <c r="I401" s="16" t="inlineStr">
        <is>
          <t>Re-oxidation in air (insufficient inerting or cooling)</t>
        </is>
      </c>
    </row>
    <row r="402">
      <c r="H402" s="16" t="inlineStr">
        <is>
          <t>Hot DRI / HBI temperature|MORE</t>
        </is>
      </c>
      <c r="I402" s="16" t="inlineStr">
        <is>
          <t>Water contact – heat and hydrogen generation</t>
        </is>
      </c>
    </row>
    <row r="403">
      <c r="H403" s="16" t="inlineStr">
        <is>
          <t>Hot DRI / HBI temperature|MORE</t>
        </is>
      </c>
      <c r="I403" s="16" t="inlineStr">
        <is>
          <t>Dust and fines accumulation</t>
        </is>
      </c>
    </row>
    <row r="404">
      <c r="H404" s="16" t="inlineStr">
        <is>
          <t>Hot DRI / HBI temperature|MORE</t>
        </is>
      </c>
      <c r="I404" s="16" t="inlineStr">
        <is>
          <t>Conveyor or transport vessel over-temperature</t>
        </is>
      </c>
    </row>
    <row r="405">
      <c r="H405" s="16" t="inlineStr">
        <is>
          <t>Hot DRI / HBI temperature|MORE</t>
        </is>
      </c>
      <c r="I405" s="16" t="inlineStr">
        <is>
          <t>Long storage times; poor bin ventilation</t>
        </is>
      </c>
    </row>
    <row r="406">
      <c r="H406" s="16" t="inlineStr">
        <is>
          <t>Combustible dust|MORE</t>
        </is>
      </c>
      <c r="I406" s="16" t="inlineStr">
        <is>
          <t>Dust accumulation on structures; poor housekeeping</t>
        </is>
      </c>
    </row>
    <row r="407">
      <c r="H407" s="16" t="inlineStr">
        <is>
          <t>Combustible dust|MORE</t>
        </is>
      </c>
      <c r="I407" s="16" t="inlineStr">
        <is>
          <t>Dust collector or baghouse fire / explosion</t>
        </is>
      </c>
    </row>
    <row r="408">
      <c r="H408" s="16" t="inlineStr">
        <is>
          <t>Combustible dust|MORE</t>
        </is>
      </c>
      <c r="I408" s="16" t="inlineStr">
        <is>
          <t>Hot surfaces, sparks, static, hot work</t>
        </is>
      </c>
    </row>
    <row r="409">
      <c r="H409" s="16" t="inlineStr">
        <is>
          <t>Combustible dust|MORE</t>
        </is>
      </c>
      <c r="I409" s="16" t="inlineStr">
        <is>
          <t>Loss of inerting in coal mill or PCI system</t>
        </is>
      </c>
    </row>
    <row r="410">
      <c r="H410" s="16" t="inlineStr">
        <is>
          <t>Combustible dust|MORE</t>
        </is>
      </c>
      <c r="I410" s="16" t="inlineStr">
        <is>
          <t>Explosion venting / suppression / isolation missing or ineffective</t>
        </is>
      </c>
    </row>
    <row r="411">
      <c r="H411" s="16" t="inlineStr">
        <is>
          <t>Hydraulic / lube oil|LEAK OF</t>
        </is>
      </c>
      <c r="I411" s="16" t="inlineStr">
        <is>
          <t>Hose or fitting failure near hot metal or hot product</t>
        </is>
      </c>
    </row>
    <row r="412">
      <c r="H412" s="16" t="inlineStr">
        <is>
          <t>Hydraulic / lube oil|LEAK OF</t>
        </is>
      </c>
      <c r="I412" s="16" t="inlineStr">
        <is>
          <t>Use of mineral oil instead of fire-resistant fluid near hot areas</t>
        </is>
      </c>
    </row>
    <row r="413">
      <c r="H413" s="16" t="inlineStr">
        <is>
          <t>Hydraulic / lube oil|LEAK OF</t>
        </is>
      </c>
      <c r="I413" s="16" t="inlineStr">
        <is>
          <t>Accumulator failure – uncontrolled movement</t>
        </is>
      </c>
    </row>
    <row r="414">
      <c r="H414" s="16" t="inlineStr">
        <is>
          <t>Hydraulic / lube oil|LEAK OF</t>
        </is>
      </c>
      <c r="I414" s="16" t="inlineStr">
        <is>
          <t>Loss of pressure – uncontrolled tilt, roll gap or clamp release</t>
        </is>
      </c>
    </row>
    <row r="415">
      <c r="H415" s="16" t="inlineStr">
        <is>
          <t>Hydraulic / lube oil|LEAK OF</t>
        </is>
      </c>
      <c r="I415" s="16" t="inlineStr">
        <is>
          <t>Contaminated oil – valve sticking</t>
        </is>
      </c>
    </row>
    <row r="416">
      <c r="H416" s="16" t="inlineStr">
        <is>
          <t>Hydraulic / lube oil|LESS</t>
        </is>
      </c>
      <c r="I416" s="16" t="inlineStr">
        <is>
          <t>Hose or fitting failure near hot metal or hot product</t>
        </is>
      </c>
    </row>
    <row r="417">
      <c r="H417" s="16" t="inlineStr">
        <is>
          <t>Hydraulic / lube oil|LESS</t>
        </is>
      </c>
      <c r="I417" s="16" t="inlineStr">
        <is>
          <t>Use of mineral oil instead of fire-resistant fluid near hot areas</t>
        </is>
      </c>
    </row>
    <row r="418">
      <c r="H418" s="16" t="inlineStr">
        <is>
          <t>Hydraulic / lube oil|LESS</t>
        </is>
      </c>
      <c r="I418" s="16" t="inlineStr">
        <is>
          <t>Accumulator failure – uncontrolled movement</t>
        </is>
      </c>
    </row>
    <row r="419">
      <c r="H419" s="16" t="inlineStr">
        <is>
          <t>Hydraulic / lube oil|LESS</t>
        </is>
      </c>
      <c r="I419" s="16" t="inlineStr">
        <is>
          <t>Loss of pressure – uncontrolled tilt, roll gap or clamp release</t>
        </is>
      </c>
    </row>
    <row r="420">
      <c r="H420" s="16" t="inlineStr">
        <is>
          <t>Hydraulic / lube oil|LESS</t>
        </is>
      </c>
      <c r="I420" s="16" t="inlineStr">
        <is>
          <t>Contaminated oil – valve sticking</t>
        </is>
      </c>
    </row>
    <row r="421">
      <c r="H421" s="16" t="inlineStr">
        <is>
          <t>Load control (cranes, ladle / transfer cars)|LOSS OF</t>
        </is>
      </c>
      <c r="I421" s="16" t="inlineStr">
        <is>
          <t>Crane brake, rope or hook failure while carrying molten metal</t>
        </is>
      </c>
    </row>
    <row r="422">
      <c r="H422" s="16" t="inlineStr">
        <is>
          <t>Load control (cranes, ladle / transfer cars)|LOSS OF</t>
        </is>
      </c>
      <c r="I422" s="16" t="inlineStr">
        <is>
          <t>Power failure with ladle suspended</t>
        </is>
      </c>
    </row>
    <row r="423">
      <c r="H423" s="16" t="inlineStr">
        <is>
          <t>Load control (cranes, ladle / transfer cars)|LOSS OF</t>
        </is>
      </c>
      <c r="I423" s="16" t="inlineStr">
        <is>
          <t>Anti-collision or limit switch failure</t>
        </is>
      </c>
    </row>
    <row r="424">
      <c r="H424" s="16" t="inlineStr">
        <is>
          <t>Load control (cranes, ladle / transfer cars)|LOSS OF</t>
        </is>
      </c>
      <c r="I424" s="16" t="inlineStr">
        <is>
          <t>Overload; incorrect lifting accessory</t>
        </is>
      </c>
    </row>
    <row r="425">
      <c r="H425" s="16" t="inlineStr">
        <is>
          <t>Load control (cranes, ladle / transfer cars)|LOSS OF</t>
        </is>
      </c>
      <c r="I425" s="16" t="inlineStr">
        <is>
          <t>Poor visibility from steam or fume</t>
        </is>
      </c>
    </row>
    <row r="426">
      <c r="H426" s="16" t="inlineStr">
        <is>
          <t>Casting speed / mould level|MORE</t>
        </is>
      </c>
      <c r="I426" s="16" t="inlineStr">
        <is>
          <t>Mould level control failure – overflow or breakout</t>
        </is>
      </c>
    </row>
    <row r="427">
      <c r="H427" s="16" t="inlineStr">
        <is>
          <t>Casting speed / mould level|MORE</t>
        </is>
      </c>
      <c r="I427" s="16" t="inlineStr">
        <is>
          <t>Secondary cooling water failure</t>
        </is>
      </c>
    </row>
    <row r="428">
      <c r="H428" s="16" t="inlineStr">
        <is>
          <t>Casting speed / mould level|MORE</t>
        </is>
      </c>
      <c r="I428" s="16" t="inlineStr">
        <is>
          <t>Cobbles in rolling mill; product jumping guides</t>
        </is>
      </c>
    </row>
    <row r="429">
      <c r="H429" s="16" t="inlineStr">
        <is>
          <t>Casting speed / mould level|MORE</t>
        </is>
      </c>
      <c r="I429" s="16" t="inlineStr">
        <is>
          <t>Roll breakage; drive failure</t>
        </is>
      </c>
    </row>
    <row r="430">
      <c r="H430" s="16" t="inlineStr">
        <is>
          <t>Casting speed / mould level|MORE</t>
        </is>
      </c>
      <c r="I430" s="16" t="inlineStr">
        <is>
          <t>Scale-breaker high-pressure water hazards</t>
        </is>
      </c>
    </row>
    <row r="431">
      <c r="H431" s="16" t="inlineStr">
        <is>
          <t>Casting speed / mould level|LESS</t>
        </is>
      </c>
      <c r="I431" s="16" t="inlineStr">
        <is>
          <t>Mould level control failure – overflow or breakout</t>
        </is>
      </c>
    </row>
    <row r="432">
      <c r="H432" s="16" t="inlineStr">
        <is>
          <t>Casting speed / mould level|LESS</t>
        </is>
      </c>
      <c r="I432" s="16" t="inlineStr">
        <is>
          <t>Secondary cooling water failure</t>
        </is>
      </c>
    </row>
    <row r="433">
      <c r="H433" s="16" t="inlineStr">
        <is>
          <t>Casting speed / mould level|LESS</t>
        </is>
      </c>
      <c r="I433" s="16" t="inlineStr">
        <is>
          <t>Cobbles in rolling mill; product jumping guides</t>
        </is>
      </c>
    </row>
    <row r="434">
      <c r="H434" s="16" t="inlineStr">
        <is>
          <t>Casting speed / mould level|LESS</t>
        </is>
      </c>
      <c r="I434" s="16" t="inlineStr">
        <is>
          <t>Roll breakage; drive failure</t>
        </is>
      </c>
    </row>
    <row r="435">
      <c r="H435" s="16" t="inlineStr">
        <is>
          <t>Casting speed / mould level|LESS</t>
        </is>
      </c>
      <c r="I435" s="16" t="inlineStr">
        <is>
          <t>Scale-breaker high-pressure water hazards</t>
        </is>
      </c>
    </row>
    <row r="436">
      <c r="H436" s="16" t="inlineStr">
        <is>
          <t>Refractory|LESS</t>
        </is>
      </c>
      <c r="I436" s="16" t="inlineStr">
        <is>
          <t>Wear beyond limit; inspection missed</t>
        </is>
      </c>
    </row>
    <row r="437">
      <c r="H437" s="16" t="inlineStr">
        <is>
          <t>Refractory|LESS</t>
        </is>
      </c>
      <c r="I437" s="16" t="inlineStr">
        <is>
          <t>Wrong refractory specification</t>
        </is>
      </c>
    </row>
    <row r="438">
      <c r="H438" s="16" t="inlineStr">
        <is>
          <t>Refractory|LESS</t>
        </is>
      </c>
      <c r="I438" s="16" t="inlineStr">
        <is>
          <t>Inadequate dry-out (moisture – spalling, steam)</t>
        </is>
      </c>
    </row>
    <row r="439">
      <c r="H439" s="16" t="inlineStr">
        <is>
          <t>Refractory|LESS</t>
        </is>
      </c>
      <c r="I439" s="16" t="inlineStr">
        <is>
          <t>Thermal shock from rapid heating or cooling</t>
        </is>
      </c>
    </row>
    <row r="440">
      <c r="H440" s="16" t="inlineStr">
        <is>
          <t>Refractory|LESS</t>
        </is>
      </c>
      <c r="I440" s="16" t="inlineStr">
        <is>
          <t>Chemical attack by slag</t>
        </is>
      </c>
    </row>
    <row r="441">
      <c r="H441" s="16" t="inlineStr">
        <is>
          <t>Pickling acid / zinc bath|MORE</t>
        </is>
      </c>
      <c r="I441" s="16" t="inlineStr">
        <is>
          <t>Acid concentration out of range – fume, over-pickling</t>
        </is>
      </c>
    </row>
    <row r="442">
      <c r="H442" s="16" t="inlineStr">
        <is>
          <t>Pickling acid / zinc bath|MORE</t>
        </is>
      </c>
      <c r="I442" s="16" t="inlineStr">
        <is>
          <t>Acid regeneration plant upset – HCl release</t>
        </is>
      </c>
    </row>
    <row r="443">
      <c r="H443" s="16" t="inlineStr">
        <is>
          <t>Pickling acid / zinc bath|MORE</t>
        </is>
      </c>
      <c r="I443" s="16" t="inlineStr">
        <is>
          <t>Fume extraction failure</t>
        </is>
      </c>
    </row>
    <row r="444">
      <c r="H444" s="16" t="inlineStr">
        <is>
          <t>Pickling acid / zinc bath|MORE</t>
        </is>
      </c>
      <c r="I444" s="16" t="inlineStr">
        <is>
          <t>Wet or contaminated steel entering molten zinc bath – eruption</t>
        </is>
      </c>
    </row>
    <row r="445">
      <c r="H445" s="16" t="inlineStr">
        <is>
          <t>Pickling acid / zinc bath|MORE</t>
        </is>
      </c>
      <c r="I445" s="16" t="inlineStr">
        <is>
          <t>Flux or zinc ash handling exposures</t>
        </is>
      </c>
    </row>
    <row r="446">
      <c r="H446" s="16" t="inlineStr">
        <is>
          <t>Pickling acid / zinc bath|LESS</t>
        </is>
      </c>
      <c r="I446" s="16" t="inlineStr">
        <is>
          <t>Acid concentration out of range – fume, over-pickling</t>
        </is>
      </c>
    </row>
    <row r="447">
      <c r="H447" s="16" t="inlineStr">
        <is>
          <t>Pickling acid / zinc bath|LESS</t>
        </is>
      </c>
      <c r="I447" s="16" t="inlineStr">
        <is>
          <t>Acid regeneration plant upset – HCl release</t>
        </is>
      </c>
    </row>
    <row r="448">
      <c r="H448" s="16" t="inlineStr">
        <is>
          <t>Pickling acid / zinc bath|LESS</t>
        </is>
      </c>
      <c r="I448" s="16" t="inlineStr">
        <is>
          <t>Fume extraction failure</t>
        </is>
      </c>
    </row>
    <row r="449">
      <c r="H449" s="16" t="inlineStr">
        <is>
          <t>Pickling acid / zinc bath|LESS</t>
        </is>
      </c>
      <c r="I449" s="16" t="inlineStr">
        <is>
          <t>Wet or contaminated steel entering molten zinc bath – eruption</t>
        </is>
      </c>
    </row>
    <row r="450">
      <c r="H450" s="16" t="inlineStr">
        <is>
          <t>Pickling acid / zinc bath|LESS</t>
        </is>
      </c>
      <c r="I450" s="16" t="inlineStr">
        <is>
          <t>Flux or zinc ash handling exposures</t>
        </is>
      </c>
    </row>
    <row r="451">
      <c r="H451" s="16" t="inlineStr">
        <is>
          <t>Pickling acid / zinc bath|AS WELL AS</t>
        </is>
      </c>
      <c r="I451" s="16" t="inlineStr">
        <is>
          <t>Acid concentration out of range – fume, over-pickling</t>
        </is>
      </c>
    </row>
    <row r="452">
      <c r="H452" s="16" t="inlineStr">
        <is>
          <t>Pickling acid / zinc bath|AS WELL AS</t>
        </is>
      </c>
      <c r="I452" s="16" t="inlineStr">
        <is>
          <t>Acid regeneration plant upset – HCl release</t>
        </is>
      </c>
    </row>
    <row r="453">
      <c r="H453" s="16" t="inlineStr">
        <is>
          <t>Pickling acid / zinc bath|AS WELL AS</t>
        </is>
      </c>
      <c r="I453" s="16" t="inlineStr">
        <is>
          <t>Fume extraction failure</t>
        </is>
      </c>
    </row>
    <row r="454">
      <c r="H454" s="16" t="inlineStr">
        <is>
          <t>Pickling acid / zinc bath|AS WELL AS</t>
        </is>
      </c>
      <c r="I454" s="16" t="inlineStr">
        <is>
          <t>Wet or contaminated steel entering molten zinc bath – eruption</t>
        </is>
      </c>
    </row>
    <row r="455">
      <c r="H455" s="16" t="inlineStr">
        <is>
          <t>Pickling acid / zinc bath|AS WELL AS</t>
        </is>
      </c>
      <c r="I455" s="16" t="inlineStr">
        <is>
          <t>Flux or zinc ash handling exposures</t>
        </is>
      </c>
    </row>
    <row r="456">
      <c r="H456" s="16" t="inlineStr">
        <is>
          <t>Relief|INADEQUATE</t>
        </is>
      </c>
      <c r="I456" s="16" t="inlineStr">
        <is>
          <t>Relief philosophy not defined for all scenarios (fire, blocked outlet, runaway, tube rupture)</t>
        </is>
      </c>
    </row>
    <row r="457">
      <c r="H457" s="16" t="inlineStr">
        <is>
          <t>Relief|INADEQUATE</t>
        </is>
      </c>
      <c r="I457" s="16" t="inlineStr">
        <is>
          <t>Type of relief device and its reliability</t>
        </is>
      </c>
    </row>
    <row r="458">
      <c r="H458" s="16" t="inlineStr">
        <is>
          <t>Relief|INADEQUATE</t>
        </is>
      </c>
      <c r="I458" s="16" t="inlineStr">
        <is>
          <t>Relief valve discharge location unsafe (to work areas, ignition sources)</t>
        </is>
      </c>
    </row>
    <row r="459">
      <c r="H459" s="16" t="inlineStr">
        <is>
          <t>Relief|INADEQUATE</t>
        </is>
      </c>
      <c r="I459" s="16" t="inlineStr">
        <is>
          <t>Pollution implications of discharge</t>
        </is>
      </c>
    </row>
    <row r="460">
      <c r="H460" s="16" t="inlineStr">
        <is>
          <t>Relief|INADEQUATE</t>
        </is>
      </c>
      <c r="I460" s="16" t="inlineStr">
        <is>
          <t>Relief isolated or blocked; incorrect set pressure</t>
        </is>
      </c>
    </row>
    <row r="461">
      <c r="H461" s="16" t="inlineStr">
        <is>
          <t>Relief|INADEQUATE</t>
        </is>
      </c>
      <c r="I461" s="16" t="inlineStr">
        <is>
          <t>[S] Explosion doors / bleeders on furnaces and gas mains – location and maintenance</t>
        </is>
      </c>
    </row>
    <row r="462">
      <c r="H462" s="16" t="inlineStr">
        <is>
          <t>Process control / instrumentation|LOSS OF</t>
        </is>
      </c>
      <c r="I462" s="16" t="inlineStr">
        <is>
          <t>Control philosophy unclear</t>
        </is>
      </c>
    </row>
    <row r="463">
      <c r="H463" s="16" t="inlineStr">
        <is>
          <t>Process control / instrumentation|LOSS OF</t>
        </is>
      </c>
      <c r="I463" s="16" t="inlineStr">
        <is>
          <t>Location of instruments unsuitable</t>
        </is>
      </c>
    </row>
    <row r="464">
      <c r="H464" s="16" t="inlineStr">
        <is>
          <t>Process control / instrumentation|LOSS OF</t>
        </is>
      </c>
      <c r="I464" s="16" t="inlineStr">
        <is>
          <t>Response time; set points of alarms and trips</t>
        </is>
      </c>
    </row>
    <row r="465">
      <c r="H465" s="16" t="inlineStr">
        <is>
          <t>Process control / instrumentation|LOSS OF</t>
        </is>
      </c>
      <c r="I465" s="16" t="inlineStr">
        <is>
          <t>Time available for operator intervention</t>
        </is>
      </c>
    </row>
    <row r="466">
      <c r="H466" s="16" t="inlineStr">
        <is>
          <t>Process control / instrumentation|LOSS OF</t>
        </is>
      </c>
      <c r="I466" s="16" t="inlineStr">
        <is>
          <t>Alarm and trip testing not done</t>
        </is>
      </c>
    </row>
    <row r="467">
      <c r="H467" s="16" t="inlineStr">
        <is>
          <t>Process control / instrumentation|LOSS OF</t>
        </is>
      </c>
      <c r="I467" s="16" t="inlineStr">
        <is>
          <t>Fire protection of instruments and cables</t>
        </is>
      </c>
    </row>
    <row r="468">
      <c r="H468" s="16" t="inlineStr">
        <is>
          <t>Process control / instrumentation|LOSS OF</t>
        </is>
      </c>
      <c r="I468" s="16" t="inlineStr">
        <is>
          <t>Electronic trip / control amplifiers</t>
        </is>
      </c>
    </row>
    <row r="469">
      <c r="H469" s="16" t="inlineStr">
        <is>
          <t>Process control / instrumentation|LOSS OF</t>
        </is>
      </c>
      <c r="I469" s="16" t="inlineStr">
        <is>
          <t>Panel arrangement and location</t>
        </is>
      </c>
    </row>
    <row r="470">
      <c r="H470" s="16" t="inlineStr">
        <is>
          <t>Process control / instrumentation|LOSS OF</t>
        </is>
      </c>
      <c r="I470" s="16" t="inlineStr">
        <is>
          <t>Auto / manual facility and human error</t>
        </is>
      </c>
    </row>
    <row r="471">
      <c r="H471" s="16" t="inlineStr">
        <is>
          <t>Process control / instrumentation|LOSS OF</t>
        </is>
      </c>
      <c r="I471" s="16" t="inlineStr">
        <is>
          <t>Alarm flooding; bypassed trips</t>
        </is>
      </c>
    </row>
    <row r="472">
      <c r="H472" s="16" t="inlineStr">
        <is>
          <t>Process control / instrumentation|LOSS OF</t>
        </is>
      </c>
      <c r="I472" s="16" t="inlineStr">
        <is>
          <t>[S] Instruments in high temperature, dust and EMF environments (temperature probes, level radars, leak detection)</t>
        </is>
      </c>
    </row>
    <row r="473">
      <c r="H473" s="16" t="inlineStr">
        <is>
          <t>Sampling|INADEQUATE</t>
        </is>
      </c>
      <c r="I473" s="16" t="inlineStr">
        <is>
          <t>Sampling procedure inadequate</t>
        </is>
      </c>
    </row>
    <row r="474">
      <c r="H474" s="16" t="inlineStr">
        <is>
          <t>Sampling|INADEQUATE</t>
        </is>
      </c>
      <c r="I474" s="16" t="inlineStr">
        <is>
          <t>Time for analysis result too long</t>
        </is>
      </c>
    </row>
    <row r="475">
      <c r="H475" s="16" t="inlineStr">
        <is>
          <t>Sampling|INADEQUATE</t>
        </is>
      </c>
      <c r="I475" s="16" t="inlineStr">
        <is>
          <t>Calibration of automatic samplers / reliability</t>
        </is>
      </c>
    </row>
    <row r="476">
      <c r="H476" s="16" t="inlineStr">
        <is>
          <t>Sampling|INADEQUATE</t>
        </is>
      </c>
      <c r="I476" s="16" t="inlineStr">
        <is>
          <t>Accuracy of representative sample</t>
        </is>
      </c>
    </row>
    <row r="477">
      <c r="H477" s="16" t="inlineStr">
        <is>
          <t>Sampling|INADEQUATE</t>
        </is>
      </c>
      <c r="I477" s="16" t="inlineStr">
        <is>
          <t>Diagnosis of result</t>
        </is>
      </c>
    </row>
    <row r="478">
      <c r="H478" s="16" t="inlineStr">
        <is>
          <t>Sampling|INADEQUATE</t>
        </is>
      </c>
      <c r="I478" s="16" t="inlineStr">
        <is>
          <t>Exposure of sampler to toxic, hot or pressurised material</t>
        </is>
      </c>
    </row>
    <row r="479">
      <c r="H479" s="16" t="inlineStr">
        <is>
          <t>Sampling|INADEQUATE</t>
        </is>
      </c>
      <c r="I479" s="16" t="inlineStr">
        <is>
          <t>[S] Molten metal sampling and temperature measurement at the furnace door or ladle</t>
        </is>
      </c>
    </row>
    <row r="480">
      <c r="H480" s="16" t="inlineStr">
        <is>
          <t>Corrosion / erosion|MORE</t>
        </is>
      </c>
      <c r="I480" s="16" t="inlineStr">
        <is>
          <t>Cathodic protection arrangements inadequate</t>
        </is>
      </c>
    </row>
    <row r="481">
      <c r="H481" s="16" t="inlineStr">
        <is>
          <t>Corrosion / erosion|MORE</t>
        </is>
      </c>
      <c r="I481" s="16" t="inlineStr">
        <is>
          <t>Internal / external corrosion protection</t>
        </is>
      </c>
    </row>
    <row r="482">
      <c r="H482" s="16" t="inlineStr">
        <is>
          <t>Corrosion / erosion|MORE</t>
        </is>
      </c>
      <c r="I482" s="16" t="inlineStr">
        <is>
          <t>Engineering specifications</t>
        </is>
      </c>
    </row>
    <row r="483">
      <c r="H483" s="16" t="inlineStr">
        <is>
          <t>Corrosion / erosion|MORE</t>
        </is>
      </c>
      <c r="I483" s="16" t="inlineStr">
        <is>
          <t>Zinc embrittlement</t>
        </is>
      </c>
    </row>
    <row r="484">
      <c r="H484" s="16" t="inlineStr">
        <is>
          <t>Corrosion / erosion|MORE</t>
        </is>
      </c>
      <c r="I484" s="16" t="inlineStr">
        <is>
          <t>Stress corrosion cracking (chlorides)</t>
        </is>
      </c>
    </row>
    <row r="485">
      <c r="H485" s="16" t="inlineStr">
        <is>
          <t>Corrosion / erosion|MORE</t>
        </is>
      </c>
      <c r="I485" s="16" t="inlineStr">
        <is>
          <t>Fluid velocities too high</t>
        </is>
      </c>
    </row>
    <row r="486">
      <c r="H486" s="16" t="inlineStr">
        <is>
          <t>Corrosion / erosion|MORE</t>
        </is>
      </c>
      <c r="I486" s="16" t="inlineStr">
        <is>
          <t>Corrosion under insulation</t>
        </is>
      </c>
    </row>
    <row r="487">
      <c r="H487" s="16" t="inlineStr">
        <is>
          <t>Corrosion / erosion|MORE</t>
        </is>
      </c>
      <c r="I487" s="16" t="inlineStr">
        <is>
          <t>[S] Abrasive slurries, dust-laden gas, acid dew-point corrosion in off-gas ducts</t>
        </is>
      </c>
    </row>
    <row r="488">
      <c r="H488" s="16" t="inlineStr">
        <is>
          <t>Utilities / services|LOSS OF</t>
        </is>
      </c>
      <c r="I488" s="16" t="inlineStr">
        <is>
          <t>Failure of dry instrument air</t>
        </is>
      </c>
    </row>
    <row r="489">
      <c r="H489" s="16" t="inlineStr">
        <is>
          <t>Utilities / services|LOSS OF</t>
        </is>
      </c>
      <c r="I489" s="16" t="inlineStr">
        <is>
          <t>Failure of steam / nitrogen / cooling water</t>
        </is>
      </c>
    </row>
    <row r="490">
      <c r="H490" s="16" t="inlineStr">
        <is>
          <t>Utilities / services|LOSS OF</t>
        </is>
      </c>
      <c r="I490" s="16" t="inlineStr">
        <is>
          <t>Failure of hydraulic power / electric power</t>
        </is>
      </c>
    </row>
    <row r="491">
      <c r="H491" s="16" t="inlineStr">
        <is>
          <t>Utilities / services|LOSS OF</t>
        </is>
      </c>
      <c r="I491" s="16" t="inlineStr">
        <is>
          <t>Telecommunications</t>
        </is>
      </c>
    </row>
    <row r="492">
      <c r="H492" s="16" t="inlineStr">
        <is>
          <t>Utilities / services|LOSS OF</t>
        </is>
      </c>
      <c r="I492" s="16" t="inlineStr">
        <is>
          <t>Heating and ventilating systems</t>
        </is>
      </c>
    </row>
    <row r="493">
      <c r="H493" s="16" t="inlineStr">
        <is>
          <t>Utilities / services|LOSS OF</t>
        </is>
      </c>
      <c r="I493" s="16" t="inlineStr">
        <is>
          <t>Computers / control system / network</t>
        </is>
      </c>
    </row>
    <row r="494">
      <c r="H494" s="16" t="inlineStr">
        <is>
          <t>Utilities / services|LOSS OF</t>
        </is>
      </c>
      <c r="I494" s="16" t="inlineStr">
        <is>
          <t>[S] Loss of oxygen, argon or natural gas supply from air-separation plant or pipeline</t>
        </is>
      </c>
    </row>
    <row r="495">
      <c r="H495" s="16" t="inlineStr">
        <is>
          <t>Maintenance|INADEQUATE</t>
        </is>
      </c>
      <c r="I495" s="16" t="inlineStr">
        <is>
          <t>Isolation, drainage, purging</t>
        </is>
      </c>
    </row>
    <row r="496">
      <c r="H496" s="16" t="inlineStr">
        <is>
          <t>Maintenance|INADEQUATE</t>
        </is>
      </c>
      <c r="I496" s="16" t="inlineStr">
        <is>
          <t>Cleaning, drying</t>
        </is>
      </c>
    </row>
    <row r="497">
      <c r="H497" s="16" t="inlineStr">
        <is>
          <t>Maintenance|INADEQUATE</t>
        </is>
      </c>
      <c r="I497" s="16" t="inlineStr">
        <is>
          <t>Slip plates</t>
        </is>
      </c>
    </row>
    <row r="498">
      <c r="H498" s="16" t="inlineStr">
        <is>
          <t>Maintenance|INADEQUATE</t>
        </is>
      </c>
      <c r="I498" s="16" t="inlineStr">
        <is>
          <t>Access</t>
        </is>
      </c>
    </row>
    <row r="499">
      <c r="H499" s="16" t="inlineStr">
        <is>
          <t>Maintenance|INADEQUATE</t>
        </is>
      </c>
      <c r="I499" s="16" t="inlineStr">
        <is>
          <t>Rescue plan</t>
        </is>
      </c>
    </row>
    <row r="500">
      <c r="H500" s="16" t="inlineStr">
        <is>
          <t>Maintenance|INADEQUATE</t>
        </is>
      </c>
      <c r="I500" s="16" t="inlineStr">
        <is>
          <t>Training</t>
        </is>
      </c>
    </row>
    <row r="501">
      <c r="H501" s="16" t="inlineStr">
        <is>
          <t>Maintenance|INADEQUATE</t>
        </is>
      </c>
      <c r="I501" s="16" t="inlineStr">
        <is>
          <t>Pressure testing</t>
        </is>
      </c>
    </row>
    <row r="502">
      <c r="H502" s="16" t="inlineStr">
        <is>
          <t>Maintenance|INADEQUATE</t>
        </is>
      </c>
      <c r="I502" s="16" t="inlineStr">
        <is>
          <t>Work permit system</t>
        </is>
      </c>
    </row>
    <row r="503">
      <c r="H503" s="16" t="inlineStr">
        <is>
          <t>Maintenance|INADEQUATE</t>
        </is>
      </c>
      <c r="I503" s="16" t="inlineStr">
        <is>
          <t>Condition monitoring</t>
        </is>
      </c>
    </row>
    <row r="504">
      <c r="H504" s="16" t="inlineStr">
        <is>
          <t>Maintenance|INADEQUATE</t>
        </is>
      </c>
      <c r="I504" s="16" t="inlineStr">
        <is>
          <t>[S] Hot work near gas mains or dust; work under suspended loads; work inside cooled-down furnaces</t>
        </is>
      </c>
    </row>
    <row r="505">
      <c r="H505" s="16" t="inlineStr">
        <is>
          <t>Spare equipment|NO</t>
        </is>
      </c>
      <c r="I505" s="16" t="inlineStr">
        <is>
          <t>Installed / non-installed spare equipment</t>
        </is>
      </c>
    </row>
    <row r="506">
      <c r="H506" s="16" t="inlineStr">
        <is>
          <t>Spare equipment|NO</t>
        </is>
      </c>
      <c r="I506" s="16" t="inlineStr">
        <is>
          <t>Availability of spares</t>
        </is>
      </c>
    </row>
    <row r="507">
      <c r="H507" s="16" t="inlineStr">
        <is>
          <t>Spare equipment|NO</t>
        </is>
      </c>
      <c r="I507" s="16" t="inlineStr">
        <is>
          <t>Modified specifications</t>
        </is>
      </c>
    </row>
    <row r="508">
      <c r="H508" s="16" t="inlineStr">
        <is>
          <t>Spare equipment|NO</t>
        </is>
      </c>
      <c r="I508" s="16" t="inlineStr">
        <is>
          <t>Storage of spares</t>
        </is>
      </c>
    </row>
    <row r="509">
      <c r="H509" s="16" t="inlineStr">
        <is>
          <t>Spare equipment|NO</t>
        </is>
      </c>
      <c r="I509" s="16" t="inlineStr">
        <is>
          <t>Catalogue of spares</t>
        </is>
      </c>
    </row>
    <row r="510">
      <c r="H510" s="16" t="inlineStr">
        <is>
          <t>Electrical safety / static|INADEQUATE</t>
        </is>
      </c>
      <c r="I510" s="16" t="inlineStr">
        <is>
          <t>Static discharge</t>
        </is>
      </c>
    </row>
    <row r="511">
      <c r="H511" s="16" t="inlineStr">
        <is>
          <t>Electrical safety / static|INADEQUATE</t>
        </is>
      </c>
      <c r="I511" s="16" t="inlineStr">
        <is>
          <t>Earthing arrangements</t>
        </is>
      </c>
    </row>
    <row r="512">
      <c r="H512" s="16" t="inlineStr">
        <is>
          <t>Electrical safety / static|INADEQUATE</t>
        </is>
      </c>
      <c r="I512" s="16" t="inlineStr">
        <is>
          <t>Insulated vessels / equipment</t>
        </is>
      </c>
    </row>
    <row r="513">
      <c r="H513" s="16" t="inlineStr">
        <is>
          <t>Electrical safety / static|INADEQUATE</t>
        </is>
      </c>
      <c r="I513" s="16" t="inlineStr">
        <is>
          <t>Low-conductance fluids</t>
        </is>
      </c>
    </row>
    <row r="514">
      <c r="H514" s="16" t="inlineStr">
        <is>
          <t>Electrical safety / static|INADEQUATE</t>
        </is>
      </c>
      <c r="I514" s="16" t="inlineStr">
        <is>
          <t>Splash filling of vessels</t>
        </is>
      </c>
    </row>
    <row r="515">
      <c r="H515" s="16" t="inlineStr">
        <is>
          <t>Electrical safety / static|INADEQUATE</t>
        </is>
      </c>
      <c r="I515" s="16" t="inlineStr">
        <is>
          <t>Insulated strainers and valve components</t>
        </is>
      </c>
    </row>
    <row r="516">
      <c r="H516" s="16" t="inlineStr">
        <is>
          <t>Electrical safety / static|INADEQUATE</t>
        </is>
      </c>
      <c r="I516" s="16" t="inlineStr">
        <is>
          <t>Dust generation and handling</t>
        </is>
      </c>
    </row>
    <row r="517">
      <c r="H517" s="16" t="inlineStr">
        <is>
          <t>Electrical safety / static|INADEQUATE</t>
        </is>
      </c>
      <c r="I517" s="16" t="inlineStr">
        <is>
          <t>Hoses</t>
        </is>
      </c>
    </row>
    <row r="518">
      <c r="H518" s="16" t="inlineStr">
        <is>
          <t>Electrical safety / static|INADEQUATE</t>
        </is>
      </c>
      <c r="I518" s="16" t="inlineStr">
        <is>
          <t>Area classification</t>
        </is>
      </c>
    </row>
    <row r="519">
      <c r="H519" s="16" t="inlineStr">
        <is>
          <t>Electrical safety / static|INADEQUATE</t>
        </is>
      </c>
      <c r="I519" s="16" t="inlineStr">
        <is>
          <t>[S] High-current bus bars, induced currents and magnetic fields</t>
        </is>
      </c>
    </row>
    <row r="520">
      <c r="H520" s="16" t="inlineStr">
        <is>
          <t>Operator action|OTHER THAN</t>
        </is>
      </c>
      <c r="I520" s="16" t="inlineStr">
        <is>
          <t>Unclear or absent procedures</t>
        </is>
      </c>
    </row>
    <row r="521">
      <c r="H521" s="16" t="inlineStr">
        <is>
          <t>Operator action|OTHER THAN</t>
        </is>
      </c>
      <c r="I521" s="16" t="inlineStr">
        <is>
          <t>Poor labelling and identification</t>
        </is>
      </c>
    </row>
    <row r="522">
      <c r="H522" s="16" t="inlineStr">
        <is>
          <t>Operator action|OTHER THAN</t>
        </is>
      </c>
      <c r="I522" s="16" t="inlineStr">
        <is>
          <t>Workload, fatigue, shift handover</t>
        </is>
      </c>
    </row>
    <row r="523">
      <c r="H523" s="16" t="inlineStr">
        <is>
          <t>Operator action|OTHER THAN</t>
        </is>
      </c>
      <c r="I523" s="16" t="inlineStr">
        <is>
          <t>Alarm overload; poor HMI design</t>
        </is>
      </c>
    </row>
    <row r="524">
      <c r="H524" s="16" t="inlineStr">
        <is>
          <t>Operator action|OTHER THAN</t>
        </is>
      </c>
      <c r="I524" s="16" t="inlineStr">
        <is>
          <t>Inadequate training or competence</t>
        </is>
      </c>
    </row>
    <row r="525">
      <c r="H525" s="16" t="inlineStr">
        <is>
          <t>Operator action|NO</t>
        </is>
      </c>
      <c r="I525" s="16" t="inlineStr">
        <is>
          <t>Unclear or absent procedures</t>
        </is>
      </c>
    </row>
    <row r="526">
      <c r="H526" s="16" t="inlineStr">
        <is>
          <t>Operator action|NO</t>
        </is>
      </c>
      <c r="I526" s="16" t="inlineStr">
        <is>
          <t>Poor labelling and identification</t>
        </is>
      </c>
    </row>
    <row r="527">
      <c r="H527" s="16" t="inlineStr">
        <is>
          <t>Operator action|NO</t>
        </is>
      </c>
      <c r="I527" s="16" t="inlineStr">
        <is>
          <t>Workload, fatigue, shift handover</t>
        </is>
      </c>
    </row>
    <row r="528">
      <c r="H528" s="16" t="inlineStr">
        <is>
          <t>Operator action|NO</t>
        </is>
      </c>
      <c r="I528" s="16" t="inlineStr">
        <is>
          <t>Alarm overload; poor HMI design</t>
        </is>
      </c>
    </row>
    <row r="529">
      <c r="H529" s="16" t="inlineStr">
        <is>
          <t>Operator action|NO</t>
        </is>
      </c>
      <c r="I529" s="16" t="inlineStr">
        <is>
          <t>Inadequate training or competence</t>
        </is>
      </c>
    </row>
    <row r="530">
      <c r="H530" s="16" t="inlineStr">
        <is>
          <t>Simplicity|REVIEW</t>
        </is>
      </c>
      <c r="I530" s="16" t="inlineStr">
        <is>
          <t>Can we omit plant or simplify control?</t>
        </is>
      </c>
    </row>
    <row r="531">
      <c r="H531" s="16" t="inlineStr">
        <is>
          <t>Simplicity|REVIEW</t>
        </is>
      </c>
      <c r="I531" s="16" t="inlineStr">
        <is>
          <t>Too many interlocks or bypasses</t>
        </is>
      </c>
    </row>
    <row r="532">
      <c r="H532" s="16" t="inlineStr">
        <is>
          <t>Output – reliability and bottlenecks|REVIEW</t>
        </is>
      </c>
      <c r="I532" s="16" t="inlineStr">
        <is>
          <t>Least reliable components</t>
        </is>
      </c>
    </row>
    <row r="533">
      <c r="H533" s="16" t="inlineStr">
        <is>
          <t>Output – reliability and bottlenecks|REVIEW</t>
        </is>
      </c>
      <c r="I533" s="16" t="inlineStr">
        <is>
          <t>Most limiting components</t>
        </is>
      </c>
    </row>
    <row r="534">
      <c r="H534" s="16" t="inlineStr">
        <is>
          <t>Efficiency – losses|REVIEW</t>
        </is>
      </c>
      <c r="I534" s="16" t="inlineStr">
        <is>
          <t>Where will we lose material, conversion, yield or energy?</t>
        </is>
      </c>
    </row>
    <row r="535">
      <c r="H535" s="16" t="inlineStr">
        <is>
          <t>Construction|REVIEW</t>
        </is>
      </c>
      <c r="I535" s="16" t="inlineStr">
        <is>
          <t>Demolition</t>
        </is>
      </c>
    </row>
    <row r="536">
      <c r="H536" s="16" t="inlineStr">
        <is>
          <t>Construction|REVIEW</t>
        </is>
      </c>
      <c r="I536" s="16" t="inlineStr">
        <is>
          <t>Impacts on existing site, existing operations and environment</t>
        </is>
      </c>
    </row>
    <row r="537">
      <c r="H537" s="16" t="inlineStr">
        <is>
          <t>Construction|REVIEW</t>
        </is>
      </c>
      <c r="I537" s="16" t="inlineStr">
        <is>
          <t>Size of equipment</t>
        </is>
      </c>
    </row>
    <row r="538">
      <c r="H538" s="16" t="inlineStr">
        <is>
          <t>Construction|REVIEW</t>
        </is>
      </c>
      <c r="I538" s="16" t="inlineStr">
        <is>
          <t>Special hazards – chemicals / dangerous goods, to workers, structural</t>
        </is>
      </c>
    </row>
    <row r="539">
      <c r="H539" s="16" t="inlineStr">
        <is>
          <t>Construction|REVIEW</t>
        </is>
      </c>
      <c r="I539" s="16" t="inlineStr">
        <is>
          <t>Personal protective equipment</t>
        </is>
      </c>
    </row>
    <row r="540">
      <c r="H540" s="16" t="inlineStr">
        <is>
          <t>Commissioning|REVIEW</t>
        </is>
      </c>
      <c r="I540" s="16" t="inlineStr">
        <is>
          <t>Broadly how it will be done</t>
        </is>
      </c>
    </row>
    <row r="541">
      <c r="H541" s="16" t="inlineStr">
        <is>
          <t>Commissioning|REVIEW</t>
        </is>
      </c>
      <c r="I541" s="16" t="inlineStr">
        <is>
          <t>Sequence</t>
        </is>
      </c>
    </row>
    <row r="542">
      <c r="H542" s="16" t="inlineStr">
        <is>
          <t>Commissioning|REVIEW</t>
        </is>
      </c>
      <c r="I542" s="16" t="inlineStr">
        <is>
          <t>What difficulties and hazards can be foreseen</t>
        </is>
      </c>
    </row>
    <row r="543">
      <c r="H543" s="16" t="inlineStr">
        <is>
          <t>Commissioning|REVIEW</t>
        </is>
      </c>
      <c r="I543" s="16" t="inlineStr">
        <is>
          <t>Review of procedures</t>
        </is>
      </c>
    </row>
    <row r="544">
      <c r="H544" s="16" t="inlineStr">
        <is>
          <t>Commissioning|REVIEW</t>
        </is>
      </c>
      <c r="I544" s="16" t="inlineStr">
        <is>
          <t>Signage / tags / locks</t>
        </is>
      </c>
    </row>
    <row r="545">
      <c r="H545" s="16" t="inlineStr">
        <is>
          <t>Commissioning|REVIEW</t>
        </is>
      </c>
      <c r="I545" s="16" t="inlineStr">
        <is>
          <t>Responsibilities</t>
        </is>
      </c>
    </row>
    <row r="546">
      <c r="H546" s="16" t="inlineStr">
        <is>
          <t>Commissioning|REVIEW</t>
        </is>
      </c>
      <c r="I546" s="16" t="inlineStr">
        <is>
          <t>[S] Refractory dry-out and first heat</t>
        </is>
      </c>
    </row>
    <row r="547">
      <c r="H547" s="16" t="inlineStr">
        <is>
          <t>Start-up|REVIEW</t>
        </is>
      </c>
      <c r="I547" s="16" t="inlineStr">
        <is>
          <t>First start-up methods, difficulties, hazards</t>
        </is>
      </c>
    </row>
    <row r="548">
      <c r="H548" s="16" t="inlineStr">
        <is>
          <t>Start-up|REVIEW</t>
        </is>
      </c>
      <c r="I548" s="16" t="inlineStr">
        <is>
          <t>Routine start-up methods, difficulties, hazards</t>
        </is>
      </c>
    </row>
    <row r="549">
      <c r="H549" s="16" t="inlineStr">
        <is>
          <t>Start-up|REVIEW</t>
        </is>
      </c>
      <c r="I549" s="16" t="inlineStr">
        <is>
          <t>Philosophy of control (auto, manual, local)</t>
        </is>
      </c>
    </row>
    <row r="550">
      <c r="H550" s="16" t="inlineStr">
        <is>
          <t>Start-up|REVIEW</t>
        </is>
      </c>
      <c r="I550" s="16" t="inlineStr">
        <is>
          <t>Too many interlocks?</t>
        </is>
      </c>
    </row>
    <row r="551">
      <c r="H551" s="16" t="inlineStr">
        <is>
          <t>Start-up|REVIEW</t>
        </is>
      </c>
      <c r="I551" s="16" t="inlineStr">
        <is>
          <t>Procedures</t>
        </is>
      </c>
    </row>
    <row r="552">
      <c r="H552" s="16" t="inlineStr">
        <is>
          <t>Start-up|REVIEW</t>
        </is>
      </c>
      <c r="I552" s="16" t="inlineStr">
        <is>
          <t>Purging and gas-freeing before light-up</t>
        </is>
      </c>
    </row>
    <row r="553">
      <c r="H553" s="16" t="inlineStr">
        <is>
          <t>Shutdown (isolation, purging)|REVIEW</t>
        </is>
      </c>
      <c r="I553" s="16" t="inlineStr">
        <is>
          <t>Planned shutdown</t>
        </is>
      </c>
    </row>
    <row r="554">
      <c r="H554" s="16" t="inlineStr">
        <is>
          <t>Shutdown (isolation, purging)|REVIEW</t>
        </is>
      </c>
      <c r="I554" s="16" t="inlineStr">
        <is>
          <t>Emergency shutdown</t>
        </is>
      </c>
    </row>
    <row r="555">
      <c r="H555" s="16" t="inlineStr">
        <is>
          <t>Shutdown (isolation, purging)|REVIEW</t>
        </is>
      </c>
      <c r="I555" s="16" t="inlineStr">
        <is>
          <t>Difficulties, hazards</t>
        </is>
      </c>
    </row>
    <row r="556">
      <c r="H556" s="16" t="inlineStr">
        <is>
          <t>Shutdown (isolation, purging)|REVIEW</t>
        </is>
      </c>
      <c r="I556" s="16" t="inlineStr">
        <is>
          <t>[S] Holding molten metal during an extended stop; emptying furnaces and ladles</t>
        </is>
      </c>
    </row>
    <row r="557">
      <c r="H557" s="16" t="inlineStr">
        <is>
          <t>Breakdown (including service failure)|REVIEW</t>
        </is>
      </c>
      <c r="I557" s="16" t="inlineStr">
        <is>
          <t>Power failure</t>
        </is>
      </c>
    </row>
    <row r="558">
      <c r="H558" s="16" t="inlineStr">
        <is>
          <t>Breakdown (including service failure)|REVIEW</t>
        </is>
      </c>
      <c r="I558" s="16" t="inlineStr">
        <is>
          <t>Air, steam, water, vacuum, fuel</t>
        </is>
      </c>
    </row>
    <row r="559">
      <c r="H559" s="16" t="inlineStr">
        <is>
          <t>Breakdown (including service failure)|REVIEW</t>
        </is>
      </c>
      <c r="I559" s="16" t="inlineStr">
        <is>
          <t>Vents</t>
        </is>
      </c>
    </row>
    <row r="560">
      <c r="H560" s="16" t="inlineStr">
        <is>
          <t>Breakdown (including service failure)|REVIEW</t>
        </is>
      </c>
      <c r="I560" s="16" t="inlineStr">
        <is>
          <t>Computer</t>
        </is>
      </c>
    </row>
    <row r="561">
      <c r="H561" s="16" t="inlineStr">
        <is>
          <t>Breakdown (including service failure)|REVIEW</t>
        </is>
      </c>
      <c r="I561" s="16" t="inlineStr">
        <is>
          <t>Other</t>
        </is>
      </c>
    </row>
    <row r="562">
      <c r="H562" s="16" t="inlineStr">
        <is>
          <t>Breakdown (including service failure)|REVIEW</t>
        </is>
      </c>
      <c r="I562" s="16" t="inlineStr">
        <is>
          <t>Major causes of breakdown</t>
        </is>
      </c>
    </row>
    <row r="563">
      <c r="H563" s="16" t="inlineStr">
        <is>
          <t>Breakdown (including service failure)|REVIEW</t>
        </is>
      </c>
      <c r="I563" s="16" t="inlineStr">
        <is>
          <t>Emergency procedures and communications</t>
        </is>
      </c>
    </row>
    <row r="564">
      <c r="H564" s="16" t="inlineStr">
        <is>
          <t>Breakdown (including service failure)|REVIEW</t>
        </is>
      </c>
      <c r="I564" s="16" t="inlineStr">
        <is>
          <t>Which way should valves move (fail-safe positions)?</t>
        </is>
      </c>
    </row>
    <row r="565">
      <c r="H565" s="16" t="inlineStr">
        <is>
          <t>Materials|REVIEW</t>
        </is>
      </c>
      <c r="I565" s="16" t="inlineStr">
        <is>
          <t>Vessels</t>
        </is>
      </c>
    </row>
    <row r="566">
      <c r="H566" s="16" t="inlineStr">
        <is>
          <t>Materials|REVIEW</t>
        </is>
      </c>
      <c r="I566" s="16" t="inlineStr">
        <is>
          <t>Pipelines</t>
        </is>
      </c>
    </row>
    <row r="567">
      <c r="H567" s="16" t="inlineStr">
        <is>
          <t>Materials|REVIEW</t>
        </is>
      </c>
      <c r="I567" s="16" t="inlineStr">
        <is>
          <t>Pumps</t>
        </is>
      </c>
    </row>
    <row r="568">
      <c r="H568" s="16" t="inlineStr">
        <is>
          <t>Materials|REVIEW</t>
        </is>
      </c>
      <c r="I568" s="16" t="inlineStr">
        <is>
          <t>Valves</t>
        </is>
      </c>
    </row>
    <row r="569">
      <c r="H569" s="16" t="inlineStr">
        <is>
          <t>Materials|REVIEW</t>
        </is>
      </c>
      <c r="I569" s="16" t="inlineStr">
        <is>
          <t>Gaskets / seals</t>
        </is>
      </c>
    </row>
    <row r="570">
      <c r="H570" s="16" t="inlineStr">
        <is>
          <t>Materials|REVIEW</t>
        </is>
      </c>
      <c r="I570" s="16" t="inlineStr">
        <is>
          <t>Protective coatings</t>
        </is>
      </c>
    </row>
    <row r="571">
      <c r="H571" s="16" t="inlineStr">
        <is>
          <t>Materials|REVIEW</t>
        </is>
      </c>
      <c r="I571" s="16" t="inlineStr">
        <is>
          <t>Others (refractory, copper, hoses)</t>
        </is>
      </c>
    </row>
    <row r="572">
      <c r="H572" s="16" t="inlineStr">
        <is>
          <t>Utilities and services|REVIEW</t>
        </is>
      </c>
      <c r="I572" s="16" t="inlineStr">
        <is>
          <t>Lighting</t>
        </is>
      </c>
    </row>
    <row r="573">
      <c r="H573" s="16" t="inlineStr">
        <is>
          <t>Utilities and services|REVIEW</t>
        </is>
      </c>
      <c r="I573" s="16" t="inlineStr">
        <is>
          <t>Compressed air; instrument air</t>
        </is>
      </c>
    </row>
    <row r="574">
      <c r="H574" s="16" t="inlineStr">
        <is>
          <t>Utilities and services|REVIEW</t>
        </is>
      </c>
      <c r="I574" s="16" t="inlineStr">
        <is>
          <t>Nitrogen</t>
        </is>
      </c>
    </row>
    <row r="575">
      <c r="H575" s="16" t="inlineStr">
        <is>
          <t>Utilities and services|REVIEW</t>
        </is>
      </c>
      <c r="I575" s="16" t="inlineStr">
        <is>
          <t>Water (cooling, process, service, potable)</t>
        </is>
      </c>
    </row>
    <row r="576">
      <c r="H576" s="16" t="inlineStr">
        <is>
          <t>Utilities and services|REVIEW</t>
        </is>
      </c>
      <c r="I576" s="16" t="inlineStr">
        <is>
          <t>Steam</t>
        </is>
      </c>
    </row>
    <row r="577">
      <c r="H577" s="16" t="inlineStr">
        <is>
          <t>Utilities and services|REVIEW</t>
        </is>
      </c>
      <c r="I577" s="16" t="inlineStr">
        <is>
          <t>Power</t>
        </is>
      </c>
    </row>
    <row r="578">
      <c r="H578" s="16" t="inlineStr">
        <is>
          <t>Utilities and services|REVIEW</t>
        </is>
      </c>
      <c r="I578" s="16" t="inlineStr">
        <is>
          <t>Oxygen</t>
        </is>
      </c>
    </row>
    <row r="579">
      <c r="H579" s="16" t="inlineStr">
        <is>
          <t>Toxicity|REVIEW</t>
        </is>
      </c>
      <c r="I579" s="16" t="inlineStr">
        <is>
          <t>Material safety data sheets</t>
        </is>
      </c>
    </row>
    <row r="580">
      <c r="H580" s="16" t="inlineStr">
        <is>
          <t>Toxicity|REVIEW</t>
        </is>
      </c>
      <c r="I580" s="16" t="inlineStr">
        <is>
          <t>Handling procedures</t>
        </is>
      </c>
    </row>
    <row r="581">
      <c r="H581" s="16" t="inlineStr">
        <is>
          <t>Toxicity|REVIEW</t>
        </is>
      </c>
      <c r="I581" s="16" t="inlineStr">
        <is>
          <t>Precautions</t>
        </is>
      </c>
    </row>
    <row r="582">
      <c r="H582" s="16" t="inlineStr">
        <is>
          <t>Toxicity|REVIEW</t>
        </is>
      </c>
      <c r="I582" s="16" t="inlineStr">
        <is>
          <t>Exposure monitoring</t>
        </is>
      </c>
    </row>
    <row r="583">
      <c r="H583" s="16" t="inlineStr">
        <is>
          <t>Toxicity|REVIEW</t>
        </is>
      </c>
      <c r="I583" s="16" t="inlineStr">
        <is>
          <t>Emergency procedures</t>
        </is>
      </c>
    </row>
    <row r="584">
      <c r="H584" s="16" t="inlineStr">
        <is>
          <t>Toxicity|REVIEW</t>
        </is>
      </c>
      <c r="I584" s="16" t="inlineStr">
        <is>
          <t>Ventilation</t>
        </is>
      </c>
    </row>
    <row r="585">
      <c r="H585" s="16" t="inlineStr">
        <is>
          <t>Toxicity|REVIEW</t>
        </is>
      </c>
      <c r="I585" s="16" t="inlineStr">
        <is>
          <t>[S] CO, metal fume, silica, PAHs from coke and pitch</t>
        </is>
      </c>
    </row>
    <row r="586">
      <c r="H586" s="16" t="inlineStr">
        <is>
          <t>Fire and explosion|REVIEW</t>
        </is>
      </c>
      <c r="I586" s="16" t="inlineStr">
        <is>
          <t>Broad overview</t>
        </is>
      </c>
    </row>
    <row r="587">
      <c r="H587" s="16" t="inlineStr">
        <is>
          <t>Fire and explosion|REVIEW</t>
        </is>
      </c>
      <c r="I587" s="16" t="inlineStr">
        <is>
          <t>Protection, prevention, control</t>
        </is>
      </c>
    </row>
    <row r="588">
      <c r="H588" s="16" t="inlineStr">
        <is>
          <t>Fire and explosion|REVIEW</t>
        </is>
      </c>
      <c r="I588" s="16" t="inlineStr">
        <is>
          <t>Location of safety showers, deluges</t>
        </is>
      </c>
    </row>
    <row r="589">
      <c r="H589" s="16" t="inlineStr">
        <is>
          <t>Fire and explosion|REVIEW</t>
        </is>
      </c>
      <c r="I589" s="16" t="inlineStr">
        <is>
          <t>Location of shut-off valves and controls</t>
        </is>
      </c>
    </row>
    <row r="590">
      <c r="H590" s="16" t="inlineStr">
        <is>
          <t>Fire and explosion|REVIEW</t>
        </is>
      </c>
      <c r="I590" s="16" t="inlineStr">
        <is>
          <t>[S] Molten metal explosions, dust explosions, gas explosions, hydraulic oil fires</t>
        </is>
      </c>
    </row>
    <row r="591">
      <c r="H591" s="16" t="inlineStr">
        <is>
          <t>Environmental impact|REVIEW</t>
        </is>
      </c>
      <c r="I591" s="16" t="inlineStr">
        <is>
          <t>Vapour emissions</t>
        </is>
      </c>
    </row>
    <row r="592">
      <c r="H592" s="16" t="inlineStr">
        <is>
          <t>Environmental impact|REVIEW</t>
        </is>
      </c>
      <c r="I592" s="16" t="inlineStr">
        <is>
          <t>Dust emissions</t>
        </is>
      </c>
    </row>
    <row r="593">
      <c r="H593" s="16" t="inlineStr">
        <is>
          <t>Environmental impact|REVIEW</t>
        </is>
      </c>
      <c r="I593" s="16" t="inlineStr">
        <is>
          <t>Effluent</t>
        </is>
      </c>
    </row>
    <row r="594">
      <c r="H594" s="16" t="inlineStr">
        <is>
          <t>Environmental impact|REVIEW</t>
        </is>
      </c>
      <c r="I594" s="16" t="inlineStr">
        <is>
          <t>Noise</t>
        </is>
      </c>
    </row>
    <row r="595">
      <c r="H595" s="16" t="inlineStr">
        <is>
          <t>Environmental impact|REVIEW</t>
        </is>
      </c>
      <c r="I595" s="16" t="inlineStr">
        <is>
          <t>Ground seepage</t>
        </is>
      </c>
    </row>
    <row r="596">
      <c r="H596" s="16" t="inlineStr">
        <is>
          <t>Environmental impact|REVIEW</t>
        </is>
      </c>
      <c r="I596" s="16" t="inlineStr">
        <is>
          <t>Waste minimisation</t>
        </is>
      </c>
    </row>
    <row r="597">
      <c r="H597" s="16" t="inlineStr">
        <is>
          <t>Environmental impact|REVIEW</t>
        </is>
      </c>
      <c r="I597" s="16" t="inlineStr">
        <is>
          <t>[S] Slag, mill scale, sludge, EAF dust disposal</t>
        </is>
      </c>
    </row>
    <row r="598">
      <c r="H598" s="16" t="inlineStr">
        <is>
          <t>Natural hazards|REVIEW</t>
        </is>
      </c>
      <c r="I598" s="16" t="inlineStr">
        <is>
          <t>Earthquake</t>
        </is>
      </c>
    </row>
    <row r="599">
      <c r="H599" s="16" t="inlineStr">
        <is>
          <t>Natural hazards|REVIEW</t>
        </is>
      </c>
      <c r="I599" s="16" t="inlineStr">
        <is>
          <t>Flooding</t>
        </is>
      </c>
    </row>
    <row r="600">
      <c r="H600" s="16" t="inlineStr">
        <is>
          <t>Natural hazards|REVIEW</t>
        </is>
      </c>
      <c r="I600" s="16" t="inlineStr">
        <is>
          <t>Thunderstorm (lightning protection)</t>
        </is>
      </c>
    </row>
    <row r="601">
      <c r="H601" s="16" t="inlineStr">
        <is>
          <t>Natural hazards|REVIEW</t>
        </is>
      </c>
      <c r="I601" s="16" t="inlineStr">
        <is>
          <t>High winds</t>
        </is>
      </c>
    </row>
    <row r="602">
      <c r="H602" s="16" t="inlineStr">
        <is>
          <t>Natural hazards|REVIEW</t>
        </is>
      </c>
      <c r="I602" s="16" t="inlineStr">
        <is>
          <t>Sandstorms; extreme heat</t>
        </is>
      </c>
    </row>
    <row r="603">
      <c r="H603" s="16" t="inlineStr">
        <is>
          <t>Quality and consistency|REVIEW</t>
        </is>
      </c>
      <c r="I603" s="16" t="inlineStr">
        <is>
          <t>What will most cause quality to fail or vary?</t>
        </is>
      </c>
    </row>
    <row r="604">
      <c r="H604" s="16" t="inlineStr">
        <is>
          <t>Quality and consistency|REVIEW</t>
        </is>
      </c>
      <c r="I604" s="16" t="inlineStr">
        <is>
          <t>How to prevent it</t>
        </is>
      </c>
    </row>
    <row r="605">
      <c r="H605" s="16" t="inlineStr">
        <is>
          <t>Procedures – development and documentation|REVIEW</t>
        </is>
      </c>
      <c r="I605" s="16" t="inlineStr">
        <is>
          <t>Operations</t>
        </is>
      </c>
    </row>
    <row r="606">
      <c r="H606" s="16" t="inlineStr">
        <is>
          <t>Procedures – development and documentation|REVIEW</t>
        </is>
      </c>
      <c r="I606" s="16" t="inlineStr">
        <is>
          <t>Maintenance</t>
        </is>
      </c>
    </row>
    <row r="607">
      <c r="H607" s="16" t="inlineStr">
        <is>
          <t>Procedures – development and documentation|REVIEW</t>
        </is>
      </c>
      <c r="I607" s="16" t="inlineStr">
        <is>
          <t>Confined space</t>
        </is>
      </c>
    </row>
    <row r="608">
      <c r="H608" s="16" t="inlineStr">
        <is>
          <t>Procedures – development and documentation|REVIEW</t>
        </is>
      </c>
      <c r="I608" s="16" t="inlineStr">
        <is>
          <t>Inspection and testing</t>
        </is>
      </c>
    </row>
    <row r="609">
      <c r="H609" s="16" t="inlineStr">
        <is>
          <t>Procedures – development and documentation|REVIEW</t>
        </is>
      </c>
      <c r="I609" s="16" t="inlineStr">
        <is>
          <t>Emergency</t>
        </is>
      </c>
    </row>
    <row r="610">
      <c r="H610" s="16" t="inlineStr">
        <is>
          <t>Procedures – development and documentation|REVIEW</t>
        </is>
      </c>
      <c r="I610" s="16" t="inlineStr">
        <is>
          <t>Engineering drawings</t>
        </is>
      </c>
    </row>
    <row r="611">
      <c r="H611" s="16" t="inlineStr">
        <is>
          <t>Safety equipment|REVIEW</t>
        </is>
      </c>
      <c r="I611" s="16" t="inlineStr">
        <is>
          <t>Personal protective equipment (PPE)</t>
        </is>
      </c>
    </row>
    <row r="612">
      <c r="H612" s="16" t="inlineStr">
        <is>
          <t>Safety equipment|REVIEW</t>
        </is>
      </c>
      <c r="I612" s="16" t="inlineStr">
        <is>
          <t>Fire detection</t>
        </is>
      </c>
    </row>
    <row r="613">
      <c r="H613" s="16" t="inlineStr">
        <is>
          <t>Safety equipment|REVIEW</t>
        </is>
      </c>
      <c r="I613" s="16" t="inlineStr">
        <is>
          <t>Fire fighting</t>
        </is>
      </c>
    </row>
    <row r="614">
      <c r="H614" s="16" t="inlineStr">
        <is>
          <t>Safety equipment|REVIEW</t>
        </is>
      </c>
      <c r="I614" s="16" t="inlineStr">
        <is>
          <t>Means of escape</t>
        </is>
      </c>
    </row>
    <row r="615">
      <c r="H615" s="16" t="inlineStr">
        <is>
          <t>Safety equipment|REVIEW</t>
        </is>
      </c>
      <c r="I615" s="16" t="inlineStr">
        <is>
          <t>Gas monitors</t>
        </is>
      </c>
    </row>
    <row r="616">
      <c r="H616" s="16" t="inlineStr">
        <is>
          <t>Safety equipment|REVIEW</t>
        </is>
      </c>
      <c r="I616" s="16" t="inlineStr">
        <is>
          <t>Breathing apparatus</t>
        </is>
      </c>
    </row>
    <row r="617">
      <c r="H617" s="16" t="inlineStr">
        <is>
          <t>Safety equipment|REVIEW</t>
        </is>
      </c>
      <c r="I617" s="16" t="inlineStr">
        <is>
          <t>Safety shower</t>
        </is>
      </c>
    </row>
    <row r="618">
      <c r="H618" s="16" t="inlineStr">
        <is>
          <t>Safety equipment|REVIEW</t>
        </is>
      </c>
      <c r="I618" s="16" t="inlineStr">
        <is>
          <t>Barriers / guards</t>
        </is>
      </c>
    </row>
    <row r="619">
      <c r="H619" s="16" t="inlineStr">
        <is>
          <t>Safety equipment|REVIEW</t>
        </is>
      </c>
      <c r="I619" s="16" t="inlineStr">
        <is>
          <t>[S] Heat-protective clothing; molten-metal splash protection</t>
        </is>
      </c>
    </row>
    <row r="620">
      <c r="H620" s="16" t="inlineStr">
        <is>
          <t>Egress / access|REVIEW</t>
        </is>
      </c>
      <c r="I620" s="16" t="inlineStr">
        <is>
          <t>Number of exit points</t>
        </is>
      </c>
    </row>
    <row r="621">
      <c r="H621" s="16" t="inlineStr">
        <is>
          <t>Egress / access|REVIEW</t>
        </is>
      </c>
      <c r="I621" s="16" t="inlineStr">
        <is>
          <t>Emergency egress</t>
        </is>
      </c>
    </row>
    <row r="622">
      <c r="H622" s="16" t="inlineStr">
        <is>
          <t>Egress / access|REVIEW</t>
        </is>
      </c>
      <c r="I622" s="16" t="inlineStr">
        <is>
          <t>Size – width, height, length</t>
        </is>
      </c>
    </row>
    <row r="623">
      <c r="H623" s="16" t="inlineStr">
        <is>
          <t>Egress / access|REVIEW</t>
        </is>
      </c>
      <c r="I623" s="16" t="inlineStr">
        <is>
          <t>Obstructions</t>
        </is>
      </c>
    </row>
    <row r="624">
      <c r="H624" s="16" t="inlineStr">
        <is>
          <t>Egress / access|REVIEW</t>
        </is>
      </c>
      <c r="I624" s="16" t="inlineStr">
        <is>
          <t>Lighting</t>
        </is>
      </c>
    </row>
    <row r="625">
      <c r="H625" s="16" t="inlineStr">
        <is>
          <t>Egress / access|REVIEW</t>
        </is>
      </c>
      <c r="I625" s="16" t="inlineStr">
        <is>
          <t>Fire protection</t>
        </is>
      </c>
    </row>
    <row r="626">
      <c r="H626" s="16" t="inlineStr">
        <is>
          <t>Entry / exit points|REVIEW</t>
        </is>
      </c>
      <c r="I626" s="16" t="inlineStr">
        <is>
          <t>Location</t>
        </is>
      </c>
    </row>
    <row r="627">
      <c r="H627" s="16" t="inlineStr">
        <is>
          <t>Entry / exit points|REVIEW</t>
        </is>
      </c>
      <c r="I627" s="16" t="inlineStr">
        <is>
          <t>Arrangement</t>
        </is>
      </c>
    </row>
    <row r="628">
      <c r="H628" s="16" t="inlineStr">
        <is>
          <t>Entry / exit points|REVIEW</t>
        </is>
      </c>
      <c r="I628" s="16" t="inlineStr">
        <is>
          <t>Communications</t>
        </is>
      </c>
    </row>
    <row r="629">
      <c r="H629" s="16" t="inlineStr">
        <is>
          <t>Entry / exit points|REVIEW</t>
        </is>
      </c>
      <c r="I629" s="16" t="inlineStr">
        <is>
          <t>External impacts</t>
        </is>
      </c>
    </row>
    <row r="630">
      <c r="H630" s="16" t="inlineStr">
        <is>
          <t>Layout and facility siting|REVIEW</t>
        </is>
      </c>
      <c r="I630" s="16" t="inlineStr">
        <is>
          <t>Spacing between hazardous units</t>
        </is>
      </c>
    </row>
    <row r="631">
      <c r="H631" s="16" t="inlineStr">
        <is>
          <t>Layout and facility siting|REVIEW</t>
        </is>
      </c>
      <c r="I631" s="16" t="inlineStr">
        <is>
          <t>Occupied buildings near hazards</t>
        </is>
      </c>
    </row>
    <row r="632">
      <c r="H632" s="16" t="inlineStr">
        <is>
          <t>Layout and facility siting|REVIEW</t>
        </is>
      </c>
      <c r="I632" s="16" t="inlineStr">
        <is>
          <t>Vehicle routes near molten metal or gas mains</t>
        </is>
      </c>
    </row>
    <row r="633">
      <c r="H633" s="16" t="inlineStr">
        <is>
          <t>Layout and facility siting|REVIEW</t>
        </is>
      </c>
      <c r="I633" s="16" t="inlineStr">
        <is>
          <t>Simultaneous operations (SIMOPS)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G32"/>
  <sheetViews>
    <sheetView workbookViewId="0">
      <selection activeCell="A1" sqref="A1"/>
    </sheetView>
  </sheetViews>
  <sheetFormatPr baseColWidth="8" defaultRowHeight="15"/>
  <cols>
    <col width="14" customWidth="1" min="1" max="1"/>
    <col width="26" customWidth="1" min="2" max="2"/>
    <col width="18" customWidth="1" min="3" max="3"/>
    <col width="18" customWidth="1" min="4" max="4"/>
    <col width="18" customWidth="1" min="5" max="5"/>
    <col width="18" customWidth="1" min="6" max="6"/>
    <col width="18" customWidth="1" min="7" max="7"/>
  </cols>
  <sheetData>
    <row r="1">
      <c r="A1" s="1" t="inlineStr">
        <is>
          <t>RISK MATRIX (5 x 5)</t>
        </is>
      </c>
    </row>
    <row r="2">
      <c r="A2" s="2" t="inlineStr">
        <is>
          <t>Risk score = value in the matrix cell for Severity (row) x Likelihood (column). Default scores are S x L (1–25); overwrite the yellow cells to use your company's matrix.</t>
        </is>
      </c>
    </row>
    <row r="3">
      <c r="C3" s="17" t="inlineStr">
        <is>
          <t>LIKELIHOOD →</t>
        </is>
      </c>
    </row>
    <row r="4">
      <c r="B4" s="8" t="inlineStr">
        <is>
          <t>Severity \ Likelihood</t>
        </is>
      </c>
      <c r="C4" s="8" t="inlineStr">
        <is>
          <t>1 – Rare</t>
        </is>
      </c>
      <c r="D4" s="8" t="inlineStr">
        <is>
          <t>2 – Unlikely</t>
        </is>
      </c>
      <c r="E4" s="8" t="inlineStr">
        <is>
          <t>3 – Possible</t>
        </is>
      </c>
      <c r="F4" s="8" t="inlineStr">
        <is>
          <t>4 – Likely</t>
        </is>
      </c>
      <c r="G4" s="8" t="inlineStr">
        <is>
          <t>5 – Almost certain</t>
        </is>
      </c>
    </row>
    <row r="5" ht="28" customHeight="1">
      <c r="A5" s="17" t="inlineStr">
        <is>
          <t>SEVERITY ↓</t>
        </is>
      </c>
      <c r="B5" s="8" t="inlineStr">
        <is>
          <t>5 – Catastrophic</t>
        </is>
      </c>
      <c r="C5" s="18" t="n">
        <v>5</v>
      </c>
      <c r="D5" s="18" t="n">
        <v>10</v>
      </c>
      <c r="E5" s="18" t="n">
        <v>15</v>
      </c>
      <c r="F5" s="18" t="n">
        <v>20</v>
      </c>
      <c r="G5" s="18" t="n">
        <v>25</v>
      </c>
    </row>
    <row r="6" ht="28" customHeight="1">
      <c r="B6" s="8" t="inlineStr">
        <is>
          <t>4 – Major</t>
        </is>
      </c>
      <c r="C6" s="18" t="n">
        <v>4</v>
      </c>
      <c r="D6" s="18" t="n">
        <v>8</v>
      </c>
      <c r="E6" s="18" t="n">
        <v>12</v>
      </c>
      <c r="F6" s="18" t="n">
        <v>16</v>
      </c>
      <c r="G6" s="18" t="n">
        <v>20</v>
      </c>
    </row>
    <row r="7" ht="28" customHeight="1">
      <c r="B7" s="8" t="inlineStr">
        <is>
          <t>3 – Moderate</t>
        </is>
      </c>
      <c r="C7" s="18" t="n">
        <v>3</v>
      </c>
      <c r="D7" s="18" t="n">
        <v>6</v>
      </c>
      <c r="E7" s="18" t="n">
        <v>9</v>
      </c>
      <c r="F7" s="18" t="n">
        <v>12</v>
      </c>
      <c r="G7" s="18" t="n">
        <v>15</v>
      </c>
    </row>
    <row r="8" ht="28" customHeight="1">
      <c r="B8" s="8" t="inlineStr">
        <is>
          <t>2 – Minor</t>
        </is>
      </c>
      <c r="C8" s="18" t="n">
        <v>2</v>
      </c>
      <c r="D8" s="18" t="n">
        <v>4</v>
      </c>
      <c r="E8" s="18" t="n">
        <v>6</v>
      </c>
      <c r="F8" s="18" t="n">
        <v>8</v>
      </c>
      <c r="G8" s="18" t="n">
        <v>10</v>
      </c>
    </row>
    <row r="9" ht="28" customHeight="1">
      <c r="B9" s="8" t="inlineStr">
        <is>
          <t>1 – Negligible</t>
        </is>
      </c>
      <c r="C9" s="18" t="n">
        <v>1</v>
      </c>
      <c r="D9" s="18" t="n">
        <v>2</v>
      </c>
      <c r="E9" s="18" t="n">
        <v>3</v>
      </c>
      <c r="F9" s="18" t="n">
        <v>4</v>
      </c>
      <c r="G9" s="18" t="n">
        <v>5</v>
      </c>
    </row>
    <row r="11">
      <c r="B11" s="4" t="inlineStr">
        <is>
          <t>Risk bands (minimum score):</t>
        </is>
      </c>
    </row>
    <row r="12">
      <c r="B12" s="19" t="inlineStr">
        <is>
          <t>Low</t>
        </is>
      </c>
      <c r="C12" s="20" t="n">
        <v>1</v>
      </c>
      <c r="D12" s="13" t="inlineStr">
        <is>
          <t>Tolerable – manage by procedures</t>
        </is>
      </c>
      <c r="E12" s="9" t="n"/>
      <c r="F12" s="9" t="n"/>
      <c r="G12" s="10" t="n"/>
    </row>
    <row r="13">
      <c r="B13" s="21" t="inlineStr">
        <is>
          <t>Medium</t>
        </is>
      </c>
      <c r="C13" s="20" t="n">
        <v>5</v>
      </c>
      <c r="D13" s="13" t="inlineStr">
        <is>
          <t>Tolerable if ALARP – review safeguards</t>
        </is>
      </c>
      <c r="E13" s="9" t="n"/>
      <c r="F13" s="9" t="n"/>
      <c r="G13" s="10" t="n"/>
    </row>
    <row r="14">
      <c r="B14" s="22" t="inlineStr">
        <is>
          <t>High</t>
        </is>
      </c>
      <c r="C14" s="20" t="n">
        <v>10</v>
      </c>
      <c r="D14" s="13" t="inlineStr">
        <is>
          <t>Recommendation required to reduce risk</t>
        </is>
      </c>
      <c r="E14" s="9" t="n"/>
      <c r="F14" s="9" t="n"/>
      <c r="G14" s="10" t="n"/>
    </row>
    <row r="15">
      <c r="B15" s="23" t="inlineStr">
        <is>
          <t>Very High</t>
        </is>
      </c>
      <c r="C15" s="20" t="n">
        <v>20</v>
      </c>
      <c r="D15" s="13" t="inlineStr">
        <is>
          <t>Intolerable – mandatory risk reduction</t>
        </is>
      </c>
      <c r="E15" s="9" t="n"/>
      <c r="F15" s="9" t="n"/>
      <c r="G15" s="10" t="n"/>
    </row>
    <row r="18">
      <c r="B18" s="8" t="inlineStr">
        <is>
          <t>Severity level</t>
        </is>
      </c>
      <c r="C18" s="8" t="inlineStr">
        <is>
          <t>People</t>
        </is>
      </c>
      <c r="D18" s="8" t="inlineStr">
        <is>
          <t>Environment</t>
        </is>
      </c>
      <c r="E18" s="8" t="inlineStr">
        <is>
          <t>Asset / production</t>
        </is>
      </c>
      <c r="F18" s="9" t="n"/>
      <c r="G18" s="10" t="n"/>
    </row>
    <row r="19" ht="30" customHeight="1">
      <c r="B19" s="11" t="inlineStr">
        <is>
          <t>1 – Negligible</t>
        </is>
      </c>
      <c r="C19" s="13" t="inlineStr">
        <is>
          <t>First aid case; no lost time</t>
        </is>
      </c>
      <c r="D19" s="13" t="inlineStr">
        <is>
          <t>Minor release contained on site; no impact</t>
        </is>
      </c>
      <c r="E19" s="13" t="inlineStr">
        <is>
          <t>Negligible damage / production loss</t>
        </is>
      </c>
      <c r="F19" s="9" t="n"/>
      <c r="G19" s="10" t="n"/>
    </row>
    <row r="20" ht="30" customHeight="1">
      <c r="B20" s="11" t="inlineStr">
        <is>
          <t>2 – Minor</t>
        </is>
      </c>
      <c r="C20" s="13" t="inlineStr">
        <is>
          <t>Medical treatment case / restricted work</t>
        </is>
      </c>
      <c r="D20" s="13" t="inlineStr">
        <is>
          <t>Reportable release, contained on site, short-term impact</t>
        </is>
      </c>
      <c r="E20" s="13" t="inlineStr">
        <is>
          <t>Minor damage; short production loss</t>
        </is>
      </c>
      <c r="F20" s="9" t="n"/>
      <c r="G20" s="10" t="n"/>
    </row>
    <row r="21" ht="30" customHeight="1">
      <c r="B21" s="11" t="inlineStr">
        <is>
          <t>3 – Moderate</t>
        </is>
      </c>
      <c r="C21" s="13" t="inlineStr">
        <is>
          <t>Lost-time injury; reversible health effect</t>
        </is>
      </c>
      <c r="D21" s="13" t="inlineStr">
        <is>
          <t>Off-site release with short-term impact</t>
        </is>
      </c>
      <c r="E21" s="13" t="inlineStr">
        <is>
          <t>Significant damage; production loss of days</t>
        </is>
      </c>
      <c r="F21" s="9" t="n"/>
      <c r="G21" s="10" t="n"/>
    </row>
    <row r="22" ht="30" customHeight="1">
      <c r="B22" s="11" t="inlineStr">
        <is>
          <t>4 – Major</t>
        </is>
      </c>
      <c r="C22" s="13" t="inlineStr">
        <is>
          <t>Single fatality or permanent disability</t>
        </is>
      </c>
      <c r="D22" s="13" t="inlineStr">
        <is>
          <t>Off-site release with significant medium-term impact</t>
        </is>
      </c>
      <c r="E22" s="13" t="inlineStr">
        <is>
          <t>Major damage; extended production loss</t>
        </is>
      </c>
      <c r="F22" s="9" t="n"/>
      <c r="G22" s="10" t="n"/>
    </row>
    <row r="23" ht="30" customHeight="1">
      <c r="B23" s="11" t="inlineStr">
        <is>
          <t>5 – Catastrophic</t>
        </is>
      </c>
      <c r="C23" s="13" t="inlineStr">
        <is>
          <t>Multiple fatalities; off-site injuries</t>
        </is>
      </c>
      <c r="D23" s="13" t="inlineStr">
        <is>
          <t>Major off-site release; long-term environmental damage</t>
        </is>
      </c>
      <c r="E23" s="13" t="inlineStr">
        <is>
          <t>Loss of unit / plant; extended outage</t>
        </is>
      </c>
      <c r="F23" s="9" t="n"/>
      <c r="G23" s="10" t="n"/>
    </row>
    <row r="25">
      <c r="B25" s="8" t="inlineStr">
        <is>
          <t>Likelihood level</t>
        </is>
      </c>
      <c r="C25" s="8" t="inlineStr">
        <is>
          <t>Description</t>
        </is>
      </c>
      <c r="D25" s="9" t="n"/>
      <c r="E25" s="9" t="n"/>
      <c r="F25" s="9" t="n"/>
      <c r="G25" s="10" t="n"/>
    </row>
    <row r="26">
      <c r="B26" s="11" t="inlineStr">
        <is>
          <t>1 – Rare</t>
        </is>
      </c>
      <c r="C26" s="13" t="inlineStr">
        <is>
          <t>Not expected to occur in the life of the facility (&lt; 1 in 10 000 years)</t>
        </is>
      </c>
      <c r="D26" s="9" t="n"/>
      <c r="E26" s="9" t="n"/>
      <c r="F26" s="9" t="n"/>
      <c r="G26" s="10" t="n"/>
    </row>
    <row r="27">
      <c r="B27" s="11" t="inlineStr">
        <is>
          <t>2 – Unlikely</t>
        </is>
      </c>
      <c r="C27" s="13" t="inlineStr">
        <is>
          <t>Has occurred in the industry; not expected here (1 in 1 000 – 10 000 years)</t>
        </is>
      </c>
      <c r="D27" s="9" t="n"/>
      <c r="E27" s="9" t="n"/>
      <c r="F27" s="9" t="n"/>
      <c r="G27" s="10" t="n"/>
    </row>
    <row r="28">
      <c r="B28" s="11" t="inlineStr">
        <is>
          <t>3 – Possible</t>
        </is>
      </c>
      <c r="C28" s="13" t="inlineStr">
        <is>
          <t>Could occur in the life of the facility (1 in 100 – 1 000 years)</t>
        </is>
      </c>
      <c r="D28" s="9" t="n"/>
      <c r="E28" s="9" t="n"/>
      <c r="F28" s="9" t="n"/>
      <c r="G28" s="10" t="n"/>
    </row>
    <row r="29">
      <c r="B29" s="11" t="inlineStr">
        <is>
          <t>4 – Likely</t>
        </is>
      </c>
      <c r="C29" s="13" t="inlineStr">
        <is>
          <t>Expected to occur several times in the life of the facility (1 in 10 – 100 years)</t>
        </is>
      </c>
      <c r="D29" s="9" t="n"/>
      <c r="E29" s="9" t="n"/>
      <c r="F29" s="9" t="n"/>
      <c r="G29" s="10" t="n"/>
    </row>
    <row r="30">
      <c r="B30" s="11" t="inlineStr">
        <is>
          <t>5 – Almost certain</t>
        </is>
      </c>
      <c r="C30" s="13" t="inlineStr">
        <is>
          <t>Expected to occur within the year (&gt; 1 in 10 years)</t>
        </is>
      </c>
      <c r="D30" s="9" t="n"/>
      <c r="E30" s="9" t="n"/>
      <c r="F30" s="9" t="n"/>
      <c r="G30" s="10" t="n"/>
    </row>
    <row r="32">
      <c r="B32" s="24" t="inlineStr">
        <is>
          <t>Descriptors and frequencies are typical examples – replace with the client's approved risk matrix before the study.</t>
        </is>
      </c>
    </row>
  </sheetData>
  <mergeCells count="18">
    <mergeCell ref="C29:G29"/>
    <mergeCell ref="C30:G30"/>
    <mergeCell ref="E19:G19"/>
    <mergeCell ref="E22:G22"/>
    <mergeCell ref="A5:A9"/>
    <mergeCell ref="D12:G12"/>
    <mergeCell ref="E23:G23"/>
    <mergeCell ref="C25:G25"/>
    <mergeCell ref="C28:G28"/>
    <mergeCell ref="C27:G27"/>
    <mergeCell ref="E18:G18"/>
    <mergeCell ref="D15:G15"/>
    <mergeCell ref="E20:G20"/>
    <mergeCell ref="D13:G13"/>
    <mergeCell ref="E21:G21"/>
    <mergeCell ref="D14:G14"/>
    <mergeCell ref="C3:G3"/>
    <mergeCell ref="C26:G26"/>
  </mergeCells>
  <conditionalFormatting sqref="C5:G9">
    <cfRule type="expression" priority="1" dxfId="0" stopIfTrue="1">
      <formula>C5&gt;=BandVH</formula>
    </cfRule>
    <cfRule type="expression" priority="2" dxfId="1" stopIfTrue="1">
      <formula>C5&gt;=BandHigh</formula>
    </cfRule>
    <cfRule type="expression" priority="3" dxfId="2" stopIfTrue="1">
      <formula>C5&gt;=BandMed</formula>
    </cfRule>
    <cfRule type="expression" priority="4" dxfId="3" stopIfTrue="1">
      <formula>C5&gt;=1</formula>
    </cfRule>
  </conditionalFormatting>
  <pageMargins left="0.75" right="0.75" top="1" bottom="1" header="0.5" footer="0.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S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N01 – Hot DRI transfer conveyor – shaft discharge to EAF charging bin</t>
        </is>
      </c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120" customHeight="1">
      <c r="A14" s="31">
        <f>IF(B14="","",COUNTIF(B$14:B14,"?*"))</f>
        <v/>
      </c>
      <c r="B14" s="5" t="inlineStr">
        <is>
          <t>Flow</t>
        </is>
      </c>
      <c r="C14" s="20" t="inlineStr">
        <is>
          <t>NO</t>
        </is>
      </c>
      <c r="D14" s="6">
        <f>IF(OR(B14="",C14=""),"",UPPER(LEFT(C14,1))&amp;LOWER(MID(C14,2,30))&amp;" "&amp;LOWER(LEFT(B14,1))&amp;MID(B14,2,200))</f>
        <v/>
      </c>
      <c r="E14" s="5" t="inlineStr">
        <is>
          <t>• [S] Conveyor, feeder or vibratory feeder stopped (belt tear, drive trip, chute blockage)
• Power failure; instrument air failure (valves go to fail position)
• Pull-cord or belt-drift trip; EAF charging bin full / downstream blockage</t>
        </is>
      </c>
      <c r="F14" s="5" t="inlineStr">
        <is>
          <t>Conveyor stops under load: hot DRI stationary on the belt self-heats and re-oxidises; smouldering and belt fire; CO generation; fire may spread through the gallery to the transfer tower / DRI silo – potential fatality and extended outage</t>
        </is>
      </c>
      <c r="G14" s="20" t="inlineStr">
        <is>
          <t>5 – Catastrophic</t>
        </is>
      </c>
      <c r="H14" s="20" t="inlineStr">
        <is>
          <t>4 – Likely</t>
        </is>
      </c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inlineStr">
        <is>
          <t>• Restart / emergency discharge of hot DRI within safe time (procedure + discharge chute)  [Non-IPL]
• XS-210 N2 fire detection &amp; inerting / extinguishing system – auto-initiated on stoppage under load or fire  [IPL]
• Manual fire fighting (hydrants / monitors) by the emergency response team  [Non-IPL]
• Fire separation of the conveyor gallery (fire breaks / dampers)  [IPL]</t>
        </is>
      </c>
      <c r="L14" s="31">
        <f>IF(K14="","",(LEN(K14)-LEN(SUBSTITUTE(K14,"[IPL]","")))/5)</f>
        <v/>
      </c>
      <c r="M14" s="20" t="inlineStr">
        <is>
          <t>5 – Catastrophic</t>
        </is>
      </c>
      <c r="N14" s="20" t="inlineStr">
        <is>
          <t>2 – Unlikely</t>
        </is>
      </c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inlineStr">
        <is>
          <t>1. Quantify the PFDavg of the N2 system XS-210 by fault tree and the fire escalation by event tree (HAZOP app R-001).
2. Make the emergency discharge chute operable without power (or drive control on UPS).
3. Review fire separation of the gallery to the transfer tower / DRI silo.</t>
        </is>
      </c>
      <c r="R14" s="5" t="inlineStr">
        <is>
          <t>Fire protection engineer / Process engineer</t>
        </is>
      </c>
      <c r="S14" s="32" t="inlineStr">
        <is>
          <t>◂ Example row – delete before use</t>
        </is>
      </c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inlineStr">
        <is>
          <t>N02 – N2 fire detection, inerting &amp; extinguishing system for the conveyor</t>
        </is>
      </c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8.xml><?xml version="1.0" encoding="utf-8"?>
<worksheet xmlns="http://schemas.openxmlformats.org/spreadsheetml/2006/main">
  <sheetPr codeName="Sheet8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9.xml><?xml version="1.0" encoding="utf-8"?>
<worksheet xmlns="http://schemas.openxmlformats.org/spreadsheetml/2006/main">
  <sheetPr codeName="Sheet9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0.xml><?xml version="1.0" encoding="utf-8"?>
<worksheet xmlns="http://schemas.openxmlformats.org/spreadsheetml/2006/main">
  <sheetPr codeName="Sheet10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1.xml><?xml version="1.0" encoding="utf-8"?>
<worksheet xmlns="http://schemas.openxmlformats.org/spreadsheetml/2006/main">
  <sheetPr codeName="Sheet11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2.xml><?xml version="1.0" encoding="utf-8"?>
<worksheet xmlns="http://schemas.openxmlformats.org/spreadsheetml/2006/main">
  <sheetPr codeName="Sheet12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3.xml><?xml version="1.0" encoding="utf-8"?>
<worksheet xmlns="http://schemas.openxmlformats.org/spreadsheetml/2006/main">
  <sheetPr codeName="Sheet13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4.xml><?xml version="1.0" encoding="utf-8"?>
<worksheet xmlns="http://schemas.openxmlformats.org/spreadsheetml/2006/main">
  <sheetPr codeName="Sheet14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xl/worksheets/sheet15.xml><?xml version="1.0" encoding="utf-8"?>
<worksheet xmlns="http://schemas.openxmlformats.org/spreadsheetml/2006/main">
  <sheetPr codeName="Sheet15">
    <outlinePr summaryBelow="1" summaryRight="1"/>
    <pageSetUpPr fitToPage="1"/>
  </sheetPr>
  <dimension ref="A1:R163"/>
  <sheetViews>
    <sheetView workbookViewId="0">
      <pane xSplit="4" ySplit="13" topLeftCell="E1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" customWidth="1" min="1" max="1"/>
    <col width="22" customWidth="1" min="2" max="2"/>
    <col width="13" customWidth="1" min="3" max="3"/>
    <col width="24" customWidth="1" min="4" max="4"/>
    <col width="55" customWidth="1" min="5" max="5"/>
    <col width="42" customWidth="1" min="6" max="6"/>
    <col width="13" customWidth="1" min="7" max="7"/>
    <col width="13" customWidth="1" min="8" max="8"/>
    <col width="7" customWidth="1" min="9" max="9"/>
    <col width="10" customWidth="1" min="10" max="10"/>
    <col width="55" customWidth="1" min="11" max="11"/>
    <col width="7" customWidth="1" min="12" max="12"/>
    <col width="13" customWidth="1" min="13" max="13"/>
    <col width="13" customWidth="1" min="14" max="14"/>
    <col width="7" customWidth="1" min="15" max="15"/>
    <col width="10" customWidth="1" min="16" max="16"/>
    <col width="36" customWidth="1" min="17" max="17"/>
    <col width="14" customWidth="1" min="18" max="18"/>
  </cols>
  <sheetData>
    <row r="1">
      <c r="A1" s="25" t="inlineStr">
        <is>
          <t>HAZOP WORKSHEET</t>
        </is>
      </c>
      <c r="E1" s="26">
        <f>Cover!B7</f>
        <v/>
      </c>
    </row>
    <row r="3">
      <c r="A3" s="27" t="inlineStr">
        <is>
          <t>Select node ▸</t>
        </is>
      </c>
      <c r="B3" s="9" t="n"/>
      <c r="C3" s="10" t="n"/>
      <c r="D3" s="28" t="n"/>
      <c r="K3" s="27" t="inlineStr">
        <is>
          <t>Session date</t>
        </is>
      </c>
      <c r="L3" s="14" t="n"/>
      <c r="N3" s="27" t="inlineStr">
        <is>
          <t>Revision</t>
        </is>
      </c>
      <c r="O3" s="5" t="n"/>
    </row>
    <row r="4" ht="16" customHeight="1">
      <c r="A4" s="11" t="inlineStr">
        <is>
          <t>Node title</t>
        </is>
      </c>
      <c r="D4" s="7">
        <f>IF($D$3="","",IFERROR(INDEX(Nodes!$B$5:$B$34,MATCH($D$3,Nodes!$C$5:$C$34,0))&amp;"",""))</f>
        <v/>
      </c>
    </row>
    <row r="5" ht="16" customHeight="1">
      <c r="A5" s="11" t="inlineStr">
        <is>
          <t>P&amp;IDs / drawings</t>
        </is>
      </c>
      <c r="D5" s="7">
        <f>IF($D$3="","",IFERROR(INDEX(Nodes!$D$5:$D$34,MATCH($D$3,Nodes!$C$5:$C$34,0))&amp;"",""))</f>
        <v/>
      </c>
    </row>
    <row r="6" ht="30" customHeight="1">
      <c r="A6" s="11" t="inlineStr">
        <is>
          <t>Battery limits</t>
        </is>
      </c>
      <c r="D6" s="7">
        <f>IF($D$3="","",IFERROR(INDEX(Nodes!$E$5:$E$34,MATCH($D$3,Nodes!$C$5:$C$34,0))&amp;"",""))</f>
        <v/>
      </c>
    </row>
    <row r="7" ht="30" customHeight="1">
      <c r="A7" s="11" t="inlineStr">
        <is>
          <t>Functional description / design intent</t>
        </is>
      </c>
      <c r="D7" s="7">
        <f>IF($D$3="","",IFERROR(INDEX(Nodes!$F$5:$F$34,MATCH($D$3,Nodes!$C$5:$C$34,0))&amp;"",""))</f>
        <v/>
      </c>
    </row>
    <row r="8" ht="16" customHeight="1">
      <c r="A8" s="11" t="inlineStr">
        <is>
          <t>Design parameters</t>
        </is>
      </c>
      <c r="D8" s="7">
        <f>IF($D$3="","",IFERROR(INDEX(Nodes!$G$5:$G$34,MATCH($D$3,Nodes!$C$5:$C$34,0))&amp;"",""))</f>
        <v/>
      </c>
    </row>
    <row r="9" ht="16" customHeight="1">
      <c r="A9" s="11" t="inlineStr">
        <is>
          <t>Operating parameters</t>
        </is>
      </c>
      <c r="D9" s="7">
        <f>IF($D$3="","",IFERROR(INDEX(Nodes!$H$5:$H$34,MATCH($D$3,Nodes!$C$5:$C$34,0))&amp;"",""))</f>
        <v/>
      </c>
    </row>
    <row r="11" ht="26" customHeight="1">
      <c r="A11" s="29" t="inlineStr">
        <is>
          <t>ONE ROW PER DEVIATION.  Causes: choose Parameter + Guideword, then pick from the Potential causes drop-down as many times as needed – each pick is added on a new line (pick it again to remove it; typed text can be added or replace).  Safeguards: DOUBLE-CLICK the Safeguards cell to add a safeguard and classify it IPL / Non-IPL.</t>
        </is>
      </c>
    </row>
    <row r="12">
      <c r="A12" s="8" t="inlineStr">
        <is>
          <t>DEVIATION</t>
        </is>
      </c>
      <c r="B12" s="30" t="n"/>
      <c r="C12" s="30" t="n"/>
      <c r="D12" s="30" t="n"/>
      <c r="E12" s="8" t="inlineStr">
        <is>
          <t>CAUSES &amp; CONSEQUENCES</t>
        </is>
      </c>
      <c r="F12" s="30" t="n"/>
      <c r="G12" s="8" t="inlineStr">
        <is>
          <t>RISK BEFORE SAFEGUARDS</t>
        </is>
      </c>
      <c r="H12" s="30" t="n"/>
      <c r="I12" s="30" t="n"/>
      <c r="J12" s="30" t="n"/>
      <c r="K12" s="8" t="inlineStr">
        <is>
          <t>SAFEGUARDS</t>
        </is>
      </c>
      <c r="L12" s="30" t="n"/>
      <c r="M12" s="8" t="inlineStr">
        <is>
          <t>RISK AFTER SAFEGUARDS</t>
        </is>
      </c>
      <c r="N12" s="30" t="n"/>
      <c r="O12" s="30" t="n"/>
      <c r="P12" s="30" t="n"/>
      <c r="Q12" s="8" t="inlineStr">
        <is>
          <t>RECOMMENDATIONS</t>
        </is>
      </c>
      <c r="R12" s="30" t="n"/>
    </row>
    <row r="13" ht="42" customHeight="1">
      <c r="A13" s="8" t="inlineStr">
        <is>
          <t>Dev. No.</t>
        </is>
      </c>
      <c r="B13" s="8" t="inlineStr">
        <is>
          <t>Parameter</t>
        </is>
      </c>
      <c r="C13" s="8" t="inlineStr">
        <is>
          <t>Guideword</t>
        </is>
      </c>
      <c r="D13" s="8" t="inlineStr">
        <is>
          <t>Deviation</t>
        </is>
      </c>
      <c r="E13" s="8" t="inlineStr">
        <is>
          <t>Potential causes (pick repeatedly – one per line)</t>
        </is>
      </c>
      <c r="F13" s="8" t="inlineStr">
        <is>
          <t>Consequences</t>
        </is>
      </c>
      <c r="G13" s="8" t="inlineStr">
        <is>
          <t>Severity (S)</t>
        </is>
      </c>
      <c r="H13" s="8" t="inlineStr">
        <is>
          <t>Likelihood (L)</t>
        </is>
      </c>
      <c r="I13" s="8" t="inlineStr">
        <is>
          <t>Risk score</t>
        </is>
      </c>
      <c r="J13" s="8" t="inlineStr">
        <is>
          <t>Risk rank</t>
        </is>
      </c>
      <c r="K13" s="8" t="inlineStr">
        <is>
          <t>Safeguards (double-click to add + IPL)</t>
        </is>
      </c>
      <c r="L13" s="8" t="inlineStr">
        <is>
          <t>No. of IPLs</t>
        </is>
      </c>
      <c r="M13" s="8" t="inlineStr">
        <is>
          <t>Severity (S)</t>
        </is>
      </c>
      <c r="N13" s="8" t="inlineStr">
        <is>
          <t>Likelihood (L)</t>
        </is>
      </c>
      <c r="O13" s="8" t="inlineStr">
        <is>
          <t>Risk score</t>
        </is>
      </c>
      <c r="P13" s="8" t="inlineStr">
        <is>
          <t>Risk rank</t>
        </is>
      </c>
      <c r="Q13" s="8" t="inlineStr">
        <is>
          <t>Recommendations / actions</t>
        </is>
      </c>
      <c r="R13" s="8" t="inlineStr">
        <is>
          <t>Action by</t>
        </is>
      </c>
    </row>
    <row r="14" ht="30" customHeight="1">
      <c r="A14" s="31">
        <f>IF(B14="","",COUNTIF(B$14:B14,"?*"))</f>
        <v/>
      </c>
      <c r="B14" s="5" t="n"/>
      <c r="C14" s="20" t="n"/>
      <c r="D14" s="6">
        <f>IF(OR(B14="",C14=""),"",UPPER(LEFT(C14,1))&amp;LOWER(MID(C14,2,30))&amp;" "&amp;LOWER(LEFT(B14,1))&amp;MID(B14,2,200))</f>
        <v/>
      </c>
      <c r="E14" s="5" t="n"/>
      <c r="F14" s="5" t="n"/>
      <c r="G14" s="20" t="n"/>
      <c r="H14" s="20" t="n"/>
      <c r="I14" s="31">
        <f>IF(OR(G14="",H14=""),"",INDEX(RiskGrid,6-VALUE(LEFT(G14,1)),VALUE(LEFT(H14,1))))</f>
        <v/>
      </c>
      <c r="J14" s="31">
        <f>IF(I14="","",IF(I14&gt;=BandVH,"Very High",IF(I14&gt;=BandHigh,"High",IF(I14&gt;=BandMed,"Medium","Low"))))</f>
        <v/>
      </c>
      <c r="K14" s="5" t="n"/>
      <c r="L14" s="31">
        <f>IF(K14="","",(LEN(K14)-LEN(SUBSTITUTE(K14,"[IPL]","")))/5)</f>
        <v/>
      </c>
      <c r="M14" s="20" t="n"/>
      <c r="N14" s="20" t="n"/>
      <c r="O14" s="31">
        <f>IF(OR(M14="",N14=""),"",INDEX(RiskGrid,6-VALUE(LEFT(M14,1)),VALUE(LEFT(N14,1))))</f>
        <v/>
      </c>
      <c r="P14" s="31">
        <f>IF(O14="","",IF(O14&gt;=BandVH,"Very High",IF(O14&gt;=BandHigh,"High",IF(O14&gt;=BandMed,"Medium","Low"))))</f>
        <v/>
      </c>
      <c r="Q14" s="5" t="n"/>
      <c r="R14" s="5" t="n"/>
    </row>
    <row r="15" ht="30" customHeight="1">
      <c r="A15" s="31">
        <f>IF(B15="","",COUNTIF(B$14:B15,"?*"))</f>
        <v/>
      </c>
      <c r="B15" s="5" t="n"/>
      <c r="C15" s="20" t="n"/>
      <c r="D15" s="6">
        <f>IF(OR(B15="",C15=""),"",UPPER(LEFT(C15,1))&amp;LOWER(MID(C15,2,30))&amp;" "&amp;LOWER(LEFT(B15,1))&amp;MID(B15,2,200))</f>
        <v/>
      </c>
      <c r="E15" s="5" t="n"/>
      <c r="F15" s="5" t="n"/>
      <c r="G15" s="20" t="n"/>
      <c r="H15" s="20" t="n"/>
      <c r="I15" s="31">
        <f>IF(OR(G15="",H15=""),"",INDEX(RiskGrid,6-VALUE(LEFT(G15,1)),VALUE(LEFT(H15,1))))</f>
        <v/>
      </c>
      <c r="J15" s="31">
        <f>IF(I15="","",IF(I15&gt;=BandVH,"Very High",IF(I15&gt;=BandHigh,"High",IF(I15&gt;=BandMed,"Medium","Low"))))</f>
        <v/>
      </c>
      <c r="K15" s="5" t="n"/>
      <c r="L15" s="31">
        <f>IF(K15="","",(LEN(K15)-LEN(SUBSTITUTE(K15,"[IPL]","")))/5)</f>
        <v/>
      </c>
      <c r="M15" s="20" t="n"/>
      <c r="N15" s="20" t="n"/>
      <c r="O15" s="31">
        <f>IF(OR(M15="",N15=""),"",INDEX(RiskGrid,6-VALUE(LEFT(M15,1)),VALUE(LEFT(N15,1))))</f>
        <v/>
      </c>
      <c r="P15" s="31">
        <f>IF(O15="","",IF(O15&gt;=BandVH,"Very High",IF(O15&gt;=BandHigh,"High",IF(O15&gt;=BandMed,"Medium","Low"))))</f>
        <v/>
      </c>
      <c r="Q15" s="5" t="n"/>
      <c r="R15" s="5" t="n"/>
    </row>
    <row r="16" ht="30" customHeight="1">
      <c r="A16" s="31">
        <f>IF(B16="","",COUNTIF(B$14:B16,"?*"))</f>
        <v/>
      </c>
      <c r="B16" s="5" t="n"/>
      <c r="C16" s="20" t="n"/>
      <c r="D16" s="6">
        <f>IF(OR(B16="",C16=""),"",UPPER(LEFT(C16,1))&amp;LOWER(MID(C16,2,30))&amp;" "&amp;LOWER(LEFT(B16,1))&amp;MID(B16,2,200))</f>
        <v/>
      </c>
      <c r="E16" s="5" t="n"/>
      <c r="F16" s="5" t="n"/>
      <c r="G16" s="20" t="n"/>
      <c r="H16" s="20" t="n"/>
      <c r="I16" s="31">
        <f>IF(OR(G16="",H16=""),"",INDEX(RiskGrid,6-VALUE(LEFT(G16,1)),VALUE(LEFT(H16,1))))</f>
        <v/>
      </c>
      <c r="J16" s="31">
        <f>IF(I16="","",IF(I16&gt;=BandVH,"Very High",IF(I16&gt;=BandHigh,"High",IF(I16&gt;=BandMed,"Medium","Low"))))</f>
        <v/>
      </c>
      <c r="K16" s="5" t="n"/>
      <c r="L16" s="31">
        <f>IF(K16="","",(LEN(K16)-LEN(SUBSTITUTE(K16,"[IPL]","")))/5)</f>
        <v/>
      </c>
      <c r="M16" s="20" t="n"/>
      <c r="N16" s="20" t="n"/>
      <c r="O16" s="31">
        <f>IF(OR(M16="",N16=""),"",INDEX(RiskGrid,6-VALUE(LEFT(M16,1)),VALUE(LEFT(N16,1))))</f>
        <v/>
      </c>
      <c r="P16" s="31">
        <f>IF(O16="","",IF(O16&gt;=BandVH,"Very High",IF(O16&gt;=BandHigh,"High",IF(O16&gt;=BandMed,"Medium","Low"))))</f>
        <v/>
      </c>
      <c r="Q16" s="5" t="n"/>
      <c r="R16" s="5" t="n"/>
    </row>
    <row r="17" ht="30" customHeight="1">
      <c r="A17" s="31">
        <f>IF(B17="","",COUNTIF(B$14:B17,"?*"))</f>
        <v/>
      </c>
      <c r="B17" s="5" t="n"/>
      <c r="C17" s="20" t="n"/>
      <c r="D17" s="6">
        <f>IF(OR(B17="",C17=""),"",UPPER(LEFT(C17,1))&amp;LOWER(MID(C17,2,30))&amp;" "&amp;LOWER(LEFT(B17,1))&amp;MID(B17,2,200))</f>
        <v/>
      </c>
      <c r="E17" s="5" t="n"/>
      <c r="F17" s="5" t="n"/>
      <c r="G17" s="20" t="n"/>
      <c r="H17" s="20" t="n"/>
      <c r="I17" s="31">
        <f>IF(OR(G17="",H17=""),"",INDEX(RiskGrid,6-VALUE(LEFT(G17,1)),VALUE(LEFT(H17,1))))</f>
        <v/>
      </c>
      <c r="J17" s="31">
        <f>IF(I17="","",IF(I17&gt;=BandVH,"Very High",IF(I17&gt;=BandHigh,"High",IF(I17&gt;=BandMed,"Medium","Low"))))</f>
        <v/>
      </c>
      <c r="K17" s="5" t="n"/>
      <c r="L17" s="31">
        <f>IF(K17="","",(LEN(K17)-LEN(SUBSTITUTE(K17,"[IPL]","")))/5)</f>
        <v/>
      </c>
      <c r="M17" s="20" t="n"/>
      <c r="N17" s="20" t="n"/>
      <c r="O17" s="31">
        <f>IF(OR(M17="",N17=""),"",INDEX(RiskGrid,6-VALUE(LEFT(M17,1)),VALUE(LEFT(N17,1))))</f>
        <v/>
      </c>
      <c r="P17" s="31">
        <f>IF(O17="","",IF(O17&gt;=BandVH,"Very High",IF(O17&gt;=BandHigh,"High",IF(O17&gt;=BandMed,"Medium","Low"))))</f>
        <v/>
      </c>
      <c r="Q17" s="5" t="n"/>
      <c r="R17" s="5" t="n"/>
    </row>
    <row r="18" ht="30" customHeight="1">
      <c r="A18" s="31">
        <f>IF(B18="","",COUNTIF(B$14:B18,"?*"))</f>
        <v/>
      </c>
      <c r="B18" s="5" t="n"/>
      <c r="C18" s="20" t="n"/>
      <c r="D18" s="6">
        <f>IF(OR(B18="",C18=""),"",UPPER(LEFT(C18,1))&amp;LOWER(MID(C18,2,30))&amp;" "&amp;LOWER(LEFT(B18,1))&amp;MID(B18,2,200))</f>
        <v/>
      </c>
      <c r="E18" s="5" t="n"/>
      <c r="F18" s="5" t="n"/>
      <c r="G18" s="20" t="n"/>
      <c r="H18" s="20" t="n"/>
      <c r="I18" s="31">
        <f>IF(OR(G18="",H18=""),"",INDEX(RiskGrid,6-VALUE(LEFT(G18,1)),VALUE(LEFT(H18,1))))</f>
        <v/>
      </c>
      <c r="J18" s="31">
        <f>IF(I18="","",IF(I18&gt;=BandVH,"Very High",IF(I18&gt;=BandHigh,"High",IF(I18&gt;=BandMed,"Medium","Low"))))</f>
        <v/>
      </c>
      <c r="K18" s="5" t="n"/>
      <c r="L18" s="31">
        <f>IF(K18="","",(LEN(K18)-LEN(SUBSTITUTE(K18,"[IPL]","")))/5)</f>
        <v/>
      </c>
      <c r="M18" s="20" t="n"/>
      <c r="N18" s="20" t="n"/>
      <c r="O18" s="31">
        <f>IF(OR(M18="",N18=""),"",INDEX(RiskGrid,6-VALUE(LEFT(M18,1)),VALUE(LEFT(N18,1))))</f>
        <v/>
      </c>
      <c r="P18" s="31">
        <f>IF(O18="","",IF(O18&gt;=BandVH,"Very High",IF(O18&gt;=BandHigh,"High",IF(O18&gt;=BandMed,"Medium","Low"))))</f>
        <v/>
      </c>
      <c r="Q18" s="5" t="n"/>
      <c r="R18" s="5" t="n"/>
    </row>
    <row r="19" ht="30" customHeight="1">
      <c r="A19" s="31">
        <f>IF(B19="","",COUNTIF(B$14:B19,"?*"))</f>
        <v/>
      </c>
      <c r="B19" s="5" t="n"/>
      <c r="C19" s="20" t="n"/>
      <c r="D19" s="6">
        <f>IF(OR(B19="",C19=""),"",UPPER(LEFT(C19,1))&amp;LOWER(MID(C19,2,30))&amp;" "&amp;LOWER(LEFT(B19,1))&amp;MID(B19,2,200))</f>
        <v/>
      </c>
      <c r="E19" s="5" t="n"/>
      <c r="F19" s="5" t="n"/>
      <c r="G19" s="20" t="n"/>
      <c r="H19" s="20" t="n"/>
      <c r="I19" s="31">
        <f>IF(OR(G19="",H19=""),"",INDEX(RiskGrid,6-VALUE(LEFT(G19,1)),VALUE(LEFT(H19,1))))</f>
        <v/>
      </c>
      <c r="J19" s="31">
        <f>IF(I19="","",IF(I19&gt;=BandVH,"Very High",IF(I19&gt;=BandHigh,"High",IF(I19&gt;=BandMed,"Medium","Low"))))</f>
        <v/>
      </c>
      <c r="K19" s="5" t="n"/>
      <c r="L19" s="31">
        <f>IF(K19="","",(LEN(K19)-LEN(SUBSTITUTE(K19,"[IPL]","")))/5)</f>
        <v/>
      </c>
      <c r="M19" s="20" t="n"/>
      <c r="N19" s="20" t="n"/>
      <c r="O19" s="31">
        <f>IF(OR(M19="",N19=""),"",INDEX(RiskGrid,6-VALUE(LEFT(M19,1)),VALUE(LEFT(N19,1))))</f>
        <v/>
      </c>
      <c r="P19" s="31">
        <f>IF(O19="","",IF(O19&gt;=BandVH,"Very High",IF(O19&gt;=BandHigh,"High",IF(O19&gt;=BandMed,"Medium","Low"))))</f>
        <v/>
      </c>
      <c r="Q19" s="5" t="n"/>
      <c r="R19" s="5" t="n"/>
    </row>
    <row r="20" ht="30" customHeight="1">
      <c r="A20" s="31">
        <f>IF(B20="","",COUNTIF(B$14:B20,"?*"))</f>
        <v/>
      </c>
      <c r="B20" s="5" t="n"/>
      <c r="C20" s="20" t="n"/>
      <c r="D20" s="6">
        <f>IF(OR(B20="",C20=""),"",UPPER(LEFT(C20,1))&amp;LOWER(MID(C20,2,30))&amp;" "&amp;LOWER(LEFT(B20,1))&amp;MID(B20,2,200))</f>
        <v/>
      </c>
      <c r="E20" s="5" t="n"/>
      <c r="F20" s="5" t="n"/>
      <c r="G20" s="20" t="n"/>
      <c r="H20" s="20" t="n"/>
      <c r="I20" s="31">
        <f>IF(OR(G20="",H20=""),"",INDEX(RiskGrid,6-VALUE(LEFT(G20,1)),VALUE(LEFT(H20,1))))</f>
        <v/>
      </c>
      <c r="J20" s="31">
        <f>IF(I20="","",IF(I20&gt;=BandVH,"Very High",IF(I20&gt;=BandHigh,"High",IF(I20&gt;=BandMed,"Medium","Low"))))</f>
        <v/>
      </c>
      <c r="K20" s="5" t="n"/>
      <c r="L20" s="31">
        <f>IF(K20="","",(LEN(K20)-LEN(SUBSTITUTE(K20,"[IPL]","")))/5)</f>
        <v/>
      </c>
      <c r="M20" s="20" t="n"/>
      <c r="N20" s="20" t="n"/>
      <c r="O20" s="31">
        <f>IF(OR(M20="",N20=""),"",INDEX(RiskGrid,6-VALUE(LEFT(M20,1)),VALUE(LEFT(N20,1))))</f>
        <v/>
      </c>
      <c r="P20" s="31">
        <f>IF(O20="","",IF(O20&gt;=BandVH,"Very High",IF(O20&gt;=BandHigh,"High",IF(O20&gt;=BandMed,"Medium","Low"))))</f>
        <v/>
      </c>
      <c r="Q20" s="5" t="n"/>
      <c r="R20" s="5" t="n"/>
    </row>
    <row r="21" ht="30" customHeight="1">
      <c r="A21" s="31">
        <f>IF(B21="","",COUNTIF(B$14:B21,"?*"))</f>
        <v/>
      </c>
      <c r="B21" s="5" t="n"/>
      <c r="C21" s="20" t="n"/>
      <c r="D21" s="6">
        <f>IF(OR(B21="",C21=""),"",UPPER(LEFT(C21,1))&amp;LOWER(MID(C21,2,30))&amp;" "&amp;LOWER(LEFT(B21,1))&amp;MID(B21,2,200))</f>
        <v/>
      </c>
      <c r="E21" s="5" t="n"/>
      <c r="F21" s="5" t="n"/>
      <c r="G21" s="20" t="n"/>
      <c r="H21" s="20" t="n"/>
      <c r="I21" s="31">
        <f>IF(OR(G21="",H21=""),"",INDEX(RiskGrid,6-VALUE(LEFT(G21,1)),VALUE(LEFT(H21,1))))</f>
        <v/>
      </c>
      <c r="J21" s="31">
        <f>IF(I21="","",IF(I21&gt;=BandVH,"Very High",IF(I21&gt;=BandHigh,"High",IF(I21&gt;=BandMed,"Medium","Low"))))</f>
        <v/>
      </c>
      <c r="K21" s="5" t="n"/>
      <c r="L21" s="31">
        <f>IF(K21="","",(LEN(K21)-LEN(SUBSTITUTE(K21,"[IPL]","")))/5)</f>
        <v/>
      </c>
      <c r="M21" s="20" t="n"/>
      <c r="N21" s="20" t="n"/>
      <c r="O21" s="31">
        <f>IF(OR(M21="",N21=""),"",INDEX(RiskGrid,6-VALUE(LEFT(M21,1)),VALUE(LEFT(N21,1))))</f>
        <v/>
      </c>
      <c r="P21" s="31">
        <f>IF(O21="","",IF(O21&gt;=BandVH,"Very High",IF(O21&gt;=BandHigh,"High",IF(O21&gt;=BandMed,"Medium","Low"))))</f>
        <v/>
      </c>
      <c r="Q21" s="5" t="n"/>
      <c r="R21" s="5" t="n"/>
    </row>
    <row r="22" ht="30" customHeight="1">
      <c r="A22" s="31">
        <f>IF(B22="","",COUNTIF(B$14:B22,"?*"))</f>
        <v/>
      </c>
      <c r="B22" s="5" t="n"/>
      <c r="C22" s="20" t="n"/>
      <c r="D22" s="6">
        <f>IF(OR(B22="",C22=""),"",UPPER(LEFT(C22,1))&amp;LOWER(MID(C22,2,30))&amp;" "&amp;LOWER(LEFT(B22,1))&amp;MID(B22,2,200))</f>
        <v/>
      </c>
      <c r="E22" s="5" t="n"/>
      <c r="F22" s="5" t="n"/>
      <c r="G22" s="20" t="n"/>
      <c r="H22" s="20" t="n"/>
      <c r="I22" s="31">
        <f>IF(OR(G22="",H22=""),"",INDEX(RiskGrid,6-VALUE(LEFT(G22,1)),VALUE(LEFT(H22,1))))</f>
        <v/>
      </c>
      <c r="J22" s="31">
        <f>IF(I22="","",IF(I22&gt;=BandVH,"Very High",IF(I22&gt;=BandHigh,"High",IF(I22&gt;=BandMed,"Medium","Low"))))</f>
        <v/>
      </c>
      <c r="K22" s="5" t="n"/>
      <c r="L22" s="31">
        <f>IF(K22="","",(LEN(K22)-LEN(SUBSTITUTE(K22,"[IPL]","")))/5)</f>
        <v/>
      </c>
      <c r="M22" s="20" t="n"/>
      <c r="N22" s="20" t="n"/>
      <c r="O22" s="31">
        <f>IF(OR(M22="",N22=""),"",INDEX(RiskGrid,6-VALUE(LEFT(M22,1)),VALUE(LEFT(N22,1))))</f>
        <v/>
      </c>
      <c r="P22" s="31">
        <f>IF(O22="","",IF(O22&gt;=BandVH,"Very High",IF(O22&gt;=BandHigh,"High",IF(O22&gt;=BandMed,"Medium","Low"))))</f>
        <v/>
      </c>
      <c r="Q22" s="5" t="n"/>
      <c r="R22" s="5" t="n"/>
    </row>
    <row r="23" ht="30" customHeight="1">
      <c r="A23" s="31">
        <f>IF(B23="","",COUNTIF(B$14:B23,"?*"))</f>
        <v/>
      </c>
      <c r="B23" s="5" t="n"/>
      <c r="C23" s="20" t="n"/>
      <c r="D23" s="6">
        <f>IF(OR(B23="",C23=""),"",UPPER(LEFT(C23,1))&amp;LOWER(MID(C23,2,30))&amp;" "&amp;LOWER(LEFT(B23,1))&amp;MID(B23,2,200))</f>
        <v/>
      </c>
      <c r="E23" s="5" t="n"/>
      <c r="F23" s="5" t="n"/>
      <c r="G23" s="20" t="n"/>
      <c r="H23" s="20" t="n"/>
      <c r="I23" s="31">
        <f>IF(OR(G23="",H23=""),"",INDEX(RiskGrid,6-VALUE(LEFT(G23,1)),VALUE(LEFT(H23,1))))</f>
        <v/>
      </c>
      <c r="J23" s="31">
        <f>IF(I23="","",IF(I23&gt;=BandVH,"Very High",IF(I23&gt;=BandHigh,"High",IF(I23&gt;=BandMed,"Medium","Low"))))</f>
        <v/>
      </c>
      <c r="K23" s="5" t="n"/>
      <c r="L23" s="31">
        <f>IF(K23="","",(LEN(K23)-LEN(SUBSTITUTE(K23,"[IPL]","")))/5)</f>
        <v/>
      </c>
      <c r="M23" s="20" t="n"/>
      <c r="N23" s="20" t="n"/>
      <c r="O23" s="31">
        <f>IF(OR(M23="",N23=""),"",INDEX(RiskGrid,6-VALUE(LEFT(M23,1)),VALUE(LEFT(N23,1))))</f>
        <v/>
      </c>
      <c r="P23" s="31">
        <f>IF(O23="","",IF(O23&gt;=BandVH,"Very High",IF(O23&gt;=BandHigh,"High",IF(O23&gt;=BandMed,"Medium","Low"))))</f>
        <v/>
      </c>
      <c r="Q23" s="5" t="n"/>
      <c r="R23" s="5" t="n"/>
    </row>
    <row r="24" ht="30" customHeight="1">
      <c r="A24" s="31">
        <f>IF(B24="","",COUNTIF(B$14:B24,"?*"))</f>
        <v/>
      </c>
      <c r="B24" s="5" t="n"/>
      <c r="C24" s="20" t="n"/>
      <c r="D24" s="6">
        <f>IF(OR(B24="",C24=""),"",UPPER(LEFT(C24,1))&amp;LOWER(MID(C24,2,30))&amp;" "&amp;LOWER(LEFT(B24,1))&amp;MID(B24,2,200))</f>
        <v/>
      </c>
      <c r="E24" s="5" t="n"/>
      <c r="F24" s="5" t="n"/>
      <c r="G24" s="20" t="n"/>
      <c r="H24" s="20" t="n"/>
      <c r="I24" s="31">
        <f>IF(OR(G24="",H24=""),"",INDEX(RiskGrid,6-VALUE(LEFT(G24,1)),VALUE(LEFT(H24,1))))</f>
        <v/>
      </c>
      <c r="J24" s="31">
        <f>IF(I24="","",IF(I24&gt;=BandVH,"Very High",IF(I24&gt;=BandHigh,"High",IF(I24&gt;=BandMed,"Medium","Low"))))</f>
        <v/>
      </c>
      <c r="K24" s="5" t="n"/>
      <c r="L24" s="31">
        <f>IF(K24="","",(LEN(K24)-LEN(SUBSTITUTE(K24,"[IPL]","")))/5)</f>
        <v/>
      </c>
      <c r="M24" s="20" t="n"/>
      <c r="N24" s="20" t="n"/>
      <c r="O24" s="31">
        <f>IF(OR(M24="",N24=""),"",INDEX(RiskGrid,6-VALUE(LEFT(M24,1)),VALUE(LEFT(N24,1))))</f>
        <v/>
      </c>
      <c r="P24" s="31">
        <f>IF(O24="","",IF(O24&gt;=BandVH,"Very High",IF(O24&gt;=BandHigh,"High",IF(O24&gt;=BandMed,"Medium","Low"))))</f>
        <v/>
      </c>
      <c r="Q24" s="5" t="n"/>
      <c r="R24" s="5" t="n"/>
    </row>
    <row r="25" ht="30" customHeight="1">
      <c r="A25" s="31">
        <f>IF(B25="","",COUNTIF(B$14:B25,"?*"))</f>
        <v/>
      </c>
      <c r="B25" s="5" t="n"/>
      <c r="C25" s="20" t="n"/>
      <c r="D25" s="6">
        <f>IF(OR(B25="",C25=""),"",UPPER(LEFT(C25,1))&amp;LOWER(MID(C25,2,30))&amp;" "&amp;LOWER(LEFT(B25,1))&amp;MID(B25,2,200))</f>
        <v/>
      </c>
      <c r="E25" s="5" t="n"/>
      <c r="F25" s="5" t="n"/>
      <c r="G25" s="20" t="n"/>
      <c r="H25" s="20" t="n"/>
      <c r="I25" s="31">
        <f>IF(OR(G25="",H25=""),"",INDEX(RiskGrid,6-VALUE(LEFT(G25,1)),VALUE(LEFT(H25,1))))</f>
        <v/>
      </c>
      <c r="J25" s="31">
        <f>IF(I25="","",IF(I25&gt;=BandVH,"Very High",IF(I25&gt;=BandHigh,"High",IF(I25&gt;=BandMed,"Medium","Low"))))</f>
        <v/>
      </c>
      <c r="K25" s="5" t="n"/>
      <c r="L25" s="31">
        <f>IF(K25="","",(LEN(K25)-LEN(SUBSTITUTE(K25,"[IPL]","")))/5)</f>
        <v/>
      </c>
      <c r="M25" s="20" t="n"/>
      <c r="N25" s="20" t="n"/>
      <c r="O25" s="31">
        <f>IF(OR(M25="",N25=""),"",INDEX(RiskGrid,6-VALUE(LEFT(M25,1)),VALUE(LEFT(N25,1))))</f>
        <v/>
      </c>
      <c r="P25" s="31">
        <f>IF(O25="","",IF(O25&gt;=BandVH,"Very High",IF(O25&gt;=BandHigh,"High",IF(O25&gt;=BandMed,"Medium","Low"))))</f>
        <v/>
      </c>
      <c r="Q25" s="5" t="n"/>
      <c r="R25" s="5" t="n"/>
    </row>
    <row r="26" ht="30" customHeight="1">
      <c r="A26" s="31">
        <f>IF(B26="","",COUNTIF(B$14:B26,"?*"))</f>
        <v/>
      </c>
      <c r="B26" s="5" t="n"/>
      <c r="C26" s="20" t="n"/>
      <c r="D26" s="6">
        <f>IF(OR(B26="",C26=""),"",UPPER(LEFT(C26,1))&amp;LOWER(MID(C26,2,30))&amp;" "&amp;LOWER(LEFT(B26,1))&amp;MID(B26,2,200))</f>
        <v/>
      </c>
      <c r="E26" s="5" t="n"/>
      <c r="F26" s="5" t="n"/>
      <c r="G26" s="20" t="n"/>
      <c r="H26" s="20" t="n"/>
      <c r="I26" s="31">
        <f>IF(OR(G26="",H26=""),"",INDEX(RiskGrid,6-VALUE(LEFT(G26,1)),VALUE(LEFT(H26,1))))</f>
        <v/>
      </c>
      <c r="J26" s="31">
        <f>IF(I26="","",IF(I26&gt;=BandVH,"Very High",IF(I26&gt;=BandHigh,"High",IF(I26&gt;=BandMed,"Medium","Low"))))</f>
        <v/>
      </c>
      <c r="K26" s="5" t="n"/>
      <c r="L26" s="31">
        <f>IF(K26="","",(LEN(K26)-LEN(SUBSTITUTE(K26,"[IPL]","")))/5)</f>
        <v/>
      </c>
      <c r="M26" s="20" t="n"/>
      <c r="N26" s="20" t="n"/>
      <c r="O26" s="31">
        <f>IF(OR(M26="",N26=""),"",INDEX(RiskGrid,6-VALUE(LEFT(M26,1)),VALUE(LEFT(N26,1))))</f>
        <v/>
      </c>
      <c r="P26" s="31">
        <f>IF(O26="","",IF(O26&gt;=BandVH,"Very High",IF(O26&gt;=BandHigh,"High",IF(O26&gt;=BandMed,"Medium","Low"))))</f>
        <v/>
      </c>
      <c r="Q26" s="5" t="n"/>
      <c r="R26" s="5" t="n"/>
    </row>
    <row r="27" ht="30" customHeight="1">
      <c r="A27" s="31">
        <f>IF(B27="","",COUNTIF(B$14:B27,"?*"))</f>
        <v/>
      </c>
      <c r="B27" s="5" t="n"/>
      <c r="C27" s="20" t="n"/>
      <c r="D27" s="6">
        <f>IF(OR(B27="",C27=""),"",UPPER(LEFT(C27,1))&amp;LOWER(MID(C27,2,30))&amp;" "&amp;LOWER(LEFT(B27,1))&amp;MID(B27,2,200))</f>
        <v/>
      </c>
      <c r="E27" s="5" t="n"/>
      <c r="F27" s="5" t="n"/>
      <c r="G27" s="20" t="n"/>
      <c r="H27" s="20" t="n"/>
      <c r="I27" s="31">
        <f>IF(OR(G27="",H27=""),"",INDEX(RiskGrid,6-VALUE(LEFT(G27,1)),VALUE(LEFT(H27,1))))</f>
        <v/>
      </c>
      <c r="J27" s="31">
        <f>IF(I27="","",IF(I27&gt;=BandVH,"Very High",IF(I27&gt;=BandHigh,"High",IF(I27&gt;=BandMed,"Medium","Low"))))</f>
        <v/>
      </c>
      <c r="K27" s="5" t="n"/>
      <c r="L27" s="31">
        <f>IF(K27="","",(LEN(K27)-LEN(SUBSTITUTE(K27,"[IPL]","")))/5)</f>
        <v/>
      </c>
      <c r="M27" s="20" t="n"/>
      <c r="N27" s="20" t="n"/>
      <c r="O27" s="31">
        <f>IF(OR(M27="",N27=""),"",INDEX(RiskGrid,6-VALUE(LEFT(M27,1)),VALUE(LEFT(N27,1))))</f>
        <v/>
      </c>
      <c r="P27" s="31">
        <f>IF(O27="","",IF(O27&gt;=BandVH,"Very High",IF(O27&gt;=BandHigh,"High",IF(O27&gt;=BandMed,"Medium","Low"))))</f>
        <v/>
      </c>
      <c r="Q27" s="5" t="n"/>
      <c r="R27" s="5" t="n"/>
    </row>
    <row r="28" ht="30" customHeight="1">
      <c r="A28" s="31">
        <f>IF(B28="","",COUNTIF(B$14:B28,"?*"))</f>
        <v/>
      </c>
      <c r="B28" s="5" t="n"/>
      <c r="C28" s="20" t="n"/>
      <c r="D28" s="6">
        <f>IF(OR(B28="",C28=""),"",UPPER(LEFT(C28,1))&amp;LOWER(MID(C28,2,30))&amp;" "&amp;LOWER(LEFT(B28,1))&amp;MID(B28,2,200))</f>
        <v/>
      </c>
      <c r="E28" s="5" t="n"/>
      <c r="F28" s="5" t="n"/>
      <c r="G28" s="20" t="n"/>
      <c r="H28" s="20" t="n"/>
      <c r="I28" s="31">
        <f>IF(OR(G28="",H28=""),"",INDEX(RiskGrid,6-VALUE(LEFT(G28,1)),VALUE(LEFT(H28,1))))</f>
        <v/>
      </c>
      <c r="J28" s="31">
        <f>IF(I28="","",IF(I28&gt;=BandVH,"Very High",IF(I28&gt;=BandHigh,"High",IF(I28&gt;=BandMed,"Medium","Low"))))</f>
        <v/>
      </c>
      <c r="K28" s="5" t="n"/>
      <c r="L28" s="31">
        <f>IF(K28="","",(LEN(K28)-LEN(SUBSTITUTE(K28,"[IPL]","")))/5)</f>
        <v/>
      </c>
      <c r="M28" s="20" t="n"/>
      <c r="N28" s="20" t="n"/>
      <c r="O28" s="31">
        <f>IF(OR(M28="",N28=""),"",INDEX(RiskGrid,6-VALUE(LEFT(M28,1)),VALUE(LEFT(N28,1))))</f>
        <v/>
      </c>
      <c r="P28" s="31">
        <f>IF(O28="","",IF(O28&gt;=BandVH,"Very High",IF(O28&gt;=BandHigh,"High",IF(O28&gt;=BandMed,"Medium","Low"))))</f>
        <v/>
      </c>
      <c r="Q28" s="5" t="n"/>
      <c r="R28" s="5" t="n"/>
    </row>
    <row r="29" ht="30" customHeight="1">
      <c r="A29" s="31">
        <f>IF(B29="","",COUNTIF(B$14:B29,"?*"))</f>
        <v/>
      </c>
      <c r="B29" s="5" t="n"/>
      <c r="C29" s="20" t="n"/>
      <c r="D29" s="6">
        <f>IF(OR(B29="",C29=""),"",UPPER(LEFT(C29,1))&amp;LOWER(MID(C29,2,30))&amp;" "&amp;LOWER(LEFT(B29,1))&amp;MID(B29,2,200))</f>
        <v/>
      </c>
      <c r="E29" s="5" t="n"/>
      <c r="F29" s="5" t="n"/>
      <c r="G29" s="20" t="n"/>
      <c r="H29" s="20" t="n"/>
      <c r="I29" s="31">
        <f>IF(OR(G29="",H29=""),"",INDEX(RiskGrid,6-VALUE(LEFT(G29,1)),VALUE(LEFT(H29,1))))</f>
        <v/>
      </c>
      <c r="J29" s="31">
        <f>IF(I29="","",IF(I29&gt;=BandVH,"Very High",IF(I29&gt;=BandHigh,"High",IF(I29&gt;=BandMed,"Medium","Low"))))</f>
        <v/>
      </c>
      <c r="K29" s="5" t="n"/>
      <c r="L29" s="31">
        <f>IF(K29="","",(LEN(K29)-LEN(SUBSTITUTE(K29,"[IPL]","")))/5)</f>
        <v/>
      </c>
      <c r="M29" s="20" t="n"/>
      <c r="N29" s="20" t="n"/>
      <c r="O29" s="31">
        <f>IF(OR(M29="",N29=""),"",INDEX(RiskGrid,6-VALUE(LEFT(M29,1)),VALUE(LEFT(N29,1))))</f>
        <v/>
      </c>
      <c r="P29" s="31">
        <f>IF(O29="","",IF(O29&gt;=BandVH,"Very High",IF(O29&gt;=BandHigh,"High",IF(O29&gt;=BandMed,"Medium","Low"))))</f>
        <v/>
      </c>
      <c r="Q29" s="5" t="n"/>
      <c r="R29" s="5" t="n"/>
    </row>
    <row r="30" ht="30" customHeight="1">
      <c r="A30" s="31">
        <f>IF(B30="","",COUNTIF(B$14:B30,"?*"))</f>
        <v/>
      </c>
      <c r="B30" s="5" t="n"/>
      <c r="C30" s="20" t="n"/>
      <c r="D30" s="6">
        <f>IF(OR(B30="",C30=""),"",UPPER(LEFT(C30,1))&amp;LOWER(MID(C30,2,30))&amp;" "&amp;LOWER(LEFT(B30,1))&amp;MID(B30,2,200))</f>
        <v/>
      </c>
      <c r="E30" s="5" t="n"/>
      <c r="F30" s="5" t="n"/>
      <c r="G30" s="20" t="n"/>
      <c r="H30" s="20" t="n"/>
      <c r="I30" s="31">
        <f>IF(OR(G30="",H30=""),"",INDEX(RiskGrid,6-VALUE(LEFT(G30,1)),VALUE(LEFT(H30,1))))</f>
        <v/>
      </c>
      <c r="J30" s="31">
        <f>IF(I30="","",IF(I30&gt;=BandVH,"Very High",IF(I30&gt;=BandHigh,"High",IF(I30&gt;=BandMed,"Medium","Low"))))</f>
        <v/>
      </c>
      <c r="K30" s="5" t="n"/>
      <c r="L30" s="31">
        <f>IF(K30="","",(LEN(K30)-LEN(SUBSTITUTE(K30,"[IPL]","")))/5)</f>
        <v/>
      </c>
      <c r="M30" s="20" t="n"/>
      <c r="N30" s="20" t="n"/>
      <c r="O30" s="31">
        <f>IF(OR(M30="",N30=""),"",INDEX(RiskGrid,6-VALUE(LEFT(M30,1)),VALUE(LEFT(N30,1))))</f>
        <v/>
      </c>
      <c r="P30" s="31">
        <f>IF(O30="","",IF(O30&gt;=BandVH,"Very High",IF(O30&gt;=BandHigh,"High",IF(O30&gt;=BandMed,"Medium","Low"))))</f>
        <v/>
      </c>
      <c r="Q30" s="5" t="n"/>
      <c r="R30" s="5" t="n"/>
    </row>
    <row r="31" ht="30" customHeight="1">
      <c r="A31" s="31">
        <f>IF(B31="","",COUNTIF(B$14:B31,"?*"))</f>
        <v/>
      </c>
      <c r="B31" s="5" t="n"/>
      <c r="C31" s="20" t="n"/>
      <c r="D31" s="6">
        <f>IF(OR(B31="",C31=""),"",UPPER(LEFT(C31,1))&amp;LOWER(MID(C31,2,30))&amp;" "&amp;LOWER(LEFT(B31,1))&amp;MID(B31,2,200))</f>
        <v/>
      </c>
      <c r="E31" s="5" t="n"/>
      <c r="F31" s="5" t="n"/>
      <c r="G31" s="20" t="n"/>
      <c r="H31" s="20" t="n"/>
      <c r="I31" s="31">
        <f>IF(OR(G31="",H31=""),"",INDEX(RiskGrid,6-VALUE(LEFT(G31,1)),VALUE(LEFT(H31,1))))</f>
        <v/>
      </c>
      <c r="J31" s="31">
        <f>IF(I31="","",IF(I31&gt;=BandVH,"Very High",IF(I31&gt;=BandHigh,"High",IF(I31&gt;=BandMed,"Medium","Low"))))</f>
        <v/>
      </c>
      <c r="K31" s="5" t="n"/>
      <c r="L31" s="31">
        <f>IF(K31="","",(LEN(K31)-LEN(SUBSTITUTE(K31,"[IPL]","")))/5)</f>
        <v/>
      </c>
      <c r="M31" s="20" t="n"/>
      <c r="N31" s="20" t="n"/>
      <c r="O31" s="31">
        <f>IF(OR(M31="",N31=""),"",INDEX(RiskGrid,6-VALUE(LEFT(M31,1)),VALUE(LEFT(N31,1))))</f>
        <v/>
      </c>
      <c r="P31" s="31">
        <f>IF(O31="","",IF(O31&gt;=BandVH,"Very High",IF(O31&gt;=BandHigh,"High",IF(O31&gt;=BandMed,"Medium","Low"))))</f>
        <v/>
      </c>
      <c r="Q31" s="5" t="n"/>
      <c r="R31" s="5" t="n"/>
    </row>
    <row r="32" ht="30" customHeight="1">
      <c r="A32" s="31">
        <f>IF(B32="","",COUNTIF(B$14:B32,"?*"))</f>
        <v/>
      </c>
      <c r="B32" s="5" t="n"/>
      <c r="C32" s="20" t="n"/>
      <c r="D32" s="6">
        <f>IF(OR(B32="",C32=""),"",UPPER(LEFT(C32,1))&amp;LOWER(MID(C32,2,30))&amp;" "&amp;LOWER(LEFT(B32,1))&amp;MID(B32,2,200))</f>
        <v/>
      </c>
      <c r="E32" s="5" t="n"/>
      <c r="F32" s="5" t="n"/>
      <c r="G32" s="20" t="n"/>
      <c r="H32" s="20" t="n"/>
      <c r="I32" s="31">
        <f>IF(OR(G32="",H32=""),"",INDEX(RiskGrid,6-VALUE(LEFT(G32,1)),VALUE(LEFT(H32,1))))</f>
        <v/>
      </c>
      <c r="J32" s="31">
        <f>IF(I32="","",IF(I32&gt;=BandVH,"Very High",IF(I32&gt;=BandHigh,"High",IF(I32&gt;=BandMed,"Medium","Low"))))</f>
        <v/>
      </c>
      <c r="K32" s="5" t="n"/>
      <c r="L32" s="31">
        <f>IF(K32="","",(LEN(K32)-LEN(SUBSTITUTE(K32,"[IPL]","")))/5)</f>
        <v/>
      </c>
      <c r="M32" s="20" t="n"/>
      <c r="N32" s="20" t="n"/>
      <c r="O32" s="31">
        <f>IF(OR(M32="",N32=""),"",INDEX(RiskGrid,6-VALUE(LEFT(M32,1)),VALUE(LEFT(N32,1))))</f>
        <v/>
      </c>
      <c r="P32" s="31">
        <f>IF(O32="","",IF(O32&gt;=BandVH,"Very High",IF(O32&gt;=BandHigh,"High",IF(O32&gt;=BandMed,"Medium","Low"))))</f>
        <v/>
      </c>
      <c r="Q32" s="5" t="n"/>
      <c r="R32" s="5" t="n"/>
    </row>
    <row r="33" ht="30" customHeight="1">
      <c r="A33" s="31">
        <f>IF(B33="","",COUNTIF(B$14:B33,"?*"))</f>
        <v/>
      </c>
      <c r="B33" s="5" t="n"/>
      <c r="C33" s="20" t="n"/>
      <c r="D33" s="6">
        <f>IF(OR(B33="",C33=""),"",UPPER(LEFT(C33,1))&amp;LOWER(MID(C33,2,30))&amp;" "&amp;LOWER(LEFT(B33,1))&amp;MID(B33,2,200))</f>
        <v/>
      </c>
      <c r="E33" s="5" t="n"/>
      <c r="F33" s="5" t="n"/>
      <c r="G33" s="20" t="n"/>
      <c r="H33" s="20" t="n"/>
      <c r="I33" s="31">
        <f>IF(OR(G33="",H33=""),"",INDEX(RiskGrid,6-VALUE(LEFT(G33,1)),VALUE(LEFT(H33,1))))</f>
        <v/>
      </c>
      <c r="J33" s="31">
        <f>IF(I33="","",IF(I33&gt;=BandVH,"Very High",IF(I33&gt;=BandHigh,"High",IF(I33&gt;=BandMed,"Medium","Low"))))</f>
        <v/>
      </c>
      <c r="K33" s="5" t="n"/>
      <c r="L33" s="31">
        <f>IF(K33="","",(LEN(K33)-LEN(SUBSTITUTE(K33,"[IPL]","")))/5)</f>
        <v/>
      </c>
      <c r="M33" s="20" t="n"/>
      <c r="N33" s="20" t="n"/>
      <c r="O33" s="31">
        <f>IF(OR(M33="",N33=""),"",INDEX(RiskGrid,6-VALUE(LEFT(M33,1)),VALUE(LEFT(N33,1))))</f>
        <v/>
      </c>
      <c r="P33" s="31">
        <f>IF(O33="","",IF(O33&gt;=BandVH,"Very High",IF(O33&gt;=BandHigh,"High",IF(O33&gt;=BandMed,"Medium","Low"))))</f>
        <v/>
      </c>
      <c r="Q33" s="5" t="n"/>
      <c r="R33" s="5" t="n"/>
    </row>
    <row r="34" ht="30" customHeight="1">
      <c r="A34" s="31">
        <f>IF(B34="","",COUNTIF(B$14:B34,"?*"))</f>
        <v/>
      </c>
      <c r="B34" s="5" t="n"/>
      <c r="C34" s="20" t="n"/>
      <c r="D34" s="6">
        <f>IF(OR(B34="",C34=""),"",UPPER(LEFT(C34,1))&amp;LOWER(MID(C34,2,30))&amp;" "&amp;LOWER(LEFT(B34,1))&amp;MID(B34,2,200))</f>
        <v/>
      </c>
      <c r="E34" s="5" t="n"/>
      <c r="F34" s="5" t="n"/>
      <c r="G34" s="20" t="n"/>
      <c r="H34" s="20" t="n"/>
      <c r="I34" s="31">
        <f>IF(OR(G34="",H34=""),"",INDEX(RiskGrid,6-VALUE(LEFT(G34,1)),VALUE(LEFT(H34,1))))</f>
        <v/>
      </c>
      <c r="J34" s="31">
        <f>IF(I34="","",IF(I34&gt;=BandVH,"Very High",IF(I34&gt;=BandHigh,"High",IF(I34&gt;=BandMed,"Medium","Low"))))</f>
        <v/>
      </c>
      <c r="K34" s="5" t="n"/>
      <c r="L34" s="31">
        <f>IF(K34="","",(LEN(K34)-LEN(SUBSTITUTE(K34,"[IPL]","")))/5)</f>
        <v/>
      </c>
      <c r="M34" s="20" t="n"/>
      <c r="N34" s="20" t="n"/>
      <c r="O34" s="31">
        <f>IF(OR(M34="",N34=""),"",INDEX(RiskGrid,6-VALUE(LEFT(M34,1)),VALUE(LEFT(N34,1))))</f>
        <v/>
      </c>
      <c r="P34" s="31">
        <f>IF(O34="","",IF(O34&gt;=BandVH,"Very High",IF(O34&gt;=BandHigh,"High",IF(O34&gt;=BandMed,"Medium","Low"))))</f>
        <v/>
      </c>
      <c r="Q34" s="5" t="n"/>
      <c r="R34" s="5" t="n"/>
    </row>
    <row r="35" ht="30" customHeight="1">
      <c r="A35" s="31">
        <f>IF(B35="","",COUNTIF(B$14:B35,"?*"))</f>
        <v/>
      </c>
      <c r="B35" s="5" t="n"/>
      <c r="C35" s="20" t="n"/>
      <c r="D35" s="6">
        <f>IF(OR(B35="",C35=""),"",UPPER(LEFT(C35,1))&amp;LOWER(MID(C35,2,30))&amp;" "&amp;LOWER(LEFT(B35,1))&amp;MID(B35,2,200))</f>
        <v/>
      </c>
      <c r="E35" s="5" t="n"/>
      <c r="F35" s="5" t="n"/>
      <c r="G35" s="20" t="n"/>
      <c r="H35" s="20" t="n"/>
      <c r="I35" s="31">
        <f>IF(OR(G35="",H35=""),"",INDEX(RiskGrid,6-VALUE(LEFT(G35,1)),VALUE(LEFT(H35,1))))</f>
        <v/>
      </c>
      <c r="J35" s="31">
        <f>IF(I35="","",IF(I35&gt;=BandVH,"Very High",IF(I35&gt;=BandHigh,"High",IF(I35&gt;=BandMed,"Medium","Low"))))</f>
        <v/>
      </c>
      <c r="K35" s="5" t="n"/>
      <c r="L35" s="31">
        <f>IF(K35="","",(LEN(K35)-LEN(SUBSTITUTE(K35,"[IPL]","")))/5)</f>
        <v/>
      </c>
      <c r="M35" s="20" t="n"/>
      <c r="N35" s="20" t="n"/>
      <c r="O35" s="31">
        <f>IF(OR(M35="",N35=""),"",INDEX(RiskGrid,6-VALUE(LEFT(M35,1)),VALUE(LEFT(N35,1))))</f>
        <v/>
      </c>
      <c r="P35" s="31">
        <f>IF(O35="","",IF(O35&gt;=BandVH,"Very High",IF(O35&gt;=BandHigh,"High",IF(O35&gt;=BandMed,"Medium","Low"))))</f>
        <v/>
      </c>
      <c r="Q35" s="5" t="n"/>
      <c r="R35" s="5" t="n"/>
    </row>
    <row r="36" ht="30" customHeight="1">
      <c r="A36" s="31">
        <f>IF(B36="","",COUNTIF(B$14:B36,"?*"))</f>
        <v/>
      </c>
      <c r="B36" s="5" t="n"/>
      <c r="C36" s="20" t="n"/>
      <c r="D36" s="6">
        <f>IF(OR(B36="",C36=""),"",UPPER(LEFT(C36,1))&amp;LOWER(MID(C36,2,30))&amp;" "&amp;LOWER(LEFT(B36,1))&amp;MID(B36,2,200))</f>
        <v/>
      </c>
      <c r="E36" s="5" t="n"/>
      <c r="F36" s="5" t="n"/>
      <c r="G36" s="20" t="n"/>
      <c r="H36" s="20" t="n"/>
      <c r="I36" s="31">
        <f>IF(OR(G36="",H36=""),"",INDEX(RiskGrid,6-VALUE(LEFT(G36,1)),VALUE(LEFT(H36,1))))</f>
        <v/>
      </c>
      <c r="J36" s="31">
        <f>IF(I36="","",IF(I36&gt;=BandVH,"Very High",IF(I36&gt;=BandHigh,"High",IF(I36&gt;=BandMed,"Medium","Low"))))</f>
        <v/>
      </c>
      <c r="K36" s="5" t="n"/>
      <c r="L36" s="31">
        <f>IF(K36="","",(LEN(K36)-LEN(SUBSTITUTE(K36,"[IPL]","")))/5)</f>
        <v/>
      </c>
      <c r="M36" s="20" t="n"/>
      <c r="N36" s="20" t="n"/>
      <c r="O36" s="31">
        <f>IF(OR(M36="",N36=""),"",INDEX(RiskGrid,6-VALUE(LEFT(M36,1)),VALUE(LEFT(N36,1))))</f>
        <v/>
      </c>
      <c r="P36" s="31">
        <f>IF(O36="","",IF(O36&gt;=BandVH,"Very High",IF(O36&gt;=BandHigh,"High",IF(O36&gt;=BandMed,"Medium","Low"))))</f>
        <v/>
      </c>
      <c r="Q36" s="5" t="n"/>
      <c r="R36" s="5" t="n"/>
    </row>
    <row r="37" ht="30" customHeight="1">
      <c r="A37" s="31">
        <f>IF(B37="","",COUNTIF(B$14:B37,"?*"))</f>
        <v/>
      </c>
      <c r="B37" s="5" t="n"/>
      <c r="C37" s="20" t="n"/>
      <c r="D37" s="6">
        <f>IF(OR(B37="",C37=""),"",UPPER(LEFT(C37,1))&amp;LOWER(MID(C37,2,30))&amp;" "&amp;LOWER(LEFT(B37,1))&amp;MID(B37,2,200))</f>
        <v/>
      </c>
      <c r="E37" s="5" t="n"/>
      <c r="F37" s="5" t="n"/>
      <c r="G37" s="20" t="n"/>
      <c r="H37" s="20" t="n"/>
      <c r="I37" s="31">
        <f>IF(OR(G37="",H37=""),"",INDEX(RiskGrid,6-VALUE(LEFT(G37,1)),VALUE(LEFT(H37,1))))</f>
        <v/>
      </c>
      <c r="J37" s="31">
        <f>IF(I37="","",IF(I37&gt;=BandVH,"Very High",IF(I37&gt;=BandHigh,"High",IF(I37&gt;=BandMed,"Medium","Low"))))</f>
        <v/>
      </c>
      <c r="K37" s="5" t="n"/>
      <c r="L37" s="31">
        <f>IF(K37="","",(LEN(K37)-LEN(SUBSTITUTE(K37,"[IPL]","")))/5)</f>
        <v/>
      </c>
      <c r="M37" s="20" t="n"/>
      <c r="N37" s="20" t="n"/>
      <c r="O37" s="31">
        <f>IF(OR(M37="",N37=""),"",INDEX(RiskGrid,6-VALUE(LEFT(M37,1)),VALUE(LEFT(N37,1))))</f>
        <v/>
      </c>
      <c r="P37" s="31">
        <f>IF(O37="","",IF(O37&gt;=BandVH,"Very High",IF(O37&gt;=BandHigh,"High",IF(O37&gt;=BandMed,"Medium","Low"))))</f>
        <v/>
      </c>
      <c r="Q37" s="5" t="n"/>
      <c r="R37" s="5" t="n"/>
    </row>
    <row r="38" ht="30" customHeight="1">
      <c r="A38" s="31">
        <f>IF(B38="","",COUNTIF(B$14:B38,"?*"))</f>
        <v/>
      </c>
      <c r="B38" s="5" t="n"/>
      <c r="C38" s="20" t="n"/>
      <c r="D38" s="6">
        <f>IF(OR(B38="",C38=""),"",UPPER(LEFT(C38,1))&amp;LOWER(MID(C38,2,30))&amp;" "&amp;LOWER(LEFT(B38,1))&amp;MID(B38,2,200))</f>
        <v/>
      </c>
      <c r="E38" s="5" t="n"/>
      <c r="F38" s="5" t="n"/>
      <c r="G38" s="20" t="n"/>
      <c r="H38" s="20" t="n"/>
      <c r="I38" s="31">
        <f>IF(OR(G38="",H38=""),"",INDEX(RiskGrid,6-VALUE(LEFT(G38,1)),VALUE(LEFT(H38,1))))</f>
        <v/>
      </c>
      <c r="J38" s="31">
        <f>IF(I38="","",IF(I38&gt;=BandVH,"Very High",IF(I38&gt;=BandHigh,"High",IF(I38&gt;=BandMed,"Medium","Low"))))</f>
        <v/>
      </c>
      <c r="K38" s="5" t="n"/>
      <c r="L38" s="31">
        <f>IF(K38="","",(LEN(K38)-LEN(SUBSTITUTE(K38,"[IPL]","")))/5)</f>
        <v/>
      </c>
      <c r="M38" s="20" t="n"/>
      <c r="N38" s="20" t="n"/>
      <c r="O38" s="31">
        <f>IF(OR(M38="",N38=""),"",INDEX(RiskGrid,6-VALUE(LEFT(M38,1)),VALUE(LEFT(N38,1))))</f>
        <v/>
      </c>
      <c r="P38" s="31">
        <f>IF(O38="","",IF(O38&gt;=BandVH,"Very High",IF(O38&gt;=BandHigh,"High",IF(O38&gt;=BandMed,"Medium","Low"))))</f>
        <v/>
      </c>
      <c r="Q38" s="5" t="n"/>
      <c r="R38" s="5" t="n"/>
    </row>
    <row r="39" ht="30" customHeight="1">
      <c r="A39" s="31">
        <f>IF(B39="","",COUNTIF(B$14:B39,"?*"))</f>
        <v/>
      </c>
      <c r="B39" s="5" t="n"/>
      <c r="C39" s="20" t="n"/>
      <c r="D39" s="6">
        <f>IF(OR(B39="",C39=""),"",UPPER(LEFT(C39,1))&amp;LOWER(MID(C39,2,30))&amp;" "&amp;LOWER(LEFT(B39,1))&amp;MID(B39,2,200))</f>
        <v/>
      </c>
      <c r="E39" s="5" t="n"/>
      <c r="F39" s="5" t="n"/>
      <c r="G39" s="20" t="n"/>
      <c r="H39" s="20" t="n"/>
      <c r="I39" s="31">
        <f>IF(OR(G39="",H39=""),"",INDEX(RiskGrid,6-VALUE(LEFT(G39,1)),VALUE(LEFT(H39,1))))</f>
        <v/>
      </c>
      <c r="J39" s="31">
        <f>IF(I39="","",IF(I39&gt;=BandVH,"Very High",IF(I39&gt;=BandHigh,"High",IF(I39&gt;=BandMed,"Medium","Low"))))</f>
        <v/>
      </c>
      <c r="K39" s="5" t="n"/>
      <c r="L39" s="31">
        <f>IF(K39="","",(LEN(K39)-LEN(SUBSTITUTE(K39,"[IPL]","")))/5)</f>
        <v/>
      </c>
      <c r="M39" s="20" t="n"/>
      <c r="N39" s="20" t="n"/>
      <c r="O39" s="31">
        <f>IF(OR(M39="",N39=""),"",INDEX(RiskGrid,6-VALUE(LEFT(M39,1)),VALUE(LEFT(N39,1))))</f>
        <v/>
      </c>
      <c r="P39" s="31">
        <f>IF(O39="","",IF(O39&gt;=BandVH,"Very High",IF(O39&gt;=BandHigh,"High",IF(O39&gt;=BandMed,"Medium","Low"))))</f>
        <v/>
      </c>
      <c r="Q39" s="5" t="n"/>
      <c r="R39" s="5" t="n"/>
    </row>
    <row r="40" ht="30" customHeight="1">
      <c r="A40" s="31">
        <f>IF(B40="","",COUNTIF(B$14:B40,"?*"))</f>
        <v/>
      </c>
      <c r="B40" s="5" t="n"/>
      <c r="C40" s="20" t="n"/>
      <c r="D40" s="6">
        <f>IF(OR(B40="",C40=""),"",UPPER(LEFT(C40,1))&amp;LOWER(MID(C40,2,30))&amp;" "&amp;LOWER(LEFT(B40,1))&amp;MID(B40,2,200))</f>
        <v/>
      </c>
      <c r="E40" s="5" t="n"/>
      <c r="F40" s="5" t="n"/>
      <c r="G40" s="20" t="n"/>
      <c r="H40" s="20" t="n"/>
      <c r="I40" s="31">
        <f>IF(OR(G40="",H40=""),"",INDEX(RiskGrid,6-VALUE(LEFT(G40,1)),VALUE(LEFT(H40,1))))</f>
        <v/>
      </c>
      <c r="J40" s="31">
        <f>IF(I40="","",IF(I40&gt;=BandVH,"Very High",IF(I40&gt;=BandHigh,"High",IF(I40&gt;=BandMed,"Medium","Low"))))</f>
        <v/>
      </c>
      <c r="K40" s="5" t="n"/>
      <c r="L40" s="31">
        <f>IF(K40="","",(LEN(K40)-LEN(SUBSTITUTE(K40,"[IPL]","")))/5)</f>
        <v/>
      </c>
      <c r="M40" s="20" t="n"/>
      <c r="N40" s="20" t="n"/>
      <c r="O40" s="31">
        <f>IF(OR(M40="",N40=""),"",INDEX(RiskGrid,6-VALUE(LEFT(M40,1)),VALUE(LEFT(N40,1))))</f>
        <v/>
      </c>
      <c r="P40" s="31">
        <f>IF(O40="","",IF(O40&gt;=BandVH,"Very High",IF(O40&gt;=BandHigh,"High",IF(O40&gt;=BandMed,"Medium","Low"))))</f>
        <v/>
      </c>
      <c r="Q40" s="5" t="n"/>
      <c r="R40" s="5" t="n"/>
    </row>
    <row r="41" ht="30" customHeight="1">
      <c r="A41" s="31">
        <f>IF(B41="","",COUNTIF(B$14:B41,"?*"))</f>
        <v/>
      </c>
      <c r="B41" s="5" t="n"/>
      <c r="C41" s="20" t="n"/>
      <c r="D41" s="6">
        <f>IF(OR(B41="",C41=""),"",UPPER(LEFT(C41,1))&amp;LOWER(MID(C41,2,30))&amp;" "&amp;LOWER(LEFT(B41,1))&amp;MID(B41,2,200))</f>
        <v/>
      </c>
      <c r="E41" s="5" t="n"/>
      <c r="F41" s="5" t="n"/>
      <c r="G41" s="20" t="n"/>
      <c r="H41" s="20" t="n"/>
      <c r="I41" s="31">
        <f>IF(OR(G41="",H41=""),"",INDEX(RiskGrid,6-VALUE(LEFT(G41,1)),VALUE(LEFT(H41,1))))</f>
        <v/>
      </c>
      <c r="J41" s="31">
        <f>IF(I41="","",IF(I41&gt;=BandVH,"Very High",IF(I41&gt;=BandHigh,"High",IF(I41&gt;=BandMed,"Medium","Low"))))</f>
        <v/>
      </c>
      <c r="K41" s="5" t="n"/>
      <c r="L41" s="31">
        <f>IF(K41="","",(LEN(K41)-LEN(SUBSTITUTE(K41,"[IPL]","")))/5)</f>
        <v/>
      </c>
      <c r="M41" s="20" t="n"/>
      <c r="N41" s="20" t="n"/>
      <c r="O41" s="31">
        <f>IF(OR(M41="",N41=""),"",INDEX(RiskGrid,6-VALUE(LEFT(M41,1)),VALUE(LEFT(N41,1))))</f>
        <v/>
      </c>
      <c r="P41" s="31">
        <f>IF(O41="","",IF(O41&gt;=BandVH,"Very High",IF(O41&gt;=BandHigh,"High",IF(O41&gt;=BandMed,"Medium","Low"))))</f>
        <v/>
      </c>
      <c r="Q41" s="5" t="n"/>
      <c r="R41" s="5" t="n"/>
    </row>
    <row r="42" ht="30" customHeight="1">
      <c r="A42" s="31">
        <f>IF(B42="","",COUNTIF(B$14:B42,"?*"))</f>
        <v/>
      </c>
      <c r="B42" s="5" t="n"/>
      <c r="C42" s="20" t="n"/>
      <c r="D42" s="6">
        <f>IF(OR(B42="",C42=""),"",UPPER(LEFT(C42,1))&amp;LOWER(MID(C42,2,30))&amp;" "&amp;LOWER(LEFT(B42,1))&amp;MID(B42,2,200))</f>
        <v/>
      </c>
      <c r="E42" s="5" t="n"/>
      <c r="F42" s="5" t="n"/>
      <c r="G42" s="20" t="n"/>
      <c r="H42" s="20" t="n"/>
      <c r="I42" s="31">
        <f>IF(OR(G42="",H42=""),"",INDEX(RiskGrid,6-VALUE(LEFT(G42,1)),VALUE(LEFT(H42,1))))</f>
        <v/>
      </c>
      <c r="J42" s="31">
        <f>IF(I42="","",IF(I42&gt;=BandVH,"Very High",IF(I42&gt;=BandHigh,"High",IF(I42&gt;=BandMed,"Medium","Low"))))</f>
        <v/>
      </c>
      <c r="K42" s="5" t="n"/>
      <c r="L42" s="31">
        <f>IF(K42="","",(LEN(K42)-LEN(SUBSTITUTE(K42,"[IPL]","")))/5)</f>
        <v/>
      </c>
      <c r="M42" s="20" t="n"/>
      <c r="N42" s="20" t="n"/>
      <c r="O42" s="31">
        <f>IF(OR(M42="",N42=""),"",INDEX(RiskGrid,6-VALUE(LEFT(M42,1)),VALUE(LEFT(N42,1))))</f>
        <v/>
      </c>
      <c r="P42" s="31">
        <f>IF(O42="","",IF(O42&gt;=BandVH,"Very High",IF(O42&gt;=BandHigh,"High",IF(O42&gt;=BandMed,"Medium","Low"))))</f>
        <v/>
      </c>
      <c r="Q42" s="5" t="n"/>
      <c r="R42" s="5" t="n"/>
    </row>
    <row r="43" ht="30" customHeight="1">
      <c r="A43" s="31">
        <f>IF(B43="","",COUNTIF(B$14:B43,"?*"))</f>
        <v/>
      </c>
      <c r="B43" s="5" t="n"/>
      <c r="C43" s="20" t="n"/>
      <c r="D43" s="6">
        <f>IF(OR(B43="",C43=""),"",UPPER(LEFT(C43,1))&amp;LOWER(MID(C43,2,30))&amp;" "&amp;LOWER(LEFT(B43,1))&amp;MID(B43,2,200))</f>
        <v/>
      </c>
      <c r="E43" s="5" t="n"/>
      <c r="F43" s="5" t="n"/>
      <c r="G43" s="20" t="n"/>
      <c r="H43" s="20" t="n"/>
      <c r="I43" s="31">
        <f>IF(OR(G43="",H43=""),"",INDEX(RiskGrid,6-VALUE(LEFT(G43,1)),VALUE(LEFT(H43,1))))</f>
        <v/>
      </c>
      <c r="J43" s="31">
        <f>IF(I43="","",IF(I43&gt;=BandVH,"Very High",IF(I43&gt;=BandHigh,"High",IF(I43&gt;=BandMed,"Medium","Low"))))</f>
        <v/>
      </c>
      <c r="K43" s="5" t="n"/>
      <c r="L43" s="31">
        <f>IF(K43="","",(LEN(K43)-LEN(SUBSTITUTE(K43,"[IPL]","")))/5)</f>
        <v/>
      </c>
      <c r="M43" s="20" t="n"/>
      <c r="N43" s="20" t="n"/>
      <c r="O43" s="31">
        <f>IF(OR(M43="",N43=""),"",INDEX(RiskGrid,6-VALUE(LEFT(M43,1)),VALUE(LEFT(N43,1))))</f>
        <v/>
      </c>
      <c r="P43" s="31">
        <f>IF(O43="","",IF(O43&gt;=BandVH,"Very High",IF(O43&gt;=BandHigh,"High",IF(O43&gt;=BandMed,"Medium","Low"))))</f>
        <v/>
      </c>
      <c r="Q43" s="5" t="n"/>
      <c r="R43" s="5" t="n"/>
    </row>
    <row r="44" ht="30" customHeight="1">
      <c r="A44" s="31">
        <f>IF(B44="","",COUNTIF(B$14:B44,"?*"))</f>
        <v/>
      </c>
      <c r="B44" s="5" t="n"/>
      <c r="C44" s="20" t="n"/>
      <c r="D44" s="6">
        <f>IF(OR(B44="",C44=""),"",UPPER(LEFT(C44,1))&amp;LOWER(MID(C44,2,30))&amp;" "&amp;LOWER(LEFT(B44,1))&amp;MID(B44,2,200))</f>
        <v/>
      </c>
      <c r="E44" s="5" t="n"/>
      <c r="F44" s="5" t="n"/>
      <c r="G44" s="20" t="n"/>
      <c r="H44" s="20" t="n"/>
      <c r="I44" s="31">
        <f>IF(OR(G44="",H44=""),"",INDEX(RiskGrid,6-VALUE(LEFT(G44,1)),VALUE(LEFT(H44,1))))</f>
        <v/>
      </c>
      <c r="J44" s="31">
        <f>IF(I44="","",IF(I44&gt;=BandVH,"Very High",IF(I44&gt;=BandHigh,"High",IF(I44&gt;=BandMed,"Medium","Low"))))</f>
        <v/>
      </c>
      <c r="K44" s="5" t="n"/>
      <c r="L44" s="31">
        <f>IF(K44="","",(LEN(K44)-LEN(SUBSTITUTE(K44,"[IPL]","")))/5)</f>
        <v/>
      </c>
      <c r="M44" s="20" t="n"/>
      <c r="N44" s="20" t="n"/>
      <c r="O44" s="31">
        <f>IF(OR(M44="",N44=""),"",INDEX(RiskGrid,6-VALUE(LEFT(M44,1)),VALUE(LEFT(N44,1))))</f>
        <v/>
      </c>
      <c r="P44" s="31">
        <f>IF(O44="","",IF(O44&gt;=BandVH,"Very High",IF(O44&gt;=BandHigh,"High",IF(O44&gt;=BandMed,"Medium","Low"))))</f>
        <v/>
      </c>
      <c r="Q44" s="5" t="n"/>
      <c r="R44" s="5" t="n"/>
    </row>
    <row r="45" ht="30" customHeight="1">
      <c r="A45" s="31">
        <f>IF(B45="","",COUNTIF(B$14:B45,"?*"))</f>
        <v/>
      </c>
      <c r="B45" s="5" t="n"/>
      <c r="C45" s="20" t="n"/>
      <c r="D45" s="6">
        <f>IF(OR(B45="",C45=""),"",UPPER(LEFT(C45,1))&amp;LOWER(MID(C45,2,30))&amp;" "&amp;LOWER(LEFT(B45,1))&amp;MID(B45,2,200))</f>
        <v/>
      </c>
      <c r="E45" s="5" t="n"/>
      <c r="F45" s="5" t="n"/>
      <c r="G45" s="20" t="n"/>
      <c r="H45" s="20" t="n"/>
      <c r="I45" s="31">
        <f>IF(OR(G45="",H45=""),"",INDEX(RiskGrid,6-VALUE(LEFT(G45,1)),VALUE(LEFT(H45,1))))</f>
        <v/>
      </c>
      <c r="J45" s="31">
        <f>IF(I45="","",IF(I45&gt;=BandVH,"Very High",IF(I45&gt;=BandHigh,"High",IF(I45&gt;=BandMed,"Medium","Low"))))</f>
        <v/>
      </c>
      <c r="K45" s="5" t="n"/>
      <c r="L45" s="31">
        <f>IF(K45="","",(LEN(K45)-LEN(SUBSTITUTE(K45,"[IPL]","")))/5)</f>
        <v/>
      </c>
      <c r="M45" s="20" t="n"/>
      <c r="N45" s="20" t="n"/>
      <c r="O45" s="31">
        <f>IF(OR(M45="",N45=""),"",INDEX(RiskGrid,6-VALUE(LEFT(M45,1)),VALUE(LEFT(N45,1))))</f>
        <v/>
      </c>
      <c r="P45" s="31">
        <f>IF(O45="","",IF(O45&gt;=BandVH,"Very High",IF(O45&gt;=BandHigh,"High",IF(O45&gt;=BandMed,"Medium","Low"))))</f>
        <v/>
      </c>
      <c r="Q45" s="5" t="n"/>
      <c r="R45" s="5" t="n"/>
    </row>
    <row r="46" ht="30" customHeight="1">
      <c r="A46" s="31">
        <f>IF(B46="","",COUNTIF(B$14:B46,"?*"))</f>
        <v/>
      </c>
      <c r="B46" s="5" t="n"/>
      <c r="C46" s="20" t="n"/>
      <c r="D46" s="6">
        <f>IF(OR(B46="",C46=""),"",UPPER(LEFT(C46,1))&amp;LOWER(MID(C46,2,30))&amp;" "&amp;LOWER(LEFT(B46,1))&amp;MID(B46,2,200))</f>
        <v/>
      </c>
      <c r="E46" s="5" t="n"/>
      <c r="F46" s="5" t="n"/>
      <c r="G46" s="20" t="n"/>
      <c r="H46" s="20" t="n"/>
      <c r="I46" s="31">
        <f>IF(OR(G46="",H46=""),"",INDEX(RiskGrid,6-VALUE(LEFT(G46,1)),VALUE(LEFT(H46,1))))</f>
        <v/>
      </c>
      <c r="J46" s="31">
        <f>IF(I46="","",IF(I46&gt;=BandVH,"Very High",IF(I46&gt;=BandHigh,"High",IF(I46&gt;=BandMed,"Medium","Low"))))</f>
        <v/>
      </c>
      <c r="K46" s="5" t="n"/>
      <c r="L46" s="31">
        <f>IF(K46="","",(LEN(K46)-LEN(SUBSTITUTE(K46,"[IPL]","")))/5)</f>
        <v/>
      </c>
      <c r="M46" s="20" t="n"/>
      <c r="N46" s="20" t="n"/>
      <c r="O46" s="31">
        <f>IF(OR(M46="",N46=""),"",INDEX(RiskGrid,6-VALUE(LEFT(M46,1)),VALUE(LEFT(N46,1))))</f>
        <v/>
      </c>
      <c r="P46" s="31">
        <f>IF(O46="","",IF(O46&gt;=BandVH,"Very High",IF(O46&gt;=BandHigh,"High",IF(O46&gt;=BandMed,"Medium","Low"))))</f>
        <v/>
      </c>
      <c r="Q46" s="5" t="n"/>
      <c r="R46" s="5" t="n"/>
    </row>
    <row r="47" ht="30" customHeight="1">
      <c r="A47" s="31">
        <f>IF(B47="","",COUNTIF(B$14:B47,"?*"))</f>
        <v/>
      </c>
      <c r="B47" s="5" t="n"/>
      <c r="C47" s="20" t="n"/>
      <c r="D47" s="6">
        <f>IF(OR(B47="",C47=""),"",UPPER(LEFT(C47,1))&amp;LOWER(MID(C47,2,30))&amp;" "&amp;LOWER(LEFT(B47,1))&amp;MID(B47,2,200))</f>
        <v/>
      </c>
      <c r="E47" s="5" t="n"/>
      <c r="F47" s="5" t="n"/>
      <c r="G47" s="20" t="n"/>
      <c r="H47" s="20" t="n"/>
      <c r="I47" s="31">
        <f>IF(OR(G47="",H47=""),"",INDEX(RiskGrid,6-VALUE(LEFT(G47,1)),VALUE(LEFT(H47,1))))</f>
        <v/>
      </c>
      <c r="J47" s="31">
        <f>IF(I47="","",IF(I47&gt;=BandVH,"Very High",IF(I47&gt;=BandHigh,"High",IF(I47&gt;=BandMed,"Medium","Low"))))</f>
        <v/>
      </c>
      <c r="K47" s="5" t="n"/>
      <c r="L47" s="31">
        <f>IF(K47="","",(LEN(K47)-LEN(SUBSTITUTE(K47,"[IPL]","")))/5)</f>
        <v/>
      </c>
      <c r="M47" s="20" t="n"/>
      <c r="N47" s="20" t="n"/>
      <c r="O47" s="31">
        <f>IF(OR(M47="",N47=""),"",INDEX(RiskGrid,6-VALUE(LEFT(M47,1)),VALUE(LEFT(N47,1))))</f>
        <v/>
      </c>
      <c r="P47" s="31">
        <f>IF(O47="","",IF(O47&gt;=BandVH,"Very High",IF(O47&gt;=BandHigh,"High",IF(O47&gt;=BandMed,"Medium","Low"))))</f>
        <v/>
      </c>
      <c r="Q47" s="5" t="n"/>
      <c r="R47" s="5" t="n"/>
    </row>
    <row r="48" ht="30" customHeight="1">
      <c r="A48" s="31">
        <f>IF(B48="","",COUNTIF(B$14:B48,"?*"))</f>
        <v/>
      </c>
      <c r="B48" s="5" t="n"/>
      <c r="C48" s="20" t="n"/>
      <c r="D48" s="6">
        <f>IF(OR(B48="",C48=""),"",UPPER(LEFT(C48,1))&amp;LOWER(MID(C48,2,30))&amp;" "&amp;LOWER(LEFT(B48,1))&amp;MID(B48,2,200))</f>
        <v/>
      </c>
      <c r="E48" s="5" t="n"/>
      <c r="F48" s="5" t="n"/>
      <c r="G48" s="20" t="n"/>
      <c r="H48" s="20" t="n"/>
      <c r="I48" s="31">
        <f>IF(OR(G48="",H48=""),"",INDEX(RiskGrid,6-VALUE(LEFT(G48,1)),VALUE(LEFT(H48,1))))</f>
        <v/>
      </c>
      <c r="J48" s="31">
        <f>IF(I48="","",IF(I48&gt;=BandVH,"Very High",IF(I48&gt;=BandHigh,"High",IF(I48&gt;=BandMed,"Medium","Low"))))</f>
        <v/>
      </c>
      <c r="K48" s="5" t="n"/>
      <c r="L48" s="31">
        <f>IF(K48="","",(LEN(K48)-LEN(SUBSTITUTE(K48,"[IPL]","")))/5)</f>
        <v/>
      </c>
      <c r="M48" s="20" t="n"/>
      <c r="N48" s="20" t="n"/>
      <c r="O48" s="31">
        <f>IF(OR(M48="",N48=""),"",INDEX(RiskGrid,6-VALUE(LEFT(M48,1)),VALUE(LEFT(N48,1))))</f>
        <v/>
      </c>
      <c r="P48" s="31">
        <f>IF(O48="","",IF(O48&gt;=BandVH,"Very High",IF(O48&gt;=BandHigh,"High",IF(O48&gt;=BandMed,"Medium","Low"))))</f>
        <v/>
      </c>
      <c r="Q48" s="5" t="n"/>
      <c r="R48" s="5" t="n"/>
    </row>
    <row r="49" ht="30" customHeight="1">
      <c r="A49" s="31">
        <f>IF(B49="","",COUNTIF(B$14:B49,"?*"))</f>
        <v/>
      </c>
      <c r="B49" s="5" t="n"/>
      <c r="C49" s="20" t="n"/>
      <c r="D49" s="6">
        <f>IF(OR(B49="",C49=""),"",UPPER(LEFT(C49,1))&amp;LOWER(MID(C49,2,30))&amp;" "&amp;LOWER(LEFT(B49,1))&amp;MID(B49,2,200))</f>
        <v/>
      </c>
      <c r="E49" s="5" t="n"/>
      <c r="F49" s="5" t="n"/>
      <c r="G49" s="20" t="n"/>
      <c r="H49" s="20" t="n"/>
      <c r="I49" s="31">
        <f>IF(OR(G49="",H49=""),"",INDEX(RiskGrid,6-VALUE(LEFT(G49,1)),VALUE(LEFT(H49,1))))</f>
        <v/>
      </c>
      <c r="J49" s="31">
        <f>IF(I49="","",IF(I49&gt;=BandVH,"Very High",IF(I49&gt;=BandHigh,"High",IF(I49&gt;=BandMed,"Medium","Low"))))</f>
        <v/>
      </c>
      <c r="K49" s="5" t="n"/>
      <c r="L49" s="31">
        <f>IF(K49="","",(LEN(K49)-LEN(SUBSTITUTE(K49,"[IPL]","")))/5)</f>
        <v/>
      </c>
      <c r="M49" s="20" t="n"/>
      <c r="N49" s="20" t="n"/>
      <c r="O49" s="31">
        <f>IF(OR(M49="",N49=""),"",INDEX(RiskGrid,6-VALUE(LEFT(M49,1)),VALUE(LEFT(N49,1))))</f>
        <v/>
      </c>
      <c r="P49" s="31">
        <f>IF(O49="","",IF(O49&gt;=BandVH,"Very High",IF(O49&gt;=BandHigh,"High",IF(O49&gt;=BandMed,"Medium","Low"))))</f>
        <v/>
      </c>
      <c r="Q49" s="5" t="n"/>
      <c r="R49" s="5" t="n"/>
    </row>
    <row r="50" ht="30" customHeight="1">
      <c r="A50" s="31">
        <f>IF(B50="","",COUNTIF(B$14:B50,"?*"))</f>
        <v/>
      </c>
      <c r="B50" s="5" t="n"/>
      <c r="C50" s="20" t="n"/>
      <c r="D50" s="6">
        <f>IF(OR(B50="",C50=""),"",UPPER(LEFT(C50,1))&amp;LOWER(MID(C50,2,30))&amp;" "&amp;LOWER(LEFT(B50,1))&amp;MID(B50,2,200))</f>
        <v/>
      </c>
      <c r="E50" s="5" t="n"/>
      <c r="F50" s="5" t="n"/>
      <c r="G50" s="20" t="n"/>
      <c r="H50" s="20" t="n"/>
      <c r="I50" s="31">
        <f>IF(OR(G50="",H50=""),"",INDEX(RiskGrid,6-VALUE(LEFT(G50,1)),VALUE(LEFT(H50,1))))</f>
        <v/>
      </c>
      <c r="J50" s="31">
        <f>IF(I50="","",IF(I50&gt;=BandVH,"Very High",IF(I50&gt;=BandHigh,"High",IF(I50&gt;=BandMed,"Medium","Low"))))</f>
        <v/>
      </c>
      <c r="K50" s="5" t="n"/>
      <c r="L50" s="31">
        <f>IF(K50="","",(LEN(K50)-LEN(SUBSTITUTE(K50,"[IPL]","")))/5)</f>
        <v/>
      </c>
      <c r="M50" s="20" t="n"/>
      <c r="N50" s="20" t="n"/>
      <c r="O50" s="31">
        <f>IF(OR(M50="",N50=""),"",INDEX(RiskGrid,6-VALUE(LEFT(M50,1)),VALUE(LEFT(N50,1))))</f>
        <v/>
      </c>
      <c r="P50" s="31">
        <f>IF(O50="","",IF(O50&gt;=BandVH,"Very High",IF(O50&gt;=BandHigh,"High",IF(O50&gt;=BandMed,"Medium","Low"))))</f>
        <v/>
      </c>
      <c r="Q50" s="5" t="n"/>
      <c r="R50" s="5" t="n"/>
    </row>
    <row r="51" ht="30" customHeight="1">
      <c r="A51" s="31">
        <f>IF(B51="","",COUNTIF(B$14:B51,"?*"))</f>
        <v/>
      </c>
      <c r="B51" s="5" t="n"/>
      <c r="C51" s="20" t="n"/>
      <c r="D51" s="6">
        <f>IF(OR(B51="",C51=""),"",UPPER(LEFT(C51,1))&amp;LOWER(MID(C51,2,30))&amp;" "&amp;LOWER(LEFT(B51,1))&amp;MID(B51,2,200))</f>
        <v/>
      </c>
      <c r="E51" s="5" t="n"/>
      <c r="F51" s="5" t="n"/>
      <c r="G51" s="20" t="n"/>
      <c r="H51" s="20" t="n"/>
      <c r="I51" s="31">
        <f>IF(OR(G51="",H51=""),"",INDEX(RiskGrid,6-VALUE(LEFT(G51,1)),VALUE(LEFT(H51,1))))</f>
        <v/>
      </c>
      <c r="J51" s="31">
        <f>IF(I51="","",IF(I51&gt;=BandVH,"Very High",IF(I51&gt;=BandHigh,"High",IF(I51&gt;=BandMed,"Medium","Low"))))</f>
        <v/>
      </c>
      <c r="K51" s="5" t="n"/>
      <c r="L51" s="31">
        <f>IF(K51="","",(LEN(K51)-LEN(SUBSTITUTE(K51,"[IPL]","")))/5)</f>
        <v/>
      </c>
      <c r="M51" s="20" t="n"/>
      <c r="N51" s="20" t="n"/>
      <c r="O51" s="31">
        <f>IF(OR(M51="",N51=""),"",INDEX(RiskGrid,6-VALUE(LEFT(M51,1)),VALUE(LEFT(N51,1))))</f>
        <v/>
      </c>
      <c r="P51" s="31">
        <f>IF(O51="","",IF(O51&gt;=BandVH,"Very High",IF(O51&gt;=BandHigh,"High",IF(O51&gt;=BandMed,"Medium","Low"))))</f>
        <v/>
      </c>
      <c r="Q51" s="5" t="n"/>
      <c r="R51" s="5" t="n"/>
    </row>
    <row r="52" ht="30" customHeight="1">
      <c r="A52" s="31">
        <f>IF(B52="","",COUNTIF(B$14:B52,"?*"))</f>
        <v/>
      </c>
      <c r="B52" s="5" t="n"/>
      <c r="C52" s="20" t="n"/>
      <c r="D52" s="6">
        <f>IF(OR(B52="",C52=""),"",UPPER(LEFT(C52,1))&amp;LOWER(MID(C52,2,30))&amp;" "&amp;LOWER(LEFT(B52,1))&amp;MID(B52,2,200))</f>
        <v/>
      </c>
      <c r="E52" s="5" t="n"/>
      <c r="F52" s="5" t="n"/>
      <c r="G52" s="20" t="n"/>
      <c r="H52" s="20" t="n"/>
      <c r="I52" s="31">
        <f>IF(OR(G52="",H52=""),"",INDEX(RiskGrid,6-VALUE(LEFT(G52,1)),VALUE(LEFT(H52,1))))</f>
        <v/>
      </c>
      <c r="J52" s="31">
        <f>IF(I52="","",IF(I52&gt;=BandVH,"Very High",IF(I52&gt;=BandHigh,"High",IF(I52&gt;=BandMed,"Medium","Low"))))</f>
        <v/>
      </c>
      <c r="K52" s="5" t="n"/>
      <c r="L52" s="31">
        <f>IF(K52="","",(LEN(K52)-LEN(SUBSTITUTE(K52,"[IPL]","")))/5)</f>
        <v/>
      </c>
      <c r="M52" s="20" t="n"/>
      <c r="N52" s="20" t="n"/>
      <c r="O52" s="31">
        <f>IF(OR(M52="",N52=""),"",INDEX(RiskGrid,6-VALUE(LEFT(M52,1)),VALUE(LEFT(N52,1))))</f>
        <v/>
      </c>
      <c r="P52" s="31">
        <f>IF(O52="","",IF(O52&gt;=BandVH,"Very High",IF(O52&gt;=BandHigh,"High",IF(O52&gt;=BandMed,"Medium","Low"))))</f>
        <v/>
      </c>
      <c r="Q52" s="5" t="n"/>
      <c r="R52" s="5" t="n"/>
    </row>
    <row r="53" ht="30" customHeight="1">
      <c r="A53" s="31">
        <f>IF(B53="","",COUNTIF(B$14:B53,"?*"))</f>
        <v/>
      </c>
      <c r="B53" s="5" t="n"/>
      <c r="C53" s="20" t="n"/>
      <c r="D53" s="6">
        <f>IF(OR(B53="",C53=""),"",UPPER(LEFT(C53,1))&amp;LOWER(MID(C53,2,30))&amp;" "&amp;LOWER(LEFT(B53,1))&amp;MID(B53,2,200))</f>
        <v/>
      </c>
      <c r="E53" s="5" t="n"/>
      <c r="F53" s="5" t="n"/>
      <c r="G53" s="20" t="n"/>
      <c r="H53" s="20" t="n"/>
      <c r="I53" s="31">
        <f>IF(OR(G53="",H53=""),"",INDEX(RiskGrid,6-VALUE(LEFT(G53,1)),VALUE(LEFT(H53,1))))</f>
        <v/>
      </c>
      <c r="J53" s="31">
        <f>IF(I53="","",IF(I53&gt;=BandVH,"Very High",IF(I53&gt;=BandHigh,"High",IF(I53&gt;=BandMed,"Medium","Low"))))</f>
        <v/>
      </c>
      <c r="K53" s="5" t="n"/>
      <c r="L53" s="31">
        <f>IF(K53="","",(LEN(K53)-LEN(SUBSTITUTE(K53,"[IPL]","")))/5)</f>
        <v/>
      </c>
      <c r="M53" s="20" t="n"/>
      <c r="N53" s="20" t="n"/>
      <c r="O53" s="31">
        <f>IF(OR(M53="",N53=""),"",INDEX(RiskGrid,6-VALUE(LEFT(M53,1)),VALUE(LEFT(N53,1))))</f>
        <v/>
      </c>
      <c r="P53" s="31">
        <f>IF(O53="","",IF(O53&gt;=BandVH,"Very High",IF(O53&gt;=BandHigh,"High",IF(O53&gt;=BandMed,"Medium","Low"))))</f>
        <v/>
      </c>
      <c r="Q53" s="5" t="n"/>
      <c r="R53" s="5" t="n"/>
    </row>
    <row r="54" ht="30" customHeight="1">
      <c r="A54" s="31">
        <f>IF(B54="","",COUNTIF(B$14:B54,"?*"))</f>
        <v/>
      </c>
      <c r="B54" s="5" t="n"/>
      <c r="C54" s="20" t="n"/>
      <c r="D54" s="6">
        <f>IF(OR(B54="",C54=""),"",UPPER(LEFT(C54,1))&amp;LOWER(MID(C54,2,30))&amp;" "&amp;LOWER(LEFT(B54,1))&amp;MID(B54,2,200))</f>
        <v/>
      </c>
      <c r="E54" s="5" t="n"/>
      <c r="F54" s="5" t="n"/>
      <c r="G54" s="20" t="n"/>
      <c r="H54" s="20" t="n"/>
      <c r="I54" s="31">
        <f>IF(OR(G54="",H54=""),"",INDEX(RiskGrid,6-VALUE(LEFT(G54,1)),VALUE(LEFT(H54,1))))</f>
        <v/>
      </c>
      <c r="J54" s="31">
        <f>IF(I54="","",IF(I54&gt;=BandVH,"Very High",IF(I54&gt;=BandHigh,"High",IF(I54&gt;=BandMed,"Medium","Low"))))</f>
        <v/>
      </c>
      <c r="K54" s="5" t="n"/>
      <c r="L54" s="31">
        <f>IF(K54="","",(LEN(K54)-LEN(SUBSTITUTE(K54,"[IPL]","")))/5)</f>
        <v/>
      </c>
      <c r="M54" s="20" t="n"/>
      <c r="N54" s="20" t="n"/>
      <c r="O54" s="31">
        <f>IF(OR(M54="",N54=""),"",INDEX(RiskGrid,6-VALUE(LEFT(M54,1)),VALUE(LEFT(N54,1))))</f>
        <v/>
      </c>
      <c r="P54" s="31">
        <f>IF(O54="","",IF(O54&gt;=BandVH,"Very High",IF(O54&gt;=BandHigh,"High",IF(O54&gt;=BandMed,"Medium","Low"))))</f>
        <v/>
      </c>
      <c r="Q54" s="5" t="n"/>
      <c r="R54" s="5" t="n"/>
    </row>
    <row r="55" ht="30" customHeight="1">
      <c r="A55" s="31">
        <f>IF(B55="","",COUNTIF(B$14:B55,"?*"))</f>
        <v/>
      </c>
      <c r="B55" s="5" t="n"/>
      <c r="C55" s="20" t="n"/>
      <c r="D55" s="6">
        <f>IF(OR(B55="",C55=""),"",UPPER(LEFT(C55,1))&amp;LOWER(MID(C55,2,30))&amp;" "&amp;LOWER(LEFT(B55,1))&amp;MID(B55,2,200))</f>
        <v/>
      </c>
      <c r="E55" s="5" t="n"/>
      <c r="F55" s="5" t="n"/>
      <c r="G55" s="20" t="n"/>
      <c r="H55" s="20" t="n"/>
      <c r="I55" s="31">
        <f>IF(OR(G55="",H55=""),"",INDEX(RiskGrid,6-VALUE(LEFT(G55,1)),VALUE(LEFT(H55,1))))</f>
        <v/>
      </c>
      <c r="J55" s="31">
        <f>IF(I55="","",IF(I55&gt;=BandVH,"Very High",IF(I55&gt;=BandHigh,"High",IF(I55&gt;=BandMed,"Medium","Low"))))</f>
        <v/>
      </c>
      <c r="K55" s="5" t="n"/>
      <c r="L55" s="31">
        <f>IF(K55="","",(LEN(K55)-LEN(SUBSTITUTE(K55,"[IPL]","")))/5)</f>
        <v/>
      </c>
      <c r="M55" s="20" t="n"/>
      <c r="N55" s="20" t="n"/>
      <c r="O55" s="31">
        <f>IF(OR(M55="",N55=""),"",INDEX(RiskGrid,6-VALUE(LEFT(M55,1)),VALUE(LEFT(N55,1))))</f>
        <v/>
      </c>
      <c r="P55" s="31">
        <f>IF(O55="","",IF(O55&gt;=BandVH,"Very High",IF(O55&gt;=BandHigh,"High",IF(O55&gt;=BandMed,"Medium","Low"))))</f>
        <v/>
      </c>
      <c r="Q55" s="5" t="n"/>
      <c r="R55" s="5" t="n"/>
    </row>
    <row r="56" ht="30" customHeight="1">
      <c r="A56" s="31">
        <f>IF(B56="","",COUNTIF(B$14:B56,"?*"))</f>
        <v/>
      </c>
      <c r="B56" s="5" t="n"/>
      <c r="C56" s="20" t="n"/>
      <c r="D56" s="6">
        <f>IF(OR(B56="",C56=""),"",UPPER(LEFT(C56,1))&amp;LOWER(MID(C56,2,30))&amp;" "&amp;LOWER(LEFT(B56,1))&amp;MID(B56,2,200))</f>
        <v/>
      </c>
      <c r="E56" s="5" t="n"/>
      <c r="F56" s="5" t="n"/>
      <c r="G56" s="20" t="n"/>
      <c r="H56" s="20" t="n"/>
      <c r="I56" s="31">
        <f>IF(OR(G56="",H56=""),"",INDEX(RiskGrid,6-VALUE(LEFT(G56,1)),VALUE(LEFT(H56,1))))</f>
        <v/>
      </c>
      <c r="J56" s="31">
        <f>IF(I56="","",IF(I56&gt;=BandVH,"Very High",IF(I56&gt;=BandHigh,"High",IF(I56&gt;=BandMed,"Medium","Low"))))</f>
        <v/>
      </c>
      <c r="K56" s="5" t="n"/>
      <c r="L56" s="31">
        <f>IF(K56="","",(LEN(K56)-LEN(SUBSTITUTE(K56,"[IPL]","")))/5)</f>
        <v/>
      </c>
      <c r="M56" s="20" t="n"/>
      <c r="N56" s="20" t="n"/>
      <c r="O56" s="31">
        <f>IF(OR(M56="",N56=""),"",INDEX(RiskGrid,6-VALUE(LEFT(M56,1)),VALUE(LEFT(N56,1))))</f>
        <v/>
      </c>
      <c r="P56" s="31">
        <f>IF(O56="","",IF(O56&gt;=BandVH,"Very High",IF(O56&gt;=BandHigh,"High",IF(O56&gt;=BandMed,"Medium","Low"))))</f>
        <v/>
      </c>
      <c r="Q56" s="5" t="n"/>
      <c r="R56" s="5" t="n"/>
    </row>
    <row r="57" ht="30" customHeight="1">
      <c r="A57" s="31">
        <f>IF(B57="","",COUNTIF(B$14:B57,"?*"))</f>
        <v/>
      </c>
      <c r="B57" s="5" t="n"/>
      <c r="C57" s="20" t="n"/>
      <c r="D57" s="6">
        <f>IF(OR(B57="",C57=""),"",UPPER(LEFT(C57,1))&amp;LOWER(MID(C57,2,30))&amp;" "&amp;LOWER(LEFT(B57,1))&amp;MID(B57,2,200))</f>
        <v/>
      </c>
      <c r="E57" s="5" t="n"/>
      <c r="F57" s="5" t="n"/>
      <c r="G57" s="20" t="n"/>
      <c r="H57" s="20" t="n"/>
      <c r="I57" s="31">
        <f>IF(OR(G57="",H57=""),"",INDEX(RiskGrid,6-VALUE(LEFT(G57,1)),VALUE(LEFT(H57,1))))</f>
        <v/>
      </c>
      <c r="J57" s="31">
        <f>IF(I57="","",IF(I57&gt;=BandVH,"Very High",IF(I57&gt;=BandHigh,"High",IF(I57&gt;=BandMed,"Medium","Low"))))</f>
        <v/>
      </c>
      <c r="K57" s="5" t="n"/>
      <c r="L57" s="31">
        <f>IF(K57="","",(LEN(K57)-LEN(SUBSTITUTE(K57,"[IPL]","")))/5)</f>
        <v/>
      </c>
      <c r="M57" s="20" t="n"/>
      <c r="N57" s="20" t="n"/>
      <c r="O57" s="31">
        <f>IF(OR(M57="",N57=""),"",INDEX(RiskGrid,6-VALUE(LEFT(M57,1)),VALUE(LEFT(N57,1))))</f>
        <v/>
      </c>
      <c r="P57" s="31">
        <f>IF(O57="","",IF(O57&gt;=BandVH,"Very High",IF(O57&gt;=BandHigh,"High",IF(O57&gt;=BandMed,"Medium","Low"))))</f>
        <v/>
      </c>
      <c r="Q57" s="5" t="n"/>
      <c r="R57" s="5" t="n"/>
    </row>
    <row r="58" ht="30" customHeight="1">
      <c r="A58" s="31">
        <f>IF(B58="","",COUNTIF(B$14:B58,"?*"))</f>
        <v/>
      </c>
      <c r="B58" s="5" t="n"/>
      <c r="C58" s="20" t="n"/>
      <c r="D58" s="6">
        <f>IF(OR(B58="",C58=""),"",UPPER(LEFT(C58,1))&amp;LOWER(MID(C58,2,30))&amp;" "&amp;LOWER(LEFT(B58,1))&amp;MID(B58,2,200))</f>
        <v/>
      </c>
      <c r="E58" s="5" t="n"/>
      <c r="F58" s="5" t="n"/>
      <c r="G58" s="20" t="n"/>
      <c r="H58" s="20" t="n"/>
      <c r="I58" s="31">
        <f>IF(OR(G58="",H58=""),"",INDEX(RiskGrid,6-VALUE(LEFT(G58,1)),VALUE(LEFT(H58,1))))</f>
        <v/>
      </c>
      <c r="J58" s="31">
        <f>IF(I58="","",IF(I58&gt;=BandVH,"Very High",IF(I58&gt;=BandHigh,"High",IF(I58&gt;=BandMed,"Medium","Low"))))</f>
        <v/>
      </c>
      <c r="K58" s="5" t="n"/>
      <c r="L58" s="31">
        <f>IF(K58="","",(LEN(K58)-LEN(SUBSTITUTE(K58,"[IPL]","")))/5)</f>
        <v/>
      </c>
      <c r="M58" s="20" t="n"/>
      <c r="N58" s="20" t="n"/>
      <c r="O58" s="31">
        <f>IF(OR(M58="",N58=""),"",INDEX(RiskGrid,6-VALUE(LEFT(M58,1)),VALUE(LEFT(N58,1))))</f>
        <v/>
      </c>
      <c r="P58" s="31">
        <f>IF(O58="","",IF(O58&gt;=BandVH,"Very High",IF(O58&gt;=BandHigh,"High",IF(O58&gt;=BandMed,"Medium","Low"))))</f>
        <v/>
      </c>
      <c r="Q58" s="5" t="n"/>
      <c r="R58" s="5" t="n"/>
    </row>
    <row r="59" ht="30" customHeight="1">
      <c r="A59" s="31">
        <f>IF(B59="","",COUNTIF(B$14:B59,"?*"))</f>
        <v/>
      </c>
      <c r="B59" s="5" t="n"/>
      <c r="C59" s="20" t="n"/>
      <c r="D59" s="6">
        <f>IF(OR(B59="",C59=""),"",UPPER(LEFT(C59,1))&amp;LOWER(MID(C59,2,30))&amp;" "&amp;LOWER(LEFT(B59,1))&amp;MID(B59,2,200))</f>
        <v/>
      </c>
      <c r="E59" s="5" t="n"/>
      <c r="F59" s="5" t="n"/>
      <c r="G59" s="20" t="n"/>
      <c r="H59" s="20" t="n"/>
      <c r="I59" s="31">
        <f>IF(OR(G59="",H59=""),"",INDEX(RiskGrid,6-VALUE(LEFT(G59,1)),VALUE(LEFT(H59,1))))</f>
        <v/>
      </c>
      <c r="J59" s="31">
        <f>IF(I59="","",IF(I59&gt;=BandVH,"Very High",IF(I59&gt;=BandHigh,"High",IF(I59&gt;=BandMed,"Medium","Low"))))</f>
        <v/>
      </c>
      <c r="K59" s="5" t="n"/>
      <c r="L59" s="31">
        <f>IF(K59="","",(LEN(K59)-LEN(SUBSTITUTE(K59,"[IPL]","")))/5)</f>
        <v/>
      </c>
      <c r="M59" s="20" t="n"/>
      <c r="N59" s="20" t="n"/>
      <c r="O59" s="31">
        <f>IF(OR(M59="",N59=""),"",INDEX(RiskGrid,6-VALUE(LEFT(M59,1)),VALUE(LEFT(N59,1))))</f>
        <v/>
      </c>
      <c r="P59" s="31">
        <f>IF(O59="","",IF(O59&gt;=BandVH,"Very High",IF(O59&gt;=BandHigh,"High",IF(O59&gt;=BandMed,"Medium","Low"))))</f>
        <v/>
      </c>
      <c r="Q59" s="5" t="n"/>
      <c r="R59" s="5" t="n"/>
    </row>
    <row r="60" ht="30" customHeight="1">
      <c r="A60" s="31">
        <f>IF(B60="","",COUNTIF(B$14:B60,"?*"))</f>
        <v/>
      </c>
      <c r="B60" s="5" t="n"/>
      <c r="C60" s="20" t="n"/>
      <c r="D60" s="6">
        <f>IF(OR(B60="",C60=""),"",UPPER(LEFT(C60,1))&amp;LOWER(MID(C60,2,30))&amp;" "&amp;LOWER(LEFT(B60,1))&amp;MID(B60,2,200))</f>
        <v/>
      </c>
      <c r="E60" s="5" t="n"/>
      <c r="F60" s="5" t="n"/>
      <c r="G60" s="20" t="n"/>
      <c r="H60" s="20" t="n"/>
      <c r="I60" s="31">
        <f>IF(OR(G60="",H60=""),"",INDEX(RiskGrid,6-VALUE(LEFT(G60,1)),VALUE(LEFT(H60,1))))</f>
        <v/>
      </c>
      <c r="J60" s="31">
        <f>IF(I60="","",IF(I60&gt;=BandVH,"Very High",IF(I60&gt;=BandHigh,"High",IF(I60&gt;=BandMed,"Medium","Low"))))</f>
        <v/>
      </c>
      <c r="K60" s="5" t="n"/>
      <c r="L60" s="31">
        <f>IF(K60="","",(LEN(K60)-LEN(SUBSTITUTE(K60,"[IPL]","")))/5)</f>
        <v/>
      </c>
      <c r="M60" s="20" t="n"/>
      <c r="N60" s="20" t="n"/>
      <c r="O60" s="31">
        <f>IF(OR(M60="",N60=""),"",INDEX(RiskGrid,6-VALUE(LEFT(M60,1)),VALUE(LEFT(N60,1))))</f>
        <v/>
      </c>
      <c r="P60" s="31">
        <f>IF(O60="","",IF(O60&gt;=BandVH,"Very High",IF(O60&gt;=BandHigh,"High",IF(O60&gt;=BandMed,"Medium","Low"))))</f>
        <v/>
      </c>
      <c r="Q60" s="5" t="n"/>
      <c r="R60" s="5" t="n"/>
    </row>
    <row r="61" ht="30" customHeight="1">
      <c r="A61" s="31">
        <f>IF(B61="","",COUNTIF(B$14:B61,"?*"))</f>
        <v/>
      </c>
      <c r="B61" s="5" t="n"/>
      <c r="C61" s="20" t="n"/>
      <c r="D61" s="6">
        <f>IF(OR(B61="",C61=""),"",UPPER(LEFT(C61,1))&amp;LOWER(MID(C61,2,30))&amp;" "&amp;LOWER(LEFT(B61,1))&amp;MID(B61,2,200))</f>
        <v/>
      </c>
      <c r="E61" s="5" t="n"/>
      <c r="F61" s="5" t="n"/>
      <c r="G61" s="20" t="n"/>
      <c r="H61" s="20" t="n"/>
      <c r="I61" s="31">
        <f>IF(OR(G61="",H61=""),"",INDEX(RiskGrid,6-VALUE(LEFT(G61,1)),VALUE(LEFT(H61,1))))</f>
        <v/>
      </c>
      <c r="J61" s="31">
        <f>IF(I61="","",IF(I61&gt;=BandVH,"Very High",IF(I61&gt;=BandHigh,"High",IF(I61&gt;=BandMed,"Medium","Low"))))</f>
        <v/>
      </c>
      <c r="K61" s="5" t="n"/>
      <c r="L61" s="31">
        <f>IF(K61="","",(LEN(K61)-LEN(SUBSTITUTE(K61,"[IPL]","")))/5)</f>
        <v/>
      </c>
      <c r="M61" s="20" t="n"/>
      <c r="N61" s="20" t="n"/>
      <c r="O61" s="31">
        <f>IF(OR(M61="",N61=""),"",INDEX(RiskGrid,6-VALUE(LEFT(M61,1)),VALUE(LEFT(N61,1))))</f>
        <v/>
      </c>
      <c r="P61" s="31">
        <f>IF(O61="","",IF(O61&gt;=BandVH,"Very High",IF(O61&gt;=BandHigh,"High",IF(O61&gt;=BandMed,"Medium","Low"))))</f>
        <v/>
      </c>
      <c r="Q61" s="5" t="n"/>
      <c r="R61" s="5" t="n"/>
    </row>
    <row r="62" ht="30" customHeight="1">
      <c r="A62" s="31">
        <f>IF(B62="","",COUNTIF(B$14:B62,"?*"))</f>
        <v/>
      </c>
      <c r="B62" s="5" t="n"/>
      <c r="C62" s="20" t="n"/>
      <c r="D62" s="6">
        <f>IF(OR(B62="",C62=""),"",UPPER(LEFT(C62,1))&amp;LOWER(MID(C62,2,30))&amp;" "&amp;LOWER(LEFT(B62,1))&amp;MID(B62,2,200))</f>
        <v/>
      </c>
      <c r="E62" s="5" t="n"/>
      <c r="F62" s="5" t="n"/>
      <c r="G62" s="20" t="n"/>
      <c r="H62" s="20" t="n"/>
      <c r="I62" s="31">
        <f>IF(OR(G62="",H62=""),"",INDEX(RiskGrid,6-VALUE(LEFT(G62,1)),VALUE(LEFT(H62,1))))</f>
        <v/>
      </c>
      <c r="J62" s="31">
        <f>IF(I62="","",IF(I62&gt;=BandVH,"Very High",IF(I62&gt;=BandHigh,"High",IF(I62&gt;=BandMed,"Medium","Low"))))</f>
        <v/>
      </c>
      <c r="K62" s="5" t="n"/>
      <c r="L62" s="31">
        <f>IF(K62="","",(LEN(K62)-LEN(SUBSTITUTE(K62,"[IPL]","")))/5)</f>
        <v/>
      </c>
      <c r="M62" s="20" t="n"/>
      <c r="N62" s="20" t="n"/>
      <c r="O62" s="31">
        <f>IF(OR(M62="",N62=""),"",INDEX(RiskGrid,6-VALUE(LEFT(M62,1)),VALUE(LEFT(N62,1))))</f>
        <v/>
      </c>
      <c r="P62" s="31">
        <f>IF(O62="","",IF(O62&gt;=BandVH,"Very High",IF(O62&gt;=BandHigh,"High",IF(O62&gt;=BandMed,"Medium","Low"))))</f>
        <v/>
      </c>
      <c r="Q62" s="5" t="n"/>
      <c r="R62" s="5" t="n"/>
    </row>
    <row r="63" ht="30" customHeight="1">
      <c r="A63" s="31">
        <f>IF(B63="","",COUNTIF(B$14:B63,"?*"))</f>
        <v/>
      </c>
      <c r="B63" s="5" t="n"/>
      <c r="C63" s="20" t="n"/>
      <c r="D63" s="6">
        <f>IF(OR(B63="",C63=""),"",UPPER(LEFT(C63,1))&amp;LOWER(MID(C63,2,30))&amp;" "&amp;LOWER(LEFT(B63,1))&amp;MID(B63,2,200))</f>
        <v/>
      </c>
      <c r="E63" s="5" t="n"/>
      <c r="F63" s="5" t="n"/>
      <c r="G63" s="20" t="n"/>
      <c r="H63" s="20" t="n"/>
      <c r="I63" s="31">
        <f>IF(OR(G63="",H63=""),"",INDEX(RiskGrid,6-VALUE(LEFT(G63,1)),VALUE(LEFT(H63,1))))</f>
        <v/>
      </c>
      <c r="J63" s="31">
        <f>IF(I63="","",IF(I63&gt;=BandVH,"Very High",IF(I63&gt;=BandHigh,"High",IF(I63&gt;=BandMed,"Medium","Low"))))</f>
        <v/>
      </c>
      <c r="K63" s="5" t="n"/>
      <c r="L63" s="31">
        <f>IF(K63="","",(LEN(K63)-LEN(SUBSTITUTE(K63,"[IPL]","")))/5)</f>
        <v/>
      </c>
      <c r="M63" s="20" t="n"/>
      <c r="N63" s="20" t="n"/>
      <c r="O63" s="31">
        <f>IF(OR(M63="",N63=""),"",INDEX(RiskGrid,6-VALUE(LEFT(M63,1)),VALUE(LEFT(N63,1))))</f>
        <v/>
      </c>
      <c r="P63" s="31">
        <f>IF(O63="","",IF(O63&gt;=BandVH,"Very High",IF(O63&gt;=BandHigh,"High",IF(O63&gt;=BandMed,"Medium","Low"))))</f>
        <v/>
      </c>
      <c r="Q63" s="5" t="n"/>
      <c r="R63" s="5" t="n"/>
    </row>
    <row r="64" ht="30" customHeight="1">
      <c r="A64" s="31">
        <f>IF(B64="","",COUNTIF(B$14:B64,"?*"))</f>
        <v/>
      </c>
      <c r="B64" s="5" t="n"/>
      <c r="C64" s="20" t="n"/>
      <c r="D64" s="6">
        <f>IF(OR(B64="",C64=""),"",UPPER(LEFT(C64,1))&amp;LOWER(MID(C64,2,30))&amp;" "&amp;LOWER(LEFT(B64,1))&amp;MID(B64,2,200))</f>
        <v/>
      </c>
      <c r="E64" s="5" t="n"/>
      <c r="F64" s="5" t="n"/>
      <c r="G64" s="20" t="n"/>
      <c r="H64" s="20" t="n"/>
      <c r="I64" s="31">
        <f>IF(OR(G64="",H64=""),"",INDEX(RiskGrid,6-VALUE(LEFT(G64,1)),VALUE(LEFT(H64,1))))</f>
        <v/>
      </c>
      <c r="J64" s="31">
        <f>IF(I64="","",IF(I64&gt;=BandVH,"Very High",IF(I64&gt;=BandHigh,"High",IF(I64&gt;=BandMed,"Medium","Low"))))</f>
        <v/>
      </c>
      <c r="K64" s="5" t="n"/>
      <c r="L64" s="31">
        <f>IF(K64="","",(LEN(K64)-LEN(SUBSTITUTE(K64,"[IPL]","")))/5)</f>
        <v/>
      </c>
      <c r="M64" s="20" t="n"/>
      <c r="N64" s="20" t="n"/>
      <c r="O64" s="31">
        <f>IF(OR(M64="",N64=""),"",INDEX(RiskGrid,6-VALUE(LEFT(M64,1)),VALUE(LEFT(N64,1))))</f>
        <v/>
      </c>
      <c r="P64" s="31">
        <f>IF(O64="","",IF(O64&gt;=BandVH,"Very High",IF(O64&gt;=BandHigh,"High",IF(O64&gt;=BandMed,"Medium","Low"))))</f>
        <v/>
      </c>
      <c r="Q64" s="5" t="n"/>
      <c r="R64" s="5" t="n"/>
    </row>
    <row r="65" ht="30" customHeight="1">
      <c r="A65" s="31">
        <f>IF(B65="","",COUNTIF(B$14:B65,"?*"))</f>
        <v/>
      </c>
      <c r="B65" s="5" t="n"/>
      <c r="C65" s="20" t="n"/>
      <c r="D65" s="6">
        <f>IF(OR(B65="",C65=""),"",UPPER(LEFT(C65,1))&amp;LOWER(MID(C65,2,30))&amp;" "&amp;LOWER(LEFT(B65,1))&amp;MID(B65,2,200))</f>
        <v/>
      </c>
      <c r="E65" s="5" t="n"/>
      <c r="F65" s="5" t="n"/>
      <c r="G65" s="20" t="n"/>
      <c r="H65" s="20" t="n"/>
      <c r="I65" s="31">
        <f>IF(OR(G65="",H65=""),"",INDEX(RiskGrid,6-VALUE(LEFT(G65,1)),VALUE(LEFT(H65,1))))</f>
        <v/>
      </c>
      <c r="J65" s="31">
        <f>IF(I65="","",IF(I65&gt;=BandVH,"Very High",IF(I65&gt;=BandHigh,"High",IF(I65&gt;=BandMed,"Medium","Low"))))</f>
        <v/>
      </c>
      <c r="K65" s="5" t="n"/>
      <c r="L65" s="31">
        <f>IF(K65="","",(LEN(K65)-LEN(SUBSTITUTE(K65,"[IPL]","")))/5)</f>
        <v/>
      </c>
      <c r="M65" s="20" t="n"/>
      <c r="N65" s="20" t="n"/>
      <c r="O65" s="31">
        <f>IF(OR(M65="",N65=""),"",INDEX(RiskGrid,6-VALUE(LEFT(M65,1)),VALUE(LEFT(N65,1))))</f>
        <v/>
      </c>
      <c r="P65" s="31">
        <f>IF(O65="","",IF(O65&gt;=BandVH,"Very High",IF(O65&gt;=BandHigh,"High",IF(O65&gt;=BandMed,"Medium","Low"))))</f>
        <v/>
      </c>
      <c r="Q65" s="5" t="n"/>
      <c r="R65" s="5" t="n"/>
    </row>
    <row r="66" ht="30" customHeight="1">
      <c r="A66" s="31">
        <f>IF(B66="","",COUNTIF(B$14:B66,"?*"))</f>
        <v/>
      </c>
      <c r="B66" s="5" t="n"/>
      <c r="C66" s="20" t="n"/>
      <c r="D66" s="6">
        <f>IF(OR(B66="",C66=""),"",UPPER(LEFT(C66,1))&amp;LOWER(MID(C66,2,30))&amp;" "&amp;LOWER(LEFT(B66,1))&amp;MID(B66,2,200))</f>
        <v/>
      </c>
      <c r="E66" s="5" t="n"/>
      <c r="F66" s="5" t="n"/>
      <c r="G66" s="20" t="n"/>
      <c r="H66" s="20" t="n"/>
      <c r="I66" s="31">
        <f>IF(OR(G66="",H66=""),"",INDEX(RiskGrid,6-VALUE(LEFT(G66,1)),VALUE(LEFT(H66,1))))</f>
        <v/>
      </c>
      <c r="J66" s="31">
        <f>IF(I66="","",IF(I66&gt;=BandVH,"Very High",IF(I66&gt;=BandHigh,"High",IF(I66&gt;=BandMed,"Medium","Low"))))</f>
        <v/>
      </c>
      <c r="K66" s="5" t="n"/>
      <c r="L66" s="31">
        <f>IF(K66="","",(LEN(K66)-LEN(SUBSTITUTE(K66,"[IPL]","")))/5)</f>
        <v/>
      </c>
      <c r="M66" s="20" t="n"/>
      <c r="N66" s="20" t="n"/>
      <c r="O66" s="31">
        <f>IF(OR(M66="",N66=""),"",INDEX(RiskGrid,6-VALUE(LEFT(M66,1)),VALUE(LEFT(N66,1))))</f>
        <v/>
      </c>
      <c r="P66" s="31">
        <f>IF(O66="","",IF(O66&gt;=BandVH,"Very High",IF(O66&gt;=BandHigh,"High",IF(O66&gt;=BandMed,"Medium","Low"))))</f>
        <v/>
      </c>
      <c r="Q66" s="5" t="n"/>
      <c r="R66" s="5" t="n"/>
    </row>
    <row r="67" ht="30" customHeight="1">
      <c r="A67" s="31">
        <f>IF(B67="","",COUNTIF(B$14:B67,"?*"))</f>
        <v/>
      </c>
      <c r="B67" s="5" t="n"/>
      <c r="C67" s="20" t="n"/>
      <c r="D67" s="6">
        <f>IF(OR(B67="",C67=""),"",UPPER(LEFT(C67,1))&amp;LOWER(MID(C67,2,30))&amp;" "&amp;LOWER(LEFT(B67,1))&amp;MID(B67,2,200))</f>
        <v/>
      </c>
      <c r="E67" s="5" t="n"/>
      <c r="F67" s="5" t="n"/>
      <c r="G67" s="20" t="n"/>
      <c r="H67" s="20" t="n"/>
      <c r="I67" s="31">
        <f>IF(OR(G67="",H67=""),"",INDEX(RiskGrid,6-VALUE(LEFT(G67,1)),VALUE(LEFT(H67,1))))</f>
        <v/>
      </c>
      <c r="J67" s="31">
        <f>IF(I67="","",IF(I67&gt;=BandVH,"Very High",IF(I67&gt;=BandHigh,"High",IF(I67&gt;=BandMed,"Medium","Low"))))</f>
        <v/>
      </c>
      <c r="K67" s="5" t="n"/>
      <c r="L67" s="31">
        <f>IF(K67="","",(LEN(K67)-LEN(SUBSTITUTE(K67,"[IPL]","")))/5)</f>
        <v/>
      </c>
      <c r="M67" s="20" t="n"/>
      <c r="N67" s="20" t="n"/>
      <c r="O67" s="31">
        <f>IF(OR(M67="",N67=""),"",INDEX(RiskGrid,6-VALUE(LEFT(M67,1)),VALUE(LEFT(N67,1))))</f>
        <v/>
      </c>
      <c r="P67" s="31">
        <f>IF(O67="","",IF(O67&gt;=BandVH,"Very High",IF(O67&gt;=BandHigh,"High",IF(O67&gt;=BandMed,"Medium","Low"))))</f>
        <v/>
      </c>
      <c r="Q67" s="5" t="n"/>
      <c r="R67" s="5" t="n"/>
    </row>
    <row r="68" ht="30" customHeight="1">
      <c r="A68" s="31">
        <f>IF(B68="","",COUNTIF(B$14:B68,"?*"))</f>
        <v/>
      </c>
      <c r="B68" s="5" t="n"/>
      <c r="C68" s="20" t="n"/>
      <c r="D68" s="6">
        <f>IF(OR(B68="",C68=""),"",UPPER(LEFT(C68,1))&amp;LOWER(MID(C68,2,30))&amp;" "&amp;LOWER(LEFT(B68,1))&amp;MID(B68,2,200))</f>
        <v/>
      </c>
      <c r="E68" s="5" t="n"/>
      <c r="F68" s="5" t="n"/>
      <c r="G68" s="20" t="n"/>
      <c r="H68" s="20" t="n"/>
      <c r="I68" s="31">
        <f>IF(OR(G68="",H68=""),"",INDEX(RiskGrid,6-VALUE(LEFT(G68,1)),VALUE(LEFT(H68,1))))</f>
        <v/>
      </c>
      <c r="J68" s="31">
        <f>IF(I68="","",IF(I68&gt;=BandVH,"Very High",IF(I68&gt;=BandHigh,"High",IF(I68&gt;=BandMed,"Medium","Low"))))</f>
        <v/>
      </c>
      <c r="K68" s="5" t="n"/>
      <c r="L68" s="31">
        <f>IF(K68="","",(LEN(K68)-LEN(SUBSTITUTE(K68,"[IPL]","")))/5)</f>
        <v/>
      </c>
      <c r="M68" s="20" t="n"/>
      <c r="N68" s="20" t="n"/>
      <c r="O68" s="31">
        <f>IF(OR(M68="",N68=""),"",INDEX(RiskGrid,6-VALUE(LEFT(M68,1)),VALUE(LEFT(N68,1))))</f>
        <v/>
      </c>
      <c r="P68" s="31">
        <f>IF(O68="","",IF(O68&gt;=BandVH,"Very High",IF(O68&gt;=BandHigh,"High",IF(O68&gt;=BandMed,"Medium","Low"))))</f>
        <v/>
      </c>
      <c r="Q68" s="5" t="n"/>
      <c r="R68" s="5" t="n"/>
    </row>
    <row r="69" ht="30" customHeight="1">
      <c r="A69" s="31">
        <f>IF(B69="","",COUNTIF(B$14:B69,"?*"))</f>
        <v/>
      </c>
      <c r="B69" s="5" t="n"/>
      <c r="C69" s="20" t="n"/>
      <c r="D69" s="6">
        <f>IF(OR(B69="",C69=""),"",UPPER(LEFT(C69,1))&amp;LOWER(MID(C69,2,30))&amp;" "&amp;LOWER(LEFT(B69,1))&amp;MID(B69,2,200))</f>
        <v/>
      </c>
      <c r="E69" s="5" t="n"/>
      <c r="F69" s="5" t="n"/>
      <c r="G69" s="20" t="n"/>
      <c r="H69" s="20" t="n"/>
      <c r="I69" s="31">
        <f>IF(OR(G69="",H69=""),"",INDEX(RiskGrid,6-VALUE(LEFT(G69,1)),VALUE(LEFT(H69,1))))</f>
        <v/>
      </c>
      <c r="J69" s="31">
        <f>IF(I69="","",IF(I69&gt;=BandVH,"Very High",IF(I69&gt;=BandHigh,"High",IF(I69&gt;=BandMed,"Medium","Low"))))</f>
        <v/>
      </c>
      <c r="K69" s="5" t="n"/>
      <c r="L69" s="31">
        <f>IF(K69="","",(LEN(K69)-LEN(SUBSTITUTE(K69,"[IPL]","")))/5)</f>
        <v/>
      </c>
      <c r="M69" s="20" t="n"/>
      <c r="N69" s="20" t="n"/>
      <c r="O69" s="31">
        <f>IF(OR(M69="",N69=""),"",INDEX(RiskGrid,6-VALUE(LEFT(M69,1)),VALUE(LEFT(N69,1))))</f>
        <v/>
      </c>
      <c r="P69" s="31">
        <f>IF(O69="","",IF(O69&gt;=BandVH,"Very High",IF(O69&gt;=BandHigh,"High",IF(O69&gt;=BandMed,"Medium","Low"))))</f>
        <v/>
      </c>
      <c r="Q69" s="5" t="n"/>
      <c r="R69" s="5" t="n"/>
    </row>
    <row r="70" ht="30" customHeight="1">
      <c r="A70" s="31">
        <f>IF(B70="","",COUNTIF(B$14:B70,"?*"))</f>
        <v/>
      </c>
      <c r="B70" s="5" t="n"/>
      <c r="C70" s="20" t="n"/>
      <c r="D70" s="6">
        <f>IF(OR(B70="",C70=""),"",UPPER(LEFT(C70,1))&amp;LOWER(MID(C70,2,30))&amp;" "&amp;LOWER(LEFT(B70,1))&amp;MID(B70,2,200))</f>
        <v/>
      </c>
      <c r="E70" s="5" t="n"/>
      <c r="F70" s="5" t="n"/>
      <c r="G70" s="20" t="n"/>
      <c r="H70" s="20" t="n"/>
      <c r="I70" s="31">
        <f>IF(OR(G70="",H70=""),"",INDEX(RiskGrid,6-VALUE(LEFT(G70,1)),VALUE(LEFT(H70,1))))</f>
        <v/>
      </c>
      <c r="J70" s="31">
        <f>IF(I70="","",IF(I70&gt;=BandVH,"Very High",IF(I70&gt;=BandHigh,"High",IF(I70&gt;=BandMed,"Medium","Low"))))</f>
        <v/>
      </c>
      <c r="K70" s="5" t="n"/>
      <c r="L70" s="31">
        <f>IF(K70="","",(LEN(K70)-LEN(SUBSTITUTE(K70,"[IPL]","")))/5)</f>
        <v/>
      </c>
      <c r="M70" s="20" t="n"/>
      <c r="N70" s="20" t="n"/>
      <c r="O70" s="31">
        <f>IF(OR(M70="",N70=""),"",INDEX(RiskGrid,6-VALUE(LEFT(M70,1)),VALUE(LEFT(N70,1))))</f>
        <v/>
      </c>
      <c r="P70" s="31">
        <f>IF(O70="","",IF(O70&gt;=BandVH,"Very High",IF(O70&gt;=BandHigh,"High",IF(O70&gt;=BandMed,"Medium","Low"))))</f>
        <v/>
      </c>
      <c r="Q70" s="5" t="n"/>
      <c r="R70" s="5" t="n"/>
    </row>
    <row r="71" ht="30" customHeight="1">
      <c r="A71" s="31">
        <f>IF(B71="","",COUNTIF(B$14:B71,"?*"))</f>
        <v/>
      </c>
      <c r="B71" s="5" t="n"/>
      <c r="C71" s="20" t="n"/>
      <c r="D71" s="6">
        <f>IF(OR(B71="",C71=""),"",UPPER(LEFT(C71,1))&amp;LOWER(MID(C71,2,30))&amp;" "&amp;LOWER(LEFT(B71,1))&amp;MID(B71,2,200))</f>
        <v/>
      </c>
      <c r="E71" s="5" t="n"/>
      <c r="F71" s="5" t="n"/>
      <c r="G71" s="20" t="n"/>
      <c r="H71" s="20" t="n"/>
      <c r="I71" s="31">
        <f>IF(OR(G71="",H71=""),"",INDEX(RiskGrid,6-VALUE(LEFT(G71,1)),VALUE(LEFT(H71,1))))</f>
        <v/>
      </c>
      <c r="J71" s="31">
        <f>IF(I71="","",IF(I71&gt;=BandVH,"Very High",IF(I71&gt;=BandHigh,"High",IF(I71&gt;=BandMed,"Medium","Low"))))</f>
        <v/>
      </c>
      <c r="K71" s="5" t="n"/>
      <c r="L71" s="31">
        <f>IF(K71="","",(LEN(K71)-LEN(SUBSTITUTE(K71,"[IPL]","")))/5)</f>
        <v/>
      </c>
      <c r="M71" s="20" t="n"/>
      <c r="N71" s="20" t="n"/>
      <c r="O71" s="31">
        <f>IF(OR(M71="",N71=""),"",INDEX(RiskGrid,6-VALUE(LEFT(M71,1)),VALUE(LEFT(N71,1))))</f>
        <v/>
      </c>
      <c r="P71" s="31">
        <f>IF(O71="","",IF(O71&gt;=BandVH,"Very High",IF(O71&gt;=BandHigh,"High",IF(O71&gt;=BandMed,"Medium","Low"))))</f>
        <v/>
      </c>
      <c r="Q71" s="5" t="n"/>
      <c r="R71" s="5" t="n"/>
    </row>
    <row r="72" ht="30" customHeight="1">
      <c r="A72" s="31">
        <f>IF(B72="","",COUNTIF(B$14:B72,"?*"))</f>
        <v/>
      </c>
      <c r="B72" s="5" t="n"/>
      <c r="C72" s="20" t="n"/>
      <c r="D72" s="6">
        <f>IF(OR(B72="",C72=""),"",UPPER(LEFT(C72,1))&amp;LOWER(MID(C72,2,30))&amp;" "&amp;LOWER(LEFT(B72,1))&amp;MID(B72,2,200))</f>
        <v/>
      </c>
      <c r="E72" s="5" t="n"/>
      <c r="F72" s="5" t="n"/>
      <c r="G72" s="20" t="n"/>
      <c r="H72" s="20" t="n"/>
      <c r="I72" s="31">
        <f>IF(OR(G72="",H72=""),"",INDEX(RiskGrid,6-VALUE(LEFT(G72,1)),VALUE(LEFT(H72,1))))</f>
        <v/>
      </c>
      <c r="J72" s="31">
        <f>IF(I72="","",IF(I72&gt;=BandVH,"Very High",IF(I72&gt;=BandHigh,"High",IF(I72&gt;=BandMed,"Medium","Low"))))</f>
        <v/>
      </c>
      <c r="K72" s="5" t="n"/>
      <c r="L72" s="31">
        <f>IF(K72="","",(LEN(K72)-LEN(SUBSTITUTE(K72,"[IPL]","")))/5)</f>
        <v/>
      </c>
      <c r="M72" s="20" t="n"/>
      <c r="N72" s="20" t="n"/>
      <c r="O72" s="31">
        <f>IF(OR(M72="",N72=""),"",INDEX(RiskGrid,6-VALUE(LEFT(M72,1)),VALUE(LEFT(N72,1))))</f>
        <v/>
      </c>
      <c r="P72" s="31">
        <f>IF(O72="","",IF(O72&gt;=BandVH,"Very High",IF(O72&gt;=BandHigh,"High",IF(O72&gt;=BandMed,"Medium","Low"))))</f>
        <v/>
      </c>
      <c r="Q72" s="5" t="n"/>
      <c r="R72" s="5" t="n"/>
    </row>
    <row r="73" ht="30" customHeight="1">
      <c r="A73" s="31">
        <f>IF(B73="","",COUNTIF(B$14:B73,"?*"))</f>
        <v/>
      </c>
      <c r="B73" s="5" t="n"/>
      <c r="C73" s="20" t="n"/>
      <c r="D73" s="6">
        <f>IF(OR(B73="",C73=""),"",UPPER(LEFT(C73,1))&amp;LOWER(MID(C73,2,30))&amp;" "&amp;LOWER(LEFT(B73,1))&amp;MID(B73,2,200))</f>
        <v/>
      </c>
      <c r="E73" s="5" t="n"/>
      <c r="F73" s="5" t="n"/>
      <c r="G73" s="20" t="n"/>
      <c r="H73" s="20" t="n"/>
      <c r="I73" s="31">
        <f>IF(OR(G73="",H73=""),"",INDEX(RiskGrid,6-VALUE(LEFT(G73,1)),VALUE(LEFT(H73,1))))</f>
        <v/>
      </c>
      <c r="J73" s="31">
        <f>IF(I73="","",IF(I73&gt;=BandVH,"Very High",IF(I73&gt;=BandHigh,"High",IF(I73&gt;=BandMed,"Medium","Low"))))</f>
        <v/>
      </c>
      <c r="K73" s="5" t="n"/>
      <c r="L73" s="31">
        <f>IF(K73="","",(LEN(K73)-LEN(SUBSTITUTE(K73,"[IPL]","")))/5)</f>
        <v/>
      </c>
      <c r="M73" s="20" t="n"/>
      <c r="N73" s="20" t="n"/>
      <c r="O73" s="31">
        <f>IF(OR(M73="",N73=""),"",INDEX(RiskGrid,6-VALUE(LEFT(M73,1)),VALUE(LEFT(N73,1))))</f>
        <v/>
      </c>
      <c r="P73" s="31">
        <f>IF(O73="","",IF(O73&gt;=BandVH,"Very High",IF(O73&gt;=BandHigh,"High",IF(O73&gt;=BandMed,"Medium","Low"))))</f>
        <v/>
      </c>
      <c r="Q73" s="5" t="n"/>
      <c r="R73" s="5" t="n"/>
    </row>
    <row r="74" ht="30" customHeight="1">
      <c r="A74" s="31">
        <f>IF(B74="","",COUNTIF(B$14:B74,"?*"))</f>
        <v/>
      </c>
      <c r="B74" s="5" t="n"/>
      <c r="C74" s="20" t="n"/>
      <c r="D74" s="6">
        <f>IF(OR(B74="",C74=""),"",UPPER(LEFT(C74,1))&amp;LOWER(MID(C74,2,30))&amp;" "&amp;LOWER(LEFT(B74,1))&amp;MID(B74,2,200))</f>
        <v/>
      </c>
      <c r="E74" s="5" t="n"/>
      <c r="F74" s="5" t="n"/>
      <c r="G74" s="20" t="n"/>
      <c r="H74" s="20" t="n"/>
      <c r="I74" s="31">
        <f>IF(OR(G74="",H74=""),"",INDEX(RiskGrid,6-VALUE(LEFT(G74,1)),VALUE(LEFT(H74,1))))</f>
        <v/>
      </c>
      <c r="J74" s="31">
        <f>IF(I74="","",IF(I74&gt;=BandVH,"Very High",IF(I74&gt;=BandHigh,"High",IF(I74&gt;=BandMed,"Medium","Low"))))</f>
        <v/>
      </c>
      <c r="K74" s="5" t="n"/>
      <c r="L74" s="31">
        <f>IF(K74="","",(LEN(K74)-LEN(SUBSTITUTE(K74,"[IPL]","")))/5)</f>
        <v/>
      </c>
      <c r="M74" s="20" t="n"/>
      <c r="N74" s="20" t="n"/>
      <c r="O74" s="31">
        <f>IF(OR(M74="",N74=""),"",INDEX(RiskGrid,6-VALUE(LEFT(M74,1)),VALUE(LEFT(N74,1))))</f>
        <v/>
      </c>
      <c r="P74" s="31">
        <f>IF(O74="","",IF(O74&gt;=BandVH,"Very High",IF(O74&gt;=BandHigh,"High",IF(O74&gt;=BandMed,"Medium","Low"))))</f>
        <v/>
      </c>
      <c r="Q74" s="5" t="n"/>
      <c r="R74" s="5" t="n"/>
    </row>
    <row r="75" ht="30" customHeight="1">
      <c r="A75" s="31">
        <f>IF(B75="","",COUNTIF(B$14:B75,"?*"))</f>
        <v/>
      </c>
      <c r="B75" s="5" t="n"/>
      <c r="C75" s="20" t="n"/>
      <c r="D75" s="6">
        <f>IF(OR(B75="",C75=""),"",UPPER(LEFT(C75,1))&amp;LOWER(MID(C75,2,30))&amp;" "&amp;LOWER(LEFT(B75,1))&amp;MID(B75,2,200))</f>
        <v/>
      </c>
      <c r="E75" s="5" t="n"/>
      <c r="F75" s="5" t="n"/>
      <c r="G75" s="20" t="n"/>
      <c r="H75" s="20" t="n"/>
      <c r="I75" s="31">
        <f>IF(OR(G75="",H75=""),"",INDEX(RiskGrid,6-VALUE(LEFT(G75,1)),VALUE(LEFT(H75,1))))</f>
        <v/>
      </c>
      <c r="J75" s="31">
        <f>IF(I75="","",IF(I75&gt;=BandVH,"Very High",IF(I75&gt;=BandHigh,"High",IF(I75&gt;=BandMed,"Medium","Low"))))</f>
        <v/>
      </c>
      <c r="K75" s="5" t="n"/>
      <c r="L75" s="31">
        <f>IF(K75="","",(LEN(K75)-LEN(SUBSTITUTE(K75,"[IPL]","")))/5)</f>
        <v/>
      </c>
      <c r="M75" s="20" t="n"/>
      <c r="N75" s="20" t="n"/>
      <c r="O75" s="31">
        <f>IF(OR(M75="",N75=""),"",INDEX(RiskGrid,6-VALUE(LEFT(M75,1)),VALUE(LEFT(N75,1))))</f>
        <v/>
      </c>
      <c r="P75" s="31">
        <f>IF(O75="","",IF(O75&gt;=BandVH,"Very High",IF(O75&gt;=BandHigh,"High",IF(O75&gt;=BandMed,"Medium","Low"))))</f>
        <v/>
      </c>
      <c r="Q75" s="5" t="n"/>
      <c r="R75" s="5" t="n"/>
    </row>
    <row r="76" ht="30" customHeight="1">
      <c r="A76" s="31">
        <f>IF(B76="","",COUNTIF(B$14:B76,"?*"))</f>
        <v/>
      </c>
      <c r="B76" s="5" t="n"/>
      <c r="C76" s="20" t="n"/>
      <c r="D76" s="6">
        <f>IF(OR(B76="",C76=""),"",UPPER(LEFT(C76,1))&amp;LOWER(MID(C76,2,30))&amp;" "&amp;LOWER(LEFT(B76,1))&amp;MID(B76,2,200))</f>
        <v/>
      </c>
      <c r="E76" s="5" t="n"/>
      <c r="F76" s="5" t="n"/>
      <c r="G76" s="20" t="n"/>
      <c r="H76" s="20" t="n"/>
      <c r="I76" s="31">
        <f>IF(OR(G76="",H76=""),"",INDEX(RiskGrid,6-VALUE(LEFT(G76,1)),VALUE(LEFT(H76,1))))</f>
        <v/>
      </c>
      <c r="J76" s="31">
        <f>IF(I76="","",IF(I76&gt;=BandVH,"Very High",IF(I76&gt;=BandHigh,"High",IF(I76&gt;=BandMed,"Medium","Low"))))</f>
        <v/>
      </c>
      <c r="K76" s="5" t="n"/>
      <c r="L76" s="31">
        <f>IF(K76="","",(LEN(K76)-LEN(SUBSTITUTE(K76,"[IPL]","")))/5)</f>
        <v/>
      </c>
      <c r="M76" s="20" t="n"/>
      <c r="N76" s="20" t="n"/>
      <c r="O76" s="31">
        <f>IF(OR(M76="",N76=""),"",INDEX(RiskGrid,6-VALUE(LEFT(M76,1)),VALUE(LEFT(N76,1))))</f>
        <v/>
      </c>
      <c r="P76" s="31">
        <f>IF(O76="","",IF(O76&gt;=BandVH,"Very High",IF(O76&gt;=BandHigh,"High",IF(O76&gt;=BandMed,"Medium","Low"))))</f>
        <v/>
      </c>
      <c r="Q76" s="5" t="n"/>
      <c r="R76" s="5" t="n"/>
    </row>
    <row r="77" ht="30" customHeight="1">
      <c r="A77" s="31">
        <f>IF(B77="","",COUNTIF(B$14:B77,"?*"))</f>
        <v/>
      </c>
      <c r="B77" s="5" t="n"/>
      <c r="C77" s="20" t="n"/>
      <c r="D77" s="6">
        <f>IF(OR(B77="",C77=""),"",UPPER(LEFT(C77,1))&amp;LOWER(MID(C77,2,30))&amp;" "&amp;LOWER(LEFT(B77,1))&amp;MID(B77,2,200))</f>
        <v/>
      </c>
      <c r="E77" s="5" t="n"/>
      <c r="F77" s="5" t="n"/>
      <c r="G77" s="20" t="n"/>
      <c r="H77" s="20" t="n"/>
      <c r="I77" s="31">
        <f>IF(OR(G77="",H77=""),"",INDEX(RiskGrid,6-VALUE(LEFT(G77,1)),VALUE(LEFT(H77,1))))</f>
        <v/>
      </c>
      <c r="J77" s="31">
        <f>IF(I77="","",IF(I77&gt;=BandVH,"Very High",IF(I77&gt;=BandHigh,"High",IF(I77&gt;=BandMed,"Medium","Low"))))</f>
        <v/>
      </c>
      <c r="K77" s="5" t="n"/>
      <c r="L77" s="31">
        <f>IF(K77="","",(LEN(K77)-LEN(SUBSTITUTE(K77,"[IPL]","")))/5)</f>
        <v/>
      </c>
      <c r="M77" s="20" t="n"/>
      <c r="N77" s="20" t="n"/>
      <c r="O77" s="31">
        <f>IF(OR(M77="",N77=""),"",INDEX(RiskGrid,6-VALUE(LEFT(M77,1)),VALUE(LEFT(N77,1))))</f>
        <v/>
      </c>
      <c r="P77" s="31">
        <f>IF(O77="","",IF(O77&gt;=BandVH,"Very High",IF(O77&gt;=BandHigh,"High",IF(O77&gt;=BandMed,"Medium","Low"))))</f>
        <v/>
      </c>
      <c r="Q77" s="5" t="n"/>
      <c r="R77" s="5" t="n"/>
    </row>
    <row r="78" ht="30" customHeight="1">
      <c r="A78" s="31">
        <f>IF(B78="","",COUNTIF(B$14:B78,"?*"))</f>
        <v/>
      </c>
      <c r="B78" s="5" t="n"/>
      <c r="C78" s="20" t="n"/>
      <c r="D78" s="6">
        <f>IF(OR(B78="",C78=""),"",UPPER(LEFT(C78,1))&amp;LOWER(MID(C78,2,30))&amp;" "&amp;LOWER(LEFT(B78,1))&amp;MID(B78,2,200))</f>
        <v/>
      </c>
      <c r="E78" s="5" t="n"/>
      <c r="F78" s="5" t="n"/>
      <c r="G78" s="20" t="n"/>
      <c r="H78" s="20" t="n"/>
      <c r="I78" s="31">
        <f>IF(OR(G78="",H78=""),"",INDEX(RiskGrid,6-VALUE(LEFT(G78,1)),VALUE(LEFT(H78,1))))</f>
        <v/>
      </c>
      <c r="J78" s="31">
        <f>IF(I78="","",IF(I78&gt;=BandVH,"Very High",IF(I78&gt;=BandHigh,"High",IF(I78&gt;=BandMed,"Medium","Low"))))</f>
        <v/>
      </c>
      <c r="K78" s="5" t="n"/>
      <c r="L78" s="31">
        <f>IF(K78="","",(LEN(K78)-LEN(SUBSTITUTE(K78,"[IPL]","")))/5)</f>
        <v/>
      </c>
      <c r="M78" s="20" t="n"/>
      <c r="N78" s="20" t="n"/>
      <c r="O78" s="31">
        <f>IF(OR(M78="",N78=""),"",INDEX(RiskGrid,6-VALUE(LEFT(M78,1)),VALUE(LEFT(N78,1))))</f>
        <v/>
      </c>
      <c r="P78" s="31">
        <f>IF(O78="","",IF(O78&gt;=BandVH,"Very High",IF(O78&gt;=BandHigh,"High",IF(O78&gt;=BandMed,"Medium","Low"))))</f>
        <v/>
      </c>
      <c r="Q78" s="5" t="n"/>
      <c r="R78" s="5" t="n"/>
    </row>
    <row r="79" ht="30" customHeight="1">
      <c r="A79" s="31">
        <f>IF(B79="","",COUNTIF(B$14:B79,"?*"))</f>
        <v/>
      </c>
      <c r="B79" s="5" t="n"/>
      <c r="C79" s="20" t="n"/>
      <c r="D79" s="6">
        <f>IF(OR(B79="",C79=""),"",UPPER(LEFT(C79,1))&amp;LOWER(MID(C79,2,30))&amp;" "&amp;LOWER(LEFT(B79,1))&amp;MID(B79,2,200))</f>
        <v/>
      </c>
      <c r="E79" s="5" t="n"/>
      <c r="F79" s="5" t="n"/>
      <c r="G79" s="20" t="n"/>
      <c r="H79" s="20" t="n"/>
      <c r="I79" s="31">
        <f>IF(OR(G79="",H79=""),"",INDEX(RiskGrid,6-VALUE(LEFT(G79,1)),VALUE(LEFT(H79,1))))</f>
        <v/>
      </c>
      <c r="J79" s="31">
        <f>IF(I79="","",IF(I79&gt;=BandVH,"Very High",IF(I79&gt;=BandHigh,"High",IF(I79&gt;=BandMed,"Medium","Low"))))</f>
        <v/>
      </c>
      <c r="K79" s="5" t="n"/>
      <c r="L79" s="31">
        <f>IF(K79="","",(LEN(K79)-LEN(SUBSTITUTE(K79,"[IPL]","")))/5)</f>
        <v/>
      </c>
      <c r="M79" s="20" t="n"/>
      <c r="N79" s="20" t="n"/>
      <c r="O79" s="31">
        <f>IF(OR(M79="",N79=""),"",INDEX(RiskGrid,6-VALUE(LEFT(M79,1)),VALUE(LEFT(N79,1))))</f>
        <v/>
      </c>
      <c r="P79" s="31">
        <f>IF(O79="","",IF(O79&gt;=BandVH,"Very High",IF(O79&gt;=BandHigh,"High",IF(O79&gt;=BandMed,"Medium","Low"))))</f>
        <v/>
      </c>
      <c r="Q79" s="5" t="n"/>
      <c r="R79" s="5" t="n"/>
    </row>
    <row r="80" ht="30" customHeight="1">
      <c r="A80" s="31">
        <f>IF(B80="","",COUNTIF(B$14:B80,"?*"))</f>
        <v/>
      </c>
      <c r="B80" s="5" t="n"/>
      <c r="C80" s="20" t="n"/>
      <c r="D80" s="6">
        <f>IF(OR(B80="",C80=""),"",UPPER(LEFT(C80,1))&amp;LOWER(MID(C80,2,30))&amp;" "&amp;LOWER(LEFT(B80,1))&amp;MID(B80,2,200))</f>
        <v/>
      </c>
      <c r="E80" s="5" t="n"/>
      <c r="F80" s="5" t="n"/>
      <c r="G80" s="20" t="n"/>
      <c r="H80" s="20" t="n"/>
      <c r="I80" s="31">
        <f>IF(OR(G80="",H80=""),"",INDEX(RiskGrid,6-VALUE(LEFT(G80,1)),VALUE(LEFT(H80,1))))</f>
        <v/>
      </c>
      <c r="J80" s="31">
        <f>IF(I80="","",IF(I80&gt;=BandVH,"Very High",IF(I80&gt;=BandHigh,"High",IF(I80&gt;=BandMed,"Medium","Low"))))</f>
        <v/>
      </c>
      <c r="K80" s="5" t="n"/>
      <c r="L80" s="31">
        <f>IF(K80="","",(LEN(K80)-LEN(SUBSTITUTE(K80,"[IPL]","")))/5)</f>
        <v/>
      </c>
      <c r="M80" s="20" t="n"/>
      <c r="N80" s="20" t="n"/>
      <c r="O80" s="31">
        <f>IF(OR(M80="",N80=""),"",INDEX(RiskGrid,6-VALUE(LEFT(M80,1)),VALUE(LEFT(N80,1))))</f>
        <v/>
      </c>
      <c r="P80" s="31">
        <f>IF(O80="","",IF(O80&gt;=BandVH,"Very High",IF(O80&gt;=BandHigh,"High",IF(O80&gt;=BandMed,"Medium","Low"))))</f>
        <v/>
      </c>
      <c r="Q80" s="5" t="n"/>
      <c r="R80" s="5" t="n"/>
    </row>
    <row r="81" ht="30" customHeight="1">
      <c r="A81" s="31">
        <f>IF(B81="","",COUNTIF(B$14:B81,"?*"))</f>
        <v/>
      </c>
      <c r="B81" s="5" t="n"/>
      <c r="C81" s="20" t="n"/>
      <c r="D81" s="6">
        <f>IF(OR(B81="",C81=""),"",UPPER(LEFT(C81,1))&amp;LOWER(MID(C81,2,30))&amp;" "&amp;LOWER(LEFT(B81,1))&amp;MID(B81,2,200))</f>
        <v/>
      </c>
      <c r="E81" s="5" t="n"/>
      <c r="F81" s="5" t="n"/>
      <c r="G81" s="20" t="n"/>
      <c r="H81" s="20" t="n"/>
      <c r="I81" s="31">
        <f>IF(OR(G81="",H81=""),"",INDEX(RiskGrid,6-VALUE(LEFT(G81,1)),VALUE(LEFT(H81,1))))</f>
        <v/>
      </c>
      <c r="J81" s="31">
        <f>IF(I81="","",IF(I81&gt;=BandVH,"Very High",IF(I81&gt;=BandHigh,"High",IF(I81&gt;=BandMed,"Medium","Low"))))</f>
        <v/>
      </c>
      <c r="K81" s="5" t="n"/>
      <c r="L81" s="31">
        <f>IF(K81="","",(LEN(K81)-LEN(SUBSTITUTE(K81,"[IPL]","")))/5)</f>
        <v/>
      </c>
      <c r="M81" s="20" t="n"/>
      <c r="N81" s="20" t="n"/>
      <c r="O81" s="31">
        <f>IF(OR(M81="",N81=""),"",INDEX(RiskGrid,6-VALUE(LEFT(M81,1)),VALUE(LEFT(N81,1))))</f>
        <v/>
      </c>
      <c r="P81" s="31">
        <f>IF(O81="","",IF(O81&gt;=BandVH,"Very High",IF(O81&gt;=BandHigh,"High",IF(O81&gt;=BandMed,"Medium","Low"))))</f>
        <v/>
      </c>
      <c r="Q81" s="5" t="n"/>
      <c r="R81" s="5" t="n"/>
    </row>
    <row r="82" ht="30" customHeight="1">
      <c r="A82" s="31">
        <f>IF(B82="","",COUNTIF(B$14:B82,"?*"))</f>
        <v/>
      </c>
      <c r="B82" s="5" t="n"/>
      <c r="C82" s="20" t="n"/>
      <c r="D82" s="6">
        <f>IF(OR(B82="",C82=""),"",UPPER(LEFT(C82,1))&amp;LOWER(MID(C82,2,30))&amp;" "&amp;LOWER(LEFT(B82,1))&amp;MID(B82,2,200))</f>
        <v/>
      </c>
      <c r="E82" s="5" t="n"/>
      <c r="F82" s="5" t="n"/>
      <c r="G82" s="20" t="n"/>
      <c r="H82" s="20" t="n"/>
      <c r="I82" s="31">
        <f>IF(OR(G82="",H82=""),"",INDEX(RiskGrid,6-VALUE(LEFT(G82,1)),VALUE(LEFT(H82,1))))</f>
        <v/>
      </c>
      <c r="J82" s="31">
        <f>IF(I82="","",IF(I82&gt;=BandVH,"Very High",IF(I82&gt;=BandHigh,"High",IF(I82&gt;=BandMed,"Medium","Low"))))</f>
        <v/>
      </c>
      <c r="K82" s="5" t="n"/>
      <c r="L82" s="31">
        <f>IF(K82="","",(LEN(K82)-LEN(SUBSTITUTE(K82,"[IPL]","")))/5)</f>
        <v/>
      </c>
      <c r="M82" s="20" t="n"/>
      <c r="N82" s="20" t="n"/>
      <c r="O82" s="31">
        <f>IF(OR(M82="",N82=""),"",INDEX(RiskGrid,6-VALUE(LEFT(M82,1)),VALUE(LEFT(N82,1))))</f>
        <v/>
      </c>
      <c r="P82" s="31">
        <f>IF(O82="","",IF(O82&gt;=BandVH,"Very High",IF(O82&gt;=BandHigh,"High",IF(O82&gt;=BandMed,"Medium","Low"))))</f>
        <v/>
      </c>
      <c r="Q82" s="5" t="n"/>
      <c r="R82" s="5" t="n"/>
    </row>
    <row r="83" ht="30" customHeight="1">
      <c r="A83" s="31">
        <f>IF(B83="","",COUNTIF(B$14:B83,"?*"))</f>
        <v/>
      </c>
      <c r="B83" s="5" t="n"/>
      <c r="C83" s="20" t="n"/>
      <c r="D83" s="6">
        <f>IF(OR(B83="",C83=""),"",UPPER(LEFT(C83,1))&amp;LOWER(MID(C83,2,30))&amp;" "&amp;LOWER(LEFT(B83,1))&amp;MID(B83,2,200))</f>
        <v/>
      </c>
      <c r="E83" s="5" t="n"/>
      <c r="F83" s="5" t="n"/>
      <c r="G83" s="20" t="n"/>
      <c r="H83" s="20" t="n"/>
      <c r="I83" s="31">
        <f>IF(OR(G83="",H83=""),"",INDEX(RiskGrid,6-VALUE(LEFT(G83,1)),VALUE(LEFT(H83,1))))</f>
        <v/>
      </c>
      <c r="J83" s="31">
        <f>IF(I83="","",IF(I83&gt;=BandVH,"Very High",IF(I83&gt;=BandHigh,"High",IF(I83&gt;=BandMed,"Medium","Low"))))</f>
        <v/>
      </c>
      <c r="K83" s="5" t="n"/>
      <c r="L83" s="31">
        <f>IF(K83="","",(LEN(K83)-LEN(SUBSTITUTE(K83,"[IPL]","")))/5)</f>
        <v/>
      </c>
      <c r="M83" s="20" t="n"/>
      <c r="N83" s="20" t="n"/>
      <c r="O83" s="31">
        <f>IF(OR(M83="",N83=""),"",INDEX(RiskGrid,6-VALUE(LEFT(M83,1)),VALUE(LEFT(N83,1))))</f>
        <v/>
      </c>
      <c r="P83" s="31">
        <f>IF(O83="","",IF(O83&gt;=BandVH,"Very High",IF(O83&gt;=BandHigh,"High",IF(O83&gt;=BandMed,"Medium","Low"))))</f>
        <v/>
      </c>
      <c r="Q83" s="5" t="n"/>
      <c r="R83" s="5" t="n"/>
    </row>
    <row r="84" ht="30" customHeight="1">
      <c r="A84" s="31">
        <f>IF(B84="","",COUNTIF(B$14:B84,"?*"))</f>
        <v/>
      </c>
      <c r="B84" s="5" t="n"/>
      <c r="C84" s="20" t="n"/>
      <c r="D84" s="6">
        <f>IF(OR(B84="",C84=""),"",UPPER(LEFT(C84,1))&amp;LOWER(MID(C84,2,30))&amp;" "&amp;LOWER(LEFT(B84,1))&amp;MID(B84,2,200))</f>
        <v/>
      </c>
      <c r="E84" s="5" t="n"/>
      <c r="F84" s="5" t="n"/>
      <c r="G84" s="20" t="n"/>
      <c r="H84" s="20" t="n"/>
      <c r="I84" s="31">
        <f>IF(OR(G84="",H84=""),"",INDEX(RiskGrid,6-VALUE(LEFT(G84,1)),VALUE(LEFT(H84,1))))</f>
        <v/>
      </c>
      <c r="J84" s="31">
        <f>IF(I84="","",IF(I84&gt;=BandVH,"Very High",IF(I84&gt;=BandHigh,"High",IF(I84&gt;=BandMed,"Medium","Low"))))</f>
        <v/>
      </c>
      <c r="K84" s="5" t="n"/>
      <c r="L84" s="31">
        <f>IF(K84="","",(LEN(K84)-LEN(SUBSTITUTE(K84,"[IPL]","")))/5)</f>
        <v/>
      </c>
      <c r="M84" s="20" t="n"/>
      <c r="N84" s="20" t="n"/>
      <c r="O84" s="31">
        <f>IF(OR(M84="",N84=""),"",INDEX(RiskGrid,6-VALUE(LEFT(M84,1)),VALUE(LEFT(N84,1))))</f>
        <v/>
      </c>
      <c r="P84" s="31">
        <f>IF(O84="","",IF(O84&gt;=BandVH,"Very High",IF(O84&gt;=BandHigh,"High",IF(O84&gt;=BandMed,"Medium","Low"))))</f>
        <v/>
      </c>
      <c r="Q84" s="5" t="n"/>
      <c r="R84" s="5" t="n"/>
    </row>
    <row r="85" ht="30" customHeight="1">
      <c r="A85" s="31">
        <f>IF(B85="","",COUNTIF(B$14:B85,"?*"))</f>
        <v/>
      </c>
      <c r="B85" s="5" t="n"/>
      <c r="C85" s="20" t="n"/>
      <c r="D85" s="6">
        <f>IF(OR(B85="",C85=""),"",UPPER(LEFT(C85,1))&amp;LOWER(MID(C85,2,30))&amp;" "&amp;LOWER(LEFT(B85,1))&amp;MID(B85,2,200))</f>
        <v/>
      </c>
      <c r="E85" s="5" t="n"/>
      <c r="F85" s="5" t="n"/>
      <c r="G85" s="20" t="n"/>
      <c r="H85" s="20" t="n"/>
      <c r="I85" s="31">
        <f>IF(OR(G85="",H85=""),"",INDEX(RiskGrid,6-VALUE(LEFT(G85,1)),VALUE(LEFT(H85,1))))</f>
        <v/>
      </c>
      <c r="J85" s="31">
        <f>IF(I85="","",IF(I85&gt;=BandVH,"Very High",IF(I85&gt;=BandHigh,"High",IF(I85&gt;=BandMed,"Medium","Low"))))</f>
        <v/>
      </c>
      <c r="K85" s="5" t="n"/>
      <c r="L85" s="31">
        <f>IF(K85="","",(LEN(K85)-LEN(SUBSTITUTE(K85,"[IPL]","")))/5)</f>
        <v/>
      </c>
      <c r="M85" s="20" t="n"/>
      <c r="N85" s="20" t="n"/>
      <c r="O85" s="31">
        <f>IF(OR(M85="",N85=""),"",INDEX(RiskGrid,6-VALUE(LEFT(M85,1)),VALUE(LEFT(N85,1))))</f>
        <v/>
      </c>
      <c r="P85" s="31">
        <f>IF(O85="","",IF(O85&gt;=BandVH,"Very High",IF(O85&gt;=BandHigh,"High",IF(O85&gt;=BandMed,"Medium","Low"))))</f>
        <v/>
      </c>
      <c r="Q85" s="5" t="n"/>
      <c r="R85" s="5" t="n"/>
    </row>
    <row r="86" ht="30" customHeight="1">
      <c r="A86" s="31">
        <f>IF(B86="","",COUNTIF(B$14:B86,"?*"))</f>
        <v/>
      </c>
      <c r="B86" s="5" t="n"/>
      <c r="C86" s="20" t="n"/>
      <c r="D86" s="6">
        <f>IF(OR(B86="",C86=""),"",UPPER(LEFT(C86,1))&amp;LOWER(MID(C86,2,30))&amp;" "&amp;LOWER(LEFT(B86,1))&amp;MID(B86,2,200))</f>
        <v/>
      </c>
      <c r="E86" s="5" t="n"/>
      <c r="F86" s="5" t="n"/>
      <c r="G86" s="20" t="n"/>
      <c r="H86" s="20" t="n"/>
      <c r="I86" s="31">
        <f>IF(OR(G86="",H86=""),"",INDEX(RiskGrid,6-VALUE(LEFT(G86,1)),VALUE(LEFT(H86,1))))</f>
        <v/>
      </c>
      <c r="J86" s="31">
        <f>IF(I86="","",IF(I86&gt;=BandVH,"Very High",IF(I86&gt;=BandHigh,"High",IF(I86&gt;=BandMed,"Medium","Low"))))</f>
        <v/>
      </c>
      <c r="K86" s="5" t="n"/>
      <c r="L86" s="31">
        <f>IF(K86="","",(LEN(K86)-LEN(SUBSTITUTE(K86,"[IPL]","")))/5)</f>
        <v/>
      </c>
      <c r="M86" s="20" t="n"/>
      <c r="N86" s="20" t="n"/>
      <c r="O86" s="31">
        <f>IF(OR(M86="",N86=""),"",INDEX(RiskGrid,6-VALUE(LEFT(M86,1)),VALUE(LEFT(N86,1))))</f>
        <v/>
      </c>
      <c r="P86" s="31">
        <f>IF(O86="","",IF(O86&gt;=BandVH,"Very High",IF(O86&gt;=BandHigh,"High",IF(O86&gt;=BandMed,"Medium","Low"))))</f>
        <v/>
      </c>
      <c r="Q86" s="5" t="n"/>
      <c r="R86" s="5" t="n"/>
    </row>
    <row r="87" ht="30" customHeight="1">
      <c r="A87" s="31">
        <f>IF(B87="","",COUNTIF(B$14:B87,"?*"))</f>
        <v/>
      </c>
      <c r="B87" s="5" t="n"/>
      <c r="C87" s="20" t="n"/>
      <c r="D87" s="6">
        <f>IF(OR(B87="",C87=""),"",UPPER(LEFT(C87,1))&amp;LOWER(MID(C87,2,30))&amp;" "&amp;LOWER(LEFT(B87,1))&amp;MID(B87,2,200))</f>
        <v/>
      </c>
      <c r="E87" s="5" t="n"/>
      <c r="F87" s="5" t="n"/>
      <c r="G87" s="20" t="n"/>
      <c r="H87" s="20" t="n"/>
      <c r="I87" s="31">
        <f>IF(OR(G87="",H87=""),"",INDEX(RiskGrid,6-VALUE(LEFT(G87,1)),VALUE(LEFT(H87,1))))</f>
        <v/>
      </c>
      <c r="J87" s="31">
        <f>IF(I87="","",IF(I87&gt;=BandVH,"Very High",IF(I87&gt;=BandHigh,"High",IF(I87&gt;=BandMed,"Medium","Low"))))</f>
        <v/>
      </c>
      <c r="K87" s="5" t="n"/>
      <c r="L87" s="31">
        <f>IF(K87="","",(LEN(K87)-LEN(SUBSTITUTE(K87,"[IPL]","")))/5)</f>
        <v/>
      </c>
      <c r="M87" s="20" t="n"/>
      <c r="N87" s="20" t="n"/>
      <c r="O87" s="31">
        <f>IF(OR(M87="",N87=""),"",INDEX(RiskGrid,6-VALUE(LEFT(M87,1)),VALUE(LEFT(N87,1))))</f>
        <v/>
      </c>
      <c r="P87" s="31">
        <f>IF(O87="","",IF(O87&gt;=BandVH,"Very High",IF(O87&gt;=BandHigh,"High",IF(O87&gt;=BandMed,"Medium","Low"))))</f>
        <v/>
      </c>
      <c r="Q87" s="5" t="n"/>
      <c r="R87" s="5" t="n"/>
    </row>
    <row r="88" ht="30" customHeight="1">
      <c r="A88" s="31">
        <f>IF(B88="","",COUNTIF(B$14:B88,"?*"))</f>
        <v/>
      </c>
      <c r="B88" s="5" t="n"/>
      <c r="C88" s="20" t="n"/>
      <c r="D88" s="6">
        <f>IF(OR(B88="",C88=""),"",UPPER(LEFT(C88,1))&amp;LOWER(MID(C88,2,30))&amp;" "&amp;LOWER(LEFT(B88,1))&amp;MID(B88,2,200))</f>
        <v/>
      </c>
      <c r="E88" s="5" t="n"/>
      <c r="F88" s="5" t="n"/>
      <c r="G88" s="20" t="n"/>
      <c r="H88" s="20" t="n"/>
      <c r="I88" s="31">
        <f>IF(OR(G88="",H88=""),"",INDEX(RiskGrid,6-VALUE(LEFT(G88,1)),VALUE(LEFT(H88,1))))</f>
        <v/>
      </c>
      <c r="J88" s="31">
        <f>IF(I88="","",IF(I88&gt;=BandVH,"Very High",IF(I88&gt;=BandHigh,"High",IF(I88&gt;=BandMed,"Medium","Low"))))</f>
        <v/>
      </c>
      <c r="K88" s="5" t="n"/>
      <c r="L88" s="31">
        <f>IF(K88="","",(LEN(K88)-LEN(SUBSTITUTE(K88,"[IPL]","")))/5)</f>
        <v/>
      </c>
      <c r="M88" s="20" t="n"/>
      <c r="N88" s="20" t="n"/>
      <c r="O88" s="31">
        <f>IF(OR(M88="",N88=""),"",INDEX(RiskGrid,6-VALUE(LEFT(M88,1)),VALUE(LEFT(N88,1))))</f>
        <v/>
      </c>
      <c r="P88" s="31">
        <f>IF(O88="","",IF(O88&gt;=BandVH,"Very High",IF(O88&gt;=BandHigh,"High",IF(O88&gt;=BandMed,"Medium","Low"))))</f>
        <v/>
      </c>
      <c r="Q88" s="5" t="n"/>
      <c r="R88" s="5" t="n"/>
    </row>
    <row r="89" ht="30" customHeight="1">
      <c r="A89" s="31">
        <f>IF(B89="","",COUNTIF(B$14:B89,"?*"))</f>
        <v/>
      </c>
      <c r="B89" s="5" t="n"/>
      <c r="C89" s="20" t="n"/>
      <c r="D89" s="6">
        <f>IF(OR(B89="",C89=""),"",UPPER(LEFT(C89,1))&amp;LOWER(MID(C89,2,30))&amp;" "&amp;LOWER(LEFT(B89,1))&amp;MID(B89,2,200))</f>
        <v/>
      </c>
      <c r="E89" s="5" t="n"/>
      <c r="F89" s="5" t="n"/>
      <c r="G89" s="20" t="n"/>
      <c r="H89" s="20" t="n"/>
      <c r="I89" s="31">
        <f>IF(OR(G89="",H89=""),"",INDEX(RiskGrid,6-VALUE(LEFT(G89,1)),VALUE(LEFT(H89,1))))</f>
        <v/>
      </c>
      <c r="J89" s="31">
        <f>IF(I89="","",IF(I89&gt;=BandVH,"Very High",IF(I89&gt;=BandHigh,"High",IF(I89&gt;=BandMed,"Medium","Low"))))</f>
        <v/>
      </c>
      <c r="K89" s="5" t="n"/>
      <c r="L89" s="31">
        <f>IF(K89="","",(LEN(K89)-LEN(SUBSTITUTE(K89,"[IPL]","")))/5)</f>
        <v/>
      </c>
      <c r="M89" s="20" t="n"/>
      <c r="N89" s="20" t="n"/>
      <c r="O89" s="31">
        <f>IF(OR(M89="",N89=""),"",INDEX(RiskGrid,6-VALUE(LEFT(M89,1)),VALUE(LEFT(N89,1))))</f>
        <v/>
      </c>
      <c r="P89" s="31">
        <f>IF(O89="","",IF(O89&gt;=BandVH,"Very High",IF(O89&gt;=BandHigh,"High",IF(O89&gt;=BandMed,"Medium","Low"))))</f>
        <v/>
      </c>
      <c r="Q89" s="5" t="n"/>
      <c r="R89" s="5" t="n"/>
    </row>
    <row r="90" ht="30" customHeight="1">
      <c r="A90" s="31">
        <f>IF(B90="","",COUNTIF(B$14:B90,"?*"))</f>
        <v/>
      </c>
      <c r="B90" s="5" t="n"/>
      <c r="C90" s="20" t="n"/>
      <c r="D90" s="6">
        <f>IF(OR(B90="",C90=""),"",UPPER(LEFT(C90,1))&amp;LOWER(MID(C90,2,30))&amp;" "&amp;LOWER(LEFT(B90,1))&amp;MID(B90,2,200))</f>
        <v/>
      </c>
      <c r="E90" s="5" t="n"/>
      <c r="F90" s="5" t="n"/>
      <c r="G90" s="20" t="n"/>
      <c r="H90" s="20" t="n"/>
      <c r="I90" s="31">
        <f>IF(OR(G90="",H90=""),"",INDEX(RiskGrid,6-VALUE(LEFT(G90,1)),VALUE(LEFT(H90,1))))</f>
        <v/>
      </c>
      <c r="J90" s="31">
        <f>IF(I90="","",IF(I90&gt;=BandVH,"Very High",IF(I90&gt;=BandHigh,"High",IF(I90&gt;=BandMed,"Medium","Low"))))</f>
        <v/>
      </c>
      <c r="K90" s="5" t="n"/>
      <c r="L90" s="31">
        <f>IF(K90="","",(LEN(K90)-LEN(SUBSTITUTE(K90,"[IPL]","")))/5)</f>
        <v/>
      </c>
      <c r="M90" s="20" t="n"/>
      <c r="N90" s="20" t="n"/>
      <c r="O90" s="31">
        <f>IF(OR(M90="",N90=""),"",INDEX(RiskGrid,6-VALUE(LEFT(M90,1)),VALUE(LEFT(N90,1))))</f>
        <v/>
      </c>
      <c r="P90" s="31">
        <f>IF(O90="","",IF(O90&gt;=BandVH,"Very High",IF(O90&gt;=BandHigh,"High",IF(O90&gt;=BandMed,"Medium","Low"))))</f>
        <v/>
      </c>
      <c r="Q90" s="5" t="n"/>
      <c r="R90" s="5" t="n"/>
    </row>
    <row r="91" ht="30" customHeight="1">
      <c r="A91" s="31">
        <f>IF(B91="","",COUNTIF(B$14:B91,"?*"))</f>
        <v/>
      </c>
      <c r="B91" s="5" t="n"/>
      <c r="C91" s="20" t="n"/>
      <c r="D91" s="6">
        <f>IF(OR(B91="",C91=""),"",UPPER(LEFT(C91,1))&amp;LOWER(MID(C91,2,30))&amp;" "&amp;LOWER(LEFT(B91,1))&amp;MID(B91,2,200))</f>
        <v/>
      </c>
      <c r="E91" s="5" t="n"/>
      <c r="F91" s="5" t="n"/>
      <c r="G91" s="20" t="n"/>
      <c r="H91" s="20" t="n"/>
      <c r="I91" s="31">
        <f>IF(OR(G91="",H91=""),"",INDEX(RiskGrid,6-VALUE(LEFT(G91,1)),VALUE(LEFT(H91,1))))</f>
        <v/>
      </c>
      <c r="J91" s="31">
        <f>IF(I91="","",IF(I91&gt;=BandVH,"Very High",IF(I91&gt;=BandHigh,"High",IF(I91&gt;=BandMed,"Medium","Low"))))</f>
        <v/>
      </c>
      <c r="K91" s="5" t="n"/>
      <c r="L91" s="31">
        <f>IF(K91="","",(LEN(K91)-LEN(SUBSTITUTE(K91,"[IPL]","")))/5)</f>
        <v/>
      </c>
      <c r="M91" s="20" t="n"/>
      <c r="N91" s="20" t="n"/>
      <c r="O91" s="31">
        <f>IF(OR(M91="",N91=""),"",INDEX(RiskGrid,6-VALUE(LEFT(M91,1)),VALUE(LEFT(N91,1))))</f>
        <v/>
      </c>
      <c r="P91" s="31">
        <f>IF(O91="","",IF(O91&gt;=BandVH,"Very High",IF(O91&gt;=BandHigh,"High",IF(O91&gt;=BandMed,"Medium","Low"))))</f>
        <v/>
      </c>
      <c r="Q91" s="5" t="n"/>
      <c r="R91" s="5" t="n"/>
    </row>
    <row r="92" ht="30" customHeight="1">
      <c r="A92" s="31">
        <f>IF(B92="","",COUNTIF(B$14:B92,"?*"))</f>
        <v/>
      </c>
      <c r="B92" s="5" t="n"/>
      <c r="C92" s="20" t="n"/>
      <c r="D92" s="6">
        <f>IF(OR(B92="",C92=""),"",UPPER(LEFT(C92,1))&amp;LOWER(MID(C92,2,30))&amp;" "&amp;LOWER(LEFT(B92,1))&amp;MID(B92,2,200))</f>
        <v/>
      </c>
      <c r="E92" s="5" t="n"/>
      <c r="F92" s="5" t="n"/>
      <c r="G92" s="20" t="n"/>
      <c r="H92" s="20" t="n"/>
      <c r="I92" s="31">
        <f>IF(OR(G92="",H92=""),"",INDEX(RiskGrid,6-VALUE(LEFT(G92,1)),VALUE(LEFT(H92,1))))</f>
        <v/>
      </c>
      <c r="J92" s="31">
        <f>IF(I92="","",IF(I92&gt;=BandVH,"Very High",IF(I92&gt;=BandHigh,"High",IF(I92&gt;=BandMed,"Medium","Low"))))</f>
        <v/>
      </c>
      <c r="K92" s="5" t="n"/>
      <c r="L92" s="31">
        <f>IF(K92="","",(LEN(K92)-LEN(SUBSTITUTE(K92,"[IPL]","")))/5)</f>
        <v/>
      </c>
      <c r="M92" s="20" t="n"/>
      <c r="N92" s="20" t="n"/>
      <c r="O92" s="31">
        <f>IF(OR(M92="",N92=""),"",INDEX(RiskGrid,6-VALUE(LEFT(M92,1)),VALUE(LEFT(N92,1))))</f>
        <v/>
      </c>
      <c r="P92" s="31">
        <f>IF(O92="","",IF(O92&gt;=BandVH,"Very High",IF(O92&gt;=BandHigh,"High",IF(O92&gt;=BandMed,"Medium","Low"))))</f>
        <v/>
      </c>
      <c r="Q92" s="5" t="n"/>
      <c r="R92" s="5" t="n"/>
    </row>
    <row r="93" ht="30" customHeight="1">
      <c r="A93" s="31">
        <f>IF(B93="","",COUNTIF(B$14:B93,"?*"))</f>
        <v/>
      </c>
      <c r="B93" s="5" t="n"/>
      <c r="C93" s="20" t="n"/>
      <c r="D93" s="6">
        <f>IF(OR(B93="",C93=""),"",UPPER(LEFT(C93,1))&amp;LOWER(MID(C93,2,30))&amp;" "&amp;LOWER(LEFT(B93,1))&amp;MID(B93,2,200))</f>
        <v/>
      </c>
      <c r="E93" s="5" t="n"/>
      <c r="F93" s="5" t="n"/>
      <c r="G93" s="20" t="n"/>
      <c r="H93" s="20" t="n"/>
      <c r="I93" s="31">
        <f>IF(OR(G93="",H93=""),"",INDEX(RiskGrid,6-VALUE(LEFT(G93,1)),VALUE(LEFT(H93,1))))</f>
        <v/>
      </c>
      <c r="J93" s="31">
        <f>IF(I93="","",IF(I93&gt;=BandVH,"Very High",IF(I93&gt;=BandHigh,"High",IF(I93&gt;=BandMed,"Medium","Low"))))</f>
        <v/>
      </c>
      <c r="K93" s="5" t="n"/>
      <c r="L93" s="31">
        <f>IF(K93="","",(LEN(K93)-LEN(SUBSTITUTE(K93,"[IPL]","")))/5)</f>
        <v/>
      </c>
      <c r="M93" s="20" t="n"/>
      <c r="N93" s="20" t="n"/>
      <c r="O93" s="31">
        <f>IF(OR(M93="",N93=""),"",INDEX(RiskGrid,6-VALUE(LEFT(M93,1)),VALUE(LEFT(N93,1))))</f>
        <v/>
      </c>
      <c r="P93" s="31">
        <f>IF(O93="","",IF(O93&gt;=BandVH,"Very High",IF(O93&gt;=BandHigh,"High",IF(O93&gt;=BandMed,"Medium","Low"))))</f>
        <v/>
      </c>
      <c r="Q93" s="5" t="n"/>
      <c r="R93" s="5" t="n"/>
    </row>
    <row r="94" ht="30" customHeight="1">
      <c r="A94" s="31">
        <f>IF(B94="","",COUNTIF(B$14:B94,"?*"))</f>
        <v/>
      </c>
      <c r="B94" s="5" t="n"/>
      <c r="C94" s="20" t="n"/>
      <c r="D94" s="6">
        <f>IF(OR(B94="",C94=""),"",UPPER(LEFT(C94,1))&amp;LOWER(MID(C94,2,30))&amp;" "&amp;LOWER(LEFT(B94,1))&amp;MID(B94,2,200))</f>
        <v/>
      </c>
      <c r="E94" s="5" t="n"/>
      <c r="F94" s="5" t="n"/>
      <c r="G94" s="20" t="n"/>
      <c r="H94" s="20" t="n"/>
      <c r="I94" s="31">
        <f>IF(OR(G94="",H94=""),"",INDEX(RiskGrid,6-VALUE(LEFT(G94,1)),VALUE(LEFT(H94,1))))</f>
        <v/>
      </c>
      <c r="J94" s="31">
        <f>IF(I94="","",IF(I94&gt;=BandVH,"Very High",IF(I94&gt;=BandHigh,"High",IF(I94&gt;=BandMed,"Medium","Low"))))</f>
        <v/>
      </c>
      <c r="K94" s="5" t="n"/>
      <c r="L94" s="31">
        <f>IF(K94="","",(LEN(K94)-LEN(SUBSTITUTE(K94,"[IPL]","")))/5)</f>
        <v/>
      </c>
      <c r="M94" s="20" t="n"/>
      <c r="N94" s="20" t="n"/>
      <c r="O94" s="31">
        <f>IF(OR(M94="",N94=""),"",INDEX(RiskGrid,6-VALUE(LEFT(M94,1)),VALUE(LEFT(N94,1))))</f>
        <v/>
      </c>
      <c r="P94" s="31">
        <f>IF(O94="","",IF(O94&gt;=BandVH,"Very High",IF(O94&gt;=BandHigh,"High",IF(O94&gt;=BandMed,"Medium","Low"))))</f>
        <v/>
      </c>
      <c r="Q94" s="5" t="n"/>
      <c r="R94" s="5" t="n"/>
    </row>
    <row r="95" ht="30" customHeight="1">
      <c r="A95" s="31">
        <f>IF(B95="","",COUNTIF(B$14:B95,"?*"))</f>
        <v/>
      </c>
      <c r="B95" s="5" t="n"/>
      <c r="C95" s="20" t="n"/>
      <c r="D95" s="6">
        <f>IF(OR(B95="",C95=""),"",UPPER(LEFT(C95,1))&amp;LOWER(MID(C95,2,30))&amp;" "&amp;LOWER(LEFT(B95,1))&amp;MID(B95,2,200))</f>
        <v/>
      </c>
      <c r="E95" s="5" t="n"/>
      <c r="F95" s="5" t="n"/>
      <c r="G95" s="20" t="n"/>
      <c r="H95" s="20" t="n"/>
      <c r="I95" s="31">
        <f>IF(OR(G95="",H95=""),"",INDEX(RiskGrid,6-VALUE(LEFT(G95,1)),VALUE(LEFT(H95,1))))</f>
        <v/>
      </c>
      <c r="J95" s="31">
        <f>IF(I95="","",IF(I95&gt;=BandVH,"Very High",IF(I95&gt;=BandHigh,"High",IF(I95&gt;=BandMed,"Medium","Low"))))</f>
        <v/>
      </c>
      <c r="K95" s="5" t="n"/>
      <c r="L95" s="31">
        <f>IF(K95="","",(LEN(K95)-LEN(SUBSTITUTE(K95,"[IPL]","")))/5)</f>
        <v/>
      </c>
      <c r="M95" s="20" t="n"/>
      <c r="N95" s="20" t="n"/>
      <c r="O95" s="31">
        <f>IF(OR(M95="",N95=""),"",INDEX(RiskGrid,6-VALUE(LEFT(M95,1)),VALUE(LEFT(N95,1))))</f>
        <v/>
      </c>
      <c r="P95" s="31">
        <f>IF(O95="","",IF(O95&gt;=BandVH,"Very High",IF(O95&gt;=BandHigh,"High",IF(O95&gt;=BandMed,"Medium","Low"))))</f>
        <v/>
      </c>
      <c r="Q95" s="5" t="n"/>
      <c r="R95" s="5" t="n"/>
    </row>
    <row r="96" ht="30" customHeight="1">
      <c r="A96" s="31">
        <f>IF(B96="","",COUNTIF(B$14:B96,"?*"))</f>
        <v/>
      </c>
      <c r="B96" s="5" t="n"/>
      <c r="C96" s="20" t="n"/>
      <c r="D96" s="6">
        <f>IF(OR(B96="",C96=""),"",UPPER(LEFT(C96,1))&amp;LOWER(MID(C96,2,30))&amp;" "&amp;LOWER(LEFT(B96,1))&amp;MID(B96,2,200))</f>
        <v/>
      </c>
      <c r="E96" s="5" t="n"/>
      <c r="F96" s="5" t="n"/>
      <c r="G96" s="20" t="n"/>
      <c r="H96" s="20" t="n"/>
      <c r="I96" s="31">
        <f>IF(OR(G96="",H96=""),"",INDEX(RiskGrid,6-VALUE(LEFT(G96,1)),VALUE(LEFT(H96,1))))</f>
        <v/>
      </c>
      <c r="J96" s="31">
        <f>IF(I96="","",IF(I96&gt;=BandVH,"Very High",IF(I96&gt;=BandHigh,"High",IF(I96&gt;=BandMed,"Medium","Low"))))</f>
        <v/>
      </c>
      <c r="K96" s="5" t="n"/>
      <c r="L96" s="31">
        <f>IF(K96="","",(LEN(K96)-LEN(SUBSTITUTE(K96,"[IPL]","")))/5)</f>
        <v/>
      </c>
      <c r="M96" s="20" t="n"/>
      <c r="N96" s="20" t="n"/>
      <c r="O96" s="31">
        <f>IF(OR(M96="",N96=""),"",INDEX(RiskGrid,6-VALUE(LEFT(M96,1)),VALUE(LEFT(N96,1))))</f>
        <v/>
      </c>
      <c r="P96" s="31">
        <f>IF(O96="","",IF(O96&gt;=BandVH,"Very High",IF(O96&gt;=BandHigh,"High",IF(O96&gt;=BandMed,"Medium","Low"))))</f>
        <v/>
      </c>
      <c r="Q96" s="5" t="n"/>
      <c r="R96" s="5" t="n"/>
    </row>
    <row r="97" ht="30" customHeight="1">
      <c r="A97" s="31">
        <f>IF(B97="","",COUNTIF(B$14:B97,"?*"))</f>
        <v/>
      </c>
      <c r="B97" s="5" t="n"/>
      <c r="C97" s="20" t="n"/>
      <c r="D97" s="6">
        <f>IF(OR(B97="",C97=""),"",UPPER(LEFT(C97,1))&amp;LOWER(MID(C97,2,30))&amp;" "&amp;LOWER(LEFT(B97,1))&amp;MID(B97,2,200))</f>
        <v/>
      </c>
      <c r="E97" s="5" t="n"/>
      <c r="F97" s="5" t="n"/>
      <c r="G97" s="20" t="n"/>
      <c r="H97" s="20" t="n"/>
      <c r="I97" s="31">
        <f>IF(OR(G97="",H97=""),"",INDEX(RiskGrid,6-VALUE(LEFT(G97,1)),VALUE(LEFT(H97,1))))</f>
        <v/>
      </c>
      <c r="J97" s="31">
        <f>IF(I97="","",IF(I97&gt;=BandVH,"Very High",IF(I97&gt;=BandHigh,"High",IF(I97&gt;=BandMed,"Medium","Low"))))</f>
        <v/>
      </c>
      <c r="K97" s="5" t="n"/>
      <c r="L97" s="31">
        <f>IF(K97="","",(LEN(K97)-LEN(SUBSTITUTE(K97,"[IPL]","")))/5)</f>
        <v/>
      </c>
      <c r="M97" s="20" t="n"/>
      <c r="N97" s="20" t="n"/>
      <c r="O97" s="31">
        <f>IF(OR(M97="",N97=""),"",INDEX(RiskGrid,6-VALUE(LEFT(M97,1)),VALUE(LEFT(N97,1))))</f>
        <v/>
      </c>
      <c r="P97" s="31">
        <f>IF(O97="","",IF(O97&gt;=BandVH,"Very High",IF(O97&gt;=BandHigh,"High",IF(O97&gt;=BandMed,"Medium","Low"))))</f>
        <v/>
      </c>
      <c r="Q97" s="5" t="n"/>
      <c r="R97" s="5" t="n"/>
    </row>
    <row r="98" ht="30" customHeight="1">
      <c r="A98" s="31">
        <f>IF(B98="","",COUNTIF(B$14:B98,"?*"))</f>
        <v/>
      </c>
      <c r="B98" s="5" t="n"/>
      <c r="C98" s="20" t="n"/>
      <c r="D98" s="6">
        <f>IF(OR(B98="",C98=""),"",UPPER(LEFT(C98,1))&amp;LOWER(MID(C98,2,30))&amp;" "&amp;LOWER(LEFT(B98,1))&amp;MID(B98,2,200))</f>
        <v/>
      </c>
      <c r="E98" s="5" t="n"/>
      <c r="F98" s="5" t="n"/>
      <c r="G98" s="20" t="n"/>
      <c r="H98" s="20" t="n"/>
      <c r="I98" s="31">
        <f>IF(OR(G98="",H98=""),"",INDEX(RiskGrid,6-VALUE(LEFT(G98,1)),VALUE(LEFT(H98,1))))</f>
        <v/>
      </c>
      <c r="J98" s="31">
        <f>IF(I98="","",IF(I98&gt;=BandVH,"Very High",IF(I98&gt;=BandHigh,"High",IF(I98&gt;=BandMed,"Medium","Low"))))</f>
        <v/>
      </c>
      <c r="K98" s="5" t="n"/>
      <c r="L98" s="31">
        <f>IF(K98="","",(LEN(K98)-LEN(SUBSTITUTE(K98,"[IPL]","")))/5)</f>
        <v/>
      </c>
      <c r="M98" s="20" t="n"/>
      <c r="N98" s="20" t="n"/>
      <c r="O98" s="31">
        <f>IF(OR(M98="",N98=""),"",INDEX(RiskGrid,6-VALUE(LEFT(M98,1)),VALUE(LEFT(N98,1))))</f>
        <v/>
      </c>
      <c r="P98" s="31">
        <f>IF(O98="","",IF(O98&gt;=BandVH,"Very High",IF(O98&gt;=BandHigh,"High",IF(O98&gt;=BandMed,"Medium","Low"))))</f>
        <v/>
      </c>
      <c r="Q98" s="5" t="n"/>
      <c r="R98" s="5" t="n"/>
    </row>
    <row r="99" ht="30" customHeight="1">
      <c r="A99" s="31">
        <f>IF(B99="","",COUNTIF(B$14:B99,"?*"))</f>
        <v/>
      </c>
      <c r="B99" s="5" t="n"/>
      <c r="C99" s="20" t="n"/>
      <c r="D99" s="6">
        <f>IF(OR(B99="",C99=""),"",UPPER(LEFT(C99,1))&amp;LOWER(MID(C99,2,30))&amp;" "&amp;LOWER(LEFT(B99,1))&amp;MID(B99,2,200))</f>
        <v/>
      </c>
      <c r="E99" s="5" t="n"/>
      <c r="F99" s="5" t="n"/>
      <c r="G99" s="20" t="n"/>
      <c r="H99" s="20" t="n"/>
      <c r="I99" s="31">
        <f>IF(OR(G99="",H99=""),"",INDEX(RiskGrid,6-VALUE(LEFT(G99,1)),VALUE(LEFT(H99,1))))</f>
        <v/>
      </c>
      <c r="J99" s="31">
        <f>IF(I99="","",IF(I99&gt;=BandVH,"Very High",IF(I99&gt;=BandHigh,"High",IF(I99&gt;=BandMed,"Medium","Low"))))</f>
        <v/>
      </c>
      <c r="K99" s="5" t="n"/>
      <c r="L99" s="31">
        <f>IF(K99="","",(LEN(K99)-LEN(SUBSTITUTE(K99,"[IPL]","")))/5)</f>
        <v/>
      </c>
      <c r="M99" s="20" t="n"/>
      <c r="N99" s="20" t="n"/>
      <c r="O99" s="31">
        <f>IF(OR(M99="",N99=""),"",INDEX(RiskGrid,6-VALUE(LEFT(M99,1)),VALUE(LEFT(N99,1))))</f>
        <v/>
      </c>
      <c r="P99" s="31">
        <f>IF(O99="","",IF(O99&gt;=BandVH,"Very High",IF(O99&gt;=BandHigh,"High",IF(O99&gt;=BandMed,"Medium","Low"))))</f>
        <v/>
      </c>
      <c r="Q99" s="5" t="n"/>
      <c r="R99" s="5" t="n"/>
    </row>
    <row r="100" ht="30" customHeight="1">
      <c r="A100" s="31">
        <f>IF(B100="","",COUNTIF(B$14:B100,"?*"))</f>
        <v/>
      </c>
      <c r="B100" s="5" t="n"/>
      <c r="C100" s="20" t="n"/>
      <c r="D100" s="6">
        <f>IF(OR(B100="",C100=""),"",UPPER(LEFT(C100,1))&amp;LOWER(MID(C100,2,30))&amp;" "&amp;LOWER(LEFT(B100,1))&amp;MID(B100,2,200))</f>
        <v/>
      </c>
      <c r="E100" s="5" t="n"/>
      <c r="F100" s="5" t="n"/>
      <c r="G100" s="20" t="n"/>
      <c r="H100" s="20" t="n"/>
      <c r="I100" s="31">
        <f>IF(OR(G100="",H100=""),"",INDEX(RiskGrid,6-VALUE(LEFT(G100,1)),VALUE(LEFT(H100,1))))</f>
        <v/>
      </c>
      <c r="J100" s="31">
        <f>IF(I100="","",IF(I100&gt;=BandVH,"Very High",IF(I100&gt;=BandHigh,"High",IF(I100&gt;=BandMed,"Medium","Low"))))</f>
        <v/>
      </c>
      <c r="K100" s="5" t="n"/>
      <c r="L100" s="31">
        <f>IF(K100="","",(LEN(K100)-LEN(SUBSTITUTE(K100,"[IPL]","")))/5)</f>
        <v/>
      </c>
      <c r="M100" s="20" t="n"/>
      <c r="N100" s="20" t="n"/>
      <c r="O100" s="31">
        <f>IF(OR(M100="",N100=""),"",INDEX(RiskGrid,6-VALUE(LEFT(M100,1)),VALUE(LEFT(N100,1))))</f>
        <v/>
      </c>
      <c r="P100" s="31">
        <f>IF(O100="","",IF(O100&gt;=BandVH,"Very High",IF(O100&gt;=BandHigh,"High",IF(O100&gt;=BandMed,"Medium","Low"))))</f>
        <v/>
      </c>
      <c r="Q100" s="5" t="n"/>
      <c r="R100" s="5" t="n"/>
    </row>
    <row r="101" ht="30" customHeight="1">
      <c r="A101" s="31">
        <f>IF(B101="","",COUNTIF(B$14:B101,"?*"))</f>
        <v/>
      </c>
      <c r="B101" s="5" t="n"/>
      <c r="C101" s="20" t="n"/>
      <c r="D101" s="6">
        <f>IF(OR(B101="",C101=""),"",UPPER(LEFT(C101,1))&amp;LOWER(MID(C101,2,30))&amp;" "&amp;LOWER(LEFT(B101,1))&amp;MID(B101,2,200))</f>
        <v/>
      </c>
      <c r="E101" s="5" t="n"/>
      <c r="F101" s="5" t="n"/>
      <c r="G101" s="20" t="n"/>
      <c r="H101" s="20" t="n"/>
      <c r="I101" s="31">
        <f>IF(OR(G101="",H101=""),"",INDEX(RiskGrid,6-VALUE(LEFT(G101,1)),VALUE(LEFT(H101,1))))</f>
        <v/>
      </c>
      <c r="J101" s="31">
        <f>IF(I101="","",IF(I101&gt;=BandVH,"Very High",IF(I101&gt;=BandHigh,"High",IF(I101&gt;=BandMed,"Medium","Low"))))</f>
        <v/>
      </c>
      <c r="K101" s="5" t="n"/>
      <c r="L101" s="31">
        <f>IF(K101="","",(LEN(K101)-LEN(SUBSTITUTE(K101,"[IPL]","")))/5)</f>
        <v/>
      </c>
      <c r="M101" s="20" t="n"/>
      <c r="N101" s="20" t="n"/>
      <c r="O101" s="31">
        <f>IF(OR(M101="",N101=""),"",INDEX(RiskGrid,6-VALUE(LEFT(M101,1)),VALUE(LEFT(N101,1))))</f>
        <v/>
      </c>
      <c r="P101" s="31">
        <f>IF(O101="","",IF(O101&gt;=BandVH,"Very High",IF(O101&gt;=BandHigh,"High",IF(O101&gt;=BandMed,"Medium","Low"))))</f>
        <v/>
      </c>
      <c r="Q101" s="5" t="n"/>
      <c r="R101" s="5" t="n"/>
    </row>
    <row r="102" ht="30" customHeight="1">
      <c r="A102" s="31">
        <f>IF(B102="","",COUNTIF(B$14:B102,"?*"))</f>
        <v/>
      </c>
      <c r="B102" s="5" t="n"/>
      <c r="C102" s="20" t="n"/>
      <c r="D102" s="6">
        <f>IF(OR(B102="",C102=""),"",UPPER(LEFT(C102,1))&amp;LOWER(MID(C102,2,30))&amp;" "&amp;LOWER(LEFT(B102,1))&amp;MID(B102,2,200))</f>
        <v/>
      </c>
      <c r="E102" s="5" t="n"/>
      <c r="F102" s="5" t="n"/>
      <c r="G102" s="20" t="n"/>
      <c r="H102" s="20" t="n"/>
      <c r="I102" s="31">
        <f>IF(OR(G102="",H102=""),"",INDEX(RiskGrid,6-VALUE(LEFT(G102,1)),VALUE(LEFT(H102,1))))</f>
        <v/>
      </c>
      <c r="J102" s="31">
        <f>IF(I102="","",IF(I102&gt;=BandVH,"Very High",IF(I102&gt;=BandHigh,"High",IF(I102&gt;=BandMed,"Medium","Low"))))</f>
        <v/>
      </c>
      <c r="K102" s="5" t="n"/>
      <c r="L102" s="31">
        <f>IF(K102="","",(LEN(K102)-LEN(SUBSTITUTE(K102,"[IPL]","")))/5)</f>
        <v/>
      </c>
      <c r="M102" s="20" t="n"/>
      <c r="N102" s="20" t="n"/>
      <c r="O102" s="31">
        <f>IF(OR(M102="",N102=""),"",INDEX(RiskGrid,6-VALUE(LEFT(M102,1)),VALUE(LEFT(N102,1))))</f>
        <v/>
      </c>
      <c r="P102" s="31">
        <f>IF(O102="","",IF(O102&gt;=BandVH,"Very High",IF(O102&gt;=BandHigh,"High",IF(O102&gt;=BandMed,"Medium","Low"))))</f>
        <v/>
      </c>
      <c r="Q102" s="5" t="n"/>
      <c r="R102" s="5" t="n"/>
    </row>
    <row r="103" ht="30" customHeight="1">
      <c r="A103" s="31">
        <f>IF(B103="","",COUNTIF(B$14:B103,"?*"))</f>
        <v/>
      </c>
      <c r="B103" s="5" t="n"/>
      <c r="C103" s="20" t="n"/>
      <c r="D103" s="6">
        <f>IF(OR(B103="",C103=""),"",UPPER(LEFT(C103,1))&amp;LOWER(MID(C103,2,30))&amp;" "&amp;LOWER(LEFT(B103,1))&amp;MID(B103,2,200))</f>
        <v/>
      </c>
      <c r="E103" s="5" t="n"/>
      <c r="F103" s="5" t="n"/>
      <c r="G103" s="20" t="n"/>
      <c r="H103" s="20" t="n"/>
      <c r="I103" s="31">
        <f>IF(OR(G103="",H103=""),"",INDEX(RiskGrid,6-VALUE(LEFT(G103,1)),VALUE(LEFT(H103,1))))</f>
        <v/>
      </c>
      <c r="J103" s="31">
        <f>IF(I103="","",IF(I103&gt;=BandVH,"Very High",IF(I103&gt;=BandHigh,"High",IF(I103&gt;=BandMed,"Medium","Low"))))</f>
        <v/>
      </c>
      <c r="K103" s="5" t="n"/>
      <c r="L103" s="31">
        <f>IF(K103="","",(LEN(K103)-LEN(SUBSTITUTE(K103,"[IPL]","")))/5)</f>
        <v/>
      </c>
      <c r="M103" s="20" t="n"/>
      <c r="N103" s="20" t="n"/>
      <c r="O103" s="31">
        <f>IF(OR(M103="",N103=""),"",INDEX(RiskGrid,6-VALUE(LEFT(M103,1)),VALUE(LEFT(N103,1))))</f>
        <v/>
      </c>
      <c r="P103" s="31">
        <f>IF(O103="","",IF(O103&gt;=BandVH,"Very High",IF(O103&gt;=BandHigh,"High",IF(O103&gt;=BandMed,"Medium","Low"))))</f>
        <v/>
      </c>
      <c r="Q103" s="5" t="n"/>
      <c r="R103" s="5" t="n"/>
    </row>
    <row r="104" ht="30" customHeight="1">
      <c r="A104" s="31">
        <f>IF(B104="","",COUNTIF(B$14:B104,"?*"))</f>
        <v/>
      </c>
      <c r="B104" s="5" t="n"/>
      <c r="C104" s="20" t="n"/>
      <c r="D104" s="6">
        <f>IF(OR(B104="",C104=""),"",UPPER(LEFT(C104,1))&amp;LOWER(MID(C104,2,30))&amp;" "&amp;LOWER(LEFT(B104,1))&amp;MID(B104,2,200))</f>
        <v/>
      </c>
      <c r="E104" s="5" t="n"/>
      <c r="F104" s="5" t="n"/>
      <c r="G104" s="20" t="n"/>
      <c r="H104" s="20" t="n"/>
      <c r="I104" s="31">
        <f>IF(OR(G104="",H104=""),"",INDEX(RiskGrid,6-VALUE(LEFT(G104,1)),VALUE(LEFT(H104,1))))</f>
        <v/>
      </c>
      <c r="J104" s="31">
        <f>IF(I104="","",IF(I104&gt;=BandVH,"Very High",IF(I104&gt;=BandHigh,"High",IF(I104&gt;=BandMed,"Medium","Low"))))</f>
        <v/>
      </c>
      <c r="K104" s="5" t="n"/>
      <c r="L104" s="31">
        <f>IF(K104="","",(LEN(K104)-LEN(SUBSTITUTE(K104,"[IPL]","")))/5)</f>
        <v/>
      </c>
      <c r="M104" s="20" t="n"/>
      <c r="N104" s="20" t="n"/>
      <c r="O104" s="31">
        <f>IF(OR(M104="",N104=""),"",INDEX(RiskGrid,6-VALUE(LEFT(M104,1)),VALUE(LEFT(N104,1))))</f>
        <v/>
      </c>
      <c r="P104" s="31">
        <f>IF(O104="","",IF(O104&gt;=BandVH,"Very High",IF(O104&gt;=BandHigh,"High",IF(O104&gt;=BandMed,"Medium","Low"))))</f>
        <v/>
      </c>
      <c r="Q104" s="5" t="n"/>
      <c r="R104" s="5" t="n"/>
    </row>
    <row r="105" ht="30" customHeight="1">
      <c r="A105" s="31">
        <f>IF(B105="","",COUNTIF(B$14:B105,"?*"))</f>
        <v/>
      </c>
      <c r="B105" s="5" t="n"/>
      <c r="C105" s="20" t="n"/>
      <c r="D105" s="6">
        <f>IF(OR(B105="",C105=""),"",UPPER(LEFT(C105,1))&amp;LOWER(MID(C105,2,30))&amp;" "&amp;LOWER(LEFT(B105,1))&amp;MID(B105,2,200))</f>
        <v/>
      </c>
      <c r="E105" s="5" t="n"/>
      <c r="F105" s="5" t="n"/>
      <c r="G105" s="20" t="n"/>
      <c r="H105" s="20" t="n"/>
      <c r="I105" s="31">
        <f>IF(OR(G105="",H105=""),"",INDEX(RiskGrid,6-VALUE(LEFT(G105,1)),VALUE(LEFT(H105,1))))</f>
        <v/>
      </c>
      <c r="J105" s="31">
        <f>IF(I105="","",IF(I105&gt;=BandVH,"Very High",IF(I105&gt;=BandHigh,"High",IF(I105&gt;=BandMed,"Medium","Low"))))</f>
        <v/>
      </c>
      <c r="K105" s="5" t="n"/>
      <c r="L105" s="31">
        <f>IF(K105="","",(LEN(K105)-LEN(SUBSTITUTE(K105,"[IPL]","")))/5)</f>
        <v/>
      </c>
      <c r="M105" s="20" t="n"/>
      <c r="N105" s="20" t="n"/>
      <c r="O105" s="31">
        <f>IF(OR(M105="",N105=""),"",INDEX(RiskGrid,6-VALUE(LEFT(M105,1)),VALUE(LEFT(N105,1))))</f>
        <v/>
      </c>
      <c r="P105" s="31">
        <f>IF(O105="","",IF(O105&gt;=BandVH,"Very High",IF(O105&gt;=BandHigh,"High",IF(O105&gt;=BandMed,"Medium","Low"))))</f>
        <v/>
      </c>
      <c r="Q105" s="5" t="n"/>
      <c r="R105" s="5" t="n"/>
    </row>
    <row r="106" ht="30" customHeight="1">
      <c r="A106" s="31">
        <f>IF(B106="","",COUNTIF(B$14:B106,"?*"))</f>
        <v/>
      </c>
      <c r="B106" s="5" t="n"/>
      <c r="C106" s="20" t="n"/>
      <c r="D106" s="6">
        <f>IF(OR(B106="",C106=""),"",UPPER(LEFT(C106,1))&amp;LOWER(MID(C106,2,30))&amp;" "&amp;LOWER(LEFT(B106,1))&amp;MID(B106,2,200))</f>
        <v/>
      </c>
      <c r="E106" s="5" t="n"/>
      <c r="F106" s="5" t="n"/>
      <c r="G106" s="20" t="n"/>
      <c r="H106" s="20" t="n"/>
      <c r="I106" s="31">
        <f>IF(OR(G106="",H106=""),"",INDEX(RiskGrid,6-VALUE(LEFT(G106,1)),VALUE(LEFT(H106,1))))</f>
        <v/>
      </c>
      <c r="J106" s="31">
        <f>IF(I106="","",IF(I106&gt;=BandVH,"Very High",IF(I106&gt;=BandHigh,"High",IF(I106&gt;=BandMed,"Medium","Low"))))</f>
        <v/>
      </c>
      <c r="K106" s="5" t="n"/>
      <c r="L106" s="31">
        <f>IF(K106="","",(LEN(K106)-LEN(SUBSTITUTE(K106,"[IPL]","")))/5)</f>
        <v/>
      </c>
      <c r="M106" s="20" t="n"/>
      <c r="N106" s="20" t="n"/>
      <c r="O106" s="31">
        <f>IF(OR(M106="",N106=""),"",INDEX(RiskGrid,6-VALUE(LEFT(M106,1)),VALUE(LEFT(N106,1))))</f>
        <v/>
      </c>
      <c r="P106" s="31">
        <f>IF(O106="","",IF(O106&gt;=BandVH,"Very High",IF(O106&gt;=BandHigh,"High",IF(O106&gt;=BandMed,"Medium","Low"))))</f>
        <v/>
      </c>
      <c r="Q106" s="5" t="n"/>
      <c r="R106" s="5" t="n"/>
    </row>
    <row r="107" ht="30" customHeight="1">
      <c r="A107" s="31">
        <f>IF(B107="","",COUNTIF(B$14:B107,"?*"))</f>
        <v/>
      </c>
      <c r="B107" s="5" t="n"/>
      <c r="C107" s="20" t="n"/>
      <c r="D107" s="6">
        <f>IF(OR(B107="",C107=""),"",UPPER(LEFT(C107,1))&amp;LOWER(MID(C107,2,30))&amp;" "&amp;LOWER(LEFT(B107,1))&amp;MID(B107,2,200))</f>
        <v/>
      </c>
      <c r="E107" s="5" t="n"/>
      <c r="F107" s="5" t="n"/>
      <c r="G107" s="20" t="n"/>
      <c r="H107" s="20" t="n"/>
      <c r="I107" s="31">
        <f>IF(OR(G107="",H107=""),"",INDEX(RiskGrid,6-VALUE(LEFT(G107,1)),VALUE(LEFT(H107,1))))</f>
        <v/>
      </c>
      <c r="J107" s="31">
        <f>IF(I107="","",IF(I107&gt;=BandVH,"Very High",IF(I107&gt;=BandHigh,"High",IF(I107&gt;=BandMed,"Medium","Low"))))</f>
        <v/>
      </c>
      <c r="K107" s="5" t="n"/>
      <c r="L107" s="31">
        <f>IF(K107="","",(LEN(K107)-LEN(SUBSTITUTE(K107,"[IPL]","")))/5)</f>
        <v/>
      </c>
      <c r="M107" s="20" t="n"/>
      <c r="N107" s="20" t="n"/>
      <c r="O107" s="31">
        <f>IF(OR(M107="",N107=""),"",INDEX(RiskGrid,6-VALUE(LEFT(M107,1)),VALUE(LEFT(N107,1))))</f>
        <v/>
      </c>
      <c r="P107" s="31">
        <f>IF(O107="","",IF(O107&gt;=BandVH,"Very High",IF(O107&gt;=BandHigh,"High",IF(O107&gt;=BandMed,"Medium","Low"))))</f>
        <v/>
      </c>
      <c r="Q107" s="5" t="n"/>
      <c r="R107" s="5" t="n"/>
    </row>
    <row r="108" ht="30" customHeight="1">
      <c r="A108" s="31">
        <f>IF(B108="","",COUNTIF(B$14:B108,"?*"))</f>
        <v/>
      </c>
      <c r="B108" s="5" t="n"/>
      <c r="C108" s="20" t="n"/>
      <c r="D108" s="6">
        <f>IF(OR(B108="",C108=""),"",UPPER(LEFT(C108,1))&amp;LOWER(MID(C108,2,30))&amp;" "&amp;LOWER(LEFT(B108,1))&amp;MID(B108,2,200))</f>
        <v/>
      </c>
      <c r="E108" s="5" t="n"/>
      <c r="F108" s="5" t="n"/>
      <c r="G108" s="20" t="n"/>
      <c r="H108" s="20" t="n"/>
      <c r="I108" s="31">
        <f>IF(OR(G108="",H108=""),"",INDEX(RiskGrid,6-VALUE(LEFT(G108,1)),VALUE(LEFT(H108,1))))</f>
        <v/>
      </c>
      <c r="J108" s="31">
        <f>IF(I108="","",IF(I108&gt;=BandVH,"Very High",IF(I108&gt;=BandHigh,"High",IF(I108&gt;=BandMed,"Medium","Low"))))</f>
        <v/>
      </c>
      <c r="K108" s="5" t="n"/>
      <c r="L108" s="31">
        <f>IF(K108="","",(LEN(K108)-LEN(SUBSTITUTE(K108,"[IPL]","")))/5)</f>
        <v/>
      </c>
      <c r="M108" s="20" t="n"/>
      <c r="N108" s="20" t="n"/>
      <c r="O108" s="31">
        <f>IF(OR(M108="",N108=""),"",INDEX(RiskGrid,6-VALUE(LEFT(M108,1)),VALUE(LEFT(N108,1))))</f>
        <v/>
      </c>
      <c r="P108" s="31">
        <f>IF(O108="","",IF(O108&gt;=BandVH,"Very High",IF(O108&gt;=BandHigh,"High",IF(O108&gt;=BandMed,"Medium","Low"))))</f>
        <v/>
      </c>
      <c r="Q108" s="5" t="n"/>
      <c r="R108" s="5" t="n"/>
    </row>
    <row r="109" ht="30" customHeight="1">
      <c r="A109" s="31">
        <f>IF(B109="","",COUNTIF(B$14:B109,"?*"))</f>
        <v/>
      </c>
      <c r="B109" s="5" t="n"/>
      <c r="C109" s="20" t="n"/>
      <c r="D109" s="6">
        <f>IF(OR(B109="",C109=""),"",UPPER(LEFT(C109,1))&amp;LOWER(MID(C109,2,30))&amp;" "&amp;LOWER(LEFT(B109,1))&amp;MID(B109,2,200))</f>
        <v/>
      </c>
      <c r="E109" s="5" t="n"/>
      <c r="F109" s="5" t="n"/>
      <c r="G109" s="20" t="n"/>
      <c r="H109" s="20" t="n"/>
      <c r="I109" s="31">
        <f>IF(OR(G109="",H109=""),"",INDEX(RiskGrid,6-VALUE(LEFT(G109,1)),VALUE(LEFT(H109,1))))</f>
        <v/>
      </c>
      <c r="J109" s="31">
        <f>IF(I109="","",IF(I109&gt;=BandVH,"Very High",IF(I109&gt;=BandHigh,"High",IF(I109&gt;=BandMed,"Medium","Low"))))</f>
        <v/>
      </c>
      <c r="K109" s="5" t="n"/>
      <c r="L109" s="31">
        <f>IF(K109="","",(LEN(K109)-LEN(SUBSTITUTE(K109,"[IPL]","")))/5)</f>
        <v/>
      </c>
      <c r="M109" s="20" t="n"/>
      <c r="N109" s="20" t="n"/>
      <c r="O109" s="31">
        <f>IF(OR(M109="",N109=""),"",INDEX(RiskGrid,6-VALUE(LEFT(M109,1)),VALUE(LEFT(N109,1))))</f>
        <v/>
      </c>
      <c r="P109" s="31">
        <f>IF(O109="","",IF(O109&gt;=BandVH,"Very High",IF(O109&gt;=BandHigh,"High",IF(O109&gt;=BandMed,"Medium","Low"))))</f>
        <v/>
      </c>
      <c r="Q109" s="5" t="n"/>
      <c r="R109" s="5" t="n"/>
    </row>
    <row r="110" ht="30" customHeight="1">
      <c r="A110" s="31">
        <f>IF(B110="","",COUNTIF(B$14:B110,"?*"))</f>
        <v/>
      </c>
      <c r="B110" s="5" t="n"/>
      <c r="C110" s="20" t="n"/>
      <c r="D110" s="6">
        <f>IF(OR(B110="",C110=""),"",UPPER(LEFT(C110,1))&amp;LOWER(MID(C110,2,30))&amp;" "&amp;LOWER(LEFT(B110,1))&amp;MID(B110,2,200))</f>
        <v/>
      </c>
      <c r="E110" s="5" t="n"/>
      <c r="F110" s="5" t="n"/>
      <c r="G110" s="20" t="n"/>
      <c r="H110" s="20" t="n"/>
      <c r="I110" s="31">
        <f>IF(OR(G110="",H110=""),"",INDEX(RiskGrid,6-VALUE(LEFT(G110,1)),VALUE(LEFT(H110,1))))</f>
        <v/>
      </c>
      <c r="J110" s="31">
        <f>IF(I110="","",IF(I110&gt;=BandVH,"Very High",IF(I110&gt;=BandHigh,"High",IF(I110&gt;=BandMed,"Medium","Low"))))</f>
        <v/>
      </c>
      <c r="K110" s="5" t="n"/>
      <c r="L110" s="31">
        <f>IF(K110="","",(LEN(K110)-LEN(SUBSTITUTE(K110,"[IPL]","")))/5)</f>
        <v/>
      </c>
      <c r="M110" s="20" t="n"/>
      <c r="N110" s="20" t="n"/>
      <c r="O110" s="31">
        <f>IF(OR(M110="",N110=""),"",INDEX(RiskGrid,6-VALUE(LEFT(M110,1)),VALUE(LEFT(N110,1))))</f>
        <v/>
      </c>
      <c r="P110" s="31">
        <f>IF(O110="","",IF(O110&gt;=BandVH,"Very High",IF(O110&gt;=BandHigh,"High",IF(O110&gt;=BandMed,"Medium","Low"))))</f>
        <v/>
      </c>
      <c r="Q110" s="5" t="n"/>
      <c r="R110" s="5" t="n"/>
    </row>
    <row r="111" ht="30" customHeight="1">
      <c r="A111" s="31">
        <f>IF(B111="","",COUNTIF(B$14:B111,"?*"))</f>
        <v/>
      </c>
      <c r="B111" s="5" t="n"/>
      <c r="C111" s="20" t="n"/>
      <c r="D111" s="6">
        <f>IF(OR(B111="",C111=""),"",UPPER(LEFT(C111,1))&amp;LOWER(MID(C111,2,30))&amp;" "&amp;LOWER(LEFT(B111,1))&amp;MID(B111,2,200))</f>
        <v/>
      </c>
      <c r="E111" s="5" t="n"/>
      <c r="F111" s="5" t="n"/>
      <c r="G111" s="20" t="n"/>
      <c r="H111" s="20" t="n"/>
      <c r="I111" s="31">
        <f>IF(OR(G111="",H111=""),"",INDEX(RiskGrid,6-VALUE(LEFT(G111,1)),VALUE(LEFT(H111,1))))</f>
        <v/>
      </c>
      <c r="J111" s="31">
        <f>IF(I111="","",IF(I111&gt;=BandVH,"Very High",IF(I111&gt;=BandHigh,"High",IF(I111&gt;=BandMed,"Medium","Low"))))</f>
        <v/>
      </c>
      <c r="K111" s="5" t="n"/>
      <c r="L111" s="31">
        <f>IF(K111="","",(LEN(K111)-LEN(SUBSTITUTE(K111,"[IPL]","")))/5)</f>
        <v/>
      </c>
      <c r="M111" s="20" t="n"/>
      <c r="N111" s="20" t="n"/>
      <c r="O111" s="31">
        <f>IF(OR(M111="",N111=""),"",INDEX(RiskGrid,6-VALUE(LEFT(M111,1)),VALUE(LEFT(N111,1))))</f>
        <v/>
      </c>
      <c r="P111" s="31">
        <f>IF(O111="","",IF(O111&gt;=BandVH,"Very High",IF(O111&gt;=BandHigh,"High",IF(O111&gt;=BandMed,"Medium","Low"))))</f>
        <v/>
      </c>
      <c r="Q111" s="5" t="n"/>
      <c r="R111" s="5" t="n"/>
    </row>
    <row r="112" ht="30" customHeight="1">
      <c r="A112" s="31">
        <f>IF(B112="","",COUNTIF(B$14:B112,"?*"))</f>
        <v/>
      </c>
      <c r="B112" s="5" t="n"/>
      <c r="C112" s="20" t="n"/>
      <c r="D112" s="6">
        <f>IF(OR(B112="",C112=""),"",UPPER(LEFT(C112,1))&amp;LOWER(MID(C112,2,30))&amp;" "&amp;LOWER(LEFT(B112,1))&amp;MID(B112,2,200))</f>
        <v/>
      </c>
      <c r="E112" s="5" t="n"/>
      <c r="F112" s="5" t="n"/>
      <c r="G112" s="20" t="n"/>
      <c r="H112" s="20" t="n"/>
      <c r="I112" s="31">
        <f>IF(OR(G112="",H112=""),"",INDEX(RiskGrid,6-VALUE(LEFT(G112,1)),VALUE(LEFT(H112,1))))</f>
        <v/>
      </c>
      <c r="J112" s="31">
        <f>IF(I112="","",IF(I112&gt;=BandVH,"Very High",IF(I112&gt;=BandHigh,"High",IF(I112&gt;=BandMed,"Medium","Low"))))</f>
        <v/>
      </c>
      <c r="K112" s="5" t="n"/>
      <c r="L112" s="31">
        <f>IF(K112="","",(LEN(K112)-LEN(SUBSTITUTE(K112,"[IPL]","")))/5)</f>
        <v/>
      </c>
      <c r="M112" s="20" t="n"/>
      <c r="N112" s="20" t="n"/>
      <c r="O112" s="31">
        <f>IF(OR(M112="",N112=""),"",INDEX(RiskGrid,6-VALUE(LEFT(M112,1)),VALUE(LEFT(N112,1))))</f>
        <v/>
      </c>
      <c r="P112" s="31">
        <f>IF(O112="","",IF(O112&gt;=BandVH,"Very High",IF(O112&gt;=BandHigh,"High",IF(O112&gt;=BandMed,"Medium","Low"))))</f>
        <v/>
      </c>
      <c r="Q112" s="5" t="n"/>
      <c r="R112" s="5" t="n"/>
    </row>
    <row r="113" ht="30" customHeight="1">
      <c r="A113" s="31">
        <f>IF(B113="","",COUNTIF(B$14:B113,"?*"))</f>
        <v/>
      </c>
      <c r="B113" s="5" t="n"/>
      <c r="C113" s="20" t="n"/>
      <c r="D113" s="6">
        <f>IF(OR(B113="",C113=""),"",UPPER(LEFT(C113,1))&amp;LOWER(MID(C113,2,30))&amp;" "&amp;LOWER(LEFT(B113,1))&amp;MID(B113,2,200))</f>
        <v/>
      </c>
      <c r="E113" s="5" t="n"/>
      <c r="F113" s="5" t="n"/>
      <c r="G113" s="20" t="n"/>
      <c r="H113" s="20" t="n"/>
      <c r="I113" s="31">
        <f>IF(OR(G113="",H113=""),"",INDEX(RiskGrid,6-VALUE(LEFT(G113,1)),VALUE(LEFT(H113,1))))</f>
        <v/>
      </c>
      <c r="J113" s="31">
        <f>IF(I113="","",IF(I113&gt;=BandVH,"Very High",IF(I113&gt;=BandHigh,"High",IF(I113&gt;=BandMed,"Medium","Low"))))</f>
        <v/>
      </c>
      <c r="K113" s="5" t="n"/>
      <c r="L113" s="31">
        <f>IF(K113="","",(LEN(K113)-LEN(SUBSTITUTE(K113,"[IPL]","")))/5)</f>
        <v/>
      </c>
      <c r="M113" s="20" t="n"/>
      <c r="N113" s="20" t="n"/>
      <c r="O113" s="31">
        <f>IF(OR(M113="",N113=""),"",INDEX(RiskGrid,6-VALUE(LEFT(M113,1)),VALUE(LEFT(N113,1))))</f>
        <v/>
      </c>
      <c r="P113" s="31">
        <f>IF(O113="","",IF(O113&gt;=BandVH,"Very High",IF(O113&gt;=BandHigh,"High",IF(O113&gt;=BandMed,"Medium","Low"))))</f>
        <v/>
      </c>
      <c r="Q113" s="5" t="n"/>
      <c r="R113" s="5" t="n"/>
    </row>
    <row r="114" ht="30" customHeight="1">
      <c r="A114" s="31">
        <f>IF(B114="","",COUNTIF(B$14:B114,"?*"))</f>
        <v/>
      </c>
      <c r="B114" s="5" t="n"/>
      <c r="C114" s="20" t="n"/>
      <c r="D114" s="6">
        <f>IF(OR(B114="",C114=""),"",UPPER(LEFT(C114,1))&amp;LOWER(MID(C114,2,30))&amp;" "&amp;LOWER(LEFT(B114,1))&amp;MID(B114,2,200))</f>
        <v/>
      </c>
      <c r="E114" s="5" t="n"/>
      <c r="F114" s="5" t="n"/>
      <c r="G114" s="20" t="n"/>
      <c r="H114" s="20" t="n"/>
      <c r="I114" s="31">
        <f>IF(OR(G114="",H114=""),"",INDEX(RiskGrid,6-VALUE(LEFT(G114,1)),VALUE(LEFT(H114,1))))</f>
        <v/>
      </c>
      <c r="J114" s="31">
        <f>IF(I114="","",IF(I114&gt;=BandVH,"Very High",IF(I114&gt;=BandHigh,"High",IF(I114&gt;=BandMed,"Medium","Low"))))</f>
        <v/>
      </c>
      <c r="K114" s="5" t="n"/>
      <c r="L114" s="31">
        <f>IF(K114="","",(LEN(K114)-LEN(SUBSTITUTE(K114,"[IPL]","")))/5)</f>
        <v/>
      </c>
      <c r="M114" s="20" t="n"/>
      <c r="N114" s="20" t="n"/>
      <c r="O114" s="31">
        <f>IF(OR(M114="",N114=""),"",INDEX(RiskGrid,6-VALUE(LEFT(M114,1)),VALUE(LEFT(N114,1))))</f>
        <v/>
      </c>
      <c r="P114" s="31">
        <f>IF(O114="","",IF(O114&gt;=BandVH,"Very High",IF(O114&gt;=BandHigh,"High",IF(O114&gt;=BandMed,"Medium","Low"))))</f>
        <v/>
      </c>
      <c r="Q114" s="5" t="n"/>
      <c r="R114" s="5" t="n"/>
    </row>
    <row r="115" ht="30" customHeight="1">
      <c r="A115" s="31">
        <f>IF(B115="","",COUNTIF(B$14:B115,"?*"))</f>
        <v/>
      </c>
      <c r="B115" s="5" t="n"/>
      <c r="C115" s="20" t="n"/>
      <c r="D115" s="6">
        <f>IF(OR(B115="",C115=""),"",UPPER(LEFT(C115,1))&amp;LOWER(MID(C115,2,30))&amp;" "&amp;LOWER(LEFT(B115,1))&amp;MID(B115,2,200))</f>
        <v/>
      </c>
      <c r="E115" s="5" t="n"/>
      <c r="F115" s="5" t="n"/>
      <c r="G115" s="20" t="n"/>
      <c r="H115" s="20" t="n"/>
      <c r="I115" s="31">
        <f>IF(OR(G115="",H115=""),"",INDEX(RiskGrid,6-VALUE(LEFT(G115,1)),VALUE(LEFT(H115,1))))</f>
        <v/>
      </c>
      <c r="J115" s="31">
        <f>IF(I115="","",IF(I115&gt;=BandVH,"Very High",IF(I115&gt;=BandHigh,"High",IF(I115&gt;=BandMed,"Medium","Low"))))</f>
        <v/>
      </c>
      <c r="K115" s="5" t="n"/>
      <c r="L115" s="31">
        <f>IF(K115="","",(LEN(K115)-LEN(SUBSTITUTE(K115,"[IPL]","")))/5)</f>
        <v/>
      </c>
      <c r="M115" s="20" t="n"/>
      <c r="N115" s="20" t="n"/>
      <c r="O115" s="31">
        <f>IF(OR(M115="",N115=""),"",INDEX(RiskGrid,6-VALUE(LEFT(M115,1)),VALUE(LEFT(N115,1))))</f>
        <v/>
      </c>
      <c r="P115" s="31">
        <f>IF(O115="","",IF(O115&gt;=BandVH,"Very High",IF(O115&gt;=BandHigh,"High",IF(O115&gt;=BandMed,"Medium","Low"))))</f>
        <v/>
      </c>
      <c r="Q115" s="5" t="n"/>
      <c r="R115" s="5" t="n"/>
    </row>
    <row r="116" ht="30" customHeight="1">
      <c r="A116" s="31">
        <f>IF(B116="","",COUNTIF(B$14:B116,"?*"))</f>
        <v/>
      </c>
      <c r="B116" s="5" t="n"/>
      <c r="C116" s="20" t="n"/>
      <c r="D116" s="6">
        <f>IF(OR(B116="",C116=""),"",UPPER(LEFT(C116,1))&amp;LOWER(MID(C116,2,30))&amp;" "&amp;LOWER(LEFT(B116,1))&amp;MID(B116,2,200))</f>
        <v/>
      </c>
      <c r="E116" s="5" t="n"/>
      <c r="F116" s="5" t="n"/>
      <c r="G116" s="20" t="n"/>
      <c r="H116" s="20" t="n"/>
      <c r="I116" s="31">
        <f>IF(OR(G116="",H116=""),"",INDEX(RiskGrid,6-VALUE(LEFT(G116,1)),VALUE(LEFT(H116,1))))</f>
        <v/>
      </c>
      <c r="J116" s="31">
        <f>IF(I116="","",IF(I116&gt;=BandVH,"Very High",IF(I116&gt;=BandHigh,"High",IF(I116&gt;=BandMed,"Medium","Low"))))</f>
        <v/>
      </c>
      <c r="K116" s="5" t="n"/>
      <c r="L116" s="31">
        <f>IF(K116="","",(LEN(K116)-LEN(SUBSTITUTE(K116,"[IPL]","")))/5)</f>
        <v/>
      </c>
      <c r="M116" s="20" t="n"/>
      <c r="N116" s="20" t="n"/>
      <c r="O116" s="31">
        <f>IF(OR(M116="",N116=""),"",INDEX(RiskGrid,6-VALUE(LEFT(M116,1)),VALUE(LEFT(N116,1))))</f>
        <v/>
      </c>
      <c r="P116" s="31">
        <f>IF(O116="","",IF(O116&gt;=BandVH,"Very High",IF(O116&gt;=BandHigh,"High",IF(O116&gt;=BandMed,"Medium","Low"))))</f>
        <v/>
      </c>
      <c r="Q116" s="5" t="n"/>
      <c r="R116" s="5" t="n"/>
    </row>
    <row r="117" ht="30" customHeight="1">
      <c r="A117" s="31">
        <f>IF(B117="","",COUNTIF(B$14:B117,"?*"))</f>
        <v/>
      </c>
      <c r="B117" s="5" t="n"/>
      <c r="C117" s="20" t="n"/>
      <c r="D117" s="6">
        <f>IF(OR(B117="",C117=""),"",UPPER(LEFT(C117,1))&amp;LOWER(MID(C117,2,30))&amp;" "&amp;LOWER(LEFT(B117,1))&amp;MID(B117,2,200))</f>
        <v/>
      </c>
      <c r="E117" s="5" t="n"/>
      <c r="F117" s="5" t="n"/>
      <c r="G117" s="20" t="n"/>
      <c r="H117" s="20" t="n"/>
      <c r="I117" s="31">
        <f>IF(OR(G117="",H117=""),"",INDEX(RiskGrid,6-VALUE(LEFT(G117,1)),VALUE(LEFT(H117,1))))</f>
        <v/>
      </c>
      <c r="J117" s="31">
        <f>IF(I117="","",IF(I117&gt;=BandVH,"Very High",IF(I117&gt;=BandHigh,"High",IF(I117&gt;=BandMed,"Medium","Low"))))</f>
        <v/>
      </c>
      <c r="K117" s="5" t="n"/>
      <c r="L117" s="31">
        <f>IF(K117="","",(LEN(K117)-LEN(SUBSTITUTE(K117,"[IPL]","")))/5)</f>
        <v/>
      </c>
      <c r="M117" s="20" t="n"/>
      <c r="N117" s="20" t="n"/>
      <c r="O117" s="31">
        <f>IF(OR(M117="",N117=""),"",INDEX(RiskGrid,6-VALUE(LEFT(M117,1)),VALUE(LEFT(N117,1))))</f>
        <v/>
      </c>
      <c r="P117" s="31">
        <f>IF(O117="","",IF(O117&gt;=BandVH,"Very High",IF(O117&gt;=BandHigh,"High",IF(O117&gt;=BandMed,"Medium","Low"))))</f>
        <v/>
      </c>
      <c r="Q117" s="5" t="n"/>
      <c r="R117" s="5" t="n"/>
    </row>
    <row r="118" ht="30" customHeight="1">
      <c r="A118" s="31">
        <f>IF(B118="","",COUNTIF(B$14:B118,"?*"))</f>
        <v/>
      </c>
      <c r="B118" s="5" t="n"/>
      <c r="C118" s="20" t="n"/>
      <c r="D118" s="6">
        <f>IF(OR(B118="",C118=""),"",UPPER(LEFT(C118,1))&amp;LOWER(MID(C118,2,30))&amp;" "&amp;LOWER(LEFT(B118,1))&amp;MID(B118,2,200))</f>
        <v/>
      </c>
      <c r="E118" s="5" t="n"/>
      <c r="F118" s="5" t="n"/>
      <c r="G118" s="20" t="n"/>
      <c r="H118" s="20" t="n"/>
      <c r="I118" s="31">
        <f>IF(OR(G118="",H118=""),"",INDEX(RiskGrid,6-VALUE(LEFT(G118,1)),VALUE(LEFT(H118,1))))</f>
        <v/>
      </c>
      <c r="J118" s="31">
        <f>IF(I118="","",IF(I118&gt;=BandVH,"Very High",IF(I118&gt;=BandHigh,"High",IF(I118&gt;=BandMed,"Medium","Low"))))</f>
        <v/>
      </c>
      <c r="K118" s="5" t="n"/>
      <c r="L118" s="31">
        <f>IF(K118="","",(LEN(K118)-LEN(SUBSTITUTE(K118,"[IPL]","")))/5)</f>
        <v/>
      </c>
      <c r="M118" s="20" t="n"/>
      <c r="N118" s="20" t="n"/>
      <c r="O118" s="31">
        <f>IF(OR(M118="",N118=""),"",INDEX(RiskGrid,6-VALUE(LEFT(M118,1)),VALUE(LEFT(N118,1))))</f>
        <v/>
      </c>
      <c r="P118" s="31">
        <f>IF(O118="","",IF(O118&gt;=BandVH,"Very High",IF(O118&gt;=BandHigh,"High",IF(O118&gt;=BandMed,"Medium","Low"))))</f>
        <v/>
      </c>
      <c r="Q118" s="5" t="n"/>
      <c r="R118" s="5" t="n"/>
    </row>
    <row r="119" ht="30" customHeight="1">
      <c r="A119" s="31">
        <f>IF(B119="","",COUNTIF(B$14:B119,"?*"))</f>
        <v/>
      </c>
      <c r="B119" s="5" t="n"/>
      <c r="C119" s="20" t="n"/>
      <c r="D119" s="6">
        <f>IF(OR(B119="",C119=""),"",UPPER(LEFT(C119,1))&amp;LOWER(MID(C119,2,30))&amp;" "&amp;LOWER(LEFT(B119,1))&amp;MID(B119,2,200))</f>
        <v/>
      </c>
      <c r="E119" s="5" t="n"/>
      <c r="F119" s="5" t="n"/>
      <c r="G119" s="20" t="n"/>
      <c r="H119" s="20" t="n"/>
      <c r="I119" s="31">
        <f>IF(OR(G119="",H119=""),"",INDEX(RiskGrid,6-VALUE(LEFT(G119,1)),VALUE(LEFT(H119,1))))</f>
        <v/>
      </c>
      <c r="J119" s="31">
        <f>IF(I119="","",IF(I119&gt;=BandVH,"Very High",IF(I119&gt;=BandHigh,"High",IF(I119&gt;=BandMed,"Medium","Low"))))</f>
        <v/>
      </c>
      <c r="K119" s="5" t="n"/>
      <c r="L119" s="31">
        <f>IF(K119="","",(LEN(K119)-LEN(SUBSTITUTE(K119,"[IPL]","")))/5)</f>
        <v/>
      </c>
      <c r="M119" s="20" t="n"/>
      <c r="N119" s="20" t="n"/>
      <c r="O119" s="31">
        <f>IF(OR(M119="",N119=""),"",INDEX(RiskGrid,6-VALUE(LEFT(M119,1)),VALUE(LEFT(N119,1))))</f>
        <v/>
      </c>
      <c r="P119" s="31">
        <f>IF(O119="","",IF(O119&gt;=BandVH,"Very High",IF(O119&gt;=BandHigh,"High",IF(O119&gt;=BandMed,"Medium","Low"))))</f>
        <v/>
      </c>
      <c r="Q119" s="5" t="n"/>
      <c r="R119" s="5" t="n"/>
    </row>
    <row r="120" ht="30" customHeight="1">
      <c r="A120" s="31">
        <f>IF(B120="","",COUNTIF(B$14:B120,"?*"))</f>
        <v/>
      </c>
      <c r="B120" s="5" t="n"/>
      <c r="C120" s="20" t="n"/>
      <c r="D120" s="6">
        <f>IF(OR(B120="",C120=""),"",UPPER(LEFT(C120,1))&amp;LOWER(MID(C120,2,30))&amp;" "&amp;LOWER(LEFT(B120,1))&amp;MID(B120,2,200))</f>
        <v/>
      </c>
      <c r="E120" s="5" t="n"/>
      <c r="F120" s="5" t="n"/>
      <c r="G120" s="20" t="n"/>
      <c r="H120" s="20" t="n"/>
      <c r="I120" s="31">
        <f>IF(OR(G120="",H120=""),"",INDEX(RiskGrid,6-VALUE(LEFT(G120,1)),VALUE(LEFT(H120,1))))</f>
        <v/>
      </c>
      <c r="J120" s="31">
        <f>IF(I120="","",IF(I120&gt;=BandVH,"Very High",IF(I120&gt;=BandHigh,"High",IF(I120&gt;=BandMed,"Medium","Low"))))</f>
        <v/>
      </c>
      <c r="K120" s="5" t="n"/>
      <c r="L120" s="31">
        <f>IF(K120="","",(LEN(K120)-LEN(SUBSTITUTE(K120,"[IPL]","")))/5)</f>
        <v/>
      </c>
      <c r="M120" s="20" t="n"/>
      <c r="N120" s="20" t="n"/>
      <c r="O120" s="31">
        <f>IF(OR(M120="",N120=""),"",INDEX(RiskGrid,6-VALUE(LEFT(M120,1)),VALUE(LEFT(N120,1))))</f>
        <v/>
      </c>
      <c r="P120" s="31">
        <f>IF(O120="","",IF(O120&gt;=BandVH,"Very High",IF(O120&gt;=BandHigh,"High",IF(O120&gt;=BandMed,"Medium","Low"))))</f>
        <v/>
      </c>
      <c r="Q120" s="5" t="n"/>
      <c r="R120" s="5" t="n"/>
    </row>
    <row r="121" ht="30" customHeight="1">
      <c r="A121" s="31">
        <f>IF(B121="","",COUNTIF(B$14:B121,"?*"))</f>
        <v/>
      </c>
      <c r="B121" s="5" t="n"/>
      <c r="C121" s="20" t="n"/>
      <c r="D121" s="6">
        <f>IF(OR(B121="",C121=""),"",UPPER(LEFT(C121,1))&amp;LOWER(MID(C121,2,30))&amp;" "&amp;LOWER(LEFT(B121,1))&amp;MID(B121,2,200))</f>
        <v/>
      </c>
      <c r="E121" s="5" t="n"/>
      <c r="F121" s="5" t="n"/>
      <c r="G121" s="20" t="n"/>
      <c r="H121" s="20" t="n"/>
      <c r="I121" s="31">
        <f>IF(OR(G121="",H121=""),"",INDEX(RiskGrid,6-VALUE(LEFT(G121,1)),VALUE(LEFT(H121,1))))</f>
        <v/>
      </c>
      <c r="J121" s="31">
        <f>IF(I121="","",IF(I121&gt;=BandVH,"Very High",IF(I121&gt;=BandHigh,"High",IF(I121&gt;=BandMed,"Medium","Low"))))</f>
        <v/>
      </c>
      <c r="K121" s="5" t="n"/>
      <c r="L121" s="31">
        <f>IF(K121="","",(LEN(K121)-LEN(SUBSTITUTE(K121,"[IPL]","")))/5)</f>
        <v/>
      </c>
      <c r="M121" s="20" t="n"/>
      <c r="N121" s="20" t="n"/>
      <c r="O121" s="31">
        <f>IF(OR(M121="",N121=""),"",INDEX(RiskGrid,6-VALUE(LEFT(M121,1)),VALUE(LEFT(N121,1))))</f>
        <v/>
      </c>
      <c r="P121" s="31">
        <f>IF(O121="","",IF(O121&gt;=BandVH,"Very High",IF(O121&gt;=BandHigh,"High",IF(O121&gt;=BandMed,"Medium","Low"))))</f>
        <v/>
      </c>
      <c r="Q121" s="5" t="n"/>
      <c r="R121" s="5" t="n"/>
    </row>
    <row r="122" ht="30" customHeight="1">
      <c r="A122" s="31">
        <f>IF(B122="","",COUNTIF(B$14:B122,"?*"))</f>
        <v/>
      </c>
      <c r="B122" s="5" t="n"/>
      <c r="C122" s="20" t="n"/>
      <c r="D122" s="6">
        <f>IF(OR(B122="",C122=""),"",UPPER(LEFT(C122,1))&amp;LOWER(MID(C122,2,30))&amp;" "&amp;LOWER(LEFT(B122,1))&amp;MID(B122,2,200))</f>
        <v/>
      </c>
      <c r="E122" s="5" t="n"/>
      <c r="F122" s="5" t="n"/>
      <c r="G122" s="20" t="n"/>
      <c r="H122" s="20" t="n"/>
      <c r="I122" s="31">
        <f>IF(OR(G122="",H122=""),"",INDEX(RiskGrid,6-VALUE(LEFT(G122,1)),VALUE(LEFT(H122,1))))</f>
        <v/>
      </c>
      <c r="J122" s="31">
        <f>IF(I122="","",IF(I122&gt;=BandVH,"Very High",IF(I122&gt;=BandHigh,"High",IF(I122&gt;=BandMed,"Medium","Low"))))</f>
        <v/>
      </c>
      <c r="K122" s="5" t="n"/>
      <c r="L122" s="31">
        <f>IF(K122="","",(LEN(K122)-LEN(SUBSTITUTE(K122,"[IPL]","")))/5)</f>
        <v/>
      </c>
      <c r="M122" s="20" t="n"/>
      <c r="N122" s="20" t="n"/>
      <c r="O122" s="31">
        <f>IF(OR(M122="",N122=""),"",INDEX(RiskGrid,6-VALUE(LEFT(M122,1)),VALUE(LEFT(N122,1))))</f>
        <v/>
      </c>
      <c r="P122" s="31">
        <f>IF(O122="","",IF(O122&gt;=BandVH,"Very High",IF(O122&gt;=BandHigh,"High",IF(O122&gt;=BandMed,"Medium","Low"))))</f>
        <v/>
      </c>
      <c r="Q122" s="5" t="n"/>
      <c r="R122" s="5" t="n"/>
    </row>
    <row r="123" ht="30" customHeight="1">
      <c r="A123" s="31">
        <f>IF(B123="","",COUNTIF(B$14:B123,"?*"))</f>
        <v/>
      </c>
      <c r="B123" s="5" t="n"/>
      <c r="C123" s="20" t="n"/>
      <c r="D123" s="6">
        <f>IF(OR(B123="",C123=""),"",UPPER(LEFT(C123,1))&amp;LOWER(MID(C123,2,30))&amp;" "&amp;LOWER(LEFT(B123,1))&amp;MID(B123,2,200))</f>
        <v/>
      </c>
      <c r="E123" s="5" t="n"/>
      <c r="F123" s="5" t="n"/>
      <c r="G123" s="20" t="n"/>
      <c r="H123" s="20" t="n"/>
      <c r="I123" s="31">
        <f>IF(OR(G123="",H123=""),"",INDEX(RiskGrid,6-VALUE(LEFT(G123,1)),VALUE(LEFT(H123,1))))</f>
        <v/>
      </c>
      <c r="J123" s="31">
        <f>IF(I123="","",IF(I123&gt;=BandVH,"Very High",IF(I123&gt;=BandHigh,"High",IF(I123&gt;=BandMed,"Medium","Low"))))</f>
        <v/>
      </c>
      <c r="K123" s="5" t="n"/>
      <c r="L123" s="31">
        <f>IF(K123="","",(LEN(K123)-LEN(SUBSTITUTE(K123,"[IPL]","")))/5)</f>
        <v/>
      </c>
      <c r="M123" s="20" t="n"/>
      <c r="N123" s="20" t="n"/>
      <c r="O123" s="31">
        <f>IF(OR(M123="",N123=""),"",INDEX(RiskGrid,6-VALUE(LEFT(M123,1)),VALUE(LEFT(N123,1))))</f>
        <v/>
      </c>
      <c r="P123" s="31">
        <f>IF(O123="","",IF(O123&gt;=BandVH,"Very High",IF(O123&gt;=BandHigh,"High",IF(O123&gt;=BandMed,"Medium","Low"))))</f>
        <v/>
      </c>
      <c r="Q123" s="5" t="n"/>
      <c r="R123" s="5" t="n"/>
    </row>
    <row r="124" ht="30" customHeight="1">
      <c r="A124" s="31">
        <f>IF(B124="","",COUNTIF(B$14:B124,"?*"))</f>
        <v/>
      </c>
      <c r="B124" s="5" t="n"/>
      <c r="C124" s="20" t="n"/>
      <c r="D124" s="6">
        <f>IF(OR(B124="",C124=""),"",UPPER(LEFT(C124,1))&amp;LOWER(MID(C124,2,30))&amp;" "&amp;LOWER(LEFT(B124,1))&amp;MID(B124,2,200))</f>
        <v/>
      </c>
      <c r="E124" s="5" t="n"/>
      <c r="F124" s="5" t="n"/>
      <c r="G124" s="20" t="n"/>
      <c r="H124" s="20" t="n"/>
      <c r="I124" s="31">
        <f>IF(OR(G124="",H124=""),"",INDEX(RiskGrid,6-VALUE(LEFT(G124,1)),VALUE(LEFT(H124,1))))</f>
        <v/>
      </c>
      <c r="J124" s="31">
        <f>IF(I124="","",IF(I124&gt;=BandVH,"Very High",IF(I124&gt;=BandHigh,"High",IF(I124&gt;=BandMed,"Medium","Low"))))</f>
        <v/>
      </c>
      <c r="K124" s="5" t="n"/>
      <c r="L124" s="31">
        <f>IF(K124="","",(LEN(K124)-LEN(SUBSTITUTE(K124,"[IPL]","")))/5)</f>
        <v/>
      </c>
      <c r="M124" s="20" t="n"/>
      <c r="N124" s="20" t="n"/>
      <c r="O124" s="31">
        <f>IF(OR(M124="",N124=""),"",INDEX(RiskGrid,6-VALUE(LEFT(M124,1)),VALUE(LEFT(N124,1))))</f>
        <v/>
      </c>
      <c r="P124" s="31">
        <f>IF(O124="","",IF(O124&gt;=BandVH,"Very High",IF(O124&gt;=BandHigh,"High",IF(O124&gt;=BandMed,"Medium","Low"))))</f>
        <v/>
      </c>
      <c r="Q124" s="5" t="n"/>
      <c r="R124" s="5" t="n"/>
    </row>
    <row r="125" ht="30" customHeight="1">
      <c r="A125" s="31">
        <f>IF(B125="","",COUNTIF(B$14:B125,"?*"))</f>
        <v/>
      </c>
      <c r="B125" s="5" t="n"/>
      <c r="C125" s="20" t="n"/>
      <c r="D125" s="6">
        <f>IF(OR(B125="",C125=""),"",UPPER(LEFT(C125,1))&amp;LOWER(MID(C125,2,30))&amp;" "&amp;LOWER(LEFT(B125,1))&amp;MID(B125,2,200))</f>
        <v/>
      </c>
      <c r="E125" s="5" t="n"/>
      <c r="F125" s="5" t="n"/>
      <c r="G125" s="20" t="n"/>
      <c r="H125" s="20" t="n"/>
      <c r="I125" s="31">
        <f>IF(OR(G125="",H125=""),"",INDEX(RiskGrid,6-VALUE(LEFT(G125,1)),VALUE(LEFT(H125,1))))</f>
        <v/>
      </c>
      <c r="J125" s="31">
        <f>IF(I125="","",IF(I125&gt;=BandVH,"Very High",IF(I125&gt;=BandHigh,"High",IF(I125&gt;=BandMed,"Medium","Low"))))</f>
        <v/>
      </c>
      <c r="K125" s="5" t="n"/>
      <c r="L125" s="31">
        <f>IF(K125="","",(LEN(K125)-LEN(SUBSTITUTE(K125,"[IPL]","")))/5)</f>
        <v/>
      </c>
      <c r="M125" s="20" t="n"/>
      <c r="N125" s="20" t="n"/>
      <c r="O125" s="31">
        <f>IF(OR(M125="",N125=""),"",INDEX(RiskGrid,6-VALUE(LEFT(M125,1)),VALUE(LEFT(N125,1))))</f>
        <v/>
      </c>
      <c r="P125" s="31">
        <f>IF(O125="","",IF(O125&gt;=BandVH,"Very High",IF(O125&gt;=BandHigh,"High",IF(O125&gt;=BandMed,"Medium","Low"))))</f>
        <v/>
      </c>
      <c r="Q125" s="5" t="n"/>
      <c r="R125" s="5" t="n"/>
    </row>
    <row r="126" ht="30" customHeight="1">
      <c r="A126" s="31">
        <f>IF(B126="","",COUNTIF(B$14:B126,"?*"))</f>
        <v/>
      </c>
      <c r="B126" s="5" t="n"/>
      <c r="C126" s="20" t="n"/>
      <c r="D126" s="6">
        <f>IF(OR(B126="",C126=""),"",UPPER(LEFT(C126,1))&amp;LOWER(MID(C126,2,30))&amp;" "&amp;LOWER(LEFT(B126,1))&amp;MID(B126,2,200))</f>
        <v/>
      </c>
      <c r="E126" s="5" t="n"/>
      <c r="F126" s="5" t="n"/>
      <c r="G126" s="20" t="n"/>
      <c r="H126" s="20" t="n"/>
      <c r="I126" s="31">
        <f>IF(OR(G126="",H126=""),"",INDEX(RiskGrid,6-VALUE(LEFT(G126,1)),VALUE(LEFT(H126,1))))</f>
        <v/>
      </c>
      <c r="J126" s="31">
        <f>IF(I126="","",IF(I126&gt;=BandVH,"Very High",IF(I126&gt;=BandHigh,"High",IF(I126&gt;=BandMed,"Medium","Low"))))</f>
        <v/>
      </c>
      <c r="K126" s="5" t="n"/>
      <c r="L126" s="31">
        <f>IF(K126="","",(LEN(K126)-LEN(SUBSTITUTE(K126,"[IPL]","")))/5)</f>
        <v/>
      </c>
      <c r="M126" s="20" t="n"/>
      <c r="N126" s="20" t="n"/>
      <c r="O126" s="31">
        <f>IF(OR(M126="",N126=""),"",INDEX(RiskGrid,6-VALUE(LEFT(M126,1)),VALUE(LEFT(N126,1))))</f>
        <v/>
      </c>
      <c r="P126" s="31">
        <f>IF(O126="","",IF(O126&gt;=BandVH,"Very High",IF(O126&gt;=BandHigh,"High",IF(O126&gt;=BandMed,"Medium","Low"))))</f>
        <v/>
      </c>
      <c r="Q126" s="5" t="n"/>
      <c r="R126" s="5" t="n"/>
    </row>
    <row r="127" ht="30" customHeight="1">
      <c r="A127" s="31">
        <f>IF(B127="","",COUNTIF(B$14:B127,"?*"))</f>
        <v/>
      </c>
      <c r="B127" s="5" t="n"/>
      <c r="C127" s="20" t="n"/>
      <c r="D127" s="6">
        <f>IF(OR(B127="",C127=""),"",UPPER(LEFT(C127,1))&amp;LOWER(MID(C127,2,30))&amp;" "&amp;LOWER(LEFT(B127,1))&amp;MID(B127,2,200))</f>
        <v/>
      </c>
      <c r="E127" s="5" t="n"/>
      <c r="F127" s="5" t="n"/>
      <c r="G127" s="20" t="n"/>
      <c r="H127" s="20" t="n"/>
      <c r="I127" s="31">
        <f>IF(OR(G127="",H127=""),"",INDEX(RiskGrid,6-VALUE(LEFT(G127,1)),VALUE(LEFT(H127,1))))</f>
        <v/>
      </c>
      <c r="J127" s="31">
        <f>IF(I127="","",IF(I127&gt;=BandVH,"Very High",IF(I127&gt;=BandHigh,"High",IF(I127&gt;=BandMed,"Medium","Low"))))</f>
        <v/>
      </c>
      <c r="K127" s="5" t="n"/>
      <c r="L127" s="31">
        <f>IF(K127="","",(LEN(K127)-LEN(SUBSTITUTE(K127,"[IPL]","")))/5)</f>
        <v/>
      </c>
      <c r="M127" s="20" t="n"/>
      <c r="N127" s="20" t="n"/>
      <c r="O127" s="31">
        <f>IF(OR(M127="",N127=""),"",INDEX(RiskGrid,6-VALUE(LEFT(M127,1)),VALUE(LEFT(N127,1))))</f>
        <v/>
      </c>
      <c r="P127" s="31">
        <f>IF(O127="","",IF(O127&gt;=BandVH,"Very High",IF(O127&gt;=BandHigh,"High",IF(O127&gt;=BandMed,"Medium","Low"))))</f>
        <v/>
      </c>
      <c r="Q127" s="5" t="n"/>
      <c r="R127" s="5" t="n"/>
    </row>
    <row r="128" ht="30" customHeight="1">
      <c r="A128" s="31">
        <f>IF(B128="","",COUNTIF(B$14:B128,"?*"))</f>
        <v/>
      </c>
      <c r="B128" s="5" t="n"/>
      <c r="C128" s="20" t="n"/>
      <c r="D128" s="6">
        <f>IF(OR(B128="",C128=""),"",UPPER(LEFT(C128,1))&amp;LOWER(MID(C128,2,30))&amp;" "&amp;LOWER(LEFT(B128,1))&amp;MID(B128,2,200))</f>
        <v/>
      </c>
      <c r="E128" s="5" t="n"/>
      <c r="F128" s="5" t="n"/>
      <c r="G128" s="20" t="n"/>
      <c r="H128" s="20" t="n"/>
      <c r="I128" s="31">
        <f>IF(OR(G128="",H128=""),"",INDEX(RiskGrid,6-VALUE(LEFT(G128,1)),VALUE(LEFT(H128,1))))</f>
        <v/>
      </c>
      <c r="J128" s="31">
        <f>IF(I128="","",IF(I128&gt;=BandVH,"Very High",IF(I128&gt;=BandHigh,"High",IF(I128&gt;=BandMed,"Medium","Low"))))</f>
        <v/>
      </c>
      <c r="K128" s="5" t="n"/>
      <c r="L128" s="31">
        <f>IF(K128="","",(LEN(K128)-LEN(SUBSTITUTE(K128,"[IPL]","")))/5)</f>
        <v/>
      </c>
      <c r="M128" s="20" t="n"/>
      <c r="N128" s="20" t="n"/>
      <c r="O128" s="31">
        <f>IF(OR(M128="",N128=""),"",INDEX(RiskGrid,6-VALUE(LEFT(M128,1)),VALUE(LEFT(N128,1))))</f>
        <v/>
      </c>
      <c r="P128" s="31">
        <f>IF(O128="","",IF(O128&gt;=BandVH,"Very High",IF(O128&gt;=BandHigh,"High",IF(O128&gt;=BandMed,"Medium","Low"))))</f>
        <v/>
      </c>
      <c r="Q128" s="5" t="n"/>
      <c r="R128" s="5" t="n"/>
    </row>
    <row r="129" ht="30" customHeight="1">
      <c r="A129" s="31">
        <f>IF(B129="","",COUNTIF(B$14:B129,"?*"))</f>
        <v/>
      </c>
      <c r="B129" s="5" t="n"/>
      <c r="C129" s="20" t="n"/>
      <c r="D129" s="6">
        <f>IF(OR(B129="",C129=""),"",UPPER(LEFT(C129,1))&amp;LOWER(MID(C129,2,30))&amp;" "&amp;LOWER(LEFT(B129,1))&amp;MID(B129,2,200))</f>
        <v/>
      </c>
      <c r="E129" s="5" t="n"/>
      <c r="F129" s="5" t="n"/>
      <c r="G129" s="20" t="n"/>
      <c r="H129" s="20" t="n"/>
      <c r="I129" s="31">
        <f>IF(OR(G129="",H129=""),"",INDEX(RiskGrid,6-VALUE(LEFT(G129,1)),VALUE(LEFT(H129,1))))</f>
        <v/>
      </c>
      <c r="J129" s="31">
        <f>IF(I129="","",IF(I129&gt;=BandVH,"Very High",IF(I129&gt;=BandHigh,"High",IF(I129&gt;=BandMed,"Medium","Low"))))</f>
        <v/>
      </c>
      <c r="K129" s="5" t="n"/>
      <c r="L129" s="31">
        <f>IF(K129="","",(LEN(K129)-LEN(SUBSTITUTE(K129,"[IPL]","")))/5)</f>
        <v/>
      </c>
      <c r="M129" s="20" t="n"/>
      <c r="N129" s="20" t="n"/>
      <c r="O129" s="31">
        <f>IF(OR(M129="",N129=""),"",INDEX(RiskGrid,6-VALUE(LEFT(M129,1)),VALUE(LEFT(N129,1))))</f>
        <v/>
      </c>
      <c r="P129" s="31">
        <f>IF(O129="","",IF(O129&gt;=BandVH,"Very High",IF(O129&gt;=BandHigh,"High",IF(O129&gt;=BandMed,"Medium","Low"))))</f>
        <v/>
      </c>
      <c r="Q129" s="5" t="n"/>
      <c r="R129" s="5" t="n"/>
    </row>
    <row r="130" ht="30" customHeight="1">
      <c r="A130" s="31">
        <f>IF(B130="","",COUNTIF(B$14:B130,"?*"))</f>
        <v/>
      </c>
      <c r="B130" s="5" t="n"/>
      <c r="C130" s="20" t="n"/>
      <c r="D130" s="6">
        <f>IF(OR(B130="",C130=""),"",UPPER(LEFT(C130,1))&amp;LOWER(MID(C130,2,30))&amp;" "&amp;LOWER(LEFT(B130,1))&amp;MID(B130,2,200))</f>
        <v/>
      </c>
      <c r="E130" s="5" t="n"/>
      <c r="F130" s="5" t="n"/>
      <c r="G130" s="20" t="n"/>
      <c r="H130" s="20" t="n"/>
      <c r="I130" s="31">
        <f>IF(OR(G130="",H130=""),"",INDEX(RiskGrid,6-VALUE(LEFT(G130,1)),VALUE(LEFT(H130,1))))</f>
        <v/>
      </c>
      <c r="J130" s="31">
        <f>IF(I130="","",IF(I130&gt;=BandVH,"Very High",IF(I130&gt;=BandHigh,"High",IF(I130&gt;=BandMed,"Medium","Low"))))</f>
        <v/>
      </c>
      <c r="K130" s="5" t="n"/>
      <c r="L130" s="31">
        <f>IF(K130="","",(LEN(K130)-LEN(SUBSTITUTE(K130,"[IPL]","")))/5)</f>
        <v/>
      </c>
      <c r="M130" s="20" t="n"/>
      <c r="N130" s="20" t="n"/>
      <c r="O130" s="31">
        <f>IF(OR(M130="",N130=""),"",INDEX(RiskGrid,6-VALUE(LEFT(M130,1)),VALUE(LEFT(N130,1))))</f>
        <v/>
      </c>
      <c r="P130" s="31">
        <f>IF(O130="","",IF(O130&gt;=BandVH,"Very High",IF(O130&gt;=BandHigh,"High",IF(O130&gt;=BandMed,"Medium","Low"))))</f>
        <v/>
      </c>
      <c r="Q130" s="5" t="n"/>
      <c r="R130" s="5" t="n"/>
    </row>
    <row r="131" ht="30" customHeight="1">
      <c r="A131" s="31">
        <f>IF(B131="","",COUNTIF(B$14:B131,"?*"))</f>
        <v/>
      </c>
      <c r="B131" s="5" t="n"/>
      <c r="C131" s="20" t="n"/>
      <c r="D131" s="6">
        <f>IF(OR(B131="",C131=""),"",UPPER(LEFT(C131,1))&amp;LOWER(MID(C131,2,30))&amp;" "&amp;LOWER(LEFT(B131,1))&amp;MID(B131,2,200))</f>
        <v/>
      </c>
      <c r="E131" s="5" t="n"/>
      <c r="F131" s="5" t="n"/>
      <c r="G131" s="20" t="n"/>
      <c r="H131" s="20" t="n"/>
      <c r="I131" s="31">
        <f>IF(OR(G131="",H131=""),"",INDEX(RiskGrid,6-VALUE(LEFT(G131,1)),VALUE(LEFT(H131,1))))</f>
        <v/>
      </c>
      <c r="J131" s="31">
        <f>IF(I131="","",IF(I131&gt;=BandVH,"Very High",IF(I131&gt;=BandHigh,"High",IF(I131&gt;=BandMed,"Medium","Low"))))</f>
        <v/>
      </c>
      <c r="K131" s="5" t="n"/>
      <c r="L131" s="31">
        <f>IF(K131="","",(LEN(K131)-LEN(SUBSTITUTE(K131,"[IPL]","")))/5)</f>
        <v/>
      </c>
      <c r="M131" s="20" t="n"/>
      <c r="N131" s="20" t="n"/>
      <c r="O131" s="31">
        <f>IF(OR(M131="",N131=""),"",INDEX(RiskGrid,6-VALUE(LEFT(M131,1)),VALUE(LEFT(N131,1))))</f>
        <v/>
      </c>
      <c r="P131" s="31">
        <f>IF(O131="","",IF(O131&gt;=BandVH,"Very High",IF(O131&gt;=BandHigh,"High",IF(O131&gt;=BandMed,"Medium","Low"))))</f>
        <v/>
      </c>
      <c r="Q131" s="5" t="n"/>
      <c r="R131" s="5" t="n"/>
    </row>
    <row r="132" ht="30" customHeight="1">
      <c r="A132" s="31">
        <f>IF(B132="","",COUNTIF(B$14:B132,"?*"))</f>
        <v/>
      </c>
      <c r="B132" s="5" t="n"/>
      <c r="C132" s="20" t="n"/>
      <c r="D132" s="6">
        <f>IF(OR(B132="",C132=""),"",UPPER(LEFT(C132,1))&amp;LOWER(MID(C132,2,30))&amp;" "&amp;LOWER(LEFT(B132,1))&amp;MID(B132,2,200))</f>
        <v/>
      </c>
      <c r="E132" s="5" t="n"/>
      <c r="F132" s="5" t="n"/>
      <c r="G132" s="20" t="n"/>
      <c r="H132" s="20" t="n"/>
      <c r="I132" s="31">
        <f>IF(OR(G132="",H132=""),"",INDEX(RiskGrid,6-VALUE(LEFT(G132,1)),VALUE(LEFT(H132,1))))</f>
        <v/>
      </c>
      <c r="J132" s="31">
        <f>IF(I132="","",IF(I132&gt;=BandVH,"Very High",IF(I132&gt;=BandHigh,"High",IF(I132&gt;=BandMed,"Medium","Low"))))</f>
        <v/>
      </c>
      <c r="K132" s="5" t="n"/>
      <c r="L132" s="31">
        <f>IF(K132="","",(LEN(K132)-LEN(SUBSTITUTE(K132,"[IPL]","")))/5)</f>
        <v/>
      </c>
      <c r="M132" s="20" t="n"/>
      <c r="N132" s="20" t="n"/>
      <c r="O132" s="31">
        <f>IF(OR(M132="",N132=""),"",INDEX(RiskGrid,6-VALUE(LEFT(M132,1)),VALUE(LEFT(N132,1))))</f>
        <v/>
      </c>
      <c r="P132" s="31">
        <f>IF(O132="","",IF(O132&gt;=BandVH,"Very High",IF(O132&gt;=BandHigh,"High",IF(O132&gt;=BandMed,"Medium","Low"))))</f>
        <v/>
      </c>
      <c r="Q132" s="5" t="n"/>
      <c r="R132" s="5" t="n"/>
    </row>
    <row r="133" ht="30" customHeight="1">
      <c r="A133" s="31">
        <f>IF(B133="","",COUNTIF(B$14:B133,"?*"))</f>
        <v/>
      </c>
      <c r="B133" s="5" t="n"/>
      <c r="C133" s="20" t="n"/>
      <c r="D133" s="6">
        <f>IF(OR(B133="",C133=""),"",UPPER(LEFT(C133,1))&amp;LOWER(MID(C133,2,30))&amp;" "&amp;LOWER(LEFT(B133,1))&amp;MID(B133,2,200))</f>
        <v/>
      </c>
      <c r="E133" s="5" t="n"/>
      <c r="F133" s="5" t="n"/>
      <c r="G133" s="20" t="n"/>
      <c r="H133" s="20" t="n"/>
      <c r="I133" s="31">
        <f>IF(OR(G133="",H133=""),"",INDEX(RiskGrid,6-VALUE(LEFT(G133,1)),VALUE(LEFT(H133,1))))</f>
        <v/>
      </c>
      <c r="J133" s="31">
        <f>IF(I133="","",IF(I133&gt;=BandVH,"Very High",IF(I133&gt;=BandHigh,"High",IF(I133&gt;=BandMed,"Medium","Low"))))</f>
        <v/>
      </c>
      <c r="K133" s="5" t="n"/>
      <c r="L133" s="31">
        <f>IF(K133="","",(LEN(K133)-LEN(SUBSTITUTE(K133,"[IPL]","")))/5)</f>
        <v/>
      </c>
      <c r="M133" s="20" t="n"/>
      <c r="N133" s="20" t="n"/>
      <c r="O133" s="31">
        <f>IF(OR(M133="",N133=""),"",INDEX(RiskGrid,6-VALUE(LEFT(M133,1)),VALUE(LEFT(N133,1))))</f>
        <v/>
      </c>
      <c r="P133" s="31">
        <f>IF(O133="","",IF(O133&gt;=BandVH,"Very High",IF(O133&gt;=BandHigh,"High",IF(O133&gt;=BandMed,"Medium","Low"))))</f>
        <v/>
      </c>
      <c r="Q133" s="5" t="n"/>
      <c r="R133" s="5" t="n"/>
    </row>
    <row r="134" ht="30" customHeight="1">
      <c r="A134" s="31">
        <f>IF(B134="","",COUNTIF(B$14:B134,"?*"))</f>
        <v/>
      </c>
      <c r="B134" s="5" t="n"/>
      <c r="C134" s="20" t="n"/>
      <c r="D134" s="6">
        <f>IF(OR(B134="",C134=""),"",UPPER(LEFT(C134,1))&amp;LOWER(MID(C134,2,30))&amp;" "&amp;LOWER(LEFT(B134,1))&amp;MID(B134,2,200))</f>
        <v/>
      </c>
      <c r="E134" s="5" t="n"/>
      <c r="F134" s="5" t="n"/>
      <c r="G134" s="20" t="n"/>
      <c r="H134" s="20" t="n"/>
      <c r="I134" s="31">
        <f>IF(OR(G134="",H134=""),"",INDEX(RiskGrid,6-VALUE(LEFT(G134,1)),VALUE(LEFT(H134,1))))</f>
        <v/>
      </c>
      <c r="J134" s="31">
        <f>IF(I134="","",IF(I134&gt;=BandVH,"Very High",IF(I134&gt;=BandHigh,"High",IF(I134&gt;=BandMed,"Medium","Low"))))</f>
        <v/>
      </c>
      <c r="K134" s="5" t="n"/>
      <c r="L134" s="31">
        <f>IF(K134="","",(LEN(K134)-LEN(SUBSTITUTE(K134,"[IPL]","")))/5)</f>
        <v/>
      </c>
      <c r="M134" s="20" t="n"/>
      <c r="N134" s="20" t="n"/>
      <c r="O134" s="31">
        <f>IF(OR(M134="",N134=""),"",INDEX(RiskGrid,6-VALUE(LEFT(M134,1)),VALUE(LEFT(N134,1))))</f>
        <v/>
      </c>
      <c r="P134" s="31">
        <f>IF(O134="","",IF(O134&gt;=BandVH,"Very High",IF(O134&gt;=BandHigh,"High",IF(O134&gt;=BandMed,"Medium","Low"))))</f>
        <v/>
      </c>
      <c r="Q134" s="5" t="n"/>
      <c r="R134" s="5" t="n"/>
    </row>
    <row r="135" ht="30" customHeight="1">
      <c r="A135" s="31">
        <f>IF(B135="","",COUNTIF(B$14:B135,"?*"))</f>
        <v/>
      </c>
      <c r="B135" s="5" t="n"/>
      <c r="C135" s="20" t="n"/>
      <c r="D135" s="6">
        <f>IF(OR(B135="",C135=""),"",UPPER(LEFT(C135,1))&amp;LOWER(MID(C135,2,30))&amp;" "&amp;LOWER(LEFT(B135,1))&amp;MID(B135,2,200))</f>
        <v/>
      </c>
      <c r="E135" s="5" t="n"/>
      <c r="F135" s="5" t="n"/>
      <c r="G135" s="20" t="n"/>
      <c r="H135" s="20" t="n"/>
      <c r="I135" s="31">
        <f>IF(OR(G135="",H135=""),"",INDEX(RiskGrid,6-VALUE(LEFT(G135,1)),VALUE(LEFT(H135,1))))</f>
        <v/>
      </c>
      <c r="J135" s="31">
        <f>IF(I135="","",IF(I135&gt;=BandVH,"Very High",IF(I135&gt;=BandHigh,"High",IF(I135&gt;=BandMed,"Medium","Low"))))</f>
        <v/>
      </c>
      <c r="K135" s="5" t="n"/>
      <c r="L135" s="31">
        <f>IF(K135="","",(LEN(K135)-LEN(SUBSTITUTE(K135,"[IPL]","")))/5)</f>
        <v/>
      </c>
      <c r="M135" s="20" t="n"/>
      <c r="N135" s="20" t="n"/>
      <c r="O135" s="31">
        <f>IF(OR(M135="",N135=""),"",INDEX(RiskGrid,6-VALUE(LEFT(M135,1)),VALUE(LEFT(N135,1))))</f>
        <v/>
      </c>
      <c r="P135" s="31">
        <f>IF(O135="","",IF(O135&gt;=BandVH,"Very High",IF(O135&gt;=BandHigh,"High",IF(O135&gt;=BandMed,"Medium","Low"))))</f>
        <v/>
      </c>
      <c r="Q135" s="5" t="n"/>
      <c r="R135" s="5" t="n"/>
    </row>
    <row r="136" ht="30" customHeight="1">
      <c r="A136" s="31">
        <f>IF(B136="","",COUNTIF(B$14:B136,"?*"))</f>
        <v/>
      </c>
      <c r="B136" s="5" t="n"/>
      <c r="C136" s="20" t="n"/>
      <c r="D136" s="6">
        <f>IF(OR(B136="",C136=""),"",UPPER(LEFT(C136,1))&amp;LOWER(MID(C136,2,30))&amp;" "&amp;LOWER(LEFT(B136,1))&amp;MID(B136,2,200))</f>
        <v/>
      </c>
      <c r="E136" s="5" t="n"/>
      <c r="F136" s="5" t="n"/>
      <c r="G136" s="20" t="n"/>
      <c r="H136" s="20" t="n"/>
      <c r="I136" s="31">
        <f>IF(OR(G136="",H136=""),"",INDEX(RiskGrid,6-VALUE(LEFT(G136,1)),VALUE(LEFT(H136,1))))</f>
        <v/>
      </c>
      <c r="J136" s="31">
        <f>IF(I136="","",IF(I136&gt;=BandVH,"Very High",IF(I136&gt;=BandHigh,"High",IF(I136&gt;=BandMed,"Medium","Low"))))</f>
        <v/>
      </c>
      <c r="K136" s="5" t="n"/>
      <c r="L136" s="31">
        <f>IF(K136="","",(LEN(K136)-LEN(SUBSTITUTE(K136,"[IPL]","")))/5)</f>
        <v/>
      </c>
      <c r="M136" s="20" t="n"/>
      <c r="N136" s="20" t="n"/>
      <c r="O136" s="31">
        <f>IF(OR(M136="",N136=""),"",INDEX(RiskGrid,6-VALUE(LEFT(M136,1)),VALUE(LEFT(N136,1))))</f>
        <v/>
      </c>
      <c r="P136" s="31">
        <f>IF(O136="","",IF(O136&gt;=BandVH,"Very High",IF(O136&gt;=BandHigh,"High",IF(O136&gt;=BandMed,"Medium","Low"))))</f>
        <v/>
      </c>
      <c r="Q136" s="5" t="n"/>
      <c r="R136" s="5" t="n"/>
    </row>
    <row r="137" ht="30" customHeight="1">
      <c r="A137" s="31">
        <f>IF(B137="","",COUNTIF(B$14:B137,"?*"))</f>
        <v/>
      </c>
      <c r="B137" s="5" t="n"/>
      <c r="C137" s="20" t="n"/>
      <c r="D137" s="6">
        <f>IF(OR(B137="",C137=""),"",UPPER(LEFT(C137,1))&amp;LOWER(MID(C137,2,30))&amp;" "&amp;LOWER(LEFT(B137,1))&amp;MID(B137,2,200))</f>
        <v/>
      </c>
      <c r="E137" s="5" t="n"/>
      <c r="F137" s="5" t="n"/>
      <c r="G137" s="20" t="n"/>
      <c r="H137" s="20" t="n"/>
      <c r="I137" s="31">
        <f>IF(OR(G137="",H137=""),"",INDEX(RiskGrid,6-VALUE(LEFT(G137,1)),VALUE(LEFT(H137,1))))</f>
        <v/>
      </c>
      <c r="J137" s="31">
        <f>IF(I137="","",IF(I137&gt;=BandVH,"Very High",IF(I137&gt;=BandHigh,"High",IF(I137&gt;=BandMed,"Medium","Low"))))</f>
        <v/>
      </c>
      <c r="K137" s="5" t="n"/>
      <c r="L137" s="31">
        <f>IF(K137="","",(LEN(K137)-LEN(SUBSTITUTE(K137,"[IPL]","")))/5)</f>
        <v/>
      </c>
      <c r="M137" s="20" t="n"/>
      <c r="N137" s="20" t="n"/>
      <c r="O137" s="31">
        <f>IF(OR(M137="",N137=""),"",INDEX(RiskGrid,6-VALUE(LEFT(M137,1)),VALUE(LEFT(N137,1))))</f>
        <v/>
      </c>
      <c r="P137" s="31">
        <f>IF(O137="","",IF(O137&gt;=BandVH,"Very High",IF(O137&gt;=BandHigh,"High",IF(O137&gt;=BandMed,"Medium","Low"))))</f>
        <v/>
      </c>
      <c r="Q137" s="5" t="n"/>
      <c r="R137" s="5" t="n"/>
    </row>
    <row r="138" ht="30" customHeight="1">
      <c r="A138" s="31">
        <f>IF(B138="","",COUNTIF(B$14:B138,"?*"))</f>
        <v/>
      </c>
      <c r="B138" s="5" t="n"/>
      <c r="C138" s="20" t="n"/>
      <c r="D138" s="6">
        <f>IF(OR(B138="",C138=""),"",UPPER(LEFT(C138,1))&amp;LOWER(MID(C138,2,30))&amp;" "&amp;LOWER(LEFT(B138,1))&amp;MID(B138,2,200))</f>
        <v/>
      </c>
      <c r="E138" s="5" t="n"/>
      <c r="F138" s="5" t="n"/>
      <c r="G138" s="20" t="n"/>
      <c r="H138" s="20" t="n"/>
      <c r="I138" s="31">
        <f>IF(OR(G138="",H138=""),"",INDEX(RiskGrid,6-VALUE(LEFT(G138,1)),VALUE(LEFT(H138,1))))</f>
        <v/>
      </c>
      <c r="J138" s="31">
        <f>IF(I138="","",IF(I138&gt;=BandVH,"Very High",IF(I138&gt;=BandHigh,"High",IF(I138&gt;=BandMed,"Medium","Low"))))</f>
        <v/>
      </c>
      <c r="K138" s="5" t="n"/>
      <c r="L138" s="31">
        <f>IF(K138="","",(LEN(K138)-LEN(SUBSTITUTE(K138,"[IPL]","")))/5)</f>
        <v/>
      </c>
      <c r="M138" s="20" t="n"/>
      <c r="N138" s="20" t="n"/>
      <c r="O138" s="31">
        <f>IF(OR(M138="",N138=""),"",INDEX(RiskGrid,6-VALUE(LEFT(M138,1)),VALUE(LEFT(N138,1))))</f>
        <v/>
      </c>
      <c r="P138" s="31">
        <f>IF(O138="","",IF(O138&gt;=BandVH,"Very High",IF(O138&gt;=BandHigh,"High",IF(O138&gt;=BandMed,"Medium","Low"))))</f>
        <v/>
      </c>
      <c r="Q138" s="5" t="n"/>
      <c r="R138" s="5" t="n"/>
    </row>
    <row r="139" ht="30" customHeight="1">
      <c r="A139" s="31">
        <f>IF(B139="","",COUNTIF(B$14:B139,"?*"))</f>
        <v/>
      </c>
      <c r="B139" s="5" t="n"/>
      <c r="C139" s="20" t="n"/>
      <c r="D139" s="6">
        <f>IF(OR(B139="",C139=""),"",UPPER(LEFT(C139,1))&amp;LOWER(MID(C139,2,30))&amp;" "&amp;LOWER(LEFT(B139,1))&amp;MID(B139,2,200))</f>
        <v/>
      </c>
      <c r="E139" s="5" t="n"/>
      <c r="F139" s="5" t="n"/>
      <c r="G139" s="20" t="n"/>
      <c r="H139" s="20" t="n"/>
      <c r="I139" s="31">
        <f>IF(OR(G139="",H139=""),"",INDEX(RiskGrid,6-VALUE(LEFT(G139,1)),VALUE(LEFT(H139,1))))</f>
        <v/>
      </c>
      <c r="J139" s="31">
        <f>IF(I139="","",IF(I139&gt;=BandVH,"Very High",IF(I139&gt;=BandHigh,"High",IF(I139&gt;=BandMed,"Medium","Low"))))</f>
        <v/>
      </c>
      <c r="K139" s="5" t="n"/>
      <c r="L139" s="31">
        <f>IF(K139="","",(LEN(K139)-LEN(SUBSTITUTE(K139,"[IPL]","")))/5)</f>
        <v/>
      </c>
      <c r="M139" s="20" t="n"/>
      <c r="N139" s="20" t="n"/>
      <c r="O139" s="31">
        <f>IF(OR(M139="",N139=""),"",INDEX(RiskGrid,6-VALUE(LEFT(M139,1)),VALUE(LEFT(N139,1))))</f>
        <v/>
      </c>
      <c r="P139" s="31">
        <f>IF(O139="","",IF(O139&gt;=BandVH,"Very High",IF(O139&gt;=BandHigh,"High",IF(O139&gt;=BandMed,"Medium","Low"))))</f>
        <v/>
      </c>
      <c r="Q139" s="5" t="n"/>
      <c r="R139" s="5" t="n"/>
    </row>
    <row r="140" ht="30" customHeight="1">
      <c r="A140" s="31">
        <f>IF(B140="","",COUNTIF(B$14:B140,"?*"))</f>
        <v/>
      </c>
      <c r="B140" s="5" t="n"/>
      <c r="C140" s="20" t="n"/>
      <c r="D140" s="6">
        <f>IF(OR(B140="",C140=""),"",UPPER(LEFT(C140,1))&amp;LOWER(MID(C140,2,30))&amp;" "&amp;LOWER(LEFT(B140,1))&amp;MID(B140,2,200))</f>
        <v/>
      </c>
      <c r="E140" s="5" t="n"/>
      <c r="F140" s="5" t="n"/>
      <c r="G140" s="20" t="n"/>
      <c r="H140" s="20" t="n"/>
      <c r="I140" s="31">
        <f>IF(OR(G140="",H140=""),"",INDEX(RiskGrid,6-VALUE(LEFT(G140,1)),VALUE(LEFT(H140,1))))</f>
        <v/>
      </c>
      <c r="J140" s="31">
        <f>IF(I140="","",IF(I140&gt;=BandVH,"Very High",IF(I140&gt;=BandHigh,"High",IF(I140&gt;=BandMed,"Medium","Low"))))</f>
        <v/>
      </c>
      <c r="K140" s="5" t="n"/>
      <c r="L140" s="31">
        <f>IF(K140="","",(LEN(K140)-LEN(SUBSTITUTE(K140,"[IPL]","")))/5)</f>
        <v/>
      </c>
      <c r="M140" s="20" t="n"/>
      <c r="N140" s="20" t="n"/>
      <c r="O140" s="31">
        <f>IF(OR(M140="",N140=""),"",INDEX(RiskGrid,6-VALUE(LEFT(M140,1)),VALUE(LEFT(N140,1))))</f>
        <v/>
      </c>
      <c r="P140" s="31">
        <f>IF(O140="","",IF(O140&gt;=BandVH,"Very High",IF(O140&gt;=BandHigh,"High",IF(O140&gt;=BandMed,"Medium","Low"))))</f>
        <v/>
      </c>
      <c r="Q140" s="5" t="n"/>
      <c r="R140" s="5" t="n"/>
    </row>
    <row r="141" ht="30" customHeight="1">
      <c r="A141" s="31">
        <f>IF(B141="","",COUNTIF(B$14:B141,"?*"))</f>
        <v/>
      </c>
      <c r="B141" s="5" t="n"/>
      <c r="C141" s="20" t="n"/>
      <c r="D141" s="6">
        <f>IF(OR(B141="",C141=""),"",UPPER(LEFT(C141,1))&amp;LOWER(MID(C141,2,30))&amp;" "&amp;LOWER(LEFT(B141,1))&amp;MID(B141,2,200))</f>
        <v/>
      </c>
      <c r="E141" s="5" t="n"/>
      <c r="F141" s="5" t="n"/>
      <c r="G141" s="20" t="n"/>
      <c r="H141" s="20" t="n"/>
      <c r="I141" s="31">
        <f>IF(OR(G141="",H141=""),"",INDEX(RiskGrid,6-VALUE(LEFT(G141,1)),VALUE(LEFT(H141,1))))</f>
        <v/>
      </c>
      <c r="J141" s="31">
        <f>IF(I141="","",IF(I141&gt;=BandVH,"Very High",IF(I141&gt;=BandHigh,"High",IF(I141&gt;=BandMed,"Medium","Low"))))</f>
        <v/>
      </c>
      <c r="K141" s="5" t="n"/>
      <c r="L141" s="31">
        <f>IF(K141="","",(LEN(K141)-LEN(SUBSTITUTE(K141,"[IPL]","")))/5)</f>
        <v/>
      </c>
      <c r="M141" s="20" t="n"/>
      <c r="N141" s="20" t="n"/>
      <c r="O141" s="31">
        <f>IF(OR(M141="",N141=""),"",INDEX(RiskGrid,6-VALUE(LEFT(M141,1)),VALUE(LEFT(N141,1))))</f>
        <v/>
      </c>
      <c r="P141" s="31">
        <f>IF(O141="","",IF(O141&gt;=BandVH,"Very High",IF(O141&gt;=BandHigh,"High",IF(O141&gt;=BandMed,"Medium","Low"))))</f>
        <v/>
      </c>
      <c r="Q141" s="5" t="n"/>
      <c r="R141" s="5" t="n"/>
    </row>
    <row r="142" ht="30" customHeight="1">
      <c r="A142" s="31">
        <f>IF(B142="","",COUNTIF(B$14:B142,"?*"))</f>
        <v/>
      </c>
      <c r="B142" s="5" t="n"/>
      <c r="C142" s="20" t="n"/>
      <c r="D142" s="6">
        <f>IF(OR(B142="",C142=""),"",UPPER(LEFT(C142,1))&amp;LOWER(MID(C142,2,30))&amp;" "&amp;LOWER(LEFT(B142,1))&amp;MID(B142,2,200))</f>
        <v/>
      </c>
      <c r="E142" s="5" t="n"/>
      <c r="F142" s="5" t="n"/>
      <c r="G142" s="20" t="n"/>
      <c r="H142" s="20" t="n"/>
      <c r="I142" s="31">
        <f>IF(OR(G142="",H142=""),"",INDEX(RiskGrid,6-VALUE(LEFT(G142,1)),VALUE(LEFT(H142,1))))</f>
        <v/>
      </c>
      <c r="J142" s="31">
        <f>IF(I142="","",IF(I142&gt;=BandVH,"Very High",IF(I142&gt;=BandHigh,"High",IF(I142&gt;=BandMed,"Medium","Low"))))</f>
        <v/>
      </c>
      <c r="K142" s="5" t="n"/>
      <c r="L142" s="31">
        <f>IF(K142="","",(LEN(K142)-LEN(SUBSTITUTE(K142,"[IPL]","")))/5)</f>
        <v/>
      </c>
      <c r="M142" s="20" t="n"/>
      <c r="N142" s="20" t="n"/>
      <c r="O142" s="31">
        <f>IF(OR(M142="",N142=""),"",INDEX(RiskGrid,6-VALUE(LEFT(M142,1)),VALUE(LEFT(N142,1))))</f>
        <v/>
      </c>
      <c r="P142" s="31">
        <f>IF(O142="","",IF(O142&gt;=BandVH,"Very High",IF(O142&gt;=BandHigh,"High",IF(O142&gt;=BandMed,"Medium","Low"))))</f>
        <v/>
      </c>
      <c r="Q142" s="5" t="n"/>
      <c r="R142" s="5" t="n"/>
    </row>
    <row r="143" ht="30" customHeight="1">
      <c r="A143" s="31">
        <f>IF(B143="","",COUNTIF(B$14:B143,"?*"))</f>
        <v/>
      </c>
      <c r="B143" s="5" t="n"/>
      <c r="C143" s="20" t="n"/>
      <c r="D143" s="6">
        <f>IF(OR(B143="",C143=""),"",UPPER(LEFT(C143,1))&amp;LOWER(MID(C143,2,30))&amp;" "&amp;LOWER(LEFT(B143,1))&amp;MID(B143,2,200))</f>
        <v/>
      </c>
      <c r="E143" s="5" t="n"/>
      <c r="F143" s="5" t="n"/>
      <c r="G143" s="20" t="n"/>
      <c r="H143" s="20" t="n"/>
      <c r="I143" s="31">
        <f>IF(OR(G143="",H143=""),"",INDEX(RiskGrid,6-VALUE(LEFT(G143,1)),VALUE(LEFT(H143,1))))</f>
        <v/>
      </c>
      <c r="J143" s="31">
        <f>IF(I143="","",IF(I143&gt;=BandVH,"Very High",IF(I143&gt;=BandHigh,"High",IF(I143&gt;=BandMed,"Medium","Low"))))</f>
        <v/>
      </c>
      <c r="K143" s="5" t="n"/>
      <c r="L143" s="31">
        <f>IF(K143="","",(LEN(K143)-LEN(SUBSTITUTE(K143,"[IPL]","")))/5)</f>
        <v/>
      </c>
      <c r="M143" s="20" t="n"/>
      <c r="N143" s="20" t="n"/>
      <c r="O143" s="31">
        <f>IF(OR(M143="",N143=""),"",INDEX(RiskGrid,6-VALUE(LEFT(M143,1)),VALUE(LEFT(N143,1))))</f>
        <v/>
      </c>
      <c r="P143" s="31">
        <f>IF(O143="","",IF(O143&gt;=BandVH,"Very High",IF(O143&gt;=BandHigh,"High",IF(O143&gt;=BandMed,"Medium","Low"))))</f>
        <v/>
      </c>
      <c r="Q143" s="5" t="n"/>
      <c r="R143" s="5" t="n"/>
    </row>
    <row r="144" ht="30" customHeight="1">
      <c r="A144" s="31">
        <f>IF(B144="","",COUNTIF(B$14:B144,"?*"))</f>
        <v/>
      </c>
      <c r="B144" s="5" t="n"/>
      <c r="C144" s="20" t="n"/>
      <c r="D144" s="6">
        <f>IF(OR(B144="",C144=""),"",UPPER(LEFT(C144,1))&amp;LOWER(MID(C144,2,30))&amp;" "&amp;LOWER(LEFT(B144,1))&amp;MID(B144,2,200))</f>
        <v/>
      </c>
      <c r="E144" s="5" t="n"/>
      <c r="F144" s="5" t="n"/>
      <c r="G144" s="20" t="n"/>
      <c r="H144" s="20" t="n"/>
      <c r="I144" s="31">
        <f>IF(OR(G144="",H144=""),"",INDEX(RiskGrid,6-VALUE(LEFT(G144,1)),VALUE(LEFT(H144,1))))</f>
        <v/>
      </c>
      <c r="J144" s="31">
        <f>IF(I144="","",IF(I144&gt;=BandVH,"Very High",IF(I144&gt;=BandHigh,"High",IF(I144&gt;=BandMed,"Medium","Low"))))</f>
        <v/>
      </c>
      <c r="K144" s="5" t="n"/>
      <c r="L144" s="31">
        <f>IF(K144="","",(LEN(K144)-LEN(SUBSTITUTE(K144,"[IPL]","")))/5)</f>
        <v/>
      </c>
      <c r="M144" s="20" t="n"/>
      <c r="N144" s="20" t="n"/>
      <c r="O144" s="31">
        <f>IF(OR(M144="",N144=""),"",INDEX(RiskGrid,6-VALUE(LEFT(M144,1)),VALUE(LEFT(N144,1))))</f>
        <v/>
      </c>
      <c r="P144" s="31">
        <f>IF(O144="","",IF(O144&gt;=BandVH,"Very High",IF(O144&gt;=BandHigh,"High",IF(O144&gt;=BandMed,"Medium","Low"))))</f>
        <v/>
      </c>
      <c r="Q144" s="5" t="n"/>
      <c r="R144" s="5" t="n"/>
    </row>
    <row r="145" ht="30" customHeight="1">
      <c r="A145" s="31">
        <f>IF(B145="","",COUNTIF(B$14:B145,"?*"))</f>
        <v/>
      </c>
      <c r="B145" s="5" t="n"/>
      <c r="C145" s="20" t="n"/>
      <c r="D145" s="6">
        <f>IF(OR(B145="",C145=""),"",UPPER(LEFT(C145,1))&amp;LOWER(MID(C145,2,30))&amp;" "&amp;LOWER(LEFT(B145,1))&amp;MID(B145,2,200))</f>
        <v/>
      </c>
      <c r="E145" s="5" t="n"/>
      <c r="F145" s="5" t="n"/>
      <c r="G145" s="20" t="n"/>
      <c r="H145" s="20" t="n"/>
      <c r="I145" s="31">
        <f>IF(OR(G145="",H145=""),"",INDEX(RiskGrid,6-VALUE(LEFT(G145,1)),VALUE(LEFT(H145,1))))</f>
        <v/>
      </c>
      <c r="J145" s="31">
        <f>IF(I145="","",IF(I145&gt;=BandVH,"Very High",IF(I145&gt;=BandHigh,"High",IF(I145&gt;=BandMed,"Medium","Low"))))</f>
        <v/>
      </c>
      <c r="K145" s="5" t="n"/>
      <c r="L145" s="31">
        <f>IF(K145="","",(LEN(K145)-LEN(SUBSTITUTE(K145,"[IPL]","")))/5)</f>
        <v/>
      </c>
      <c r="M145" s="20" t="n"/>
      <c r="N145" s="20" t="n"/>
      <c r="O145" s="31">
        <f>IF(OR(M145="",N145=""),"",INDEX(RiskGrid,6-VALUE(LEFT(M145,1)),VALUE(LEFT(N145,1))))</f>
        <v/>
      </c>
      <c r="P145" s="31">
        <f>IF(O145="","",IF(O145&gt;=BandVH,"Very High",IF(O145&gt;=BandHigh,"High",IF(O145&gt;=BandMed,"Medium","Low"))))</f>
        <v/>
      </c>
      <c r="Q145" s="5" t="n"/>
      <c r="R145" s="5" t="n"/>
    </row>
    <row r="146" ht="30" customHeight="1">
      <c r="A146" s="31">
        <f>IF(B146="","",COUNTIF(B$14:B146,"?*"))</f>
        <v/>
      </c>
      <c r="B146" s="5" t="n"/>
      <c r="C146" s="20" t="n"/>
      <c r="D146" s="6">
        <f>IF(OR(B146="",C146=""),"",UPPER(LEFT(C146,1))&amp;LOWER(MID(C146,2,30))&amp;" "&amp;LOWER(LEFT(B146,1))&amp;MID(B146,2,200))</f>
        <v/>
      </c>
      <c r="E146" s="5" t="n"/>
      <c r="F146" s="5" t="n"/>
      <c r="G146" s="20" t="n"/>
      <c r="H146" s="20" t="n"/>
      <c r="I146" s="31">
        <f>IF(OR(G146="",H146=""),"",INDEX(RiskGrid,6-VALUE(LEFT(G146,1)),VALUE(LEFT(H146,1))))</f>
        <v/>
      </c>
      <c r="J146" s="31">
        <f>IF(I146="","",IF(I146&gt;=BandVH,"Very High",IF(I146&gt;=BandHigh,"High",IF(I146&gt;=BandMed,"Medium","Low"))))</f>
        <v/>
      </c>
      <c r="K146" s="5" t="n"/>
      <c r="L146" s="31">
        <f>IF(K146="","",(LEN(K146)-LEN(SUBSTITUTE(K146,"[IPL]","")))/5)</f>
        <v/>
      </c>
      <c r="M146" s="20" t="n"/>
      <c r="N146" s="20" t="n"/>
      <c r="O146" s="31">
        <f>IF(OR(M146="",N146=""),"",INDEX(RiskGrid,6-VALUE(LEFT(M146,1)),VALUE(LEFT(N146,1))))</f>
        <v/>
      </c>
      <c r="P146" s="31">
        <f>IF(O146="","",IF(O146&gt;=BandVH,"Very High",IF(O146&gt;=BandHigh,"High",IF(O146&gt;=BandMed,"Medium","Low"))))</f>
        <v/>
      </c>
      <c r="Q146" s="5" t="n"/>
      <c r="R146" s="5" t="n"/>
    </row>
    <row r="147" ht="30" customHeight="1">
      <c r="A147" s="31">
        <f>IF(B147="","",COUNTIF(B$14:B147,"?*"))</f>
        <v/>
      </c>
      <c r="B147" s="5" t="n"/>
      <c r="C147" s="20" t="n"/>
      <c r="D147" s="6">
        <f>IF(OR(B147="",C147=""),"",UPPER(LEFT(C147,1))&amp;LOWER(MID(C147,2,30))&amp;" "&amp;LOWER(LEFT(B147,1))&amp;MID(B147,2,200))</f>
        <v/>
      </c>
      <c r="E147" s="5" t="n"/>
      <c r="F147" s="5" t="n"/>
      <c r="G147" s="20" t="n"/>
      <c r="H147" s="20" t="n"/>
      <c r="I147" s="31">
        <f>IF(OR(G147="",H147=""),"",INDEX(RiskGrid,6-VALUE(LEFT(G147,1)),VALUE(LEFT(H147,1))))</f>
        <v/>
      </c>
      <c r="J147" s="31">
        <f>IF(I147="","",IF(I147&gt;=BandVH,"Very High",IF(I147&gt;=BandHigh,"High",IF(I147&gt;=BandMed,"Medium","Low"))))</f>
        <v/>
      </c>
      <c r="K147" s="5" t="n"/>
      <c r="L147" s="31">
        <f>IF(K147="","",(LEN(K147)-LEN(SUBSTITUTE(K147,"[IPL]","")))/5)</f>
        <v/>
      </c>
      <c r="M147" s="20" t="n"/>
      <c r="N147" s="20" t="n"/>
      <c r="O147" s="31">
        <f>IF(OR(M147="",N147=""),"",INDEX(RiskGrid,6-VALUE(LEFT(M147,1)),VALUE(LEFT(N147,1))))</f>
        <v/>
      </c>
      <c r="P147" s="31">
        <f>IF(O147="","",IF(O147&gt;=BandVH,"Very High",IF(O147&gt;=BandHigh,"High",IF(O147&gt;=BandMed,"Medium","Low"))))</f>
        <v/>
      </c>
      <c r="Q147" s="5" t="n"/>
      <c r="R147" s="5" t="n"/>
    </row>
    <row r="148" ht="30" customHeight="1">
      <c r="A148" s="31">
        <f>IF(B148="","",COUNTIF(B$14:B148,"?*"))</f>
        <v/>
      </c>
      <c r="B148" s="5" t="n"/>
      <c r="C148" s="20" t="n"/>
      <c r="D148" s="6">
        <f>IF(OR(B148="",C148=""),"",UPPER(LEFT(C148,1))&amp;LOWER(MID(C148,2,30))&amp;" "&amp;LOWER(LEFT(B148,1))&amp;MID(B148,2,200))</f>
        <v/>
      </c>
      <c r="E148" s="5" t="n"/>
      <c r="F148" s="5" t="n"/>
      <c r="G148" s="20" t="n"/>
      <c r="H148" s="20" t="n"/>
      <c r="I148" s="31">
        <f>IF(OR(G148="",H148=""),"",INDEX(RiskGrid,6-VALUE(LEFT(G148,1)),VALUE(LEFT(H148,1))))</f>
        <v/>
      </c>
      <c r="J148" s="31">
        <f>IF(I148="","",IF(I148&gt;=BandVH,"Very High",IF(I148&gt;=BandHigh,"High",IF(I148&gt;=BandMed,"Medium","Low"))))</f>
        <v/>
      </c>
      <c r="K148" s="5" t="n"/>
      <c r="L148" s="31">
        <f>IF(K148="","",(LEN(K148)-LEN(SUBSTITUTE(K148,"[IPL]","")))/5)</f>
        <v/>
      </c>
      <c r="M148" s="20" t="n"/>
      <c r="N148" s="20" t="n"/>
      <c r="O148" s="31">
        <f>IF(OR(M148="",N148=""),"",INDEX(RiskGrid,6-VALUE(LEFT(M148,1)),VALUE(LEFT(N148,1))))</f>
        <v/>
      </c>
      <c r="P148" s="31">
        <f>IF(O148="","",IF(O148&gt;=BandVH,"Very High",IF(O148&gt;=BandHigh,"High",IF(O148&gt;=BandMed,"Medium","Low"))))</f>
        <v/>
      </c>
      <c r="Q148" s="5" t="n"/>
      <c r="R148" s="5" t="n"/>
    </row>
    <row r="149" ht="30" customHeight="1">
      <c r="A149" s="31">
        <f>IF(B149="","",COUNTIF(B$14:B149,"?*"))</f>
        <v/>
      </c>
      <c r="B149" s="5" t="n"/>
      <c r="C149" s="20" t="n"/>
      <c r="D149" s="6">
        <f>IF(OR(B149="",C149=""),"",UPPER(LEFT(C149,1))&amp;LOWER(MID(C149,2,30))&amp;" "&amp;LOWER(LEFT(B149,1))&amp;MID(B149,2,200))</f>
        <v/>
      </c>
      <c r="E149" s="5" t="n"/>
      <c r="F149" s="5" t="n"/>
      <c r="G149" s="20" t="n"/>
      <c r="H149" s="20" t="n"/>
      <c r="I149" s="31">
        <f>IF(OR(G149="",H149=""),"",INDEX(RiskGrid,6-VALUE(LEFT(G149,1)),VALUE(LEFT(H149,1))))</f>
        <v/>
      </c>
      <c r="J149" s="31">
        <f>IF(I149="","",IF(I149&gt;=BandVH,"Very High",IF(I149&gt;=BandHigh,"High",IF(I149&gt;=BandMed,"Medium","Low"))))</f>
        <v/>
      </c>
      <c r="K149" s="5" t="n"/>
      <c r="L149" s="31">
        <f>IF(K149="","",(LEN(K149)-LEN(SUBSTITUTE(K149,"[IPL]","")))/5)</f>
        <v/>
      </c>
      <c r="M149" s="20" t="n"/>
      <c r="N149" s="20" t="n"/>
      <c r="O149" s="31">
        <f>IF(OR(M149="",N149=""),"",INDEX(RiskGrid,6-VALUE(LEFT(M149,1)),VALUE(LEFT(N149,1))))</f>
        <v/>
      </c>
      <c r="P149" s="31">
        <f>IF(O149="","",IF(O149&gt;=BandVH,"Very High",IF(O149&gt;=BandHigh,"High",IF(O149&gt;=BandMed,"Medium","Low"))))</f>
        <v/>
      </c>
      <c r="Q149" s="5" t="n"/>
      <c r="R149" s="5" t="n"/>
    </row>
    <row r="150" ht="30" customHeight="1">
      <c r="A150" s="31">
        <f>IF(B150="","",COUNTIF(B$14:B150,"?*"))</f>
        <v/>
      </c>
      <c r="B150" s="5" t="n"/>
      <c r="C150" s="20" t="n"/>
      <c r="D150" s="6">
        <f>IF(OR(B150="",C150=""),"",UPPER(LEFT(C150,1))&amp;LOWER(MID(C150,2,30))&amp;" "&amp;LOWER(LEFT(B150,1))&amp;MID(B150,2,200))</f>
        <v/>
      </c>
      <c r="E150" s="5" t="n"/>
      <c r="F150" s="5" t="n"/>
      <c r="G150" s="20" t="n"/>
      <c r="H150" s="20" t="n"/>
      <c r="I150" s="31">
        <f>IF(OR(G150="",H150=""),"",INDEX(RiskGrid,6-VALUE(LEFT(G150,1)),VALUE(LEFT(H150,1))))</f>
        <v/>
      </c>
      <c r="J150" s="31">
        <f>IF(I150="","",IF(I150&gt;=BandVH,"Very High",IF(I150&gt;=BandHigh,"High",IF(I150&gt;=BandMed,"Medium","Low"))))</f>
        <v/>
      </c>
      <c r="K150" s="5" t="n"/>
      <c r="L150" s="31">
        <f>IF(K150="","",(LEN(K150)-LEN(SUBSTITUTE(K150,"[IPL]","")))/5)</f>
        <v/>
      </c>
      <c r="M150" s="20" t="n"/>
      <c r="N150" s="20" t="n"/>
      <c r="O150" s="31">
        <f>IF(OR(M150="",N150=""),"",INDEX(RiskGrid,6-VALUE(LEFT(M150,1)),VALUE(LEFT(N150,1))))</f>
        <v/>
      </c>
      <c r="P150" s="31">
        <f>IF(O150="","",IF(O150&gt;=BandVH,"Very High",IF(O150&gt;=BandHigh,"High",IF(O150&gt;=BandMed,"Medium","Low"))))</f>
        <v/>
      </c>
      <c r="Q150" s="5" t="n"/>
      <c r="R150" s="5" t="n"/>
    </row>
    <row r="151" ht="30" customHeight="1">
      <c r="A151" s="31">
        <f>IF(B151="","",COUNTIF(B$14:B151,"?*"))</f>
        <v/>
      </c>
      <c r="B151" s="5" t="n"/>
      <c r="C151" s="20" t="n"/>
      <c r="D151" s="6">
        <f>IF(OR(B151="",C151=""),"",UPPER(LEFT(C151,1))&amp;LOWER(MID(C151,2,30))&amp;" "&amp;LOWER(LEFT(B151,1))&amp;MID(B151,2,200))</f>
        <v/>
      </c>
      <c r="E151" s="5" t="n"/>
      <c r="F151" s="5" t="n"/>
      <c r="G151" s="20" t="n"/>
      <c r="H151" s="20" t="n"/>
      <c r="I151" s="31">
        <f>IF(OR(G151="",H151=""),"",INDEX(RiskGrid,6-VALUE(LEFT(G151,1)),VALUE(LEFT(H151,1))))</f>
        <v/>
      </c>
      <c r="J151" s="31">
        <f>IF(I151="","",IF(I151&gt;=BandVH,"Very High",IF(I151&gt;=BandHigh,"High",IF(I151&gt;=BandMed,"Medium","Low"))))</f>
        <v/>
      </c>
      <c r="K151" s="5" t="n"/>
      <c r="L151" s="31">
        <f>IF(K151="","",(LEN(K151)-LEN(SUBSTITUTE(K151,"[IPL]","")))/5)</f>
        <v/>
      </c>
      <c r="M151" s="20" t="n"/>
      <c r="N151" s="20" t="n"/>
      <c r="O151" s="31">
        <f>IF(OR(M151="",N151=""),"",INDEX(RiskGrid,6-VALUE(LEFT(M151,1)),VALUE(LEFT(N151,1))))</f>
        <v/>
      </c>
      <c r="P151" s="31">
        <f>IF(O151="","",IF(O151&gt;=BandVH,"Very High",IF(O151&gt;=BandHigh,"High",IF(O151&gt;=BandMed,"Medium","Low"))))</f>
        <v/>
      </c>
      <c r="Q151" s="5" t="n"/>
      <c r="R151" s="5" t="n"/>
    </row>
    <row r="152" ht="30" customHeight="1">
      <c r="A152" s="31">
        <f>IF(B152="","",COUNTIF(B$14:B152,"?*"))</f>
        <v/>
      </c>
      <c r="B152" s="5" t="n"/>
      <c r="C152" s="20" t="n"/>
      <c r="D152" s="6">
        <f>IF(OR(B152="",C152=""),"",UPPER(LEFT(C152,1))&amp;LOWER(MID(C152,2,30))&amp;" "&amp;LOWER(LEFT(B152,1))&amp;MID(B152,2,200))</f>
        <v/>
      </c>
      <c r="E152" s="5" t="n"/>
      <c r="F152" s="5" t="n"/>
      <c r="G152" s="20" t="n"/>
      <c r="H152" s="20" t="n"/>
      <c r="I152" s="31">
        <f>IF(OR(G152="",H152=""),"",INDEX(RiskGrid,6-VALUE(LEFT(G152,1)),VALUE(LEFT(H152,1))))</f>
        <v/>
      </c>
      <c r="J152" s="31">
        <f>IF(I152="","",IF(I152&gt;=BandVH,"Very High",IF(I152&gt;=BandHigh,"High",IF(I152&gt;=BandMed,"Medium","Low"))))</f>
        <v/>
      </c>
      <c r="K152" s="5" t="n"/>
      <c r="L152" s="31">
        <f>IF(K152="","",(LEN(K152)-LEN(SUBSTITUTE(K152,"[IPL]","")))/5)</f>
        <v/>
      </c>
      <c r="M152" s="20" t="n"/>
      <c r="N152" s="20" t="n"/>
      <c r="O152" s="31">
        <f>IF(OR(M152="",N152=""),"",INDEX(RiskGrid,6-VALUE(LEFT(M152,1)),VALUE(LEFT(N152,1))))</f>
        <v/>
      </c>
      <c r="P152" s="31">
        <f>IF(O152="","",IF(O152&gt;=BandVH,"Very High",IF(O152&gt;=BandHigh,"High",IF(O152&gt;=BandMed,"Medium","Low"))))</f>
        <v/>
      </c>
      <c r="Q152" s="5" t="n"/>
      <c r="R152" s="5" t="n"/>
    </row>
    <row r="153" ht="30" customHeight="1">
      <c r="A153" s="31">
        <f>IF(B153="","",COUNTIF(B$14:B153,"?*"))</f>
        <v/>
      </c>
      <c r="B153" s="5" t="n"/>
      <c r="C153" s="20" t="n"/>
      <c r="D153" s="6">
        <f>IF(OR(B153="",C153=""),"",UPPER(LEFT(C153,1))&amp;LOWER(MID(C153,2,30))&amp;" "&amp;LOWER(LEFT(B153,1))&amp;MID(B153,2,200))</f>
        <v/>
      </c>
      <c r="E153" s="5" t="n"/>
      <c r="F153" s="5" t="n"/>
      <c r="G153" s="20" t="n"/>
      <c r="H153" s="20" t="n"/>
      <c r="I153" s="31">
        <f>IF(OR(G153="",H153=""),"",INDEX(RiskGrid,6-VALUE(LEFT(G153,1)),VALUE(LEFT(H153,1))))</f>
        <v/>
      </c>
      <c r="J153" s="31">
        <f>IF(I153="","",IF(I153&gt;=BandVH,"Very High",IF(I153&gt;=BandHigh,"High",IF(I153&gt;=BandMed,"Medium","Low"))))</f>
        <v/>
      </c>
      <c r="K153" s="5" t="n"/>
      <c r="L153" s="31">
        <f>IF(K153="","",(LEN(K153)-LEN(SUBSTITUTE(K153,"[IPL]","")))/5)</f>
        <v/>
      </c>
      <c r="M153" s="20" t="n"/>
      <c r="N153" s="20" t="n"/>
      <c r="O153" s="31">
        <f>IF(OR(M153="",N153=""),"",INDEX(RiskGrid,6-VALUE(LEFT(M153,1)),VALUE(LEFT(N153,1))))</f>
        <v/>
      </c>
      <c r="P153" s="31">
        <f>IF(O153="","",IF(O153&gt;=BandVH,"Very High",IF(O153&gt;=BandHigh,"High",IF(O153&gt;=BandMed,"Medium","Low"))))</f>
        <v/>
      </c>
      <c r="Q153" s="5" t="n"/>
      <c r="R153" s="5" t="n"/>
    </row>
    <row r="154" ht="30" customHeight="1">
      <c r="A154" s="31">
        <f>IF(B154="","",COUNTIF(B$14:B154,"?*"))</f>
        <v/>
      </c>
      <c r="B154" s="5" t="n"/>
      <c r="C154" s="20" t="n"/>
      <c r="D154" s="6">
        <f>IF(OR(B154="",C154=""),"",UPPER(LEFT(C154,1))&amp;LOWER(MID(C154,2,30))&amp;" "&amp;LOWER(LEFT(B154,1))&amp;MID(B154,2,200))</f>
        <v/>
      </c>
      <c r="E154" s="5" t="n"/>
      <c r="F154" s="5" t="n"/>
      <c r="G154" s="20" t="n"/>
      <c r="H154" s="20" t="n"/>
      <c r="I154" s="31">
        <f>IF(OR(G154="",H154=""),"",INDEX(RiskGrid,6-VALUE(LEFT(G154,1)),VALUE(LEFT(H154,1))))</f>
        <v/>
      </c>
      <c r="J154" s="31">
        <f>IF(I154="","",IF(I154&gt;=BandVH,"Very High",IF(I154&gt;=BandHigh,"High",IF(I154&gt;=BandMed,"Medium","Low"))))</f>
        <v/>
      </c>
      <c r="K154" s="5" t="n"/>
      <c r="L154" s="31">
        <f>IF(K154="","",(LEN(K154)-LEN(SUBSTITUTE(K154,"[IPL]","")))/5)</f>
        <v/>
      </c>
      <c r="M154" s="20" t="n"/>
      <c r="N154" s="20" t="n"/>
      <c r="O154" s="31">
        <f>IF(OR(M154="",N154=""),"",INDEX(RiskGrid,6-VALUE(LEFT(M154,1)),VALUE(LEFT(N154,1))))</f>
        <v/>
      </c>
      <c r="P154" s="31">
        <f>IF(O154="","",IF(O154&gt;=BandVH,"Very High",IF(O154&gt;=BandHigh,"High",IF(O154&gt;=BandMed,"Medium","Low"))))</f>
        <v/>
      </c>
      <c r="Q154" s="5" t="n"/>
      <c r="R154" s="5" t="n"/>
    </row>
    <row r="155" ht="30" customHeight="1">
      <c r="A155" s="31">
        <f>IF(B155="","",COUNTIF(B$14:B155,"?*"))</f>
        <v/>
      </c>
      <c r="B155" s="5" t="n"/>
      <c r="C155" s="20" t="n"/>
      <c r="D155" s="6">
        <f>IF(OR(B155="",C155=""),"",UPPER(LEFT(C155,1))&amp;LOWER(MID(C155,2,30))&amp;" "&amp;LOWER(LEFT(B155,1))&amp;MID(B155,2,200))</f>
        <v/>
      </c>
      <c r="E155" s="5" t="n"/>
      <c r="F155" s="5" t="n"/>
      <c r="G155" s="20" t="n"/>
      <c r="H155" s="20" t="n"/>
      <c r="I155" s="31">
        <f>IF(OR(G155="",H155=""),"",INDEX(RiskGrid,6-VALUE(LEFT(G155,1)),VALUE(LEFT(H155,1))))</f>
        <v/>
      </c>
      <c r="J155" s="31">
        <f>IF(I155="","",IF(I155&gt;=BandVH,"Very High",IF(I155&gt;=BandHigh,"High",IF(I155&gt;=BandMed,"Medium","Low"))))</f>
        <v/>
      </c>
      <c r="K155" s="5" t="n"/>
      <c r="L155" s="31">
        <f>IF(K155="","",(LEN(K155)-LEN(SUBSTITUTE(K155,"[IPL]","")))/5)</f>
        <v/>
      </c>
      <c r="M155" s="20" t="n"/>
      <c r="N155" s="20" t="n"/>
      <c r="O155" s="31">
        <f>IF(OR(M155="",N155=""),"",INDEX(RiskGrid,6-VALUE(LEFT(M155,1)),VALUE(LEFT(N155,1))))</f>
        <v/>
      </c>
      <c r="P155" s="31">
        <f>IF(O155="","",IF(O155&gt;=BandVH,"Very High",IF(O155&gt;=BandHigh,"High",IF(O155&gt;=BandMed,"Medium","Low"))))</f>
        <v/>
      </c>
      <c r="Q155" s="5" t="n"/>
      <c r="R155" s="5" t="n"/>
    </row>
    <row r="156" ht="30" customHeight="1">
      <c r="A156" s="31">
        <f>IF(B156="","",COUNTIF(B$14:B156,"?*"))</f>
        <v/>
      </c>
      <c r="B156" s="5" t="n"/>
      <c r="C156" s="20" t="n"/>
      <c r="D156" s="6">
        <f>IF(OR(B156="",C156=""),"",UPPER(LEFT(C156,1))&amp;LOWER(MID(C156,2,30))&amp;" "&amp;LOWER(LEFT(B156,1))&amp;MID(B156,2,200))</f>
        <v/>
      </c>
      <c r="E156" s="5" t="n"/>
      <c r="F156" s="5" t="n"/>
      <c r="G156" s="20" t="n"/>
      <c r="H156" s="20" t="n"/>
      <c r="I156" s="31">
        <f>IF(OR(G156="",H156=""),"",INDEX(RiskGrid,6-VALUE(LEFT(G156,1)),VALUE(LEFT(H156,1))))</f>
        <v/>
      </c>
      <c r="J156" s="31">
        <f>IF(I156="","",IF(I156&gt;=BandVH,"Very High",IF(I156&gt;=BandHigh,"High",IF(I156&gt;=BandMed,"Medium","Low"))))</f>
        <v/>
      </c>
      <c r="K156" s="5" t="n"/>
      <c r="L156" s="31">
        <f>IF(K156="","",(LEN(K156)-LEN(SUBSTITUTE(K156,"[IPL]","")))/5)</f>
        <v/>
      </c>
      <c r="M156" s="20" t="n"/>
      <c r="N156" s="20" t="n"/>
      <c r="O156" s="31">
        <f>IF(OR(M156="",N156=""),"",INDEX(RiskGrid,6-VALUE(LEFT(M156,1)),VALUE(LEFT(N156,1))))</f>
        <v/>
      </c>
      <c r="P156" s="31">
        <f>IF(O156="","",IF(O156&gt;=BandVH,"Very High",IF(O156&gt;=BandHigh,"High",IF(O156&gt;=BandMed,"Medium","Low"))))</f>
        <v/>
      </c>
      <c r="Q156" s="5" t="n"/>
      <c r="R156" s="5" t="n"/>
    </row>
    <row r="157" ht="30" customHeight="1">
      <c r="A157" s="31">
        <f>IF(B157="","",COUNTIF(B$14:B157,"?*"))</f>
        <v/>
      </c>
      <c r="B157" s="5" t="n"/>
      <c r="C157" s="20" t="n"/>
      <c r="D157" s="6">
        <f>IF(OR(B157="",C157=""),"",UPPER(LEFT(C157,1))&amp;LOWER(MID(C157,2,30))&amp;" "&amp;LOWER(LEFT(B157,1))&amp;MID(B157,2,200))</f>
        <v/>
      </c>
      <c r="E157" s="5" t="n"/>
      <c r="F157" s="5" t="n"/>
      <c r="G157" s="20" t="n"/>
      <c r="H157" s="20" t="n"/>
      <c r="I157" s="31">
        <f>IF(OR(G157="",H157=""),"",INDEX(RiskGrid,6-VALUE(LEFT(G157,1)),VALUE(LEFT(H157,1))))</f>
        <v/>
      </c>
      <c r="J157" s="31">
        <f>IF(I157="","",IF(I157&gt;=BandVH,"Very High",IF(I157&gt;=BandHigh,"High",IF(I157&gt;=BandMed,"Medium","Low"))))</f>
        <v/>
      </c>
      <c r="K157" s="5" t="n"/>
      <c r="L157" s="31">
        <f>IF(K157="","",(LEN(K157)-LEN(SUBSTITUTE(K157,"[IPL]","")))/5)</f>
        <v/>
      </c>
      <c r="M157" s="20" t="n"/>
      <c r="N157" s="20" t="n"/>
      <c r="O157" s="31">
        <f>IF(OR(M157="",N157=""),"",INDEX(RiskGrid,6-VALUE(LEFT(M157,1)),VALUE(LEFT(N157,1))))</f>
        <v/>
      </c>
      <c r="P157" s="31">
        <f>IF(O157="","",IF(O157&gt;=BandVH,"Very High",IF(O157&gt;=BandHigh,"High",IF(O157&gt;=BandMed,"Medium","Low"))))</f>
        <v/>
      </c>
      <c r="Q157" s="5" t="n"/>
      <c r="R157" s="5" t="n"/>
    </row>
    <row r="158" ht="30" customHeight="1">
      <c r="A158" s="31">
        <f>IF(B158="","",COUNTIF(B$14:B158,"?*"))</f>
        <v/>
      </c>
      <c r="B158" s="5" t="n"/>
      <c r="C158" s="20" t="n"/>
      <c r="D158" s="6">
        <f>IF(OR(B158="",C158=""),"",UPPER(LEFT(C158,1))&amp;LOWER(MID(C158,2,30))&amp;" "&amp;LOWER(LEFT(B158,1))&amp;MID(B158,2,200))</f>
        <v/>
      </c>
      <c r="E158" s="5" t="n"/>
      <c r="F158" s="5" t="n"/>
      <c r="G158" s="20" t="n"/>
      <c r="H158" s="20" t="n"/>
      <c r="I158" s="31">
        <f>IF(OR(G158="",H158=""),"",INDEX(RiskGrid,6-VALUE(LEFT(G158,1)),VALUE(LEFT(H158,1))))</f>
        <v/>
      </c>
      <c r="J158" s="31">
        <f>IF(I158="","",IF(I158&gt;=BandVH,"Very High",IF(I158&gt;=BandHigh,"High",IF(I158&gt;=BandMed,"Medium","Low"))))</f>
        <v/>
      </c>
      <c r="K158" s="5" t="n"/>
      <c r="L158" s="31">
        <f>IF(K158="","",(LEN(K158)-LEN(SUBSTITUTE(K158,"[IPL]","")))/5)</f>
        <v/>
      </c>
      <c r="M158" s="20" t="n"/>
      <c r="N158" s="20" t="n"/>
      <c r="O158" s="31">
        <f>IF(OR(M158="",N158=""),"",INDEX(RiskGrid,6-VALUE(LEFT(M158,1)),VALUE(LEFT(N158,1))))</f>
        <v/>
      </c>
      <c r="P158" s="31">
        <f>IF(O158="","",IF(O158&gt;=BandVH,"Very High",IF(O158&gt;=BandHigh,"High",IF(O158&gt;=BandMed,"Medium","Low"))))</f>
        <v/>
      </c>
      <c r="Q158" s="5" t="n"/>
      <c r="R158" s="5" t="n"/>
    </row>
    <row r="159" ht="30" customHeight="1">
      <c r="A159" s="31">
        <f>IF(B159="","",COUNTIF(B$14:B159,"?*"))</f>
        <v/>
      </c>
      <c r="B159" s="5" t="n"/>
      <c r="C159" s="20" t="n"/>
      <c r="D159" s="6">
        <f>IF(OR(B159="",C159=""),"",UPPER(LEFT(C159,1))&amp;LOWER(MID(C159,2,30))&amp;" "&amp;LOWER(LEFT(B159,1))&amp;MID(B159,2,200))</f>
        <v/>
      </c>
      <c r="E159" s="5" t="n"/>
      <c r="F159" s="5" t="n"/>
      <c r="G159" s="20" t="n"/>
      <c r="H159" s="20" t="n"/>
      <c r="I159" s="31">
        <f>IF(OR(G159="",H159=""),"",INDEX(RiskGrid,6-VALUE(LEFT(G159,1)),VALUE(LEFT(H159,1))))</f>
        <v/>
      </c>
      <c r="J159" s="31">
        <f>IF(I159="","",IF(I159&gt;=BandVH,"Very High",IF(I159&gt;=BandHigh,"High",IF(I159&gt;=BandMed,"Medium","Low"))))</f>
        <v/>
      </c>
      <c r="K159" s="5" t="n"/>
      <c r="L159" s="31">
        <f>IF(K159="","",(LEN(K159)-LEN(SUBSTITUTE(K159,"[IPL]","")))/5)</f>
        <v/>
      </c>
      <c r="M159" s="20" t="n"/>
      <c r="N159" s="20" t="n"/>
      <c r="O159" s="31">
        <f>IF(OR(M159="",N159=""),"",INDEX(RiskGrid,6-VALUE(LEFT(M159,1)),VALUE(LEFT(N159,1))))</f>
        <v/>
      </c>
      <c r="P159" s="31">
        <f>IF(O159="","",IF(O159&gt;=BandVH,"Very High",IF(O159&gt;=BandHigh,"High",IF(O159&gt;=BandMed,"Medium","Low"))))</f>
        <v/>
      </c>
      <c r="Q159" s="5" t="n"/>
      <c r="R159" s="5" t="n"/>
    </row>
    <row r="160" ht="30" customHeight="1">
      <c r="A160" s="31">
        <f>IF(B160="","",COUNTIF(B$14:B160,"?*"))</f>
        <v/>
      </c>
      <c r="B160" s="5" t="n"/>
      <c r="C160" s="20" t="n"/>
      <c r="D160" s="6">
        <f>IF(OR(B160="",C160=""),"",UPPER(LEFT(C160,1))&amp;LOWER(MID(C160,2,30))&amp;" "&amp;LOWER(LEFT(B160,1))&amp;MID(B160,2,200))</f>
        <v/>
      </c>
      <c r="E160" s="5" t="n"/>
      <c r="F160" s="5" t="n"/>
      <c r="G160" s="20" t="n"/>
      <c r="H160" s="20" t="n"/>
      <c r="I160" s="31">
        <f>IF(OR(G160="",H160=""),"",INDEX(RiskGrid,6-VALUE(LEFT(G160,1)),VALUE(LEFT(H160,1))))</f>
        <v/>
      </c>
      <c r="J160" s="31">
        <f>IF(I160="","",IF(I160&gt;=BandVH,"Very High",IF(I160&gt;=BandHigh,"High",IF(I160&gt;=BandMed,"Medium","Low"))))</f>
        <v/>
      </c>
      <c r="K160" s="5" t="n"/>
      <c r="L160" s="31">
        <f>IF(K160="","",(LEN(K160)-LEN(SUBSTITUTE(K160,"[IPL]","")))/5)</f>
        <v/>
      </c>
      <c r="M160" s="20" t="n"/>
      <c r="N160" s="20" t="n"/>
      <c r="O160" s="31">
        <f>IF(OR(M160="",N160=""),"",INDEX(RiskGrid,6-VALUE(LEFT(M160,1)),VALUE(LEFT(N160,1))))</f>
        <v/>
      </c>
      <c r="P160" s="31">
        <f>IF(O160="","",IF(O160&gt;=BandVH,"Very High",IF(O160&gt;=BandHigh,"High",IF(O160&gt;=BandMed,"Medium","Low"))))</f>
        <v/>
      </c>
      <c r="Q160" s="5" t="n"/>
      <c r="R160" s="5" t="n"/>
    </row>
    <row r="161" ht="30" customHeight="1">
      <c r="A161" s="31">
        <f>IF(B161="","",COUNTIF(B$14:B161,"?*"))</f>
        <v/>
      </c>
      <c r="B161" s="5" t="n"/>
      <c r="C161" s="20" t="n"/>
      <c r="D161" s="6">
        <f>IF(OR(B161="",C161=""),"",UPPER(LEFT(C161,1))&amp;LOWER(MID(C161,2,30))&amp;" "&amp;LOWER(LEFT(B161,1))&amp;MID(B161,2,200))</f>
        <v/>
      </c>
      <c r="E161" s="5" t="n"/>
      <c r="F161" s="5" t="n"/>
      <c r="G161" s="20" t="n"/>
      <c r="H161" s="20" t="n"/>
      <c r="I161" s="31">
        <f>IF(OR(G161="",H161=""),"",INDEX(RiskGrid,6-VALUE(LEFT(G161,1)),VALUE(LEFT(H161,1))))</f>
        <v/>
      </c>
      <c r="J161" s="31">
        <f>IF(I161="","",IF(I161&gt;=BandVH,"Very High",IF(I161&gt;=BandHigh,"High",IF(I161&gt;=BandMed,"Medium","Low"))))</f>
        <v/>
      </c>
      <c r="K161" s="5" t="n"/>
      <c r="L161" s="31">
        <f>IF(K161="","",(LEN(K161)-LEN(SUBSTITUTE(K161,"[IPL]","")))/5)</f>
        <v/>
      </c>
      <c r="M161" s="20" t="n"/>
      <c r="N161" s="20" t="n"/>
      <c r="O161" s="31">
        <f>IF(OR(M161="",N161=""),"",INDEX(RiskGrid,6-VALUE(LEFT(M161,1)),VALUE(LEFT(N161,1))))</f>
        <v/>
      </c>
      <c r="P161" s="31">
        <f>IF(O161="","",IF(O161&gt;=BandVH,"Very High",IF(O161&gt;=BandHigh,"High",IF(O161&gt;=BandMed,"Medium","Low"))))</f>
        <v/>
      </c>
      <c r="Q161" s="5" t="n"/>
      <c r="R161" s="5" t="n"/>
    </row>
    <row r="162" ht="30" customHeight="1">
      <c r="A162" s="31">
        <f>IF(B162="","",COUNTIF(B$14:B162,"?*"))</f>
        <v/>
      </c>
      <c r="B162" s="5" t="n"/>
      <c r="C162" s="20" t="n"/>
      <c r="D162" s="6">
        <f>IF(OR(B162="",C162=""),"",UPPER(LEFT(C162,1))&amp;LOWER(MID(C162,2,30))&amp;" "&amp;LOWER(LEFT(B162,1))&amp;MID(B162,2,200))</f>
        <v/>
      </c>
      <c r="E162" s="5" t="n"/>
      <c r="F162" s="5" t="n"/>
      <c r="G162" s="20" t="n"/>
      <c r="H162" s="20" t="n"/>
      <c r="I162" s="31">
        <f>IF(OR(G162="",H162=""),"",INDEX(RiskGrid,6-VALUE(LEFT(G162,1)),VALUE(LEFT(H162,1))))</f>
        <v/>
      </c>
      <c r="J162" s="31">
        <f>IF(I162="","",IF(I162&gt;=BandVH,"Very High",IF(I162&gt;=BandHigh,"High",IF(I162&gt;=BandMed,"Medium","Low"))))</f>
        <v/>
      </c>
      <c r="K162" s="5" t="n"/>
      <c r="L162" s="31">
        <f>IF(K162="","",(LEN(K162)-LEN(SUBSTITUTE(K162,"[IPL]","")))/5)</f>
        <v/>
      </c>
      <c r="M162" s="20" t="n"/>
      <c r="N162" s="20" t="n"/>
      <c r="O162" s="31">
        <f>IF(OR(M162="",N162=""),"",INDEX(RiskGrid,6-VALUE(LEFT(M162,1)),VALUE(LEFT(N162,1))))</f>
        <v/>
      </c>
      <c r="P162" s="31">
        <f>IF(O162="","",IF(O162&gt;=BandVH,"Very High",IF(O162&gt;=BandHigh,"High",IF(O162&gt;=BandMed,"Medium","Low"))))</f>
        <v/>
      </c>
      <c r="Q162" s="5" t="n"/>
      <c r="R162" s="5" t="n"/>
    </row>
    <row r="163" ht="30" customHeight="1">
      <c r="A163" s="31">
        <f>IF(B163="","",COUNTIF(B$14:B163,"?*"))</f>
        <v/>
      </c>
      <c r="B163" s="5" t="n"/>
      <c r="C163" s="20" t="n"/>
      <c r="D163" s="6">
        <f>IF(OR(B163="",C163=""),"",UPPER(LEFT(C163,1))&amp;LOWER(MID(C163,2,30))&amp;" "&amp;LOWER(LEFT(B163,1))&amp;MID(B163,2,200))</f>
        <v/>
      </c>
      <c r="E163" s="5" t="n"/>
      <c r="F163" s="5" t="n"/>
      <c r="G163" s="20" t="n"/>
      <c r="H163" s="20" t="n"/>
      <c r="I163" s="31">
        <f>IF(OR(G163="",H163=""),"",INDEX(RiskGrid,6-VALUE(LEFT(G163,1)),VALUE(LEFT(H163,1))))</f>
        <v/>
      </c>
      <c r="J163" s="31">
        <f>IF(I163="","",IF(I163&gt;=BandVH,"Very High",IF(I163&gt;=BandHigh,"High",IF(I163&gt;=BandMed,"Medium","Low"))))</f>
        <v/>
      </c>
      <c r="K163" s="5" t="n"/>
      <c r="L163" s="31">
        <f>IF(K163="","",(LEN(K163)-LEN(SUBSTITUTE(K163,"[IPL]","")))/5)</f>
        <v/>
      </c>
      <c r="M163" s="20" t="n"/>
      <c r="N163" s="20" t="n"/>
      <c r="O163" s="31">
        <f>IF(OR(M163="",N163=""),"",INDEX(RiskGrid,6-VALUE(LEFT(M163,1)),VALUE(LEFT(N163,1))))</f>
        <v/>
      </c>
      <c r="P163" s="31">
        <f>IF(O163="","",IF(O163&gt;=BandVH,"Very High",IF(O163&gt;=BandHigh,"High",IF(O163&gt;=BandMed,"Medium","Low"))))</f>
        <v/>
      </c>
      <c r="Q163" s="5" t="n"/>
      <c r="R163" s="5" t="n"/>
    </row>
  </sheetData>
  <mergeCells count="22">
    <mergeCell ref="E12:F12"/>
    <mergeCell ref="D6:R6"/>
    <mergeCell ref="D3:J3"/>
    <mergeCell ref="Q12:R12"/>
    <mergeCell ref="A3:C3"/>
    <mergeCell ref="L3:M3"/>
    <mergeCell ref="D7:R7"/>
    <mergeCell ref="A5:C5"/>
    <mergeCell ref="A8:C8"/>
    <mergeCell ref="G12:J12"/>
    <mergeCell ref="D4:R4"/>
    <mergeCell ref="A4:C4"/>
    <mergeCell ref="D9:R9"/>
    <mergeCell ref="D8:R8"/>
    <mergeCell ref="K12:L12"/>
    <mergeCell ref="D5:R5"/>
    <mergeCell ref="A9:C9"/>
    <mergeCell ref="A12:D12"/>
    <mergeCell ref="A11:R11"/>
    <mergeCell ref="A6:C6"/>
    <mergeCell ref="M12:P12"/>
    <mergeCell ref="A7:C7"/>
  </mergeCells>
  <conditionalFormatting sqref="I14:J163">
    <cfRule type="expression" priority="1" dxfId="0">
      <formula>$J14="Very High"</formula>
    </cfRule>
    <cfRule type="expression" priority="3" dxfId="1">
      <formula>$J14="High"</formula>
    </cfRule>
    <cfRule type="expression" priority="5" dxfId="2">
      <formula>$J14="Medium"</formula>
    </cfRule>
    <cfRule type="expression" priority="7" dxfId="3">
      <formula>$J14="Low"</formula>
    </cfRule>
  </conditionalFormatting>
  <conditionalFormatting sqref="O14:P163">
    <cfRule type="expression" priority="2" dxfId="0">
      <formula>$P14="Very High"</formula>
    </cfRule>
    <cfRule type="expression" priority="4" dxfId="1">
      <formula>$P14="High"</formula>
    </cfRule>
    <cfRule type="expression" priority="6" dxfId="2">
      <formula>$P14="Medium"</formula>
    </cfRule>
    <cfRule type="expression" priority="8" dxfId="3">
      <formula>$P14="Low"</formula>
    </cfRule>
  </conditionalFormatting>
  <dataValidations count="8">
    <dataValidation sqref="D3" showDropDown="0" showInputMessage="1" showErrorMessage="1" allowBlank="1" promptTitle="Select" prompt="Choose the node studied on this sheet" type="list">
      <formula1>=NodeList</formula1>
    </dataValidation>
    <dataValidation sqref="B14:B163" showDropDown="0" showInputMessage="1" showErrorMessage="1" allowBlank="1" promptTitle="Select" prompt="Parameter (from Lists)" type="list">
      <formula1>=ParamList</formula1>
    </dataValidation>
    <dataValidation sqref="C14:C163" showDropDown="0" showInputMessage="1" showErrorMessage="1" allowBlank="1" promptTitle="Select" prompt="Guidewords valid for this parameter" type="list">
      <formula1>=OFFSET(GWStart,MATCH($B14,GWParam,0)-1,0,COUNTIF(GWParam,$B14),1)</formula1>
    </dataValidation>
    <dataValidation sqref="E14:E163" showDropDown="0" showInputMessage="1" showErrorMessage="0" allowBlank="1" promptTitle="Potential causes" prompt="Pick a cause – each pick is added as a new line. Pick again to remove. You may also type a cause." type="list">
      <formula1>=OFFSET(CauseStart,MATCH($B14&amp;"|"&amp;$C14,CauseKey,0)-1,0,MAX(1,COUNTIF(CauseKey,$B14&amp;"|"&amp;$C14)),1)</formula1>
    </dataValidation>
    <dataValidation sqref="G14:G163" showDropDown="0" showInputMessage="0" showErrorMessage="1" allowBlank="1" type="list">
      <formula1>=SevList</formula1>
    </dataValidation>
    <dataValidation sqref="H14:H163" showDropDown="0" showInputMessage="0" showErrorMessage="1" allowBlank="1" type="list">
      <formula1>=LikList</formula1>
    </dataValidation>
    <dataValidation sqref="M14:M163" showDropDown="0" showInputMessage="0" showErrorMessage="1" allowBlank="1" type="list">
      <formula1>=SevList</formula1>
    </dataValidation>
    <dataValidation sqref="N14:N163" showDropDown="0" showInputMessage="0" showErrorMessage="1" allowBlank="1" type="list">
      <formula1>=LikList</formula1>
    </dataValidation>
  </dataValidations>
  <pageMargins left="0.75" right="0.75" top="1" bottom="1" header="0.5" footer="0.5"/>
  <pageSetup orientation="landscape" paperSize="8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2026-10-05T19:26:11Z</dcterms:created>
  <dcterms:modified xsi:type="dcterms:W3CDTF">2026-10-05T19:26:13Z</dcterms:modified>
</cp:coreProperties>
</file>